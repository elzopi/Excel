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alvariainc-my.sharepoint.com/personal/felix_reta_aspect_com/Documents/Documents/Personal/Excel/"/>
    </mc:Choice>
  </mc:AlternateContent>
  <xr:revisionPtr revIDLastSave="31" documentId="8_{AA7BBDF0-D6D5-450A-A28D-EDD48B607461}" xr6:coauthVersionLast="47" xr6:coauthVersionMax="47" xr10:uidLastSave="{0A3EC41C-CB59-4E33-822D-4F03FBB5F51C}"/>
  <bookViews>
    <workbookView xWindow="4410" yWindow="1875" windowWidth="21600" windowHeight="12825" activeTab="1" xr2:uid="{91945175-1109-448F-8C8B-30718BE7DF0D}"/>
  </bookViews>
  <sheets>
    <sheet name="AllCodes" sheetId="1" r:id="rId1"/>
    <sheet name="UTF-8Xlate" sheetId="4" r:id="rId2"/>
    <sheet name="OriginalText" sheetId="2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2" i="4" l="1"/>
  <c r="F3" i="4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F37" i="4"/>
  <c r="F38" i="4"/>
  <c r="F39" i="4"/>
  <c r="F40" i="4"/>
  <c r="F41" i="4"/>
  <c r="F42" i="4"/>
  <c r="F43" i="4"/>
  <c r="F44" i="4"/>
  <c r="F45" i="4"/>
  <c r="F46" i="4"/>
  <c r="F47" i="4"/>
  <c r="F48" i="4"/>
  <c r="F49" i="4"/>
  <c r="F50" i="4"/>
  <c r="F51" i="4"/>
  <c r="F52" i="4"/>
  <c r="F53" i="4"/>
  <c r="F54" i="4"/>
  <c r="F55" i="4"/>
  <c r="F56" i="4"/>
  <c r="F57" i="4"/>
  <c r="F58" i="4"/>
  <c r="F59" i="4"/>
  <c r="F60" i="4"/>
  <c r="F61" i="4"/>
  <c r="F62" i="4"/>
  <c r="F63" i="4"/>
  <c r="F64" i="4"/>
  <c r="F65" i="4"/>
  <c r="F66" i="4"/>
  <c r="F67" i="4"/>
  <c r="F68" i="4"/>
  <c r="F69" i="4"/>
  <c r="F70" i="4"/>
  <c r="F71" i="4"/>
  <c r="F72" i="4"/>
  <c r="F73" i="4"/>
  <c r="F74" i="4"/>
  <c r="F75" i="4"/>
  <c r="F76" i="4"/>
  <c r="F77" i="4"/>
  <c r="F78" i="4"/>
  <c r="F79" i="4"/>
  <c r="F80" i="4"/>
  <c r="F81" i="4"/>
  <c r="F82" i="4"/>
  <c r="F83" i="4"/>
  <c r="F84" i="4"/>
  <c r="F85" i="4"/>
  <c r="F86" i="4"/>
  <c r="F87" i="4"/>
  <c r="F88" i="4"/>
  <c r="F89" i="4"/>
  <c r="F90" i="4"/>
  <c r="F91" i="4"/>
  <c r="F92" i="4"/>
  <c r="F93" i="4"/>
  <c r="F94" i="4"/>
  <c r="F95" i="4"/>
  <c r="F96" i="4"/>
  <c r="F97" i="4"/>
  <c r="F98" i="4"/>
  <c r="F99" i="4"/>
  <c r="F100" i="4"/>
  <c r="F101" i="4"/>
  <c r="F102" i="4"/>
  <c r="F103" i="4"/>
  <c r="F104" i="4"/>
  <c r="F105" i="4"/>
  <c r="F106" i="4"/>
  <c r="F107" i="4"/>
  <c r="F108" i="4"/>
  <c r="F109" i="4"/>
  <c r="F110" i="4"/>
  <c r="F111" i="4"/>
  <c r="F112" i="4"/>
  <c r="F113" i="4"/>
  <c r="F114" i="4"/>
  <c r="F115" i="4"/>
  <c r="F116" i="4"/>
  <c r="F117" i="4"/>
  <c r="F118" i="4"/>
  <c r="F119" i="4"/>
  <c r="F120" i="4"/>
  <c r="F121" i="4"/>
  <c r="F122" i="4"/>
  <c r="F123" i="4"/>
  <c r="F124" i="4"/>
  <c r="F125" i="4"/>
  <c r="F126" i="4"/>
  <c r="F127" i="4"/>
  <c r="F128" i="4"/>
  <c r="F129" i="4"/>
  <c r="F130" i="4"/>
  <c r="F131" i="4"/>
  <c r="F132" i="4"/>
  <c r="F133" i="4"/>
  <c r="F134" i="4"/>
  <c r="F135" i="4"/>
  <c r="F136" i="4"/>
  <c r="F137" i="4"/>
  <c r="F138" i="4"/>
  <c r="F139" i="4"/>
  <c r="F140" i="4"/>
  <c r="F141" i="4"/>
  <c r="F142" i="4"/>
  <c r="F143" i="4"/>
  <c r="F144" i="4"/>
  <c r="F145" i="4"/>
  <c r="F146" i="4"/>
  <c r="F147" i="4"/>
  <c r="F148" i="4"/>
  <c r="F149" i="4"/>
  <c r="F150" i="4"/>
  <c r="F151" i="4"/>
  <c r="F152" i="4"/>
  <c r="F153" i="4"/>
  <c r="F154" i="4"/>
  <c r="F155" i="4"/>
  <c r="F156" i="4"/>
  <c r="F157" i="4"/>
  <c r="F158" i="4"/>
  <c r="F159" i="4"/>
  <c r="F160" i="4"/>
  <c r="F161" i="4"/>
  <c r="F162" i="4"/>
  <c r="F163" i="4"/>
  <c r="F164" i="4"/>
  <c r="F165" i="4"/>
  <c r="F166" i="4"/>
  <c r="F167" i="4"/>
  <c r="F168" i="4"/>
  <c r="F169" i="4"/>
  <c r="F170" i="4"/>
  <c r="F171" i="4"/>
  <c r="F172" i="4"/>
  <c r="F173" i="4"/>
  <c r="F174" i="4"/>
  <c r="B3" i="1"/>
  <c r="C3" i="1" s="1"/>
  <c r="G3" i="1" s="1"/>
  <c r="B4" i="1"/>
  <c r="C4" i="1" s="1"/>
  <c r="G4" i="1" s="1"/>
  <c r="B5" i="1"/>
  <c r="C5" i="1" s="1"/>
  <c r="G5" i="1" s="1"/>
  <c r="B6" i="1"/>
  <c r="C6" i="1" s="1"/>
  <c r="G6" i="1" s="1"/>
  <c r="B7" i="1"/>
  <c r="C7" i="1" s="1"/>
  <c r="G7" i="1" s="1"/>
  <c r="B8" i="1"/>
  <c r="C8" i="1" s="1"/>
  <c r="G8" i="1" s="1"/>
  <c r="B9" i="1"/>
  <c r="C9" i="1" s="1"/>
  <c r="G9" i="1" s="1"/>
  <c r="B10" i="1"/>
  <c r="C10" i="1" s="1"/>
  <c r="G10" i="1" s="1"/>
  <c r="B11" i="1"/>
  <c r="C11" i="1" s="1"/>
  <c r="G11" i="1" s="1"/>
  <c r="B12" i="1"/>
  <c r="C12" i="1" s="1"/>
  <c r="G12" i="1" s="1"/>
  <c r="B13" i="1"/>
  <c r="C13" i="1" s="1"/>
  <c r="G13" i="1" s="1"/>
  <c r="B14" i="1"/>
  <c r="C14" i="1" s="1"/>
  <c r="G14" i="1" s="1"/>
  <c r="B15" i="1"/>
  <c r="C15" i="1" s="1"/>
  <c r="G15" i="1" s="1"/>
  <c r="B16" i="1"/>
  <c r="C16" i="1" s="1"/>
  <c r="G16" i="1" s="1"/>
  <c r="B17" i="1"/>
  <c r="C17" i="1" s="1"/>
  <c r="G17" i="1" s="1"/>
  <c r="B18" i="1"/>
  <c r="C18" i="1" s="1"/>
  <c r="G18" i="1" s="1"/>
  <c r="B19" i="1"/>
  <c r="C19" i="1" s="1"/>
  <c r="G19" i="1" s="1"/>
  <c r="B20" i="1"/>
  <c r="C20" i="1" s="1"/>
  <c r="G20" i="1" s="1"/>
  <c r="B21" i="1"/>
  <c r="C21" i="1" s="1"/>
  <c r="G21" i="1" s="1"/>
  <c r="B22" i="1"/>
  <c r="C22" i="1" s="1"/>
  <c r="G22" i="1" s="1"/>
  <c r="B23" i="1"/>
  <c r="C23" i="1" s="1"/>
  <c r="G23" i="1" s="1"/>
  <c r="B24" i="1"/>
  <c r="C24" i="1" s="1"/>
  <c r="G24" i="1" s="1"/>
  <c r="B25" i="1"/>
  <c r="C25" i="1" s="1"/>
  <c r="G25" i="1" s="1"/>
  <c r="B26" i="1"/>
  <c r="C26" i="1" s="1"/>
  <c r="G26" i="1" s="1"/>
  <c r="B27" i="1"/>
  <c r="C27" i="1" s="1"/>
  <c r="G27" i="1" s="1"/>
  <c r="B28" i="1"/>
  <c r="C28" i="1" s="1"/>
  <c r="G28" i="1" s="1"/>
  <c r="B29" i="1"/>
  <c r="C29" i="1" s="1"/>
  <c r="G29" i="1" s="1"/>
  <c r="B30" i="1"/>
  <c r="C30" i="1" s="1"/>
  <c r="G30" i="1" s="1"/>
  <c r="B31" i="1"/>
  <c r="C31" i="1" s="1"/>
  <c r="G31" i="1" s="1"/>
  <c r="B32" i="1"/>
  <c r="C32" i="1" s="1"/>
  <c r="G32" i="1" s="1"/>
  <c r="B33" i="1"/>
  <c r="C33" i="1" s="1"/>
  <c r="G33" i="1" s="1"/>
  <c r="B34" i="1"/>
  <c r="C34" i="1" s="1"/>
  <c r="G34" i="1" s="1"/>
  <c r="B35" i="1"/>
  <c r="C35" i="1" s="1"/>
  <c r="G35" i="1" s="1"/>
  <c r="B36" i="1"/>
  <c r="C36" i="1" s="1"/>
  <c r="G36" i="1" s="1"/>
  <c r="B37" i="1"/>
  <c r="C37" i="1" s="1"/>
  <c r="G37" i="1" s="1"/>
  <c r="B38" i="1"/>
  <c r="C38" i="1" s="1"/>
  <c r="G38" i="1" s="1"/>
  <c r="B39" i="1"/>
  <c r="C39" i="1" s="1"/>
  <c r="G39" i="1" s="1"/>
  <c r="B40" i="1"/>
  <c r="C40" i="1" s="1"/>
  <c r="G40" i="1" s="1"/>
  <c r="B41" i="1"/>
  <c r="C41" i="1" s="1"/>
  <c r="G41" i="1" s="1"/>
  <c r="B42" i="1"/>
  <c r="C42" i="1" s="1"/>
  <c r="G42" i="1" s="1"/>
  <c r="B43" i="1"/>
  <c r="C43" i="1" s="1"/>
  <c r="G43" i="1" s="1"/>
  <c r="B44" i="1"/>
  <c r="C44" i="1" s="1"/>
  <c r="G44" i="1" s="1"/>
  <c r="B45" i="1"/>
  <c r="C45" i="1" s="1"/>
  <c r="G45" i="1" s="1"/>
  <c r="B46" i="1"/>
  <c r="C46" i="1" s="1"/>
  <c r="G46" i="1" s="1"/>
  <c r="B47" i="1"/>
  <c r="C47" i="1" s="1"/>
  <c r="G47" i="1" s="1"/>
  <c r="B48" i="1"/>
  <c r="C48" i="1" s="1"/>
  <c r="G48" i="1" s="1"/>
  <c r="B49" i="1"/>
  <c r="C49" i="1" s="1"/>
  <c r="G49" i="1" s="1"/>
  <c r="B50" i="1"/>
  <c r="C50" i="1" s="1"/>
  <c r="G50" i="1" s="1"/>
  <c r="B51" i="1"/>
  <c r="C51" i="1" s="1"/>
  <c r="G51" i="1" s="1"/>
  <c r="B52" i="1"/>
  <c r="C52" i="1" s="1"/>
  <c r="G52" i="1" s="1"/>
  <c r="B53" i="1"/>
  <c r="C53" i="1" s="1"/>
  <c r="G53" i="1" s="1"/>
  <c r="B54" i="1"/>
  <c r="C54" i="1" s="1"/>
  <c r="G54" i="1" s="1"/>
  <c r="B55" i="1"/>
  <c r="C55" i="1" s="1"/>
  <c r="G55" i="1" s="1"/>
  <c r="B56" i="1"/>
  <c r="C56" i="1" s="1"/>
  <c r="G56" i="1" s="1"/>
  <c r="B57" i="1"/>
  <c r="C57" i="1" s="1"/>
  <c r="G57" i="1" s="1"/>
  <c r="B58" i="1"/>
  <c r="C58" i="1" s="1"/>
  <c r="G58" i="1" s="1"/>
  <c r="B59" i="1"/>
  <c r="C59" i="1" s="1"/>
  <c r="G59" i="1" s="1"/>
  <c r="B60" i="1"/>
  <c r="C60" i="1" s="1"/>
  <c r="G60" i="1" s="1"/>
  <c r="B61" i="1"/>
  <c r="C61" i="1" s="1"/>
  <c r="G61" i="1" s="1"/>
  <c r="B62" i="1"/>
  <c r="C62" i="1" s="1"/>
  <c r="G62" i="1" s="1"/>
  <c r="B63" i="1"/>
  <c r="C63" i="1" s="1"/>
  <c r="G63" i="1" s="1"/>
  <c r="B64" i="1"/>
  <c r="C64" i="1" s="1"/>
  <c r="G64" i="1" s="1"/>
  <c r="B65" i="1"/>
  <c r="C65" i="1" s="1"/>
  <c r="G65" i="1" s="1"/>
  <c r="B66" i="1"/>
  <c r="C66" i="1" s="1"/>
  <c r="G66" i="1" s="1"/>
  <c r="B67" i="1"/>
  <c r="C67" i="1" s="1"/>
  <c r="G67" i="1" s="1"/>
  <c r="B68" i="1"/>
  <c r="C68" i="1" s="1"/>
  <c r="G68" i="1" s="1"/>
  <c r="B69" i="1"/>
  <c r="C69" i="1" s="1"/>
  <c r="G69" i="1" s="1"/>
  <c r="B70" i="1"/>
  <c r="C70" i="1" s="1"/>
  <c r="G70" i="1" s="1"/>
  <c r="B71" i="1"/>
  <c r="C71" i="1" s="1"/>
  <c r="G71" i="1" s="1"/>
  <c r="B72" i="1"/>
  <c r="C72" i="1" s="1"/>
  <c r="G72" i="1" s="1"/>
  <c r="B73" i="1"/>
  <c r="C73" i="1" s="1"/>
  <c r="G73" i="1" s="1"/>
  <c r="B74" i="1"/>
  <c r="C74" i="1" s="1"/>
  <c r="G74" i="1" s="1"/>
  <c r="B75" i="1"/>
  <c r="C75" i="1" s="1"/>
  <c r="G75" i="1" s="1"/>
  <c r="B76" i="1"/>
  <c r="C76" i="1" s="1"/>
  <c r="G76" i="1" s="1"/>
  <c r="B77" i="1"/>
  <c r="C77" i="1" s="1"/>
  <c r="G77" i="1" s="1"/>
  <c r="B78" i="1"/>
  <c r="C78" i="1" s="1"/>
  <c r="G78" i="1" s="1"/>
  <c r="B79" i="1"/>
  <c r="C79" i="1" s="1"/>
  <c r="G79" i="1" s="1"/>
  <c r="B80" i="1"/>
  <c r="C80" i="1" s="1"/>
  <c r="G80" i="1" s="1"/>
  <c r="B81" i="1"/>
  <c r="C81" i="1" s="1"/>
  <c r="G81" i="1" s="1"/>
  <c r="B82" i="1"/>
  <c r="C82" i="1" s="1"/>
  <c r="G82" i="1" s="1"/>
  <c r="B83" i="1"/>
  <c r="C83" i="1" s="1"/>
  <c r="G83" i="1" s="1"/>
  <c r="B84" i="1"/>
  <c r="C84" i="1" s="1"/>
  <c r="G84" i="1" s="1"/>
  <c r="B85" i="1"/>
  <c r="C85" i="1" s="1"/>
  <c r="G85" i="1" s="1"/>
  <c r="B86" i="1"/>
  <c r="C86" i="1" s="1"/>
  <c r="G86" i="1" s="1"/>
  <c r="B87" i="1"/>
  <c r="C87" i="1" s="1"/>
  <c r="G87" i="1" s="1"/>
  <c r="B88" i="1"/>
  <c r="C88" i="1" s="1"/>
  <c r="G88" i="1" s="1"/>
  <c r="B89" i="1"/>
  <c r="C89" i="1" s="1"/>
  <c r="G89" i="1" s="1"/>
  <c r="B90" i="1"/>
  <c r="C90" i="1" s="1"/>
  <c r="G90" i="1" s="1"/>
  <c r="B91" i="1"/>
  <c r="C91" i="1" s="1"/>
  <c r="G91" i="1" s="1"/>
  <c r="B92" i="1"/>
  <c r="C92" i="1" s="1"/>
  <c r="G92" i="1" s="1"/>
  <c r="B93" i="1"/>
  <c r="C93" i="1" s="1"/>
  <c r="G93" i="1" s="1"/>
  <c r="B94" i="1"/>
  <c r="C94" i="1" s="1"/>
  <c r="G94" i="1" s="1"/>
  <c r="B95" i="1"/>
  <c r="C95" i="1" s="1"/>
  <c r="G95" i="1" s="1"/>
  <c r="B96" i="1"/>
  <c r="C96" i="1" s="1"/>
  <c r="G96" i="1" s="1"/>
  <c r="B97" i="1"/>
  <c r="C97" i="1" s="1"/>
  <c r="G97" i="1" s="1"/>
  <c r="B98" i="1"/>
  <c r="C98" i="1" s="1"/>
  <c r="G98" i="1" s="1"/>
  <c r="B99" i="1"/>
  <c r="C99" i="1" s="1"/>
  <c r="G99" i="1" s="1"/>
  <c r="B100" i="1"/>
  <c r="C100" i="1" s="1"/>
  <c r="G100" i="1" s="1"/>
  <c r="B101" i="1"/>
  <c r="C101" i="1" s="1"/>
  <c r="G101" i="1" s="1"/>
  <c r="B102" i="1"/>
  <c r="C102" i="1" s="1"/>
  <c r="G102" i="1" s="1"/>
  <c r="B103" i="1"/>
  <c r="C103" i="1" s="1"/>
  <c r="G103" i="1" s="1"/>
  <c r="B104" i="1"/>
  <c r="C104" i="1" s="1"/>
  <c r="G104" i="1" s="1"/>
  <c r="B105" i="1"/>
  <c r="C105" i="1" s="1"/>
  <c r="G105" i="1" s="1"/>
  <c r="B106" i="1"/>
  <c r="C106" i="1" s="1"/>
  <c r="G106" i="1" s="1"/>
  <c r="B107" i="1"/>
  <c r="C107" i="1" s="1"/>
  <c r="G107" i="1" s="1"/>
  <c r="B108" i="1"/>
  <c r="C108" i="1" s="1"/>
  <c r="G108" i="1" s="1"/>
  <c r="B109" i="1"/>
  <c r="C109" i="1" s="1"/>
  <c r="G109" i="1" s="1"/>
  <c r="B110" i="1"/>
  <c r="C110" i="1" s="1"/>
  <c r="G110" i="1" s="1"/>
  <c r="B111" i="1"/>
  <c r="C111" i="1" s="1"/>
  <c r="G111" i="1" s="1"/>
  <c r="B112" i="1"/>
  <c r="C112" i="1" s="1"/>
  <c r="G112" i="1" s="1"/>
  <c r="B113" i="1"/>
  <c r="C113" i="1" s="1"/>
  <c r="G113" i="1" s="1"/>
  <c r="B114" i="1"/>
  <c r="C114" i="1" s="1"/>
  <c r="G114" i="1" s="1"/>
  <c r="B115" i="1"/>
  <c r="C115" i="1" s="1"/>
  <c r="G115" i="1" s="1"/>
  <c r="B116" i="1"/>
  <c r="C116" i="1" s="1"/>
  <c r="G116" i="1" s="1"/>
  <c r="B117" i="1"/>
  <c r="C117" i="1" s="1"/>
  <c r="G117" i="1" s="1"/>
  <c r="B118" i="1"/>
  <c r="C118" i="1" s="1"/>
  <c r="G118" i="1" s="1"/>
  <c r="B119" i="1"/>
  <c r="C119" i="1" s="1"/>
  <c r="G119" i="1" s="1"/>
  <c r="B120" i="1"/>
  <c r="C120" i="1" s="1"/>
  <c r="G120" i="1" s="1"/>
  <c r="B121" i="1"/>
  <c r="C121" i="1" s="1"/>
  <c r="G121" i="1" s="1"/>
  <c r="B122" i="1"/>
  <c r="C122" i="1" s="1"/>
  <c r="G122" i="1" s="1"/>
  <c r="B123" i="1"/>
  <c r="C123" i="1" s="1"/>
  <c r="G123" i="1" s="1"/>
  <c r="B124" i="1"/>
  <c r="C124" i="1" s="1"/>
  <c r="G124" i="1" s="1"/>
  <c r="B125" i="1"/>
  <c r="C125" i="1" s="1"/>
  <c r="G125" i="1" s="1"/>
  <c r="B126" i="1"/>
  <c r="C126" i="1" s="1"/>
  <c r="G126" i="1" s="1"/>
  <c r="B127" i="1"/>
  <c r="C127" i="1" s="1"/>
  <c r="G127" i="1" s="1"/>
  <c r="B128" i="1"/>
  <c r="C128" i="1" s="1"/>
  <c r="G128" i="1" s="1"/>
  <c r="B129" i="1"/>
  <c r="C129" i="1" s="1"/>
  <c r="G129" i="1" s="1"/>
  <c r="B130" i="1"/>
  <c r="C130" i="1" s="1"/>
  <c r="G130" i="1" s="1"/>
  <c r="B131" i="1"/>
  <c r="C131" i="1" s="1"/>
  <c r="G131" i="1" s="1"/>
  <c r="B132" i="1"/>
  <c r="C132" i="1" s="1"/>
  <c r="G132" i="1" s="1"/>
  <c r="B133" i="1"/>
  <c r="C133" i="1" s="1"/>
  <c r="G133" i="1" s="1"/>
  <c r="B134" i="1"/>
  <c r="C134" i="1" s="1"/>
  <c r="G134" i="1" s="1"/>
  <c r="B135" i="1"/>
  <c r="C135" i="1" s="1"/>
  <c r="G135" i="1" s="1"/>
  <c r="B136" i="1"/>
  <c r="C136" i="1" s="1"/>
  <c r="G136" i="1" s="1"/>
  <c r="B137" i="1"/>
  <c r="C137" i="1" s="1"/>
  <c r="G137" i="1" s="1"/>
  <c r="B138" i="1"/>
  <c r="C138" i="1" s="1"/>
  <c r="G138" i="1" s="1"/>
  <c r="B139" i="1"/>
  <c r="C139" i="1" s="1"/>
  <c r="G139" i="1" s="1"/>
  <c r="B140" i="1"/>
  <c r="C140" i="1" s="1"/>
  <c r="G140" i="1" s="1"/>
  <c r="B141" i="1"/>
  <c r="C141" i="1" s="1"/>
  <c r="G141" i="1" s="1"/>
  <c r="B142" i="1"/>
  <c r="C142" i="1" s="1"/>
  <c r="G142" i="1" s="1"/>
  <c r="B143" i="1"/>
  <c r="C143" i="1" s="1"/>
  <c r="G143" i="1" s="1"/>
  <c r="B144" i="1"/>
  <c r="C144" i="1" s="1"/>
  <c r="G144" i="1" s="1"/>
  <c r="B145" i="1"/>
  <c r="C145" i="1" s="1"/>
  <c r="G145" i="1" s="1"/>
  <c r="B146" i="1"/>
  <c r="C146" i="1" s="1"/>
  <c r="G146" i="1" s="1"/>
  <c r="B147" i="1"/>
  <c r="C147" i="1" s="1"/>
  <c r="G147" i="1" s="1"/>
  <c r="B148" i="1"/>
  <c r="C148" i="1" s="1"/>
  <c r="G148" i="1" s="1"/>
  <c r="B149" i="1"/>
  <c r="C149" i="1" s="1"/>
  <c r="G149" i="1" s="1"/>
  <c r="B150" i="1"/>
  <c r="C150" i="1" s="1"/>
  <c r="G150" i="1" s="1"/>
  <c r="B151" i="1"/>
  <c r="C151" i="1" s="1"/>
  <c r="G151" i="1" s="1"/>
  <c r="B152" i="1"/>
  <c r="C152" i="1" s="1"/>
  <c r="G152" i="1" s="1"/>
  <c r="B153" i="1"/>
  <c r="C153" i="1" s="1"/>
  <c r="G153" i="1" s="1"/>
  <c r="B154" i="1"/>
  <c r="C154" i="1" s="1"/>
  <c r="G154" i="1" s="1"/>
  <c r="B155" i="1"/>
  <c r="C155" i="1" s="1"/>
  <c r="G155" i="1" s="1"/>
  <c r="B156" i="1"/>
  <c r="C156" i="1" s="1"/>
  <c r="G156" i="1" s="1"/>
  <c r="B157" i="1"/>
  <c r="C157" i="1" s="1"/>
  <c r="G157" i="1" s="1"/>
  <c r="B158" i="1"/>
  <c r="C158" i="1" s="1"/>
  <c r="G158" i="1" s="1"/>
  <c r="B159" i="1"/>
  <c r="C159" i="1" s="1"/>
  <c r="G159" i="1" s="1"/>
  <c r="B160" i="1"/>
  <c r="C160" i="1" s="1"/>
  <c r="G160" i="1" s="1"/>
  <c r="B161" i="1"/>
  <c r="C161" i="1" s="1"/>
  <c r="G161" i="1" s="1"/>
  <c r="B162" i="1"/>
  <c r="C162" i="1" s="1"/>
  <c r="G162" i="1" s="1"/>
  <c r="B163" i="1"/>
  <c r="C163" i="1" s="1"/>
  <c r="G163" i="1" s="1"/>
  <c r="B164" i="1"/>
  <c r="C164" i="1" s="1"/>
  <c r="G164" i="1" s="1"/>
  <c r="B165" i="1"/>
  <c r="C165" i="1" s="1"/>
  <c r="G165" i="1" s="1"/>
  <c r="B166" i="1"/>
  <c r="C166" i="1" s="1"/>
  <c r="G166" i="1" s="1"/>
  <c r="B167" i="1"/>
  <c r="C167" i="1" s="1"/>
  <c r="G167" i="1" s="1"/>
  <c r="B168" i="1"/>
  <c r="C168" i="1" s="1"/>
  <c r="G168" i="1" s="1"/>
  <c r="B169" i="1"/>
  <c r="C169" i="1" s="1"/>
  <c r="G169" i="1" s="1"/>
  <c r="B170" i="1"/>
  <c r="C170" i="1" s="1"/>
  <c r="G170" i="1" s="1"/>
  <c r="B171" i="1"/>
  <c r="C171" i="1" s="1"/>
  <c r="G171" i="1" s="1"/>
  <c r="B172" i="1"/>
  <c r="C172" i="1" s="1"/>
  <c r="G172" i="1" s="1"/>
  <c r="B173" i="1"/>
  <c r="C173" i="1" s="1"/>
  <c r="G173" i="1" s="1"/>
  <c r="B174" i="1"/>
  <c r="C174" i="1" s="1"/>
  <c r="G174" i="1" s="1"/>
  <c r="B175" i="1"/>
  <c r="C175" i="1" s="1"/>
  <c r="G175" i="1" s="1"/>
  <c r="B176" i="1"/>
  <c r="C176" i="1" s="1"/>
  <c r="G176" i="1" s="1"/>
  <c r="B177" i="1"/>
  <c r="C177" i="1" s="1"/>
  <c r="G177" i="1" s="1"/>
  <c r="B178" i="1"/>
  <c r="C178" i="1" s="1"/>
  <c r="G178" i="1" s="1"/>
  <c r="B179" i="1"/>
  <c r="C179" i="1" s="1"/>
  <c r="G179" i="1" s="1"/>
  <c r="B180" i="1"/>
  <c r="C180" i="1" s="1"/>
  <c r="G180" i="1" s="1"/>
  <c r="B181" i="1"/>
  <c r="C181" i="1" s="1"/>
  <c r="G181" i="1" s="1"/>
  <c r="B182" i="1"/>
  <c r="C182" i="1" s="1"/>
  <c r="G182" i="1" s="1"/>
  <c r="B183" i="1"/>
  <c r="C183" i="1" s="1"/>
  <c r="G183" i="1" s="1"/>
  <c r="B184" i="1"/>
  <c r="C184" i="1" s="1"/>
  <c r="G184" i="1" s="1"/>
  <c r="B185" i="1"/>
  <c r="C185" i="1" s="1"/>
  <c r="G185" i="1" s="1"/>
  <c r="B186" i="1"/>
  <c r="C186" i="1" s="1"/>
  <c r="G186" i="1" s="1"/>
  <c r="B187" i="1"/>
  <c r="C187" i="1" s="1"/>
  <c r="G187" i="1" s="1"/>
  <c r="B188" i="1"/>
  <c r="C188" i="1" s="1"/>
  <c r="G188" i="1" s="1"/>
  <c r="B189" i="1"/>
  <c r="C189" i="1" s="1"/>
  <c r="G189" i="1" s="1"/>
  <c r="B190" i="1"/>
  <c r="C190" i="1" s="1"/>
  <c r="G190" i="1" s="1"/>
  <c r="B191" i="1"/>
  <c r="C191" i="1" s="1"/>
  <c r="G191" i="1" s="1"/>
  <c r="B192" i="1"/>
  <c r="C192" i="1" s="1"/>
  <c r="G192" i="1" s="1"/>
  <c r="B193" i="1"/>
  <c r="C193" i="1" s="1"/>
  <c r="G193" i="1" s="1"/>
  <c r="B194" i="1"/>
  <c r="C194" i="1" s="1"/>
  <c r="G194" i="1" s="1"/>
  <c r="B195" i="1"/>
  <c r="C195" i="1" s="1"/>
  <c r="G195" i="1" s="1"/>
  <c r="B196" i="1"/>
  <c r="C196" i="1" s="1"/>
  <c r="G196" i="1" s="1"/>
  <c r="B197" i="1"/>
  <c r="C197" i="1" s="1"/>
  <c r="G197" i="1" s="1"/>
  <c r="B198" i="1"/>
  <c r="C198" i="1" s="1"/>
  <c r="G198" i="1" s="1"/>
  <c r="B199" i="1"/>
  <c r="C199" i="1" s="1"/>
  <c r="G199" i="1" s="1"/>
  <c r="B200" i="1"/>
  <c r="C200" i="1" s="1"/>
  <c r="G200" i="1" s="1"/>
  <c r="B201" i="1"/>
  <c r="C201" i="1" s="1"/>
  <c r="G201" i="1" s="1"/>
  <c r="B202" i="1"/>
  <c r="C202" i="1" s="1"/>
  <c r="G202" i="1" s="1"/>
  <c r="B203" i="1"/>
  <c r="C203" i="1" s="1"/>
  <c r="G203" i="1" s="1"/>
  <c r="B204" i="1"/>
  <c r="C204" i="1" s="1"/>
  <c r="G204" i="1" s="1"/>
  <c r="B205" i="1"/>
  <c r="C205" i="1" s="1"/>
  <c r="G205" i="1" s="1"/>
  <c r="B206" i="1"/>
  <c r="C206" i="1" s="1"/>
  <c r="G206" i="1" s="1"/>
  <c r="B207" i="1"/>
  <c r="C207" i="1" s="1"/>
  <c r="G207" i="1" s="1"/>
  <c r="B208" i="1"/>
  <c r="C208" i="1" s="1"/>
  <c r="G208" i="1" s="1"/>
  <c r="B209" i="1"/>
  <c r="C209" i="1" s="1"/>
  <c r="G209" i="1" s="1"/>
  <c r="B210" i="1"/>
  <c r="C210" i="1" s="1"/>
  <c r="G210" i="1" s="1"/>
  <c r="B211" i="1"/>
  <c r="C211" i="1" s="1"/>
  <c r="G211" i="1" s="1"/>
  <c r="B212" i="1"/>
  <c r="C212" i="1" s="1"/>
  <c r="G212" i="1" s="1"/>
  <c r="B213" i="1"/>
  <c r="C213" i="1" s="1"/>
  <c r="G213" i="1" s="1"/>
  <c r="B214" i="1"/>
  <c r="C214" i="1" s="1"/>
  <c r="G214" i="1" s="1"/>
  <c r="B215" i="1"/>
  <c r="C215" i="1" s="1"/>
  <c r="G215" i="1" s="1"/>
  <c r="B216" i="1"/>
  <c r="C216" i="1" s="1"/>
  <c r="G216" i="1" s="1"/>
  <c r="B217" i="1"/>
  <c r="C217" i="1" s="1"/>
  <c r="G217" i="1" s="1"/>
  <c r="B218" i="1"/>
  <c r="C218" i="1" s="1"/>
  <c r="G218" i="1" s="1"/>
  <c r="B219" i="1"/>
  <c r="C219" i="1" s="1"/>
  <c r="G219" i="1" s="1"/>
  <c r="B220" i="1"/>
  <c r="C220" i="1" s="1"/>
  <c r="G220" i="1" s="1"/>
  <c r="B221" i="1"/>
  <c r="C221" i="1" s="1"/>
  <c r="G221" i="1" s="1"/>
  <c r="B222" i="1"/>
  <c r="C222" i="1" s="1"/>
  <c r="G222" i="1" s="1"/>
  <c r="B223" i="1"/>
  <c r="C223" i="1" s="1"/>
  <c r="G223" i="1" s="1"/>
  <c r="B224" i="1"/>
  <c r="C224" i="1" s="1"/>
  <c r="G224" i="1" s="1"/>
  <c r="B225" i="1"/>
  <c r="C225" i="1" s="1"/>
  <c r="G225" i="1" s="1"/>
  <c r="B226" i="1"/>
  <c r="C226" i="1" s="1"/>
  <c r="G226" i="1" s="1"/>
  <c r="B227" i="1"/>
  <c r="C227" i="1" s="1"/>
  <c r="G227" i="1" s="1"/>
  <c r="B228" i="1"/>
  <c r="C228" i="1" s="1"/>
  <c r="G228" i="1" s="1"/>
  <c r="B229" i="1"/>
  <c r="C229" i="1" s="1"/>
  <c r="G229" i="1" s="1"/>
  <c r="B230" i="1"/>
  <c r="C230" i="1" s="1"/>
  <c r="G230" i="1" s="1"/>
  <c r="B231" i="1"/>
  <c r="C231" i="1" s="1"/>
  <c r="G231" i="1" s="1"/>
  <c r="B232" i="1"/>
  <c r="C232" i="1" s="1"/>
  <c r="G232" i="1" s="1"/>
  <c r="B233" i="1"/>
  <c r="C233" i="1" s="1"/>
  <c r="G233" i="1" s="1"/>
  <c r="B234" i="1"/>
  <c r="C234" i="1" s="1"/>
  <c r="G234" i="1" s="1"/>
  <c r="B235" i="1"/>
  <c r="C235" i="1" s="1"/>
  <c r="G235" i="1" s="1"/>
  <c r="B236" i="1"/>
  <c r="C236" i="1" s="1"/>
  <c r="G236" i="1" s="1"/>
  <c r="B237" i="1"/>
  <c r="C237" i="1" s="1"/>
  <c r="G237" i="1" s="1"/>
  <c r="B238" i="1"/>
  <c r="C238" i="1" s="1"/>
  <c r="G238" i="1" s="1"/>
  <c r="B239" i="1"/>
  <c r="C239" i="1" s="1"/>
  <c r="G239" i="1" s="1"/>
  <c r="B240" i="1"/>
  <c r="C240" i="1" s="1"/>
  <c r="G240" i="1" s="1"/>
  <c r="B241" i="1"/>
  <c r="C241" i="1" s="1"/>
  <c r="G241" i="1" s="1"/>
  <c r="B242" i="1"/>
  <c r="C242" i="1" s="1"/>
  <c r="G242" i="1" s="1"/>
  <c r="B243" i="1"/>
  <c r="C243" i="1" s="1"/>
  <c r="G243" i="1" s="1"/>
  <c r="B244" i="1"/>
  <c r="C244" i="1" s="1"/>
  <c r="G244" i="1" s="1"/>
  <c r="B245" i="1"/>
  <c r="C245" i="1" s="1"/>
  <c r="G245" i="1" s="1"/>
  <c r="B246" i="1"/>
  <c r="C246" i="1" s="1"/>
  <c r="G246" i="1" s="1"/>
  <c r="B247" i="1"/>
  <c r="C247" i="1" s="1"/>
  <c r="G247" i="1" s="1"/>
  <c r="B248" i="1"/>
  <c r="C248" i="1" s="1"/>
  <c r="G248" i="1" s="1"/>
  <c r="B249" i="1"/>
  <c r="C249" i="1" s="1"/>
  <c r="G249" i="1" s="1"/>
  <c r="B250" i="1"/>
  <c r="C250" i="1" s="1"/>
  <c r="G250" i="1" s="1"/>
  <c r="B251" i="1"/>
  <c r="C251" i="1" s="1"/>
  <c r="G251" i="1" s="1"/>
  <c r="B252" i="1"/>
  <c r="C252" i="1" s="1"/>
  <c r="G252" i="1" s="1"/>
  <c r="B253" i="1"/>
  <c r="C253" i="1" s="1"/>
  <c r="G253" i="1" s="1"/>
  <c r="B254" i="1"/>
  <c r="C254" i="1" s="1"/>
  <c r="G254" i="1" s="1"/>
  <c r="B255" i="1"/>
  <c r="C255" i="1" s="1"/>
  <c r="G255" i="1" s="1"/>
  <c r="B256" i="1"/>
  <c r="C256" i="1" s="1"/>
  <c r="G256" i="1" s="1"/>
  <c r="B257" i="1"/>
  <c r="C257" i="1" s="1"/>
  <c r="G257" i="1" s="1"/>
  <c r="B258" i="1"/>
  <c r="C258" i="1" s="1"/>
  <c r="G258" i="1" s="1"/>
  <c r="B259" i="1"/>
  <c r="C259" i="1" s="1"/>
  <c r="G259" i="1" s="1"/>
  <c r="B260" i="1"/>
  <c r="C260" i="1" s="1"/>
  <c r="G260" i="1" s="1"/>
  <c r="B261" i="1"/>
  <c r="C261" i="1" s="1"/>
  <c r="G261" i="1" s="1"/>
  <c r="B262" i="1"/>
  <c r="C262" i="1" s="1"/>
  <c r="G262" i="1" s="1"/>
  <c r="B263" i="1"/>
  <c r="C263" i="1" s="1"/>
  <c r="G263" i="1" s="1"/>
  <c r="B264" i="1"/>
  <c r="C264" i="1" s="1"/>
  <c r="G264" i="1" s="1"/>
  <c r="B265" i="1"/>
  <c r="C265" i="1" s="1"/>
  <c r="G265" i="1" s="1"/>
  <c r="B266" i="1"/>
  <c r="C266" i="1" s="1"/>
  <c r="G266" i="1" s="1"/>
  <c r="B267" i="1"/>
  <c r="C267" i="1" s="1"/>
  <c r="G267" i="1" s="1"/>
  <c r="B268" i="1"/>
  <c r="C268" i="1" s="1"/>
  <c r="G268" i="1" s="1"/>
  <c r="B269" i="1"/>
  <c r="C269" i="1" s="1"/>
  <c r="G269" i="1" s="1"/>
  <c r="B270" i="1"/>
  <c r="C270" i="1" s="1"/>
  <c r="G270" i="1" s="1"/>
  <c r="B271" i="1"/>
  <c r="C271" i="1" s="1"/>
  <c r="G271" i="1" s="1"/>
  <c r="B272" i="1"/>
  <c r="C272" i="1" s="1"/>
  <c r="G272" i="1" s="1"/>
  <c r="B273" i="1"/>
  <c r="C273" i="1" s="1"/>
  <c r="G273" i="1" s="1"/>
  <c r="B274" i="1"/>
  <c r="C274" i="1" s="1"/>
  <c r="G274" i="1" s="1"/>
  <c r="B275" i="1"/>
  <c r="C275" i="1" s="1"/>
  <c r="G275" i="1" s="1"/>
  <c r="B276" i="1"/>
  <c r="C276" i="1" s="1"/>
  <c r="G276" i="1" s="1"/>
  <c r="B277" i="1"/>
  <c r="C277" i="1" s="1"/>
  <c r="G277" i="1" s="1"/>
  <c r="B278" i="1"/>
  <c r="C278" i="1" s="1"/>
  <c r="G278" i="1" s="1"/>
  <c r="B279" i="1"/>
  <c r="C279" i="1" s="1"/>
  <c r="G279" i="1" s="1"/>
  <c r="B280" i="1"/>
  <c r="C280" i="1" s="1"/>
  <c r="G280" i="1" s="1"/>
  <c r="B281" i="1"/>
  <c r="C281" i="1" s="1"/>
  <c r="G281" i="1" s="1"/>
  <c r="B282" i="1"/>
  <c r="C282" i="1" s="1"/>
  <c r="G282" i="1" s="1"/>
  <c r="B283" i="1"/>
  <c r="C283" i="1" s="1"/>
  <c r="G283" i="1" s="1"/>
  <c r="B284" i="1"/>
  <c r="C284" i="1" s="1"/>
  <c r="G284" i="1" s="1"/>
  <c r="B285" i="1"/>
  <c r="C285" i="1" s="1"/>
  <c r="G285" i="1" s="1"/>
  <c r="B286" i="1"/>
  <c r="C286" i="1" s="1"/>
  <c r="G286" i="1" s="1"/>
  <c r="B287" i="1"/>
  <c r="C287" i="1" s="1"/>
  <c r="G287" i="1" s="1"/>
  <c r="B288" i="1"/>
  <c r="C288" i="1" s="1"/>
  <c r="G288" i="1" s="1"/>
  <c r="B289" i="1"/>
  <c r="C289" i="1" s="1"/>
  <c r="G289" i="1" s="1"/>
  <c r="B290" i="1"/>
  <c r="C290" i="1" s="1"/>
  <c r="G290" i="1" s="1"/>
  <c r="B291" i="1"/>
  <c r="C291" i="1" s="1"/>
  <c r="G291" i="1" s="1"/>
  <c r="B292" i="1"/>
  <c r="C292" i="1" s="1"/>
  <c r="G292" i="1" s="1"/>
  <c r="B293" i="1"/>
  <c r="C293" i="1" s="1"/>
  <c r="G293" i="1" s="1"/>
  <c r="B294" i="1"/>
  <c r="C294" i="1" s="1"/>
  <c r="G294" i="1" s="1"/>
  <c r="B295" i="1"/>
  <c r="C295" i="1" s="1"/>
  <c r="G295" i="1" s="1"/>
  <c r="B296" i="1"/>
  <c r="C296" i="1" s="1"/>
  <c r="G296" i="1" s="1"/>
  <c r="B297" i="1"/>
  <c r="C297" i="1" s="1"/>
  <c r="G297" i="1" s="1"/>
  <c r="B298" i="1"/>
  <c r="C298" i="1" s="1"/>
  <c r="G298" i="1" s="1"/>
  <c r="B299" i="1"/>
  <c r="C299" i="1" s="1"/>
  <c r="G299" i="1" s="1"/>
  <c r="B300" i="1"/>
  <c r="C300" i="1" s="1"/>
  <c r="G300" i="1" s="1"/>
  <c r="B301" i="1"/>
  <c r="C301" i="1" s="1"/>
  <c r="G301" i="1" s="1"/>
  <c r="B302" i="1"/>
  <c r="C302" i="1" s="1"/>
  <c r="G302" i="1" s="1"/>
  <c r="B303" i="1"/>
  <c r="C303" i="1" s="1"/>
  <c r="G303" i="1" s="1"/>
  <c r="B304" i="1"/>
  <c r="C304" i="1" s="1"/>
  <c r="G304" i="1" s="1"/>
  <c r="B305" i="1"/>
  <c r="C305" i="1" s="1"/>
  <c r="G305" i="1" s="1"/>
  <c r="B306" i="1"/>
  <c r="C306" i="1" s="1"/>
  <c r="G306" i="1" s="1"/>
  <c r="B307" i="1"/>
  <c r="C307" i="1" s="1"/>
  <c r="G307" i="1" s="1"/>
  <c r="B308" i="1"/>
  <c r="C308" i="1" s="1"/>
  <c r="G308" i="1" s="1"/>
  <c r="B309" i="1"/>
  <c r="C309" i="1" s="1"/>
  <c r="G309" i="1" s="1"/>
  <c r="B310" i="1"/>
  <c r="C310" i="1" s="1"/>
  <c r="G310" i="1" s="1"/>
  <c r="B311" i="1"/>
  <c r="C311" i="1" s="1"/>
  <c r="G311" i="1" s="1"/>
  <c r="B312" i="1"/>
  <c r="C312" i="1" s="1"/>
  <c r="G312" i="1" s="1"/>
  <c r="B313" i="1"/>
  <c r="C313" i="1" s="1"/>
  <c r="G313" i="1" s="1"/>
  <c r="B314" i="1"/>
  <c r="C314" i="1" s="1"/>
  <c r="G314" i="1" s="1"/>
  <c r="B315" i="1"/>
  <c r="C315" i="1" s="1"/>
  <c r="G315" i="1" s="1"/>
  <c r="B316" i="1"/>
  <c r="C316" i="1" s="1"/>
  <c r="G316" i="1" s="1"/>
  <c r="B317" i="1"/>
  <c r="C317" i="1" s="1"/>
  <c r="G317" i="1" s="1"/>
  <c r="B318" i="1"/>
  <c r="C318" i="1" s="1"/>
  <c r="G318" i="1" s="1"/>
  <c r="B319" i="1"/>
  <c r="C319" i="1" s="1"/>
  <c r="G319" i="1" s="1"/>
  <c r="B320" i="1"/>
  <c r="C320" i="1" s="1"/>
  <c r="G320" i="1" s="1"/>
  <c r="B321" i="1"/>
  <c r="C321" i="1" s="1"/>
  <c r="G321" i="1" s="1"/>
  <c r="B322" i="1"/>
  <c r="C322" i="1" s="1"/>
  <c r="G322" i="1" s="1"/>
  <c r="B323" i="1"/>
  <c r="C323" i="1" s="1"/>
  <c r="G323" i="1" s="1"/>
  <c r="B324" i="1"/>
  <c r="C324" i="1" s="1"/>
  <c r="G324" i="1" s="1"/>
  <c r="B325" i="1"/>
  <c r="C325" i="1" s="1"/>
  <c r="G325" i="1" s="1"/>
  <c r="B326" i="1"/>
  <c r="C326" i="1" s="1"/>
  <c r="G326" i="1" s="1"/>
  <c r="B327" i="1"/>
  <c r="C327" i="1" s="1"/>
  <c r="G327" i="1" s="1"/>
  <c r="B328" i="1"/>
  <c r="C328" i="1" s="1"/>
  <c r="G328" i="1" s="1"/>
  <c r="B329" i="1"/>
  <c r="C329" i="1" s="1"/>
  <c r="G329" i="1" s="1"/>
  <c r="B330" i="1"/>
  <c r="C330" i="1" s="1"/>
  <c r="G330" i="1" s="1"/>
  <c r="B331" i="1"/>
  <c r="C331" i="1" s="1"/>
  <c r="G331" i="1" s="1"/>
  <c r="B332" i="1"/>
  <c r="C332" i="1" s="1"/>
  <c r="G332" i="1" s="1"/>
  <c r="B333" i="1"/>
  <c r="C333" i="1" s="1"/>
  <c r="G333" i="1" s="1"/>
  <c r="B334" i="1"/>
  <c r="C334" i="1" s="1"/>
  <c r="G334" i="1" s="1"/>
  <c r="B335" i="1"/>
  <c r="C335" i="1" s="1"/>
  <c r="G335" i="1" s="1"/>
  <c r="B336" i="1"/>
  <c r="C336" i="1" s="1"/>
  <c r="G336" i="1" s="1"/>
  <c r="B337" i="1"/>
  <c r="C337" i="1" s="1"/>
  <c r="G337" i="1" s="1"/>
  <c r="B338" i="1"/>
  <c r="C338" i="1" s="1"/>
  <c r="G338" i="1" s="1"/>
  <c r="B339" i="1"/>
  <c r="C339" i="1" s="1"/>
  <c r="G339" i="1" s="1"/>
  <c r="B340" i="1"/>
  <c r="C340" i="1" s="1"/>
  <c r="G340" i="1" s="1"/>
  <c r="B341" i="1"/>
  <c r="C341" i="1" s="1"/>
  <c r="G341" i="1" s="1"/>
  <c r="B342" i="1"/>
  <c r="C342" i="1" s="1"/>
  <c r="G342" i="1" s="1"/>
  <c r="B343" i="1"/>
  <c r="C343" i="1" s="1"/>
  <c r="G343" i="1" s="1"/>
  <c r="B344" i="1"/>
  <c r="C344" i="1" s="1"/>
  <c r="G344" i="1" s="1"/>
  <c r="B345" i="1"/>
  <c r="C345" i="1" s="1"/>
  <c r="G345" i="1" s="1"/>
  <c r="B346" i="1"/>
  <c r="C346" i="1" s="1"/>
  <c r="G346" i="1" s="1"/>
  <c r="B347" i="1"/>
  <c r="C347" i="1" s="1"/>
  <c r="G347" i="1" s="1"/>
  <c r="B348" i="1"/>
  <c r="C348" i="1" s="1"/>
  <c r="G348" i="1" s="1"/>
  <c r="B349" i="1"/>
  <c r="C349" i="1" s="1"/>
  <c r="G349" i="1" s="1"/>
  <c r="B350" i="1"/>
  <c r="C350" i="1" s="1"/>
  <c r="G350" i="1" s="1"/>
  <c r="B351" i="1"/>
  <c r="C351" i="1" s="1"/>
  <c r="G351" i="1" s="1"/>
  <c r="B352" i="1"/>
  <c r="C352" i="1" s="1"/>
  <c r="G352" i="1" s="1"/>
  <c r="B353" i="1"/>
  <c r="C353" i="1" s="1"/>
  <c r="G353" i="1" s="1"/>
  <c r="B354" i="1"/>
  <c r="C354" i="1" s="1"/>
  <c r="G354" i="1" s="1"/>
  <c r="B355" i="1"/>
  <c r="C355" i="1" s="1"/>
  <c r="G355" i="1" s="1"/>
  <c r="B356" i="1"/>
  <c r="C356" i="1" s="1"/>
  <c r="G356" i="1" s="1"/>
  <c r="B357" i="1"/>
  <c r="C357" i="1" s="1"/>
  <c r="G357" i="1" s="1"/>
  <c r="B358" i="1"/>
  <c r="C358" i="1" s="1"/>
  <c r="G358" i="1" s="1"/>
  <c r="B359" i="1"/>
  <c r="C359" i="1" s="1"/>
  <c r="G359" i="1" s="1"/>
  <c r="B360" i="1"/>
  <c r="C360" i="1" s="1"/>
  <c r="G360" i="1" s="1"/>
  <c r="B361" i="1"/>
  <c r="C361" i="1" s="1"/>
  <c r="G361" i="1" s="1"/>
  <c r="B362" i="1"/>
  <c r="C362" i="1" s="1"/>
  <c r="G362" i="1" s="1"/>
  <c r="B363" i="1"/>
  <c r="C363" i="1" s="1"/>
  <c r="G363" i="1" s="1"/>
  <c r="B364" i="1"/>
  <c r="C364" i="1" s="1"/>
  <c r="G364" i="1" s="1"/>
  <c r="B365" i="1"/>
  <c r="C365" i="1" s="1"/>
  <c r="G365" i="1" s="1"/>
  <c r="B366" i="1"/>
  <c r="C366" i="1" s="1"/>
  <c r="G366" i="1" s="1"/>
  <c r="B367" i="1"/>
  <c r="C367" i="1" s="1"/>
  <c r="G367" i="1" s="1"/>
  <c r="B368" i="1"/>
  <c r="C368" i="1" s="1"/>
  <c r="G368" i="1" s="1"/>
  <c r="B369" i="1"/>
  <c r="C369" i="1" s="1"/>
  <c r="G369" i="1" s="1"/>
  <c r="B370" i="1"/>
  <c r="C370" i="1" s="1"/>
  <c r="G370" i="1" s="1"/>
  <c r="B371" i="1"/>
  <c r="C371" i="1" s="1"/>
  <c r="G371" i="1" s="1"/>
  <c r="B372" i="1"/>
  <c r="C372" i="1" s="1"/>
  <c r="G372" i="1" s="1"/>
  <c r="B373" i="1"/>
  <c r="C373" i="1" s="1"/>
  <c r="G373" i="1" s="1"/>
  <c r="B374" i="1"/>
  <c r="C374" i="1" s="1"/>
  <c r="G374" i="1" s="1"/>
  <c r="B375" i="1"/>
  <c r="C375" i="1" s="1"/>
  <c r="G375" i="1" s="1"/>
  <c r="B376" i="1"/>
  <c r="C376" i="1" s="1"/>
  <c r="G376" i="1" s="1"/>
  <c r="B377" i="1"/>
  <c r="C377" i="1" s="1"/>
  <c r="G377" i="1" s="1"/>
  <c r="B378" i="1"/>
  <c r="C378" i="1" s="1"/>
  <c r="G378" i="1" s="1"/>
  <c r="B379" i="1"/>
  <c r="C379" i="1" s="1"/>
  <c r="G379" i="1" s="1"/>
  <c r="B380" i="1"/>
  <c r="C380" i="1" s="1"/>
  <c r="G380" i="1" s="1"/>
  <c r="B381" i="1"/>
  <c r="C381" i="1" s="1"/>
  <c r="G381" i="1" s="1"/>
  <c r="B382" i="1"/>
  <c r="C382" i="1" s="1"/>
  <c r="G382" i="1" s="1"/>
  <c r="B383" i="1"/>
  <c r="C383" i="1" s="1"/>
  <c r="G383" i="1" s="1"/>
  <c r="B384" i="1"/>
  <c r="C384" i="1" s="1"/>
  <c r="G384" i="1" s="1"/>
  <c r="B385" i="1"/>
  <c r="C385" i="1" s="1"/>
  <c r="G385" i="1" s="1"/>
  <c r="B386" i="1"/>
  <c r="C386" i="1" s="1"/>
  <c r="G386" i="1" s="1"/>
  <c r="B387" i="1"/>
  <c r="C387" i="1" s="1"/>
  <c r="G387" i="1" s="1"/>
  <c r="B388" i="1"/>
  <c r="C388" i="1" s="1"/>
  <c r="G388" i="1" s="1"/>
  <c r="B389" i="1"/>
  <c r="C389" i="1" s="1"/>
  <c r="G389" i="1" s="1"/>
  <c r="B390" i="1"/>
  <c r="C390" i="1" s="1"/>
  <c r="G390" i="1" s="1"/>
  <c r="B391" i="1"/>
  <c r="C391" i="1" s="1"/>
  <c r="G391" i="1" s="1"/>
  <c r="B392" i="1"/>
  <c r="C392" i="1" s="1"/>
  <c r="G392" i="1" s="1"/>
  <c r="B393" i="1"/>
  <c r="C393" i="1" s="1"/>
  <c r="G393" i="1" s="1"/>
  <c r="B394" i="1"/>
  <c r="C394" i="1" s="1"/>
  <c r="G394" i="1" s="1"/>
  <c r="B395" i="1"/>
  <c r="C395" i="1" s="1"/>
  <c r="G395" i="1" s="1"/>
  <c r="B396" i="1"/>
  <c r="C396" i="1" s="1"/>
  <c r="G396" i="1" s="1"/>
  <c r="B397" i="1"/>
  <c r="C397" i="1" s="1"/>
  <c r="G397" i="1" s="1"/>
  <c r="B398" i="1"/>
  <c r="C398" i="1" s="1"/>
  <c r="G398" i="1" s="1"/>
  <c r="B399" i="1"/>
  <c r="C399" i="1" s="1"/>
  <c r="G399" i="1" s="1"/>
  <c r="B400" i="1"/>
  <c r="C400" i="1" s="1"/>
  <c r="G400" i="1" s="1"/>
  <c r="B401" i="1"/>
  <c r="C401" i="1" s="1"/>
  <c r="G401" i="1" s="1"/>
  <c r="B402" i="1"/>
  <c r="C402" i="1" s="1"/>
  <c r="G402" i="1" s="1"/>
  <c r="B403" i="1"/>
  <c r="C403" i="1" s="1"/>
  <c r="G403" i="1" s="1"/>
  <c r="B404" i="1"/>
  <c r="C404" i="1" s="1"/>
  <c r="G404" i="1" s="1"/>
  <c r="B405" i="1"/>
  <c r="C405" i="1" s="1"/>
  <c r="G405" i="1" s="1"/>
  <c r="B406" i="1"/>
  <c r="C406" i="1" s="1"/>
  <c r="G406" i="1" s="1"/>
  <c r="B407" i="1"/>
  <c r="C407" i="1" s="1"/>
  <c r="G407" i="1" s="1"/>
  <c r="B408" i="1"/>
  <c r="C408" i="1" s="1"/>
  <c r="G408" i="1" s="1"/>
  <c r="B409" i="1"/>
  <c r="C409" i="1" s="1"/>
  <c r="G409" i="1" s="1"/>
  <c r="B410" i="1"/>
  <c r="C410" i="1" s="1"/>
  <c r="G410" i="1" s="1"/>
  <c r="B411" i="1"/>
  <c r="C411" i="1" s="1"/>
  <c r="G411" i="1" s="1"/>
  <c r="B412" i="1"/>
  <c r="C412" i="1" s="1"/>
  <c r="G412" i="1" s="1"/>
  <c r="B413" i="1"/>
  <c r="C413" i="1" s="1"/>
  <c r="G413" i="1" s="1"/>
  <c r="B414" i="1"/>
  <c r="C414" i="1" s="1"/>
  <c r="G414" i="1" s="1"/>
  <c r="B415" i="1"/>
  <c r="C415" i="1" s="1"/>
  <c r="G415" i="1" s="1"/>
  <c r="B416" i="1"/>
  <c r="C416" i="1" s="1"/>
  <c r="G416" i="1" s="1"/>
  <c r="B417" i="1"/>
  <c r="C417" i="1" s="1"/>
  <c r="G417" i="1" s="1"/>
  <c r="B418" i="1"/>
  <c r="C418" i="1" s="1"/>
  <c r="G418" i="1" s="1"/>
  <c r="B419" i="1"/>
  <c r="C419" i="1" s="1"/>
  <c r="G419" i="1" s="1"/>
  <c r="B420" i="1"/>
  <c r="C420" i="1" s="1"/>
  <c r="G420" i="1" s="1"/>
  <c r="B421" i="1"/>
  <c r="C421" i="1" s="1"/>
  <c r="G421" i="1" s="1"/>
  <c r="B422" i="1"/>
  <c r="C422" i="1" s="1"/>
  <c r="G422" i="1" s="1"/>
  <c r="B423" i="1"/>
  <c r="C423" i="1" s="1"/>
  <c r="G423" i="1" s="1"/>
  <c r="B424" i="1"/>
  <c r="C424" i="1" s="1"/>
  <c r="G424" i="1" s="1"/>
  <c r="B425" i="1"/>
  <c r="C425" i="1" s="1"/>
  <c r="G425" i="1" s="1"/>
  <c r="B426" i="1"/>
  <c r="C426" i="1" s="1"/>
  <c r="G426" i="1" s="1"/>
  <c r="B427" i="1"/>
  <c r="C427" i="1" s="1"/>
  <c r="G427" i="1" s="1"/>
  <c r="B428" i="1"/>
  <c r="C428" i="1" s="1"/>
  <c r="G428" i="1" s="1"/>
  <c r="B429" i="1"/>
  <c r="C429" i="1" s="1"/>
  <c r="G429" i="1" s="1"/>
  <c r="B430" i="1"/>
  <c r="C430" i="1" s="1"/>
  <c r="G430" i="1" s="1"/>
  <c r="B431" i="1"/>
  <c r="C431" i="1" s="1"/>
  <c r="G431" i="1" s="1"/>
  <c r="B432" i="1"/>
  <c r="C432" i="1" s="1"/>
  <c r="G432" i="1" s="1"/>
  <c r="B433" i="1"/>
  <c r="C433" i="1" s="1"/>
  <c r="G433" i="1" s="1"/>
  <c r="B434" i="1"/>
  <c r="C434" i="1" s="1"/>
  <c r="G434" i="1" s="1"/>
  <c r="B435" i="1"/>
  <c r="C435" i="1" s="1"/>
  <c r="G435" i="1" s="1"/>
  <c r="B436" i="1"/>
  <c r="C436" i="1" s="1"/>
  <c r="G436" i="1" s="1"/>
  <c r="B437" i="1"/>
  <c r="C437" i="1" s="1"/>
  <c r="G437" i="1" s="1"/>
  <c r="B438" i="1"/>
  <c r="C438" i="1" s="1"/>
  <c r="G438" i="1" s="1"/>
  <c r="B439" i="1"/>
  <c r="C439" i="1" s="1"/>
  <c r="G439" i="1" s="1"/>
  <c r="B440" i="1"/>
  <c r="C440" i="1" s="1"/>
  <c r="G440" i="1" s="1"/>
  <c r="B441" i="1"/>
  <c r="C441" i="1" s="1"/>
  <c r="G441" i="1" s="1"/>
  <c r="B442" i="1"/>
  <c r="C442" i="1" s="1"/>
  <c r="G442" i="1" s="1"/>
  <c r="B443" i="1"/>
  <c r="C443" i="1" s="1"/>
  <c r="G443" i="1" s="1"/>
  <c r="B444" i="1"/>
  <c r="C444" i="1" s="1"/>
  <c r="G444" i="1" s="1"/>
  <c r="B445" i="1"/>
  <c r="C445" i="1" s="1"/>
  <c r="G445" i="1" s="1"/>
  <c r="B446" i="1"/>
  <c r="C446" i="1" s="1"/>
  <c r="G446" i="1" s="1"/>
  <c r="B447" i="1"/>
  <c r="C447" i="1" s="1"/>
  <c r="G447" i="1" s="1"/>
  <c r="B448" i="1"/>
  <c r="C448" i="1" s="1"/>
  <c r="G448" i="1" s="1"/>
  <c r="B449" i="1"/>
  <c r="C449" i="1" s="1"/>
  <c r="G449" i="1" s="1"/>
  <c r="B450" i="1"/>
  <c r="C450" i="1" s="1"/>
  <c r="G450" i="1" s="1"/>
  <c r="B451" i="1"/>
  <c r="C451" i="1" s="1"/>
  <c r="G451" i="1" s="1"/>
  <c r="B452" i="1"/>
  <c r="C452" i="1" s="1"/>
  <c r="G452" i="1" s="1"/>
  <c r="B453" i="1"/>
  <c r="C453" i="1" s="1"/>
  <c r="G453" i="1" s="1"/>
  <c r="B454" i="1"/>
  <c r="C454" i="1" s="1"/>
  <c r="G454" i="1" s="1"/>
  <c r="B455" i="1"/>
  <c r="C455" i="1" s="1"/>
  <c r="G455" i="1" s="1"/>
  <c r="B456" i="1"/>
  <c r="C456" i="1" s="1"/>
  <c r="G456" i="1" s="1"/>
  <c r="B457" i="1"/>
  <c r="C457" i="1" s="1"/>
  <c r="G457" i="1" s="1"/>
  <c r="B458" i="1"/>
  <c r="C458" i="1" s="1"/>
  <c r="G458" i="1" s="1"/>
  <c r="B459" i="1"/>
  <c r="C459" i="1" s="1"/>
  <c r="G459" i="1" s="1"/>
  <c r="B460" i="1"/>
  <c r="C460" i="1" s="1"/>
  <c r="G460" i="1" s="1"/>
  <c r="B461" i="1"/>
  <c r="C461" i="1" s="1"/>
  <c r="G461" i="1" s="1"/>
  <c r="B462" i="1"/>
  <c r="C462" i="1" s="1"/>
  <c r="G462" i="1" s="1"/>
  <c r="B463" i="1"/>
  <c r="C463" i="1" s="1"/>
  <c r="G463" i="1" s="1"/>
  <c r="B464" i="1"/>
  <c r="C464" i="1" s="1"/>
  <c r="G464" i="1" s="1"/>
  <c r="B465" i="1"/>
  <c r="C465" i="1" s="1"/>
  <c r="G465" i="1" s="1"/>
  <c r="B466" i="1"/>
  <c r="C466" i="1" s="1"/>
  <c r="G466" i="1" s="1"/>
  <c r="B467" i="1"/>
  <c r="C467" i="1" s="1"/>
  <c r="G467" i="1" s="1"/>
  <c r="B468" i="1"/>
  <c r="C468" i="1" s="1"/>
  <c r="G468" i="1" s="1"/>
  <c r="B469" i="1"/>
  <c r="C469" i="1" s="1"/>
  <c r="G469" i="1" s="1"/>
  <c r="B470" i="1"/>
  <c r="C470" i="1" s="1"/>
  <c r="G470" i="1" s="1"/>
  <c r="B471" i="1"/>
  <c r="C471" i="1" s="1"/>
  <c r="G471" i="1" s="1"/>
  <c r="B472" i="1"/>
  <c r="C472" i="1" s="1"/>
  <c r="G472" i="1" s="1"/>
  <c r="B473" i="1"/>
  <c r="C473" i="1" s="1"/>
  <c r="G473" i="1" s="1"/>
  <c r="B474" i="1"/>
  <c r="C474" i="1" s="1"/>
  <c r="G474" i="1" s="1"/>
  <c r="B475" i="1"/>
  <c r="C475" i="1" s="1"/>
  <c r="G475" i="1" s="1"/>
  <c r="B476" i="1"/>
  <c r="C476" i="1" s="1"/>
  <c r="G476" i="1" s="1"/>
  <c r="B477" i="1"/>
  <c r="C477" i="1" s="1"/>
  <c r="G477" i="1" s="1"/>
  <c r="B478" i="1"/>
  <c r="C478" i="1" s="1"/>
  <c r="G478" i="1" s="1"/>
  <c r="B479" i="1"/>
  <c r="C479" i="1" s="1"/>
  <c r="G479" i="1" s="1"/>
  <c r="B480" i="1"/>
  <c r="C480" i="1" s="1"/>
  <c r="G480" i="1" s="1"/>
  <c r="B481" i="1"/>
  <c r="C481" i="1" s="1"/>
  <c r="G481" i="1" s="1"/>
  <c r="B482" i="1"/>
  <c r="C482" i="1" s="1"/>
  <c r="G482" i="1" s="1"/>
  <c r="B483" i="1"/>
  <c r="C483" i="1" s="1"/>
  <c r="G483" i="1" s="1"/>
  <c r="B484" i="1"/>
  <c r="C484" i="1" s="1"/>
  <c r="G484" i="1" s="1"/>
  <c r="B485" i="1"/>
  <c r="C485" i="1" s="1"/>
  <c r="G485" i="1" s="1"/>
  <c r="B486" i="1"/>
  <c r="C486" i="1" s="1"/>
  <c r="G486" i="1" s="1"/>
  <c r="B487" i="1"/>
  <c r="C487" i="1" s="1"/>
  <c r="G487" i="1" s="1"/>
  <c r="B488" i="1"/>
  <c r="C488" i="1" s="1"/>
  <c r="G488" i="1" s="1"/>
  <c r="B489" i="1"/>
  <c r="C489" i="1" s="1"/>
  <c r="G489" i="1" s="1"/>
  <c r="B490" i="1"/>
  <c r="C490" i="1" s="1"/>
  <c r="G490" i="1" s="1"/>
  <c r="B491" i="1"/>
  <c r="C491" i="1" s="1"/>
  <c r="G491" i="1" s="1"/>
  <c r="B492" i="1"/>
  <c r="C492" i="1" s="1"/>
  <c r="G492" i="1" s="1"/>
  <c r="B493" i="1"/>
  <c r="C493" i="1" s="1"/>
  <c r="G493" i="1" s="1"/>
  <c r="B494" i="1"/>
  <c r="C494" i="1" s="1"/>
  <c r="G494" i="1" s="1"/>
  <c r="B495" i="1"/>
  <c r="C495" i="1" s="1"/>
  <c r="G495" i="1" s="1"/>
  <c r="B496" i="1"/>
  <c r="C496" i="1" s="1"/>
  <c r="G496" i="1" s="1"/>
  <c r="B497" i="1"/>
  <c r="C497" i="1" s="1"/>
  <c r="G497" i="1" s="1"/>
  <c r="B498" i="1"/>
  <c r="C498" i="1" s="1"/>
  <c r="G498" i="1" s="1"/>
  <c r="B499" i="1"/>
  <c r="C499" i="1" s="1"/>
  <c r="G499" i="1" s="1"/>
  <c r="B500" i="1"/>
  <c r="C500" i="1" s="1"/>
  <c r="G500" i="1" s="1"/>
  <c r="B501" i="1"/>
  <c r="C501" i="1" s="1"/>
  <c r="G501" i="1" s="1"/>
  <c r="B502" i="1"/>
  <c r="C502" i="1" s="1"/>
  <c r="G502" i="1" s="1"/>
  <c r="B503" i="1"/>
  <c r="C503" i="1" s="1"/>
  <c r="G503" i="1" s="1"/>
  <c r="B504" i="1"/>
  <c r="C504" i="1" s="1"/>
  <c r="G504" i="1" s="1"/>
  <c r="B505" i="1"/>
  <c r="C505" i="1" s="1"/>
  <c r="G505" i="1" s="1"/>
  <c r="B506" i="1"/>
  <c r="C506" i="1" s="1"/>
  <c r="G506" i="1" s="1"/>
  <c r="B507" i="1"/>
  <c r="C507" i="1" s="1"/>
  <c r="G507" i="1" s="1"/>
  <c r="B508" i="1"/>
  <c r="C508" i="1" s="1"/>
  <c r="G508" i="1" s="1"/>
  <c r="B509" i="1"/>
  <c r="C509" i="1" s="1"/>
  <c r="G509" i="1" s="1"/>
  <c r="B510" i="1"/>
  <c r="C510" i="1" s="1"/>
  <c r="G510" i="1" s="1"/>
  <c r="B511" i="1"/>
  <c r="C511" i="1" s="1"/>
  <c r="G511" i="1" s="1"/>
  <c r="B512" i="1"/>
  <c r="C512" i="1" s="1"/>
  <c r="G512" i="1" s="1"/>
  <c r="B513" i="1"/>
  <c r="C513" i="1" s="1"/>
  <c r="G513" i="1" s="1"/>
  <c r="B514" i="1"/>
  <c r="C514" i="1" s="1"/>
  <c r="G514" i="1" s="1"/>
  <c r="B515" i="1"/>
  <c r="C515" i="1" s="1"/>
  <c r="G515" i="1" s="1"/>
  <c r="B516" i="1"/>
  <c r="C516" i="1" s="1"/>
  <c r="G516" i="1" s="1"/>
  <c r="B517" i="1"/>
  <c r="C517" i="1" s="1"/>
  <c r="G517" i="1" s="1"/>
  <c r="B518" i="1"/>
  <c r="C518" i="1" s="1"/>
  <c r="G518" i="1" s="1"/>
  <c r="B519" i="1"/>
  <c r="C519" i="1" s="1"/>
  <c r="G519" i="1" s="1"/>
  <c r="B520" i="1"/>
  <c r="C520" i="1" s="1"/>
  <c r="G520" i="1" s="1"/>
  <c r="B521" i="1"/>
  <c r="C521" i="1" s="1"/>
  <c r="G521" i="1" s="1"/>
  <c r="B522" i="1"/>
  <c r="C522" i="1" s="1"/>
  <c r="G522" i="1" s="1"/>
  <c r="B523" i="1"/>
  <c r="C523" i="1" s="1"/>
  <c r="G523" i="1" s="1"/>
  <c r="B524" i="1"/>
  <c r="C524" i="1" s="1"/>
  <c r="G524" i="1" s="1"/>
  <c r="B525" i="1"/>
  <c r="C525" i="1" s="1"/>
  <c r="G525" i="1" s="1"/>
  <c r="B526" i="1"/>
  <c r="C526" i="1" s="1"/>
  <c r="G526" i="1" s="1"/>
  <c r="B527" i="1"/>
  <c r="C527" i="1" s="1"/>
  <c r="G527" i="1" s="1"/>
  <c r="B528" i="1"/>
  <c r="C528" i="1" s="1"/>
  <c r="G528" i="1" s="1"/>
  <c r="B529" i="1"/>
  <c r="C529" i="1" s="1"/>
  <c r="G529" i="1" s="1"/>
  <c r="B530" i="1"/>
  <c r="C530" i="1" s="1"/>
  <c r="G530" i="1" s="1"/>
  <c r="B531" i="1"/>
  <c r="C531" i="1" s="1"/>
  <c r="G531" i="1" s="1"/>
  <c r="B532" i="1"/>
  <c r="C532" i="1" s="1"/>
  <c r="G532" i="1" s="1"/>
  <c r="B533" i="1"/>
  <c r="C533" i="1" s="1"/>
  <c r="G533" i="1" s="1"/>
  <c r="B534" i="1"/>
  <c r="C534" i="1" s="1"/>
  <c r="G534" i="1" s="1"/>
  <c r="B535" i="1"/>
  <c r="C535" i="1" s="1"/>
  <c r="G535" i="1" s="1"/>
  <c r="B536" i="1"/>
  <c r="C536" i="1" s="1"/>
  <c r="G536" i="1" s="1"/>
  <c r="B537" i="1"/>
  <c r="C537" i="1" s="1"/>
  <c r="G537" i="1" s="1"/>
  <c r="B538" i="1"/>
  <c r="C538" i="1" s="1"/>
  <c r="G538" i="1" s="1"/>
  <c r="B539" i="1"/>
  <c r="C539" i="1" s="1"/>
  <c r="G539" i="1" s="1"/>
  <c r="B540" i="1"/>
  <c r="C540" i="1" s="1"/>
  <c r="G540" i="1" s="1"/>
  <c r="B541" i="1"/>
  <c r="C541" i="1" s="1"/>
  <c r="G541" i="1" s="1"/>
  <c r="B542" i="1"/>
  <c r="C542" i="1" s="1"/>
  <c r="G542" i="1" s="1"/>
  <c r="B543" i="1"/>
  <c r="C543" i="1" s="1"/>
  <c r="G543" i="1" s="1"/>
  <c r="B544" i="1"/>
  <c r="C544" i="1" s="1"/>
  <c r="G544" i="1" s="1"/>
  <c r="B545" i="1"/>
  <c r="C545" i="1" s="1"/>
  <c r="G545" i="1" s="1"/>
  <c r="B546" i="1"/>
  <c r="C546" i="1" s="1"/>
  <c r="G546" i="1" s="1"/>
  <c r="B547" i="1"/>
  <c r="C547" i="1" s="1"/>
  <c r="G547" i="1" s="1"/>
  <c r="B548" i="1"/>
  <c r="C548" i="1" s="1"/>
  <c r="G548" i="1" s="1"/>
  <c r="B549" i="1"/>
  <c r="C549" i="1" s="1"/>
  <c r="G549" i="1" s="1"/>
  <c r="B550" i="1"/>
  <c r="C550" i="1" s="1"/>
  <c r="G550" i="1" s="1"/>
  <c r="B551" i="1"/>
  <c r="C551" i="1" s="1"/>
  <c r="G551" i="1" s="1"/>
  <c r="B552" i="1"/>
  <c r="C552" i="1" s="1"/>
  <c r="G552" i="1" s="1"/>
  <c r="B553" i="1"/>
  <c r="C553" i="1" s="1"/>
  <c r="G553" i="1" s="1"/>
  <c r="B554" i="1"/>
  <c r="C554" i="1" s="1"/>
  <c r="G554" i="1" s="1"/>
  <c r="B555" i="1"/>
  <c r="C555" i="1" s="1"/>
  <c r="G555" i="1" s="1"/>
  <c r="B556" i="1"/>
  <c r="C556" i="1" s="1"/>
  <c r="G556" i="1" s="1"/>
  <c r="B557" i="1"/>
  <c r="C557" i="1" s="1"/>
  <c r="G557" i="1" s="1"/>
  <c r="B558" i="1"/>
  <c r="C558" i="1" s="1"/>
  <c r="G558" i="1" s="1"/>
  <c r="B559" i="1"/>
  <c r="C559" i="1" s="1"/>
  <c r="G559" i="1" s="1"/>
  <c r="B560" i="1"/>
  <c r="C560" i="1" s="1"/>
  <c r="G560" i="1" s="1"/>
  <c r="B561" i="1"/>
  <c r="C561" i="1" s="1"/>
  <c r="G561" i="1" s="1"/>
  <c r="B562" i="1"/>
  <c r="C562" i="1" s="1"/>
  <c r="G562" i="1" s="1"/>
  <c r="B563" i="1"/>
  <c r="C563" i="1" s="1"/>
  <c r="G563" i="1" s="1"/>
  <c r="B564" i="1"/>
  <c r="C564" i="1" s="1"/>
  <c r="G564" i="1" s="1"/>
  <c r="B565" i="1"/>
  <c r="C565" i="1" s="1"/>
  <c r="G565" i="1" s="1"/>
  <c r="B566" i="1"/>
  <c r="C566" i="1" s="1"/>
  <c r="G566" i="1" s="1"/>
  <c r="B567" i="1"/>
  <c r="C567" i="1" s="1"/>
  <c r="G567" i="1" s="1"/>
  <c r="B568" i="1"/>
  <c r="C568" i="1" s="1"/>
  <c r="G568" i="1" s="1"/>
  <c r="B569" i="1"/>
  <c r="C569" i="1" s="1"/>
  <c r="G569" i="1" s="1"/>
  <c r="B570" i="1"/>
  <c r="C570" i="1" s="1"/>
  <c r="G570" i="1" s="1"/>
  <c r="B571" i="1"/>
  <c r="C571" i="1" s="1"/>
  <c r="G571" i="1" s="1"/>
  <c r="B572" i="1"/>
  <c r="C572" i="1" s="1"/>
  <c r="G572" i="1" s="1"/>
  <c r="B573" i="1"/>
  <c r="C573" i="1" s="1"/>
  <c r="G573" i="1" s="1"/>
  <c r="B574" i="1"/>
  <c r="C574" i="1" s="1"/>
  <c r="G574" i="1" s="1"/>
  <c r="B575" i="1"/>
  <c r="C575" i="1" s="1"/>
  <c r="G575" i="1" s="1"/>
  <c r="B576" i="1"/>
  <c r="C576" i="1" s="1"/>
  <c r="G576" i="1" s="1"/>
  <c r="B577" i="1"/>
  <c r="C577" i="1" s="1"/>
  <c r="G577" i="1" s="1"/>
  <c r="B578" i="1"/>
  <c r="C578" i="1" s="1"/>
  <c r="G578" i="1" s="1"/>
  <c r="B579" i="1"/>
  <c r="C579" i="1" s="1"/>
  <c r="G579" i="1" s="1"/>
  <c r="B580" i="1"/>
  <c r="C580" i="1" s="1"/>
  <c r="G580" i="1" s="1"/>
  <c r="B581" i="1"/>
  <c r="C581" i="1" s="1"/>
  <c r="G581" i="1" s="1"/>
  <c r="B582" i="1"/>
  <c r="C582" i="1" s="1"/>
  <c r="G582" i="1" s="1"/>
  <c r="B583" i="1"/>
  <c r="C583" i="1" s="1"/>
  <c r="G583" i="1" s="1"/>
  <c r="B584" i="1"/>
  <c r="C584" i="1" s="1"/>
  <c r="G584" i="1" s="1"/>
  <c r="B585" i="1"/>
  <c r="C585" i="1" s="1"/>
  <c r="G585" i="1" s="1"/>
  <c r="B586" i="1"/>
  <c r="C586" i="1" s="1"/>
  <c r="G586" i="1" s="1"/>
  <c r="B587" i="1"/>
  <c r="C587" i="1" s="1"/>
  <c r="G587" i="1" s="1"/>
  <c r="B588" i="1"/>
  <c r="C588" i="1" s="1"/>
  <c r="G588" i="1" s="1"/>
  <c r="B589" i="1"/>
  <c r="C589" i="1" s="1"/>
  <c r="G589" i="1" s="1"/>
  <c r="B590" i="1"/>
  <c r="C590" i="1" s="1"/>
  <c r="G590" i="1" s="1"/>
  <c r="B591" i="1"/>
  <c r="C591" i="1" s="1"/>
  <c r="G591" i="1" s="1"/>
  <c r="B592" i="1"/>
  <c r="C592" i="1" s="1"/>
  <c r="G592" i="1" s="1"/>
  <c r="B593" i="1"/>
  <c r="C593" i="1" s="1"/>
  <c r="G593" i="1" s="1"/>
  <c r="B594" i="1"/>
  <c r="C594" i="1" s="1"/>
  <c r="G594" i="1" s="1"/>
  <c r="B595" i="1"/>
  <c r="C595" i="1" s="1"/>
  <c r="G595" i="1" s="1"/>
  <c r="B596" i="1"/>
  <c r="C596" i="1" s="1"/>
  <c r="G596" i="1" s="1"/>
  <c r="B597" i="1"/>
  <c r="C597" i="1" s="1"/>
  <c r="G597" i="1" s="1"/>
  <c r="B598" i="1"/>
  <c r="C598" i="1" s="1"/>
  <c r="G598" i="1" s="1"/>
  <c r="B599" i="1"/>
  <c r="C599" i="1" s="1"/>
  <c r="G599" i="1" s="1"/>
  <c r="B600" i="1"/>
  <c r="C600" i="1" s="1"/>
  <c r="G600" i="1" s="1"/>
  <c r="B601" i="1"/>
  <c r="C601" i="1" s="1"/>
  <c r="G601" i="1" s="1"/>
  <c r="B602" i="1"/>
  <c r="C602" i="1" s="1"/>
  <c r="G602" i="1" s="1"/>
  <c r="B603" i="1"/>
  <c r="C603" i="1" s="1"/>
  <c r="G603" i="1" s="1"/>
  <c r="B604" i="1"/>
  <c r="C604" i="1" s="1"/>
  <c r="G604" i="1" s="1"/>
  <c r="B605" i="1"/>
  <c r="C605" i="1" s="1"/>
  <c r="G605" i="1" s="1"/>
  <c r="B606" i="1"/>
  <c r="C606" i="1" s="1"/>
  <c r="G606" i="1" s="1"/>
  <c r="B607" i="1"/>
  <c r="C607" i="1" s="1"/>
  <c r="G607" i="1" s="1"/>
  <c r="B608" i="1"/>
  <c r="C608" i="1" s="1"/>
  <c r="G608" i="1" s="1"/>
  <c r="B609" i="1"/>
  <c r="C609" i="1" s="1"/>
  <c r="G609" i="1" s="1"/>
  <c r="B610" i="1"/>
  <c r="C610" i="1" s="1"/>
  <c r="G610" i="1" s="1"/>
  <c r="B611" i="1"/>
  <c r="C611" i="1" s="1"/>
  <c r="G611" i="1" s="1"/>
  <c r="B612" i="1"/>
  <c r="C612" i="1" s="1"/>
  <c r="G612" i="1" s="1"/>
  <c r="B613" i="1"/>
  <c r="C613" i="1" s="1"/>
  <c r="G613" i="1" s="1"/>
  <c r="B614" i="1"/>
  <c r="C614" i="1" s="1"/>
  <c r="G614" i="1" s="1"/>
  <c r="B615" i="1"/>
  <c r="C615" i="1" s="1"/>
  <c r="G615" i="1" s="1"/>
  <c r="B616" i="1"/>
  <c r="C616" i="1" s="1"/>
  <c r="G616" i="1" s="1"/>
  <c r="B617" i="1"/>
  <c r="C617" i="1" s="1"/>
  <c r="G617" i="1" s="1"/>
  <c r="B618" i="1"/>
  <c r="C618" i="1" s="1"/>
  <c r="G618" i="1" s="1"/>
  <c r="B619" i="1"/>
  <c r="C619" i="1" s="1"/>
  <c r="G619" i="1" s="1"/>
  <c r="B620" i="1"/>
  <c r="C620" i="1" s="1"/>
  <c r="G620" i="1" s="1"/>
  <c r="B621" i="1"/>
  <c r="C621" i="1" s="1"/>
  <c r="G621" i="1" s="1"/>
  <c r="B622" i="1"/>
  <c r="C622" i="1" s="1"/>
  <c r="G622" i="1" s="1"/>
  <c r="B623" i="1"/>
  <c r="C623" i="1" s="1"/>
  <c r="G623" i="1" s="1"/>
  <c r="B624" i="1"/>
  <c r="C624" i="1" s="1"/>
  <c r="G624" i="1" s="1"/>
  <c r="B625" i="1"/>
  <c r="C625" i="1" s="1"/>
  <c r="G625" i="1" s="1"/>
  <c r="B626" i="1"/>
  <c r="C626" i="1" s="1"/>
  <c r="G626" i="1" s="1"/>
  <c r="B627" i="1"/>
  <c r="C627" i="1" s="1"/>
  <c r="G627" i="1" s="1"/>
  <c r="B628" i="1"/>
  <c r="C628" i="1" s="1"/>
  <c r="G628" i="1" s="1"/>
  <c r="B629" i="1"/>
  <c r="C629" i="1" s="1"/>
  <c r="G629" i="1" s="1"/>
  <c r="B630" i="1"/>
  <c r="C630" i="1" s="1"/>
  <c r="G630" i="1" s="1"/>
  <c r="B631" i="1"/>
  <c r="C631" i="1" s="1"/>
  <c r="G631" i="1" s="1"/>
  <c r="B632" i="1"/>
  <c r="C632" i="1" s="1"/>
  <c r="G632" i="1" s="1"/>
  <c r="B633" i="1"/>
  <c r="C633" i="1" s="1"/>
  <c r="G633" i="1" s="1"/>
  <c r="B634" i="1"/>
  <c r="C634" i="1" s="1"/>
  <c r="G634" i="1" s="1"/>
  <c r="B635" i="1"/>
  <c r="C635" i="1" s="1"/>
  <c r="G635" i="1" s="1"/>
  <c r="B636" i="1"/>
  <c r="C636" i="1" s="1"/>
  <c r="G636" i="1" s="1"/>
  <c r="B637" i="1"/>
  <c r="C637" i="1" s="1"/>
  <c r="G637" i="1" s="1"/>
  <c r="B638" i="1"/>
  <c r="C638" i="1" s="1"/>
  <c r="G638" i="1" s="1"/>
  <c r="B639" i="1"/>
  <c r="C639" i="1" s="1"/>
  <c r="G639" i="1" s="1"/>
  <c r="B640" i="1"/>
  <c r="C640" i="1" s="1"/>
  <c r="G640" i="1" s="1"/>
  <c r="B641" i="1"/>
  <c r="C641" i="1" s="1"/>
  <c r="G641" i="1" s="1"/>
  <c r="B642" i="1"/>
  <c r="C642" i="1" s="1"/>
  <c r="G642" i="1" s="1"/>
  <c r="B643" i="1"/>
  <c r="C643" i="1" s="1"/>
  <c r="G643" i="1" s="1"/>
  <c r="B644" i="1"/>
  <c r="C644" i="1" s="1"/>
  <c r="G644" i="1" s="1"/>
  <c r="B645" i="1"/>
  <c r="C645" i="1" s="1"/>
  <c r="G645" i="1" s="1"/>
  <c r="B646" i="1"/>
  <c r="C646" i="1" s="1"/>
  <c r="G646" i="1" s="1"/>
  <c r="B647" i="1"/>
  <c r="C647" i="1" s="1"/>
  <c r="G647" i="1" s="1"/>
  <c r="B648" i="1"/>
  <c r="C648" i="1" s="1"/>
  <c r="G648" i="1" s="1"/>
  <c r="B649" i="1"/>
  <c r="C649" i="1" s="1"/>
  <c r="G649" i="1" s="1"/>
  <c r="B650" i="1"/>
  <c r="C650" i="1" s="1"/>
  <c r="G650" i="1" s="1"/>
  <c r="B651" i="1"/>
  <c r="C651" i="1" s="1"/>
  <c r="G651" i="1" s="1"/>
  <c r="B652" i="1"/>
  <c r="C652" i="1" s="1"/>
  <c r="G652" i="1" s="1"/>
  <c r="B653" i="1"/>
  <c r="C653" i="1" s="1"/>
  <c r="G653" i="1" s="1"/>
  <c r="B654" i="1"/>
  <c r="C654" i="1" s="1"/>
  <c r="G654" i="1" s="1"/>
  <c r="B655" i="1"/>
  <c r="C655" i="1" s="1"/>
  <c r="G655" i="1" s="1"/>
  <c r="B656" i="1"/>
  <c r="C656" i="1" s="1"/>
  <c r="G656" i="1" s="1"/>
  <c r="B657" i="1"/>
  <c r="C657" i="1" s="1"/>
  <c r="G657" i="1" s="1"/>
  <c r="B658" i="1"/>
  <c r="C658" i="1" s="1"/>
  <c r="G658" i="1" s="1"/>
  <c r="B659" i="1"/>
  <c r="C659" i="1" s="1"/>
  <c r="G659" i="1" s="1"/>
  <c r="B660" i="1"/>
  <c r="C660" i="1" s="1"/>
  <c r="G660" i="1" s="1"/>
  <c r="B661" i="1"/>
  <c r="C661" i="1" s="1"/>
  <c r="G661" i="1" s="1"/>
  <c r="B662" i="1"/>
  <c r="C662" i="1" s="1"/>
  <c r="G662" i="1" s="1"/>
  <c r="B663" i="1"/>
  <c r="C663" i="1" s="1"/>
  <c r="G663" i="1" s="1"/>
  <c r="B664" i="1"/>
  <c r="C664" i="1" s="1"/>
  <c r="G664" i="1" s="1"/>
  <c r="B665" i="1"/>
  <c r="C665" i="1" s="1"/>
  <c r="G665" i="1" s="1"/>
  <c r="B666" i="1"/>
  <c r="C666" i="1" s="1"/>
  <c r="G666" i="1" s="1"/>
  <c r="B667" i="1"/>
  <c r="C667" i="1" s="1"/>
  <c r="G667" i="1" s="1"/>
  <c r="B668" i="1"/>
  <c r="C668" i="1" s="1"/>
  <c r="G668" i="1" s="1"/>
  <c r="B669" i="1"/>
  <c r="C669" i="1" s="1"/>
  <c r="G669" i="1" s="1"/>
  <c r="B670" i="1"/>
  <c r="C670" i="1" s="1"/>
  <c r="G670" i="1" s="1"/>
  <c r="B671" i="1"/>
  <c r="C671" i="1" s="1"/>
  <c r="G671" i="1" s="1"/>
  <c r="B672" i="1"/>
  <c r="C672" i="1" s="1"/>
  <c r="G672" i="1" s="1"/>
  <c r="B673" i="1"/>
  <c r="C673" i="1" s="1"/>
  <c r="G673" i="1" s="1"/>
  <c r="B674" i="1"/>
  <c r="C674" i="1" s="1"/>
  <c r="G674" i="1" s="1"/>
  <c r="B675" i="1"/>
  <c r="C675" i="1" s="1"/>
  <c r="G675" i="1" s="1"/>
  <c r="B676" i="1"/>
  <c r="C676" i="1" s="1"/>
  <c r="G676" i="1" s="1"/>
  <c r="B677" i="1"/>
  <c r="C677" i="1" s="1"/>
  <c r="G677" i="1" s="1"/>
  <c r="B678" i="1"/>
  <c r="C678" i="1" s="1"/>
  <c r="G678" i="1" s="1"/>
  <c r="B679" i="1"/>
  <c r="C679" i="1" s="1"/>
  <c r="G679" i="1" s="1"/>
  <c r="B680" i="1"/>
  <c r="C680" i="1" s="1"/>
  <c r="G680" i="1" s="1"/>
  <c r="B681" i="1"/>
  <c r="C681" i="1" s="1"/>
  <c r="G681" i="1" s="1"/>
  <c r="B682" i="1"/>
  <c r="C682" i="1" s="1"/>
  <c r="G682" i="1" s="1"/>
  <c r="B683" i="1"/>
  <c r="C683" i="1" s="1"/>
  <c r="G683" i="1" s="1"/>
  <c r="B684" i="1"/>
  <c r="C684" i="1" s="1"/>
  <c r="G684" i="1" s="1"/>
  <c r="B685" i="1"/>
  <c r="C685" i="1" s="1"/>
  <c r="G685" i="1" s="1"/>
  <c r="B686" i="1"/>
  <c r="C686" i="1" s="1"/>
  <c r="G686" i="1" s="1"/>
  <c r="B687" i="1"/>
  <c r="C687" i="1" s="1"/>
  <c r="G687" i="1" s="1"/>
  <c r="B688" i="1"/>
  <c r="C688" i="1" s="1"/>
  <c r="G688" i="1" s="1"/>
  <c r="B689" i="1"/>
  <c r="C689" i="1" s="1"/>
  <c r="G689" i="1" s="1"/>
  <c r="B690" i="1"/>
  <c r="C690" i="1" s="1"/>
  <c r="G690" i="1" s="1"/>
  <c r="B691" i="1"/>
  <c r="C691" i="1" s="1"/>
  <c r="G691" i="1" s="1"/>
  <c r="B692" i="1"/>
  <c r="C692" i="1" s="1"/>
  <c r="G692" i="1" s="1"/>
  <c r="B693" i="1"/>
  <c r="C693" i="1" s="1"/>
  <c r="G693" i="1" s="1"/>
  <c r="B694" i="1"/>
  <c r="C694" i="1" s="1"/>
  <c r="G694" i="1" s="1"/>
  <c r="B695" i="1"/>
  <c r="C695" i="1" s="1"/>
  <c r="G695" i="1" s="1"/>
  <c r="B696" i="1"/>
  <c r="C696" i="1" s="1"/>
  <c r="G696" i="1" s="1"/>
  <c r="B697" i="1"/>
  <c r="C697" i="1" s="1"/>
  <c r="G697" i="1" s="1"/>
  <c r="B698" i="1"/>
  <c r="C698" i="1" s="1"/>
  <c r="G698" i="1" s="1"/>
  <c r="B699" i="1"/>
  <c r="C699" i="1" s="1"/>
  <c r="G699" i="1" s="1"/>
  <c r="B700" i="1"/>
  <c r="C700" i="1" s="1"/>
  <c r="G700" i="1" s="1"/>
  <c r="B701" i="1"/>
  <c r="C701" i="1" s="1"/>
  <c r="G701" i="1" s="1"/>
  <c r="B702" i="1"/>
  <c r="C702" i="1" s="1"/>
  <c r="G702" i="1" s="1"/>
  <c r="B703" i="1"/>
  <c r="C703" i="1" s="1"/>
  <c r="G703" i="1" s="1"/>
  <c r="B704" i="1"/>
  <c r="C704" i="1" s="1"/>
  <c r="G704" i="1" s="1"/>
  <c r="B705" i="1"/>
  <c r="C705" i="1" s="1"/>
  <c r="G705" i="1" s="1"/>
  <c r="B706" i="1"/>
  <c r="C706" i="1" s="1"/>
  <c r="G706" i="1" s="1"/>
  <c r="B707" i="1"/>
  <c r="C707" i="1" s="1"/>
  <c r="G707" i="1" s="1"/>
  <c r="B708" i="1"/>
  <c r="C708" i="1" s="1"/>
  <c r="G708" i="1" s="1"/>
  <c r="B709" i="1"/>
  <c r="C709" i="1" s="1"/>
  <c r="G709" i="1" s="1"/>
  <c r="B710" i="1"/>
  <c r="C710" i="1" s="1"/>
  <c r="G710" i="1" s="1"/>
  <c r="B711" i="1"/>
  <c r="C711" i="1" s="1"/>
  <c r="G711" i="1" s="1"/>
  <c r="B712" i="1"/>
  <c r="C712" i="1" s="1"/>
  <c r="G712" i="1" s="1"/>
  <c r="B713" i="1"/>
  <c r="C713" i="1" s="1"/>
  <c r="G713" i="1" s="1"/>
  <c r="B714" i="1"/>
  <c r="C714" i="1" s="1"/>
  <c r="G714" i="1" s="1"/>
  <c r="B715" i="1"/>
  <c r="C715" i="1" s="1"/>
  <c r="G715" i="1" s="1"/>
  <c r="B716" i="1"/>
  <c r="C716" i="1" s="1"/>
  <c r="G716" i="1" s="1"/>
  <c r="B717" i="1"/>
  <c r="C717" i="1" s="1"/>
  <c r="G717" i="1" s="1"/>
  <c r="B718" i="1"/>
  <c r="C718" i="1" s="1"/>
  <c r="G718" i="1" s="1"/>
  <c r="B719" i="1"/>
  <c r="C719" i="1" s="1"/>
  <c r="G719" i="1" s="1"/>
  <c r="B720" i="1"/>
  <c r="C720" i="1" s="1"/>
  <c r="G720" i="1" s="1"/>
  <c r="B721" i="1"/>
  <c r="C721" i="1" s="1"/>
  <c r="G721" i="1" s="1"/>
  <c r="B722" i="1"/>
  <c r="C722" i="1" s="1"/>
  <c r="G722" i="1" s="1"/>
  <c r="B723" i="1"/>
  <c r="C723" i="1" s="1"/>
  <c r="G723" i="1" s="1"/>
  <c r="B724" i="1"/>
  <c r="C724" i="1" s="1"/>
  <c r="G724" i="1" s="1"/>
  <c r="B725" i="1"/>
  <c r="C725" i="1" s="1"/>
  <c r="G725" i="1" s="1"/>
  <c r="B726" i="1"/>
  <c r="C726" i="1" s="1"/>
  <c r="G726" i="1" s="1"/>
  <c r="B727" i="1"/>
  <c r="C727" i="1" s="1"/>
  <c r="G727" i="1" s="1"/>
  <c r="B728" i="1"/>
  <c r="C728" i="1" s="1"/>
  <c r="G728" i="1" s="1"/>
  <c r="B729" i="1"/>
  <c r="C729" i="1" s="1"/>
  <c r="G729" i="1" s="1"/>
  <c r="B730" i="1"/>
  <c r="C730" i="1" s="1"/>
  <c r="G730" i="1" s="1"/>
  <c r="B731" i="1"/>
  <c r="C731" i="1" s="1"/>
  <c r="G731" i="1" s="1"/>
  <c r="B732" i="1"/>
  <c r="C732" i="1" s="1"/>
  <c r="G732" i="1" s="1"/>
  <c r="B733" i="1"/>
  <c r="C733" i="1" s="1"/>
  <c r="G733" i="1" s="1"/>
  <c r="B734" i="1"/>
  <c r="C734" i="1" s="1"/>
  <c r="G734" i="1" s="1"/>
  <c r="B735" i="1"/>
  <c r="C735" i="1" s="1"/>
  <c r="G735" i="1" s="1"/>
  <c r="B736" i="1"/>
  <c r="C736" i="1" s="1"/>
  <c r="G736" i="1" s="1"/>
  <c r="B737" i="1"/>
  <c r="C737" i="1" s="1"/>
  <c r="G737" i="1" s="1"/>
  <c r="B738" i="1"/>
  <c r="C738" i="1" s="1"/>
  <c r="G738" i="1" s="1"/>
  <c r="B739" i="1"/>
  <c r="C739" i="1" s="1"/>
  <c r="G739" i="1" s="1"/>
  <c r="B740" i="1"/>
  <c r="C740" i="1" s="1"/>
  <c r="G740" i="1" s="1"/>
  <c r="B741" i="1"/>
  <c r="C741" i="1" s="1"/>
  <c r="G741" i="1" s="1"/>
  <c r="B742" i="1"/>
  <c r="C742" i="1" s="1"/>
  <c r="G742" i="1" s="1"/>
  <c r="B743" i="1"/>
  <c r="C743" i="1" s="1"/>
  <c r="G743" i="1" s="1"/>
  <c r="B744" i="1"/>
  <c r="C744" i="1" s="1"/>
  <c r="G744" i="1" s="1"/>
  <c r="B745" i="1"/>
  <c r="C745" i="1" s="1"/>
  <c r="G745" i="1" s="1"/>
  <c r="B746" i="1"/>
  <c r="C746" i="1" s="1"/>
  <c r="G746" i="1" s="1"/>
  <c r="B747" i="1"/>
  <c r="C747" i="1" s="1"/>
  <c r="G747" i="1" s="1"/>
  <c r="B748" i="1"/>
  <c r="C748" i="1" s="1"/>
  <c r="G748" i="1" s="1"/>
  <c r="B749" i="1"/>
  <c r="C749" i="1" s="1"/>
  <c r="G749" i="1" s="1"/>
  <c r="B750" i="1"/>
  <c r="C750" i="1" s="1"/>
  <c r="G750" i="1" s="1"/>
  <c r="B751" i="1"/>
  <c r="C751" i="1" s="1"/>
  <c r="G751" i="1" s="1"/>
  <c r="B752" i="1"/>
  <c r="C752" i="1" s="1"/>
  <c r="G752" i="1" s="1"/>
  <c r="B753" i="1"/>
  <c r="C753" i="1" s="1"/>
  <c r="G753" i="1" s="1"/>
  <c r="B754" i="1"/>
  <c r="C754" i="1" s="1"/>
  <c r="G754" i="1" s="1"/>
  <c r="B755" i="1"/>
  <c r="C755" i="1" s="1"/>
  <c r="G755" i="1" s="1"/>
  <c r="B756" i="1"/>
  <c r="C756" i="1" s="1"/>
  <c r="G756" i="1" s="1"/>
  <c r="B757" i="1"/>
  <c r="C757" i="1" s="1"/>
  <c r="G757" i="1" s="1"/>
  <c r="B758" i="1"/>
  <c r="C758" i="1" s="1"/>
  <c r="G758" i="1" s="1"/>
  <c r="B759" i="1"/>
  <c r="C759" i="1" s="1"/>
  <c r="G759" i="1" s="1"/>
  <c r="B760" i="1"/>
  <c r="C760" i="1" s="1"/>
  <c r="G760" i="1" s="1"/>
  <c r="B761" i="1"/>
  <c r="C761" i="1" s="1"/>
  <c r="G761" i="1" s="1"/>
  <c r="B762" i="1"/>
  <c r="C762" i="1" s="1"/>
  <c r="G762" i="1" s="1"/>
  <c r="B763" i="1"/>
  <c r="C763" i="1" s="1"/>
  <c r="G763" i="1" s="1"/>
  <c r="B764" i="1"/>
  <c r="C764" i="1" s="1"/>
  <c r="G764" i="1" s="1"/>
  <c r="B765" i="1"/>
  <c r="C765" i="1" s="1"/>
  <c r="G765" i="1" s="1"/>
  <c r="B766" i="1"/>
  <c r="C766" i="1" s="1"/>
  <c r="G766" i="1" s="1"/>
  <c r="B767" i="1"/>
  <c r="C767" i="1" s="1"/>
  <c r="G767" i="1" s="1"/>
  <c r="B768" i="1"/>
  <c r="C768" i="1" s="1"/>
  <c r="G768" i="1" s="1"/>
  <c r="B769" i="1"/>
  <c r="C769" i="1" s="1"/>
  <c r="G769" i="1" s="1"/>
  <c r="B770" i="1"/>
  <c r="C770" i="1" s="1"/>
  <c r="G770" i="1" s="1"/>
  <c r="B771" i="1"/>
  <c r="C771" i="1" s="1"/>
  <c r="G771" i="1" s="1"/>
  <c r="B772" i="1"/>
  <c r="C772" i="1" s="1"/>
  <c r="G772" i="1" s="1"/>
  <c r="B773" i="1"/>
  <c r="C773" i="1" s="1"/>
  <c r="G773" i="1" s="1"/>
  <c r="B774" i="1"/>
  <c r="C774" i="1" s="1"/>
  <c r="G774" i="1" s="1"/>
  <c r="B775" i="1"/>
  <c r="C775" i="1" s="1"/>
  <c r="G775" i="1" s="1"/>
  <c r="B776" i="1"/>
  <c r="C776" i="1" s="1"/>
  <c r="G776" i="1" s="1"/>
  <c r="B777" i="1"/>
  <c r="C777" i="1" s="1"/>
  <c r="G777" i="1" s="1"/>
  <c r="B778" i="1"/>
  <c r="C778" i="1" s="1"/>
  <c r="G778" i="1" s="1"/>
  <c r="B779" i="1"/>
  <c r="C779" i="1" s="1"/>
  <c r="G779" i="1" s="1"/>
  <c r="B780" i="1"/>
  <c r="C780" i="1" s="1"/>
  <c r="G780" i="1" s="1"/>
  <c r="B781" i="1"/>
  <c r="C781" i="1" s="1"/>
  <c r="G781" i="1" s="1"/>
  <c r="B782" i="1"/>
  <c r="C782" i="1" s="1"/>
  <c r="G782" i="1" s="1"/>
  <c r="B783" i="1"/>
  <c r="C783" i="1" s="1"/>
  <c r="G783" i="1" s="1"/>
  <c r="B784" i="1"/>
  <c r="C784" i="1" s="1"/>
  <c r="G784" i="1" s="1"/>
  <c r="B785" i="1"/>
  <c r="C785" i="1" s="1"/>
  <c r="G785" i="1" s="1"/>
  <c r="B786" i="1"/>
  <c r="C786" i="1" s="1"/>
  <c r="G786" i="1" s="1"/>
  <c r="B787" i="1"/>
  <c r="C787" i="1" s="1"/>
  <c r="G787" i="1" s="1"/>
  <c r="B788" i="1"/>
  <c r="C788" i="1" s="1"/>
  <c r="G788" i="1" s="1"/>
  <c r="B789" i="1"/>
  <c r="C789" i="1" s="1"/>
  <c r="G789" i="1" s="1"/>
  <c r="B790" i="1"/>
  <c r="C790" i="1" s="1"/>
  <c r="G790" i="1" s="1"/>
  <c r="B791" i="1"/>
  <c r="C791" i="1" s="1"/>
  <c r="G791" i="1" s="1"/>
  <c r="B792" i="1"/>
  <c r="C792" i="1" s="1"/>
  <c r="G792" i="1" s="1"/>
  <c r="B793" i="1"/>
  <c r="C793" i="1" s="1"/>
  <c r="G793" i="1" s="1"/>
  <c r="B794" i="1"/>
  <c r="C794" i="1" s="1"/>
  <c r="G794" i="1" s="1"/>
  <c r="B795" i="1"/>
  <c r="C795" i="1" s="1"/>
  <c r="G795" i="1" s="1"/>
  <c r="B796" i="1"/>
  <c r="C796" i="1" s="1"/>
  <c r="G796" i="1" s="1"/>
  <c r="B797" i="1"/>
  <c r="C797" i="1" s="1"/>
  <c r="G797" i="1" s="1"/>
  <c r="B798" i="1"/>
  <c r="C798" i="1" s="1"/>
  <c r="G798" i="1" s="1"/>
  <c r="B799" i="1"/>
  <c r="C799" i="1" s="1"/>
  <c r="G799" i="1" s="1"/>
  <c r="B800" i="1"/>
  <c r="C800" i="1" s="1"/>
  <c r="G800" i="1" s="1"/>
  <c r="B801" i="1"/>
  <c r="C801" i="1" s="1"/>
  <c r="G801" i="1" s="1"/>
  <c r="B802" i="1"/>
  <c r="C802" i="1" s="1"/>
  <c r="G802" i="1" s="1"/>
  <c r="B803" i="1"/>
  <c r="C803" i="1" s="1"/>
  <c r="G803" i="1" s="1"/>
  <c r="B804" i="1"/>
  <c r="C804" i="1" s="1"/>
  <c r="G804" i="1" s="1"/>
  <c r="B805" i="1"/>
  <c r="C805" i="1" s="1"/>
  <c r="G805" i="1" s="1"/>
  <c r="B806" i="1"/>
  <c r="C806" i="1" s="1"/>
  <c r="G806" i="1" s="1"/>
  <c r="B807" i="1"/>
  <c r="C807" i="1" s="1"/>
  <c r="G807" i="1" s="1"/>
  <c r="B808" i="1"/>
  <c r="C808" i="1" s="1"/>
  <c r="G808" i="1" s="1"/>
  <c r="B809" i="1"/>
  <c r="C809" i="1" s="1"/>
  <c r="G809" i="1" s="1"/>
  <c r="B810" i="1"/>
  <c r="C810" i="1" s="1"/>
  <c r="G810" i="1" s="1"/>
  <c r="B811" i="1"/>
  <c r="C811" i="1" s="1"/>
  <c r="G811" i="1" s="1"/>
  <c r="B812" i="1"/>
  <c r="C812" i="1" s="1"/>
  <c r="G812" i="1" s="1"/>
  <c r="B813" i="1"/>
  <c r="C813" i="1" s="1"/>
  <c r="G813" i="1" s="1"/>
  <c r="B814" i="1"/>
  <c r="C814" i="1" s="1"/>
  <c r="G814" i="1" s="1"/>
  <c r="B815" i="1"/>
  <c r="C815" i="1" s="1"/>
  <c r="G815" i="1" s="1"/>
  <c r="B816" i="1"/>
  <c r="C816" i="1" s="1"/>
  <c r="G816" i="1" s="1"/>
  <c r="B817" i="1"/>
  <c r="C817" i="1" s="1"/>
  <c r="G817" i="1" s="1"/>
  <c r="B818" i="1"/>
  <c r="C818" i="1" s="1"/>
  <c r="G818" i="1" s="1"/>
  <c r="B819" i="1"/>
  <c r="C819" i="1" s="1"/>
  <c r="G819" i="1" s="1"/>
  <c r="B820" i="1"/>
  <c r="C820" i="1" s="1"/>
  <c r="G820" i="1" s="1"/>
  <c r="B821" i="1"/>
  <c r="C821" i="1" s="1"/>
  <c r="G821" i="1" s="1"/>
  <c r="B822" i="1"/>
  <c r="C822" i="1" s="1"/>
  <c r="G822" i="1" s="1"/>
  <c r="B823" i="1"/>
  <c r="C823" i="1" s="1"/>
  <c r="G823" i="1" s="1"/>
  <c r="B824" i="1"/>
  <c r="C824" i="1" s="1"/>
  <c r="G824" i="1" s="1"/>
  <c r="B825" i="1"/>
  <c r="C825" i="1" s="1"/>
  <c r="G825" i="1" s="1"/>
  <c r="B826" i="1"/>
  <c r="C826" i="1" s="1"/>
  <c r="G826" i="1" s="1"/>
  <c r="B827" i="1"/>
  <c r="C827" i="1" s="1"/>
  <c r="G827" i="1" s="1"/>
  <c r="B828" i="1"/>
  <c r="C828" i="1" s="1"/>
  <c r="G828" i="1" s="1"/>
  <c r="B829" i="1"/>
  <c r="C829" i="1" s="1"/>
  <c r="G829" i="1" s="1"/>
  <c r="B830" i="1"/>
  <c r="C830" i="1" s="1"/>
  <c r="G830" i="1" s="1"/>
  <c r="B831" i="1"/>
  <c r="C831" i="1" s="1"/>
  <c r="G831" i="1" s="1"/>
  <c r="B832" i="1"/>
  <c r="C832" i="1" s="1"/>
  <c r="G832" i="1" s="1"/>
  <c r="B833" i="1"/>
  <c r="C833" i="1" s="1"/>
  <c r="G833" i="1" s="1"/>
  <c r="B834" i="1"/>
  <c r="C834" i="1" s="1"/>
  <c r="G834" i="1" s="1"/>
  <c r="B835" i="1"/>
  <c r="C835" i="1" s="1"/>
  <c r="G835" i="1" s="1"/>
  <c r="B836" i="1"/>
  <c r="C836" i="1" s="1"/>
  <c r="G836" i="1" s="1"/>
  <c r="B837" i="1"/>
  <c r="C837" i="1" s="1"/>
  <c r="G837" i="1" s="1"/>
  <c r="B838" i="1"/>
  <c r="C838" i="1" s="1"/>
  <c r="G838" i="1" s="1"/>
  <c r="B839" i="1"/>
  <c r="C839" i="1" s="1"/>
  <c r="G839" i="1" s="1"/>
  <c r="B840" i="1"/>
  <c r="C840" i="1" s="1"/>
  <c r="G840" i="1" s="1"/>
  <c r="B841" i="1"/>
  <c r="C841" i="1" s="1"/>
  <c r="G841" i="1" s="1"/>
  <c r="B842" i="1"/>
  <c r="C842" i="1" s="1"/>
  <c r="G842" i="1" s="1"/>
  <c r="B843" i="1"/>
  <c r="C843" i="1" s="1"/>
  <c r="G843" i="1" s="1"/>
  <c r="B844" i="1"/>
  <c r="C844" i="1" s="1"/>
  <c r="G844" i="1" s="1"/>
  <c r="B845" i="1"/>
  <c r="C845" i="1" s="1"/>
  <c r="G845" i="1" s="1"/>
  <c r="B846" i="1"/>
  <c r="C846" i="1" s="1"/>
  <c r="G846" i="1" s="1"/>
  <c r="B847" i="1"/>
  <c r="C847" i="1" s="1"/>
  <c r="G847" i="1" s="1"/>
  <c r="B848" i="1"/>
  <c r="C848" i="1" s="1"/>
  <c r="G848" i="1" s="1"/>
  <c r="B849" i="1"/>
  <c r="C849" i="1" s="1"/>
  <c r="G849" i="1" s="1"/>
  <c r="B850" i="1"/>
  <c r="C850" i="1" s="1"/>
  <c r="G850" i="1" s="1"/>
  <c r="B851" i="1"/>
  <c r="C851" i="1" s="1"/>
  <c r="G851" i="1" s="1"/>
  <c r="B852" i="1"/>
  <c r="C852" i="1" s="1"/>
  <c r="G852" i="1" s="1"/>
  <c r="B853" i="1"/>
  <c r="C853" i="1" s="1"/>
  <c r="G853" i="1" s="1"/>
  <c r="B854" i="1"/>
  <c r="C854" i="1" s="1"/>
  <c r="G854" i="1" s="1"/>
  <c r="B855" i="1"/>
  <c r="C855" i="1" s="1"/>
  <c r="G855" i="1" s="1"/>
  <c r="B856" i="1"/>
  <c r="C856" i="1" s="1"/>
  <c r="G856" i="1" s="1"/>
  <c r="B857" i="1"/>
  <c r="C857" i="1" s="1"/>
  <c r="G857" i="1" s="1"/>
  <c r="B858" i="1"/>
  <c r="C858" i="1" s="1"/>
  <c r="G858" i="1" s="1"/>
  <c r="B859" i="1"/>
  <c r="C859" i="1" s="1"/>
  <c r="G859" i="1" s="1"/>
  <c r="B860" i="1"/>
  <c r="C860" i="1" s="1"/>
  <c r="G860" i="1" s="1"/>
  <c r="B861" i="1"/>
  <c r="C861" i="1" s="1"/>
  <c r="G861" i="1" s="1"/>
  <c r="B862" i="1"/>
  <c r="C862" i="1" s="1"/>
  <c r="G862" i="1" s="1"/>
  <c r="B863" i="1"/>
  <c r="C863" i="1" s="1"/>
  <c r="G863" i="1" s="1"/>
  <c r="B864" i="1"/>
  <c r="C864" i="1" s="1"/>
  <c r="G864" i="1" s="1"/>
  <c r="B865" i="1"/>
  <c r="C865" i="1" s="1"/>
  <c r="G865" i="1" s="1"/>
  <c r="B866" i="1"/>
  <c r="C866" i="1" s="1"/>
  <c r="G866" i="1" s="1"/>
  <c r="B867" i="1"/>
  <c r="C867" i="1" s="1"/>
  <c r="G867" i="1" s="1"/>
  <c r="B868" i="1"/>
  <c r="C868" i="1" s="1"/>
  <c r="G868" i="1" s="1"/>
  <c r="B869" i="1"/>
  <c r="C869" i="1" s="1"/>
  <c r="G869" i="1" s="1"/>
  <c r="B870" i="1"/>
  <c r="C870" i="1" s="1"/>
  <c r="G870" i="1" s="1"/>
  <c r="B871" i="1"/>
  <c r="C871" i="1" s="1"/>
  <c r="G871" i="1" s="1"/>
  <c r="B872" i="1"/>
  <c r="C872" i="1" s="1"/>
  <c r="G872" i="1" s="1"/>
  <c r="B873" i="1"/>
  <c r="C873" i="1" s="1"/>
  <c r="G873" i="1" s="1"/>
  <c r="B874" i="1"/>
  <c r="C874" i="1" s="1"/>
  <c r="G874" i="1" s="1"/>
  <c r="B875" i="1"/>
  <c r="C875" i="1" s="1"/>
  <c r="G875" i="1" s="1"/>
  <c r="B876" i="1"/>
  <c r="C876" i="1" s="1"/>
  <c r="G876" i="1" s="1"/>
  <c r="B877" i="1"/>
  <c r="C877" i="1" s="1"/>
  <c r="G877" i="1" s="1"/>
  <c r="B878" i="1"/>
  <c r="C878" i="1" s="1"/>
  <c r="G878" i="1" s="1"/>
  <c r="B879" i="1"/>
  <c r="C879" i="1" s="1"/>
  <c r="G879" i="1" s="1"/>
  <c r="B880" i="1"/>
  <c r="C880" i="1" s="1"/>
  <c r="G880" i="1" s="1"/>
  <c r="B881" i="1"/>
  <c r="C881" i="1" s="1"/>
  <c r="G881" i="1" s="1"/>
  <c r="B882" i="1"/>
  <c r="C882" i="1" s="1"/>
  <c r="G882" i="1" s="1"/>
  <c r="B883" i="1"/>
  <c r="C883" i="1" s="1"/>
  <c r="G883" i="1" s="1"/>
  <c r="B884" i="1"/>
  <c r="C884" i="1" s="1"/>
  <c r="G884" i="1" s="1"/>
  <c r="B885" i="1"/>
  <c r="C885" i="1" s="1"/>
  <c r="G885" i="1" s="1"/>
  <c r="B886" i="1"/>
  <c r="C886" i="1" s="1"/>
  <c r="G886" i="1" s="1"/>
  <c r="B887" i="1"/>
  <c r="C887" i="1" s="1"/>
  <c r="G887" i="1" s="1"/>
  <c r="B888" i="1"/>
  <c r="C888" i="1" s="1"/>
  <c r="G888" i="1" s="1"/>
  <c r="B889" i="1"/>
  <c r="C889" i="1" s="1"/>
  <c r="G889" i="1" s="1"/>
  <c r="B890" i="1"/>
  <c r="C890" i="1" s="1"/>
  <c r="G890" i="1" s="1"/>
  <c r="B891" i="1"/>
  <c r="C891" i="1" s="1"/>
  <c r="G891" i="1" s="1"/>
  <c r="B892" i="1"/>
  <c r="C892" i="1" s="1"/>
  <c r="G892" i="1" s="1"/>
  <c r="B893" i="1"/>
  <c r="C893" i="1" s="1"/>
  <c r="G893" i="1" s="1"/>
  <c r="B894" i="1"/>
  <c r="C894" i="1" s="1"/>
  <c r="G894" i="1" s="1"/>
  <c r="B895" i="1"/>
  <c r="C895" i="1" s="1"/>
  <c r="G895" i="1" s="1"/>
  <c r="B896" i="1"/>
  <c r="C896" i="1" s="1"/>
  <c r="G896" i="1" s="1"/>
  <c r="B897" i="1"/>
  <c r="C897" i="1" s="1"/>
  <c r="G897" i="1" s="1"/>
  <c r="B898" i="1"/>
  <c r="C898" i="1" s="1"/>
  <c r="G898" i="1" s="1"/>
  <c r="B899" i="1"/>
  <c r="C899" i="1" s="1"/>
  <c r="G899" i="1" s="1"/>
  <c r="B900" i="1"/>
  <c r="C900" i="1" s="1"/>
  <c r="G900" i="1" s="1"/>
  <c r="B901" i="1"/>
  <c r="C901" i="1" s="1"/>
  <c r="G901" i="1" s="1"/>
  <c r="B902" i="1"/>
  <c r="C902" i="1" s="1"/>
  <c r="G902" i="1" s="1"/>
  <c r="B903" i="1"/>
  <c r="C903" i="1" s="1"/>
  <c r="G903" i="1" s="1"/>
  <c r="B904" i="1"/>
  <c r="C904" i="1" s="1"/>
  <c r="G904" i="1" s="1"/>
  <c r="B905" i="1"/>
  <c r="C905" i="1" s="1"/>
  <c r="G905" i="1" s="1"/>
  <c r="B906" i="1"/>
  <c r="C906" i="1" s="1"/>
  <c r="G906" i="1" s="1"/>
  <c r="B907" i="1"/>
  <c r="C907" i="1" s="1"/>
  <c r="G907" i="1" s="1"/>
  <c r="B908" i="1"/>
  <c r="C908" i="1" s="1"/>
  <c r="G908" i="1" s="1"/>
  <c r="B909" i="1"/>
  <c r="C909" i="1" s="1"/>
  <c r="G909" i="1" s="1"/>
  <c r="B910" i="1"/>
  <c r="C910" i="1" s="1"/>
  <c r="G910" i="1" s="1"/>
  <c r="B911" i="1"/>
  <c r="C911" i="1" s="1"/>
  <c r="G911" i="1" s="1"/>
  <c r="B912" i="1"/>
  <c r="C912" i="1" s="1"/>
  <c r="G912" i="1" s="1"/>
  <c r="B913" i="1"/>
  <c r="C913" i="1" s="1"/>
  <c r="G913" i="1" s="1"/>
  <c r="B914" i="1"/>
  <c r="C914" i="1" s="1"/>
  <c r="G914" i="1" s="1"/>
  <c r="B915" i="1"/>
  <c r="C915" i="1" s="1"/>
  <c r="G915" i="1" s="1"/>
  <c r="B916" i="1"/>
  <c r="C916" i="1" s="1"/>
  <c r="G916" i="1" s="1"/>
  <c r="B917" i="1"/>
  <c r="C917" i="1" s="1"/>
  <c r="G917" i="1" s="1"/>
  <c r="B918" i="1"/>
  <c r="C918" i="1" s="1"/>
  <c r="G918" i="1" s="1"/>
  <c r="B919" i="1"/>
  <c r="C919" i="1" s="1"/>
  <c r="G919" i="1" s="1"/>
  <c r="B920" i="1"/>
  <c r="C920" i="1" s="1"/>
  <c r="G920" i="1" s="1"/>
  <c r="B921" i="1"/>
  <c r="C921" i="1" s="1"/>
  <c r="G921" i="1" s="1"/>
  <c r="B922" i="1"/>
  <c r="C922" i="1" s="1"/>
  <c r="G922" i="1" s="1"/>
  <c r="B923" i="1"/>
  <c r="C923" i="1" s="1"/>
  <c r="G923" i="1" s="1"/>
  <c r="B924" i="1"/>
  <c r="C924" i="1" s="1"/>
  <c r="G924" i="1" s="1"/>
  <c r="B925" i="1"/>
  <c r="C925" i="1" s="1"/>
  <c r="G925" i="1" s="1"/>
  <c r="B926" i="1"/>
  <c r="C926" i="1" s="1"/>
  <c r="G926" i="1" s="1"/>
  <c r="B927" i="1"/>
  <c r="C927" i="1" s="1"/>
  <c r="G927" i="1" s="1"/>
  <c r="B928" i="1"/>
  <c r="C928" i="1" s="1"/>
  <c r="G928" i="1" s="1"/>
  <c r="B929" i="1"/>
  <c r="C929" i="1" s="1"/>
  <c r="G929" i="1" s="1"/>
  <c r="B930" i="1"/>
  <c r="C930" i="1" s="1"/>
  <c r="G930" i="1" s="1"/>
  <c r="B931" i="1"/>
  <c r="C931" i="1" s="1"/>
  <c r="G931" i="1" s="1"/>
  <c r="B932" i="1"/>
  <c r="C932" i="1" s="1"/>
  <c r="G932" i="1" s="1"/>
  <c r="B933" i="1"/>
  <c r="C933" i="1" s="1"/>
  <c r="G933" i="1" s="1"/>
  <c r="B934" i="1"/>
  <c r="C934" i="1" s="1"/>
  <c r="G934" i="1" s="1"/>
  <c r="B935" i="1"/>
  <c r="C935" i="1" s="1"/>
  <c r="G935" i="1" s="1"/>
  <c r="B936" i="1"/>
  <c r="C936" i="1" s="1"/>
  <c r="G936" i="1" s="1"/>
  <c r="B937" i="1"/>
  <c r="C937" i="1" s="1"/>
  <c r="G937" i="1" s="1"/>
  <c r="B938" i="1"/>
  <c r="C938" i="1" s="1"/>
  <c r="G938" i="1" s="1"/>
  <c r="B939" i="1"/>
  <c r="C939" i="1" s="1"/>
  <c r="G939" i="1" s="1"/>
  <c r="B940" i="1"/>
  <c r="C940" i="1" s="1"/>
  <c r="G940" i="1" s="1"/>
  <c r="B941" i="1"/>
  <c r="C941" i="1" s="1"/>
  <c r="G941" i="1" s="1"/>
  <c r="B942" i="1"/>
  <c r="C942" i="1" s="1"/>
  <c r="G942" i="1" s="1"/>
  <c r="B943" i="1"/>
  <c r="C943" i="1" s="1"/>
  <c r="G943" i="1" s="1"/>
  <c r="B944" i="1"/>
  <c r="C944" i="1" s="1"/>
  <c r="G944" i="1" s="1"/>
  <c r="B945" i="1"/>
  <c r="C945" i="1" s="1"/>
  <c r="G945" i="1" s="1"/>
  <c r="B946" i="1"/>
  <c r="C946" i="1" s="1"/>
  <c r="G946" i="1" s="1"/>
  <c r="B947" i="1"/>
  <c r="C947" i="1" s="1"/>
  <c r="G947" i="1" s="1"/>
  <c r="B948" i="1"/>
  <c r="C948" i="1" s="1"/>
  <c r="G948" i="1" s="1"/>
  <c r="B949" i="1"/>
  <c r="C949" i="1" s="1"/>
  <c r="G949" i="1" s="1"/>
  <c r="B950" i="1"/>
  <c r="C950" i="1" s="1"/>
  <c r="G950" i="1" s="1"/>
  <c r="B951" i="1"/>
  <c r="C951" i="1" s="1"/>
  <c r="G951" i="1" s="1"/>
  <c r="B952" i="1"/>
  <c r="C952" i="1" s="1"/>
  <c r="G952" i="1" s="1"/>
  <c r="B953" i="1"/>
  <c r="C953" i="1" s="1"/>
  <c r="G953" i="1" s="1"/>
  <c r="B954" i="1"/>
  <c r="C954" i="1" s="1"/>
  <c r="G954" i="1" s="1"/>
  <c r="B955" i="1"/>
  <c r="C955" i="1" s="1"/>
  <c r="G955" i="1" s="1"/>
  <c r="B956" i="1"/>
  <c r="C956" i="1" s="1"/>
  <c r="G956" i="1" s="1"/>
  <c r="B957" i="1"/>
  <c r="C957" i="1" s="1"/>
  <c r="G957" i="1" s="1"/>
  <c r="B958" i="1"/>
  <c r="C958" i="1" s="1"/>
  <c r="G958" i="1" s="1"/>
  <c r="B959" i="1"/>
  <c r="C959" i="1" s="1"/>
  <c r="G959" i="1" s="1"/>
  <c r="B960" i="1"/>
  <c r="C960" i="1" s="1"/>
  <c r="G960" i="1" s="1"/>
  <c r="B961" i="1"/>
  <c r="C961" i="1" s="1"/>
  <c r="G961" i="1" s="1"/>
  <c r="B962" i="1"/>
  <c r="C962" i="1" s="1"/>
  <c r="G962" i="1" s="1"/>
  <c r="B963" i="1"/>
  <c r="C963" i="1" s="1"/>
  <c r="G963" i="1" s="1"/>
  <c r="B964" i="1"/>
  <c r="C964" i="1" s="1"/>
  <c r="G964" i="1" s="1"/>
  <c r="B965" i="1"/>
  <c r="C965" i="1" s="1"/>
  <c r="G965" i="1" s="1"/>
  <c r="B966" i="1"/>
  <c r="C966" i="1" s="1"/>
  <c r="G966" i="1" s="1"/>
  <c r="B967" i="1"/>
  <c r="C967" i="1" s="1"/>
  <c r="G967" i="1" s="1"/>
  <c r="B968" i="1"/>
  <c r="C968" i="1" s="1"/>
  <c r="G968" i="1" s="1"/>
  <c r="B969" i="1"/>
  <c r="C969" i="1" s="1"/>
  <c r="G969" i="1" s="1"/>
  <c r="B970" i="1"/>
  <c r="C970" i="1" s="1"/>
  <c r="G970" i="1" s="1"/>
  <c r="B971" i="1"/>
  <c r="C971" i="1" s="1"/>
  <c r="G971" i="1" s="1"/>
  <c r="B972" i="1"/>
  <c r="C972" i="1" s="1"/>
  <c r="G972" i="1" s="1"/>
  <c r="B973" i="1"/>
  <c r="C973" i="1" s="1"/>
  <c r="G973" i="1" s="1"/>
  <c r="B974" i="1"/>
  <c r="C974" i="1" s="1"/>
  <c r="G974" i="1" s="1"/>
  <c r="B975" i="1"/>
  <c r="C975" i="1" s="1"/>
  <c r="G975" i="1" s="1"/>
  <c r="B976" i="1"/>
  <c r="C976" i="1" s="1"/>
  <c r="G976" i="1" s="1"/>
  <c r="B977" i="1"/>
  <c r="C977" i="1" s="1"/>
  <c r="G977" i="1" s="1"/>
  <c r="B978" i="1"/>
  <c r="C978" i="1" s="1"/>
  <c r="G978" i="1" s="1"/>
  <c r="B979" i="1"/>
  <c r="C979" i="1" s="1"/>
  <c r="G979" i="1" s="1"/>
  <c r="B980" i="1"/>
  <c r="C980" i="1" s="1"/>
  <c r="G980" i="1" s="1"/>
  <c r="B981" i="1"/>
  <c r="C981" i="1" s="1"/>
  <c r="G981" i="1" s="1"/>
  <c r="B982" i="1"/>
  <c r="C982" i="1" s="1"/>
  <c r="G982" i="1" s="1"/>
  <c r="B983" i="1"/>
  <c r="C983" i="1" s="1"/>
  <c r="G983" i="1" s="1"/>
  <c r="B984" i="1"/>
  <c r="C984" i="1" s="1"/>
  <c r="G984" i="1" s="1"/>
  <c r="B985" i="1"/>
  <c r="C985" i="1" s="1"/>
  <c r="G985" i="1" s="1"/>
  <c r="B986" i="1"/>
  <c r="C986" i="1" s="1"/>
  <c r="G986" i="1" s="1"/>
  <c r="B987" i="1"/>
  <c r="C987" i="1" s="1"/>
  <c r="G987" i="1" s="1"/>
  <c r="B988" i="1"/>
  <c r="C988" i="1" s="1"/>
  <c r="G988" i="1" s="1"/>
  <c r="B989" i="1"/>
  <c r="C989" i="1" s="1"/>
  <c r="G989" i="1" s="1"/>
  <c r="B990" i="1"/>
  <c r="C990" i="1" s="1"/>
  <c r="G990" i="1" s="1"/>
  <c r="B991" i="1"/>
  <c r="C991" i="1" s="1"/>
  <c r="G991" i="1" s="1"/>
  <c r="B992" i="1"/>
  <c r="C992" i="1" s="1"/>
  <c r="G992" i="1" s="1"/>
  <c r="B993" i="1"/>
  <c r="C993" i="1" s="1"/>
  <c r="G993" i="1" s="1"/>
  <c r="B994" i="1"/>
  <c r="C994" i="1" s="1"/>
  <c r="G994" i="1" s="1"/>
  <c r="B995" i="1"/>
  <c r="C995" i="1" s="1"/>
  <c r="G995" i="1" s="1"/>
  <c r="B996" i="1"/>
  <c r="C996" i="1" s="1"/>
  <c r="G996" i="1" s="1"/>
  <c r="B997" i="1"/>
  <c r="C997" i="1" s="1"/>
  <c r="G997" i="1" s="1"/>
  <c r="B998" i="1"/>
  <c r="C998" i="1" s="1"/>
  <c r="G998" i="1" s="1"/>
  <c r="B999" i="1"/>
  <c r="C999" i="1" s="1"/>
  <c r="G999" i="1" s="1"/>
  <c r="B1000" i="1"/>
  <c r="C1000" i="1" s="1"/>
  <c r="G1000" i="1" s="1"/>
  <c r="B1001" i="1"/>
  <c r="C1001" i="1" s="1"/>
  <c r="G1001" i="1" s="1"/>
  <c r="B1002" i="1"/>
  <c r="C1002" i="1" s="1"/>
  <c r="G1002" i="1" s="1"/>
  <c r="B1003" i="1"/>
  <c r="C1003" i="1" s="1"/>
  <c r="G1003" i="1" s="1"/>
  <c r="B1004" i="1"/>
  <c r="C1004" i="1" s="1"/>
  <c r="G1004" i="1" s="1"/>
  <c r="B1005" i="1"/>
  <c r="C1005" i="1" s="1"/>
  <c r="G1005" i="1" s="1"/>
  <c r="B1006" i="1"/>
  <c r="C1006" i="1" s="1"/>
  <c r="G1006" i="1" s="1"/>
  <c r="B1007" i="1"/>
  <c r="C1007" i="1" s="1"/>
  <c r="G1007" i="1" s="1"/>
  <c r="B1008" i="1"/>
  <c r="C1008" i="1" s="1"/>
  <c r="G1008" i="1" s="1"/>
  <c r="B1009" i="1"/>
  <c r="C1009" i="1" s="1"/>
  <c r="G1009" i="1" s="1"/>
  <c r="B1010" i="1"/>
  <c r="C1010" i="1" s="1"/>
  <c r="G1010" i="1" s="1"/>
  <c r="B1011" i="1"/>
  <c r="C1011" i="1" s="1"/>
  <c r="G1011" i="1" s="1"/>
  <c r="B1012" i="1"/>
  <c r="C1012" i="1" s="1"/>
  <c r="G1012" i="1" s="1"/>
  <c r="B1013" i="1"/>
  <c r="C1013" i="1" s="1"/>
  <c r="G1013" i="1" s="1"/>
  <c r="B1014" i="1"/>
  <c r="C1014" i="1" s="1"/>
  <c r="G1014" i="1" s="1"/>
  <c r="B1015" i="1"/>
  <c r="C1015" i="1" s="1"/>
  <c r="G1015" i="1" s="1"/>
  <c r="B1016" i="1"/>
  <c r="C1016" i="1" s="1"/>
  <c r="G1016" i="1" s="1"/>
  <c r="B1017" i="1"/>
  <c r="C1017" i="1" s="1"/>
  <c r="G1017" i="1" s="1"/>
  <c r="B1018" i="1"/>
  <c r="C1018" i="1" s="1"/>
  <c r="G1018" i="1" s="1"/>
  <c r="B1019" i="1"/>
  <c r="C1019" i="1" s="1"/>
  <c r="G1019" i="1" s="1"/>
  <c r="B1020" i="1"/>
  <c r="C1020" i="1" s="1"/>
  <c r="G1020" i="1" s="1"/>
  <c r="B1021" i="1"/>
  <c r="C1021" i="1" s="1"/>
  <c r="G1021" i="1" s="1"/>
  <c r="B1022" i="1"/>
  <c r="C1022" i="1" s="1"/>
  <c r="G1022" i="1" s="1"/>
  <c r="B1023" i="1"/>
  <c r="C1023" i="1" s="1"/>
  <c r="G1023" i="1" s="1"/>
  <c r="B1024" i="1"/>
  <c r="C1024" i="1" s="1"/>
  <c r="G1024" i="1" s="1"/>
  <c r="B1025" i="1"/>
  <c r="C1025" i="1" s="1"/>
  <c r="G1025" i="1" s="1"/>
  <c r="B1026" i="1"/>
  <c r="C1026" i="1" s="1"/>
  <c r="G1026" i="1" s="1"/>
  <c r="B1027" i="1"/>
  <c r="C1027" i="1" s="1"/>
  <c r="G1027" i="1" s="1"/>
  <c r="B1028" i="1"/>
  <c r="C1028" i="1" s="1"/>
  <c r="G1028" i="1" s="1"/>
  <c r="B1029" i="1"/>
  <c r="C1029" i="1" s="1"/>
  <c r="G1029" i="1" s="1"/>
  <c r="B1030" i="1"/>
  <c r="C1030" i="1" s="1"/>
  <c r="G1030" i="1" s="1"/>
  <c r="B1031" i="1"/>
  <c r="C1031" i="1" s="1"/>
  <c r="G1031" i="1" s="1"/>
  <c r="B1032" i="1"/>
  <c r="C1032" i="1" s="1"/>
  <c r="G1032" i="1" s="1"/>
  <c r="B1033" i="1"/>
  <c r="C1033" i="1" s="1"/>
  <c r="G1033" i="1" s="1"/>
  <c r="B1034" i="1"/>
  <c r="C1034" i="1" s="1"/>
  <c r="G1034" i="1" s="1"/>
  <c r="B1035" i="1"/>
  <c r="C1035" i="1" s="1"/>
  <c r="G1035" i="1" s="1"/>
  <c r="B1036" i="1"/>
  <c r="C1036" i="1" s="1"/>
  <c r="G1036" i="1" s="1"/>
  <c r="B1037" i="1"/>
  <c r="C1037" i="1" s="1"/>
  <c r="G1037" i="1" s="1"/>
  <c r="B1038" i="1"/>
  <c r="C1038" i="1" s="1"/>
  <c r="G1038" i="1" s="1"/>
  <c r="B1039" i="1"/>
  <c r="C1039" i="1" s="1"/>
  <c r="G1039" i="1" s="1"/>
  <c r="B1040" i="1"/>
  <c r="C1040" i="1" s="1"/>
  <c r="G1040" i="1" s="1"/>
  <c r="B1041" i="1"/>
  <c r="C1041" i="1" s="1"/>
  <c r="G1041" i="1" s="1"/>
  <c r="B1042" i="1"/>
  <c r="C1042" i="1" s="1"/>
  <c r="G1042" i="1" s="1"/>
  <c r="B1043" i="1"/>
  <c r="C1043" i="1" s="1"/>
  <c r="G1043" i="1" s="1"/>
  <c r="B1044" i="1"/>
  <c r="C1044" i="1" s="1"/>
  <c r="G1044" i="1" s="1"/>
  <c r="B1045" i="1"/>
  <c r="C1045" i="1" s="1"/>
  <c r="G1045" i="1" s="1"/>
  <c r="B1046" i="1"/>
  <c r="C1046" i="1" s="1"/>
  <c r="G1046" i="1" s="1"/>
  <c r="B1047" i="1"/>
  <c r="C1047" i="1" s="1"/>
  <c r="G1047" i="1" s="1"/>
  <c r="B1048" i="1"/>
  <c r="C1048" i="1" s="1"/>
  <c r="G1048" i="1" s="1"/>
  <c r="B1049" i="1"/>
  <c r="C1049" i="1" s="1"/>
  <c r="G1049" i="1" s="1"/>
  <c r="B1050" i="1"/>
  <c r="C1050" i="1" s="1"/>
  <c r="G1050" i="1" s="1"/>
  <c r="B1051" i="1"/>
  <c r="C1051" i="1" s="1"/>
  <c r="G1051" i="1" s="1"/>
  <c r="B1052" i="1"/>
  <c r="C1052" i="1" s="1"/>
  <c r="G1052" i="1" s="1"/>
  <c r="B1053" i="1"/>
  <c r="C1053" i="1" s="1"/>
  <c r="G1053" i="1" s="1"/>
  <c r="B1054" i="1"/>
  <c r="C1054" i="1" s="1"/>
  <c r="G1054" i="1" s="1"/>
  <c r="B1055" i="1"/>
  <c r="C1055" i="1" s="1"/>
  <c r="G1055" i="1" s="1"/>
  <c r="B1056" i="1"/>
  <c r="C1056" i="1" s="1"/>
  <c r="G1056" i="1" s="1"/>
  <c r="B1057" i="1"/>
  <c r="C1057" i="1" s="1"/>
  <c r="G1057" i="1" s="1"/>
  <c r="B1058" i="1"/>
  <c r="C1058" i="1" s="1"/>
  <c r="G1058" i="1" s="1"/>
  <c r="B1059" i="1"/>
  <c r="C1059" i="1" s="1"/>
  <c r="G1059" i="1" s="1"/>
  <c r="B1060" i="1"/>
  <c r="C1060" i="1" s="1"/>
  <c r="G1060" i="1" s="1"/>
  <c r="B1061" i="1"/>
  <c r="C1061" i="1" s="1"/>
  <c r="G1061" i="1" s="1"/>
  <c r="B1062" i="1"/>
  <c r="C1062" i="1" s="1"/>
  <c r="G1062" i="1" s="1"/>
  <c r="B1063" i="1"/>
  <c r="C1063" i="1" s="1"/>
  <c r="G1063" i="1" s="1"/>
  <c r="B1064" i="1"/>
  <c r="C1064" i="1" s="1"/>
  <c r="G1064" i="1" s="1"/>
  <c r="B1065" i="1"/>
  <c r="C1065" i="1" s="1"/>
  <c r="G1065" i="1" s="1"/>
  <c r="B1066" i="1"/>
  <c r="C1066" i="1" s="1"/>
  <c r="G1066" i="1" s="1"/>
  <c r="B1067" i="1"/>
  <c r="C1067" i="1" s="1"/>
  <c r="G1067" i="1" s="1"/>
  <c r="B1068" i="1"/>
  <c r="C1068" i="1" s="1"/>
  <c r="G1068" i="1" s="1"/>
  <c r="B1069" i="1"/>
  <c r="C1069" i="1" s="1"/>
  <c r="G1069" i="1" s="1"/>
  <c r="B1070" i="1"/>
  <c r="C1070" i="1" s="1"/>
  <c r="G1070" i="1" s="1"/>
  <c r="B1071" i="1"/>
  <c r="C1071" i="1" s="1"/>
  <c r="G1071" i="1" s="1"/>
  <c r="B1072" i="1"/>
  <c r="C1072" i="1" s="1"/>
  <c r="G1072" i="1" s="1"/>
  <c r="B1073" i="1"/>
  <c r="C1073" i="1" s="1"/>
  <c r="G1073" i="1" s="1"/>
  <c r="B1074" i="1"/>
  <c r="C1074" i="1" s="1"/>
  <c r="G1074" i="1" s="1"/>
  <c r="B1075" i="1"/>
  <c r="C1075" i="1" s="1"/>
  <c r="G1075" i="1" s="1"/>
  <c r="B1076" i="1"/>
  <c r="C1076" i="1" s="1"/>
  <c r="G1076" i="1" s="1"/>
  <c r="B1077" i="1"/>
  <c r="C1077" i="1" s="1"/>
  <c r="G1077" i="1" s="1"/>
  <c r="B1078" i="1"/>
  <c r="C1078" i="1" s="1"/>
  <c r="G1078" i="1" s="1"/>
  <c r="B1079" i="1"/>
  <c r="C1079" i="1" s="1"/>
  <c r="G1079" i="1" s="1"/>
  <c r="B1080" i="1"/>
  <c r="C1080" i="1" s="1"/>
  <c r="G1080" i="1" s="1"/>
  <c r="B1081" i="1"/>
  <c r="C1081" i="1" s="1"/>
  <c r="G1081" i="1" s="1"/>
  <c r="B1082" i="1"/>
  <c r="C1082" i="1" s="1"/>
  <c r="G1082" i="1" s="1"/>
  <c r="B1083" i="1"/>
  <c r="C1083" i="1" s="1"/>
  <c r="G1083" i="1" s="1"/>
  <c r="B1084" i="1"/>
  <c r="C1084" i="1" s="1"/>
  <c r="G1084" i="1" s="1"/>
  <c r="B1085" i="1"/>
  <c r="C1085" i="1" s="1"/>
  <c r="G1085" i="1" s="1"/>
  <c r="B1086" i="1"/>
  <c r="C1086" i="1" s="1"/>
  <c r="G1086" i="1" s="1"/>
  <c r="B1087" i="1"/>
  <c r="C1087" i="1" s="1"/>
  <c r="G1087" i="1" s="1"/>
  <c r="B1088" i="1"/>
  <c r="C1088" i="1" s="1"/>
  <c r="G1088" i="1" s="1"/>
  <c r="B1089" i="1"/>
  <c r="C1089" i="1" s="1"/>
  <c r="G1089" i="1" s="1"/>
  <c r="B1090" i="1"/>
  <c r="C1090" i="1" s="1"/>
  <c r="G1090" i="1" s="1"/>
  <c r="B1091" i="1"/>
  <c r="C1091" i="1" s="1"/>
  <c r="G1091" i="1" s="1"/>
  <c r="B1092" i="1"/>
  <c r="C1092" i="1" s="1"/>
  <c r="G1092" i="1" s="1"/>
  <c r="B1093" i="1"/>
  <c r="C1093" i="1" s="1"/>
  <c r="G1093" i="1" s="1"/>
  <c r="B1094" i="1"/>
  <c r="C1094" i="1" s="1"/>
  <c r="G1094" i="1" s="1"/>
  <c r="B1095" i="1"/>
  <c r="C1095" i="1" s="1"/>
  <c r="G1095" i="1" s="1"/>
  <c r="B1096" i="1"/>
  <c r="C1096" i="1" s="1"/>
  <c r="G1096" i="1" s="1"/>
  <c r="B1097" i="1"/>
  <c r="C1097" i="1" s="1"/>
  <c r="G1097" i="1" s="1"/>
  <c r="B1098" i="1"/>
  <c r="C1098" i="1" s="1"/>
  <c r="G1098" i="1" s="1"/>
  <c r="B1099" i="1"/>
  <c r="C1099" i="1" s="1"/>
  <c r="G1099" i="1" s="1"/>
  <c r="B1100" i="1"/>
  <c r="C1100" i="1" s="1"/>
  <c r="G1100" i="1" s="1"/>
  <c r="B1101" i="1"/>
  <c r="C1101" i="1" s="1"/>
  <c r="G1101" i="1" s="1"/>
  <c r="B1102" i="1"/>
  <c r="C1102" i="1" s="1"/>
  <c r="G1102" i="1" s="1"/>
  <c r="B1103" i="1"/>
  <c r="C1103" i="1" s="1"/>
  <c r="G1103" i="1" s="1"/>
  <c r="B1104" i="1"/>
  <c r="C1104" i="1" s="1"/>
  <c r="G1104" i="1" s="1"/>
  <c r="B1105" i="1"/>
  <c r="C1105" i="1" s="1"/>
  <c r="G1105" i="1" s="1"/>
  <c r="B1106" i="1"/>
  <c r="C1106" i="1" s="1"/>
  <c r="G1106" i="1" s="1"/>
  <c r="B1107" i="1"/>
  <c r="C1107" i="1" s="1"/>
  <c r="G1107" i="1" s="1"/>
  <c r="B1108" i="1"/>
  <c r="C1108" i="1" s="1"/>
  <c r="G1108" i="1" s="1"/>
  <c r="B1109" i="1"/>
  <c r="C1109" i="1" s="1"/>
  <c r="G1109" i="1" s="1"/>
  <c r="B1110" i="1"/>
  <c r="C1110" i="1" s="1"/>
  <c r="G1110" i="1" s="1"/>
  <c r="B1111" i="1"/>
  <c r="C1111" i="1" s="1"/>
  <c r="G1111" i="1" s="1"/>
  <c r="B1112" i="1"/>
  <c r="C1112" i="1" s="1"/>
  <c r="G1112" i="1" s="1"/>
  <c r="B1113" i="1"/>
  <c r="C1113" i="1" s="1"/>
  <c r="G1113" i="1" s="1"/>
  <c r="B1114" i="1"/>
  <c r="C1114" i="1" s="1"/>
  <c r="G1114" i="1" s="1"/>
  <c r="B1115" i="1"/>
  <c r="C1115" i="1" s="1"/>
  <c r="G1115" i="1" s="1"/>
  <c r="B1116" i="1"/>
  <c r="C1116" i="1" s="1"/>
  <c r="G1116" i="1" s="1"/>
  <c r="B1117" i="1"/>
  <c r="C1117" i="1" s="1"/>
  <c r="G1117" i="1" s="1"/>
  <c r="B1118" i="1"/>
  <c r="C1118" i="1" s="1"/>
  <c r="G1118" i="1" s="1"/>
  <c r="B1119" i="1"/>
  <c r="C1119" i="1" s="1"/>
  <c r="G1119" i="1" s="1"/>
  <c r="B1120" i="1"/>
  <c r="C1120" i="1" s="1"/>
  <c r="G1120" i="1" s="1"/>
  <c r="B1121" i="1"/>
  <c r="C1121" i="1" s="1"/>
  <c r="G1121" i="1" s="1"/>
  <c r="B1122" i="1"/>
  <c r="C1122" i="1" s="1"/>
  <c r="G1122" i="1" s="1"/>
  <c r="B1123" i="1"/>
  <c r="C1123" i="1" s="1"/>
  <c r="G1123" i="1" s="1"/>
  <c r="B1124" i="1"/>
  <c r="C1124" i="1" s="1"/>
  <c r="G1124" i="1" s="1"/>
  <c r="B1125" i="1"/>
  <c r="C1125" i="1" s="1"/>
  <c r="G1125" i="1" s="1"/>
  <c r="B1126" i="1"/>
  <c r="C1126" i="1" s="1"/>
  <c r="G1126" i="1" s="1"/>
  <c r="B1127" i="1"/>
  <c r="C1127" i="1" s="1"/>
  <c r="G1127" i="1" s="1"/>
  <c r="B1128" i="1"/>
  <c r="C1128" i="1" s="1"/>
  <c r="G1128" i="1" s="1"/>
  <c r="B1129" i="1"/>
  <c r="C1129" i="1" s="1"/>
  <c r="G1129" i="1" s="1"/>
  <c r="B1130" i="1"/>
  <c r="C1130" i="1" s="1"/>
  <c r="G1130" i="1" s="1"/>
  <c r="B1131" i="1"/>
  <c r="C1131" i="1" s="1"/>
  <c r="G1131" i="1" s="1"/>
  <c r="B1132" i="1"/>
  <c r="C1132" i="1" s="1"/>
  <c r="G1132" i="1" s="1"/>
  <c r="B1133" i="1"/>
  <c r="C1133" i="1" s="1"/>
  <c r="G1133" i="1" s="1"/>
  <c r="B1134" i="1"/>
  <c r="C1134" i="1" s="1"/>
  <c r="G1134" i="1" s="1"/>
  <c r="B1135" i="1"/>
  <c r="C1135" i="1" s="1"/>
  <c r="G1135" i="1" s="1"/>
  <c r="B1136" i="1"/>
  <c r="C1136" i="1" s="1"/>
  <c r="G1136" i="1" s="1"/>
  <c r="B1137" i="1"/>
  <c r="C1137" i="1" s="1"/>
  <c r="G1137" i="1" s="1"/>
  <c r="B1138" i="1"/>
  <c r="C1138" i="1" s="1"/>
  <c r="G1138" i="1" s="1"/>
  <c r="B1139" i="1"/>
  <c r="C1139" i="1" s="1"/>
  <c r="G1139" i="1" s="1"/>
  <c r="B1140" i="1"/>
  <c r="C1140" i="1" s="1"/>
  <c r="G1140" i="1" s="1"/>
  <c r="B1141" i="1"/>
  <c r="C1141" i="1" s="1"/>
  <c r="G1141" i="1" s="1"/>
  <c r="B1142" i="1"/>
  <c r="C1142" i="1" s="1"/>
  <c r="G1142" i="1" s="1"/>
  <c r="B1143" i="1"/>
  <c r="C1143" i="1" s="1"/>
  <c r="G1143" i="1" s="1"/>
  <c r="B1144" i="1"/>
  <c r="C1144" i="1" s="1"/>
  <c r="G1144" i="1" s="1"/>
  <c r="B1145" i="1"/>
  <c r="C1145" i="1" s="1"/>
  <c r="G1145" i="1" s="1"/>
  <c r="B1146" i="1"/>
  <c r="C1146" i="1" s="1"/>
  <c r="G1146" i="1" s="1"/>
  <c r="B1147" i="1"/>
  <c r="C1147" i="1" s="1"/>
  <c r="G1147" i="1" s="1"/>
  <c r="B1148" i="1"/>
  <c r="C1148" i="1" s="1"/>
  <c r="G1148" i="1" s="1"/>
  <c r="B1149" i="1"/>
  <c r="C1149" i="1" s="1"/>
  <c r="G1149" i="1" s="1"/>
  <c r="B1150" i="1"/>
  <c r="C1150" i="1" s="1"/>
  <c r="G1150" i="1" s="1"/>
  <c r="B1151" i="1"/>
  <c r="C1151" i="1" s="1"/>
  <c r="G1151" i="1" s="1"/>
  <c r="B1152" i="1"/>
  <c r="C1152" i="1" s="1"/>
  <c r="G1152" i="1" s="1"/>
  <c r="B1153" i="1"/>
  <c r="C1153" i="1" s="1"/>
  <c r="G1153" i="1" s="1"/>
  <c r="B1154" i="1"/>
  <c r="C1154" i="1" s="1"/>
  <c r="G1154" i="1" s="1"/>
  <c r="B1155" i="1"/>
  <c r="C1155" i="1" s="1"/>
  <c r="G1155" i="1" s="1"/>
  <c r="B1156" i="1"/>
  <c r="C1156" i="1" s="1"/>
  <c r="G1156" i="1" s="1"/>
  <c r="B1157" i="1"/>
  <c r="C1157" i="1" s="1"/>
  <c r="G1157" i="1" s="1"/>
  <c r="B1158" i="1"/>
  <c r="C1158" i="1" s="1"/>
  <c r="G1158" i="1" s="1"/>
  <c r="B1159" i="1"/>
  <c r="C1159" i="1" s="1"/>
  <c r="G1159" i="1" s="1"/>
  <c r="B1160" i="1"/>
  <c r="C1160" i="1" s="1"/>
  <c r="G1160" i="1" s="1"/>
  <c r="B1161" i="1"/>
  <c r="C1161" i="1" s="1"/>
  <c r="G1161" i="1" s="1"/>
  <c r="B1162" i="1"/>
  <c r="C1162" i="1" s="1"/>
  <c r="G1162" i="1" s="1"/>
  <c r="B1163" i="1"/>
  <c r="C1163" i="1" s="1"/>
  <c r="G1163" i="1" s="1"/>
  <c r="B1164" i="1"/>
  <c r="C1164" i="1" s="1"/>
  <c r="G1164" i="1" s="1"/>
  <c r="B1165" i="1"/>
  <c r="C1165" i="1" s="1"/>
  <c r="G1165" i="1" s="1"/>
  <c r="B1166" i="1"/>
  <c r="C1166" i="1" s="1"/>
  <c r="G1166" i="1" s="1"/>
  <c r="B1167" i="1"/>
  <c r="C1167" i="1" s="1"/>
  <c r="G1167" i="1" s="1"/>
  <c r="B1168" i="1"/>
  <c r="C1168" i="1" s="1"/>
  <c r="G1168" i="1" s="1"/>
  <c r="B1169" i="1"/>
  <c r="C1169" i="1" s="1"/>
  <c r="G1169" i="1" s="1"/>
  <c r="B1170" i="1"/>
  <c r="C1170" i="1" s="1"/>
  <c r="G1170" i="1" s="1"/>
  <c r="B1171" i="1"/>
  <c r="C1171" i="1" s="1"/>
  <c r="G1171" i="1" s="1"/>
  <c r="B1172" i="1"/>
  <c r="C1172" i="1" s="1"/>
  <c r="G1172" i="1" s="1"/>
  <c r="B1173" i="1"/>
  <c r="C1173" i="1" s="1"/>
  <c r="G1173" i="1" s="1"/>
  <c r="B1174" i="1"/>
  <c r="C1174" i="1" s="1"/>
  <c r="G1174" i="1" s="1"/>
  <c r="B1175" i="1"/>
  <c r="C1175" i="1" s="1"/>
  <c r="G1175" i="1" s="1"/>
  <c r="B1176" i="1"/>
  <c r="C1176" i="1" s="1"/>
  <c r="G1176" i="1" s="1"/>
  <c r="B1177" i="1"/>
  <c r="C1177" i="1" s="1"/>
  <c r="G1177" i="1" s="1"/>
  <c r="B1178" i="1"/>
  <c r="C1178" i="1" s="1"/>
  <c r="G1178" i="1" s="1"/>
  <c r="B1179" i="1"/>
  <c r="C1179" i="1" s="1"/>
  <c r="G1179" i="1" s="1"/>
  <c r="B1180" i="1"/>
  <c r="C1180" i="1" s="1"/>
  <c r="G1180" i="1" s="1"/>
  <c r="B1181" i="1"/>
  <c r="C1181" i="1" s="1"/>
  <c r="G1181" i="1" s="1"/>
  <c r="B1182" i="1"/>
  <c r="C1182" i="1" s="1"/>
  <c r="G1182" i="1" s="1"/>
  <c r="B1183" i="1"/>
  <c r="C1183" i="1" s="1"/>
  <c r="G1183" i="1" s="1"/>
  <c r="B1184" i="1"/>
  <c r="C1184" i="1" s="1"/>
  <c r="G1184" i="1" s="1"/>
  <c r="B1185" i="1"/>
  <c r="C1185" i="1" s="1"/>
  <c r="G1185" i="1" s="1"/>
  <c r="B1186" i="1"/>
  <c r="C1186" i="1" s="1"/>
  <c r="G1186" i="1" s="1"/>
  <c r="B1187" i="1"/>
  <c r="C1187" i="1" s="1"/>
  <c r="G1187" i="1" s="1"/>
  <c r="B1188" i="1"/>
  <c r="C1188" i="1" s="1"/>
  <c r="G1188" i="1" s="1"/>
  <c r="B1189" i="1"/>
  <c r="C1189" i="1" s="1"/>
  <c r="G1189" i="1" s="1"/>
  <c r="B1190" i="1"/>
  <c r="C1190" i="1" s="1"/>
  <c r="G1190" i="1" s="1"/>
  <c r="B1191" i="1"/>
  <c r="C1191" i="1" s="1"/>
  <c r="G1191" i="1" s="1"/>
  <c r="B1192" i="1"/>
  <c r="C1192" i="1" s="1"/>
  <c r="G1192" i="1" s="1"/>
  <c r="B1193" i="1"/>
  <c r="C1193" i="1" s="1"/>
  <c r="G1193" i="1" s="1"/>
  <c r="B1194" i="1"/>
  <c r="C1194" i="1" s="1"/>
  <c r="G1194" i="1" s="1"/>
  <c r="B1195" i="1"/>
  <c r="C1195" i="1" s="1"/>
  <c r="G1195" i="1" s="1"/>
  <c r="B1196" i="1"/>
  <c r="C1196" i="1" s="1"/>
  <c r="G1196" i="1" s="1"/>
  <c r="B1197" i="1"/>
  <c r="C1197" i="1" s="1"/>
  <c r="G1197" i="1" s="1"/>
  <c r="B1198" i="1"/>
  <c r="C1198" i="1" s="1"/>
  <c r="G1198" i="1" s="1"/>
  <c r="B1199" i="1"/>
  <c r="C1199" i="1" s="1"/>
  <c r="G1199" i="1" s="1"/>
  <c r="B1200" i="1"/>
  <c r="C1200" i="1" s="1"/>
  <c r="G1200" i="1" s="1"/>
  <c r="B1201" i="1"/>
  <c r="C1201" i="1" s="1"/>
  <c r="G1201" i="1" s="1"/>
  <c r="B1202" i="1"/>
  <c r="C1202" i="1" s="1"/>
  <c r="G1202" i="1" s="1"/>
  <c r="B1203" i="1"/>
  <c r="C1203" i="1" s="1"/>
  <c r="G1203" i="1" s="1"/>
  <c r="B1204" i="1"/>
  <c r="C1204" i="1" s="1"/>
  <c r="G1204" i="1" s="1"/>
  <c r="B1205" i="1"/>
  <c r="C1205" i="1" s="1"/>
  <c r="G1205" i="1" s="1"/>
  <c r="B1206" i="1"/>
  <c r="C1206" i="1" s="1"/>
  <c r="G1206" i="1" s="1"/>
  <c r="B1207" i="1"/>
  <c r="C1207" i="1" s="1"/>
  <c r="G1207" i="1" s="1"/>
  <c r="B1208" i="1"/>
  <c r="C1208" i="1" s="1"/>
  <c r="G1208" i="1" s="1"/>
  <c r="B1209" i="1"/>
  <c r="C1209" i="1" s="1"/>
  <c r="G1209" i="1" s="1"/>
  <c r="B1210" i="1"/>
  <c r="C1210" i="1" s="1"/>
  <c r="G1210" i="1" s="1"/>
  <c r="B1211" i="1"/>
  <c r="C1211" i="1" s="1"/>
  <c r="G1211" i="1" s="1"/>
  <c r="B1212" i="1"/>
  <c r="C1212" i="1" s="1"/>
  <c r="G1212" i="1" s="1"/>
  <c r="B1213" i="1"/>
  <c r="C1213" i="1" s="1"/>
  <c r="G1213" i="1" s="1"/>
  <c r="B1214" i="1"/>
  <c r="C1214" i="1" s="1"/>
  <c r="G1214" i="1" s="1"/>
  <c r="B1215" i="1"/>
  <c r="C1215" i="1" s="1"/>
  <c r="G1215" i="1" s="1"/>
  <c r="B1216" i="1"/>
  <c r="C1216" i="1" s="1"/>
  <c r="G1216" i="1" s="1"/>
  <c r="B1217" i="1"/>
  <c r="C1217" i="1" s="1"/>
  <c r="G1217" i="1" s="1"/>
  <c r="B1218" i="1"/>
  <c r="C1218" i="1" s="1"/>
  <c r="G1218" i="1" s="1"/>
  <c r="B1219" i="1"/>
  <c r="C1219" i="1" s="1"/>
  <c r="G1219" i="1" s="1"/>
  <c r="B1220" i="1"/>
  <c r="C1220" i="1" s="1"/>
  <c r="G1220" i="1" s="1"/>
  <c r="B1221" i="1"/>
  <c r="C1221" i="1" s="1"/>
  <c r="G1221" i="1" s="1"/>
  <c r="B1222" i="1"/>
  <c r="C1222" i="1" s="1"/>
  <c r="G1222" i="1" s="1"/>
  <c r="B1223" i="1"/>
  <c r="C1223" i="1" s="1"/>
  <c r="G1223" i="1" s="1"/>
  <c r="B1224" i="1"/>
  <c r="C1224" i="1" s="1"/>
  <c r="G1224" i="1" s="1"/>
  <c r="B1225" i="1"/>
  <c r="C1225" i="1" s="1"/>
  <c r="G1225" i="1" s="1"/>
  <c r="B1226" i="1"/>
  <c r="C1226" i="1" s="1"/>
  <c r="G1226" i="1" s="1"/>
  <c r="B1227" i="1"/>
  <c r="C1227" i="1" s="1"/>
  <c r="G1227" i="1" s="1"/>
  <c r="B1228" i="1"/>
  <c r="C1228" i="1" s="1"/>
  <c r="G1228" i="1" s="1"/>
  <c r="B1229" i="1"/>
  <c r="C1229" i="1" s="1"/>
  <c r="G1229" i="1" s="1"/>
  <c r="B1230" i="1"/>
  <c r="C1230" i="1" s="1"/>
  <c r="G1230" i="1" s="1"/>
  <c r="B1231" i="1"/>
  <c r="C1231" i="1" s="1"/>
  <c r="G1231" i="1" s="1"/>
  <c r="B1232" i="1"/>
  <c r="C1232" i="1" s="1"/>
  <c r="G1232" i="1" s="1"/>
  <c r="B1233" i="1"/>
  <c r="C1233" i="1" s="1"/>
  <c r="G1233" i="1" s="1"/>
  <c r="B1234" i="1"/>
  <c r="C1234" i="1" s="1"/>
  <c r="G1234" i="1" s="1"/>
  <c r="B1235" i="1"/>
  <c r="C1235" i="1" s="1"/>
  <c r="G1235" i="1" s="1"/>
  <c r="B1236" i="1"/>
  <c r="C1236" i="1" s="1"/>
  <c r="G1236" i="1" s="1"/>
  <c r="B1237" i="1"/>
  <c r="C1237" i="1" s="1"/>
  <c r="G1237" i="1" s="1"/>
  <c r="B1238" i="1"/>
  <c r="C1238" i="1" s="1"/>
  <c r="G1238" i="1" s="1"/>
  <c r="B1239" i="1"/>
  <c r="C1239" i="1" s="1"/>
  <c r="G1239" i="1" s="1"/>
  <c r="B1240" i="1"/>
  <c r="C1240" i="1" s="1"/>
  <c r="G1240" i="1" s="1"/>
  <c r="B1241" i="1"/>
  <c r="C1241" i="1" s="1"/>
  <c r="G1241" i="1" s="1"/>
  <c r="B1242" i="1"/>
  <c r="C1242" i="1" s="1"/>
  <c r="G1242" i="1" s="1"/>
  <c r="B1243" i="1"/>
  <c r="C1243" i="1" s="1"/>
  <c r="G1243" i="1" s="1"/>
  <c r="B1244" i="1"/>
  <c r="C1244" i="1" s="1"/>
  <c r="G1244" i="1" s="1"/>
  <c r="B1245" i="1"/>
  <c r="C1245" i="1" s="1"/>
  <c r="G1245" i="1" s="1"/>
  <c r="B1246" i="1"/>
  <c r="C1246" i="1" s="1"/>
  <c r="G1246" i="1" s="1"/>
  <c r="B1247" i="1"/>
  <c r="C1247" i="1" s="1"/>
  <c r="G1247" i="1" s="1"/>
  <c r="B1248" i="1"/>
  <c r="C1248" i="1" s="1"/>
  <c r="G1248" i="1" s="1"/>
  <c r="B1249" i="1"/>
  <c r="C1249" i="1" s="1"/>
  <c r="G1249" i="1" s="1"/>
  <c r="B1250" i="1"/>
  <c r="C1250" i="1" s="1"/>
  <c r="G1250" i="1" s="1"/>
  <c r="B1251" i="1"/>
  <c r="C1251" i="1" s="1"/>
  <c r="G1251" i="1" s="1"/>
  <c r="B1252" i="1"/>
  <c r="C1252" i="1" s="1"/>
  <c r="G1252" i="1" s="1"/>
  <c r="B1253" i="1"/>
  <c r="C1253" i="1" s="1"/>
  <c r="G1253" i="1" s="1"/>
  <c r="B1254" i="1"/>
  <c r="C1254" i="1" s="1"/>
  <c r="G1254" i="1" s="1"/>
  <c r="B1255" i="1"/>
  <c r="C1255" i="1" s="1"/>
  <c r="G1255" i="1" s="1"/>
  <c r="B1256" i="1"/>
  <c r="C1256" i="1" s="1"/>
  <c r="G1256" i="1" s="1"/>
  <c r="B1257" i="1"/>
  <c r="C1257" i="1" s="1"/>
  <c r="G1257" i="1" s="1"/>
  <c r="B1258" i="1"/>
  <c r="C1258" i="1" s="1"/>
  <c r="G1258" i="1" s="1"/>
  <c r="B1259" i="1"/>
  <c r="C1259" i="1" s="1"/>
  <c r="G1259" i="1" s="1"/>
  <c r="B1260" i="1"/>
  <c r="C1260" i="1" s="1"/>
  <c r="G1260" i="1" s="1"/>
  <c r="B1261" i="1"/>
  <c r="C1261" i="1" s="1"/>
  <c r="G1261" i="1" s="1"/>
  <c r="B1262" i="1"/>
  <c r="C1262" i="1" s="1"/>
  <c r="G1262" i="1" s="1"/>
  <c r="B1263" i="1"/>
  <c r="C1263" i="1" s="1"/>
  <c r="G1263" i="1" s="1"/>
  <c r="B1264" i="1"/>
  <c r="C1264" i="1" s="1"/>
  <c r="G1264" i="1" s="1"/>
  <c r="B1265" i="1"/>
  <c r="C1265" i="1" s="1"/>
  <c r="G1265" i="1" s="1"/>
  <c r="B1266" i="1"/>
  <c r="C1266" i="1" s="1"/>
  <c r="G1266" i="1" s="1"/>
  <c r="B1267" i="1"/>
  <c r="C1267" i="1" s="1"/>
  <c r="G1267" i="1" s="1"/>
  <c r="B1268" i="1"/>
  <c r="C1268" i="1" s="1"/>
  <c r="G1268" i="1" s="1"/>
  <c r="B1269" i="1"/>
  <c r="C1269" i="1" s="1"/>
  <c r="G1269" i="1" s="1"/>
  <c r="B1270" i="1"/>
  <c r="C1270" i="1" s="1"/>
  <c r="G1270" i="1" s="1"/>
  <c r="B1271" i="1"/>
  <c r="C1271" i="1" s="1"/>
  <c r="G1271" i="1" s="1"/>
  <c r="B1272" i="1"/>
  <c r="C1272" i="1" s="1"/>
  <c r="G1272" i="1" s="1"/>
  <c r="B1273" i="1"/>
  <c r="C1273" i="1" s="1"/>
  <c r="G1273" i="1" s="1"/>
  <c r="B1274" i="1"/>
  <c r="C1274" i="1" s="1"/>
  <c r="G1274" i="1" s="1"/>
  <c r="B1275" i="1"/>
  <c r="C1275" i="1" s="1"/>
  <c r="G1275" i="1" s="1"/>
  <c r="B1276" i="1"/>
  <c r="C1276" i="1" s="1"/>
  <c r="G1276" i="1" s="1"/>
  <c r="B1277" i="1"/>
  <c r="C1277" i="1" s="1"/>
  <c r="G1277" i="1" s="1"/>
  <c r="B1278" i="1"/>
  <c r="C1278" i="1" s="1"/>
  <c r="G1278" i="1" s="1"/>
  <c r="B1279" i="1"/>
  <c r="C1279" i="1" s="1"/>
  <c r="G1279" i="1" s="1"/>
  <c r="B1280" i="1"/>
  <c r="C1280" i="1" s="1"/>
  <c r="G1280" i="1" s="1"/>
  <c r="B1281" i="1"/>
  <c r="C1281" i="1" s="1"/>
  <c r="G1281" i="1" s="1"/>
  <c r="B1282" i="1"/>
  <c r="C1282" i="1" s="1"/>
  <c r="G1282" i="1" s="1"/>
  <c r="B1283" i="1"/>
  <c r="C1283" i="1" s="1"/>
  <c r="G1283" i="1" s="1"/>
  <c r="B1284" i="1"/>
  <c r="C1284" i="1" s="1"/>
  <c r="G1284" i="1" s="1"/>
  <c r="B1285" i="1"/>
  <c r="C1285" i="1" s="1"/>
  <c r="G1285" i="1" s="1"/>
  <c r="B1286" i="1"/>
  <c r="C1286" i="1" s="1"/>
  <c r="G1286" i="1" s="1"/>
  <c r="B1287" i="1"/>
  <c r="C1287" i="1" s="1"/>
  <c r="G1287" i="1" s="1"/>
  <c r="B1288" i="1"/>
  <c r="C1288" i="1" s="1"/>
  <c r="G1288" i="1" s="1"/>
  <c r="B1289" i="1"/>
  <c r="C1289" i="1" s="1"/>
  <c r="G1289" i="1" s="1"/>
  <c r="B1290" i="1"/>
  <c r="C1290" i="1" s="1"/>
  <c r="G1290" i="1" s="1"/>
  <c r="B1291" i="1"/>
  <c r="C1291" i="1" s="1"/>
  <c r="G1291" i="1" s="1"/>
  <c r="B1292" i="1"/>
  <c r="C1292" i="1" s="1"/>
  <c r="G1292" i="1" s="1"/>
  <c r="B1293" i="1"/>
  <c r="C1293" i="1" s="1"/>
  <c r="G1293" i="1" s="1"/>
  <c r="B1294" i="1"/>
  <c r="C1294" i="1" s="1"/>
  <c r="G1294" i="1" s="1"/>
  <c r="B1295" i="1"/>
  <c r="C1295" i="1" s="1"/>
  <c r="G1295" i="1" s="1"/>
  <c r="B1296" i="1"/>
  <c r="C1296" i="1" s="1"/>
  <c r="G1296" i="1" s="1"/>
  <c r="B1297" i="1"/>
  <c r="C1297" i="1" s="1"/>
  <c r="G1297" i="1" s="1"/>
  <c r="B1298" i="1"/>
  <c r="C1298" i="1" s="1"/>
  <c r="G1298" i="1" s="1"/>
  <c r="B1299" i="1"/>
  <c r="C1299" i="1" s="1"/>
  <c r="G1299" i="1" s="1"/>
  <c r="B1300" i="1"/>
  <c r="C1300" i="1" s="1"/>
  <c r="G1300" i="1" s="1"/>
  <c r="B1301" i="1"/>
  <c r="C1301" i="1" s="1"/>
  <c r="G1301" i="1" s="1"/>
  <c r="B1302" i="1"/>
  <c r="C1302" i="1" s="1"/>
  <c r="G1302" i="1" s="1"/>
  <c r="B1303" i="1"/>
  <c r="C1303" i="1" s="1"/>
  <c r="G1303" i="1" s="1"/>
  <c r="B1304" i="1"/>
  <c r="C1304" i="1" s="1"/>
  <c r="G1304" i="1" s="1"/>
  <c r="B1305" i="1"/>
  <c r="C1305" i="1" s="1"/>
  <c r="G1305" i="1" s="1"/>
  <c r="B1306" i="1"/>
  <c r="C1306" i="1" s="1"/>
  <c r="G1306" i="1" s="1"/>
  <c r="B1307" i="1"/>
  <c r="C1307" i="1" s="1"/>
  <c r="G1307" i="1" s="1"/>
  <c r="B1308" i="1"/>
  <c r="C1308" i="1" s="1"/>
  <c r="G1308" i="1" s="1"/>
  <c r="B1309" i="1"/>
  <c r="C1309" i="1" s="1"/>
  <c r="G1309" i="1" s="1"/>
  <c r="B1310" i="1"/>
  <c r="C1310" i="1" s="1"/>
  <c r="G1310" i="1" s="1"/>
  <c r="B1311" i="1"/>
  <c r="C1311" i="1" s="1"/>
  <c r="G1311" i="1" s="1"/>
  <c r="B1312" i="1"/>
  <c r="C1312" i="1" s="1"/>
  <c r="G1312" i="1" s="1"/>
  <c r="B1313" i="1"/>
  <c r="C1313" i="1" s="1"/>
  <c r="G1313" i="1" s="1"/>
  <c r="B1314" i="1"/>
  <c r="C1314" i="1" s="1"/>
  <c r="G1314" i="1" s="1"/>
  <c r="B1315" i="1"/>
  <c r="C1315" i="1" s="1"/>
  <c r="G1315" i="1" s="1"/>
  <c r="B1316" i="1"/>
  <c r="C1316" i="1" s="1"/>
  <c r="G1316" i="1" s="1"/>
  <c r="B1317" i="1"/>
  <c r="C1317" i="1" s="1"/>
  <c r="G1317" i="1" s="1"/>
  <c r="B1318" i="1"/>
  <c r="C1318" i="1" s="1"/>
  <c r="G1318" i="1" s="1"/>
  <c r="B1319" i="1"/>
  <c r="C1319" i="1" s="1"/>
  <c r="G1319" i="1" s="1"/>
  <c r="B1320" i="1"/>
  <c r="C1320" i="1" s="1"/>
  <c r="G1320" i="1" s="1"/>
  <c r="B1321" i="1"/>
  <c r="C1321" i="1" s="1"/>
  <c r="G1321" i="1" s="1"/>
  <c r="B1322" i="1"/>
  <c r="C1322" i="1" s="1"/>
  <c r="G1322" i="1" s="1"/>
  <c r="B1323" i="1"/>
  <c r="C1323" i="1" s="1"/>
  <c r="G1323" i="1" s="1"/>
  <c r="B1324" i="1"/>
  <c r="C1324" i="1" s="1"/>
  <c r="G1324" i="1" s="1"/>
  <c r="B1325" i="1"/>
  <c r="C1325" i="1" s="1"/>
  <c r="G1325" i="1" s="1"/>
  <c r="B1326" i="1"/>
  <c r="C1326" i="1" s="1"/>
  <c r="G1326" i="1" s="1"/>
  <c r="B1327" i="1"/>
  <c r="C1327" i="1" s="1"/>
  <c r="G1327" i="1" s="1"/>
  <c r="B1328" i="1"/>
  <c r="C1328" i="1" s="1"/>
  <c r="G1328" i="1" s="1"/>
  <c r="B1329" i="1"/>
  <c r="C1329" i="1" s="1"/>
  <c r="G1329" i="1" s="1"/>
  <c r="B1330" i="1"/>
  <c r="C1330" i="1" s="1"/>
  <c r="G1330" i="1" s="1"/>
  <c r="B1331" i="1"/>
  <c r="C1331" i="1" s="1"/>
  <c r="G1331" i="1" s="1"/>
  <c r="B1332" i="1"/>
  <c r="C1332" i="1" s="1"/>
  <c r="G1332" i="1" s="1"/>
  <c r="B1333" i="1"/>
  <c r="C1333" i="1" s="1"/>
  <c r="G1333" i="1" s="1"/>
  <c r="B1334" i="1"/>
  <c r="C1334" i="1" s="1"/>
  <c r="G1334" i="1" s="1"/>
  <c r="B1335" i="1"/>
  <c r="C1335" i="1" s="1"/>
  <c r="G1335" i="1" s="1"/>
  <c r="B1336" i="1"/>
  <c r="C1336" i="1" s="1"/>
  <c r="G1336" i="1" s="1"/>
  <c r="B1337" i="1"/>
  <c r="C1337" i="1" s="1"/>
  <c r="G1337" i="1" s="1"/>
  <c r="B1338" i="1"/>
  <c r="C1338" i="1" s="1"/>
  <c r="G1338" i="1" s="1"/>
  <c r="B1339" i="1"/>
  <c r="C1339" i="1" s="1"/>
  <c r="G1339" i="1" s="1"/>
  <c r="B1340" i="1"/>
  <c r="C1340" i="1" s="1"/>
  <c r="G1340" i="1" s="1"/>
  <c r="B1341" i="1"/>
  <c r="C1341" i="1" s="1"/>
  <c r="G1341" i="1" s="1"/>
  <c r="B1342" i="1"/>
  <c r="C1342" i="1" s="1"/>
  <c r="G1342" i="1" s="1"/>
  <c r="B1343" i="1"/>
  <c r="C1343" i="1" s="1"/>
  <c r="G1343" i="1" s="1"/>
  <c r="B1344" i="1"/>
  <c r="C1344" i="1" s="1"/>
  <c r="G1344" i="1" s="1"/>
  <c r="B1345" i="1"/>
  <c r="C1345" i="1" s="1"/>
  <c r="G1345" i="1" s="1"/>
  <c r="B1346" i="1"/>
  <c r="C1346" i="1" s="1"/>
  <c r="G1346" i="1" s="1"/>
  <c r="B1347" i="1"/>
  <c r="C1347" i="1" s="1"/>
  <c r="G1347" i="1" s="1"/>
  <c r="B1348" i="1"/>
  <c r="C1348" i="1" s="1"/>
  <c r="G1348" i="1" s="1"/>
  <c r="B1349" i="1"/>
  <c r="C1349" i="1" s="1"/>
  <c r="G1349" i="1" s="1"/>
  <c r="B1350" i="1"/>
  <c r="C1350" i="1" s="1"/>
  <c r="G1350" i="1" s="1"/>
  <c r="B1351" i="1"/>
  <c r="C1351" i="1" s="1"/>
  <c r="G1351" i="1" s="1"/>
  <c r="B1352" i="1"/>
  <c r="C1352" i="1" s="1"/>
  <c r="G1352" i="1" s="1"/>
  <c r="B1353" i="1"/>
  <c r="C1353" i="1" s="1"/>
  <c r="G1353" i="1" s="1"/>
  <c r="B1354" i="1"/>
  <c r="C1354" i="1" s="1"/>
  <c r="G1354" i="1" s="1"/>
  <c r="B1355" i="1"/>
  <c r="C1355" i="1" s="1"/>
  <c r="G1355" i="1" s="1"/>
  <c r="B1356" i="1"/>
  <c r="C1356" i="1" s="1"/>
  <c r="G1356" i="1" s="1"/>
  <c r="B1357" i="1"/>
  <c r="C1357" i="1" s="1"/>
  <c r="G1357" i="1" s="1"/>
  <c r="B1358" i="1"/>
  <c r="C1358" i="1" s="1"/>
  <c r="G1358" i="1" s="1"/>
  <c r="B1359" i="1"/>
  <c r="C1359" i="1" s="1"/>
  <c r="G1359" i="1" s="1"/>
  <c r="B1360" i="1"/>
  <c r="C1360" i="1" s="1"/>
  <c r="G1360" i="1" s="1"/>
  <c r="B1361" i="1"/>
  <c r="C1361" i="1" s="1"/>
  <c r="G1361" i="1" s="1"/>
  <c r="B1362" i="1"/>
  <c r="C1362" i="1" s="1"/>
  <c r="G1362" i="1" s="1"/>
  <c r="B1363" i="1"/>
  <c r="C1363" i="1" s="1"/>
  <c r="G1363" i="1" s="1"/>
  <c r="B1364" i="1"/>
  <c r="C1364" i="1" s="1"/>
  <c r="G1364" i="1" s="1"/>
  <c r="B1365" i="1"/>
  <c r="C1365" i="1" s="1"/>
  <c r="G1365" i="1" s="1"/>
  <c r="B1366" i="1"/>
  <c r="C1366" i="1" s="1"/>
  <c r="G1366" i="1" s="1"/>
  <c r="B1367" i="1"/>
  <c r="C1367" i="1" s="1"/>
  <c r="G1367" i="1" s="1"/>
  <c r="B1368" i="1"/>
  <c r="C1368" i="1" s="1"/>
  <c r="G1368" i="1" s="1"/>
  <c r="B1369" i="1"/>
  <c r="C1369" i="1" s="1"/>
  <c r="G1369" i="1" s="1"/>
  <c r="B1370" i="1"/>
  <c r="C1370" i="1" s="1"/>
  <c r="G1370" i="1" s="1"/>
  <c r="B1371" i="1"/>
  <c r="C1371" i="1" s="1"/>
  <c r="G1371" i="1" s="1"/>
  <c r="B1372" i="1"/>
  <c r="C1372" i="1" s="1"/>
  <c r="G1372" i="1" s="1"/>
  <c r="B1373" i="1"/>
  <c r="C1373" i="1" s="1"/>
  <c r="G1373" i="1" s="1"/>
  <c r="B1374" i="1"/>
  <c r="C1374" i="1" s="1"/>
  <c r="G1374" i="1" s="1"/>
  <c r="B1375" i="1"/>
  <c r="C1375" i="1" s="1"/>
  <c r="G1375" i="1" s="1"/>
  <c r="B1376" i="1"/>
  <c r="C1376" i="1" s="1"/>
  <c r="G1376" i="1" s="1"/>
  <c r="B1377" i="1"/>
  <c r="C1377" i="1" s="1"/>
  <c r="G1377" i="1" s="1"/>
  <c r="B1378" i="1"/>
  <c r="C1378" i="1" s="1"/>
  <c r="G1378" i="1" s="1"/>
  <c r="B1379" i="1"/>
  <c r="C1379" i="1" s="1"/>
  <c r="G1379" i="1" s="1"/>
  <c r="B1380" i="1"/>
  <c r="C1380" i="1" s="1"/>
  <c r="G1380" i="1" s="1"/>
  <c r="B1381" i="1"/>
  <c r="C1381" i="1" s="1"/>
  <c r="G1381" i="1" s="1"/>
  <c r="B1382" i="1"/>
  <c r="C1382" i="1" s="1"/>
  <c r="G1382" i="1" s="1"/>
  <c r="B1383" i="1"/>
  <c r="C1383" i="1" s="1"/>
  <c r="G1383" i="1" s="1"/>
  <c r="B1384" i="1"/>
  <c r="C1384" i="1" s="1"/>
  <c r="G1384" i="1" s="1"/>
  <c r="B1385" i="1"/>
  <c r="C1385" i="1" s="1"/>
  <c r="G1385" i="1" s="1"/>
  <c r="B1386" i="1"/>
  <c r="C1386" i="1" s="1"/>
  <c r="G1386" i="1" s="1"/>
  <c r="B1387" i="1"/>
  <c r="C1387" i="1" s="1"/>
  <c r="G1387" i="1" s="1"/>
  <c r="B1388" i="1"/>
  <c r="C1388" i="1" s="1"/>
  <c r="G1388" i="1" s="1"/>
  <c r="B1389" i="1"/>
  <c r="C1389" i="1" s="1"/>
  <c r="G1389" i="1" s="1"/>
  <c r="B1390" i="1"/>
  <c r="C1390" i="1" s="1"/>
  <c r="G1390" i="1" s="1"/>
  <c r="B1391" i="1"/>
  <c r="C1391" i="1" s="1"/>
  <c r="G1391" i="1" s="1"/>
  <c r="B1392" i="1"/>
  <c r="C1392" i="1" s="1"/>
  <c r="G1392" i="1" s="1"/>
  <c r="B1393" i="1"/>
  <c r="C1393" i="1" s="1"/>
  <c r="G1393" i="1" s="1"/>
  <c r="B1394" i="1"/>
  <c r="C1394" i="1" s="1"/>
  <c r="G1394" i="1" s="1"/>
  <c r="B1395" i="1"/>
  <c r="C1395" i="1" s="1"/>
  <c r="G1395" i="1" s="1"/>
  <c r="B1396" i="1"/>
  <c r="C1396" i="1" s="1"/>
  <c r="G1396" i="1" s="1"/>
  <c r="B1397" i="1"/>
  <c r="C1397" i="1" s="1"/>
  <c r="G1397" i="1" s="1"/>
  <c r="B1398" i="1"/>
  <c r="C1398" i="1" s="1"/>
  <c r="G1398" i="1" s="1"/>
  <c r="B1399" i="1"/>
  <c r="C1399" i="1" s="1"/>
  <c r="G1399" i="1" s="1"/>
  <c r="B1400" i="1"/>
  <c r="C1400" i="1" s="1"/>
  <c r="G1400" i="1" s="1"/>
  <c r="B1401" i="1"/>
  <c r="C1401" i="1" s="1"/>
  <c r="G1401" i="1" s="1"/>
  <c r="B1402" i="1"/>
  <c r="C1402" i="1" s="1"/>
  <c r="G1402" i="1" s="1"/>
  <c r="B1403" i="1"/>
  <c r="C1403" i="1" s="1"/>
  <c r="G1403" i="1" s="1"/>
  <c r="B1404" i="1"/>
  <c r="C1404" i="1" s="1"/>
  <c r="G1404" i="1" s="1"/>
  <c r="B1405" i="1"/>
  <c r="C1405" i="1" s="1"/>
  <c r="G1405" i="1" s="1"/>
  <c r="B1406" i="1"/>
  <c r="C1406" i="1" s="1"/>
  <c r="G1406" i="1" s="1"/>
  <c r="B1407" i="1"/>
  <c r="C1407" i="1" s="1"/>
  <c r="G1407" i="1" s="1"/>
  <c r="B1408" i="1"/>
  <c r="C1408" i="1" s="1"/>
  <c r="G1408" i="1" s="1"/>
  <c r="B1409" i="1"/>
  <c r="C1409" i="1" s="1"/>
  <c r="G1409" i="1" s="1"/>
  <c r="B1410" i="1"/>
  <c r="C1410" i="1" s="1"/>
  <c r="G1410" i="1" s="1"/>
  <c r="B1411" i="1"/>
  <c r="C1411" i="1" s="1"/>
  <c r="G1411" i="1" s="1"/>
  <c r="B1412" i="1"/>
  <c r="C1412" i="1" s="1"/>
  <c r="G1412" i="1" s="1"/>
  <c r="B1413" i="1"/>
  <c r="C1413" i="1" s="1"/>
  <c r="G1413" i="1" s="1"/>
  <c r="B1414" i="1"/>
  <c r="C1414" i="1" s="1"/>
  <c r="G1414" i="1" s="1"/>
  <c r="B1415" i="1"/>
  <c r="C1415" i="1" s="1"/>
  <c r="G1415" i="1" s="1"/>
  <c r="B1416" i="1"/>
  <c r="C1416" i="1" s="1"/>
  <c r="G1416" i="1" s="1"/>
  <c r="B1417" i="1"/>
  <c r="C1417" i="1" s="1"/>
  <c r="G1417" i="1" s="1"/>
  <c r="B1418" i="1"/>
  <c r="C1418" i="1" s="1"/>
  <c r="G1418" i="1" s="1"/>
  <c r="B1419" i="1"/>
  <c r="C1419" i="1" s="1"/>
  <c r="G1419" i="1" s="1"/>
  <c r="B1420" i="1"/>
  <c r="C1420" i="1" s="1"/>
  <c r="G1420" i="1" s="1"/>
  <c r="B1421" i="1"/>
  <c r="C1421" i="1" s="1"/>
  <c r="G1421" i="1" s="1"/>
  <c r="B1422" i="1"/>
  <c r="C1422" i="1" s="1"/>
  <c r="G1422" i="1" s="1"/>
  <c r="B1423" i="1"/>
  <c r="C1423" i="1" s="1"/>
  <c r="G1423" i="1" s="1"/>
  <c r="B1424" i="1"/>
  <c r="C1424" i="1" s="1"/>
  <c r="G1424" i="1" s="1"/>
  <c r="B1425" i="1"/>
  <c r="C1425" i="1" s="1"/>
  <c r="G1425" i="1" s="1"/>
  <c r="B1426" i="1"/>
  <c r="C1426" i="1" s="1"/>
  <c r="G1426" i="1" s="1"/>
  <c r="B1427" i="1"/>
  <c r="C1427" i="1" s="1"/>
  <c r="G1427" i="1" s="1"/>
  <c r="B1428" i="1"/>
  <c r="C1428" i="1" s="1"/>
  <c r="G1428" i="1" s="1"/>
  <c r="B1429" i="1"/>
  <c r="C1429" i="1" s="1"/>
  <c r="G1429" i="1" s="1"/>
  <c r="B1430" i="1"/>
  <c r="C1430" i="1" s="1"/>
  <c r="G1430" i="1" s="1"/>
  <c r="B1431" i="1"/>
  <c r="C1431" i="1" s="1"/>
  <c r="G1431" i="1" s="1"/>
  <c r="B1432" i="1"/>
  <c r="C1432" i="1" s="1"/>
  <c r="G1432" i="1" s="1"/>
  <c r="B1433" i="1"/>
  <c r="C1433" i="1" s="1"/>
  <c r="G1433" i="1" s="1"/>
  <c r="B1434" i="1"/>
  <c r="C1434" i="1" s="1"/>
  <c r="G1434" i="1" s="1"/>
  <c r="B1435" i="1"/>
  <c r="C1435" i="1" s="1"/>
  <c r="G1435" i="1" s="1"/>
  <c r="B1436" i="1"/>
  <c r="C1436" i="1" s="1"/>
  <c r="G1436" i="1" s="1"/>
  <c r="B1437" i="1"/>
  <c r="C1437" i="1" s="1"/>
  <c r="G1437" i="1" s="1"/>
  <c r="B1438" i="1"/>
  <c r="C1438" i="1" s="1"/>
  <c r="G1438" i="1" s="1"/>
  <c r="B1439" i="1"/>
  <c r="C1439" i="1" s="1"/>
  <c r="G1439" i="1" s="1"/>
  <c r="B1440" i="1"/>
  <c r="C1440" i="1" s="1"/>
  <c r="G1440" i="1" s="1"/>
  <c r="B1441" i="1"/>
  <c r="C1441" i="1" s="1"/>
  <c r="G1441" i="1" s="1"/>
  <c r="B1442" i="1"/>
  <c r="C1442" i="1" s="1"/>
  <c r="G1442" i="1" s="1"/>
  <c r="B1443" i="1"/>
  <c r="C1443" i="1" s="1"/>
  <c r="G1443" i="1" s="1"/>
  <c r="B1444" i="1"/>
  <c r="C1444" i="1" s="1"/>
  <c r="G1444" i="1" s="1"/>
  <c r="B1445" i="1"/>
  <c r="C1445" i="1" s="1"/>
  <c r="G1445" i="1" s="1"/>
  <c r="B1446" i="1"/>
  <c r="C1446" i="1" s="1"/>
  <c r="G1446" i="1" s="1"/>
  <c r="B1447" i="1"/>
  <c r="C1447" i="1" s="1"/>
  <c r="G1447" i="1" s="1"/>
  <c r="B1448" i="1"/>
  <c r="C1448" i="1" s="1"/>
  <c r="G1448" i="1" s="1"/>
  <c r="B1449" i="1"/>
  <c r="C1449" i="1" s="1"/>
  <c r="G1449" i="1" s="1"/>
  <c r="B1450" i="1"/>
  <c r="C1450" i="1" s="1"/>
  <c r="G1450" i="1" s="1"/>
  <c r="B1451" i="1"/>
  <c r="C1451" i="1" s="1"/>
  <c r="G1451" i="1" s="1"/>
  <c r="B1452" i="1"/>
  <c r="C1452" i="1" s="1"/>
  <c r="G1452" i="1" s="1"/>
  <c r="B1453" i="1"/>
  <c r="C1453" i="1" s="1"/>
  <c r="G1453" i="1" s="1"/>
  <c r="B1454" i="1"/>
  <c r="C1454" i="1" s="1"/>
  <c r="G1454" i="1" s="1"/>
  <c r="B1455" i="1"/>
  <c r="C1455" i="1" s="1"/>
  <c r="G1455" i="1" s="1"/>
  <c r="B1456" i="1"/>
  <c r="C1456" i="1" s="1"/>
  <c r="G1456" i="1" s="1"/>
  <c r="B1457" i="1"/>
  <c r="C1457" i="1" s="1"/>
  <c r="G1457" i="1" s="1"/>
  <c r="B1458" i="1"/>
  <c r="C1458" i="1" s="1"/>
  <c r="G1458" i="1" s="1"/>
  <c r="B1459" i="1"/>
  <c r="C1459" i="1" s="1"/>
  <c r="G1459" i="1" s="1"/>
  <c r="B1460" i="1"/>
  <c r="C1460" i="1" s="1"/>
  <c r="G1460" i="1" s="1"/>
  <c r="B1461" i="1"/>
  <c r="C1461" i="1" s="1"/>
  <c r="G1461" i="1" s="1"/>
  <c r="B1462" i="1"/>
  <c r="C1462" i="1" s="1"/>
  <c r="G1462" i="1" s="1"/>
  <c r="B1463" i="1"/>
  <c r="C1463" i="1" s="1"/>
  <c r="G1463" i="1" s="1"/>
  <c r="B1464" i="1"/>
  <c r="C1464" i="1" s="1"/>
  <c r="G1464" i="1" s="1"/>
  <c r="B1465" i="1"/>
  <c r="C1465" i="1" s="1"/>
  <c r="G1465" i="1" s="1"/>
  <c r="B1466" i="1"/>
  <c r="C1466" i="1" s="1"/>
  <c r="G1466" i="1" s="1"/>
  <c r="B1467" i="1"/>
  <c r="C1467" i="1" s="1"/>
  <c r="G1467" i="1" s="1"/>
  <c r="B1468" i="1"/>
  <c r="C1468" i="1" s="1"/>
  <c r="G1468" i="1" s="1"/>
  <c r="B1469" i="1"/>
  <c r="C1469" i="1" s="1"/>
  <c r="G1469" i="1" s="1"/>
  <c r="B1470" i="1"/>
  <c r="C1470" i="1" s="1"/>
  <c r="G1470" i="1" s="1"/>
  <c r="B1471" i="1"/>
  <c r="C1471" i="1" s="1"/>
  <c r="G1471" i="1" s="1"/>
  <c r="B1472" i="1"/>
  <c r="C1472" i="1" s="1"/>
  <c r="G1472" i="1" s="1"/>
  <c r="B1473" i="1"/>
  <c r="C1473" i="1" s="1"/>
  <c r="G1473" i="1" s="1"/>
  <c r="B1474" i="1"/>
  <c r="C1474" i="1" s="1"/>
  <c r="G1474" i="1" s="1"/>
  <c r="B1475" i="1"/>
  <c r="C1475" i="1" s="1"/>
  <c r="G1475" i="1" s="1"/>
  <c r="B1476" i="1"/>
  <c r="C1476" i="1" s="1"/>
  <c r="G1476" i="1" s="1"/>
  <c r="B1477" i="1"/>
  <c r="C1477" i="1" s="1"/>
  <c r="G1477" i="1" s="1"/>
  <c r="B1478" i="1"/>
  <c r="C1478" i="1" s="1"/>
  <c r="G1478" i="1" s="1"/>
  <c r="B1479" i="1"/>
  <c r="C1479" i="1" s="1"/>
  <c r="G1479" i="1" s="1"/>
  <c r="B1480" i="1"/>
  <c r="C1480" i="1" s="1"/>
  <c r="G1480" i="1" s="1"/>
  <c r="B1481" i="1"/>
  <c r="C1481" i="1" s="1"/>
  <c r="G1481" i="1" s="1"/>
  <c r="B1482" i="1"/>
  <c r="C1482" i="1" s="1"/>
  <c r="G1482" i="1" s="1"/>
  <c r="B1483" i="1"/>
  <c r="C1483" i="1" s="1"/>
  <c r="G1483" i="1" s="1"/>
  <c r="B1484" i="1"/>
  <c r="C1484" i="1" s="1"/>
  <c r="G1484" i="1" s="1"/>
  <c r="B1485" i="1"/>
  <c r="C1485" i="1" s="1"/>
  <c r="G1485" i="1" s="1"/>
  <c r="B1486" i="1"/>
  <c r="C1486" i="1" s="1"/>
  <c r="G1486" i="1" s="1"/>
  <c r="B1487" i="1"/>
  <c r="C1487" i="1" s="1"/>
  <c r="G1487" i="1" s="1"/>
  <c r="B1488" i="1"/>
  <c r="C1488" i="1" s="1"/>
  <c r="G1488" i="1" s="1"/>
  <c r="B1489" i="1"/>
  <c r="C1489" i="1" s="1"/>
  <c r="G1489" i="1" s="1"/>
  <c r="B1490" i="1"/>
  <c r="C1490" i="1" s="1"/>
  <c r="G1490" i="1" s="1"/>
  <c r="B1491" i="1"/>
  <c r="C1491" i="1" s="1"/>
  <c r="G1491" i="1" s="1"/>
  <c r="B1492" i="1"/>
  <c r="C1492" i="1" s="1"/>
  <c r="G1492" i="1" s="1"/>
  <c r="B1493" i="1"/>
  <c r="C1493" i="1" s="1"/>
  <c r="G1493" i="1" s="1"/>
  <c r="B1494" i="1"/>
  <c r="C1494" i="1" s="1"/>
  <c r="G1494" i="1" s="1"/>
  <c r="B1495" i="1"/>
  <c r="C1495" i="1" s="1"/>
  <c r="G1495" i="1" s="1"/>
  <c r="B1496" i="1"/>
  <c r="C1496" i="1" s="1"/>
  <c r="G1496" i="1" s="1"/>
  <c r="B1497" i="1"/>
  <c r="C1497" i="1" s="1"/>
  <c r="G1497" i="1" s="1"/>
  <c r="B1498" i="1"/>
  <c r="C1498" i="1" s="1"/>
  <c r="G1498" i="1" s="1"/>
  <c r="B1499" i="1"/>
  <c r="C1499" i="1" s="1"/>
  <c r="G1499" i="1" s="1"/>
  <c r="B1500" i="1"/>
  <c r="C1500" i="1" s="1"/>
  <c r="G1500" i="1" s="1"/>
  <c r="B1501" i="1"/>
  <c r="C1501" i="1" s="1"/>
  <c r="G1501" i="1" s="1"/>
  <c r="B1502" i="1"/>
  <c r="C1502" i="1" s="1"/>
  <c r="G1502" i="1" s="1"/>
  <c r="B1503" i="1"/>
  <c r="C1503" i="1" s="1"/>
  <c r="G1503" i="1" s="1"/>
  <c r="B1504" i="1"/>
  <c r="C1504" i="1" s="1"/>
  <c r="G1504" i="1" s="1"/>
  <c r="B1505" i="1"/>
  <c r="C1505" i="1" s="1"/>
  <c r="G1505" i="1" s="1"/>
  <c r="B1506" i="1"/>
  <c r="C1506" i="1" s="1"/>
  <c r="G1506" i="1" s="1"/>
  <c r="B1507" i="1"/>
  <c r="C1507" i="1" s="1"/>
  <c r="G1507" i="1" s="1"/>
  <c r="B1508" i="1"/>
  <c r="C1508" i="1" s="1"/>
  <c r="G1508" i="1" s="1"/>
  <c r="B1509" i="1"/>
  <c r="C1509" i="1" s="1"/>
  <c r="G1509" i="1" s="1"/>
  <c r="B1510" i="1"/>
  <c r="C1510" i="1" s="1"/>
  <c r="G1510" i="1" s="1"/>
  <c r="B1511" i="1"/>
  <c r="C1511" i="1" s="1"/>
  <c r="G1511" i="1" s="1"/>
  <c r="B1512" i="1"/>
  <c r="C1512" i="1" s="1"/>
  <c r="G1512" i="1" s="1"/>
  <c r="B1513" i="1"/>
  <c r="C1513" i="1" s="1"/>
  <c r="G1513" i="1" s="1"/>
  <c r="B1514" i="1"/>
  <c r="C1514" i="1" s="1"/>
  <c r="G1514" i="1" s="1"/>
  <c r="B1515" i="1"/>
  <c r="C1515" i="1" s="1"/>
  <c r="G1515" i="1" s="1"/>
  <c r="B1516" i="1"/>
  <c r="C1516" i="1" s="1"/>
  <c r="G1516" i="1" s="1"/>
  <c r="B1517" i="1"/>
  <c r="C1517" i="1" s="1"/>
  <c r="G1517" i="1" s="1"/>
  <c r="B1518" i="1"/>
  <c r="C1518" i="1" s="1"/>
  <c r="G1518" i="1" s="1"/>
  <c r="B1519" i="1"/>
  <c r="C1519" i="1" s="1"/>
  <c r="G1519" i="1" s="1"/>
  <c r="B1520" i="1"/>
  <c r="C1520" i="1" s="1"/>
  <c r="G1520" i="1" s="1"/>
  <c r="B1521" i="1"/>
  <c r="C1521" i="1" s="1"/>
  <c r="G1521" i="1" s="1"/>
  <c r="B1522" i="1"/>
  <c r="C1522" i="1" s="1"/>
  <c r="G1522" i="1" s="1"/>
  <c r="B1523" i="1"/>
  <c r="C1523" i="1" s="1"/>
  <c r="G1523" i="1" s="1"/>
  <c r="B1524" i="1"/>
  <c r="C1524" i="1" s="1"/>
  <c r="G1524" i="1" s="1"/>
  <c r="B1525" i="1"/>
  <c r="C1525" i="1" s="1"/>
  <c r="G1525" i="1" s="1"/>
  <c r="B1526" i="1"/>
  <c r="C1526" i="1" s="1"/>
  <c r="G1526" i="1" s="1"/>
  <c r="B1527" i="1"/>
  <c r="C1527" i="1" s="1"/>
  <c r="G1527" i="1" s="1"/>
  <c r="B1528" i="1"/>
  <c r="C1528" i="1" s="1"/>
  <c r="G1528" i="1" s="1"/>
  <c r="B1529" i="1"/>
  <c r="C1529" i="1" s="1"/>
  <c r="G1529" i="1" s="1"/>
  <c r="B1530" i="1"/>
  <c r="C1530" i="1" s="1"/>
  <c r="G1530" i="1" s="1"/>
  <c r="B1531" i="1"/>
  <c r="C1531" i="1" s="1"/>
  <c r="G1531" i="1" s="1"/>
  <c r="B1532" i="1"/>
  <c r="C1532" i="1" s="1"/>
  <c r="G1532" i="1" s="1"/>
  <c r="B1533" i="1"/>
  <c r="C1533" i="1" s="1"/>
  <c r="G1533" i="1" s="1"/>
  <c r="B1534" i="1"/>
  <c r="C1534" i="1" s="1"/>
  <c r="G1534" i="1" s="1"/>
  <c r="B1535" i="1"/>
  <c r="C1535" i="1" s="1"/>
  <c r="G1535" i="1" s="1"/>
  <c r="B1536" i="1"/>
  <c r="C1536" i="1" s="1"/>
  <c r="G1536" i="1" s="1"/>
  <c r="B1537" i="1"/>
  <c r="C1537" i="1" s="1"/>
  <c r="G1537" i="1" s="1"/>
  <c r="B1538" i="1"/>
  <c r="C1538" i="1" s="1"/>
  <c r="G1538" i="1" s="1"/>
  <c r="B1539" i="1"/>
  <c r="C1539" i="1" s="1"/>
  <c r="G1539" i="1" s="1"/>
  <c r="B1540" i="1"/>
  <c r="C1540" i="1" s="1"/>
  <c r="G1540" i="1" s="1"/>
  <c r="B1541" i="1"/>
  <c r="C1541" i="1" s="1"/>
  <c r="G1541" i="1" s="1"/>
  <c r="B1542" i="1"/>
  <c r="C1542" i="1" s="1"/>
  <c r="G1542" i="1" s="1"/>
  <c r="B1543" i="1"/>
  <c r="C1543" i="1" s="1"/>
  <c r="G1543" i="1" s="1"/>
  <c r="B1544" i="1"/>
  <c r="C1544" i="1" s="1"/>
  <c r="G1544" i="1" s="1"/>
  <c r="B1545" i="1"/>
  <c r="C1545" i="1" s="1"/>
  <c r="G1545" i="1" s="1"/>
  <c r="B1546" i="1"/>
  <c r="C1546" i="1" s="1"/>
  <c r="G1546" i="1" s="1"/>
  <c r="B1547" i="1"/>
  <c r="C1547" i="1" s="1"/>
  <c r="G1547" i="1" s="1"/>
  <c r="B1548" i="1"/>
  <c r="C1548" i="1" s="1"/>
  <c r="G1548" i="1" s="1"/>
  <c r="B1549" i="1"/>
  <c r="C1549" i="1" s="1"/>
  <c r="G1549" i="1" s="1"/>
  <c r="B1550" i="1"/>
  <c r="C1550" i="1" s="1"/>
  <c r="G1550" i="1" s="1"/>
  <c r="B1551" i="1"/>
  <c r="C1551" i="1" s="1"/>
  <c r="G1551" i="1" s="1"/>
  <c r="B1552" i="1"/>
  <c r="C1552" i="1" s="1"/>
  <c r="G1552" i="1" s="1"/>
  <c r="B1553" i="1"/>
  <c r="C1553" i="1" s="1"/>
  <c r="G1553" i="1" s="1"/>
  <c r="B1554" i="1"/>
  <c r="C1554" i="1" s="1"/>
  <c r="G1554" i="1" s="1"/>
  <c r="B1555" i="1"/>
  <c r="C1555" i="1" s="1"/>
  <c r="G1555" i="1" s="1"/>
  <c r="B1556" i="1"/>
  <c r="C1556" i="1" s="1"/>
  <c r="G1556" i="1" s="1"/>
  <c r="B1557" i="1"/>
  <c r="C1557" i="1" s="1"/>
  <c r="G1557" i="1" s="1"/>
  <c r="B1558" i="1"/>
  <c r="C1558" i="1" s="1"/>
  <c r="G1558" i="1" s="1"/>
  <c r="B1559" i="1"/>
  <c r="C1559" i="1" s="1"/>
  <c r="G1559" i="1" s="1"/>
  <c r="B1560" i="1"/>
  <c r="C1560" i="1" s="1"/>
  <c r="G1560" i="1" s="1"/>
  <c r="B1561" i="1"/>
  <c r="C1561" i="1" s="1"/>
  <c r="G1561" i="1" s="1"/>
  <c r="B1562" i="1"/>
  <c r="C1562" i="1" s="1"/>
  <c r="G1562" i="1" s="1"/>
  <c r="B1563" i="1"/>
  <c r="C1563" i="1" s="1"/>
  <c r="G1563" i="1" s="1"/>
  <c r="B1564" i="1"/>
  <c r="C1564" i="1" s="1"/>
  <c r="G1564" i="1" s="1"/>
  <c r="B1565" i="1"/>
  <c r="C1565" i="1" s="1"/>
  <c r="G1565" i="1" s="1"/>
  <c r="B1566" i="1"/>
  <c r="C1566" i="1" s="1"/>
  <c r="G1566" i="1" s="1"/>
  <c r="B1567" i="1"/>
  <c r="C1567" i="1" s="1"/>
  <c r="G1567" i="1" s="1"/>
  <c r="B1568" i="1"/>
  <c r="C1568" i="1" s="1"/>
  <c r="G1568" i="1" s="1"/>
  <c r="B1569" i="1"/>
  <c r="C1569" i="1" s="1"/>
  <c r="G1569" i="1" s="1"/>
  <c r="B1570" i="1"/>
  <c r="C1570" i="1" s="1"/>
  <c r="G1570" i="1" s="1"/>
  <c r="B1571" i="1"/>
  <c r="C1571" i="1" s="1"/>
  <c r="G1571" i="1" s="1"/>
  <c r="B1572" i="1"/>
  <c r="C1572" i="1" s="1"/>
  <c r="G1572" i="1" s="1"/>
  <c r="B1573" i="1"/>
  <c r="C1573" i="1" s="1"/>
  <c r="G1573" i="1" s="1"/>
  <c r="B1574" i="1"/>
  <c r="C1574" i="1" s="1"/>
  <c r="G1574" i="1" s="1"/>
  <c r="B1575" i="1"/>
  <c r="C1575" i="1" s="1"/>
  <c r="G1575" i="1" s="1"/>
  <c r="B1576" i="1"/>
  <c r="C1576" i="1" s="1"/>
  <c r="G1576" i="1" s="1"/>
  <c r="B1577" i="1"/>
  <c r="C1577" i="1" s="1"/>
  <c r="G1577" i="1" s="1"/>
  <c r="B1578" i="1"/>
  <c r="C1578" i="1" s="1"/>
  <c r="G1578" i="1" s="1"/>
  <c r="B1579" i="1"/>
  <c r="C1579" i="1" s="1"/>
  <c r="G1579" i="1" s="1"/>
  <c r="B1580" i="1"/>
  <c r="C1580" i="1" s="1"/>
  <c r="G1580" i="1" s="1"/>
  <c r="B1581" i="1"/>
  <c r="C1581" i="1" s="1"/>
  <c r="G1581" i="1" s="1"/>
  <c r="B1582" i="1"/>
  <c r="C1582" i="1" s="1"/>
  <c r="G1582" i="1" s="1"/>
  <c r="B1583" i="1"/>
  <c r="C1583" i="1" s="1"/>
  <c r="G1583" i="1" s="1"/>
  <c r="B1584" i="1"/>
  <c r="C1584" i="1" s="1"/>
  <c r="G1584" i="1" s="1"/>
  <c r="B1585" i="1"/>
  <c r="C1585" i="1" s="1"/>
  <c r="G1585" i="1" s="1"/>
  <c r="B1586" i="1"/>
  <c r="C1586" i="1" s="1"/>
  <c r="G1586" i="1" s="1"/>
  <c r="B1587" i="1"/>
  <c r="C1587" i="1" s="1"/>
  <c r="G1587" i="1" s="1"/>
  <c r="B1588" i="1"/>
  <c r="C1588" i="1" s="1"/>
  <c r="G1588" i="1" s="1"/>
  <c r="B1589" i="1"/>
  <c r="C1589" i="1" s="1"/>
  <c r="G1589" i="1" s="1"/>
  <c r="B1590" i="1"/>
  <c r="C1590" i="1" s="1"/>
  <c r="G1590" i="1" s="1"/>
  <c r="B1591" i="1"/>
  <c r="C1591" i="1" s="1"/>
  <c r="G1591" i="1" s="1"/>
  <c r="B1592" i="1"/>
  <c r="C1592" i="1" s="1"/>
  <c r="G1592" i="1" s="1"/>
  <c r="B1593" i="1"/>
  <c r="C1593" i="1" s="1"/>
  <c r="G1593" i="1" s="1"/>
  <c r="B1594" i="1"/>
  <c r="C1594" i="1" s="1"/>
  <c r="G1594" i="1" s="1"/>
  <c r="B1595" i="1"/>
  <c r="C1595" i="1" s="1"/>
  <c r="G1595" i="1" s="1"/>
  <c r="B1596" i="1"/>
  <c r="C1596" i="1" s="1"/>
  <c r="G1596" i="1" s="1"/>
  <c r="B1597" i="1"/>
  <c r="C1597" i="1" s="1"/>
  <c r="G1597" i="1" s="1"/>
  <c r="B1598" i="1"/>
  <c r="C1598" i="1" s="1"/>
  <c r="G1598" i="1" s="1"/>
  <c r="B1599" i="1"/>
  <c r="C1599" i="1" s="1"/>
  <c r="G1599" i="1" s="1"/>
  <c r="B1600" i="1"/>
  <c r="C1600" i="1" s="1"/>
  <c r="G1600" i="1" s="1"/>
  <c r="B1601" i="1"/>
  <c r="C1601" i="1" s="1"/>
  <c r="G1601" i="1" s="1"/>
  <c r="B1602" i="1"/>
  <c r="C1602" i="1" s="1"/>
  <c r="G1602" i="1" s="1"/>
  <c r="B1603" i="1"/>
  <c r="C1603" i="1" s="1"/>
  <c r="G1603" i="1" s="1"/>
  <c r="B1604" i="1"/>
  <c r="C1604" i="1" s="1"/>
  <c r="G1604" i="1" s="1"/>
  <c r="B1605" i="1"/>
  <c r="C1605" i="1" s="1"/>
  <c r="G1605" i="1" s="1"/>
  <c r="B1606" i="1"/>
  <c r="C1606" i="1" s="1"/>
  <c r="G1606" i="1" s="1"/>
  <c r="B1607" i="1"/>
  <c r="C1607" i="1" s="1"/>
  <c r="G1607" i="1" s="1"/>
  <c r="B1608" i="1"/>
  <c r="C1608" i="1" s="1"/>
  <c r="G1608" i="1" s="1"/>
  <c r="B1609" i="1"/>
  <c r="C1609" i="1" s="1"/>
  <c r="G1609" i="1" s="1"/>
  <c r="B1610" i="1"/>
  <c r="C1610" i="1" s="1"/>
  <c r="G1610" i="1" s="1"/>
  <c r="B1611" i="1"/>
  <c r="C1611" i="1" s="1"/>
  <c r="G1611" i="1" s="1"/>
  <c r="B1612" i="1"/>
  <c r="C1612" i="1" s="1"/>
  <c r="G1612" i="1" s="1"/>
  <c r="B1613" i="1"/>
  <c r="C1613" i="1" s="1"/>
  <c r="G1613" i="1" s="1"/>
  <c r="B1614" i="1"/>
  <c r="C1614" i="1" s="1"/>
  <c r="G1614" i="1" s="1"/>
  <c r="B1615" i="1"/>
  <c r="C1615" i="1" s="1"/>
  <c r="G1615" i="1" s="1"/>
  <c r="B1616" i="1"/>
  <c r="C1616" i="1" s="1"/>
  <c r="G1616" i="1" s="1"/>
  <c r="B1617" i="1"/>
  <c r="C1617" i="1" s="1"/>
  <c r="G1617" i="1" s="1"/>
  <c r="B1618" i="1"/>
  <c r="C1618" i="1" s="1"/>
  <c r="G1618" i="1" s="1"/>
  <c r="B1619" i="1"/>
  <c r="C1619" i="1" s="1"/>
  <c r="G1619" i="1" s="1"/>
  <c r="B1620" i="1"/>
  <c r="C1620" i="1" s="1"/>
  <c r="G1620" i="1" s="1"/>
  <c r="B1621" i="1"/>
  <c r="C1621" i="1" s="1"/>
  <c r="G1621" i="1" s="1"/>
  <c r="B1622" i="1"/>
  <c r="C1622" i="1" s="1"/>
  <c r="G1622" i="1" s="1"/>
  <c r="B1623" i="1"/>
  <c r="C1623" i="1" s="1"/>
  <c r="G1623" i="1" s="1"/>
  <c r="B1624" i="1"/>
  <c r="C1624" i="1" s="1"/>
  <c r="G1624" i="1" s="1"/>
  <c r="B1625" i="1"/>
  <c r="C1625" i="1" s="1"/>
  <c r="G1625" i="1" s="1"/>
  <c r="B1626" i="1"/>
  <c r="C1626" i="1" s="1"/>
  <c r="G1626" i="1" s="1"/>
  <c r="B1627" i="1"/>
  <c r="C1627" i="1" s="1"/>
  <c r="G1627" i="1" s="1"/>
  <c r="B1628" i="1"/>
  <c r="C1628" i="1" s="1"/>
  <c r="G1628" i="1" s="1"/>
  <c r="B1629" i="1"/>
  <c r="C1629" i="1" s="1"/>
  <c r="G1629" i="1" s="1"/>
  <c r="B1630" i="1"/>
  <c r="C1630" i="1" s="1"/>
  <c r="G1630" i="1" s="1"/>
  <c r="B1631" i="1"/>
  <c r="C1631" i="1" s="1"/>
  <c r="G1631" i="1" s="1"/>
  <c r="B1632" i="1"/>
  <c r="C1632" i="1" s="1"/>
  <c r="G1632" i="1" s="1"/>
  <c r="B1633" i="1"/>
  <c r="C1633" i="1" s="1"/>
  <c r="G1633" i="1" s="1"/>
  <c r="B1634" i="1"/>
  <c r="C1634" i="1" s="1"/>
  <c r="G1634" i="1" s="1"/>
  <c r="B1635" i="1"/>
  <c r="C1635" i="1" s="1"/>
  <c r="G1635" i="1" s="1"/>
  <c r="B1636" i="1"/>
  <c r="C1636" i="1" s="1"/>
  <c r="G1636" i="1" s="1"/>
  <c r="B1637" i="1"/>
  <c r="C1637" i="1" s="1"/>
  <c r="G1637" i="1" s="1"/>
  <c r="B1638" i="1"/>
  <c r="C1638" i="1" s="1"/>
  <c r="G1638" i="1" s="1"/>
  <c r="B1639" i="1"/>
  <c r="C1639" i="1" s="1"/>
  <c r="G1639" i="1" s="1"/>
  <c r="B1640" i="1"/>
  <c r="C1640" i="1" s="1"/>
  <c r="G1640" i="1" s="1"/>
  <c r="B1641" i="1"/>
  <c r="C1641" i="1" s="1"/>
  <c r="G1641" i="1" s="1"/>
  <c r="B1642" i="1"/>
  <c r="C1642" i="1" s="1"/>
  <c r="G1642" i="1" s="1"/>
  <c r="B1643" i="1"/>
  <c r="C1643" i="1" s="1"/>
  <c r="G1643" i="1" s="1"/>
  <c r="B1644" i="1"/>
  <c r="C1644" i="1" s="1"/>
  <c r="G1644" i="1" s="1"/>
  <c r="B1645" i="1"/>
  <c r="C1645" i="1" s="1"/>
  <c r="G1645" i="1" s="1"/>
  <c r="B1646" i="1"/>
  <c r="C1646" i="1" s="1"/>
  <c r="G1646" i="1" s="1"/>
  <c r="B1647" i="1"/>
  <c r="C1647" i="1" s="1"/>
  <c r="G1647" i="1" s="1"/>
  <c r="B1648" i="1"/>
  <c r="C1648" i="1" s="1"/>
  <c r="G1648" i="1" s="1"/>
  <c r="B1649" i="1"/>
  <c r="C1649" i="1" s="1"/>
  <c r="G1649" i="1" s="1"/>
  <c r="B1650" i="1"/>
  <c r="C1650" i="1" s="1"/>
  <c r="G1650" i="1" s="1"/>
  <c r="B1651" i="1"/>
  <c r="C1651" i="1" s="1"/>
  <c r="G1651" i="1" s="1"/>
  <c r="B1652" i="1"/>
  <c r="C1652" i="1" s="1"/>
  <c r="G1652" i="1" s="1"/>
  <c r="B1653" i="1"/>
  <c r="C1653" i="1" s="1"/>
  <c r="G1653" i="1" s="1"/>
  <c r="B1654" i="1"/>
  <c r="C1654" i="1" s="1"/>
  <c r="G1654" i="1" s="1"/>
  <c r="B1655" i="1"/>
  <c r="C1655" i="1" s="1"/>
  <c r="G1655" i="1" s="1"/>
  <c r="B1656" i="1"/>
  <c r="C1656" i="1" s="1"/>
  <c r="G1656" i="1" s="1"/>
  <c r="B1657" i="1"/>
  <c r="C1657" i="1" s="1"/>
  <c r="G1657" i="1" s="1"/>
  <c r="B1658" i="1"/>
  <c r="C1658" i="1" s="1"/>
  <c r="G1658" i="1" s="1"/>
  <c r="B1659" i="1"/>
  <c r="C1659" i="1" s="1"/>
  <c r="G1659" i="1" s="1"/>
  <c r="B1660" i="1"/>
  <c r="C1660" i="1" s="1"/>
  <c r="G1660" i="1" s="1"/>
  <c r="B1661" i="1"/>
  <c r="C1661" i="1" s="1"/>
  <c r="G1661" i="1" s="1"/>
  <c r="B1662" i="1"/>
  <c r="C1662" i="1" s="1"/>
  <c r="G1662" i="1" s="1"/>
  <c r="B1663" i="1"/>
  <c r="C1663" i="1" s="1"/>
  <c r="G1663" i="1" s="1"/>
  <c r="B1664" i="1"/>
  <c r="C1664" i="1" s="1"/>
  <c r="G1664" i="1" s="1"/>
  <c r="B1665" i="1"/>
  <c r="C1665" i="1" s="1"/>
  <c r="G1665" i="1" s="1"/>
  <c r="B1666" i="1"/>
  <c r="C1666" i="1" s="1"/>
  <c r="G1666" i="1" s="1"/>
  <c r="B1667" i="1"/>
  <c r="C1667" i="1" s="1"/>
  <c r="G1667" i="1" s="1"/>
  <c r="B1668" i="1"/>
  <c r="C1668" i="1" s="1"/>
  <c r="G1668" i="1" s="1"/>
  <c r="B1669" i="1"/>
  <c r="C1669" i="1" s="1"/>
  <c r="G1669" i="1" s="1"/>
  <c r="B1670" i="1"/>
  <c r="C1670" i="1" s="1"/>
  <c r="G1670" i="1" s="1"/>
  <c r="B1671" i="1"/>
  <c r="C1671" i="1" s="1"/>
  <c r="G1671" i="1" s="1"/>
  <c r="B1672" i="1"/>
  <c r="C1672" i="1" s="1"/>
  <c r="G1672" i="1" s="1"/>
  <c r="B1673" i="1"/>
  <c r="C1673" i="1" s="1"/>
  <c r="G1673" i="1" s="1"/>
  <c r="B1674" i="1"/>
  <c r="C1674" i="1" s="1"/>
  <c r="G1674" i="1" s="1"/>
  <c r="B1675" i="1"/>
  <c r="C1675" i="1" s="1"/>
  <c r="G1675" i="1" s="1"/>
  <c r="B1676" i="1"/>
  <c r="C1676" i="1" s="1"/>
  <c r="G1676" i="1" s="1"/>
  <c r="B1677" i="1"/>
  <c r="C1677" i="1" s="1"/>
  <c r="G1677" i="1" s="1"/>
  <c r="B1678" i="1"/>
  <c r="C1678" i="1" s="1"/>
  <c r="G1678" i="1" s="1"/>
  <c r="B1679" i="1"/>
  <c r="C1679" i="1" s="1"/>
  <c r="G1679" i="1" s="1"/>
  <c r="B1680" i="1"/>
  <c r="C1680" i="1" s="1"/>
  <c r="G1680" i="1" s="1"/>
  <c r="B1681" i="1"/>
  <c r="C1681" i="1" s="1"/>
  <c r="G1681" i="1" s="1"/>
  <c r="B1682" i="1"/>
  <c r="C1682" i="1" s="1"/>
  <c r="G1682" i="1" s="1"/>
  <c r="B1683" i="1"/>
  <c r="C1683" i="1" s="1"/>
  <c r="G1683" i="1" s="1"/>
  <c r="B1684" i="1"/>
  <c r="C1684" i="1" s="1"/>
  <c r="G1684" i="1" s="1"/>
  <c r="B1685" i="1"/>
  <c r="C1685" i="1" s="1"/>
  <c r="G1685" i="1" s="1"/>
  <c r="B1686" i="1"/>
  <c r="C1686" i="1" s="1"/>
  <c r="G1686" i="1" s="1"/>
  <c r="B1687" i="1"/>
  <c r="C1687" i="1" s="1"/>
  <c r="G1687" i="1" s="1"/>
  <c r="B1688" i="1"/>
  <c r="C1688" i="1" s="1"/>
  <c r="G1688" i="1" s="1"/>
  <c r="B1689" i="1"/>
  <c r="C1689" i="1" s="1"/>
  <c r="G1689" i="1" s="1"/>
  <c r="B1690" i="1"/>
  <c r="C1690" i="1" s="1"/>
  <c r="G1690" i="1" s="1"/>
  <c r="B1691" i="1"/>
  <c r="C1691" i="1" s="1"/>
  <c r="G1691" i="1" s="1"/>
  <c r="B1692" i="1"/>
  <c r="C1692" i="1" s="1"/>
  <c r="G1692" i="1" s="1"/>
  <c r="B1693" i="1"/>
  <c r="C1693" i="1" s="1"/>
  <c r="G1693" i="1" s="1"/>
  <c r="B1694" i="1"/>
  <c r="C1694" i="1" s="1"/>
  <c r="G1694" i="1" s="1"/>
  <c r="B1695" i="1"/>
  <c r="C1695" i="1" s="1"/>
  <c r="G1695" i="1" s="1"/>
  <c r="B1696" i="1"/>
  <c r="C1696" i="1" s="1"/>
  <c r="G1696" i="1" s="1"/>
  <c r="B1697" i="1"/>
  <c r="C1697" i="1" s="1"/>
  <c r="G1697" i="1" s="1"/>
  <c r="B1698" i="1"/>
  <c r="C1698" i="1" s="1"/>
  <c r="G1698" i="1" s="1"/>
  <c r="B1699" i="1"/>
  <c r="C1699" i="1" s="1"/>
  <c r="G1699" i="1" s="1"/>
  <c r="B1700" i="1"/>
  <c r="C1700" i="1" s="1"/>
  <c r="G1700" i="1" s="1"/>
  <c r="B1701" i="1"/>
  <c r="C1701" i="1" s="1"/>
  <c r="G1701" i="1" s="1"/>
  <c r="B1702" i="1"/>
  <c r="C1702" i="1" s="1"/>
  <c r="G1702" i="1" s="1"/>
  <c r="B1703" i="1"/>
  <c r="C1703" i="1" s="1"/>
  <c r="G1703" i="1" s="1"/>
  <c r="B1704" i="1"/>
  <c r="C1704" i="1" s="1"/>
  <c r="G1704" i="1" s="1"/>
  <c r="B1705" i="1"/>
  <c r="C1705" i="1" s="1"/>
  <c r="G1705" i="1" s="1"/>
  <c r="B1706" i="1"/>
  <c r="C1706" i="1" s="1"/>
  <c r="G1706" i="1" s="1"/>
  <c r="B1707" i="1"/>
  <c r="C1707" i="1" s="1"/>
  <c r="G1707" i="1" s="1"/>
  <c r="B1708" i="1"/>
  <c r="C1708" i="1" s="1"/>
  <c r="G1708" i="1" s="1"/>
  <c r="B1709" i="1"/>
  <c r="C1709" i="1" s="1"/>
  <c r="G1709" i="1" s="1"/>
  <c r="B1710" i="1"/>
  <c r="C1710" i="1" s="1"/>
  <c r="G1710" i="1" s="1"/>
  <c r="B1711" i="1"/>
  <c r="C1711" i="1" s="1"/>
  <c r="G1711" i="1" s="1"/>
  <c r="B1712" i="1"/>
  <c r="C1712" i="1" s="1"/>
  <c r="G1712" i="1" s="1"/>
  <c r="B1713" i="1"/>
  <c r="C1713" i="1" s="1"/>
  <c r="G1713" i="1" s="1"/>
  <c r="B1714" i="1"/>
  <c r="C1714" i="1" s="1"/>
  <c r="G1714" i="1" s="1"/>
  <c r="B1715" i="1"/>
  <c r="C1715" i="1" s="1"/>
  <c r="G1715" i="1" s="1"/>
  <c r="B1716" i="1"/>
  <c r="C1716" i="1" s="1"/>
  <c r="G1716" i="1" s="1"/>
  <c r="B1717" i="1"/>
  <c r="C1717" i="1" s="1"/>
  <c r="G1717" i="1" s="1"/>
  <c r="B1718" i="1"/>
  <c r="C1718" i="1" s="1"/>
  <c r="G1718" i="1" s="1"/>
  <c r="B1719" i="1"/>
  <c r="C1719" i="1" s="1"/>
  <c r="G1719" i="1" s="1"/>
  <c r="B1720" i="1"/>
  <c r="C1720" i="1" s="1"/>
  <c r="G1720" i="1" s="1"/>
  <c r="B1721" i="1"/>
  <c r="C1721" i="1" s="1"/>
  <c r="G1721" i="1" s="1"/>
  <c r="B1722" i="1"/>
  <c r="C1722" i="1" s="1"/>
  <c r="G1722" i="1" s="1"/>
  <c r="B1723" i="1"/>
  <c r="C1723" i="1" s="1"/>
  <c r="G1723" i="1" s="1"/>
  <c r="B1724" i="1"/>
  <c r="C1724" i="1" s="1"/>
  <c r="G1724" i="1" s="1"/>
  <c r="B1725" i="1"/>
  <c r="C1725" i="1" s="1"/>
  <c r="G1725" i="1" s="1"/>
  <c r="B1726" i="1"/>
  <c r="C1726" i="1" s="1"/>
  <c r="G1726" i="1" s="1"/>
  <c r="B1727" i="1"/>
  <c r="C1727" i="1" s="1"/>
  <c r="G1727" i="1" s="1"/>
  <c r="B1728" i="1"/>
  <c r="C1728" i="1" s="1"/>
  <c r="G1728" i="1" s="1"/>
  <c r="B1729" i="1"/>
  <c r="C1729" i="1" s="1"/>
  <c r="G1729" i="1" s="1"/>
  <c r="B1730" i="1"/>
  <c r="C1730" i="1" s="1"/>
  <c r="G1730" i="1" s="1"/>
  <c r="B1731" i="1"/>
  <c r="C1731" i="1" s="1"/>
  <c r="G1731" i="1" s="1"/>
  <c r="B1732" i="1"/>
  <c r="C1732" i="1" s="1"/>
  <c r="G1732" i="1" s="1"/>
  <c r="B1733" i="1"/>
  <c r="C1733" i="1" s="1"/>
  <c r="G1733" i="1" s="1"/>
  <c r="B1734" i="1"/>
  <c r="C1734" i="1" s="1"/>
  <c r="G1734" i="1" s="1"/>
  <c r="B1735" i="1"/>
  <c r="C1735" i="1" s="1"/>
  <c r="G1735" i="1" s="1"/>
  <c r="B1736" i="1"/>
  <c r="C1736" i="1" s="1"/>
  <c r="G1736" i="1" s="1"/>
  <c r="B1737" i="1"/>
  <c r="C1737" i="1" s="1"/>
  <c r="G1737" i="1" s="1"/>
  <c r="B1738" i="1"/>
  <c r="C1738" i="1" s="1"/>
  <c r="G1738" i="1" s="1"/>
  <c r="B1739" i="1"/>
  <c r="C1739" i="1" s="1"/>
  <c r="G1739" i="1" s="1"/>
  <c r="B1740" i="1"/>
  <c r="C1740" i="1" s="1"/>
  <c r="G1740" i="1" s="1"/>
  <c r="B1741" i="1"/>
  <c r="C1741" i="1" s="1"/>
  <c r="G1741" i="1" s="1"/>
  <c r="B1742" i="1"/>
  <c r="C1742" i="1" s="1"/>
  <c r="G1742" i="1" s="1"/>
  <c r="B1743" i="1"/>
  <c r="C1743" i="1" s="1"/>
  <c r="G1743" i="1" s="1"/>
  <c r="B1744" i="1"/>
  <c r="C1744" i="1" s="1"/>
  <c r="G1744" i="1" s="1"/>
  <c r="B1745" i="1"/>
  <c r="C1745" i="1" s="1"/>
  <c r="G1745" i="1" s="1"/>
  <c r="B1746" i="1"/>
  <c r="C1746" i="1" s="1"/>
  <c r="G1746" i="1" s="1"/>
  <c r="B1747" i="1"/>
  <c r="C1747" i="1" s="1"/>
  <c r="G1747" i="1" s="1"/>
  <c r="B1748" i="1"/>
  <c r="C1748" i="1" s="1"/>
  <c r="G1748" i="1" s="1"/>
  <c r="B1749" i="1"/>
  <c r="C1749" i="1" s="1"/>
  <c r="G1749" i="1" s="1"/>
  <c r="B1750" i="1"/>
  <c r="C1750" i="1" s="1"/>
  <c r="G1750" i="1" s="1"/>
  <c r="B1751" i="1"/>
  <c r="C1751" i="1" s="1"/>
  <c r="G1751" i="1" s="1"/>
  <c r="B1752" i="1"/>
  <c r="C1752" i="1" s="1"/>
  <c r="G1752" i="1" s="1"/>
  <c r="B1753" i="1"/>
  <c r="C1753" i="1" s="1"/>
  <c r="G1753" i="1" s="1"/>
  <c r="B1754" i="1"/>
  <c r="C1754" i="1" s="1"/>
  <c r="G1754" i="1" s="1"/>
  <c r="B1755" i="1"/>
  <c r="C1755" i="1" s="1"/>
  <c r="G1755" i="1" s="1"/>
  <c r="B1756" i="1"/>
  <c r="C1756" i="1" s="1"/>
  <c r="G1756" i="1" s="1"/>
  <c r="B1757" i="1"/>
  <c r="C1757" i="1" s="1"/>
  <c r="G1757" i="1" s="1"/>
  <c r="B1758" i="1"/>
  <c r="C1758" i="1" s="1"/>
  <c r="G1758" i="1" s="1"/>
  <c r="B1759" i="1"/>
  <c r="C1759" i="1" s="1"/>
  <c r="G1759" i="1" s="1"/>
  <c r="B1760" i="1"/>
  <c r="C1760" i="1" s="1"/>
  <c r="G1760" i="1" s="1"/>
  <c r="B1761" i="1"/>
  <c r="C1761" i="1" s="1"/>
  <c r="G1761" i="1" s="1"/>
  <c r="B1762" i="1"/>
  <c r="C1762" i="1" s="1"/>
  <c r="G1762" i="1" s="1"/>
  <c r="B1763" i="1"/>
  <c r="C1763" i="1" s="1"/>
  <c r="G1763" i="1" s="1"/>
  <c r="B1764" i="1"/>
  <c r="C1764" i="1" s="1"/>
  <c r="G1764" i="1" s="1"/>
  <c r="B1765" i="1"/>
  <c r="C1765" i="1" s="1"/>
  <c r="G1765" i="1" s="1"/>
  <c r="B1766" i="1"/>
  <c r="C1766" i="1" s="1"/>
  <c r="G1766" i="1" s="1"/>
  <c r="B1767" i="1"/>
  <c r="C1767" i="1" s="1"/>
  <c r="G1767" i="1" s="1"/>
  <c r="B1768" i="1"/>
  <c r="C1768" i="1" s="1"/>
  <c r="G1768" i="1" s="1"/>
  <c r="B1769" i="1"/>
  <c r="C1769" i="1" s="1"/>
  <c r="G1769" i="1" s="1"/>
  <c r="B1770" i="1"/>
  <c r="C1770" i="1" s="1"/>
  <c r="G1770" i="1" s="1"/>
  <c r="B1771" i="1"/>
  <c r="C1771" i="1" s="1"/>
  <c r="G1771" i="1" s="1"/>
  <c r="B1772" i="1"/>
  <c r="C1772" i="1" s="1"/>
  <c r="G1772" i="1" s="1"/>
  <c r="B1773" i="1"/>
  <c r="C1773" i="1" s="1"/>
  <c r="G1773" i="1" s="1"/>
  <c r="B1774" i="1"/>
  <c r="C1774" i="1" s="1"/>
  <c r="G1774" i="1" s="1"/>
  <c r="B1775" i="1"/>
  <c r="C1775" i="1" s="1"/>
  <c r="G1775" i="1" s="1"/>
  <c r="B1776" i="1"/>
  <c r="C1776" i="1" s="1"/>
  <c r="G1776" i="1" s="1"/>
  <c r="B1777" i="1"/>
  <c r="C1777" i="1" s="1"/>
  <c r="G1777" i="1" s="1"/>
  <c r="B1778" i="1"/>
  <c r="C1778" i="1" s="1"/>
  <c r="G1778" i="1" s="1"/>
  <c r="B1779" i="1"/>
  <c r="C1779" i="1" s="1"/>
  <c r="G1779" i="1" s="1"/>
  <c r="B1780" i="1"/>
  <c r="C1780" i="1" s="1"/>
  <c r="G1780" i="1" s="1"/>
  <c r="B1781" i="1"/>
  <c r="C1781" i="1" s="1"/>
  <c r="G1781" i="1" s="1"/>
  <c r="B1782" i="1"/>
  <c r="C1782" i="1" s="1"/>
  <c r="G1782" i="1" s="1"/>
  <c r="B1783" i="1"/>
  <c r="C1783" i="1" s="1"/>
  <c r="G1783" i="1" s="1"/>
  <c r="B1784" i="1"/>
  <c r="C1784" i="1" s="1"/>
  <c r="G1784" i="1" s="1"/>
  <c r="B1785" i="1"/>
  <c r="C1785" i="1" s="1"/>
  <c r="G1785" i="1" s="1"/>
  <c r="B1786" i="1"/>
  <c r="C1786" i="1" s="1"/>
  <c r="G1786" i="1" s="1"/>
  <c r="B1787" i="1"/>
  <c r="C1787" i="1" s="1"/>
  <c r="G1787" i="1" s="1"/>
  <c r="B1788" i="1"/>
  <c r="C1788" i="1" s="1"/>
  <c r="G1788" i="1" s="1"/>
  <c r="B1789" i="1"/>
  <c r="C1789" i="1" s="1"/>
  <c r="G1789" i="1" s="1"/>
  <c r="B1790" i="1"/>
  <c r="C1790" i="1" s="1"/>
  <c r="G1790" i="1" s="1"/>
  <c r="B1791" i="1"/>
  <c r="C1791" i="1" s="1"/>
  <c r="G1791" i="1" s="1"/>
  <c r="B1792" i="1"/>
  <c r="C1792" i="1" s="1"/>
  <c r="G1792" i="1" s="1"/>
  <c r="B1793" i="1"/>
  <c r="C1793" i="1" s="1"/>
  <c r="G1793" i="1" s="1"/>
  <c r="B1794" i="1"/>
  <c r="C1794" i="1" s="1"/>
  <c r="G1794" i="1" s="1"/>
  <c r="B1795" i="1"/>
  <c r="C1795" i="1" s="1"/>
  <c r="G1795" i="1" s="1"/>
  <c r="B1796" i="1"/>
  <c r="C1796" i="1" s="1"/>
  <c r="G1796" i="1" s="1"/>
  <c r="B1797" i="1"/>
  <c r="C1797" i="1" s="1"/>
  <c r="G1797" i="1" s="1"/>
  <c r="B1798" i="1"/>
  <c r="C1798" i="1" s="1"/>
  <c r="G1798" i="1" s="1"/>
  <c r="B1799" i="1"/>
  <c r="C1799" i="1" s="1"/>
  <c r="G1799" i="1" s="1"/>
  <c r="B1800" i="1"/>
  <c r="C1800" i="1" s="1"/>
  <c r="G1800" i="1" s="1"/>
  <c r="B1801" i="1"/>
  <c r="C1801" i="1" s="1"/>
  <c r="G1801" i="1" s="1"/>
  <c r="B1802" i="1"/>
  <c r="C1802" i="1" s="1"/>
  <c r="G1802" i="1" s="1"/>
  <c r="B1803" i="1"/>
  <c r="C1803" i="1" s="1"/>
  <c r="G1803" i="1" s="1"/>
  <c r="B1804" i="1"/>
  <c r="C1804" i="1" s="1"/>
  <c r="G1804" i="1" s="1"/>
  <c r="B1805" i="1"/>
  <c r="C1805" i="1" s="1"/>
  <c r="G1805" i="1" s="1"/>
  <c r="B1806" i="1"/>
  <c r="C1806" i="1" s="1"/>
  <c r="G1806" i="1" s="1"/>
  <c r="B1807" i="1"/>
  <c r="C1807" i="1" s="1"/>
  <c r="G1807" i="1" s="1"/>
  <c r="B1808" i="1"/>
  <c r="C1808" i="1" s="1"/>
  <c r="G1808" i="1" s="1"/>
  <c r="B1809" i="1"/>
  <c r="C1809" i="1" s="1"/>
  <c r="G1809" i="1" s="1"/>
  <c r="B1810" i="1"/>
  <c r="C1810" i="1" s="1"/>
  <c r="G1810" i="1" s="1"/>
  <c r="B1811" i="1"/>
  <c r="C1811" i="1" s="1"/>
  <c r="G1811" i="1" s="1"/>
  <c r="B1812" i="1"/>
  <c r="C1812" i="1" s="1"/>
  <c r="G1812" i="1" s="1"/>
  <c r="B1813" i="1"/>
  <c r="C1813" i="1" s="1"/>
  <c r="G1813" i="1" s="1"/>
  <c r="B1814" i="1"/>
  <c r="C1814" i="1" s="1"/>
  <c r="G1814" i="1" s="1"/>
  <c r="B1815" i="1"/>
  <c r="C1815" i="1" s="1"/>
  <c r="G1815" i="1" s="1"/>
  <c r="B1816" i="1"/>
  <c r="C1816" i="1" s="1"/>
  <c r="G1816" i="1" s="1"/>
  <c r="B1817" i="1"/>
  <c r="C1817" i="1" s="1"/>
  <c r="G1817" i="1" s="1"/>
  <c r="B1818" i="1"/>
  <c r="C1818" i="1" s="1"/>
  <c r="G1818" i="1" s="1"/>
  <c r="B1819" i="1"/>
  <c r="C1819" i="1" s="1"/>
  <c r="G1819" i="1" s="1"/>
  <c r="B1820" i="1"/>
  <c r="C1820" i="1" s="1"/>
  <c r="G1820" i="1" s="1"/>
  <c r="B1821" i="1"/>
  <c r="C1821" i="1" s="1"/>
  <c r="G1821" i="1" s="1"/>
  <c r="B1822" i="1"/>
  <c r="C1822" i="1" s="1"/>
  <c r="G1822" i="1" s="1"/>
  <c r="B1823" i="1"/>
  <c r="C1823" i="1" s="1"/>
  <c r="G1823" i="1" s="1"/>
  <c r="B1824" i="1"/>
  <c r="C1824" i="1" s="1"/>
  <c r="G1824" i="1" s="1"/>
  <c r="B1825" i="1"/>
  <c r="C1825" i="1" s="1"/>
  <c r="G1825" i="1" s="1"/>
  <c r="B1826" i="1"/>
  <c r="C1826" i="1" s="1"/>
  <c r="G1826" i="1" s="1"/>
  <c r="B1827" i="1"/>
  <c r="C1827" i="1" s="1"/>
  <c r="G1827" i="1" s="1"/>
  <c r="B1828" i="1"/>
  <c r="C1828" i="1" s="1"/>
  <c r="G1828" i="1" s="1"/>
  <c r="B1829" i="1"/>
  <c r="C1829" i="1" s="1"/>
  <c r="G1829" i="1" s="1"/>
  <c r="B1830" i="1"/>
  <c r="C1830" i="1" s="1"/>
  <c r="G1830" i="1" s="1"/>
  <c r="B1831" i="1"/>
  <c r="C1831" i="1" s="1"/>
  <c r="G1831" i="1" s="1"/>
  <c r="B1832" i="1"/>
  <c r="C1832" i="1" s="1"/>
  <c r="G1832" i="1" s="1"/>
  <c r="B1833" i="1"/>
  <c r="C1833" i="1" s="1"/>
  <c r="G1833" i="1" s="1"/>
  <c r="B1834" i="1"/>
  <c r="C1834" i="1" s="1"/>
  <c r="G1834" i="1" s="1"/>
  <c r="B1835" i="1"/>
  <c r="C1835" i="1" s="1"/>
  <c r="G1835" i="1" s="1"/>
  <c r="B1836" i="1"/>
  <c r="C1836" i="1" s="1"/>
  <c r="G1836" i="1" s="1"/>
  <c r="B1837" i="1"/>
  <c r="C1837" i="1" s="1"/>
  <c r="G1837" i="1" s="1"/>
  <c r="B1838" i="1"/>
  <c r="C1838" i="1" s="1"/>
  <c r="G1838" i="1" s="1"/>
  <c r="B1839" i="1"/>
  <c r="C1839" i="1" s="1"/>
  <c r="G1839" i="1" s="1"/>
  <c r="B1840" i="1"/>
  <c r="C1840" i="1" s="1"/>
  <c r="G1840" i="1" s="1"/>
  <c r="B1841" i="1"/>
  <c r="C1841" i="1" s="1"/>
  <c r="G1841" i="1" s="1"/>
  <c r="B1842" i="1"/>
  <c r="C1842" i="1" s="1"/>
  <c r="G1842" i="1" s="1"/>
  <c r="B1843" i="1"/>
  <c r="C1843" i="1" s="1"/>
  <c r="G1843" i="1" s="1"/>
  <c r="B1844" i="1"/>
  <c r="C1844" i="1" s="1"/>
  <c r="G1844" i="1" s="1"/>
  <c r="B1845" i="1"/>
  <c r="C1845" i="1" s="1"/>
  <c r="G1845" i="1" s="1"/>
  <c r="B1846" i="1"/>
  <c r="C1846" i="1" s="1"/>
  <c r="G1846" i="1" s="1"/>
  <c r="B1847" i="1"/>
  <c r="C1847" i="1" s="1"/>
  <c r="G1847" i="1" s="1"/>
  <c r="B1848" i="1"/>
  <c r="C1848" i="1" s="1"/>
  <c r="G1848" i="1" s="1"/>
  <c r="B1849" i="1"/>
  <c r="C1849" i="1" s="1"/>
  <c r="G1849" i="1" s="1"/>
  <c r="B1850" i="1"/>
  <c r="C1850" i="1" s="1"/>
  <c r="G1850" i="1" s="1"/>
  <c r="B1851" i="1"/>
  <c r="C1851" i="1" s="1"/>
  <c r="G1851" i="1" s="1"/>
  <c r="B1852" i="1"/>
  <c r="C1852" i="1" s="1"/>
  <c r="G1852" i="1" s="1"/>
  <c r="B1853" i="1"/>
  <c r="C1853" i="1" s="1"/>
  <c r="G1853" i="1" s="1"/>
  <c r="B1854" i="1"/>
  <c r="C1854" i="1" s="1"/>
  <c r="G1854" i="1" s="1"/>
  <c r="B1855" i="1"/>
  <c r="C1855" i="1" s="1"/>
  <c r="G1855" i="1" s="1"/>
  <c r="B1856" i="1"/>
  <c r="C1856" i="1" s="1"/>
  <c r="G1856" i="1" s="1"/>
  <c r="B1857" i="1"/>
  <c r="C1857" i="1" s="1"/>
  <c r="G1857" i="1" s="1"/>
  <c r="B1858" i="1"/>
  <c r="C1858" i="1" s="1"/>
  <c r="G1858" i="1" s="1"/>
  <c r="B1859" i="1"/>
  <c r="C1859" i="1" s="1"/>
  <c r="G1859" i="1" s="1"/>
  <c r="B1860" i="1"/>
  <c r="C1860" i="1" s="1"/>
  <c r="G1860" i="1" s="1"/>
  <c r="B1861" i="1"/>
  <c r="C1861" i="1" s="1"/>
  <c r="G1861" i="1" s="1"/>
  <c r="B1862" i="1"/>
  <c r="C1862" i="1" s="1"/>
  <c r="G1862" i="1" s="1"/>
  <c r="B1863" i="1"/>
  <c r="C1863" i="1" s="1"/>
  <c r="G1863" i="1" s="1"/>
  <c r="B1864" i="1"/>
  <c r="C1864" i="1" s="1"/>
  <c r="G1864" i="1" s="1"/>
  <c r="B1865" i="1"/>
  <c r="C1865" i="1" s="1"/>
  <c r="G1865" i="1" s="1"/>
  <c r="B1866" i="1"/>
  <c r="C1866" i="1" s="1"/>
  <c r="G1866" i="1" s="1"/>
  <c r="B1867" i="1"/>
  <c r="C1867" i="1" s="1"/>
  <c r="G1867" i="1" s="1"/>
  <c r="B1868" i="1"/>
  <c r="C1868" i="1" s="1"/>
  <c r="G1868" i="1" s="1"/>
  <c r="B1869" i="1"/>
  <c r="C1869" i="1" s="1"/>
  <c r="G1869" i="1" s="1"/>
  <c r="B1870" i="1"/>
  <c r="C1870" i="1" s="1"/>
  <c r="G1870" i="1" s="1"/>
  <c r="B1871" i="1"/>
  <c r="C1871" i="1" s="1"/>
  <c r="G1871" i="1" s="1"/>
  <c r="B1872" i="1"/>
  <c r="C1872" i="1" s="1"/>
  <c r="G1872" i="1" s="1"/>
  <c r="B1873" i="1"/>
  <c r="C1873" i="1" s="1"/>
  <c r="G1873" i="1" s="1"/>
  <c r="B1874" i="1"/>
  <c r="C1874" i="1" s="1"/>
  <c r="G1874" i="1" s="1"/>
  <c r="B1875" i="1"/>
  <c r="C1875" i="1" s="1"/>
  <c r="G1875" i="1" s="1"/>
  <c r="B1876" i="1"/>
  <c r="C1876" i="1" s="1"/>
  <c r="G1876" i="1" s="1"/>
  <c r="B1877" i="1"/>
  <c r="C1877" i="1" s="1"/>
  <c r="G1877" i="1" s="1"/>
  <c r="B1878" i="1"/>
  <c r="C1878" i="1" s="1"/>
  <c r="G1878" i="1" s="1"/>
  <c r="B1879" i="1"/>
  <c r="C1879" i="1" s="1"/>
  <c r="G1879" i="1" s="1"/>
  <c r="B1880" i="1"/>
  <c r="C1880" i="1" s="1"/>
  <c r="G1880" i="1" s="1"/>
  <c r="B1881" i="1"/>
  <c r="C1881" i="1" s="1"/>
  <c r="G1881" i="1" s="1"/>
  <c r="B1882" i="1"/>
  <c r="C1882" i="1" s="1"/>
  <c r="G1882" i="1" s="1"/>
  <c r="B1883" i="1"/>
  <c r="C1883" i="1" s="1"/>
  <c r="G1883" i="1" s="1"/>
  <c r="B1884" i="1"/>
  <c r="C1884" i="1" s="1"/>
  <c r="G1884" i="1" s="1"/>
  <c r="B1885" i="1"/>
  <c r="C1885" i="1" s="1"/>
  <c r="G1885" i="1" s="1"/>
  <c r="B1886" i="1"/>
  <c r="C1886" i="1" s="1"/>
  <c r="G1886" i="1" s="1"/>
  <c r="B1887" i="1"/>
  <c r="C1887" i="1" s="1"/>
  <c r="G1887" i="1" s="1"/>
  <c r="B1888" i="1"/>
  <c r="C1888" i="1" s="1"/>
  <c r="G1888" i="1" s="1"/>
  <c r="B1889" i="1"/>
  <c r="C1889" i="1" s="1"/>
  <c r="G1889" i="1" s="1"/>
  <c r="B1890" i="1"/>
  <c r="C1890" i="1" s="1"/>
  <c r="G1890" i="1" s="1"/>
  <c r="B1891" i="1"/>
  <c r="C1891" i="1" s="1"/>
  <c r="G1891" i="1" s="1"/>
  <c r="B1892" i="1"/>
  <c r="C1892" i="1" s="1"/>
  <c r="G1892" i="1" s="1"/>
  <c r="B1893" i="1"/>
  <c r="C1893" i="1" s="1"/>
  <c r="G1893" i="1" s="1"/>
  <c r="B1894" i="1"/>
  <c r="C1894" i="1" s="1"/>
  <c r="G1894" i="1" s="1"/>
  <c r="B1895" i="1"/>
  <c r="C1895" i="1" s="1"/>
  <c r="G1895" i="1" s="1"/>
  <c r="B1896" i="1"/>
  <c r="C1896" i="1" s="1"/>
  <c r="G1896" i="1" s="1"/>
  <c r="B1897" i="1"/>
  <c r="C1897" i="1" s="1"/>
  <c r="G1897" i="1" s="1"/>
  <c r="B1898" i="1"/>
  <c r="C1898" i="1" s="1"/>
  <c r="G1898" i="1" s="1"/>
  <c r="B1899" i="1"/>
  <c r="C1899" i="1" s="1"/>
  <c r="G1899" i="1" s="1"/>
  <c r="B1900" i="1"/>
  <c r="C1900" i="1" s="1"/>
  <c r="G1900" i="1" s="1"/>
  <c r="B1901" i="1"/>
  <c r="C1901" i="1" s="1"/>
  <c r="G1901" i="1" s="1"/>
  <c r="B1902" i="1"/>
  <c r="C1902" i="1" s="1"/>
  <c r="G1902" i="1" s="1"/>
  <c r="B1903" i="1"/>
  <c r="C1903" i="1" s="1"/>
  <c r="G1903" i="1" s="1"/>
  <c r="B1904" i="1"/>
  <c r="C1904" i="1" s="1"/>
  <c r="G1904" i="1" s="1"/>
  <c r="B1905" i="1"/>
  <c r="C1905" i="1" s="1"/>
  <c r="G1905" i="1" s="1"/>
  <c r="B1906" i="1"/>
  <c r="C1906" i="1" s="1"/>
  <c r="G1906" i="1" s="1"/>
  <c r="B1907" i="1"/>
  <c r="C1907" i="1" s="1"/>
  <c r="G1907" i="1" s="1"/>
  <c r="B1908" i="1"/>
  <c r="C1908" i="1" s="1"/>
  <c r="G1908" i="1" s="1"/>
  <c r="B1909" i="1"/>
  <c r="C1909" i="1" s="1"/>
  <c r="G1909" i="1" s="1"/>
  <c r="B1910" i="1"/>
  <c r="C1910" i="1" s="1"/>
  <c r="G1910" i="1" s="1"/>
  <c r="B1911" i="1"/>
  <c r="C1911" i="1" s="1"/>
  <c r="G1911" i="1" s="1"/>
  <c r="B1912" i="1"/>
  <c r="C1912" i="1" s="1"/>
  <c r="G1912" i="1" s="1"/>
  <c r="B1913" i="1"/>
  <c r="C1913" i="1" s="1"/>
  <c r="G1913" i="1" s="1"/>
  <c r="B1914" i="1"/>
  <c r="C1914" i="1" s="1"/>
  <c r="G1914" i="1" s="1"/>
  <c r="B1915" i="1"/>
  <c r="C1915" i="1" s="1"/>
  <c r="G1915" i="1" s="1"/>
  <c r="B1916" i="1"/>
  <c r="C1916" i="1" s="1"/>
  <c r="G1916" i="1" s="1"/>
  <c r="B1917" i="1"/>
  <c r="C1917" i="1" s="1"/>
  <c r="G1917" i="1" s="1"/>
  <c r="B1918" i="1"/>
  <c r="C1918" i="1" s="1"/>
  <c r="G1918" i="1" s="1"/>
  <c r="B1919" i="1"/>
  <c r="C1919" i="1" s="1"/>
  <c r="G1919" i="1" s="1"/>
  <c r="B1920" i="1"/>
  <c r="C1920" i="1" s="1"/>
  <c r="G1920" i="1" s="1"/>
  <c r="B1921" i="1"/>
  <c r="C1921" i="1" s="1"/>
  <c r="G1921" i="1" s="1"/>
  <c r="B1922" i="1"/>
  <c r="C1922" i="1" s="1"/>
  <c r="G1922" i="1" s="1"/>
  <c r="B1923" i="1"/>
  <c r="C1923" i="1" s="1"/>
  <c r="G1923" i="1" s="1"/>
  <c r="B1924" i="1"/>
  <c r="C1924" i="1" s="1"/>
  <c r="G1924" i="1" s="1"/>
  <c r="B1925" i="1"/>
  <c r="C1925" i="1" s="1"/>
  <c r="G1925" i="1" s="1"/>
  <c r="B1926" i="1"/>
  <c r="C1926" i="1" s="1"/>
  <c r="G1926" i="1" s="1"/>
  <c r="B1927" i="1"/>
  <c r="C1927" i="1" s="1"/>
  <c r="G1927" i="1" s="1"/>
  <c r="B1928" i="1"/>
  <c r="C1928" i="1" s="1"/>
  <c r="G1928" i="1" s="1"/>
  <c r="B1929" i="1"/>
  <c r="C1929" i="1" s="1"/>
  <c r="G1929" i="1" s="1"/>
  <c r="B1930" i="1"/>
  <c r="C1930" i="1" s="1"/>
  <c r="G1930" i="1" s="1"/>
  <c r="B1931" i="1"/>
  <c r="C1931" i="1" s="1"/>
  <c r="G1931" i="1" s="1"/>
  <c r="B1932" i="1"/>
  <c r="C1932" i="1" s="1"/>
  <c r="G1932" i="1" s="1"/>
  <c r="B1933" i="1"/>
  <c r="C1933" i="1" s="1"/>
  <c r="G1933" i="1" s="1"/>
  <c r="B1934" i="1"/>
  <c r="C1934" i="1" s="1"/>
  <c r="G1934" i="1" s="1"/>
  <c r="B1935" i="1"/>
  <c r="C1935" i="1" s="1"/>
  <c r="G1935" i="1" s="1"/>
  <c r="B1936" i="1"/>
  <c r="C1936" i="1" s="1"/>
  <c r="G1936" i="1" s="1"/>
  <c r="B1937" i="1"/>
  <c r="C1937" i="1" s="1"/>
  <c r="G1937" i="1" s="1"/>
  <c r="B1938" i="1"/>
  <c r="C1938" i="1" s="1"/>
  <c r="G1938" i="1" s="1"/>
  <c r="B1939" i="1"/>
  <c r="C1939" i="1" s="1"/>
  <c r="G1939" i="1" s="1"/>
  <c r="B1940" i="1"/>
  <c r="C1940" i="1" s="1"/>
  <c r="G1940" i="1" s="1"/>
  <c r="B1941" i="1"/>
  <c r="C1941" i="1" s="1"/>
  <c r="G1941" i="1" s="1"/>
  <c r="B1942" i="1"/>
  <c r="C1942" i="1" s="1"/>
  <c r="G1942" i="1" s="1"/>
  <c r="B1943" i="1"/>
  <c r="C1943" i="1" s="1"/>
  <c r="G1943" i="1" s="1"/>
  <c r="B1944" i="1"/>
  <c r="C1944" i="1" s="1"/>
  <c r="G1944" i="1" s="1"/>
  <c r="B1945" i="1"/>
  <c r="C1945" i="1" s="1"/>
  <c r="G1945" i="1" s="1"/>
  <c r="B1946" i="1"/>
  <c r="C1946" i="1" s="1"/>
  <c r="G1946" i="1" s="1"/>
  <c r="B1947" i="1"/>
  <c r="C1947" i="1" s="1"/>
  <c r="G1947" i="1" s="1"/>
  <c r="B1948" i="1"/>
  <c r="C1948" i="1" s="1"/>
  <c r="G1948" i="1" s="1"/>
  <c r="B1949" i="1"/>
  <c r="C1949" i="1" s="1"/>
  <c r="G1949" i="1" s="1"/>
  <c r="B1950" i="1"/>
  <c r="C1950" i="1" s="1"/>
  <c r="G1950" i="1" s="1"/>
  <c r="B1951" i="1"/>
  <c r="C1951" i="1" s="1"/>
  <c r="G1951" i="1" s="1"/>
  <c r="B1952" i="1"/>
  <c r="C1952" i="1" s="1"/>
  <c r="G1952" i="1" s="1"/>
  <c r="B1953" i="1"/>
  <c r="C1953" i="1" s="1"/>
  <c r="G1953" i="1" s="1"/>
  <c r="B1954" i="1"/>
  <c r="C1954" i="1" s="1"/>
  <c r="G1954" i="1" s="1"/>
  <c r="B1955" i="1"/>
  <c r="C1955" i="1" s="1"/>
  <c r="G1955" i="1" s="1"/>
  <c r="B1956" i="1"/>
  <c r="C1956" i="1" s="1"/>
  <c r="G1956" i="1" s="1"/>
  <c r="B1957" i="1"/>
  <c r="C1957" i="1" s="1"/>
  <c r="G1957" i="1" s="1"/>
  <c r="B1958" i="1"/>
  <c r="C1958" i="1" s="1"/>
  <c r="G1958" i="1" s="1"/>
  <c r="B1959" i="1"/>
  <c r="C1959" i="1" s="1"/>
  <c r="G1959" i="1" s="1"/>
  <c r="B1960" i="1"/>
  <c r="C1960" i="1" s="1"/>
  <c r="G1960" i="1" s="1"/>
  <c r="B1961" i="1"/>
  <c r="C1961" i="1" s="1"/>
  <c r="G1961" i="1" s="1"/>
  <c r="B1962" i="1"/>
  <c r="C1962" i="1" s="1"/>
  <c r="G1962" i="1" s="1"/>
  <c r="B1963" i="1"/>
  <c r="C1963" i="1" s="1"/>
  <c r="G1963" i="1" s="1"/>
  <c r="B1964" i="1"/>
  <c r="C1964" i="1" s="1"/>
  <c r="G1964" i="1" s="1"/>
  <c r="B1965" i="1"/>
  <c r="C1965" i="1" s="1"/>
  <c r="G1965" i="1" s="1"/>
  <c r="B1966" i="1"/>
  <c r="C1966" i="1" s="1"/>
  <c r="G1966" i="1" s="1"/>
  <c r="B1967" i="1"/>
  <c r="C1967" i="1" s="1"/>
  <c r="G1967" i="1" s="1"/>
  <c r="B1968" i="1"/>
  <c r="C1968" i="1" s="1"/>
  <c r="G1968" i="1" s="1"/>
  <c r="B1969" i="1"/>
  <c r="C1969" i="1" s="1"/>
  <c r="G1969" i="1" s="1"/>
  <c r="B1970" i="1"/>
  <c r="C1970" i="1" s="1"/>
  <c r="G1970" i="1" s="1"/>
  <c r="B1971" i="1"/>
  <c r="C1971" i="1" s="1"/>
  <c r="G1971" i="1" s="1"/>
  <c r="B1972" i="1"/>
  <c r="C1972" i="1" s="1"/>
  <c r="G1972" i="1" s="1"/>
  <c r="B1973" i="1"/>
  <c r="C1973" i="1" s="1"/>
  <c r="G1973" i="1" s="1"/>
  <c r="B1974" i="1"/>
  <c r="C1974" i="1" s="1"/>
  <c r="G1974" i="1" s="1"/>
  <c r="B1975" i="1"/>
  <c r="C1975" i="1" s="1"/>
  <c r="G1975" i="1" s="1"/>
  <c r="B1976" i="1"/>
  <c r="C1976" i="1" s="1"/>
  <c r="G1976" i="1" s="1"/>
  <c r="B1977" i="1"/>
  <c r="C1977" i="1" s="1"/>
  <c r="G1977" i="1" s="1"/>
  <c r="B1978" i="1"/>
  <c r="C1978" i="1" s="1"/>
  <c r="G1978" i="1" s="1"/>
  <c r="B1979" i="1"/>
  <c r="C1979" i="1" s="1"/>
  <c r="G1979" i="1" s="1"/>
  <c r="B1980" i="1"/>
  <c r="C1980" i="1" s="1"/>
  <c r="G1980" i="1" s="1"/>
  <c r="B1981" i="1"/>
  <c r="C1981" i="1" s="1"/>
  <c r="G1981" i="1" s="1"/>
  <c r="B1982" i="1"/>
  <c r="C1982" i="1" s="1"/>
  <c r="G1982" i="1" s="1"/>
  <c r="B1983" i="1"/>
  <c r="C1983" i="1" s="1"/>
  <c r="G1983" i="1" s="1"/>
  <c r="B1984" i="1"/>
  <c r="C1984" i="1" s="1"/>
  <c r="G1984" i="1" s="1"/>
  <c r="B1985" i="1"/>
  <c r="C1985" i="1" s="1"/>
  <c r="G1985" i="1" s="1"/>
  <c r="B1986" i="1"/>
  <c r="C1986" i="1" s="1"/>
  <c r="G1986" i="1" s="1"/>
  <c r="B1987" i="1"/>
  <c r="C1987" i="1" s="1"/>
  <c r="G1987" i="1" s="1"/>
  <c r="B1988" i="1"/>
  <c r="C1988" i="1" s="1"/>
  <c r="G1988" i="1" s="1"/>
  <c r="B1989" i="1"/>
  <c r="C1989" i="1" s="1"/>
  <c r="G1989" i="1" s="1"/>
  <c r="B1990" i="1"/>
  <c r="C1990" i="1" s="1"/>
  <c r="G1990" i="1" s="1"/>
  <c r="B1991" i="1"/>
  <c r="C1991" i="1" s="1"/>
  <c r="G1991" i="1" s="1"/>
  <c r="B1992" i="1"/>
  <c r="C1992" i="1" s="1"/>
  <c r="G1992" i="1" s="1"/>
  <c r="B1993" i="1"/>
  <c r="C1993" i="1" s="1"/>
  <c r="G1993" i="1" s="1"/>
  <c r="B1994" i="1"/>
  <c r="C1994" i="1" s="1"/>
  <c r="G1994" i="1" s="1"/>
  <c r="B1995" i="1"/>
  <c r="C1995" i="1" s="1"/>
  <c r="G1995" i="1" s="1"/>
  <c r="B1996" i="1"/>
  <c r="C1996" i="1" s="1"/>
  <c r="G1996" i="1" s="1"/>
  <c r="B1997" i="1"/>
  <c r="C1997" i="1" s="1"/>
  <c r="G1997" i="1" s="1"/>
  <c r="B1998" i="1"/>
  <c r="C1998" i="1" s="1"/>
  <c r="G1998" i="1" s="1"/>
  <c r="B1999" i="1"/>
  <c r="C1999" i="1" s="1"/>
  <c r="G1999" i="1" s="1"/>
  <c r="B2000" i="1"/>
  <c r="C2000" i="1" s="1"/>
  <c r="G2000" i="1" s="1"/>
  <c r="B2001" i="1"/>
  <c r="C2001" i="1" s="1"/>
  <c r="G2001" i="1" s="1"/>
  <c r="B2002" i="1"/>
  <c r="C2002" i="1" s="1"/>
  <c r="G2002" i="1" s="1"/>
  <c r="B2003" i="1"/>
  <c r="C2003" i="1" s="1"/>
  <c r="G2003" i="1" s="1"/>
  <c r="B2004" i="1"/>
  <c r="C2004" i="1" s="1"/>
  <c r="G2004" i="1" s="1"/>
  <c r="B2005" i="1"/>
  <c r="C2005" i="1" s="1"/>
  <c r="G2005" i="1" s="1"/>
  <c r="B2006" i="1"/>
  <c r="C2006" i="1" s="1"/>
  <c r="G2006" i="1" s="1"/>
  <c r="B2007" i="1"/>
  <c r="C2007" i="1" s="1"/>
  <c r="G2007" i="1" s="1"/>
  <c r="B2008" i="1"/>
  <c r="C2008" i="1" s="1"/>
  <c r="G2008" i="1" s="1"/>
  <c r="B2009" i="1"/>
  <c r="C2009" i="1" s="1"/>
  <c r="G2009" i="1" s="1"/>
  <c r="B2010" i="1"/>
  <c r="C2010" i="1" s="1"/>
  <c r="G2010" i="1" s="1"/>
  <c r="B2011" i="1"/>
  <c r="C2011" i="1" s="1"/>
  <c r="G2011" i="1" s="1"/>
  <c r="B2012" i="1"/>
  <c r="C2012" i="1" s="1"/>
  <c r="G2012" i="1" s="1"/>
  <c r="B2013" i="1"/>
  <c r="C2013" i="1" s="1"/>
  <c r="G2013" i="1" s="1"/>
  <c r="B2014" i="1"/>
  <c r="C2014" i="1" s="1"/>
  <c r="G2014" i="1" s="1"/>
  <c r="B2015" i="1"/>
  <c r="C2015" i="1" s="1"/>
  <c r="G2015" i="1" s="1"/>
  <c r="B2016" i="1"/>
  <c r="C2016" i="1" s="1"/>
  <c r="G2016" i="1" s="1"/>
  <c r="B2017" i="1"/>
  <c r="C2017" i="1" s="1"/>
  <c r="G2017" i="1" s="1"/>
  <c r="B2018" i="1"/>
  <c r="C2018" i="1" s="1"/>
  <c r="G2018" i="1" s="1"/>
  <c r="B2019" i="1"/>
  <c r="C2019" i="1" s="1"/>
  <c r="G2019" i="1" s="1"/>
  <c r="B2020" i="1"/>
  <c r="C2020" i="1" s="1"/>
  <c r="G2020" i="1" s="1"/>
  <c r="B2021" i="1"/>
  <c r="C2021" i="1" s="1"/>
  <c r="G2021" i="1" s="1"/>
  <c r="B2022" i="1"/>
  <c r="C2022" i="1" s="1"/>
  <c r="G2022" i="1" s="1"/>
  <c r="B2023" i="1"/>
  <c r="C2023" i="1" s="1"/>
  <c r="G2023" i="1" s="1"/>
  <c r="B2024" i="1"/>
  <c r="C2024" i="1" s="1"/>
  <c r="G2024" i="1" s="1"/>
  <c r="B2025" i="1"/>
  <c r="C2025" i="1" s="1"/>
  <c r="G2025" i="1" s="1"/>
  <c r="B2026" i="1"/>
  <c r="C2026" i="1" s="1"/>
  <c r="G2026" i="1" s="1"/>
  <c r="B2027" i="1"/>
  <c r="C2027" i="1" s="1"/>
  <c r="G2027" i="1" s="1"/>
  <c r="B2028" i="1"/>
  <c r="C2028" i="1" s="1"/>
  <c r="G2028" i="1" s="1"/>
  <c r="B2029" i="1"/>
  <c r="C2029" i="1" s="1"/>
  <c r="G2029" i="1" s="1"/>
  <c r="B2030" i="1"/>
  <c r="C2030" i="1" s="1"/>
  <c r="G2030" i="1" s="1"/>
  <c r="B2031" i="1"/>
  <c r="C2031" i="1" s="1"/>
  <c r="G2031" i="1" s="1"/>
  <c r="B2032" i="1"/>
  <c r="C2032" i="1" s="1"/>
  <c r="G2032" i="1" s="1"/>
  <c r="B2033" i="1"/>
  <c r="C2033" i="1" s="1"/>
  <c r="G2033" i="1" s="1"/>
  <c r="B2034" i="1"/>
  <c r="C2034" i="1" s="1"/>
  <c r="G2034" i="1" s="1"/>
  <c r="B2035" i="1"/>
  <c r="C2035" i="1" s="1"/>
  <c r="G2035" i="1" s="1"/>
  <c r="B2036" i="1"/>
  <c r="C2036" i="1" s="1"/>
  <c r="G2036" i="1" s="1"/>
  <c r="B2037" i="1"/>
  <c r="C2037" i="1" s="1"/>
  <c r="G2037" i="1" s="1"/>
  <c r="B2038" i="1"/>
  <c r="C2038" i="1" s="1"/>
  <c r="G2038" i="1" s="1"/>
  <c r="B2039" i="1"/>
  <c r="C2039" i="1" s="1"/>
  <c r="G2039" i="1" s="1"/>
  <c r="B2040" i="1"/>
  <c r="C2040" i="1" s="1"/>
  <c r="G2040" i="1" s="1"/>
  <c r="B2041" i="1"/>
  <c r="C2041" i="1" s="1"/>
  <c r="G2041" i="1" s="1"/>
  <c r="B2042" i="1"/>
  <c r="C2042" i="1" s="1"/>
  <c r="G2042" i="1" s="1"/>
  <c r="B2043" i="1"/>
  <c r="C2043" i="1" s="1"/>
  <c r="G2043" i="1" s="1"/>
  <c r="B2044" i="1"/>
  <c r="C2044" i="1" s="1"/>
  <c r="G2044" i="1" s="1"/>
  <c r="B2045" i="1"/>
  <c r="C2045" i="1" s="1"/>
  <c r="G2045" i="1" s="1"/>
  <c r="B2046" i="1"/>
  <c r="C2046" i="1" s="1"/>
  <c r="G2046" i="1" s="1"/>
  <c r="B2047" i="1"/>
  <c r="C2047" i="1" s="1"/>
  <c r="G2047" i="1" s="1"/>
  <c r="B2048" i="1"/>
  <c r="C2048" i="1" s="1"/>
  <c r="G2048" i="1" s="1"/>
  <c r="B2049" i="1"/>
  <c r="C2049" i="1" s="1"/>
  <c r="G2049" i="1" s="1"/>
  <c r="B2050" i="1"/>
  <c r="C2050" i="1" s="1"/>
  <c r="G2050" i="1" s="1"/>
  <c r="B2051" i="1"/>
  <c r="C2051" i="1" s="1"/>
  <c r="G2051" i="1" s="1"/>
  <c r="B2052" i="1"/>
  <c r="C2052" i="1" s="1"/>
  <c r="G2052" i="1" s="1"/>
  <c r="B2053" i="1"/>
  <c r="C2053" i="1" s="1"/>
  <c r="G2053" i="1" s="1"/>
  <c r="B2054" i="1"/>
  <c r="C2054" i="1" s="1"/>
  <c r="G2054" i="1" s="1"/>
  <c r="B2055" i="1"/>
  <c r="C2055" i="1" s="1"/>
  <c r="G2055" i="1" s="1"/>
  <c r="B2056" i="1"/>
  <c r="C2056" i="1" s="1"/>
  <c r="G2056" i="1" s="1"/>
  <c r="B2057" i="1"/>
  <c r="C2057" i="1" s="1"/>
  <c r="G2057" i="1" s="1"/>
  <c r="B2058" i="1"/>
  <c r="C2058" i="1" s="1"/>
  <c r="G2058" i="1" s="1"/>
  <c r="B2059" i="1"/>
  <c r="C2059" i="1" s="1"/>
  <c r="G2059" i="1" s="1"/>
  <c r="B2060" i="1"/>
  <c r="C2060" i="1" s="1"/>
  <c r="G2060" i="1" s="1"/>
  <c r="B2061" i="1"/>
  <c r="C2061" i="1" s="1"/>
  <c r="G2061" i="1" s="1"/>
  <c r="B2062" i="1"/>
  <c r="C2062" i="1" s="1"/>
  <c r="G2062" i="1" s="1"/>
  <c r="B2063" i="1"/>
  <c r="C2063" i="1" s="1"/>
  <c r="G2063" i="1" s="1"/>
  <c r="B2064" i="1"/>
  <c r="C2064" i="1" s="1"/>
  <c r="G2064" i="1" s="1"/>
  <c r="B2065" i="1"/>
  <c r="C2065" i="1" s="1"/>
  <c r="G2065" i="1" s="1"/>
  <c r="B2066" i="1"/>
  <c r="C2066" i="1" s="1"/>
  <c r="G2066" i="1" s="1"/>
  <c r="B2067" i="1"/>
  <c r="C2067" i="1" s="1"/>
  <c r="G2067" i="1" s="1"/>
  <c r="B2068" i="1"/>
  <c r="C2068" i="1" s="1"/>
  <c r="G2068" i="1" s="1"/>
  <c r="B2069" i="1"/>
  <c r="C2069" i="1" s="1"/>
  <c r="G2069" i="1" s="1"/>
  <c r="B2070" i="1"/>
  <c r="C2070" i="1" s="1"/>
  <c r="G2070" i="1" s="1"/>
  <c r="B2071" i="1"/>
  <c r="C2071" i="1" s="1"/>
  <c r="G2071" i="1" s="1"/>
  <c r="B2072" i="1"/>
  <c r="C2072" i="1" s="1"/>
  <c r="G2072" i="1" s="1"/>
  <c r="B2073" i="1"/>
  <c r="C2073" i="1" s="1"/>
  <c r="G2073" i="1" s="1"/>
  <c r="B2074" i="1"/>
  <c r="C2074" i="1" s="1"/>
  <c r="G2074" i="1" s="1"/>
  <c r="B2075" i="1"/>
  <c r="C2075" i="1" s="1"/>
  <c r="G2075" i="1" s="1"/>
  <c r="B2076" i="1"/>
  <c r="C2076" i="1" s="1"/>
  <c r="G2076" i="1" s="1"/>
  <c r="B2077" i="1"/>
  <c r="C2077" i="1" s="1"/>
  <c r="G2077" i="1" s="1"/>
  <c r="B2078" i="1"/>
  <c r="C2078" i="1" s="1"/>
  <c r="G2078" i="1" s="1"/>
  <c r="B2079" i="1"/>
  <c r="C2079" i="1" s="1"/>
  <c r="G2079" i="1" s="1"/>
  <c r="B2080" i="1"/>
  <c r="C2080" i="1" s="1"/>
  <c r="G2080" i="1" s="1"/>
  <c r="B2081" i="1"/>
  <c r="C2081" i="1" s="1"/>
  <c r="G2081" i="1" s="1"/>
  <c r="B2082" i="1"/>
  <c r="C2082" i="1" s="1"/>
  <c r="G2082" i="1" s="1"/>
  <c r="B2083" i="1"/>
  <c r="C2083" i="1" s="1"/>
  <c r="G2083" i="1" s="1"/>
  <c r="B2084" i="1"/>
  <c r="C2084" i="1" s="1"/>
  <c r="G2084" i="1" s="1"/>
  <c r="B2085" i="1"/>
  <c r="C2085" i="1" s="1"/>
  <c r="G2085" i="1" s="1"/>
  <c r="B2086" i="1"/>
  <c r="C2086" i="1" s="1"/>
  <c r="G2086" i="1" s="1"/>
  <c r="B2087" i="1"/>
  <c r="C2087" i="1" s="1"/>
  <c r="G2087" i="1" s="1"/>
  <c r="B2088" i="1"/>
  <c r="C2088" i="1" s="1"/>
  <c r="G2088" i="1" s="1"/>
  <c r="B2089" i="1"/>
  <c r="C2089" i="1" s="1"/>
  <c r="G2089" i="1" s="1"/>
  <c r="B2090" i="1"/>
  <c r="C2090" i="1" s="1"/>
  <c r="G2090" i="1" s="1"/>
  <c r="B2091" i="1"/>
  <c r="C2091" i="1" s="1"/>
  <c r="G2091" i="1" s="1"/>
  <c r="B2092" i="1"/>
  <c r="C2092" i="1" s="1"/>
  <c r="G2092" i="1" s="1"/>
  <c r="B2093" i="1"/>
  <c r="C2093" i="1" s="1"/>
  <c r="G2093" i="1" s="1"/>
  <c r="B2094" i="1"/>
  <c r="C2094" i="1" s="1"/>
  <c r="G2094" i="1" s="1"/>
  <c r="B2095" i="1"/>
  <c r="C2095" i="1" s="1"/>
  <c r="G2095" i="1" s="1"/>
  <c r="B2096" i="1"/>
  <c r="C2096" i="1" s="1"/>
  <c r="G2096" i="1" s="1"/>
  <c r="B2097" i="1"/>
  <c r="C2097" i="1" s="1"/>
  <c r="G2097" i="1" s="1"/>
  <c r="B2098" i="1"/>
  <c r="C2098" i="1" s="1"/>
  <c r="G2098" i="1" s="1"/>
  <c r="B2099" i="1"/>
  <c r="C2099" i="1" s="1"/>
  <c r="G2099" i="1" s="1"/>
  <c r="B2100" i="1"/>
  <c r="C2100" i="1" s="1"/>
  <c r="G2100" i="1" s="1"/>
  <c r="B2101" i="1"/>
  <c r="C2101" i="1" s="1"/>
  <c r="G2101" i="1" s="1"/>
  <c r="B2102" i="1"/>
  <c r="C2102" i="1" s="1"/>
  <c r="G2102" i="1" s="1"/>
  <c r="B2103" i="1"/>
  <c r="C2103" i="1" s="1"/>
  <c r="G2103" i="1" s="1"/>
  <c r="B2104" i="1"/>
  <c r="C2104" i="1" s="1"/>
  <c r="G2104" i="1" s="1"/>
  <c r="B2105" i="1"/>
  <c r="C2105" i="1" s="1"/>
  <c r="G2105" i="1" s="1"/>
  <c r="B2106" i="1"/>
  <c r="C2106" i="1" s="1"/>
  <c r="G2106" i="1" s="1"/>
  <c r="B2107" i="1"/>
  <c r="C2107" i="1" s="1"/>
  <c r="G2107" i="1" s="1"/>
  <c r="B2108" i="1"/>
  <c r="C2108" i="1" s="1"/>
  <c r="G2108" i="1" s="1"/>
  <c r="B2109" i="1"/>
  <c r="C2109" i="1" s="1"/>
  <c r="G2109" i="1" s="1"/>
  <c r="B2110" i="1"/>
  <c r="C2110" i="1" s="1"/>
  <c r="G2110" i="1" s="1"/>
  <c r="B2111" i="1"/>
  <c r="C2111" i="1" s="1"/>
  <c r="G2111" i="1" s="1"/>
  <c r="B2112" i="1"/>
  <c r="C2112" i="1" s="1"/>
  <c r="G2112" i="1" s="1"/>
  <c r="B2113" i="1"/>
  <c r="C2113" i="1" s="1"/>
  <c r="G2113" i="1" s="1"/>
  <c r="B2114" i="1"/>
  <c r="C2114" i="1" s="1"/>
  <c r="G2114" i="1" s="1"/>
  <c r="B2115" i="1"/>
  <c r="C2115" i="1" s="1"/>
  <c r="G2115" i="1" s="1"/>
  <c r="B2116" i="1"/>
  <c r="C2116" i="1" s="1"/>
  <c r="G2116" i="1" s="1"/>
  <c r="B2117" i="1"/>
  <c r="C2117" i="1" s="1"/>
  <c r="G2117" i="1" s="1"/>
  <c r="B2118" i="1"/>
  <c r="C2118" i="1" s="1"/>
  <c r="G2118" i="1" s="1"/>
  <c r="B2119" i="1"/>
  <c r="C2119" i="1" s="1"/>
  <c r="G2119" i="1" s="1"/>
  <c r="B2120" i="1"/>
  <c r="C2120" i="1" s="1"/>
  <c r="G2120" i="1" s="1"/>
  <c r="B2121" i="1"/>
  <c r="C2121" i="1" s="1"/>
  <c r="G2121" i="1" s="1"/>
  <c r="B2122" i="1"/>
  <c r="C2122" i="1" s="1"/>
  <c r="G2122" i="1" s="1"/>
  <c r="B2123" i="1"/>
  <c r="C2123" i="1" s="1"/>
  <c r="G2123" i="1" s="1"/>
  <c r="B2124" i="1"/>
  <c r="C2124" i="1" s="1"/>
  <c r="G2124" i="1" s="1"/>
  <c r="B2125" i="1"/>
  <c r="C2125" i="1" s="1"/>
  <c r="G2125" i="1" s="1"/>
  <c r="B2126" i="1"/>
  <c r="C2126" i="1" s="1"/>
  <c r="G2126" i="1" s="1"/>
  <c r="B2127" i="1"/>
  <c r="C2127" i="1" s="1"/>
  <c r="G2127" i="1" s="1"/>
  <c r="B2128" i="1"/>
  <c r="C2128" i="1" s="1"/>
  <c r="G2128" i="1" s="1"/>
  <c r="B2129" i="1"/>
  <c r="C2129" i="1" s="1"/>
  <c r="G2129" i="1" s="1"/>
  <c r="B2130" i="1"/>
  <c r="C2130" i="1" s="1"/>
  <c r="G2130" i="1" s="1"/>
  <c r="B2131" i="1"/>
  <c r="C2131" i="1" s="1"/>
  <c r="G2131" i="1" s="1"/>
  <c r="B2132" i="1"/>
  <c r="C2132" i="1" s="1"/>
  <c r="G2132" i="1" s="1"/>
  <c r="B2133" i="1"/>
  <c r="C2133" i="1" s="1"/>
  <c r="G2133" i="1" s="1"/>
  <c r="B2134" i="1"/>
  <c r="C2134" i="1" s="1"/>
  <c r="G2134" i="1" s="1"/>
  <c r="B2135" i="1"/>
  <c r="C2135" i="1" s="1"/>
  <c r="G2135" i="1" s="1"/>
  <c r="B2136" i="1"/>
  <c r="C2136" i="1" s="1"/>
  <c r="G2136" i="1" s="1"/>
  <c r="B2137" i="1"/>
  <c r="C2137" i="1" s="1"/>
  <c r="G2137" i="1" s="1"/>
  <c r="B2138" i="1"/>
  <c r="C2138" i="1" s="1"/>
  <c r="G2138" i="1" s="1"/>
  <c r="B2139" i="1"/>
  <c r="C2139" i="1" s="1"/>
  <c r="G2139" i="1" s="1"/>
  <c r="B2140" i="1"/>
  <c r="C2140" i="1" s="1"/>
  <c r="G2140" i="1" s="1"/>
  <c r="B2141" i="1"/>
  <c r="C2141" i="1" s="1"/>
  <c r="G2141" i="1" s="1"/>
  <c r="B2142" i="1"/>
  <c r="C2142" i="1" s="1"/>
  <c r="G2142" i="1" s="1"/>
  <c r="B2143" i="1"/>
  <c r="C2143" i="1" s="1"/>
  <c r="G2143" i="1" s="1"/>
  <c r="B2144" i="1"/>
  <c r="C2144" i="1" s="1"/>
  <c r="G2144" i="1" s="1"/>
  <c r="B2145" i="1"/>
  <c r="C2145" i="1" s="1"/>
  <c r="G2145" i="1" s="1"/>
  <c r="B2146" i="1"/>
  <c r="C2146" i="1" s="1"/>
  <c r="G2146" i="1" s="1"/>
  <c r="B2147" i="1"/>
  <c r="C2147" i="1" s="1"/>
  <c r="G2147" i="1" s="1"/>
  <c r="B2148" i="1"/>
  <c r="C2148" i="1" s="1"/>
  <c r="G2148" i="1" s="1"/>
  <c r="B2149" i="1"/>
  <c r="C2149" i="1" s="1"/>
  <c r="G2149" i="1" s="1"/>
  <c r="B2150" i="1"/>
  <c r="C2150" i="1" s="1"/>
  <c r="G2150" i="1" s="1"/>
  <c r="B2151" i="1"/>
  <c r="C2151" i="1" s="1"/>
  <c r="G2151" i="1" s="1"/>
  <c r="B2152" i="1"/>
  <c r="C2152" i="1" s="1"/>
  <c r="G2152" i="1" s="1"/>
  <c r="B2153" i="1"/>
  <c r="C2153" i="1" s="1"/>
  <c r="G2153" i="1" s="1"/>
  <c r="B2154" i="1"/>
  <c r="C2154" i="1" s="1"/>
  <c r="G2154" i="1" s="1"/>
  <c r="B2155" i="1"/>
  <c r="C2155" i="1" s="1"/>
  <c r="G2155" i="1" s="1"/>
  <c r="B2156" i="1"/>
  <c r="C2156" i="1" s="1"/>
  <c r="G2156" i="1" s="1"/>
  <c r="B2157" i="1"/>
  <c r="C2157" i="1" s="1"/>
  <c r="G2157" i="1" s="1"/>
  <c r="B2158" i="1"/>
  <c r="C2158" i="1" s="1"/>
  <c r="G2158" i="1" s="1"/>
  <c r="B2159" i="1"/>
  <c r="C2159" i="1" s="1"/>
  <c r="G2159" i="1" s="1"/>
  <c r="B2160" i="1"/>
  <c r="C2160" i="1" s="1"/>
  <c r="G2160" i="1" s="1"/>
  <c r="B2161" i="1"/>
  <c r="C2161" i="1" s="1"/>
  <c r="G2161" i="1" s="1"/>
  <c r="B2162" i="1"/>
  <c r="C2162" i="1" s="1"/>
  <c r="G2162" i="1" s="1"/>
  <c r="B2163" i="1"/>
  <c r="C2163" i="1" s="1"/>
  <c r="G2163" i="1" s="1"/>
  <c r="B2164" i="1"/>
  <c r="C2164" i="1" s="1"/>
  <c r="G2164" i="1" s="1"/>
  <c r="B2165" i="1"/>
  <c r="C2165" i="1" s="1"/>
  <c r="G2165" i="1" s="1"/>
  <c r="B2166" i="1"/>
  <c r="C2166" i="1" s="1"/>
  <c r="G2166" i="1" s="1"/>
  <c r="B2167" i="1"/>
  <c r="C2167" i="1" s="1"/>
  <c r="G2167" i="1" s="1"/>
  <c r="B2168" i="1"/>
  <c r="C2168" i="1" s="1"/>
  <c r="G2168" i="1" s="1"/>
  <c r="B2169" i="1"/>
  <c r="C2169" i="1" s="1"/>
  <c r="G2169" i="1" s="1"/>
  <c r="B2170" i="1"/>
  <c r="C2170" i="1" s="1"/>
  <c r="G2170" i="1" s="1"/>
  <c r="B2171" i="1"/>
  <c r="C2171" i="1" s="1"/>
  <c r="G2171" i="1" s="1"/>
  <c r="B2172" i="1"/>
  <c r="C2172" i="1" s="1"/>
  <c r="G2172" i="1" s="1"/>
  <c r="B2173" i="1"/>
  <c r="C2173" i="1" s="1"/>
  <c r="G2173" i="1" s="1"/>
  <c r="B2174" i="1"/>
  <c r="C2174" i="1" s="1"/>
  <c r="G2174" i="1" s="1"/>
  <c r="B2175" i="1"/>
  <c r="C2175" i="1" s="1"/>
  <c r="G2175" i="1" s="1"/>
  <c r="B2176" i="1"/>
  <c r="C2176" i="1" s="1"/>
  <c r="G2176" i="1" s="1"/>
  <c r="B2177" i="1"/>
  <c r="C2177" i="1" s="1"/>
  <c r="G2177" i="1" s="1"/>
  <c r="B2178" i="1"/>
  <c r="C2178" i="1" s="1"/>
  <c r="G2178" i="1" s="1"/>
  <c r="B2179" i="1"/>
  <c r="C2179" i="1" s="1"/>
  <c r="G2179" i="1" s="1"/>
  <c r="B2180" i="1"/>
  <c r="C2180" i="1" s="1"/>
  <c r="G2180" i="1" s="1"/>
  <c r="B2181" i="1"/>
  <c r="C2181" i="1" s="1"/>
  <c r="G2181" i="1" s="1"/>
  <c r="B2182" i="1"/>
  <c r="C2182" i="1" s="1"/>
  <c r="G2182" i="1" s="1"/>
  <c r="B2183" i="1"/>
  <c r="C2183" i="1" s="1"/>
  <c r="G2183" i="1" s="1"/>
  <c r="B2184" i="1"/>
  <c r="C2184" i="1" s="1"/>
  <c r="G2184" i="1" s="1"/>
  <c r="B2185" i="1"/>
  <c r="C2185" i="1" s="1"/>
  <c r="G2185" i="1" s="1"/>
  <c r="B2186" i="1"/>
  <c r="C2186" i="1" s="1"/>
  <c r="G2186" i="1" s="1"/>
  <c r="B2187" i="1"/>
  <c r="C2187" i="1" s="1"/>
  <c r="G2187" i="1" s="1"/>
  <c r="B2188" i="1"/>
  <c r="C2188" i="1" s="1"/>
  <c r="G2188" i="1" s="1"/>
  <c r="B2189" i="1"/>
  <c r="C2189" i="1" s="1"/>
  <c r="G2189" i="1" s="1"/>
  <c r="B2190" i="1"/>
  <c r="C2190" i="1" s="1"/>
  <c r="G2190" i="1" s="1"/>
  <c r="B2191" i="1"/>
  <c r="C2191" i="1" s="1"/>
  <c r="G2191" i="1" s="1"/>
  <c r="B2192" i="1"/>
  <c r="C2192" i="1" s="1"/>
  <c r="G2192" i="1" s="1"/>
  <c r="B2193" i="1"/>
  <c r="C2193" i="1" s="1"/>
  <c r="G2193" i="1" s="1"/>
  <c r="B2194" i="1"/>
  <c r="C2194" i="1" s="1"/>
  <c r="G2194" i="1" s="1"/>
  <c r="B2195" i="1"/>
  <c r="C2195" i="1" s="1"/>
  <c r="G2195" i="1" s="1"/>
  <c r="B2196" i="1"/>
  <c r="C2196" i="1" s="1"/>
  <c r="G2196" i="1" s="1"/>
  <c r="B2197" i="1"/>
  <c r="C2197" i="1" s="1"/>
  <c r="G2197" i="1" s="1"/>
  <c r="B2198" i="1"/>
  <c r="C2198" i="1" s="1"/>
  <c r="G2198" i="1" s="1"/>
  <c r="B2199" i="1"/>
  <c r="C2199" i="1" s="1"/>
  <c r="G2199" i="1" s="1"/>
  <c r="B2200" i="1"/>
  <c r="C2200" i="1" s="1"/>
  <c r="G2200" i="1" s="1"/>
  <c r="B2201" i="1"/>
  <c r="C2201" i="1" s="1"/>
  <c r="G2201" i="1" s="1"/>
  <c r="B2202" i="1"/>
  <c r="C2202" i="1" s="1"/>
  <c r="G2202" i="1" s="1"/>
  <c r="B2203" i="1"/>
  <c r="C2203" i="1" s="1"/>
  <c r="G2203" i="1" s="1"/>
  <c r="B2204" i="1"/>
  <c r="C2204" i="1" s="1"/>
  <c r="G2204" i="1" s="1"/>
  <c r="B2205" i="1"/>
  <c r="C2205" i="1" s="1"/>
  <c r="G2205" i="1" s="1"/>
  <c r="B2206" i="1"/>
  <c r="C2206" i="1" s="1"/>
  <c r="G2206" i="1" s="1"/>
  <c r="B2207" i="1"/>
  <c r="C2207" i="1" s="1"/>
  <c r="G2207" i="1" s="1"/>
  <c r="B2208" i="1"/>
  <c r="C2208" i="1" s="1"/>
  <c r="G2208" i="1" s="1"/>
  <c r="B2209" i="1"/>
  <c r="C2209" i="1" s="1"/>
  <c r="G2209" i="1" s="1"/>
  <c r="B2210" i="1"/>
  <c r="C2210" i="1" s="1"/>
  <c r="G2210" i="1" s="1"/>
  <c r="B2211" i="1"/>
  <c r="C2211" i="1" s="1"/>
  <c r="G2211" i="1" s="1"/>
  <c r="B2212" i="1"/>
  <c r="C2212" i="1" s="1"/>
  <c r="G2212" i="1" s="1"/>
  <c r="B2213" i="1"/>
  <c r="C2213" i="1" s="1"/>
  <c r="G2213" i="1" s="1"/>
  <c r="B2214" i="1"/>
  <c r="C2214" i="1" s="1"/>
  <c r="G2214" i="1" s="1"/>
  <c r="B2215" i="1"/>
  <c r="C2215" i="1" s="1"/>
  <c r="G2215" i="1" s="1"/>
  <c r="B2216" i="1"/>
  <c r="C2216" i="1" s="1"/>
  <c r="G2216" i="1" s="1"/>
  <c r="B2217" i="1"/>
  <c r="C2217" i="1" s="1"/>
  <c r="G2217" i="1" s="1"/>
  <c r="B2218" i="1"/>
  <c r="C2218" i="1" s="1"/>
  <c r="G2218" i="1" s="1"/>
  <c r="B2219" i="1"/>
  <c r="C2219" i="1" s="1"/>
  <c r="G2219" i="1" s="1"/>
  <c r="B2220" i="1"/>
  <c r="C2220" i="1" s="1"/>
  <c r="G2220" i="1" s="1"/>
  <c r="B2221" i="1"/>
  <c r="C2221" i="1" s="1"/>
  <c r="G2221" i="1" s="1"/>
  <c r="B2222" i="1"/>
  <c r="C2222" i="1" s="1"/>
  <c r="G2222" i="1" s="1"/>
  <c r="B2223" i="1"/>
  <c r="C2223" i="1" s="1"/>
  <c r="G2223" i="1" s="1"/>
  <c r="B2224" i="1"/>
  <c r="C2224" i="1" s="1"/>
  <c r="G2224" i="1" s="1"/>
  <c r="B2225" i="1"/>
  <c r="C2225" i="1" s="1"/>
  <c r="G2225" i="1" s="1"/>
  <c r="B2226" i="1"/>
  <c r="C2226" i="1" s="1"/>
  <c r="G2226" i="1" s="1"/>
  <c r="B2227" i="1"/>
  <c r="C2227" i="1" s="1"/>
  <c r="G2227" i="1" s="1"/>
  <c r="B2228" i="1"/>
  <c r="C2228" i="1" s="1"/>
  <c r="G2228" i="1" s="1"/>
  <c r="B2229" i="1"/>
  <c r="C2229" i="1" s="1"/>
  <c r="G2229" i="1" s="1"/>
  <c r="B2230" i="1"/>
  <c r="C2230" i="1" s="1"/>
  <c r="G2230" i="1" s="1"/>
  <c r="B2231" i="1"/>
  <c r="C2231" i="1" s="1"/>
  <c r="G2231" i="1" s="1"/>
  <c r="B2232" i="1"/>
  <c r="C2232" i="1" s="1"/>
  <c r="G2232" i="1" s="1"/>
  <c r="B2233" i="1"/>
  <c r="C2233" i="1" s="1"/>
  <c r="G2233" i="1" s="1"/>
  <c r="B2234" i="1"/>
  <c r="C2234" i="1" s="1"/>
  <c r="G2234" i="1" s="1"/>
  <c r="B2235" i="1"/>
  <c r="C2235" i="1" s="1"/>
  <c r="G2235" i="1" s="1"/>
  <c r="B2236" i="1"/>
  <c r="C2236" i="1" s="1"/>
  <c r="G2236" i="1" s="1"/>
  <c r="B2237" i="1"/>
  <c r="C2237" i="1" s="1"/>
  <c r="G2237" i="1" s="1"/>
  <c r="B2238" i="1"/>
  <c r="C2238" i="1" s="1"/>
  <c r="G2238" i="1" s="1"/>
  <c r="B2239" i="1"/>
  <c r="C2239" i="1" s="1"/>
  <c r="G2239" i="1" s="1"/>
  <c r="B2240" i="1"/>
  <c r="C2240" i="1" s="1"/>
  <c r="G2240" i="1" s="1"/>
  <c r="B2241" i="1"/>
  <c r="C2241" i="1" s="1"/>
  <c r="G2241" i="1" s="1"/>
  <c r="B2242" i="1"/>
  <c r="C2242" i="1" s="1"/>
  <c r="G2242" i="1" s="1"/>
  <c r="B2243" i="1"/>
  <c r="C2243" i="1" s="1"/>
  <c r="G2243" i="1" s="1"/>
  <c r="B2244" i="1"/>
  <c r="C2244" i="1" s="1"/>
  <c r="G2244" i="1" s="1"/>
  <c r="B2245" i="1"/>
  <c r="C2245" i="1" s="1"/>
  <c r="G2245" i="1" s="1"/>
  <c r="B2246" i="1"/>
  <c r="C2246" i="1" s="1"/>
  <c r="G2246" i="1" s="1"/>
  <c r="B2247" i="1"/>
  <c r="C2247" i="1" s="1"/>
  <c r="G2247" i="1" s="1"/>
  <c r="B2248" i="1"/>
  <c r="C2248" i="1" s="1"/>
  <c r="G2248" i="1" s="1"/>
  <c r="B2249" i="1"/>
  <c r="C2249" i="1" s="1"/>
  <c r="G2249" i="1" s="1"/>
  <c r="B2250" i="1"/>
  <c r="C2250" i="1" s="1"/>
  <c r="G2250" i="1" s="1"/>
  <c r="B2251" i="1"/>
  <c r="C2251" i="1" s="1"/>
  <c r="G2251" i="1" s="1"/>
  <c r="B2252" i="1"/>
  <c r="C2252" i="1" s="1"/>
  <c r="G2252" i="1" s="1"/>
  <c r="B2253" i="1"/>
  <c r="C2253" i="1" s="1"/>
  <c r="G2253" i="1" s="1"/>
  <c r="B2254" i="1"/>
  <c r="C2254" i="1" s="1"/>
  <c r="G2254" i="1" s="1"/>
  <c r="B2255" i="1"/>
  <c r="C2255" i="1" s="1"/>
  <c r="G2255" i="1" s="1"/>
  <c r="B2256" i="1"/>
  <c r="C2256" i="1" s="1"/>
  <c r="G2256" i="1" s="1"/>
  <c r="B2257" i="1"/>
  <c r="C2257" i="1" s="1"/>
  <c r="G2257" i="1" s="1"/>
  <c r="B2258" i="1"/>
  <c r="C2258" i="1" s="1"/>
  <c r="G2258" i="1" s="1"/>
  <c r="B2259" i="1"/>
  <c r="C2259" i="1" s="1"/>
  <c r="G2259" i="1" s="1"/>
  <c r="B2260" i="1"/>
  <c r="C2260" i="1" s="1"/>
  <c r="G2260" i="1" s="1"/>
  <c r="B2261" i="1"/>
  <c r="C2261" i="1" s="1"/>
  <c r="G2261" i="1" s="1"/>
  <c r="B2262" i="1"/>
  <c r="C2262" i="1" s="1"/>
  <c r="G2262" i="1" s="1"/>
  <c r="B2263" i="1"/>
  <c r="C2263" i="1" s="1"/>
  <c r="G2263" i="1" s="1"/>
  <c r="B2264" i="1"/>
  <c r="C2264" i="1" s="1"/>
  <c r="G2264" i="1" s="1"/>
  <c r="B2265" i="1"/>
  <c r="C2265" i="1" s="1"/>
  <c r="G2265" i="1" s="1"/>
  <c r="B2266" i="1"/>
  <c r="C2266" i="1" s="1"/>
  <c r="G2266" i="1" s="1"/>
  <c r="B2267" i="1"/>
  <c r="C2267" i="1" s="1"/>
  <c r="G2267" i="1" s="1"/>
  <c r="B2268" i="1"/>
  <c r="C2268" i="1" s="1"/>
  <c r="G2268" i="1" s="1"/>
  <c r="B2269" i="1"/>
  <c r="C2269" i="1" s="1"/>
  <c r="G2269" i="1" s="1"/>
  <c r="B2270" i="1"/>
  <c r="C2270" i="1" s="1"/>
  <c r="G2270" i="1" s="1"/>
  <c r="B2271" i="1"/>
  <c r="C2271" i="1" s="1"/>
  <c r="G2271" i="1" s="1"/>
  <c r="B2272" i="1"/>
  <c r="C2272" i="1" s="1"/>
  <c r="G2272" i="1" s="1"/>
  <c r="B2273" i="1"/>
  <c r="C2273" i="1" s="1"/>
  <c r="G2273" i="1" s="1"/>
  <c r="B2274" i="1"/>
  <c r="C2274" i="1" s="1"/>
  <c r="G2274" i="1" s="1"/>
  <c r="B2275" i="1"/>
  <c r="C2275" i="1" s="1"/>
  <c r="G2275" i="1" s="1"/>
  <c r="B2276" i="1"/>
  <c r="C2276" i="1" s="1"/>
  <c r="G2276" i="1" s="1"/>
  <c r="B2277" i="1"/>
  <c r="C2277" i="1" s="1"/>
  <c r="G2277" i="1" s="1"/>
  <c r="B2278" i="1"/>
  <c r="C2278" i="1" s="1"/>
  <c r="G2278" i="1" s="1"/>
  <c r="B2279" i="1"/>
  <c r="C2279" i="1" s="1"/>
  <c r="G2279" i="1" s="1"/>
  <c r="B2280" i="1"/>
  <c r="C2280" i="1" s="1"/>
  <c r="G2280" i="1" s="1"/>
  <c r="B2281" i="1"/>
  <c r="C2281" i="1" s="1"/>
  <c r="G2281" i="1" s="1"/>
  <c r="B2282" i="1"/>
  <c r="C2282" i="1" s="1"/>
  <c r="G2282" i="1" s="1"/>
  <c r="B2283" i="1"/>
  <c r="C2283" i="1" s="1"/>
  <c r="G2283" i="1" s="1"/>
  <c r="B2284" i="1"/>
  <c r="C2284" i="1" s="1"/>
  <c r="G2284" i="1" s="1"/>
  <c r="B2285" i="1"/>
  <c r="C2285" i="1" s="1"/>
  <c r="G2285" i="1" s="1"/>
  <c r="B2286" i="1"/>
  <c r="C2286" i="1" s="1"/>
  <c r="G2286" i="1" s="1"/>
  <c r="B2287" i="1"/>
  <c r="C2287" i="1" s="1"/>
  <c r="G2287" i="1" s="1"/>
  <c r="B2288" i="1"/>
  <c r="C2288" i="1" s="1"/>
  <c r="G2288" i="1" s="1"/>
  <c r="B2289" i="1"/>
  <c r="C2289" i="1" s="1"/>
  <c r="G2289" i="1" s="1"/>
  <c r="B2290" i="1"/>
  <c r="C2290" i="1" s="1"/>
  <c r="G2290" i="1" s="1"/>
  <c r="B2291" i="1"/>
  <c r="C2291" i="1" s="1"/>
  <c r="G2291" i="1" s="1"/>
  <c r="B2292" i="1"/>
  <c r="C2292" i="1" s="1"/>
  <c r="G2292" i="1" s="1"/>
  <c r="B2293" i="1"/>
  <c r="C2293" i="1" s="1"/>
  <c r="G2293" i="1" s="1"/>
  <c r="B2294" i="1"/>
  <c r="C2294" i="1" s="1"/>
  <c r="G2294" i="1" s="1"/>
  <c r="B2295" i="1"/>
  <c r="C2295" i="1" s="1"/>
  <c r="G2295" i="1" s="1"/>
  <c r="B2296" i="1"/>
  <c r="C2296" i="1" s="1"/>
  <c r="G2296" i="1" s="1"/>
  <c r="B2297" i="1"/>
  <c r="C2297" i="1" s="1"/>
  <c r="G2297" i="1" s="1"/>
  <c r="B2298" i="1"/>
  <c r="C2298" i="1" s="1"/>
  <c r="G2298" i="1" s="1"/>
  <c r="B2299" i="1"/>
  <c r="C2299" i="1" s="1"/>
  <c r="G2299" i="1" s="1"/>
  <c r="B2300" i="1"/>
  <c r="C2300" i="1" s="1"/>
  <c r="G2300" i="1" s="1"/>
  <c r="B2301" i="1"/>
  <c r="C2301" i="1" s="1"/>
  <c r="G2301" i="1" s="1"/>
  <c r="B2302" i="1"/>
  <c r="C2302" i="1" s="1"/>
  <c r="G2302" i="1" s="1"/>
  <c r="B2303" i="1"/>
  <c r="C2303" i="1" s="1"/>
  <c r="G2303" i="1" s="1"/>
  <c r="B2304" i="1"/>
  <c r="C2304" i="1" s="1"/>
  <c r="G2304" i="1" s="1"/>
  <c r="B2305" i="1"/>
  <c r="C2305" i="1" s="1"/>
  <c r="G2305" i="1" s="1"/>
  <c r="B2306" i="1"/>
  <c r="C2306" i="1" s="1"/>
  <c r="G2306" i="1" s="1"/>
  <c r="B2307" i="1"/>
  <c r="C2307" i="1" s="1"/>
  <c r="G2307" i="1" s="1"/>
  <c r="B2308" i="1"/>
  <c r="C2308" i="1" s="1"/>
  <c r="G2308" i="1" s="1"/>
  <c r="B2309" i="1"/>
  <c r="C2309" i="1" s="1"/>
  <c r="G2309" i="1" s="1"/>
  <c r="B2310" i="1"/>
  <c r="C2310" i="1" s="1"/>
  <c r="G2310" i="1" s="1"/>
  <c r="B2311" i="1"/>
  <c r="C2311" i="1" s="1"/>
  <c r="G2311" i="1" s="1"/>
  <c r="B2312" i="1"/>
  <c r="C2312" i="1" s="1"/>
  <c r="G2312" i="1" s="1"/>
  <c r="B2313" i="1"/>
  <c r="C2313" i="1" s="1"/>
  <c r="G2313" i="1" s="1"/>
  <c r="B2314" i="1"/>
  <c r="C2314" i="1" s="1"/>
  <c r="G2314" i="1" s="1"/>
  <c r="B2315" i="1"/>
  <c r="C2315" i="1" s="1"/>
  <c r="G2315" i="1" s="1"/>
  <c r="B2316" i="1"/>
  <c r="C2316" i="1" s="1"/>
  <c r="G2316" i="1" s="1"/>
  <c r="B2317" i="1"/>
  <c r="C2317" i="1" s="1"/>
  <c r="G2317" i="1" s="1"/>
  <c r="B2318" i="1"/>
  <c r="C2318" i="1" s="1"/>
  <c r="G2318" i="1" s="1"/>
  <c r="B2319" i="1"/>
  <c r="C2319" i="1" s="1"/>
  <c r="G2319" i="1" s="1"/>
  <c r="B2320" i="1"/>
  <c r="C2320" i="1" s="1"/>
  <c r="G2320" i="1" s="1"/>
  <c r="B2321" i="1"/>
  <c r="C2321" i="1" s="1"/>
  <c r="G2321" i="1" s="1"/>
  <c r="B2322" i="1"/>
  <c r="C2322" i="1" s="1"/>
  <c r="G2322" i="1" s="1"/>
  <c r="B2323" i="1"/>
  <c r="C2323" i="1" s="1"/>
  <c r="G2323" i="1" s="1"/>
  <c r="B2324" i="1"/>
  <c r="C2324" i="1" s="1"/>
  <c r="G2324" i="1" s="1"/>
  <c r="B2325" i="1"/>
  <c r="C2325" i="1" s="1"/>
  <c r="G2325" i="1" s="1"/>
  <c r="B2326" i="1"/>
  <c r="C2326" i="1" s="1"/>
  <c r="G2326" i="1" s="1"/>
  <c r="B2327" i="1"/>
  <c r="C2327" i="1" s="1"/>
  <c r="G2327" i="1" s="1"/>
  <c r="B2328" i="1"/>
  <c r="C2328" i="1" s="1"/>
  <c r="G2328" i="1" s="1"/>
  <c r="B2329" i="1"/>
  <c r="C2329" i="1" s="1"/>
  <c r="G2329" i="1" s="1"/>
  <c r="B2330" i="1"/>
  <c r="C2330" i="1" s="1"/>
  <c r="G2330" i="1" s="1"/>
  <c r="B2331" i="1"/>
  <c r="C2331" i="1" s="1"/>
  <c r="G2331" i="1" s="1"/>
  <c r="B2332" i="1"/>
  <c r="C2332" i="1" s="1"/>
  <c r="G2332" i="1" s="1"/>
  <c r="B2333" i="1"/>
  <c r="C2333" i="1" s="1"/>
  <c r="G2333" i="1" s="1"/>
  <c r="B2334" i="1"/>
  <c r="C2334" i="1" s="1"/>
  <c r="G2334" i="1" s="1"/>
  <c r="B2335" i="1"/>
  <c r="C2335" i="1" s="1"/>
  <c r="G2335" i="1" s="1"/>
  <c r="B2336" i="1"/>
  <c r="C2336" i="1" s="1"/>
  <c r="G2336" i="1" s="1"/>
  <c r="B2337" i="1"/>
  <c r="C2337" i="1" s="1"/>
  <c r="G2337" i="1" s="1"/>
  <c r="B2338" i="1"/>
  <c r="C2338" i="1" s="1"/>
  <c r="G2338" i="1" s="1"/>
  <c r="B2339" i="1"/>
  <c r="C2339" i="1" s="1"/>
  <c r="G2339" i="1" s="1"/>
  <c r="B2340" i="1"/>
  <c r="C2340" i="1" s="1"/>
  <c r="G2340" i="1" s="1"/>
  <c r="B2341" i="1"/>
  <c r="C2341" i="1" s="1"/>
  <c r="G2341" i="1" s="1"/>
  <c r="B2342" i="1"/>
  <c r="C2342" i="1" s="1"/>
  <c r="G2342" i="1" s="1"/>
  <c r="B2343" i="1"/>
  <c r="C2343" i="1" s="1"/>
  <c r="G2343" i="1" s="1"/>
  <c r="B2344" i="1"/>
  <c r="C2344" i="1" s="1"/>
  <c r="G2344" i="1" s="1"/>
  <c r="B2345" i="1"/>
  <c r="C2345" i="1" s="1"/>
  <c r="G2345" i="1" s="1"/>
  <c r="B2346" i="1"/>
  <c r="C2346" i="1" s="1"/>
  <c r="G2346" i="1" s="1"/>
  <c r="B2347" i="1"/>
  <c r="C2347" i="1" s="1"/>
  <c r="G2347" i="1" s="1"/>
  <c r="B2348" i="1"/>
  <c r="C2348" i="1" s="1"/>
  <c r="G2348" i="1" s="1"/>
  <c r="B2349" i="1"/>
  <c r="C2349" i="1" s="1"/>
  <c r="G2349" i="1" s="1"/>
  <c r="B2350" i="1"/>
  <c r="C2350" i="1" s="1"/>
  <c r="G2350" i="1" s="1"/>
  <c r="B2351" i="1"/>
  <c r="C2351" i="1" s="1"/>
  <c r="G2351" i="1" s="1"/>
  <c r="B2352" i="1"/>
  <c r="C2352" i="1" s="1"/>
  <c r="G2352" i="1" s="1"/>
  <c r="B2353" i="1"/>
  <c r="C2353" i="1" s="1"/>
  <c r="G2353" i="1" s="1"/>
  <c r="B2354" i="1"/>
  <c r="C2354" i="1" s="1"/>
  <c r="G2354" i="1" s="1"/>
  <c r="B2355" i="1"/>
  <c r="C2355" i="1" s="1"/>
  <c r="G2355" i="1" s="1"/>
  <c r="B2356" i="1"/>
  <c r="C2356" i="1" s="1"/>
  <c r="G2356" i="1" s="1"/>
  <c r="B2357" i="1"/>
  <c r="C2357" i="1" s="1"/>
  <c r="G2357" i="1" s="1"/>
  <c r="B2358" i="1"/>
  <c r="C2358" i="1" s="1"/>
  <c r="G2358" i="1" s="1"/>
  <c r="B2359" i="1"/>
  <c r="C2359" i="1" s="1"/>
  <c r="G2359" i="1" s="1"/>
  <c r="B2360" i="1"/>
  <c r="C2360" i="1" s="1"/>
  <c r="G2360" i="1" s="1"/>
  <c r="B2361" i="1"/>
  <c r="C2361" i="1" s="1"/>
  <c r="G2361" i="1" s="1"/>
  <c r="B2362" i="1"/>
  <c r="C2362" i="1" s="1"/>
  <c r="G2362" i="1" s="1"/>
  <c r="B2363" i="1"/>
  <c r="C2363" i="1" s="1"/>
  <c r="G2363" i="1" s="1"/>
  <c r="B2364" i="1"/>
  <c r="C2364" i="1" s="1"/>
  <c r="G2364" i="1" s="1"/>
  <c r="B2365" i="1"/>
  <c r="C2365" i="1" s="1"/>
  <c r="G2365" i="1" s="1"/>
  <c r="B2366" i="1"/>
  <c r="C2366" i="1" s="1"/>
  <c r="G2366" i="1" s="1"/>
  <c r="B2367" i="1"/>
  <c r="C2367" i="1" s="1"/>
  <c r="G2367" i="1" s="1"/>
  <c r="B2368" i="1"/>
  <c r="C2368" i="1" s="1"/>
  <c r="G2368" i="1" s="1"/>
  <c r="B2369" i="1"/>
  <c r="C2369" i="1" s="1"/>
  <c r="G2369" i="1" s="1"/>
  <c r="B2370" i="1"/>
  <c r="C2370" i="1" s="1"/>
  <c r="G2370" i="1" s="1"/>
  <c r="B2371" i="1"/>
  <c r="C2371" i="1" s="1"/>
  <c r="G2371" i="1" s="1"/>
  <c r="B2372" i="1"/>
  <c r="C2372" i="1" s="1"/>
  <c r="G2372" i="1" s="1"/>
  <c r="B2373" i="1"/>
  <c r="C2373" i="1" s="1"/>
  <c r="G2373" i="1" s="1"/>
  <c r="B2374" i="1"/>
  <c r="C2374" i="1" s="1"/>
  <c r="G2374" i="1" s="1"/>
  <c r="B2375" i="1"/>
  <c r="C2375" i="1" s="1"/>
  <c r="G2375" i="1" s="1"/>
  <c r="B2376" i="1"/>
  <c r="C2376" i="1" s="1"/>
  <c r="G2376" i="1" s="1"/>
  <c r="B2377" i="1"/>
  <c r="C2377" i="1" s="1"/>
  <c r="G2377" i="1" s="1"/>
  <c r="B2378" i="1"/>
  <c r="C2378" i="1" s="1"/>
  <c r="G2378" i="1" s="1"/>
  <c r="B2379" i="1"/>
  <c r="C2379" i="1" s="1"/>
  <c r="G2379" i="1" s="1"/>
  <c r="B2380" i="1"/>
  <c r="C2380" i="1" s="1"/>
  <c r="G2380" i="1" s="1"/>
  <c r="B2381" i="1"/>
  <c r="C2381" i="1" s="1"/>
  <c r="G2381" i="1" s="1"/>
  <c r="B2382" i="1"/>
  <c r="C2382" i="1" s="1"/>
  <c r="G2382" i="1" s="1"/>
  <c r="B2383" i="1"/>
  <c r="C2383" i="1" s="1"/>
  <c r="G2383" i="1" s="1"/>
  <c r="B2384" i="1"/>
  <c r="C2384" i="1" s="1"/>
  <c r="G2384" i="1" s="1"/>
  <c r="B2385" i="1"/>
  <c r="C2385" i="1" s="1"/>
  <c r="G2385" i="1" s="1"/>
  <c r="B2386" i="1"/>
  <c r="C2386" i="1" s="1"/>
  <c r="G2386" i="1" s="1"/>
  <c r="B2387" i="1"/>
  <c r="C2387" i="1" s="1"/>
  <c r="G2387" i="1" s="1"/>
  <c r="B2388" i="1"/>
  <c r="C2388" i="1" s="1"/>
  <c r="G2388" i="1" s="1"/>
  <c r="B2389" i="1"/>
  <c r="C2389" i="1" s="1"/>
  <c r="G2389" i="1" s="1"/>
  <c r="B2390" i="1"/>
  <c r="C2390" i="1" s="1"/>
  <c r="G2390" i="1" s="1"/>
  <c r="B2391" i="1"/>
  <c r="C2391" i="1" s="1"/>
  <c r="G2391" i="1" s="1"/>
  <c r="B2392" i="1"/>
  <c r="C2392" i="1" s="1"/>
  <c r="G2392" i="1" s="1"/>
  <c r="B2393" i="1"/>
  <c r="C2393" i="1" s="1"/>
  <c r="G2393" i="1" s="1"/>
  <c r="B2394" i="1"/>
  <c r="C2394" i="1" s="1"/>
  <c r="G2394" i="1" s="1"/>
  <c r="B2395" i="1"/>
  <c r="C2395" i="1" s="1"/>
  <c r="G2395" i="1" s="1"/>
  <c r="B2396" i="1"/>
  <c r="C2396" i="1" s="1"/>
  <c r="G2396" i="1" s="1"/>
  <c r="B2397" i="1"/>
  <c r="C2397" i="1" s="1"/>
  <c r="G2397" i="1" s="1"/>
  <c r="B2398" i="1"/>
  <c r="C2398" i="1" s="1"/>
  <c r="G2398" i="1" s="1"/>
  <c r="B2399" i="1"/>
  <c r="C2399" i="1" s="1"/>
  <c r="G2399" i="1" s="1"/>
  <c r="B2400" i="1"/>
  <c r="C2400" i="1" s="1"/>
  <c r="G2400" i="1" s="1"/>
  <c r="B2401" i="1"/>
  <c r="C2401" i="1" s="1"/>
  <c r="G2401" i="1" s="1"/>
  <c r="B2402" i="1"/>
  <c r="C2402" i="1" s="1"/>
  <c r="G2402" i="1" s="1"/>
  <c r="J2402" i="1" s="1"/>
  <c r="B2403" i="1"/>
  <c r="C2403" i="1" s="1"/>
  <c r="G2403" i="1" s="1"/>
  <c r="B2404" i="1"/>
  <c r="C2404" i="1" s="1"/>
  <c r="G2404" i="1" s="1"/>
  <c r="B2405" i="1"/>
  <c r="C2405" i="1" s="1"/>
  <c r="G2405" i="1" s="1"/>
  <c r="B2406" i="1"/>
  <c r="C2406" i="1" s="1"/>
  <c r="G2406" i="1" s="1"/>
  <c r="B2407" i="1"/>
  <c r="C2407" i="1" s="1"/>
  <c r="G2407" i="1" s="1"/>
  <c r="B2408" i="1"/>
  <c r="C2408" i="1" s="1"/>
  <c r="G2408" i="1" s="1"/>
  <c r="B2409" i="1"/>
  <c r="C2409" i="1" s="1"/>
  <c r="G2409" i="1" s="1"/>
  <c r="B2410" i="1"/>
  <c r="C2410" i="1" s="1"/>
  <c r="G2410" i="1" s="1"/>
  <c r="B2411" i="1"/>
  <c r="C2411" i="1" s="1"/>
  <c r="G2411" i="1" s="1"/>
  <c r="B2412" i="1"/>
  <c r="C2412" i="1" s="1"/>
  <c r="G2412" i="1" s="1"/>
  <c r="B2413" i="1"/>
  <c r="C2413" i="1" s="1"/>
  <c r="G2413" i="1" s="1"/>
  <c r="B2414" i="1"/>
  <c r="C2414" i="1" s="1"/>
  <c r="G2414" i="1" s="1"/>
  <c r="B2415" i="1"/>
  <c r="C2415" i="1" s="1"/>
  <c r="G2415" i="1" s="1"/>
  <c r="B2416" i="1"/>
  <c r="C2416" i="1" s="1"/>
  <c r="G2416" i="1" s="1"/>
  <c r="B2417" i="1"/>
  <c r="C2417" i="1" s="1"/>
  <c r="G2417" i="1" s="1"/>
  <c r="B2418" i="1"/>
  <c r="C2418" i="1" s="1"/>
  <c r="G2418" i="1" s="1"/>
  <c r="B2419" i="1"/>
  <c r="C2419" i="1" s="1"/>
  <c r="G2419" i="1" s="1"/>
  <c r="B2420" i="1"/>
  <c r="C2420" i="1" s="1"/>
  <c r="G2420" i="1" s="1"/>
  <c r="B2421" i="1"/>
  <c r="C2421" i="1" s="1"/>
  <c r="G2421" i="1" s="1"/>
  <c r="B2422" i="1"/>
  <c r="C2422" i="1" s="1"/>
  <c r="G2422" i="1" s="1"/>
  <c r="B2423" i="1"/>
  <c r="C2423" i="1" s="1"/>
  <c r="G2423" i="1" s="1"/>
  <c r="B2424" i="1"/>
  <c r="C2424" i="1" s="1"/>
  <c r="G2424" i="1" s="1"/>
  <c r="B2425" i="1"/>
  <c r="C2425" i="1" s="1"/>
  <c r="G2425" i="1" s="1"/>
  <c r="B2426" i="1"/>
  <c r="C2426" i="1" s="1"/>
  <c r="G2426" i="1" s="1"/>
  <c r="B2427" i="1"/>
  <c r="C2427" i="1" s="1"/>
  <c r="G2427" i="1" s="1"/>
  <c r="B2428" i="1"/>
  <c r="C2428" i="1" s="1"/>
  <c r="G2428" i="1" s="1"/>
  <c r="B2429" i="1"/>
  <c r="C2429" i="1" s="1"/>
  <c r="G2429" i="1" s="1"/>
  <c r="B2430" i="1"/>
  <c r="C2430" i="1" s="1"/>
  <c r="G2430" i="1" s="1"/>
  <c r="B2431" i="1"/>
  <c r="C2431" i="1" s="1"/>
  <c r="G2431" i="1" s="1"/>
  <c r="B2432" i="1"/>
  <c r="C2432" i="1" s="1"/>
  <c r="G2432" i="1" s="1"/>
  <c r="B2433" i="1"/>
  <c r="C2433" i="1" s="1"/>
  <c r="G2433" i="1" s="1"/>
  <c r="B2434" i="1"/>
  <c r="C2434" i="1" s="1"/>
  <c r="G2434" i="1" s="1"/>
  <c r="B2435" i="1"/>
  <c r="C2435" i="1" s="1"/>
  <c r="G2435" i="1" s="1"/>
  <c r="B2436" i="1"/>
  <c r="C2436" i="1" s="1"/>
  <c r="G2436" i="1" s="1"/>
  <c r="B2437" i="1"/>
  <c r="C2437" i="1" s="1"/>
  <c r="G2437" i="1" s="1"/>
  <c r="B2438" i="1"/>
  <c r="C2438" i="1" s="1"/>
  <c r="G2438" i="1" s="1"/>
  <c r="B2439" i="1"/>
  <c r="C2439" i="1" s="1"/>
  <c r="G2439" i="1" s="1"/>
  <c r="B2440" i="1"/>
  <c r="C2440" i="1" s="1"/>
  <c r="G2440" i="1" s="1"/>
  <c r="B2441" i="1"/>
  <c r="C2441" i="1" s="1"/>
  <c r="G2441" i="1" s="1"/>
  <c r="B2442" i="1"/>
  <c r="C2442" i="1" s="1"/>
  <c r="G2442" i="1" s="1"/>
  <c r="B2443" i="1"/>
  <c r="C2443" i="1" s="1"/>
  <c r="G2443" i="1" s="1"/>
  <c r="B2444" i="1"/>
  <c r="C2444" i="1" s="1"/>
  <c r="G2444" i="1" s="1"/>
  <c r="B2445" i="1"/>
  <c r="C2445" i="1" s="1"/>
  <c r="G2445" i="1" s="1"/>
  <c r="B2446" i="1"/>
  <c r="C2446" i="1" s="1"/>
  <c r="G2446" i="1" s="1"/>
  <c r="B2447" i="1"/>
  <c r="C2447" i="1" s="1"/>
  <c r="G2447" i="1" s="1"/>
  <c r="B2448" i="1"/>
  <c r="C2448" i="1" s="1"/>
  <c r="G2448" i="1" s="1"/>
  <c r="B2449" i="1"/>
  <c r="C2449" i="1" s="1"/>
  <c r="G2449" i="1" s="1"/>
  <c r="B2450" i="1"/>
  <c r="C2450" i="1" s="1"/>
  <c r="G2450" i="1" s="1"/>
  <c r="B2451" i="1"/>
  <c r="C2451" i="1" s="1"/>
  <c r="G2451" i="1" s="1"/>
  <c r="B2452" i="1"/>
  <c r="C2452" i="1" s="1"/>
  <c r="G2452" i="1" s="1"/>
  <c r="B2453" i="1"/>
  <c r="C2453" i="1" s="1"/>
  <c r="G2453" i="1" s="1"/>
  <c r="B2454" i="1"/>
  <c r="C2454" i="1" s="1"/>
  <c r="G2454" i="1" s="1"/>
  <c r="B2455" i="1"/>
  <c r="C2455" i="1" s="1"/>
  <c r="G2455" i="1" s="1"/>
  <c r="B2456" i="1"/>
  <c r="C2456" i="1" s="1"/>
  <c r="G2456" i="1" s="1"/>
  <c r="B2457" i="1"/>
  <c r="C2457" i="1" s="1"/>
  <c r="G2457" i="1" s="1"/>
  <c r="B2458" i="1"/>
  <c r="C2458" i="1" s="1"/>
  <c r="G2458" i="1" s="1"/>
  <c r="B2459" i="1"/>
  <c r="C2459" i="1" s="1"/>
  <c r="G2459" i="1" s="1"/>
  <c r="B2460" i="1"/>
  <c r="C2460" i="1" s="1"/>
  <c r="G2460" i="1" s="1"/>
  <c r="B2461" i="1"/>
  <c r="C2461" i="1" s="1"/>
  <c r="G2461" i="1" s="1"/>
  <c r="B2462" i="1"/>
  <c r="C2462" i="1" s="1"/>
  <c r="G2462" i="1" s="1"/>
  <c r="B2463" i="1"/>
  <c r="C2463" i="1" s="1"/>
  <c r="G2463" i="1" s="1"/>
  <c r="B2464" i="1"/>
  <c r="C2464" i="1" s="1"/>
  <c r="G2464" i="1" s="1"/>
  <c r="B2465" i="1"/>
  <c r="C2465" i="1" s="1"/>
  <c r="G2465" i="1" s="1"/>
  <c r="B2466" i="1"/>
  <c r="C2466" i="1" s="1"/>
  <c r="G2466" i="1" s="1"/>
  <c r="B2467" i="1"/>
  <c r="C2467" i="1" s="1"/>
  <c r="G2467" i="1" s="1"/>
  <c r="B2468" i="1"/>
  <c r="C2468" i="1" s="1"/>
  <c r="G2468" i="1" s="1"/>
  <c r="B2469" i="1"/>
  <c r="C2469" i="1" s="1"/>
  <c r="G2469" i="1" s="1"/>
  <c r="B2470" i="1"/>
  <c r="C2470" i="1" s="1"/>
  <c r="G2470" i="1" s="1"/>
  <c r="B2471" i="1"/>
  <c r="C2471" i="1" s="1"/>
  <c r="G2471" i="1" s="1"/>
  <c r="B2472" i="1"/>
  <c r="C2472" i="1" s="1"/>
  <c r="G2472" i="1" s="1"/>
  <c r="B2473" i="1"/>
  <c r="C2473" i="1" s="1"/>
  <c r="G2473" i="1" s="1"/>
  <c r="B2474" i="1"/>
  <c r="C2474" i="1" s="1"/>
  <c r="G2474" i="1" s="1"/>
  <c r="B2475" i="1"/>
  <c r="C2475" i="1" s="1"/>
  <c r="G2475" i="1" s="1"/>
  <c r="B2476" i="1"/>
  <c r="C2476" i="1" s="1"/>
  <c r="G2476" i="1" s="1"/>
  <c r="B2477" i="1"/>
  <c r="C2477" i="1" s="1"/>
  <c r="G2477" i="1" s="1"/>
  <c r="B2478" i="1"/>
  <c r="C2478" i="1" s="1"/>
  <c r="G2478" i="1" s="1"/>
  <c r="B2479" i="1"/>
  <c r="C2479" i="1" s="1"/>
  <c r="G2479" i="1" s="1"/>
  <c r="B2480" i="1"/>
  <c r="C2480" i="1" s="1"/>
  <c r="G2480" i="1" s="1"/>
  <c r="B2481" i="1"/>
  <c r="C2481" i="1" s="1"/>
  <c r="G2481" i="1" s="1"/>
  <c r="B2482" i="1"/>
  <c r="C2482" i="1" s="1"/>
  <c r="G2482" i="1" s="1"/>
  <c r="B2483" i="1"/>
  <c r="C2483" i="1" s="1"/>
  <c r="G2483" i="1" s="1"/>
  <c r="B2484" i="1"/>
  <c r="C2484" i="1" s="1"/>
  <c r="G2484" i="1" s="1"/>
  <c r="B2485" i="1"/>
  <c r="C2485" i="1" s="1"/>
  <c r="G2485" i="1" s="1"/>
  <c r="B2486" i="1"/>
  <c r="C2486" i="1" s="1"/>
  <c r="G2486" i="1" s="1"/>
  <c r="B2487" i="1"/>
  <c r="C2487" i="1" s="1"/>
  <c r="G2487" i="1" s="1"/>
  <c r="B2488" i="1"/>
  <c r="C2488" i="1" s="1"/>
  <c r="G2488" i="1" s="1"/>
  <c r="B2489" i="1"/>
  <c r="C2489" i="1" s="1"/>
  <c r="G2489" i="1" s="1"/>
  <c r="B2490" i="1"/>
  <c r="C2490" i="1" s="1"/>
  <c r="G2490" i="1" s="1"/>
  <c r="B2491" i="1"/>
  <c r="C2491" i="1" s="1"/>
  <c r="G2491" i="1" s="1"/>
  <c r="B2492" i="1"/>
  <c r="C2492" i="1" s="1"/>
  <c r="G2492" i="1" s="1"/>
  <c r="B2493" i="1"/>
  <c r="C2493" i="1" s="1"/>
  <c r="G2493" i="1" s="1"/>
  <c r="B2494" i="1"/>
  <c r="C2494" i="1" s="1"/>
  <c r="G2494" i="1" s="1"/>
  <c r="B2495" i="1"/>
  <c r="C2495" i="1" s="1"/>
  <c r="G2495" i="1" s="1"/>
  <c r="B2496" i="1"/>
  <c r="C2496" i="1" s="1"/>
  <c r="G2496" i="1" s="1"/>
  <c r="B2497" i="1"/>
  <c r="C2497" i="1" s="1"/>
  <c r="G2497" i="1" s="1"/>
  <c r="B2498" i="1"/>
  <c r="C2498" i="1" s="1"/>
  <c r="G2498" i="1" s="1"/>
  <c r="B2499" i="1"/>
  <c r="C2499" i="1" s="1"/>
  <c r="G2499" i="1" s="1"/>
  <c r="B2500" i="1"/>
  <c r="C2500" i="1" s="1"/>
  <c r="G2500" i="1" s="1"/>
  <c r="B2501" i="1"/>
  <c r="C2501" i="1" s="1"/>
  <c r="G2501" i="1" s="1"/>
  <c r="B2502" i="1"/>
  <c r="C2502" i="1" s="1"/>
  <c r="G2502" i="1" s="1"/>
  <c r="B2503" i="1"/>
  <c r="C2503" i="1" s="1"/>
  <c r="G2503" i="1" s="1"/>
  <c r="B2504" i="1"/>
  <c r="C2504" i="1" s="1"/>
  <c r="G2504" i="1" s="1"/>
  <c r="B2505" i="1"/>
  <c r="C2505" i="1" s="1"/>
  <c r="G2505" i="1" s="1"/>
  <c r="B2506" i="1"/>
  <c r="C2506" i="1" s="1"/>
  <c r="G2506" i="1" s="1"/>
  <c r="B2507" i="1"/>
  <c r="C2507" i="1" s="1"/>
  <c r="G2507" i="1" s="1"/>
  <c r="B2508" i="1"/>
  <c r="C2508" i="1" s="1"/>
  <c r="G2508" i="1" s="1"/>
  <c r="B2509" i="1"/>
  <c r="C2509" i="1" s="1"/>
  <c r="G2509" i="1" s="1"/>
  <c r="B2510" i="1"/>
  <c r="C2510" i="1" s="1"/>
  <c r="G2510" i="1" s="1"/>
  <c r="B2511" i="1"/>
  <c r="C2511" i="1" s="1"/>
  <c r="G2511" i="1" s="1"/>
  <c r="B2512" i="1"/>
  <c r="C2512" i="1" s="1"/>
  <c r="G2512" i="1" s="1"/>
  <c r="B2513" i="1"/>
  <c r="C2513" i="1" s="1"/>
  <c r="G2513" i="1" s="1"/>
  <c r="B2514" i="1"/>
  <c r="C2514" i="1" s="1"/>
  <c r="G2514" i="1" s="1"/>
  <c r="B2515" i="1"/>
  <c r="C2515" i="1" s="1"/>
  <c r="G2515" i="1" s="1"/>
  <c r="B2516" i="1"/>
  <c r="C2516" i="1" s="1"/>
  <c r="G2516" i="1" s="1"/>
  <c r="B2517" i="1"/>
  <c r="C2517" i="1" s="1"/>
  <c r="G2517" i="1" s="1"/>
  <c r="B2518" i="1"/>
  <c r="C2518" i="1" s="1"/>
  <c r="G2518" i="1" s="1"/>
  <c r="B2519" i="1"/>
  <c r="C2519" i="1" s="1"/>
  <c r="G2519" i="1" s="1"/>
  <c r="B2520" i="1"/>
  <c r="C2520" i="1" s="1"/>
  <c r="G2520" i="1" s="1"/>
  <c r="B2521" i="1"/>
  <c r="C2521" i="1" s="1"/>
  <c r="G2521" i="1" s="1"/>
  <c r="B2522" i="1"/>
  <c r="C2522" i="1" s="1"/>
  <c r="G2522" i="1" s="1"/>
  <c r="B2523" i="1"/>
  <c r="C2523" i="1" s="1"/>
  <c r="G2523" i="1" s="1"/>
  <c r="B2524" i="1"/>
  <c r="C2524" i="1" s="1"/>
  <c r="G2524" i="1" s="1"/>
  <c r="B2525" i="1"/>
  <c r="C2525" i="1" s="1"/>
  <c r="G2525" i="1" s="1"/>
  <c r="B2526" i="1"/>
  <c r="C2526" i="1" s="1"/>
  <c r="G2526" i="1" s="1"/>
  <c r="B2527" i="1"/>
  <c r="C2527" i="1" s="1"/>
  <c r="G2527" i="1" s="1"/>
  <c r="B2528" i="1"/>
  <c r="C2528" i="1" s="1"/>
  <c r="G2528" i="1" s="1"/>
  <c r="B2529" i="1"/>
  <c r="C2529" i="1" s="1"/>
  <c r="G2529" i="1" s="1"/>
  <c r="B2530" i="1"/>
  <c r="C2530" i="1" s="1"/>
  <c r="G2530" i="1" s="1"/>
  <c r="B2531" i="1"/>
  <c r="C2531" i="1" s="1"/>
  <c r="G2531" i="1" s="1"/>
  <c r="B2532" i="1"/>
  <c r="C2532" i="1" s="1"/>
  <c r="G2532" i="1" s="1"/>
  <c r="B2533" i="1"/>
  <c r="C2533" i="1" s="1"/>
  <c r="G2533" i="1" s="1"/>
  <c r="B2534" i="1"/>
  <c r="C2534" i="1" s="1"/>
  <c r="G2534" i="1" s="1"/>
  <c r="B2535" i="1"/>
  <c r="C2535" i="1" s="1"/>
  <c r="G2535" i="1" s="1"/>
  <c r="B2536" i="1"/>
  <c r="C2536" i="1" s="1"/>
  <c r="G2536" i="1" s="1"/>
  <c r="B2537" i="1"/>
  <c r="C2537" i="1" s="1"/>
  <c r="G2537" i="1" s="1"/>
  <c r="B2538" i="1"/>
  <c r="C2538" i="1" s="1"/>
  <c r="G2538" i="1" s="1"/>
  <c r="B2539" i="1"/>
  <c r="C2539" i="1" s="1"/>
  <c r="G2539" i="1" s="1"/>
  <c r="B2540" i="1"/>
  <c r="C2540" i="1" s="1"/>
  <c r="G2540" i="1" s="1"/>
  <c r="B2541" i="1"/>
  <c r="C2541" i="1" s="1"/>
  <c r="G2541" i="1" s="1"/>
  <c r="B2542" i="1"/>
  <c r="C2542" i="1" s="1"/>
  <c r="G2542" i="1" s="1"/>
  <c r="B2543" i="1"/>
  <c r="C2543" i="1" s="1"/>
  <c r="G2543" i="1" s="1"/>
  <c r="B2544" i="1"/>
  <c r="C2544" i="1" s="1"/>
  <c r="G2544" i="1" s="1"/>
  <c r="B2545" i="1"/>
  <c r="C2545" i="1" s="1"/>
  <c r="G2545" i="1" s="1"/>
  <c r="B2546" i="1"/>
  <c r="C2546" i="1" s="1"/>
  <c r="G2546" i="1" s="1"/>
  <c r="B2547" i="1"/>
  <c r="C2547" i="1" s="1"/>
  <c r="G2547" i="1" s="1"/>
  <c r="B2548" i="1"/>
  <c r="C2548" i="1" s="1"/>
  <c r="G2548" i="1" s="1"/>
  <c r="B2549" i="1"/>
  <c r="C2549" i="1" s="1"/>
  <c r="G2549" i="1" s="1"/>
  <c r="B2550" i="1"/>
  <c r="C2550" i="1" s="1"/>
  <c r="G2550" i="1" s="1"/>
  <c r="B2551" i="1"/>
  <c r="C2551" i="1" s="1"/>
  <c r="G2551" i="1" s="1"/>
  <c r="B2552" i="1"/>
  <c r="C2552" i="1" s="1"/>
  <c r="G2552" i="1" s="1"/>
  <c r="B2553" i="1"/>
  <c r="C2553" i="1" s="1"/>
  <c r="G2553" i="1" s="1"/>
  <c r="B2554" i="1"/>
  <c r="C2554" i="1" s="1"/>
  <c r="G2554" i="1" s="1"/>
  <c r="B2555" i="1"/>
  <c r="C2555" i="1" s="1"/>
  <c r="G2555" i="1" s="1"/>
  <c r="B2556" i="1"/>
  <c r="C2556" i="1" s="1"/>
  <c r="G2556" i="1" s="1"/>
  <c r="B2557" i="1"/>
  <c r="C2557" i="1" s="1"/>
  <c r="G2557" i="1" s="1"/>
  <c r="B2558" i="1"/>
  <c r="C2558" i="1" s="1"/>
  <c r="G2558" i="1" s="1"/>
  <c r="B2559" i="1"/>
  <c r="C2559" i="1" s="1"/>
  <c r="G2559" i="1" s="1"/>
  <c r="B2560" i="1"/>
  <c r="C2560" i="1" s="1"/>
  <c r="G2560" i="1" s="1"/>
  <c r="B2561" i="1"/>
  <c r="C2561" i="1" s="1"/>
  <c r="G2561" i="1" s="1"/>
  <c r="B2562" i="1"/>
  <c r="C2562" i="1" s="1"/>
  <c r="G2562" i="1" s="1"/>
  <c r="B2563" i="1"/>
  <c r="C2563" i="1" s="1"/>
  <c r="G2563" i="1" s="1"/>
  <c r="B2564" i="1"/>
  <c r="C2564" i="1" s="1"/>
  <c r="G2564" i="1" s="1"/>
  <c r="B2565" i="1"/>
  <c r="C2565" i="1" s="1"/>
  <c r="G2565" i="1" s="1"/>
  <c r="B2566" i="1"/>
  <c r="C2566" i="1" s="1"/>
  <c r="G2566" i="1" s="1"/>
  <c r="B2567" i="1"/>
  <c r="C2567" i="1" s="1"/>
  <c r="G2567" i="1" s="1"/>
  <c r="B2568" i="1"/>
  <c r="C2568" i="1" s="1"/>
  <c r="B2569" i="1"/>
  <c r="C2569" i="1" s="1"/>
  <c r="G2569" i="1" s="1"/>
  <c r="B2570" i="1"/>
  <c r="C2570" i="1" s="1"/>
  <c r="G2570" i="1" s="1"/>
  <c r="B2571" i="1"/>
  <c r="C2571" i="1" s="1"/>
  <c r="G2571" i="1" s="1"/>
  <c r="B2572" i="1"/>
  <c r="C2572" i="1" s="1"/>
  <c r="G2572" i="1" s="1"/>
  <c r="B2573" i="1"/>
  <c r="C2573" i="1" s="1"/>
  <c r="G2573" i="1" s="1"/>
  <c r="B2574" i="1"/>
  <c r="C2574" i="1" s="1"/>
  <c r="G2574" i="1" s="1"/>
  <c r="B2575" i="1"/>
  <c r="C2575" i="1" s="1"/>
  <c r="G2575" i="1" s="1"/>
  <c r="B2576" i="1"/>
  <c r="C2576" i="1" s="1"/>
  <c r="G2576" i="1" s="1"/>
  <c r="B2577" i="1"/>
  <c r="C2577" i="1" s="1"/>
  <c r="G2577" i="1" s="1"/>
  <c r="B2578" i="1"/>
  <c r="C2578" i="1" s="1"/>
  <c r="G2578" i="1" s="1"/>
  <c r="B2579" i="1"/>
  <c r="C2579" i="1" s="1"/>
  <c r="G2579" i="1" s="1"/>
  <c r="B2580" i="1"/>
  <c r="C2580" i="1" s="1"/>
  <c r="G2580" i="1" s="1"/>
  <c r="B2581" i="1"/>
  <c r="C2581" i="1" s="1"/>
  <c r="G2581" i="1" s="1"/>
  <c r="B2582" i="1"/>
  <c r="C2582" i="1" s="1"/>
  <c r="G2582" i="1" s="1"/>
  <c r="B2583" i="1"/>
  <c r="C2583" i="1" s="1"/>
  <c r="G2583" i="1" s="1"/>
  <c r="B2584" i="1"/>
  <c r="C2584" i="1" s="1"/>
  <c r="G2584" i="1" s="1"/>
  <c r="B2585" i="1"/>
  <c r="C2585" i="1" s="1"/>
  <c r="G2585" i="1" s="1"/>
  <c r="B2586" i="1"/>
  <c r="C2586" i="1" s="1"/>
  <c r="G2586" i="1" s="1"/>
  <c r="B2587" i="1"/>
  <c r="C2587" i="1" s="1"/>
  <c r="G2587" i="1" s="1"/>
  <c r="B2588" i="1"/>
  <c r="C2588" i="1" s="1"/>
  <c r="G2588" i="1" s="1"/>
  <c r="B2589" i="1"/>
  <c r="C2589" i="1" s="1"/>
  <c r="G2589" i="1" s="1"/>
  <c r="B2590" i="1"/>
  <c r="C2590" i="1" s="1"/>
  <c r="G2590" i="1" s="1"/>
  <c r="B2591" i="1"/>
  <c r="C2591" i="1" s="1"/>
  <c r="G2591" i="1" s="1"/>
  <c r="B2592" i="1"/>
  <c r="C2592" i="1" s="1"/>
  <c r="G2592" i="1" s="1"/>
  <c r="B2593" i="1"/>
  <c r="C2593" i="1" s="1"/>
  <c r="G2593" i="1" s="1"/>
  <c r="B2594" i="1"/>
  <c r="C2594" i="1" s="1"/>
  <c r="G2594" i="1" s="1"/>
  <c r="B2595" i="1"/>
  <c r="C2595" i="1" s="1"/>
  <c r="G2595" i="1" s="1"/>
  <c r="B2596" i="1"/>
  <c r="C2596" i="1" s="1"/>
  <c r="G2596" i="1" s="1"/>
  <c r="B2597" i="1"/>
  <c r="C2597" i="1" s="1"/>
  <c r="G2597" i="1" s="1"/>
  <c r="B2598" i="1"/>
  <c r="C2598" i="1" s="1"/>
  <c r="G2598" i="1" s="1"/>
  <c r="B2599" i="1"/>
  <c r="C2599" i="1" s="1"/>
  <c r="G2599" i="1" s="1"/>
  <c r="B2600" i="1"/>
  <c r="C2600" i="1" s="1"/>
  <c r="G2600" i="1" s="1"/>
  <c r="B2601" i="1"/>
  <c r="C2601" i="1" s="1"/>
  <c r="G2601" i="1" s="1"/>
  <c r="B2602" i="1"/>
  <c r="C2602" i="1" s="1"/>
  <c r="G2602" i="1" s="1"/>
  <c r="B2603" i="1"/>
  <c r="C2603" i="1" s="1"/>
  <c r="G2603" i="1" s="1"/>
  <c r="B2604" i="1"/>
  <c r="C2604" i="1" s="1"/>
  <c r="G2604" i="1" s="1"/>
  <c r="B2605" i="1"/>
  <c r="C2605" i="1" s="1"/>
  <c r="G2605" i="1" s="1"/>
  <c r="B2606" i="1"/>
  <c r="C2606" i="1" s="1"/>
  <c r="G2606" i="1" s="1"/>
  <c r="B2607" i="1"/>
  <c r="C2607" i="1" s="1"/>
  <c r="G2607" i="1" s="1"/>
  <c r="B2608" i="1"/>
  <c r="C2608" i="1" s="1"/>
  <c r="G2608" i="1" s="1"/>
  <c r="B2609" i="1"/>
  <c r="C2609" i="1" s="1"/>
  <c r="G2609" i="1" s="1"/>
  <c r="B2610" i="1"/>
  <c r="C2610" i="1" s="1"/>
  <c r="G2610" i="1" s="1"/>
  <c r="B2611" i="1"/>
  <c r="C2611" i="1" s="1"/>
  <c r="G2611" i="1" s="1"/>
  <c r="B2612" i="1"/>
  <c r="C2612" i="1" s="1"/>
  <c r="G2612" i="1" s="1"/>
  <c r="B2613" i="1"/>
  <c r="C2613" i="1" s="1"/>
  <c r="G2613" i="1" s="1"/>
  <c r="B2614" i="1"/>
  <c r="C2614" i="1" s="1"/>
  <c r="G2614" i="1" s="1"/>
  <c r="B2615" i="1"/>
  <c r="C2615" i="1" s="1"/>
  <c r="G2615" i="1" s="1"/>
  <c r="B2616" i="1"/>
  <c r="C2616" i="1" s="1"/>
  <c r="G2616" i="1" s="1"/>
  <c r="B2617" i="1"/>
  <c r="C2617" i="1" s="1"/>
  <c r="G2617" i="1" s="1"/>
  <c r="B2618" i="1"/>
  <c r="C2618" i="1" s="1"/>
  <c r="G2618" i="1" s="1"/>
  <c r="B2619" i="1"/>
  <c r="C2619" i="1" s="1"/>
  <c r="G2619" i="1" s="1"/>
  <c r="B2620" i="1"/>
  <c r="C2620" i="1" s="1"/>
  <c r="G2620" i="1" s="1"/>
  <c r="B2621" i="1"/>
  <c r="C2621" i="1" s="1"/>
  <c r="G2621" i="1" s="1"/>
  <c r="B2622" i="1"/>
  <c r="C2622" i="1" s="1"/>
  <c r="G2622" i="1" s="1"/>
  <c r="B2623" i="1"/>
  <c r="C2623" i="1" s="1"/>
  <c r="G2623" i="1" s="1"/>
  <c r="B2624" i="1"/>
  <c r="C2624" i="1" s="1"/>
  <c r="G2624" i="1" s="1"/>
  <c r="B2625" i="1"/>
  <c r="C2625" i="1" s="1"/>
  <c r="G2625" i="1" s="1"/>
  <c r="B2626" i="1"/>
  <c r="C2626" i="1" s="1"/>
  <c r="G2626" i="1" s="1"/>
  <c r="B2627" i="1"/>
  <c r="C2627" i="1" s="1"/>
  <c r="G2627" i="1" s="1"/>
  <c r="B2628" i="1"/>
  <c r="C2628" i="1" s="1"/>
  <c r="G2628" i="1" s="1"/>
  <c r="B2629" i="1"/>
  <c r="C2629" i="1" s="1"/>
  <c r="G2629" i="1" s="1"/>
  <c r="B2630" i="1"/>
  <c r="C2630" i="1" s="1"/>
  <c r="G2630" i="1" s="1"/>
  <c r="B2631" i="1"/>
  <c r="C2631" i="1" s="1"/>
  <c r="G2631" i="1" s="1"/>
  <c r="B2632" i="1"/>
  <c r="C2632" i="1" s="1"/>
  <c r="G2632" i="1" s="1"/>
  <c r="B2633" i="1"/>
  <c r="C2633" i="1" s="1"/>
  <c r="G2633" i="1" s="1"/>
  <c r="B2634" i="1"/>
  <c r="C2634" i="1" s="1"/>
  <c r="G2634" i="1" s="1"/>
  <c r="B2635" i="1"/>
  <c r="C2635" i="1" s="1"/>
  <c r="G2635" i="1" s="1"/>
  <c r="B2636" i="1"/>
  <c r="C2636" i="1" s="1"/>
  <c r="G2636" i="1" s="1"/>
  <c r="B2637" i="1"/>
  <c r="C2637" i="1" s="1"/>
  <c r="G2637" i="1" s="1"/>
  <c r="B2638" i="1"/>
  <c r="C2638" i="1" s="1"/>
  <c r="G2638" i="1" s="1"/>
  <c r="B2639" i="1"/>
  <c r="C2639" i="1" s="1"/>
  <c r="G2639" i="1" s="1"/>
  <c r="B2640" i="1"/>
  <c r="C2640" i="1" s="1"/>
  <c r="G2640" i="1" s="1"/>
  <c r="B2641" i="1"/>
  <c r="C2641" i="1" s="1"/>
  <c r="G2641" i="1" s="1"/>
  <c r="B2642" i="1"/>
  <c r="C2642" i="1" s="1"/>
  <c r="G2642" i="1" s="1"/>
  <c r="B2643" i="1"/>
  <c r="C2643" i="1" s="1"/>
  <c r="G2643" i="1" s="1"/>
  <c r="B2644" i="1"/>
  <c r="C2644" i="1" s="1"/>
  <c r="G2644" i="1" s="1"/>
  <c r="B2645" i="1"/>
  <c r="C2645" i="1" s="1"/>
  <c r="G2645" i="1" s="1"/>
  <c r="B2646" i="1"/>
  <c r="C2646" i="1" s="1"/>
  <c r="G2646" i="1" s="1"/>
  <c r="B2647" i="1"/>
  <c r="C2647" i="1" s="1"/>
  <c r="G2647" i="1" s="1"/>
  <c r="B2648" i="1"/>
  <c r="C2648" i="1" s="1"/>
  <c r="G2648" i="1" s="1"/>
  <c r="B2649" i="1"/>
  <c r="C2649" i="1" s="1"/>
  <c r="G2649" i="1" s="1"/>
  <c r="B2650" i="1"/>
  <c r="C2650" i="1" s="1"/>
  <c r="G2650" i="1" s="1"/>
  <c r="B2651" i="1"/>
  <c r="C2651" i="1" s="1"/>
  <c r="G2651" i="1" s="1"/>
  <c r="B2652" i="1"/>
  <c r="C2652" i="1" s="1"/>
  <c r="G2652" i="1" s="1"/>
  <c r="B2653" i="1"/>
  <c r="C2653" i="1" s="1"/>
  <c r="G2653" i="1" s="1"/>
  <c r="B2654" i="1"/>
  <c r="C2654" i="1" s="1"/>
  <c r="G2654" i="1" s="1"/>
  <c r="B2655" i="1"/>
  <c r="C2655" i="1" s="1"/>
  <c r="G2655" i="1" s="1"/>
  <c r="B2656" i="1"/>
  <c r="C2656" i="1" s="1"/>
  <c r="G2656" i="1" s="1"/>
  <c r="B2657" i="1"/>
  <c r="C2657" i="1" s="1"/>
  <c r="G2657" i="1" s="1"/>
  <c r="B2658" i="1"/>
  <c r="C2658" i="1" s="1"/>
  <c r="G2658" i="1" s="1"/>
  <c r="B2659" i="1"/>
  <c r="C2659" i="1" s="1"/>
  <c r="G2659" i="1" s="1"/>
  <c r="B2660" i="1"/>
  <c r="C2660" i="1" s="1"/>
  <c r="G2660" i="1" s="1"/>
  <c r="B2661" i="1"/>
  <c r="C2661" i="1" s="1"/>
  <c r="G2661" i="1" s="1"/>
  <c r="B2662" i="1"/>
  <c r="C2662" i="1" s="1"/>
  <c r="G2662" i="1" s="1"/>
  <c r="B2663" i="1"/>
  <c r="C2663" i="1" s="1"/>
  <c r="G2663" i="1" s="1"/>
  <c r="B2664" i="1"/>
  <c r="C2664" i="1" s="1"/>
  <c r="G2664" i="1" s="1"/>
  <c r="B2665" i="1"/>
  <c r="C2665" i="1" s="1"/>
  <c r="G2665" i="1" s="1"/>
  <c r="B2666" i="1"/>
  <c r="C2666" i="1" s="1"/>
  <c r="G2666" i="1" s="1"/>
  <c r="B2667" i="1"/>
  <c r="C2667" i="1" s="1"/>
  <c r="G2667" i="1" s="1"/>
  <c r="B2668" i="1"/>
  <c r="C2668" i="1" s="1"/>
  <c r="G2668" i="1" s="1"/>
  <c r="B2669" i="1"/>
  <c r="C2669" i="1" s="1"/>
  <c r="G2669" i="1" s="1"/>
  <c r="B2670" i="1"/>
  <c r="C2670" i="1" s="1"/>
  <c r="G2670" i="1" s="1"/>
  <c r="B2671" i="1"/>
  <c r="C2671" i="1" s="1"/>
  <c r="G2671" i="1" s="1"/>
  <c r="B2672" i="1"/>
  <c r="C2672" i="1" s="1"/>
  <c r="G2672" i="1" s="1"/>
  <c r="B2673" i="1"/>
  <c r="C2673" i="1" s="1"/>
  <c r="G2673" i="1" s="1"/>
  <c r="B2674" i="1"/>
  <c r="C2674" i="1" s="1"/>
  <c r="G2674" i="1" s="1"/>
  <c r="B2675" i="1"/>
  <c r="C2675" i="1" s="1"/>
  <c r="G2675" i="1" s="1"/>
  <c r="B2676" i="1"/>
  <c r="C2676" i="1" s="1"/>
  <c r="G2676" i="1" s="1"/>
  <c r="B2677" i="1"/>
  <c r="C2677" i="1" s="1"/>
  <c r="G2677" i="1" s="1"/>
  <c r="B2678" i="1"/>
  <c r="C2678" i="1" s="1"/>
  <c r="G2678" i="1" s="1"/>
  <c r="B2679" i="1"/>
  <c r="C2679" i="1" s="1"/>
  <c r="G2679" i="1" s="1"/>
  <c r="B2680" i="1"/>
  <c r="C2680" i="1" s="1"/>
  <c r="G2680" i="1" s="1"/>
  <c r="B2681" i="1"/>
  <c r="C2681" i="1" s="1"/>
  <c r="G2681" i="1" s="1"/>
  <c r="B2682" i="1"/>
  <c r="C2682" i="1" s="1"/>
  <c r="G2682" i="1" s="1"/>
  <c r="B2683" i="1"/>
  <c r="C2683" i="1" s="1"/>
  <c r="G2683" i="1" s="1"/>
  <c r="B2684" i="1"/>
  <c r="C2684" i="1" s="1"/>
  <c r="G2684" i="1" s="1"/>
  <c r="J2684" i="1" s="1"/>
  <c r="B2685" i="1"/>
  <c r="C2685" i="1" s="1"/>
  <c r="G2685" i="1" s="1"/>
  <c r="B2686" i="1"/>
  <c r="C2686" i="1" s="1"/>
  <c r="G2686" i="1" s="1"/>
  <c r="B2687" i="1"/>
  <c r="C2687" i="1" s="1"/>
  <c r="G2687" i="1" s="1"/>
  <c r="B2688" i="1"/>
  <c r="C2688" i="1" s="1"/>
  <c r="G2688" i="1" s="1"/>
  <c r="B2689" i="1"/>
  <c r="C2689" i="1" s="1"/>
  <c r="G2689" i="1" s="1"/>
  <c r="B2690" i="1"/>
  <c r="C2690" i="1" s="1"/>
  <c r="G2690" i="1" s="1"/>
  <c r="B2691" i="1"/>
  <c r="C2691" i="1" s="1"/>
  <c r="G2691" i="1" s="1"/>
  <c r="B2692" i="1"/>
  <c r="C2692" i="1" s="1"/>
  <c r="G2692" i="1" s="1"/>
  <c r="B2693" i="1"/>
  <c r="C2693" i="1" s="1"/>
  <c r="G2693" i="1" s="1"/>
  <c r="B2694" i="1"/>
  <c r="C2694" i="1" s="1"/>
  <c r="G2694" i="1" s="1"/>
  <c r="B2695" i="1"/>
  <c r="C2695" i="1" s="1"/>
  <c r="G2695" i="1" s="1"/>
  <c r="B2696" i="1"/>
  <c r="C2696" i="1" s="1"/>
  <c r="G2696" i="1" s="1"/>
  <c r="B2697" i="1"/>
  <c r="C2697" i="1" s="1"/>
  <c r="G2697" i="1" s="1"/>
  <c r="B2698" i="1"/>
  <c r="C2698" i="1" s="1"/>
  <c r="G2698" i="1" s="1"/>
  <c r="B2699" i="1"/>
  <c r="C2699" i="1" s="1"/>
  <c r="G2699" i="1" s="1"/>
  <c r="B2700" i="1"/>
  <c r="C2700" i="1" s="1"/>
  <c r="G2700" i="1" s="1"/>
  <c r="B2701" i="1"/>
  <c r="C2701" i="1" s="1"/>
  <c r="G2701" i="1" s="1"/>
  <c r="B2702" i="1"/>
  <c r="C2702" i="1" s="1"/>
  <c r="G2702" i="1" s="1"/>
  <c r="B2703" i="1"/>
  <c r="C2703" i="1" s="1"/>
  <c r="G2703" i="1" s="1"/>
  <c r="B2704" i="1"/>
  <c r="C2704" i="1" s="1"/>
  <c r="G2704" i="1" s="1"/>
  <c r="B2705" i="1"/>
  <c r="C2705" i="1" s="1"/>
  <c r="G2705" i="1" s="1"/>
  <c r="B2706" i="1"/>
  <c r="C2706" i="1" s="1"/>
  <c r="G2706" i="1" s="1"/>
  <c r="B2707" i="1"/>
  <c r="C2707" i="1" s="1"/>
  <c r="G2707" i="1" s="1"/>
  <c r="B2708" i="1"/>
  <c r="C2708" i="1" s="1"/>
  <c r="G2708" i="1" s="1"/>
  <c r="B2709" i="1"/>
  <c r="C2709" i="1" s="1"/>
  <c r="G2709" i="1" s="1"/>
  <c r="B2710" i="1"/>
  <c r="C2710" i="1" s="1"/>
  <c r="G2710" i="1" s="1"/>
  <c r="B2711" i="1"/>
  <c r="C2711" i="1" s="1"/>
  <c r="G2711" i="1" s="1"/>
  <c r="B2712" i="1"/>
  <c r="C2712" i="1" s="1"/>
  <c r="G2712" i="1" s="1"/>
  <c r="B2713" i="1"/>
  <c r="C2713" i="1" s="1"/>
  <c r="G2713" i="1" s="1"/>
  <c r="B2714" i="1"/>
  <c r="C2714" i="1" s="1"/>
  <c r="G2714" i="1" s="1"/>
  <c r="B2715" i="1"/>
  <c r="C2715" i="1" s="1"/>
  <c r="G2715" i="1" s="1"/>
  <c r="B2716" i="1"/>
  <c r="C2716" i="1" s="1"/>
  <c r="G2716" i="1" s="1"/>
  <c r="B2717" i="1"/>
  <c r="C2717" i="1" s="1"/>
  <c r="G2717" i="1" s="1"/>
  <c r="B2718" i="1"/>
  <c r="C2718" i="1" s="1"/>
  <c r="G2718" i="1" s="1"/>
  <c r="B2719" i="1"/>
  <c r="C2719" i="1" s="1"/>
  <c r="G2719" i="1" s="1"/>
  <c r="B2720" i="1"/>
  <c r="C2720" i="1" s="1"/>
  <c r="G2720" i="1" s="1"/>
  <c r="B2721" i="1"/>
  <c r="C2721" i="1" s="1"/>
  <c r="G2721" i="1" s="1"/>
  <c r="B2722" i="1"/>
  <c r="C2722" i="1" s="1"/>
  <c r="G2722" i="1" s="1"/>
  <c r="B2723" i="1"/>
  <c r="C2723" i="1" s="1"/>
  <c r="G2723" i="1" s="1"/>
  <c r="B2724" i="1"/>
  <c r="C2724" i="1" s="1"/>
  <c r="G2724" i="1" s="1"/>
  <c r="B2725" i="1"/>
  <c r="C2725" i="1" s="1"/>
  <c r="G2725" i="1" s="1"/>
  <c r="B2726" i="1"/>
  <c r="C2726" i="1" s="1"/>
  <c r="G2726" i="1" s="1"/>
  <c r="B2727" i="1"/>
  <c r="C2727" i="1" s="1"/>
  <c r="G2727" i="1" s="1"/>
  <c r="B2728" i="1"/>
  <c r="C2728" i="1" s="1"/>
  <c r="G2728" i="1" s="1"/>
  <c r="B2729" i="1"/>
  <c r="C2729" i="1" s="1"/>
  <c r="G2729" i="1" s="1"/>
  <c r="B2730" i="1"/>
  <c r="C2730" i="1" s="1"/>
  <c r="G2730" i="1" s="1"/>
  <c r="B2731" i="1"/>
  <c r="C2731" i="1" s="1"/>
  <c r="G2731" i="1" s="1"/>
  <c r="B2732" i="1"/>
  <c r="C2732" i="1" s="1"/>
  <c r="G2732" i="1" s="1"/>
  <c r="B2733" i="1"/>
  <c r="C2733" i="1" s="1"/>
  <c r="G2733" i="1" s="1"/>
  <c r="B2734" i="1"/>
  <c r="C2734" i="1" s="1"/>
  <c r="G2734" i="1" s="1"/>
  <c r="B2735" i="1"/>
  <c r="C2735" i="1" s="1"/>
  <c r="G2735" i="1" s="1"/>
  <c r="B2736" i="1"/>
  <c r="C2736" i="1" s="1"/>
  <c r="G2736" i="1" s="1"/>
  <c r="B2737" i="1"/>
  <c r="C2737" i="1" s="1"/>
  <c r="G2737" i="1" s="1"/>
  <c r="B2738" i="1"/>
  <c r="C2738" i="1" s="1"/>
  <c r="B2739" i="1"/>
  <c r="C2739" i="1" s="1"/>
  <c r="G2739" i="1" s="1"/>
  <c r="B2740" i="1"/>
  <c r="C2740" i="1" s="1"/>
  <c r="G2740" i="1" s="1"/>
  <c r="B2741" i="1"/>
  <c r="C2741" i="1" s="1"/>
  <c r="G2741" i="1" s="1"/>
  <c r="B2742" i="1"/>
  <c r="C2742" i="1" s="1"/>
  <c r="G2742" i="1" s="1"/>
  <c r="B2743" i="1"/>
  <c r="C2743" i="1" s="1"/>
  <c r="G2743" i="1" s="1"/>
  <c r="B2744" i="1"/>
  <c r="C2744" i="1" s="1"/>
  <c r="G2744" i="1" s="1"/>
  <c r="B2745" i="1"/>
  <c r="C2745" i="1" s="1"/>
  <c r="G2745" i="1" s="1"/>
  <c r="B2746" i="1"/>
  <c r="C2746" i="1" s="1"/>
  <c r="G2746" i="1" s="1"/>
  <c r="B2747" i="1"/>
  <c r="C2747" i="1" s="1"/>
  <c r="G2747" i="1" s="1"/>
  <c r="B2748" i="1"/>
  <c r="C2748" i="1" s="1"/>
  <c r="G2748" i="1" s="1"/>
  <c r="B2749" i="1"/>
  <c r="C2749" i="1" s="1"/>
  <c r="G2749" i="1" s="1"/>
  <c r="B2750" i="1"/>
  <c r="C2750" i="1" s="1"/>
  <c r="G2750" i="1" s="1"/>
  <c r="B2751" i="1"/>
  <c r="C2751" i="1" s="1"/>
  <c r="G2751" i="1" s="1"/>
  <c r="B2752" i="1"/>
  <c r="C2752" i="1" s="1"/>
  <c r="G2752" i="1" s="1"/>
  <c r="B2753" i="1"/>
  <c r="C2753" i="1" s="1"/>
  <c r="G2753" i="1" s="1"/>
  <c r="B2754" i="1"/>
  <c r="C2754" i="1" s="1"/>
  <c r="G2754" i="1" s="1"/>
  <c r="B2755" i="1"/>
  <c r="C2755" i="1" s="1"/>
  <c r="G2755" i="1" s="1"/>
  <c r="B2756" i="1"/>
  <c r="C2756" i="1" s="1"/>
  <c r="G2756" i="1" s="1"/>
  <c r="B2757" i="1"/>
  <c r="C2757" i="1" s="1"/>
  <c r="G2757" i="1" s="1"/>
  <c r="B2758" i="1"/>
  <c r="C2758" i="1" s="1"/>
  <c r="G2758" i="1" s="1"/>
  <c r="B2759" i="1"/>
  <c r="C2759" i="1" s="1"/>
  <c r="G2759" i="1" s="1"/>
  <c r="B2760" i="1"/>
  <c r="C2760" i="1" s="1"/>
  <c r="G2760" i="1" s="1"/>
  <c r="B2761" i="1"/>
  <c r="C2761" i="1" s="1"/>
  <c r="G2761" i="1" s="1"/>
  <c r="B2762" i="1"/>
  <c r="C2762" i="1" s="1"/>
  <c r="G2762" i="1" s="1"/>
  <c r="B2763" i="1"/>
  <c r="C2763" i="1" s="1"/>
  <c r="G2763" i="1" s="1"/>
  <c r="B2764" i="1"/>
  <c r="C2764" i="1" s="1"/>
  <c r="G2764" i="1" s="1"/>
  <c r="B2765" i="1"/>
  <c r="C2765" i="1" s="1"/>
  <c r="G2765" i="1" s="1"/>
  <c r="B2766" i="1"/>
  <c r="C2766" i="1" s="1"/>
  <c r="G2766" i="1" s="1"/>
  <c r="B2767" i="1"/>
  <c r="C2767" i="1" s="1"/>
  <c r="G2767" i="1" s="1"/>
  <c r="B2768" i="1"/>
  <c r="C2768" i="1" s="1"/>
  <c r="G2768" i="1" s="1"/>
  <c r="B2769" i="1"/>
  <c r="C2769" i="1" s="1"/>
  <c r="G2769" i="1" s="1"/>
  <c r="B2770" i="1"/>
  <c r="C2770" i="1" s="1"/>
  <c r="G2770" i="1" s="1"/>
  <c r="B2771" i="1"/>
  <c r="C2771" i="1" s="1"/>
  <c r="G2771" i="1" s="1"/>
  <c r="B2772" i="1"/>
  <c r="C2772" i="1" s="1"/>
  <c r="G2772" i="1" s="1"/>
  <c r="B2773" i="1"/>
  <c r="C2773" i="1" s="1"/>
  <c r="G2773" i="1" s="1"/>
  <c r="B2774" i="1"/>
  <c r="C2774" i="1" s="1"/>
  <c r="G2774" i="1" s="1"/>
  <c r="B2775" i="1"/>
  <c r="C2775" i="1" s="1"/>
  <c r="G2775" i="1" s="1"/>
  <c r="B2776" i="1"/>
  <c r="C2776" i="1" s="1"/>
  <c r="G2776" i="1" s="1"/>
  <c r="B2777" i="1"/>
  <c r="C2777" i="1" s="1"/>
  <c r="G2777" i="1" s="1"/>
  <c r="B2778" i="1"/>
  <c r="C2778" i="1" s="1"/>
  <c r="G2778" i="1" s="1"/>
  <c r="B2779" i="1"/>
  <c r="C2779" i="1" s="1"/>
  <c r="G2779" i="1" s="1"/>
  <c r="B2780" i="1"/>
  <c r="C2780" i="1" s="1"/>
  <c r="G2780" i="1" s="1"/>
  <c r="B2781" i="1"/>
  <c r="C2781" i="1" s="1"/>
  <c r="G2781" i="1" s="1"/>
  <c r="B2782" i="1"/>
  <c r="C2782" i="1" s="1"/>
  <c r="G2782" i="1" s="1"/>
  <c r="B2783" i="1"/>
  <c r="C2783" i="1" s="1"/>
  <c r="G2783" i="1" s="1"/>
  <c r="B2784" i="1"/>
  <c r="C2784" i="1" s="1"/>
  <c r="G2784" i="1" s="1"/>
  <c r="B2785" i="1"/>
  <c r="C2785" i="1" s="1"/>
  <c r="G2785" i="1" s="1"/>
  <c r="B2786" i="1"/>
  <c r="C2786" i="1" s="1"/>
  <c r="G2786" i="1" s="1"/>
  <c r="B2787" i="1"/>
  <c r="C2787" i="1" s="1"/>
  <c r="G2787" i="1" s="1"/>
  <c r="B2788" i="1"/>
  <c r="C2788" i="1" s="1"/>
  <c r="G2788" i="1" s="1"/>
  <c r="B2789" i="1"/>
  <c r="C2789" i="1" s="1"/>
  <c r="G2789" i="1" s="1"/>
  <c r="B2790" i="1"/>
  <c r="C2790" i="1" s="1"/>
  <c r="G2790" i="1" s="1"/>
  <c r="B2791" i="1"/>
  <c r="C2791" i="1" s="1"/>
  <c r="G2791" i="1" s="1"/>
  <c r="B2792" i="1"/>
  <c r="C2792" i="1" s="1"/>
  <c r="G2792" i="1" s="1"/>
  <c r="B2793" i="1"/>
  <c r="C2793" i="1" s="1"/>
  <c r="G2793" i="1" s="1"/>
  <c r="B2794" i="1"/>
  <c r="C2794" i="1" s="1"/>
  <c r="G2794" i="1" s="1"/>
  <c r="B2795" i="1"/>
  <c r="C2795" i="1" s="1"/>
  <c r="G2795" i="1" s="1"/>
  <c r="B2796" i="1"/>
  <c r="C2796" i="1" s="1"/>
  <c r="G2796" i="1" s="1"/>
  <c r="B2797" i="1"/>
  <c r="C2797" i="1" s="1"/>
  <c r="G2797" i="1" s="1"/>
  <c r="B2798" i="1"/>
  <c r="C2798" i="1" s="1"/>
  <c r="G2798" i="1" s="1"/>
  <c r="B2799" i="1"/>
  <c r="C2799" i="1" s="1"/>
  <c r="G2799" i="1" s="1"/>
  <c r="B2800" i="1"/>
  <c r="C2800" i="1" s="1"/>
  <c r="G2800" i="1" s="1"/>
  <c r="B2801" i="1"/>
  <c r="C2801" i="1" s="1"/>
  <c r="G2801" i="1" s="1"/>
  <c r="B2802" i="1"/>
  <c r="C2802" i="1" s="1"/>
  <c r="G2802" i="1" s="1"/>
  <c r="B2803" i="1"/>
  <c r="C2803" i="1" s="1"/>
  <c r="G2803" i="1" s="1"/>
  <c r="B2804" i="1"/>
  <c r="C2804" i="1" s="1"/>
  <c r="G2804" i="1" s="1"/>
  <c r="B2805" i="1"/>
  <c r="C2805" i="1" s="1"/>
  <c r="G2805" i="1" s="1"/>
  <c r="J2805" i="1" s="1"/>
  <c r="B2806" i="1"/>
  <c r="C2806" i="1" s="1"/>
  <c r="G2806" i="1" s="1"/>
  <c r="B2807" i="1"/>
  <c r="C2807" i="1" s="1"/>
  <c r="G2807" i="1" s="1"/>
  <c r="B2808" i="1"/>
  <c r="C2808" i="1" s="1"/>
  <c r="G2808" i="1" s="1"/>
  <c r="B2809" i="1"/>
  <c r="C2809" i="1" s="1"/>
  <c r="G2809" i="1" s="1"/>
  <c r="B2810" i="1"/>
  <c r="C2810" i="1" s="1"/>
  <c r="G2810" i="1" s="1"/>
  <c r="B2811" i="1"/>
  <c r="C2811" i="1" s="1"/>
  <c r="G2811" i="1" s="1"/>
  <c r="B2812" i="1"/>
  <c r="C2812" i="1" s="1"/>
  <c r="G2812" i="1" s="1"/>
  <c r="B2813" i="1"/>
  <c r="C2813" i="1" s="1"/>
  <c r="G2813" i="1" s="1"/>
  <c r="B2814" i="1"/>
  <c r="C2814" i="1" s="1"/>
  <c r="G2814" i="1" s="1"/>
  <c r="B2815" i="1"/>
  <c r="C2815" i="1" s="1"/>
  <c r="G2815" i="1" s="1"/>
  <c r="B2816" i="1"/>
  <c r="C2816" i="1" s="1"/>
  <c r="G2816" i="1" s="1"/>
  <c r="B2817" i="1"/>
  <c r="C2817" i="1" s="1"/>
  <c r="G2817" i="1" s="1"/>
  <c r="B2818" i="1"/>
  <c r="C2818" i="1" s="1"/>
  <c r="G2818" i="1" s="1"/>
  <c r="B2819" i="1"/>
  <c r="C2819" i="1" s="1"/>
  <c r="G2819" i="1" s="1"/>
  <c r="B2820" i="1"/>
  <c r="C2820" i="1" s="1"/>
  <c r="G2820" i="1" s="1"/>
  <c r="B2821" i="1"/>
  <c r="C2821" i="1" s="1"/>
  <c r="G2821" i="1" s="1"/>
  <c r="B2822" i="1"/>
  <c r="C2822" i="1" s="1"/>
  <c r="G2822" i="1" s="1"/>
  <c r="B2823" i="1"/>
  <c r="C2823" i="1" s="1"/>
  <c r="G2823" i="1" s="1"/>
  <c r="B2824" i="1"/>
  <c r="C2824" i="1" s="1"/>
  <c r="G2824" i="1" s="1"/>
  <c r="B2825" i="1"/>
  <c r="C2825" i="1" s="1"/>
  <c r="G2825" i="1" s="1"/>
  <c r="B2826" i="1"/>
  <c r="C2826" i="1" s="1"/>
  <c r="G2826" i="1" s="1"/>
  <c r="B2827" i="1"/>
  <c r="C2827" i="1" s="1"/>
  <c r="G2827" i="1" s="1"/>
  <c r="B2828" i="1"/>
  <c r="C2828" i="1" s="1"/>
  <c r="G2828" i="1" s="1"/>
  <c r="B2829" i="1"/>
  <c r="C2829" i="1" s="1"/>
  <c r="G2829" i="1" s="1"/>
  <c r="B2830" i="1"/>
  <c r="C2830" i="1" s="1"/>
  <c r="G2830" i="1" s="1"/>
  <c r="B2831" i="1"/>
  <c r="C2831" i="1" s="1"/>
  <c r="G2831" i="1" s="1"/>
  <c r="B2832" i="1"/>
  <c r="C2832" i="1" s="1"/>
  <c r="G2832" i="1" s="1"/>
  <c r="B2833" i="1"/>
  <c r="C2833" i="1" s="1"/>
  <c r="G2833" i="1" s="1"/>
  <c r="B2834" i="1"/>
  <c r="C2834" i="1" s="1"/>
  <c r="G2834" i="1" s="1"/>
  <c r="B2835" i="1"/>
  <c r="C2835" i="1" s="1"/>
  <c r="G2835" i="1" s="1"/>
  <c r="B2836" i="1"/>
  <c r="C2836" i="1" s="1"/>
  <c r="G2836" i="1" s="1"/>
  <c r="B2837" i="1"/>
  <c r="C2837" i="1" s="1"/>
  <c r="G2837" i="1" s="1"/>
  <c r="B2838" i="1"/>
  <c r="C2838" i="1" s="1"/>
  <c r="G2838" i="1" s="1"/>
  <c r="B2839" i="1"/>
  <c r="C2839" i="1" s="1"/>
  <c r="G2839" i="1" s="1"/>
  <c r="B2840" i="1"/>
  <c r="C2840" i="1" s="1"/>
  <c r="G2840" i="1" s="1"/>
  <c r="B2841" i="1"/>
  <c r="C2841" i="1" s="1"/>
  <c r="G2841" i="1" s="1"/>
  <c r="B2842" i="1"/>
  <c r="C2842" i="1" s="1"/>
  <c r="G2842" i="1" s="1"/>
  <c r="B2843" i="1"/>
  <c r="C2843" i="1" s="1"/>
  <c r="G2843" i="1" s="1"/>
  <c r="B2844" i="1"/>
  <c r="C2844" i="1" s="1"/>
  <c r="G2844" i="1" s="1"/>
  <c r="B2845" i="1"/>
  <c r="C2845" i="1" s="1"/>
  <c r="G2845" i="1" s="1"/>
  <c r="B2846" i="1"/>
  <c r="C2846" i="1" s="1"/>
  <c r="G2846" i="1" s="1"/>
  <c r="B2847" i="1"/>
  <c r="C2847" i="1" s="1"/>
  <c r="G2847" i="1" s="1"/>
  <c r="B2848" i="1"/>
  <c r="C2848" i="1" s="1"/>
  <c r="G2848" i="1" s="1"/>
  <c r="B2849" i="1"/>
  <c r="C2849" i="1" s="1"/>
  <c r="G2849" i="1" s="1"/>
  <c r="B2850" i="1"/>
  <c r="C2850" i="1" s="1"/>
  <c r="G2850" i="1" s="1"/>
  <c r="B2851" i="1"/>
  <c r="C2851" i="1" s="1"/>
  <c r="G2851" i="1" s="1"/>
  <c r="B2852" i="1"/>
  <c r="C2852" i="1" s="1"/>
  <c r="G2852" i="1" s="1"/>
  <c r="B2853" i="1"/>
  <c r="C2853" i="1" s="1"/>
  <c r="G2853" i="1" s="1"/>
  <c r="B2854" i="1"/>
  <c r="C2854" i="1" s="1"/>
  <c r="G2854" i="1" s="1"/>
  <c r="B2855" i="1"/>
  <c r="C2855" i="1" s="1"/>
  <c r="G2855" i="1" s="1"/>
  <c r="B2856" i="1"/>
  <c r="C2856" i="1" s="1"/>
  <c r="G2856" i="1" s="1"/>
  <c r="B2857" i="1"/>
  <c r="C2857" i="1" s="1"/>
  <c r="G2857" i="1" s="1"/>
  <c r="B2858" i="1"/>
  <c r="C2858" i="1" s="1"/>
  <c r="G2858" i="1" s="1"/>
  <c r="B2859" i="1"/>
  <c r="C2859" i="1" s="1"/>
  <c r="G2859" i="1" s="1"/>
  <c r="B2860" i="1"/>
  <c r="C2860" i="1" s="1"/>
  <c r="G2860" i="1" s="1"/>
  <c r="B2861" i="1"/>
  <c r="C2861" i="1" s="1"/>
  <c r="G2861" i="1" s="1"/>
  <c r="B2862" i="1"/>
  <c r="C2862" i="1" s="1"/>
  <c r="G2862" i="1" s="1"/>
  <c r="B2863" i="1"/>
  <c r="C2863" i="1" s="1"/>
  <c r="G2863" i="1" s="1"/>
  <c r="B2864" i="1"/>
  <c r="C2864" i="1" s="1"/>
  <c r="G2864" i="1" s="1"/>
  <c r="B2865" i="1"/>
  <c r="C2865" i="1" s="1"/>
  <c r="G2865" i="1" s="1"/>
  <c r="B2866" i="1"/>
  <c r="C2866" i="1" s="1"/>
  <c r="G2866" i="1" s="1"/>
  <c r="B2867" i="1"/>
  <c r="C2867" i="1" s="1"/>
  <c r="G2867" i="1" s="1"/>
  <c r="B2868" i="1"/>
  <c r="C2868" i="1" s="1"/>
  <c r="G2868" i="1" s="1"/>
  <c r="B2869" i="1"/>
  <c r="C2869" i="1" s="1"/>
  <c r="G2869" i="1" s="1"/>
  <c r="B2870" i="1"/>
  <c r="C2870" i="1" s="1"/>
  <c r="G2870" i="1" s="1"/>
  <c r="B2871" i="1"/>
  <c r="C2871" i="1" s="1"/>
  <c r="G2871" i="1" s="1"/>
  <c r="B2872" i="1"/>
  <c r="C2872" i="1" s="1"/>
  <c r="G2872" i="1" s="1"/>
  <c r="B2873" i="1"/>
  <c r="C2873" i="1" s="1"/>
  <c r="G2873" i="1" s="1"/>
  <c r="B2874" i="1"/>
  <c r="C2874" i="1" s="1"/>
  <c r="G2874" i="1" s="1"/>
  <c r="B2875" i="1"/>
  <c r="C2875" i="1" s="1"/>
  <c r="G2875" i="1" s="1"/>
  <c r="B2876" i="1"/>
  <c r="C2876" i="1" s="1"/>
  <c r="G2876" i="1" s="1"/>
  <c r="B2877" i="1"/>
  <c r="C2877" i="1" s="1"/>
  <c r="G2877" i="1" s="1"/>
  <c r="B2878" i="1"/>
  <c r="C2878" i="1" s="1"/>
  <c r="G2878" i="1" s="1"/>
  <c r="B2879" i="1"/>
  <c r="C2879" i="1" s="1"/>
  <c r="G2879" i="1" s="1"/>
  <c r="B2880" i="1"/>
  <c r="C2880" i="1" s="1"/>
  <c r="G2880" i="1" s="1"/>
  <c r="B2881" i="1"/>
  <c r="C2881" i="1" s="1"/>
  <c r="G2881" i="1" s="1"/>
  <c r="B2882" i="1"/>
  <c r="C2882" i="1" s="1"/>
  <c r="G2882" i="1" s="1"/>
  <c r="B2883" i="1"/>
  <c r="C2883" i="1" s="1"/>
  <c r="G2883" i="1" s="1"/>
  <c r="B2884" i="1"/>
  <c r="C2884" i="1" s="1"/>
  <c r="G2884" i="1" s="1"/>
  <c r="B2885" i="1"/>
  <c r="C2885" i="1" s="1"/>
  <c r="G2885" i="1" s="1"/>
  <c r="B2886" i="1"/>
  <c r="C2886" i="1" s="1"/>
  <c r="G2886" i="1" s="1"/>
  <c r="B2887" i="1"/>
  <c r="C2887" i="1" s="1"/>
  <c r="G2887" i="1" s="1"/>
  <c r="B2888" i="1"/>
  <c r="C2888" i="1" s="1"/>
  <c r="G2888" i="1" s="1"/>
  <c r="B2889" i="1"/>
  <c r="C2889" i="1" s="1"/>
  <c r="G2889" i="1" s="1"/>
  <c r="B2890" i="1"/>
  <c r="C2890" i="1" s="1"/>
  <c r="G2890" i="1" s="1"/>
  <c r="B2891" i="1"/>
  <c r="C2891" i="1" s="1"/>
  <c r="G2891" i="1" s="1"/>
  <c r="J2891" i="1" s="1"/>
  <c r="B2892" i="1"/>
  <c r="C2892" i="1" s="1"/>
  <c r="G2892" i="1" s="1"/>
  <c r="B2893" i="1"/>
  <c r="C2893" i="1" s="1"/>
  <c r="G2893" i="1" s="1"/>
  <c r="B2894" i="1"/>
  <c r="C2894" i="1" s="1"/>
  <c r="G2894" i="1" s="1"/>
  <c r="B2895" i="1"/>
  <c r="C2895" i="1" s="1"/>
  <c r="G2895" i="1" s="1"/>
  <c r="B2896" i="1"/>
  <c r="C2896" i="1" s="1"/>
  <c r="G2896" i="1" s="1"/>
  <c r="B2897" i="1"/>
  <c r="C2897" i="1" s="1"/>
  <c r="G2897" i="1" s="1"/>
  <c r="B2898" i="1"/>
  <c r="C2898" i="1" s="1"/>
  <c r="G2898" i="1" s="1"/>
  <c r="B2899" i="1"/>
  <c r="C2899" i="1" s="1"/>
  <c r="G2899" i="1" s="1"/>
  <c r="B2900" i="1"/>
  <c r="C2900" i="1" s="1"/>
  <c r="G2900" i="1" s="1"/>
  <c r="B2901" i="1"/>
  <c r="C2901" i="1" s="1"/>
  <c r="G2901" i="1" s="1"/>
  <c r="B2902" i="1"/>
  <c r="C2902" i="1" s="1"/>
  <c r="G2902" i="1" s="1"/>
  <c r="B2903" i="1"/>
  <c r="C2903" i="1" s="1"/>
  <c r="G2903" i="1" s="1"/>
  <c r="B2904" i="1"/>
  <c r="C2904" i="1" s="1"/>
  <c r="G2904" i="1" s="1"/>
  <c r="B2905" i="1"/>
  <c r="C2905" i="1" s="1"/>
  <c r="G2905" i="1" s="1"/>
  <c r="B2906" i="1"/>
  <c r="C2906" i="1" s="1"/>
  <c r="G2906" i="1" s="1"/>
  <c r="B2907" i="1"/>
  <c r="C2907" i="1" s="1"/>
  <c r="B2908" i="1"/>
  <c r="C2908" i="1" s="1"/>
  <c r="G2908" i="1" s="1"/>
  <c r="B2909" i="1"/>
  <c r="C2909" i="1" s="1"/>
  <c r="G2909" i="1" s="1"/>
  <c r="B2910" i="1"/>
  <c r="C2910" i="1" s="1"/>
  <c r="G2910" i="1" s="1"/>
  <c r="B2911" i="1"/>
  <c r="C2911" i="1" s="1"/>
  <c r="G2911" i="1" s="1"/>
  <c r="B2912" i="1"/>
  <c r="C2912" i="1" s="1"/>
  <c r="G2912" i="1" s="1"/>
  <c r="B2913" i="1"/>
  <c r="C2913" i="1" s="1"/>
  <c r="G2913" i="1" s="1"/>
  <c r="B2914" i="1"/>
  <c r="C2914" i="1" s="1"/>
  <c r="G2914" i="1" s="1"/>
  <c r="B2915" i="1"/>
  <c r="C2915" i="1" s="1"/>
  <c r="G2915" i="1" s="1"/>
  <c r="B2916" i="1"/>
  <c r="C2916" i="1" s="1"/>
  <c r="G2916" i="1" s="1"/>
  <c r="B2917" i="1"/>
  <c r="C2917" i="1" s="1"/>
  <c r="G2917" i="1" s="1"/>
  <c r="B2918" i="1"/>
  <c r="C2918" i="1" s="1"/>
  <c r="G2918" i="1" s="1"/>
  <c r="B2919" i="1"/>
  <c r="C2919" i="1" s="1"/>
  <c r="G2919" i="1" s="1"/>
  <c r="B2920" i="1"/>
  <c r="C2920" i="1" s="1"/>
  <c r="G2920" i="1" s="1"/>
  <c r="B2921" i="1"/>
  <c r="C2921" i="1" s="1"/>
  <c r="G2921" i="1" s="1"/>
  <c r="B2922" i="1"/>
  <c r="C2922" i="1" s="1"/>
  <c r="G2922" i="1" s="1"/>
  <c r="B2923" i="1"/>
  <c r="C2923" i="1" s="1"/>
  <c r="G2923" i="1" s="1"/>
  <c r="B2924" i="1"/>
  <c r="C2924" i="1" s="1"/>
  <c r="G2924" i="1" s="1"/>
  <c r="B2925" i="1"/>
  <c r="C2925" i="1" s="1"/>
  <c r="G2925" i="1" s="1"/>
  <c r="B2926" i="1"/>
  <c r="C2926" i="1" s="1"/>
  <c r="G2926" i="1" s="1"/>
  <c r="B2927" i="1"/>
  <c r="C2927" i="1" s="1"/>
  <c r="G2927" i="1" s="1"/>
  <c r="B2928" i="1"/>
  <c r="C2928" i="1" s="1"/>
  <c r="G2928" i="1" s="1"/>
  <c r="B2929" i="1"/>
  <c r="C2929" i="1" s="1"/>
  <c r="G2929" i="1" s="1"/>
  <c r="B2930" i="1"/>
  <c r="C2930" i="1" s="1"/>
  <c r="G2930" i="1" s="1"/>
  <c r="B2931" i="1"/>
  <c r="C2931" i="1" s="1"/>
  <c r="G2931" i="1" s="1"/>
  <c r="B2932" i="1"/>
  <c r="C2932" i="1" s="1"/>
  <c r="G2932" i="1" s="1"/>
  <c r="B2933" i="1"/>
  <c r="C2933" i="1" s="1"/>
  <c r="G2933" i="1" s="1"/>
  <c r="B2934" i="1"/>
  <c r="C2934" i="1" s="1"/>
  <c r="G2934" i="1" s="1"/>
  <c r="B2935" i="1"/>
  <c r="C2935" i="1" s="1"/>
  <c r="G2935" i="1" s="1"/>
  <c r="B2936" i="1"/>
  <c r="C2936" i="1" s="1"/>
  <c r="G2936" i="1" s="1"/>
  <c r="B2937" i="1"/>
  <c r="C2937" i="1" s="1"/>
  <c r="G2937" i="1" s="1"/>
  <c r="B2938" i="1"/>
  <c r="C2938" i="1" s="1"/>
  <c r="G2938" i="1" s="1"/>
  <c r="B2939" i="1"/>
  <c r="C2939" i="1" s="1"/>
  <c r="G2939" i="1" s="1"/>
  <c r="B2940" i="1"/>
  <c r="C2940" i="1" s="1"/>
  <c r="G2940" i="1" s="1"/>
  <c r="B2941" i="1"/>
  <c r="C2941" i="1" s="1"/>
  <c r="G2941" i="1" s="1"/>
  <c r="B2942" i="1"/>
  <c r="C2942" i="1" s="1"/>
  <c r="G2942" i="1" s="1"/>
  <c r="B2943" i="1"/>
  <c r="C2943" i="1" s="1"/>
  <c r="G2943" i="1" s="1"/>
  <c r="B2944" i="1"/>
  <c r="C2944" i="1" s="1"/>
  <c r="G2944" i="1" s="1"/>
  <c r="B2945" i="1"/>
  <c r="C2945" i="1" s="1"/>
  <c r="G2945" i="1" s="1"/>
  <c r="B2946" i="1"/>
  <c r="C2946" i="1" s="1"/>
  <c r="G2946" i="1" s="1"/>
  <c r="B2947" i="1"/>
  <c r="C2947" i="1" s="1"/>
  <c r="G2947" i="1" s="1"/>
  <c r="B2948" i="1"/>
  <c r="C2948" i="1" s="1"/>
  <c r="G2948" i="1" s="1"/>
  <c r="B2949" i="1"/>
  <c r="C2949" i="1" s="1"/>
  <c r="G2949" i="1" s="1"/>
  <c r="B2950" i="1"/>
  <c r="C2950" i="1" s="1"/>
  <c r="G2950" i="1" s="1"/>
  <c r="B2951" i="1"/>
  <c r="C2951" i="1" s="1"/>
  <c r="G2951" i="1" s="1"/>
  <c r="B2952" i="1"/>
  <c r="C2952" i="1" s="1"/>
  <c r="G2952" i="1" s="1"/>
  <c r="B2953" i="1"/>
  <c r="C2953" i="1" s="1"/>
  <c r="G2953" i="1" s="1"/>
  <c r="B2954" i="1"/>
  <c r="C2954" i="1" s="1"/>
  <c r="G2954" i="1" s="1"/>
  <c r="B2955" i="1"/>
  <c r="C2955" i="1" s="1"/>
  <c r="G2955" i="1" s="1"/>
  <c r="B2956" i="1"/>
  <c r="C2956" i="1" s="1"/>
  <c r="G2956" i="1" s="1"/>
  <c r="B2957" i="1"/>
  <c r="C2957" i="1" s="1"/>
  <c r="G2957" i="1" s="1"/>
  <c r="B2958" i="1"/>
  <c r="C2958" i="1" s="1"/>
  <c r="G2958" i="1" s="1"/>
  <c r="B2959" i="1"/>
  <c r="C2959" i="1" s="1"/>
  <c r="G2959" i="1" s="1"/>
  <c r="B2960" i="1"/>
  <c r="C2960" i="1" s="1"/>
  <c r="G2960" i="1" s="1"/>
  <c r="B2961" i="1"/>
  <c r="C2961" i="1" s="1"/>
  <c r="G2961" i="1" s="1"/>
  <c r="B2962" i="1"/>
  <c r="C2962" i="1" s="1"/>
  <c r="G2962" i="1" s="1"/>
  <c r="B2963" i="1"/>
  <c r="C2963" i="1" s="1"/>
  <c r="G2963" i="1" s="1"/>
  <c r="B2964" i="1"/>
  <c r="C2964" i="1" s="1"/>
  <c r="G2964" i="1" s="1"/>
  <c r="B2965" i="1"/>
  <c r="C2965" i="1" s="1"/>
  <c r="G2965" i="1" s="1"/>
  <c r="B2966" i="1"/>
  <c r="C2966" i="1" s="1"/>
  <c r="G2966" i="1" s="1"/>
  <c r="B2967" i="1"/>
  <c r="C2967" i="1" s="1"/>
  <c r="G2967" i="1" s="1"/>
  <c r="B2968" i="1"/>
  <c r="C2968" i="1" s="1"/>
  <c r="G2968" i="1" s="1"/>
  <c r="B2969" i="1"/>
  <c r="C2969" i="1" s="1"/>
  <c r="G2969" i="1" s="1"/>
  <c r="B2970" i="1"/>
  <c r="C2970" i="1" s="1"/>
  <c r="G2970" i="1" s="1"/>
  <c r="B2971" i="1"/>
  <c r="C2971" i="1" s="1"/>
  <c r="G2971" i="1" s="1"/>
  <c r="B2972" i="1"/>
  <c r="C2972" i="1" s="1"/>
  <c r="G2972" i="1" s="1"/>
  <c r="B2973" i="1"/>
  <c r="C2973" i="1" s="1"/>
  <c r="G2973" i="1" s="1"/>
  <c r="B2974" i="1"/>
  <c r="C2974" i="1" s="1"/>
  <c r="G2974" i="1" s="1"/>
  <c r="B2975" i="1"/>
  <c r="C2975" i="1" s="1"/>
  <c r="G2975" i="1" s="1"/>
  <c r="B2976" i="1"/>
  <c r="C2976" i="1" s="1"/>
  <c r="G2976" i="1" s="1"/>
  <c r="J2976" i="1" s="1"/>
  <c r="B2977" i="1"/>
  <c r="C2977" i="1" s="1"/>
  <c r="G2977" i="1" s="1"/>
  <c r="B2978" i="1"/>
  <c r="C2978" i="1" s="1"/>
  <c r="G2978" i="1" s="1"/>
  <c r="B2979" i="1"/>
  <c r="C2979" i="1" s="1"/>
  <c r="G2979" i="1" s="1"/>
  <c r="B2980" i="1"/>
  <c r="C2980" i="1" s="1"/>
  <c r="G2980" i="1" s="1"/>
  <c r="B2981" i="1"/>
  <c r="C2981" i="1" s="1"/>
  <c r="G2981" i="1" s="1"/>
  <c r="B2982" i="1"/>
  <c r="C2982" i="1" s="1"/>
  <c r="G2982" i="1" s="1"/>
  <c r="B2983" i="1"/>
  <c r="C2983" i="1" s="1"/>
  <c r="G2983" i="1" s="1"/>
  <c r="B2984" i="1"/>
  <c r="C2984" i="1" s="1"/>
  <c r="G2984" i="1" s="1"/>
  <c r="B2985" i="1"/>
  <c r="C2985" i="1" s="1"/>
  <c r="G2985" i="1" s="1"/>
  <c r="B2986" i="1"/>
  <c r="C2986" i="1" s="1"/>
  <c r="G2986" i="1" s="1"/>
  <c r="B2987" i="1"/>
  <c r="C2987" i="1" s="1"/>
  <c r="G2987" i="1" s="1"/>
  <c r="B2988" i="1"/>
  <c r="C2988" i="1" s="1"/>
  <c r="G2988" i="1" s="1"/>
  <c r="B2989" i="1"/>
  <c r="C2989" i="1" s="1"/>
  <c r="G2989" i="1" s="1"/>
  <c r="B2990" i="1"/>
  <c r="C2990" i="1" s="1"/>
  <c r="G2990" i="1" s="1"/>
  <c r="B2991" i="1"/>
  <c r="C2991" i="1" s="1"/>
  <c r="G2991" i="1" s="1"/>
  <c r="B2992" i="1"/>
  <c r="C2992" i="1" s="1"/>
  <c r="G2992" i="1" s="1"/>
  <c r="B2993" i="1"/>
  <c r="C2993" i="1" s="1"/>
  <c r="G2993" i="1" s="1"/>
  <c r="B2994" i="1"/>
  <c r="C2994" i="1" s="1"/>
  <c r="G2994" i="1" s="1"/>
  <c r="B2995" i="1"/>
  <c r="C2995" i="1" s="1"/>
  <c r="G2995" i="1" s="1"/>
  <c r="B2996" i="1"/>
  <c r="C2996" i="1" s="1"/>
  <c r="G2996" i="1" s="1"/>
  <c r="B2997" i="1"/>
  <c r="C2997" i="1" s="1"/>
  <c r="G2997" i="1" s="1"/>
  <c r="B2998" i="1"/>
  <c r="C2998" i="1" s="1"/>
  <c r="G2998" i="1" s="1"/>
  <c r="B2999" i="1"/>
  <c r="C2999" i="1" s="1"/>
  <c r="G2999" i="1" s="1"/>
  <c r="B3000" i="1"/>
  <c r="C3000" i="1" s="1"/>
  <c r="G3000" i="1" s="1"/>
  <c r="B3001" i="1"/>
  <c r="C3001" i="1" s="1"/>
  <c r="G3001" i="1" s="1"/>
  <c r="B3002" i="1"/>
  <c r="C3002" i="1" s="1"/>
  <c r="G3002" i="1" s="1"/>
  <c r="B3003" i="1"/>
  <c r="C3003" i="1" s="1"/>
  <c r="G3003" i="1" s="1"/>
  <c r="B3004" i="1"/>
  <c r="C3004" i="1" s="1"/>
  <c r="G3004" i="1" s="1"/>
  <c r="B3005" i="1"/>
  <c r="C3005" i="1" s="1"/>
  <c r="G3005" i="1" s="1"/>
  <c r="B3006" i="1"/>
  <c r="C3006" i="1" s="1"/>
  <c r="G3006" i="1" s="1"/>
  <c r="B3007" i="1"/>
  <c r="C3007" i="1" s="1"/>
  <c r="G3007" i="1" s="1"/>
  <c r="B3008" i="1"/>
  <c r="C3008" i="1" s="1"/>
  <c r="G3008" i="1" s="1"/>
  <c r="B3009" i="1"/>
  <c r="C3009" i="1" s="1"/>
  <c r="G3009" i="1" s="1"/>
  <c r="B3010" i="1"/>
  <c r="C3010" i="1" s="1"/>
  <c r="G3010" i="1" s="1"/>
  <c r="B3011" i="1"/>
  <c r="C3011" i="1" s="1"/>
  <c r="G3011" i="1" s="1"/>
  <c r="B3012" i="1"/>
  <c r="C3012" i="1" s="1"/>
  <c r="G3012" i="1" s="1"/>
  <c r="B3013" i="1"/>
  <c r="C3013" i="1" s="1"/>
  <c r="G3013" i="1" s="1"/>
  <c r="B3014" i="1"/>
  <c r="C3014" i="1" s="1"/>
  <c r="G3014" i="1" s="1"/>
  <c r="B3015" i="1"/>
  <c r="C3015" i="1" s="1"/>
  <c r="G3015" i="1" s="1"/>
  <c r="B3016" i="1"/>
  <c r="C3016" i="1" s="1"/>
  <c r="G3016" i="1" s="1"/>
  <c r="B3017" i="1"/>
  <c r="C3017" i="1" s="1"/>
  <c r="G3017" i="1" s="1"/>
  <c r="B3018" i="1"/>
  <c r="C3018" i="1" s="1"/>
  <c r="G3018" i="1" s="1"/>
  <c r="B3019" i="1"/>
  <c r="C3019" i="1" s="1"/>
  <c r="G3019" i="1" s="1"/>
  <c r="B3020" i="1"/>
  <c r="C3020" i="1" s="1"/>
  <c r="G3020" i="1" s="1"/>
  <c r="B3021" i="1"/>
  <c r="C3021" i="1" s="1"/>
  <c r="G3021" i="1" s="1"/>
  <c r="B3022" i="1"/>
  <c r="C3022" i="1" s="1"/>
  <c r="G3022" i="1" s="1"/>
  <c r="B3023" i="1"/>
  <c r="C3023" i="1" s="1"/>
  <c r="G3023" i="1" s="1"/>
  <c r="B3024" i="1"/>
  <c r="C3024" i="1" s="1"/>
  <c r="G3024" i="1" s="1"/>
  <c r="B3025" i="1"/>
  <c r="C3025" i="1" s="1"/>
  <c r="G3025" i="1" s="1"/>
  <c r="B3026" i="1"/>
  <c r="C3026" i="1" s="1"/>
  <c r="G3026" i="1" s="1"/>
  <c r="B3027" i="1"/>
  <c r="C3027" i="1" s="1"/>
  <c r="G3027" i="1" s="1"/>
  <c r="B3028" i="1"/>
  <c r="C3028" i="1" s="1"/>
  <c r="G3028" i="1" s="1"/>
  <c r="B3029" i="1"/>
  <c r="C3029" i="1" s="1"/>
  <c r="G3029" i="1" s="1"/>
  <c r="B3030" i="1"/>
  <c r="C3030" i="1" s="1"/>
  <c r="G3030" i="1" s="1"/>
  <c r="B3031" i="1"/>
  <c r="C3031" i="1" s="1"/>
  <c r="G3031" i="1" s="1"/>
  <c r="B3032" i="1"/>
  <c r="C3032" i="1" s="1"/>
  <c r="G3032" i="1" s="1"/>
  <c r="B3033" i="1"/>
  <c r="C3033" i="1" s="1"/>
  <c r="G3033" i="1" s="1"/>
  <c r="B3034" i="1"/>
  <c r="C3034" i="1" s="1"/>
  <c r="G3034" i="1" s="1"/>
  <c r="B3035" i="1"/>
  <c r="C3035" i="1" s="1"/>
  <c r="G3035" i="1" s="1"/>
  <c r="B3036" i="1"/>
  <c r="C3036" i="1" s="1"/>
  <c r="G3036" i="1" s="1"/>
  <c r="B3037" i="1"/>
  <c r="C3037" i="1" s="1"/>
  <c r="G3037" i="1" s="1"/>
  <c r="B3038" i="1"/>
  <c r="C3038" i="1" s="1"/>
  <c r="G3038" i="1" s="1"/>
  <c r="B3039" i="1"/>
  <c r="C3039" i="1" s="1"/>
  <c r="G3039" i="1" s="1"/>
  <c r="B3040" i="1"/>
  <c r="C3040" i="1" s="1"/>
  <c r="G3040" i="1" s="1"/>
  <c r="B3041" i="1"/>
  <c r="C3041" i="1" s="1"/>
  <c r="G3041" i="1" s="1"/>
  <c r="B3042" i="1"/>
  <c r="C3042" i="1" s="1"/>
  <c r="G3042" i="1" s="1"/>
  <c r="B3043" i="1"/>
  <c r="C3043" i="1" s="1"/>
  <c r="G3043" i="1" s="1"/>
  <c r="B3044" i="1"/>
  <c r="C3044" i="1" s="1"/>
  <c r="G3044" i="1" s="1"/>
  <c r="B3045" i="1"/>
  <c r="C3045" i="1" s="1"/>
  <c r="G3045" i="1" s="1"/>
  <c r="B3046" i="1"/>
  <c r="C3046" i="1" s="1"/>
  <c r="G3046" i="1" s="1"/>
  <c r="B3047" i="1"/>
  <c r="C3047" i="1" s="1"/>
  <c r="G3047" i="1" s="1"/>
  <c r="B3048" i="1"/>
  <c r="C3048" i="1" s="1"/>
  <c r="G3048" i="1" s="1"/>
  <c r="B3049" i="1"/>
  <c r="C3049" i="1" s="1"/>
  <c r="G3049" i="1" s="1"/>
  <c r="B3050" i="1"/>
  <c r="C3050" i="1" s="1"/>
  <c r="G3050" i="1" s="1"/>
  <c r="B3051" i="1"/>
  <c r="C3051" i="1" s="1"/>
  <c r="G3051" i="1" s="1"/>
  <c r="B3052" i="1"/>
  <c r="C3052" i="1" s="1"/>
  <c r="G3052" i="1" s="1"/>
  <c r="B3053" i="1"/>
  <c r="C3053" i="1" s="1"/>
  <c r="G3053" i="1" s="1"/>
  <c r="B3054" i="1"/>
  <c r="C3054" i="1" s="1"/>
  <c r="G3054" i="1" s="1"/>
  <c r="B3055" i="1"/>
  <c r="C3055" i="1" s="1"/>
  <c r="G3055" i="1" s="1"/>
  <c r="B3056" i="1"/>
  <c r="C3056" i="1" s="1"/>
  <c r="G3056" i="1" s="1"/>
  <c r="B3057" i="1"/>
  <c r="C3057" i="1" s="1"/>
  <c r="G3057" i="1" s="1"/>
  <c r="B3058" i="1"/>
  <c r="C3058" i="1" s="1"/>
  <c r="B3059" i="1"/>
  <c r="C3059" i="1" s="1"/>
  <c r="G3059" i="1" s="1"/>
  <c r="B3060" i="1"/>
  <c r="C3060" i="1" s="1"/>
  <c r="G3060" i="1" s="1"/>
  <c r="B3061" i="1"/>
  <c r="C3061" i="1" s="1"/>
  <c r="G3061" i="1" s="1"/>
  <c r="B3062" i="1"/>
  <c r="C3062" i="1" s="1"/>
  <c r="G3062" i="1" s="1"/>
  <c r="B3063" i="1"/>
  <c r="C3063" i="1" s="1"/>
  <c r="G3063" i="1" s="1"/>
  <c r="B3064" i="1"/>
  <c r="C3064" i="1" s="1"/>
  <c r="G3064" i="1" s="1"/>
  <c r="B3065" i="1"/>
  <c r="C3065" i="1" s="1"/>
  <c r="G3065" i="1" s="1"/>
  <c r="B3066" i="1"/>
  <c r="C3066" i="1" s="1"/>
  <c r="G3066" i="1" s="1"/>
  <c r="B3067" i="1"/>
  <c r="C3067" i="1" s="1"/>
  <c r="G3067" i="1" s="1"/>
  <c r="B3068" i="1"/>
  <c r="C3068" i="1" s="1"/>
  <c r="G3068" i="1" s="1"/>
  <c r="B3069" i="1"/>
  <c r="C3069" i="1" s="1"/>
  <c r="G3069" i="1" s="1"/>
  <c r="B3070" i="1"/>
  <c r="C3070" i="1" s="1"/>
  <c r="G3070" i="1" s="1"/>
  <c r="B3071" i="1"/>
  <c r="C3071" i="1" s="1"/>
  <c r="G3071" i="1" s="1"/>
  <c r="B3072" i="1"/>
  <c r="C3072" i="1" s="1"/>
  <c r="G3072" i="1" s="1"/>
  <c r="B3073" i="1"/>
  <c r="C3073" i="1" s="1"/>
  <c r="G3073" i="1" s="1"/>
  <c r="B3074" i="1"/>
  <c r="C3074" i="1" s="1"/>
  <c r="G3074" i="1" s="1"/>
  <c r="B3075" i="1"/>
  <c r="C3075" i="1" s="1"/>
  <c r="G3075" i="1" s="1"/>
  <c r="B3076" i="1"/>
  <c r="C3076" i="1" s="1"/>
  <c r="G3076" i="1" s="1"/>
  <c r="B3077" i="1"/>
  <c r="C3077" i="1" s="1"/>
  <c r="G3077" i="1" s="1"/>
  <c r="B3078" i="1"/>
  <c r="C3078" i="1" s="1"/>
  <c r="G3078" i="1" s="1"/>
  <c r="B3079" i="1"/>
  <c r="C3079" i="1" s="1"/>
  <c r="G3079" i="1" s="1"/>
  <c r="B3080" i="1"/>
  <c r="C3080" i="1" s="1"/>
  <c r="G3080" i="1" s="1"/>
  <c r="B3081" i="1"/>
  <c r="C3081" i="1" s="1"/>
  <c r="G3081" i="1" s="1"/>
  <c r="B3082" i="1"/>
  <c r="C3082" i="1" s="1"/>
  <c r="G3082" i="1" s="1"/>
  <c r="B3083" i="1"/>
  <c r="C3083" i="1" s="1"/>
  <c r="G3083" i="1" s="1"/>
  <c r="B3084" i="1"/>
  <c r="C3084" i="1" s="1"/>
  <c r="G3084" i="1" s="1"/>
  <c r="B3085" i="1"/>
  <c r="C3085" i="1" s="1"/>
  <c r="G3085" i="1" s="1"/>
  <c r="B3086" i="1"/>
  <c r="C3086" i="1" s="1"/>
  <c r="G3086" i="1" s="1"/>
  <c r="B3087" i="1"/>
  <c r="C3087" i="1" s="1"/>
  <c r="G3087" i="1" s="1"/>
  <c r="B3088" i="1"/>
  <c r="C3088" i="1" s="1"/>
  <c r="G3088" i="1" s="1"/>
  <c r="B3089" i="1"/>
  <c r="C3089" i="1" s="1"/>
  <c r="G3089" i="1" s="1"/>
  <c r="B3090" i="1"/>
  <c r="C3090" i="1" s="1"/>
  <c r="G3090" i="1" s="1"/>
  <c r="B3091" i="1"/>
  <c r="C3091" i="1" s="1"/>
  <c r="G3091" i="1" s="1"/>
  <c r="B3092" i="1"/>
  <c r="C3092" i="1" s="1"/>
  <c r="G3092" i="1" s="1"/>
  <c r="B3093" i="1"/>
  <c r="C3093" i="1" s="1"/>
  <c r="G3093" i="1" s="1"/>
  <c r="B3094" i="1"/>
  <c r="C3094" i="1" s="1"/>
  <c r="G3094" i="1" s="1"/>
  <c r="B3095" i="1"/>
  <c r="C3095" i="1" s="1"/>
  <c r="G3095" i="1" s="1"/>
  <c r="B3096" i="1"/>
  <c r="C3096" i="1" s="1"/>
  <c r="G3096" i="1" s="1"/>
  <c r="B3097" i="1"/>
  <c r="C3097" i="1" s="1"/>
  <c r="G3097" i="1" s="1"/>
  <c r="B3098" i="1"/>
  <c r="C3098" i="1" s="1"/>
  <c r="G3098" i="1" s="1"/>
  <c r="B3099" i="1"/>
  <c r="C3099" i="1" s="1"/>
  <c r="G3099" i="1" s="1"/>
  <c r="B3100" i="1"/>
  <c r="C3100" i="1" s="1"/>
  <c r="G3100" i="1" s="1"/>
  <c r="B3101" i="1"/>
  <c r="C3101" i="1" s="1"/>
  <c r="G3101" i="1" s="1"/>
  <c r="B3102" i="1"/>
  <c r="C3102" i="1" s="1"/>
  <c r="G3102" i="1" s="1"/>
  <c r="B3103" i="1"/>
  <c r="C3103" i="1" s="1"/>
  <c r="G3103" i="1" s="1"/>
  <c r="B3104" i="1"/>
  <c r="C3104" i="1" s="1"/>
  <c r="G3104" i="1" s="1"/>
  <c r="B3105" i="1"/>
  <c r="C3105" i="1" s="1"/>
  <c r="G3105" i="1" s="1"/>
  <c r="B3106" i="1"/>
  <c r="C3106" i="1" s="1"/>
  <c r="G3106" i="1" s="1"/>
  <c r="B3107" i="1"/>
  <c r="C3107" i="1" s="1"/>
  <c r="G3107" i="1" s="1"/>
  <c r="B3108" i="1"/>
  <c r="C3108" i="1" s="1"/>
  <c r="G3108" i="1" s="1"/>
  <c r="B3109" i="1"/>
  <c r="C3109" i="1" s="1"/>
  <c r="G3109" i="1" s="1"/>
  <c r="B3110" i="1"/>
  <c r="C3110" i="1" s="1"/>
  <c r="G3110" i="1" s="1"/>
  <c r="B3111" i="1"/>
  <c r="C3111" i="1" s="1"/>
  <c r="G3111" i="1" s="1"/>
  <c r="B3112" i="1"/>
  <c r="C3112" i="1" s="1"/>
  <c r="G3112" i="1" s="1"/>
  <c r="B3113" i="1"/>
  <c r="C3113" i="1" s="1"/>
  <c r="G3113" i="1" s="1"/>
  <c r="B3114" i="1"/>
  <c r="C3114" i="1" s="1"/>
  <c r="G3114" i="1" s="1"/>
  <c r="B3115" i="1"/>
  <c r="C3115" i="1" s="1"/>
  <c r="G3115" i="1" s="1"/>
  <c r="B3116" i="1"/>
  <c r="C3116" i="1" s="1"/>
  <c r="G3116" i="1" s="1"/>
  <c r="B3117" i="1"/>
  <c r="C3117" i="1" s="1"/>
  <c r="G3117" i="1" s="1"/>
  <c r="B3118" i="1"/>
  <c r="C3118" i="1" s="1"/>
  <c r="G3118" i="1" s="1"/>
  <c r="B3119" i="1"/>
  <c r="C3119" i="1" s="1"/>
  <c r="G3119" i="1" s="1"/>
  <c r="B3120" i="1"/>
  <c r="C3120" i="1" s="1"/>
  <c r="G3120" i="1" s="1"/>
  <c r="B3121" i="1"/>
  <c r="C3121" i="1" s="1"/>
  <c r="G3121" i="1" s="1"/>
  <c r="B3122" i="1"/>
  <c r="C3122" i="1" s="1"/>
  <c r="G3122" i="1" s="1"/>
  <c r="B3123" i="1"/>
  <c r="C3123" i="1" s="1"/>
  <c r="G3123" i="1" s="1"/>
  <c r="B3124" i="1"/>
  <c r="C3124" i="1" s="1"/>
  <c r="G3124" i="1" s="1"/>
  <c r="B3125" i="1"/>
  <c r="C3125" i="1" s="1"/>
  <c r="G3125" i="1" s="1"/>
  <c r="B3126" i="1"/>
  <c r="C3126" i="1" s="1"/>
  <c r="G3126" i="1" s="1"/>
  <c r="B3127" i="1"/>
  <c r="C3127" i="1" s="1"/>
  <c r="G3127" i="1" s="1"/>
  <c r="B3128" i="1"/>
  <c r="C3128" i="1" s="1"/>
  <c r="G3128" i="1" s="1"/>
  <c r="B3129" i="1"/>
  <c r="C3129" i="1" s="1"/>
  <c r="G3129" i="1" s="1"/>
  <c r="B3130" i="1"/>
  <c r="C3130" i="1" s="1"/>
  <c r="G3130" i="1" s="1"/>
  <c r="B3131" i="1"/>
  <c r="C3131" i="1" s="1"/>
  <c r="G3131" i="1" s="1"/>
  <c r="B3132" i="1"/>
  <c r="C3132" i="1" s="1"/>
  <c r="G3132" i="1" s="1"/>
  <c r="B3133" i="1"/>
  <c r="C3133" i="1" s="1"/>
  <c r="G3133" i="1" s="1"/>
  <c r="B3134" i="1"/>
  <c r="C3134" i="1" s="1"/>
  <c r="G3134" i="1" s="1"/>
  <c r="B3135" i="1"/>
  <c r="C3135" i="1" s="1"/>
  <c r="G3135" i="1" s="1"/>
  <c r="B3136" i="1"/>
  <c r="C3136" i="1" s="1"/>
  <c r="G3136" i="1" s="1"/>
  <c r="B3137" i="1"/>
  <c r="C3137" i="1" s="1"/>
  <c r="G3137" i="1" s="1"/>
  <c r="B3138" i="1"/>
  <c r="C3138" i="1" s="1"/>
  <c r="G3138" i="1" s="1"/>
  <c r="B3139" i="1"/>
  <c r="C3139" i="1" s="1"/>
  <c r="G3139" i="1" s="1"/>
  <c r="B3140" i="1"/>
  <c r="C3140" i="1" s="1"/>
  <c r="G3140" i="1" s="1"/>
  <c r="B3141" i="1"/>
  <c r="C3141" i="1" s="1"/>
  <c r="G3141" i="1" s="1"/>
  <c r="B3142" i="1"/>
  <c r="C3142" i="1" s="1"/>
  <c r="G3142" i="1" s="1"/>
  <c r="B3143" i="1"/>
  <c r="C3143" i="1" s="1"/>
  <c r="G3143" i="1" s="1"/>
  <c r="B3144" i="1"/>
  <c r="C3144" i="1" s="1"/>
  <c r="B3145" i="1"/>
  <c r="C3145" i="1" s="1"/>
  <c r="G3145" i="1" s="1"/>
  <c r="B3146" i="1"/>
  <c r="C3146" i="1" s="1"/>
  <c r="G3146" i="1" s="1"/>
  <c r="B3147" i="1"/>
  <c r="C3147" i="1" s="1"/>
  <c r="G3147" i="1" s="1"/>
  <c r="B3148" i="1"/>
  <c r="C3148" i="1" s="1"/>
  <c r="G3148" i="1" s="1"/>
  <c r="B3149" i="1"/>
  <c r="C3149" i="1" s="1"/>
  <c r="G3149" i="1" s="1"/>
  <c r="B3150" i="1"/>
  <c r="C3150" i="1" s="1"/>
  <c r="G3150" i="1" s="1"/>
  <c r="B3151" i="1"/>
  <c r="C3151" i="1" s="1"/>
  <c r="G3151" i="1" s="1"/>
  <c r="B3152" i="1"/>
  <c r="C3152" i="1" s="1"/>
  <c r="G3152" i="1" s="1"/>
  <c r="B3153" i="1"/>
  <c r="C3153" i="1" s="1"/>
  <c r="G3153" i="1" s="1"/>
  <c r="B3154" i="1"/>
  <c r="C3154" i="1" s="1"/>
  <c r="G3154" i="1" s="1"/>
  <c r="B3155" i="1"/>
  <c r="C3155" i="1" s="1"/>
  <c r="G3155" i="1" s="1"/>
  <c r="B3156" i="1"/>
  <c r="C3156" i="1" s="1"/>
  <c r="G3156" i="1" s="1"/>
  <c r="B3157" i="1"/>
  <c r="C3157" i="1" s="1"/>
  <c r="G3157" i="1" s="1"/>
  <c r="B3158" i="1"/>
  <c r="C3158" i="1" s="1"/>
  <c r="G3158" i="1" s="1"/>
  <c r="B3159" i="1"/>
  <c r="C3159" i="1" s="1"/>
  <c r="G3159" i="1" s="1"/>
  <c r="B3160" i="1"/>
  <c r="C3160" i="1" s="1"/>
  <c r="G3160" i="1" s="1"/>
  <c r="B3161" i="1"/>
  <c r="C3161" i="1" s="1"/>
  <c r="G3161" i="1" s="1"/>
  <c r="B3162" i="1"/>
  <c r="C3162" i="1" s="1"/>
  <c r="G3162" i="1" s="1"/>
  <c r="B3163" i="1"/>
  <c r="C3163" i="1" s="1"/>
  <c r="G3163" i="1" s="1"/>
  <c r="B3164" i="1"/>
  <c r="C3164" i="1" s="1"/>
  <c r="G3164" i="1" s="1"/>
  <c r="B3165" i="1"/>
  <c r="C3165" i="1" s="1"/>
  <c r="G3165" i="1" s="1"/>
  <c r="B3166" i="1"/>
  <c r="C3166" i="1" s="1"/>
  <c r="G3166" i="1" s="1"/>
  <c r="B3167" i="1"/>
  <c r="C3167" i="1" s="1"/>
  <c r="G3167" i="1" s="1"/>
  <c r="B3168" i="1"/>
  <c r="C3168" i="1" s="1"/>
  <c r="G3168" i="1" s="1"/>
  <c r="B3169" i="1"/>
  <c r="C3169" i="1" s="1"/>
  <c r="G3169" i="1" s="1"/>
  <c r="J3169" i="1" s="1"/>
  <c r="B3170" i="1"/>
  <c r="C3170" i="1" s="1"/>
  <c r="G3170" i="1" s="1"/>
  <c r="B3171" i="1"/>
  <c r="C3171" i="1" s="1"/>
  <c r="G3171" i="1" s="1"/>
  <c r="B3172" i="1"/>
  <c r="C3172" i="1" s="1"/>
  <c r="G3172" i="1" s="1"/>
  <c r="B3173" i="1"/>
  <c r="C3173" i="1" s="1"/>
  <c r="G3173" i="1" s="1"/>
  <c r="B3174" i="1"/>
  <c r="C3174" i="1" s="1"/>
  <c r="G3174" i="1" s="1"/>
  <c r="B3175" i="1"/>
  <c r="C3175" i="1" s="1"/>
  <c r="G3175" i="1" s="1"/>
  <c r="B3176" i="1"/>
  <c r="C3176" i="1" s="1"/>
  <c r="G3176" i="1" s="1"/>
  <c r="B3177" i="1"/>
  <c r="C3177" i="1" s="1"/>
  <c r="G3177" i="1" s="1"/>
  <c r="B3178" i="1"/>
  <c r="C3178" i="1" s="1"/>
  <c r="G3178" i="1" s="1"/>
  <c r="B3179" i="1"/>
  <c r="C3179" i="1" s="1"/>
  <c r="G3179" i="1" s="1"/>
  <c r="B3180" i="1"/>
  <c r="C3180" i="1" s="1"/>
  <c r="G3180" i="1" s="1"/>
  <c r="B3181" i="1"/>
  <c r="C3181" i="1" s="1"/>
  <c r="G3181" i="1" s="1"/>
  <c r="B3182" i="1"/>
  <c r="C3182" i="1" s="1"/>
  <c r="G3182" i="1" s="1"/>
  <c r="B3183" i="1"/>
  <c r="C3183" i="1" s="1"/>
  <c r="G3183" i="1" s="1"/>
  <c r="B3184" i="1"/>
  <c r="C3184" i="1" s="1"/>
  <c r="G3184" i="1" s="1"/>
  <c r="B3185" i="1"/>
  <c r="C3185" i="1" s="1"/>
  <c r="G3185" i="1" s="1"/>
  <c r="B3186" i="1"/>
  <c r="C3186" i="1" s="1"/>
  <c r="G3186" i="1" s="1"/>
  <c r="B3187" i="1"/>
  <c r="C3187" i="1" s="1"/>
  <c r="G3187" i="1" s="1"/>
  <c r="B3188" i="1"/>
  <c r="C3188" i="1" s="1"/>
  <c r="G3188" i="1" s="1"/>
  <c r="B3189" i="1"/>
  <c r="C3189" i="1" s="1"/>
  <c r="G3189" i="1" s="1"/>
  <c r="B3190" i="1"/>
  <c r="C3190" i="1" s="1"/>
  <c r="G3190" i="1" s="1"/>
  <c r="B3191" i="1"/>
  <c r="C3191" i="1" s="1"/>
  <c r="G3191" i="1" s="1"/>
  <c r="B3192" i="1"/>
  <c r="C3192" i="1" s="1"/>
  <c r="G3192" i="1" s="1"/>
  <c r="B3193" i="1"/>
  <c r="C3193" i="1" s="1"/>
  <c r="G3193" i="1" s="1"/>
  <c r="B3194" i="1"/>
  <c r="C3194" i="1" s="1"/>
  <c r="G3194" i="1" s="1"/>
  <c r="B3195" i="1"/>
  <c r="C3195" i="1" s="1"/>
  <c r="G3195" i="1" s="1"/>
  <c r="B3196" i="1"/>
  <c r="C3196" i="1" s="1"/>
  <c r="G3196" i="1" s="1"/>
  <c r="B3197" i="1"/>
  <c r="C3197" i="1" s="1"/>
  <c r="G3197" i="1" s="1"/>
  <c r="B3198" i="1"/>
  <c r="C3198" i="1" s="1"/>
  <c r="G3198" i="1" s="1"/>
  <c r="B3199" i="1"/>
  <c r="C3199" i="1" s="1"/>
  <c r="G3199" i="1" s="1"/>
  <c r="B3200" i="1"/>
  <c r="C3200" i="1" s="1"/>
  <c r="G3200" i="1" s="1"/>
  <c r="B3201" i="1"/>
  <c r="C3201" i="1" s="1"/>
  <c r="G3201" i="1" s="1"/>
  <c r="J3201" i="1" s="1"/>
  <c r="B3202" i="1"/>
  <c r="C3202" i="1" s="1"/>
  <c r="G3202" i="1" s="1"/>
  <c r="B3203" i="1"/>
  <c r="C3203" i="1" s="1"/>
  <c r="G3203" i="1" s="1"/>
  <c r="B3204" i="1"/>
  <c r="C3204" i="1" s="1"/>
  <c r="G3204" i="1" s="1"/>
  <c r="B3205" i="1"/>
  <c r="C3205" i="1" s="1"/>
  <c r="G3205" i="1" s="1"/>
  <c r="B3206" i="1"/>
  <c r="C3206" i="1" s="1"/>
  <c r="G3206" i="1" s="1"/>
  <c r="B3207" i="1"/>
  <c r="C3207" i="1" s="1"/>
  <c r="G3207" i="1" s="1"/>
  <c r="B3208" i="1"/>
  <c r="C3208" i="1" s="1"/>
  <c r="G3208" i="1" s="1"/>
  <c r="B3209" i="1"/>
  <c r="C3209" i="1" s="1"/>
  <c r="G3209" i="1" s="1"/>
  <c r="B3210" i="1"/>
  <c r="C3210" i="1" s="1"/>
  <c r="G3210" i="1" s="1"/>
  <c r="B3211" i="1"/>
  <c r="C3211" i="1" s="1"/>
  <c r="G3211" i="1" s="1"/>
  <c r="B3212" i="1"/>
  <c r="C3212" i="1" s="1"/>
  <c r="G3212" i="1" s="1"/>
  <c r="B3213" i="1"/>
  <c r="C3213" i="1" s="1"/>
  <c r="G3213" i="1" s="1"/>
  <c r="B3214" i="1"/>
  <c r="C3214" i="1" s="1"/>
  <c r="G3214" i="1" s="1"/>
  <c r="B3215" i="1"/>
  <c r="C3215" i="1" s="1"/>
  <c r="G3215" i="1" s="1"/>
  <c r="B3216" i="1"/>
  <c r="C3216" i="1" s="1"/>
  <c r="G3216" i="1" s="1"/>
  <c r="B3217" i="1"/>
  <c r="C3217" i="1" s="1"/>
  <c r="G3217" i="1" s="1"/>
  <c r="B3218" i="1"/>
  <c r="C3218" i="1" s="1"/>
  <c r="G3218" i="1" s="1"/>
  <c r="B3219" i="1"/>
  <c r="C3219" i="1" s="1"/>
  <c r="G3219" i="1" s="1"/>
  <c r="B3220" i="1"/>
  <c r="C3220" i="1" s="1"/>
  <c r="G3220" i="1" s="1"/>
  <c r="B3221" i="1"/>
  <c r="C3221" i="1" s="1"/>
  <c r="G3221" i="1" s="1"/>
  <c r="B3222" i="1"/>
  <c r="C3222" i="1" s="1"/>
  <c r="G3222" i="1" s="1"/>
  <c r="B3223" i="1"/>
  <c r="C3223" i="1" s="1"/>
  <c r="G3223" i="1" s="1"/>
  <c r="B3224" i="1"/>
  <c r="C3224" i="1" s="1"/>
  <c r="G3224" i="1" s="1"/>
  <c r="B3225" i="1"/>
  <c r="C3225" i="1" s="1"/>
  <c r="G3225" i="1" s="1"/>
  <c r="B3226" i="1"/>
  <c r="C3226" i="1" s="1"/>
  <c r="G3226" i="1" s="1"/>
  <c r="B3227" i="1"/>
  <c r="C3227" i="1" s="1"/>
  <c r="G3227" i="1" s="1"/>
  <c r="B3228" i="1"/>
  <c r="C3228" i="1" s="1"/>
  <c r="G3228" i="1" s="1"/>
  <c r="B3229" i="1"/>
  <c r="C3229" i="1" s="1"/>
  <c r="G3229" i="1" s="1"/>
  <c r="B3230" i="1"/>
  <c r="C3230" i="1" s="1"/>
  <c r="B3231" i="1"/>
  <c r="C3231" i="1" s="1"/>
  <c r="G3231" i="1" s="1"/>
  <c r="B3232" i="1"/>
  <c r="C3232" i="1" s="1"/>
  <c r="G3232" i="1" s="1"/>
  <c r="B3233" i="1"/>
  <c r="C3233" i="1" s="1"/>
  <c r="G3233" i="1" s="1"/>
  <c r="J3233" i="1" s="1"/>
  <c r="B3234" i="1"/>
  <c r="C3234" i="1" s="1"/>
  <c r="G3234" i="1" s="1"/>
  <c r="B3235" i="1"/>
  <c r="C3235" i="1" s="1"/>
  <c r="G3235" i="1" s="1"/>
  <c r="B3236" i="1"/>
  <c r="C3236" i="1" s="1"/>
  <c r="G3236" i="1" s="1"/>
  <c r="B3237" i="1"/>
  <c r="C3237" i="1" s="1"/>
  <c r="G3237" i="1" s="1"/>
  <c r="B3238" i="1"/>
  <c r="C3238" i="1" s="1"/>
  <c r="G3238" i="1" s="1"/>
  <c r="B3239" i="1"/>
  <c r="C3239" i="1" s="1"/>
  <c r="G3239" i="1" s="1"/>
  <c r="B3240" i="1"/>
  <c r="C3240" i="1" s="1"/>
  <c r="G3240" i="1" s="1"/>
  <c r="B3241" i="1"/>
  <c r="C3241" i="1" s="1"/>
  <c r="G3241" i="1" s="1"/>
  <c r="B3242" i="1"/>
  <c r="C3242" i="1" s="1"/>
  <c r="G3242" i="1" s="1"/>
  <c r="B3243" i="1"/>
  <c r="C3243" i="1" s="1"/>
  <c r="G3243" i="1" s="1"/>
  <c r="B3244" i="1"/>
  <c r="C3244" i="1" s="1"/>
  <c r="G3244" i="1" s="1"/>
  <c r="B3245" i="1"/>
  <c r="C3245" i="1" s="1"/>
  <c r="G3245" i="1" s="1"/>
  <c r="B3246" i="1"/>
  <c r="C3246" i="1" s="1"/>
  <c r="G3246" i="1" s="1"/>
  <c r="B3247" i="1"/>
  <c r="C3247" i="1" s="1"/>
  <c r="G3247" i="1" s="1"/>
  <c r="B3248" i="1"/>
  <c r="C3248" i="1" s="1"/>
  <c r="G3248" i="1" s="1"/>
  <c r="B3249" i="1"/>
  <c r="C3249" i="1" s="1"/>
  <c r="G3249" i="1" s="1"/>
  <c r="B3250" i="1"/>
  <c r="C3250" i="1" s="1"/>
  <c r="G3250" i="1" s="1"/>
  <c r="B3251" i="1"/>
  <c r="C3251" i="1" s="1"/>
  <c r="G3251" i="1" s="1"/>
  <c r="B3252" i="1"/>
  <c r="C3252" i="1" s="1"/>
  <c r="G3252" i="1" s="1"/>
  <c r="B3253" i="1"/>
  <c r="C3253" i="1" s="1"/>
  <c r="G3253" i="1" s="1"/>
  <c r="B3254" i="1"/>
  <c r="C3254" i="1" s="1"/>
  <c r="G3254" i="1" s="1"/>
  <c r="B3255" i="1"/>
  <c r="C3255" i="1" s="1"/>
  <c r="G3255" i="1" s="1"/>
  <c r="B3256" i="1"/>
  <c r="C3256" i="1" s="1"/>
  <c r="G3256" i="1" s="1"/>
  <c r="B3257" i="1"/>
  <c r="C3257" i="1" s="1"/>
  <c r="G3257" i="1" s="1"/>
  <c r="B3258" i="1"/>
  <c r="C3258" i="1" s="1"/>
  <c r="G3258" i="1" s="1"/>
  <c r="B3259" i="1"/>
  <c r="C3259" i="1" s="1"/>
  <c r="G3259" i="1" s="1"/>
  <c r="B3260" i="1"/>
  <c r="C3260" i="1" s="1"/>
  <c r="G3260" i="1" s="1"/>
  <c r="B3261" i="1"/>
  <c r="C3261" i="1" s="1"/>
  <c r="G3261" i="1" s="1"/>
  <c r="B3262" i="1"/>
  <c r="C3262" i="1" s="1"/>
  <c r="G3262" i="1" s="1"/>
  <c r="B3263" i="1"/>
  <c r="C3263" i="1" s="1"/>
  <c r="G3263" i="1" s="1"/>
  <c r="B3264" i="1"/>
  <c r="C3264" i="1" s="1"/>
  <c r="G3264" i="1" s="1"/>
  <c r="B3265" i="1"/>
  <c r="C3265" i="1" s="1"/>
  <c r="G3265" i="1" s="1"/>
  <c r="J3265" i="1" s="1"/>
  <c r="B3266" i="1"/>
  <c r="C3266" i="1" s="1"/>
  <c r="G3266" i="1" s="1"/>
  <c r="B3267" i="1"/>
  <c r="C3267" i="1" s="1"/>
  <c r="G3267" i="1" s="1"/>
  <c r="B3268" i="1"/>
  <c r="C3268" i="1" s="1"/>
  <c r="G3268" i="1" s="1"/>
  <c r="B3269" i="1"/>
  <c r="C3269" i="1" s="1"/>
  <c r="G3269" i="1" s="1"/>
  <c r="B3270" i="1"/>
  <c r="C3270" i="1" s="1"/>
  <c r="G3270" i="1" s="1"/>
  <c r="B3271" i="1"/>
  <c r="C3271" i="1" s="1"/>
  <c r="G3271" i="1" s="1"/>
  <c r="B3272" i="1"/>
  <c r="C3272" i="1" s="1"/>
  <c r="G3272" i="1" s="1"/>
  <c r="B3273" i="1"/>
  <c r="C3273" i="1" s="1"/>
  <c r="G3273" i="1" s="1"/>
  <c r="B3274" i="1"/>
  <c r="C3274" i="1" s="1"/>
  <c r="G3274" i="1" s="1"/>
  <c r="B3275" i="1"/>
  <c r="C3275" i="1" s="1"/>
  <c r="G3275" i="1" s="1"/>
  <c r="B3276" i="1"/>
  <c r="C3276" i="1" s="1"/>
  <c r="G3276" i="1" s="1"/>
  <c r="B3277" i="1"/>
  <c r="C3277" i="1" s="1"/>
  <c r="G3277" i="1" s="1"/>
  <c r="B3278" i="1"/>
  <c r="C3278" i="1" s="1"/>
  <c r="G3278" i="1" s="1"/>
  <c r="B3279" i="1"/>
  <c r="C3279" i="1" s="1"/>
  <c r="G3279" i="1" s="1"/>
  <c r="B3280" i="1"/>
  <c r="C3280" i="1" s="1"/>
  <c r="G3280" i="1" s="1"/>
  <c r="B3281" i="1"/>
  <c r="C3281" i="1" s="1"/>
  <c r="G3281" i="1" s="1"/>
  <c r="B3282" i="1"/>
  <c r="C3282" i="1" s="1"/>
  <c r="G3282" i="1" s="1"/>
  <c r="B3283" i="1"/>
  <c r="C3283" i="1" s="1"/>
  <c r="G3283" i="1" s="1"/>
  <c r="B3284" i="1"/>
  <c r="C3284" i="1" s="1"/>
  <c r="G3284" i="1" s="1"/>
  <c r="B3285" i="1"/>
  <c r="C3285" i="1" s="1"/>
  <c r="G3285" i="1" s="1"/>
  <c r="B3286" i="1"/>
  <c r="C3286" i="1" s="1"/>
  <c r="G3286" i="1" s="1"/>
  <c r="B3287" i="1"/>
  <c r="C3287" i="1" s="1"/>
  <c r="G3287" i="1" s="1"/>
  <c r="B3288" i="1"/>
  <c r="C3288" i="1" s="1"/>
  <c r="G3288" i="1" s="1"/>
  <c r="B3289" i="1"/>
  <c r="C3289" i="1" s="1"/>
  <c r="G3289" i="1" s="1"/>
  <c r="B3290" i="1"/>
  <c r="C3290" i="1" s="1"/>
  <c r="G3290" i="1" s="1"/>
  <c r="B3291" i="1"/>
  <c r="C3291" i="1" s="1"/>
  <c r="G3291" i="1" s="1"/>
  <c r="B3292" i="1"/>
  <c r="C3292" i="1" s="1"/>
  <c r="G3292" i="1" s="1"/>
  <c r="B3293" i="1"/>
  <c r="C3293" i="1" s="1"/>
  <c r="G3293" i="1" s="1"/>
  <c r="B3294" i="1"/>
  <c r="C3294" i="1" s="1"/>
  <c r="G3294" i="1" s="1"/>
  <c r="B3295" i="1"/>
  <c r="C3295" i="1" s="1"/>
  <c r="G3295" i="1" s="1"/>
  <c r="B3296" i="1"/>
  <c r="C3296" i="1" s="1"/>
  <c r="B3297" i="1"/>
  <c r="C3297" i="1" s="1"/>
  <c r="G3297" i="1" s="1"/>
  <c r="J3297" i="1" s="1"/>
  <c r="B3298" i="1"/>
  <c r="C3298" i="1" s="1"/>
  <c r="G3298" i="1" s="1"/>
  <c r="B3299" i="1"/>
  <c r="C3299" i="1" s="1"/>
  <c r="G3299" i="1" s="1"/>
  <c r="B3300" i="1"/>
  <c r="C3300" i="1" s="1"/>
  <c r="G3300" i="1" s="1"/>
  <c r="B3301" i="1"/>
  <c r="C3301" i="1" s="1"/>
  <c r="G3301" i="1" s="1"/>
  <c r="B3302" i="1"/>
  <c r="C3302" i="1" s="1"/>
  <c r="G3302" i="1" s="1"/>
  <c r="B3303" i="1"/>
  <c r="C3303" i="1" s="1"/>
  <c r="G3303" i="1" s="1"/>
  <c r="B3304" i="1"/>
  <c r="C3304" i="1" s="1"/>
  <c r="G3304" i="1" s="1"/>
  <c r="B3305" i="1"/>
  <c r="C3305" i="1" s="1"/>
  <c r="G3305" i="1" s="1"/>
  <c r="B3306" i="1"/>
  <c r="C3306" i="1" s="1"/>
  <c r="G3306" i="1" s="1"/>
  <c r="B3307" i="1"/>
  <c r="C3307" i="1" s="1"/>
  <c r="G3307" i="1" s="1"/>
  <c r="B3308" i="1"/>
  <c r="C3308" i="1" s="1"/>
  <c r="G3308" i="1" s="1"/>
  <c r="B3309" i="1"/>
  <c r="C3309" i="1" s="1"/>
  <c r="G3309" i="1" s="1"/>
  <c r="B3310" i="1"/>
  <c r="C3310" i="1" s="1"/>
  <c r="G3310" i="1" s="1"/>
  <c r="B3311" i="1"/>
  <c r="C3311" i="1" s="1"/>
  <c r="G3311" i="1" s="1"/>
  <c r="B3312" i="1"/>
  <c r="C3312" i="1" s="1"/>
  <c r="G3312" i="1" s="1"/>
  <c r="B3313" i="1"/>
  <c r="C3313" i="1" s="1"/>
  <c r="G3313" i="1" s="1"/>
  <c r="B3314" i="1"/>
  <c r="C3314" i="1" s="1"/>
  <c r="G3314" i="1" s="1"/>
  <c r="B3315" i="1"/>
  <c r="C3315" i="1" s="1"/>
  <c r="G3315" i="1" s="1"/>
  <c r="B3316" i="1"/>
  <c r="C3316" i="1" s="1"/>
  <c r="G3316" i="1" s="1"/>
  <c r="B3317" i="1"/>
  <c r="C3317" i="1" s="1"/>
  <c r="G3317" i="1" s="1"/>
  <c r="B3318" i="1"/>
  <c r="C3318" i="1" s="1"/>
  <c r="G3318" i="1" s="1"/>
  <c r="B3319" i="1"/>
  <c r="C3319" i="1" s="1"/>
  <c r="G3319" i="1" s="1"/>
  <c r="B3320" i="1"/>
  <c r="C3320" i="1" s="1"/>
  <c r="G3320" i="1" s="1"/>
  <c r="B3321" i="1"/>
  <c r="C3321" i="1" s="1"/>
  <c r="G3321" i="1" s="1"/>
  <c r="B3322" i="1"/>
  <c r="C3322" i="1" s="1"/>
  <c r="G3322" i="1" s="1"/>
  <c r="B3323" i="1"/>
  <c r="C3323" i="1" s="1"/>
  <c r="G3323" i="1" s="1"/>
  <c r="B3324" i="1"/>
  <c r="C3324" i="1" s="1"/>
  <c r="G3324" i="1" s="1"/>
  <c r="B3325" i="1"/>
  <c r="C3325" i="1" s="1"/>
  <c r="G3325" i="1" s="1"/>
  <c r="B3326" i="1"/>
  <c r="C3326" i="1" s="1"/>
  <c r="G3326" i="1" s="1"/>
  <c r="B3327" i="1"/>
  <c r="C3327" i="1" s="1"/>
  <c r="G3327" i="1" s="1"/>
  <c r="B3328" i="1"/>
  <c r="C3328" i="1" s="1"/>
  <c r="G3328" i="1" s="1"/>
  <c r="B3329" i="1"/>
  <c r="C3329" i="1" s="1"/>
  <c r="G3329" i="1" s="1"/>
  <c r="J3329" i="1" s="1"/>
  <c r="B3330" i="1"/>
  <c r="C3330" i="1" s="1"/>
  <c r="G3330" i="1" s="1"/>
  <c r="B3331" i="1"/>
  <c r="C3331" i="1" s="1"/>
  <c r="G3331" i="1" s="1"/>
  <c r="B3332" i="1"/>
  <c r="C3332" i="1" s="1"/>
  <c r="G3332" i="1" s="1"/>
  <c r="B3333" i="1"/>
  <c r="C3333" i="1" s="1"/>
  <c r="G3333" i="1" s="1"/>
  <c r="B3334" i="1"/>
  <c r="C3334" i="1" s="1"/>
  <c r="G3334" i="1" s="1"/>
  <c r="B3335" i="1"/>
  <c r="C3335" i="1" s="1"/>
  <c r="G3335" i="1" s="1"/>
  <c r="B3336" i="1"/>
  <c r="C3336" i="1" s="1"/>
  <c r="G3336" i="1" s="1"/>
  <c r="B3337" i="1"/>
  <c r="C3337" i="1" s="1"/>
  <c r="G3337" i="1" s="1"/>
  <c r="B3338" i="1"/>
  <c r="C3338" i="1" s="1"/>
  <c r="G3338" i="1" s="1"/>
  <c r="B3339" i="1"/>
  <c r="C3339" i="1" s="1"/>
  <c r="G3339" i="1" s="1"/>
  <c r="B3340" i="1"/>
  <c r="C3340" i="1" s="1"/>
  <c r="G3340" i="1" s="1"/>
  <c r="B3341" i="1"/>
  <c r="C3341" i="1" s="1"/>
  <c r="G3341" i="1" s="1"/>
  <c r="B3342" i="1"/>
  <c r="C3342" i="1" s="1"/>
  <c r="G3342" i="1" s="1"/>
  <c r="B3343" i="1"/>
  <c r="C3343" i="1" s="1"/>
  <c r="G3343" i="1" s="1"/>
  <c r="B3344" i="1"/>
  <c r="C3344" i="1" s="1"/>
  <c r="G3344" i="1" s="1"/>
  <c r="B3345" i="1"/>
  <c r="C3345" i="1" s="1"/>
  <c r="G3345" i="1" s="1"/>
  <c r="B3346" i="1"/>
  <c r="C3346" i="1" s="1"/>
  <c r="G3346" i="1" s="1"/>
  <c r="B3347" i="1"/>
  <c r="C3347" i="1" s="1"/>
  <c r="G3347" i="1" s="1"/>
  <c r="B3348" i="1"/>
  <c r="C3348" i="1" s="1"/>
  <c r="G3348" i="1" s="1"/>
  <c r="B3349" i="1"/>
  <c r="C3349" i="1" s="1"/>
  <c r="G3349" i="1" s="1"/>
  <c r="B3350" i="1"/>
  <c r="C3350" i="1" s="1"/>
  <c r="G3350" i="1" s="1"/>
  <c r="B3351" i="1"/>
  <c r="C3351" i="1" s="1"/>
  <c r="G3351" i="1" s="1"/>
  <c r="B3352" i="1"/>
  <c r="C3352" i="1" s="1"/>
  <c r="G3352" i="1" s="1"/>
  <c r="B3353" i="1"/>
  <c r="C3353" i="1" s="1"/>
  <c r="G3353" i="1" s="1"/>
  <c r="B3354" i="1"/>
  <c r="C3354" i="1" s="1"/>
  <c r="G3354" i="1" s="1"/>
  <c r="B3355" i="1"/>
  <c r="C3355" i="1" s="1"/>
  <c r="G3355" i="1" s="1"/>
  <c r="B3356" i="1"/>
  <c r="C3356" i="1" s="1"/>
  <c r="G3356" i="1" s="1"/>
  <c r="B3357" i="1"/>
  <c r="C3357" i="1" s="1"/>
  <c r="G3357" i="1" s="1"/>
  <c r="B3358" i="1"/>
  <c r="C3358" i="1" s="1"/>
  <c r="G3358" i="1" s="1"/>
  <c r="B3359" i="1"/>
  <c r="C3359" i="1" s="1"/>
  <c r="G3359" i="1" s="1"/>
  <c r="B3360" i="1"/>
  <c r="C3360" i="1" s="1"/>
  <c r="B3361" i="1"/>
  <c r="C3361" i="1" s="1"/>
  <c r="G3361" i="1" s="1"/>
  <c r="J3361" i="1" s="1"/>
  <c r="B3362" i="1"/>
  <c r="C3362" i="1" s="1"/>
  <c r="G3362" i="1" s="1"/>
  <c r="B3363" i="1"/>
  <c r="C3363" i="1" s="1"/>
  <c r="G3363" i="1" s="1"/>
  <c r="B3364" i="1"/>
  <c r="C3364" i="1" s="1"/>
  <c r="G3364" i="1" s="1"/>
  <c r="B3365" i="1"/>
  <c r="C3365" i="1" s="1"/>
  <c r="G3365" i="1" s="1"/>
  <c r="B3366" i="1"/>
  <c r="C3366" i="1" s="1"/>
  <c r="G3366" i="1" s="1"/>
  <c r="B3367" i="1"/>
  <c r="C3367" i="1" s="1"/>
  <c r="G3367" i="1" s="1"/>
  <c r="B3368" i="1"/>
  <c r="C3368" i="1" s="1"/>
  <c r="G3368" i="1" s="1"/>
  <c r="B3369" i="1"/>
  <c r="C3369" i="1" s="1"/>
  <c r="G3369" i="1" s="1"/>
  <c r="B3370" i="1"/>
  <c r="C3370" i="1" s="1"/>
  <c r="G3370" i="1" s="1"/>
  <c r="B3371" i="1"/>
  <c r="C3371" i="1" s="1"/>
  <c r="G3371" i="1" s="1"/>
  <c r="B3372" i="1"/>
  <c r="C3372" i="1" s="1"/>
  <c r="G3372" i="1" s="1"/>
  <c r="B3373" i="1"/>
  <c r="C3373" i="1" s="1"/>
  <c r="G3373" i="1" s="1"/>
  <c r="B3374" i="1"/>
  <c r="C3374" i="1" s="1"/>
  <c r="G3374" i="1" s="1"/>
  <c r="B3375" i="1"/>
  <c r="C3375" i="1" s="1"/>
  <c r="G3375" i="1" s="1"/>
  <c r="B3376" i="1"/>
  <c r="C3376" i="1" s="1"/>
  <c r="G3376" i="1" s="1"/>
  <c r="B3377" i="1"/>
  <c r="C3377" i="1" s="1"/>
  <c r="G3377" i="1" s="1"/>
  <c r="B3378" i="1"/>
  <c r="C3378" i="1" s="1"/>
  <c r="G3378" i="1" s="1"/>
  <c r="B3379" i="1"/>
  <c r="C3379" i="1" s="1"/>
  <c r="G3379" i="1" s="1"/>
  <c r="B3380" i="1"/>
  <c r="C3380" i="1" s="1"/>
  <c r="G3380" i="1" s="1"/>
  <c r="B3381" i="1"/>
  <c r="C3381" i="1" s="1"/>
  <c r="G3381" i="1" s="1"/>
  <c r="B3382" i="1"/>
  <c r="C3382" i="1" s="1"/>
  <c r="G3382" i="1" s="1"/>
  <c r="B3383" i="1"/>
  <c r="C3383" i="1" s="1"/>
  <c r="G3383" i="1" s="1"/>
  <c r="B3384" i="1"/>
  <c r="C3384" i="1" s="1"/>
  <c r="G3384" i="1" s="1"/>
  <c r="B3385" i="1"/>
  <c r="C3385" i="1" s="1"/>
  <c r="G3385" i="1" s="1"/>
  <c r="B3386" i="1"/>
  <c r="C3386" i="1" s="1"/>
  <c r="G3386" i="1" s="1"/>
  <c r="B3387" i="1"/>
  <c r="C3387" i="1" s="1"/>
  <c r="G3387" i="1" s="1"/>
  <c r="B3388" i="1"/>
  <c r="C3388" i="1" s="1"/>
  <c r="G3388" i="1" s="1"/>
  <c r="B3389" i="1"/>
  <c r="C3389" i="1" s="1"/>
  <c r="G3389" i="1" s="1"/>
  <c r="B3390" i="1"/>
  <c r="C3390" i="1" s="1"/>
  <c r="G3390" i="1" s="1"/>
  <c r="B3391" i="1"/>
  <c r="C3391" i="1" s="1"/>
  <c r="G3391" i="1" s="1"/>
  <c r="B3392" i="1"/>
  <c r="C3392" i="1" s="1"/>
  <c r="G3392" i="1" s="1"/>
  <c r="B3393" i="1"/>
  <c r="C3393" i="1" s="1"/>
  <c r="G3393" i="1" s="1"/>
  <c r="J3393" i="1" s="1"/>
  <c r="B3394" i="1"/>
  <c r="C3394" i="1" s="1"/>
  <c r="G3394" i="1" s="1"/>
  <c r="B3395" i="1"/>
  <c r="C3395" i="1" s="1"/>
  <c r="G3395" i="1" s="1"/>
  <c r="B3396" i="1"/>
  <c r="C3396" i="1" s="1"/>
  <c r="G3396" i="1" s="1"/>
  <c r="B3397" i="1"/>
  <c r="C3397" i="1" s="1"/>
  <c r="G3397" i="1" s="1"/>
  <c r="B3398" i="1"/>
  <c r="C3398" i="1" s="1"/>
  <c r="G3398" i="1" s="1"/>
  <c r="B3399" i="1"/>
  <c r="C3399" i="1" s="1"/>
  <c r="G3399" i="1" s="1"/>
  <c r="B3400" i="1"/>
  <c r="C3400" i="1" s="1"/>
  <c r="G3400" i="1" s="1"/>
  <c r="B3401" i="1"/>
  <c r="C3401" i="1" s="1"/>
  <c r="G3401" i="1" s="1"/>
  <c r="B3402" i="1"/>
  <c r="C3402" i="1" s="1"/>
  <c r="G3402" i="1" s="1"/>
  <c r="B3403" i="1"/>
  <c r="C3403" i="1" s="1"/>
  <c r="G3403" i="1" s="1"/>
  <c r="B3404" i="1"/>
  <c r="C3404" i="1" s="1"/>
  <c r="G3404" i="1" s="1"/>
  <c r="B3405" i="1"/>
  <c r="C3405" i="1" s="1"/>
  <c r="G3405" i="1" s="1"/>
  <c r="B3406" i="1"/>
  <c r="C3406" i="1" s="1"/>
  <c r="G3406" i="1" s="1"/>
  <c r="B3407" i="1"/>
  <c r="C3407" i="1" s="1"/>
  <c r="G3407" i="1" s="1"/>
  <c r="B3408" i="1"/>
  <c r="C3408" i="1" s="1"/>
  <c r="G3408" i="1" s="1"/>
  <c r="B3409" i="1"/>
  <c r="C3409" i="1" s="1"/>
  <c r="G3409" i="1" s="1"/>
  <c r="B3410" i="1"/>
  <c r="C3410" i="1" s="1"/>
  <c r="G3410" i="1" s="1"/>
  <c r="B3411" i="1"/>
  <c r="C3411" i="1" s="1"/>
  <c r="G3411" i="1" s="1"/>
  <c r="B3412" i="1"/>
  <c r="C3412" i="1" s="1"/>
  <c r="G3412" i="1" s="1"/>
  <c r="B3413" i="1"/>
  <c r="C3413" i="1" s="1"/>
  <c r="G3413" i="1" s="1"/>
  <c r="B3414" i="1"/>
  <c r="C3414" i="1" s="1"/>
  <c r="G3414" i="1" s="1"/>
  <c r="B3415" i="1"/>
  <c r="C3415" i="1" s="1"/>
  <c r="G3415" i="1" s="1"/>
  <c r="B3416" i="1"/>
  <c r="C3416" i="1" s="1"/>
  <c r="G3416" i="1" s="1"/>
  <c r="B3417" i="1"/>
  <c r="C3417" i="1" s="1"/>
  <c r="G3417" i="1" s="1"/>
  <c r="B3418" i="1"/>
  <c r="C3418" i="1" s="1"/>
  <c r="G3418" i="1" s="1"/>
  <c r="B3419" i="1"/>
  <c r="C3419" i="1" s="1"/>
  <c r="G3419" i="1" s="1"/>
  <c r="B3420" i="1"/>
  <c r="C3420" i="1" s="1"/>
  <c r="G3420" i="1" s="1"/>
  <c r="B3421" i="1"/>
  <c r="C3421" i="1" s="1"/>
  <c r="G3421" i="1" s="1"/>
  <c r="B3422" i="1"/>
  <c r="C3422" i="1" s="1"/>
  <c r="G3422" i="1" s="1"/>
  <c r="B3423" i="1"/>
  <c r="C3423" i="1" s="1"/>
  <c r="G3423" i="1" s="1"/>
  <c r="B3424" i="1"/>
  <c r="C3424" i="1" s="1"/>
  <c r="B3425" i="1"/>
  <c r="C3425" i="1" s="1"/>
  <c r="G3425" i="1" s="1"/>
  <c r="J3425" i="1" s="1"/>
  <c r="B3426" i="1"/>
  <c r="C3426" i="1" s="1"/>
  <c r="G3426" i="1" s="1"/>
  <c r="B3427" i="1"/>
  <c r="C3427" i="1" s="1"/>
  <c r="G3427" i="1" s="1"/>
  <c r="B3428" i="1"/>
  <c r="C3428" i="1" s="1"/>
  <c r="G3428" i="1" s="1"/>
  <c r="B3429" i="1"/>
  <c r="C3429" i="1" s="1"/>
  <c r="G3429" i="1" s="1"/>
  <c r="B3430" i="1"/>
  <c r="C3430" i="1" s="1"/>
  <c r="G3430" i="1" s="1"/>
  <c r="B3431" i="1"/>
  <c r="C3431" i="1" s="1"/>
  <c r="G3431" i="1" s="1"/>
  <c r="B3432" i="1"/>
  <c r="C3432" i="1" s="1"/>
  <c r="G3432" i="1" s="1"/>
  <c r="B3433" i="1"/>
  <c r="C3433" i="1" s="1"/>
  <c r="G3433" i="1" s="1"/>
  <c r="B3434" i="1"/>
  <c r="C3434" i="1" s="1"/>
  <c r="G3434" i="1" s="1"/>
  <c r="B3435" i="1"/>
  <c r="C3435" i="1" s="1"/>
  <c r="G3435" i="1" s="1"/>
  <c r="B3436" i="1"/>
  <c r="C3436" i="1" s="1"/>
  <c r="G3436" i="1" s="1"/>
  <c r="B3437" i="1"/>
  <c r="C3437" i="1" s="1"/>
  <c r="G3437" i="1" s="1"/>
  <c r="B3438" i="1"/>
  <c r="C3438" i="1" s="1"/>
  <c r="G3438" i="1" s="1"/>
  <c r="B3439" i="1"/>
  <c r="C3439" i="1" s="1"/>
  <c r="G3439" i="1" s="1"/>
  <c r="B3440" i="1"/>
  <c r="C3440" i="1" s="1"/>
  <c r="G3440" i="1" s="1"/>
  <c r="B3441" i="1"/>
  <c r="C3441" i="1" s="1"/>
  <c r="G3441" i="1" s="1"/>
  <c r="B3442" i="1"/>
  <c r="C3442" i="1" s="1"/>
  <c r="G3442" i="1" s="1"/>
  <c r="B3443" i="1"/>
  <c r="C3443" i="1" s="1"/>
  <c r="G3443" i="1" s="1"/>
  <c r="B3444" i="1"/>
  <c r="C3444" i="1" s="1"/>
  <c r="G3444" i="1" s="1"/>
  <c r="B3445" i="1"/>
  <c r="C3445" i="1" s="1"/>
  <c r="G3445" i="1" s="1"/>
  <c r="B3446" i="1"/>
  <c r="C3446" i="1" s="1"/>
  <c r="G3446" i="1" s="1"/>
  <c r="B3447" i="1"/>
  <c r="C3447" i="1" s="1"/>
  <c r="G3447" i="1" s="1"/>
  <c r="B3448" i="1"/>
  <c r="C3448" i="1" s="1"/>
  <c r="G3448" i="1" s="1"/>
  <c r="B3449" i="1"/>
  <c r="C3449" i="1" s="1"/>
  <c r="G3449" i="1" s="1"/>
  <c r="B3450" i="1"/>
  <c r="C3450" i="1" s="1"/>
  <c r="G3450" i="1" s="1"/>
  <c r="B3451" i="1"/>
  <c r="C3451" i="1" s="1"/>
  <c r="G3451" i="1" s="1"/>
  <c r="B3452" i="1"/>
  <c r="C3452" i="1" s="1"/>
  <c r="G3452" i="1" s="1"/>
  <c r="B3453" i="1"/>
  <c r="C3453" i="1" s="1"/>
  <c r="G3453" i="1" s="1"/>
  <c r="B3454" i="1"/>
  <c r="C3454" i="1" s="1"/>
  <c r="G3454" i="1" s="1"/>
  <c r="B3455" i="1"/>
  <c r="C3455" i="1" s="1"/>
  <c r="G3455" i="1" s="1"/>
  <c r="B3456" i="1"/>
  <c r="C3456" i="1" s="1"/>
  <c r="G3456" i="1" s="1"/>
  <c r="B3457" i="1"/>
  <c r="C3457" i="1" s="1"/>
  <c r="G3457" i="1" s="1"/>
  <c r="J3457" i="1" s="1"/>
  <c r="B3458" i="1"/>
  <c r="C3458" i="1" s="1"/>
  <c r="G3458" i="1" s="1"/>
  <c r="B3459" i="1"/>
  <c r="C3459" i="1" s="1"/>
  <c r="G3459" i="1" s="1"/>
  <c r="B3460" i="1"/>
  <c r="C3460" i="1" s="1"/>
  <c r="G3460" i="1" s="1"/>
  <c r="B3461" i="1"/>
  <c r="C3461" i="1" s="1"/>
  <c r="G3461" i="1" s="1"/>
  <c r="B3462" i="1"/>
  <c r="C3462" i="1" s="1"/>
  <c r="G3462" i="1" s="1"/>
  <c r="B3463" i="1"/>
  <c r="C3463" i="1" s="1"/>
  <c r="G3463" i="1" s="1"/>
  <c r="B3464" i="1"/>
  <c r="C3464" i="1" s="1"/>
  <c r="G3464" i="1" s="1"/>
  <c r="B3465" i="1"/>
  <c r="C3465" i="1" s="1"/>
  <c r="G3465" i="1" s="1"/>
  <c r="B3466" i="1"/>
  <c r="C3466" i="1" s="1"/>
  <c r="G3466" i="1" s="1"/>
  <c r="B3467" i="1"/>
  <c r="C3467" i="1" s="1"/>
  <c r="G3467" i="1" s="1"/>
  <c r="B3468" i="1"/>
  <c r="C3468" i="1" s="1"/>
  <c r="G3468" i="1" s="1"/>
  <c r="B3469" i="1"/>
  <c r="C3469" i="1" s="1"/>
  <c r="G3469" i="1" s="1"/>
  <c r="B3470" i="1"/>
  <c r="C3470" i="1" s="1"/>
  <c r="G3470" i="1" s="1"/>
  <c r="B3471" i="1"/>
  <c r="C3471" i="1" s="1"/>
  <c r="G3471" i="1" s="1"/>
  <c r="B3472" i="1"/>
  <c r="C3472" i="1" s="1"/>
  <c r="G3472" i="1" s="1"/>
  <c r="B3473" i="1"/>
  <c r="C3473" i="1" s="1"/>
  <c r="G3473" i="1" s="1"/>
  <c r="B3474" i="1"/>
  <c r="C3474" i="1" s="1"/>
  <c r="G3474" i="1" s="1"/>
  <c r="B3475" i="1"/>
  <c r="C3475" i="1" s="1"/>
  <c r="G3475" i="1" s="1"/>
  <c r="B3476" i="1"/>
  <c r="C3476" i="1" s="1"/>
  <c r="G3476" i="1" s="1"/>
  <c r="B3477" i="1"/>
  <c r="C3477" i="1" s="1"/>
  <c r="G3477" i="1" s="1"/>
  <c r="B3478" i="1"/>
  <c r="C3478" i="1" s="1"/>
  <c r="G3478" i="1" s="1"/>
  <c r="B3479" i="1"/>
  <c r="C3479" i="1" s="1"/>
  <c r="G3479" i="1" s="1"/>
  <c r="B3480" i="1"/>
  <c r="C3480" i="1" s="1"/>
  <c r="G3480" i="1" s="1"/>
  <c r="B3481" i="1"/>
  <c r="C3481" i="1" s="1"/>
  <c r="G3481" i="1" s="1"/>
  <c r="B3482" i="1"/>
  <c r="C3482" i="1" s="1"/>
  <c r="G3482" i="1" s="1"/>
  <c r="B3483" i="1"/>
  <c r="C3483" i="1" s="1"/>
  <c r="G3483" i="1" s="1"/>
  <c r="B3484" i="1"/>
  <c r="C3484" i="1" s="1"/>
  <c r="G3484" i="1" s="1"/>
  <c r="B3485" i="1"/>
  <c r="C3485" i="1" s="1"/>
  <c r="G3485" i="1" s="1"/>
  <c r="B3486" i="1"/>
  <c r="C3486" i="1" s="1"/>
  <c r="G3486" i="1" s="1"/>
  <c r="B3487" i="1"/>
  <c r="C3487" i="1" s="1"/>
  <c r="G3487" i="1" s="1"/>
  <c r="B3488" i="1"/>
  <c r="C3488" i="1" s="1"/>
  <c r="G3488" i="1" s="1"/>
  <c r="B3489" i="1"/>
  <c r="C3489" i="1" s="1"/>
  <c r="G3489" i="1" s="1"/>
  <c r="J3489" i="1" s="1"/>
  <c r="B3490" i="1"/>
  <c r="C3490" i="1" s="1"/>
  <c r="G3490" i="1" s="1"/>
  <c r="B3491" i="1"/>
  <c r="C3491" i="1" s="1"/>
  <c r="G3491" i="1" s="1"/>
  <c r="B3492" i="1"/>
  <c r="C3492" i="1" s="1"/>
  <c r="G3492" i="1" s="1"/>
  <c r="B3493" i="1"/>
  <c r="C3493" i="1" s="1"/>
  <c r="G3493" i="1" s="1"/>
  <c r="B3494" i="1"/>
  <c r="C3494" i="1" s="1"/>
  <c r="G3494" i="1" s="1"/>
  <c r="B3495" i="1"/>
  <c r="C3495" i="1" s="1"/>
  <c r="G3495" i="1" s="1"/>
  <c r="B3496" i="1"/>
  <c r="C3496" i="1" s="1"/>
  <c r="G3496" i="1" s="1"/>
  <c r="B3497" i="1"/>
  <c r="C3497" i="1" s="1"/>
  <c r="G3497" i="1" s="1"/>
  <c r="B3498" i="1"/>
  <c r="C3498" i="1" s="1"/>
  <c r="G3498" i="1" s="1"/>
  <c r="B3499" i="1"/>
  <c r="C3499" i="1" s="1"/>
  <c r="G3499" i="1" s="1"/>
  <c r="B3500" i="1"/>
  <c r="C3500" i="1" s="1"/>
  <c r="G3500" i="1" s="1"/>
  <c r="B3501" i="1"/>
  <c r="C3501" i="1" s="1"/>
  <c r="G3501" i="1" s="1"/>
  <c r="B3502" i="1"/>
  <c r="C3502" i="1" s="1"/>
  <c r="G3502" i="1" s="1"/>
  <c r="B3503" i="1"/>
  <c r="C3503" i="1" s="1"/>
  <c r="G3503" i="1" s="1"/>
  <c r="B3504" i="1"/>
  <c r="C3504" i="1" s="1"/>
  <c r="G3504" i="1" s="1"/>
  <c r="B3505" i="1"/>
  <c r="C3505" i="1" s="1"/>
  <c r="G3505" i="1" s="1"/>
  <c r="B3506" i="1"/>
  <c r="C3506" i="1" s="1"/>
  <c r="G3506" i="1" s="1"/>
  <c r="B3507" i="1"/>
  <c r="C3507" i="1" s="1"/>
  <c r="G3507" i="1" s="1"/>
  <c r="B3508" i="1"/>
  <c r="C3508" i="1" s="1"/>
  <c r="G3508" i="1" s="1"/>
  <c r="B3509" i="1"/>
  <c r="C3509" i="1" s="1"/>
  <c r="G3509" i="1" s="1"/>
  <c r="B3510" i="1"/>
  <c r="C3510" i="1" s="1"/>
  <c r="G3510" i="1" s="1"/>
  <c r="B3511" i="1"/>
  <c r="C3511" i="1" s="1"/>
  <c r="G3511" i="1" s="1"/>
  <c r="B3512" i="1"/>
  <c r="C3512" i="1" s="1"/>
  <c r="G3512" i="1" s="1"/>
  <c r="B3513" i="1"/>
  <c r="C3513" i="1" s="1"/>
  <c r="G3513" i="1" s="1"/>
  <c r="B3514" i="1"/>
  <c r="C3514" i="1" s="1"/>
  <c r="G3514" i="1" s="1"/>
  <c r="B3515" i="1"/>
  <c r="C3515" i="1" s="1"/>
  <c r="G3515" i="1" s="1"/>
  <c r="B3516" i="1"/>
  <c r="C3516" i="1" s="1"/>
  <c r="G3516" i="1" s="1"/>
  <c r="B3517" i="1"/>
  <c r="C3517" i="1" s="1"/>
  <c r="G3517" i="1" s="1"/>
  <c r="B3518" i="1"/>
  <c r="C3518" i="1" s="1"/>
  <c r="G3518" i="1" s="1"/>
  <c r="B3519" i="1"/>
  <c r="C3519" i="1" s="1"/>
  <c r="G3519" i="1" s="1"/>
  <c r="B3520" i="1"/>
  <c r="C3520" i="1" s="1"/>
  <c r="G3520" i="1" s="1"/>
  <c r="B3521" i="1"/>
  <c r="C3521" i="1" s="1"/>
  <c r="G3521" i="1" s="1"/>
  <c r="J3521" i="1" s="1"/>
  <c r="B3522" i="1"/>
  <c r="C3522" i="1" s="1"/>
  <c r="G3522" i="1" s="1"/>
  <c r="B3523" i="1"/>
  <c r="C3523" i="1" s="1"/>
  <c r="G3523" i="1" s="1"/>
  <c r="B3524" i="1"/>
  <c r="C3524" i="1" s="1"/>
  <c r="G3524" i="1" s="1"/>
  <c r="B3525" i="1"/>
  <c r="C3525" i="1" s="1"/>
  <c r="G3525" i="1" s="1"/>
  <c r="B3526" i="1"/>
  <c r="C3526" i="1" s="1"/>
  <c r="G3526" i="1" s="1"/>
  <c r="B3527" i="1"/>
  <c r="C3527" i="1" s="1"/>
  <c r="G3527" i="1" s="1"/>
  <c r="B3528" i="1"/>
  <c r="C3528" i="1" s="1"/>
  <c r="G3528" i="1" s="1"/>
  <c r="B3529" i="1"/>
  <c r="C3529" i="1" s="1"/>
  <c r="G3529" i="1" s="1"/>
  <c r="B3530" i="1"/>
  <c r="C3530" i="1" s="1"/>
  <c r="G3530" i="1" s="1"/>
  <c r="B3531" i="1"/>
  <c r="C3531" i="1" s="1"/>
  <c r="G3531" i="1" s="1"/>
  <c r="B3532" i="1"/>
  <c r="C3532" i="1" s="1"/>
  <c r="G3532" i="1" s="1"/>
  <c r="B3533" i="1"/>
  <c r="C3533" i="1" s="1"/>
  <c r="G3533" i="1" s="1"/>
  <c r="B3534" i="1"/>
  <c r="C3534" i="1" s="1"/>
  <c r="G3534" i="1" s="1"/>
  <c r="B3535" i="1"/>
  <c r="C3535" i="1" s="1"/>
  <c r="G3535" i="1" s="1"/>
  <c r="B3536" i="1"/>
  <c r="C3536" i="1" s="1"/>
  <c r="G3536" i="1" s="1"/>
  <c r="B3537" i="1"/>
  <c r="C3537" i="1" s="1"/>
  <c r="G3537" i="1" s="1"/>
  <c r="B3538" i="1"/>
  <c r="C3538" i="1" s="1"/>
  <c r="G3538" i="1" s="1"/>
  <c r="B3539" i="1"/>
  <c r="C3539" i="1" s="1"/>
  <c r="G3539" i="1" s="1"/>
  <c r="B3540" i="1"/>
  <c r="C3540" i="1" s="1"/>
  <c r="G3540" i="1" s="1"/>
  <c r="B3541" i="1"/>
  <c r="C3541" i="1" s="1"/>
  <c r="G3541" i="1" s="1"/>
  <c r="B3542" i="1"/>
  <c r="C3542" i="1" s="1"/>
  <c r="G3542" i="1" s="1"/>
  <c r="B3543" i="1"/>
  <c r="C3543" i="1" s="1"/>
  <c r="G3543" i="1" s="1"/>
  <c r="B3544" i="1"/>
  <c r="C3544" i="1" s="1"/>
  <c r="G3544" i="1" s="1"/>
  <c r="B3545" i="1"/>
  <c r="C3545" i="1" s="1"/>
  <c r="G3545" i="1" s="1"/>
  <c r="B3546" i="1"/>
  <c r="C3546" i="1" s="1"/>
  <c r="G3546" i="1" s="1"/>
  <c r="B3547" i="1"/>
  <c r="C3547" i="1" s="1"/>
  <c r="G3547" i="1" s="1"/>
  <c r="B3548" i="1"/>
  <c r="C3548" i="1" s="1"/>
  <c r="G3548" i="1" s="1"/>
  <c r="B3549" i="1"/>
  <c r="C3549" i="1" s="1"/>
  <c r="G3549" i="1" s="1"/>
  <c r="B3550" i="1"/>
  <c r="C3550" i="1" s="1"/>
  <c r="G3550" i="1" s="1"/>
  <c r="B3551" i="1"/>
  <c r="C3551" i="1" s="1"/>
  <c r="G3551" i="1" s="1"/>
  <c r="B3552" i="1"/>
  <c r="C3552" i="1" s="1"/>
  <c r="G3552" i="1" s="1"/>
  <c r="B3553" i="1"/>
  <c r="C3553" i="1" s="1"/>
  <c r="G3553" i="1" s="1"/>
  <c r="J3553" i="1" s="1"/>
  <c r="B3554" i="1"/>
  <c r="C3554" i="1" s="1"/>
  <c r="G3554" i="1" s="1"/>
  <c r="B3555" i="1"/>
  <c r="C3555" i="1" s="1"/>
  <c r="G3555" i="1" s="1"/>
  <c r="B3556" i="1"/>
  <c r="C3556" i="1" s="1"/>
  <c r="G3556" i="1" s="1"/>
  <c r="B3557" i="1"/>
  <c r="C3557" i="1" s="1"/>
  <c r="G3557" i="1" s="1"/>
  <c r="B3558" i="1"/>
  <c r="C3558" i="1" s="1"/>
  <c r="G3558" i="1" s="1"/>
  <c r="B3559" i="1"/>
  <c r="C3559" i="1" s="1"/>
  <c r="G3559" i="1" s="1"/>
  <c r="B3560" i="1"/>
  <c r="C3560" i="1" s="1"/>
  <c r="G3560" i="1" s="1"/>
  <c r="B3561" i="1"/>
  <c r="C3561" i="1" s="1"/>
  <c r="G3561" i="1" s="1"/>
  <c r="B3562" i="1"/>
  <c r="C3562" i="1" s="1"/>
  <c r="G3562" i="1" s="1"/>
  <c r="B3563" i="1"/>
  <c r="C3563" i="1" s="1"/>
  <c r="G3563" i="1" s="1"/>
  <c r="B3564" i="1"/>
  <c r="C3564" i="1" s="1"/>
  <c r="G3564" i="1" s="1"/>
  <c r="B3565" i="1"/>
  <c r="C3565" i="1" s="1"/>
  <c r="G3565" i="1" s="1"/>
  <c r="B3566" i="1"/>
  <c r="C3566" i="1" s="1"/>
  <c r="G3566" i="1" s="1"/>
  <c r="B3567" i="1"/>
  <c r="C3567" i="1" s="1"/>
  <c r="G3567" i="1" s="1"/>
  <c r="B3568" i="1"/>
  <c r="C3568" i="1" s="1"/>
  <c r="G3568" i="1" s="1"/>
  <c r="B3569" i="1"/>
  <c r="C3569" i="1" s="1"/>
  <c r="G3569" i="1" s="1"/>
  <c r="B3570" i="1"/>
  <c r="C3570" i="1" s="1"/>
  <c r="G3570" i="1" s="1"/>
  <c r="B3571" i="1"/>
  <c r="C3571" i="1" s="1"/>
  <c r="G3571" i="1" s="1"/>
  <c r="B3572" i="1"/>
  <c r="C3572" i="1" s="1"/>
  <c r="G3572" i="1" s="1"/>
  <c r="B3573" i="1"/>
  <c r="C3573" i="1" s="1"/>
  <c r="G3573" i="1" s="1"/>
  <c r="B3574" i="1"/>
  <c r="C3574" i="1" s="1"/>
  <c r="G3574" i="1" s="1"/>
  <c r="B3575" i="1"/>
  <c r="C3575" i="1" s="1"/>
  <c r="G3575" i="1" s="1"/>
  <c r="B3576" i="1"/>
  <c r="C3576" i="1" s="1"/>
  <c r="G3576" i="1" s="1"/>
  <c r="B3577" i="1"/>
  <c r="C3577" i="1" s="1"/>
  <c r="G3577" i="1" s="1"/>
  <c r="B3578" i="1"/>
  <c r="C3578" i="1" s="1"/>
  <c r="G3578" i="1" s="1"/>
  <c r="B3579" i="1"/>
  <c r="C3579" i="1" s="1"/>
  <c r="G3579" i="1" s="1"/>
  <c r="B3580" i="1"/>
  <c r="C3580" i="1" s="1"/>
  <c r="G3580" i="1" s="1"/>
  <c r="B3581" i="1"/>
  <c r="C3581" i="1" s="1"/>
  <c r="G3581" i="1" s="1"/>
  <c r="B3582" i="1"/>
  <c r="C3582" i="1" s="1"/>
  <c r="G3582" i="1" s="1"/>
  <c r="B3583" i="1"/>
  <c r="C3583" i="1" s="1"/>
  <c r="G3583" i="1" s="1"/>
  <c r="B3584" i="1"/>
  <c r="C3584" i="1" s="1"/>
  <c r="G3584" i="1" s="1"/>
  <c r="B3585" i="1"/>
  <c r="C3585" i="1" s="1"/>
  <c r="G3585" i="1" s="1"/>
  <c r="J3585" i="1" s="1"/>
  <c r="B3586" i="1"/>
  <c r="C3586" i="1" s="1"/>
  <c r="G3586" i="1" s="1"/>
  <c r="B3587" i="1"/>
  <c r="C3587" i="1" s="1"/>
  <c r="G3587" i="1" s="1"/>
  <c r="B3588" i="1"/>
  <c r="C3588" i="1" s="1"/>
  <c r="G3588" i="1" s="1"/>
  <c r="B3589" i="1"/>
  <c r="C3589" i="1" s="1"/>
  <c r="G3589" i="1" s="1"/>
  <c r="B3590" i="1"/>
  <c r="C3590" i="1" s="1"/>
  <c r="G3590" i="1" s="1"/>
  <c r="B3591" i="1"/>
  <c r="C3591" i="1" s="1"/>
  <c r="G3591" i="1" s="1"/>
  <c r="B3592" i="1"/>
  <c r="C3592" i="1" s="1"/>
  <c r="G3592" i="1" s="1"/>
  <c r="B3593" i="1"/>
  <c r="C3593" i="1" s="1"/>
  <c r="G3593" i="1" s="1"/>
  <c r="B3594" i="1"/>
  <c r="C3594" i="1" s="1"/>
  <c r="G3594" i="1" s="1"/>
  <c r="B3595" i="1"/>
  <c r="C3595" i="1" s="1"/>
  <c r="G3595" i="1" s="1"/>
  <c r="B3596" i="1"/>
  <c r="C3596" i="1" s="1"/>
  <c r="G3596" i="1" s="1"/>
  <c r="B3597" i="1"/>
  <c r="C3597" i="1" s="1"/>
  <c r="G3597" i="1" s="1"/>
  <c r="B3598" i="1"/>
  <c r="C3598" i="1" s="1"/>
  <c r="G3598" i="1" s="1"/>
  <c r="B3599" i="1"/>
  <c r="C3599" i="1" s="1"/>
  <c r="G3599" i="1" s="1"/>
  <c r="B3600" i="1"/>
  <c r="C3600" i="1" s="1"/>
  <c r="G3600" i="1" s="1"/>
  <c r="B3601" i="1"/>
  <c r="C3601" i="1" s="1"/>
  <c r="G3601" i="1" s="1"/>
  <c r="B3602" i="1"/>
  <c r="C3602" i="1" s="1"/>
  <c r="G3602" i="1" s="1"/>
  <c r="B3603" i="1"/>
  <c r="C3603" i="1" s="1"/>
  <c r="G3603" i="1" s="1"/>
  <c r="B3604" i="1"/>
  <c r="C3604" i="1" s="1"/>
  <c r="G3604" i="1" s="1"/>
  <c r="B3605" i="1"/>
  <c r="C3605" i="1" s="1"/>
  <c r="G3605" i="1" s="1"/>
  <c r="B3606" i="1"/>
  <c r="C3606" i="1" s="1"/>
  <c r="G3606" i="1" s="1"/>
  <c r="B3607" i="1"/>
  <c r="C3607" i="1" s="1"/>
  <c r="G3607" i="1" s="1"/>
  <c r="B3608" i="1"/>
  <c r="C3608" i="1" s="1"/>
  <c r="G3608" i="1" s="1"/>
  <c r="B3609" i="1"/>
  <c r="C3609" i="1" s="1"/>
  <c r="G3609" i="1" s="1"/>
  <c r="B3610" i="1"/>
  <c r="C3610" i="1" s="1"/>
  <c r="G3610" i="1" s="1"/>
  <c r="B3611" i="1"/>
  <c r="C3611" i="1" s="1"/>
  <c r="G3611" i="1" s="1"/>
  <c r="B3612" i="1"/>
  <c r="C3612" i="1" s="1"/>
  <c r="G3612" i="1" s="1"/>
  <c r="B3613" i="1"/>
  <c r="C3613" i="1" s="1"/>
  <c r="G3613" i="1" s="1"/>
  <c r="B3614" i="1"/>
  <c r="C3614" i="1" s="1"/>
  <c r="G3614" i="1" s="1"/>
  <c r="B3615" i="1"/>
  <c r="C3615" i="1" s="1"/>
  <c r="G3615" i="1" s="1"/>
  <c r="B3616" i="1"/>
  <c r="C3616" i="1" s="1"/>
  <c r="G3616" i="1" s="1"/>
  <c r="B3617" i="1"/>
  <c r="C3617" i="1" s="1"/>
  <c r="G3617" i="1" s="1"/>
  <c r="J3617" i="1" s="1"/>
  <c r="B3618" i="1"/>
  <c r="C3618" i="1" s="1"/>
  <c r="G3618" i="1" s="1"/>
  <c r="B3619" i="1"/>
  <c r="C3619" i="1" s="1"/>
  <c r="G3619" i="1" s="1"/>
  <c r="B3620" i="1"/>
  <c r="C3620" i="1" s="1"/>
  <c r="G3620" i="1" s="1"/>
  <c r="B3621" i="1"/>
  <c r="C3621" i="1" s="1"/>
  <c r="G3621" i="1" s="1"/>
  <c r="B3622" i="1"/>
  <c r="C3622" i="1" s="1"/>
  <c r="G3622" i="1" s="1"/>
  <c r="B3623" i="1"/>
  <c r="C3623" i="1" s="1"/>
  <c r="G3623" i="1" s="1"/>
  <c r="B3624" i="1"/>
  <c r="C3624" i="1" s="1"/>
  <c r="G3624" i="1" s="1"/>
  <c r="B3625" i="1"/>
  <c r="C3625" i="1" s="1"/>
  <c r="G3625" i="1" s="1"/>
  <c r="B3626" i="1"/>
  <c r="C3626" i="1" s="1"/>
  <c r="G3626" i="1" s="1"/>
  <c r="B3627" i="1"/>
  <c r="C3627" i="1" s="1"/>
  <c r="G3627" i="1" s="1"/>
  <c r="B3628" i="1"/>
  <c r="C3628" i="1" s="1"/>
  <c r="G3628" i="1" s="1"/>
  <c r="B3629" i="1"/>
  <c r="C3629" i="1" s="1"/>
  <c r="G3629" i="1" s="1"/>
  <c r="B3630" i="1"/>
  <c r="C3630" i="1" s="1"/>
  <c r="G3630" i="1" s="1"/>
  <c r="B3631" i="1"/>
  <c r="C3631" i="1" s="1"/>
  <c r="G3631" i="1" s="1"/>
  <c r="B3632" i="1"/>
  <c r="C3632" i="1" s="1"/>
  <c r="G3632" i="1" s="1"/>
  <c r="B3633" i="1"/>
  <c r="C3633" i="1" s="1"/>
  <c r="G3633" i="1" s="1"/>
  <c r="B3634" i="1"/>
  <c r="C3634" i="1" s="1"/>
  <c r="G3634" i="1" s="1"/>
  <c r="B3635" i="1"/>
  <c r="C3635" i="1" s="1"/>
  <c r="G3635" i="1" s="1"/>
  <c r="B3636" i="1"/>
  <c r="C3636" i="1" s="1"/>
  <c r="G3636" i="1" s="1"/>
  <c r="B3637" i="1"/>
  <c r="C3637" i="1" s="1"/>
  <c r="G3637" i="1" s="1"/>
  <c r="B3638" i="1"/>
  <c r="C3638" i="1" s="1"/>
  <c r="G3638" i="1" s="1"/>
  <c r="B3639" i="1"/>
  <c r="C3639" i="1" s="1"/>
  <c r="G3639" i="1" s="1"/>
  <c r="B3640" i="1"/>
  <c r="C3640" i="1" s="1"/>
  <c r="G3640" i="1" s="1"/>
  <c r="B3641" i="1"/>
  <c r="C3641" i="1" s="1"/>
  <c r="G3641" i="1" s="1"/>
  <c r="B3642" i="1"/>
  <c r="C3642" i="1" s="1"/>
  <c r="G3642" i="1" s="1"/>
  <c r="B3643" i="1"/>
  <c r="C3643" i="1" s="1"/>
  <c r="G3643" i="1" s="1"/>
  <c r="B3644" i="1"/>
  <c r="C3644" i="1" s="1"/>
  <c r="G3644" i="1" s="1"/>
  <c r="B3645" i="1"/>
  <c r="C3645" i="1" s="1"/>
  <c r="G3645" i="1" s="1"/>
  <c r="B3646" i="1"/>
  <c r="C3646" i="1" s="1"/>
  <c r="G3646" i="1" s="1"/>
  <c r="B3647" i="1"/>
  <c r="C3647" i="1" s="1"/>
  <c r="G3647" i="1" s="1"/>
  <c r="B3648" i="1"/>
  <c r="C3648" i="1" s="1"/>
  <c r="G3648" i="1" s="1"/>
  <c r="B3649" i="1"/>
  <c r="C3649" i="1" s="1"/>
  <c r="G3649" i="1" s="1"/>
  <c r="J3649" i="1" s="1"/>
  <c r="B3650" i="1"/>
  <c r="C3650" i="1" s="1"/>
  <c r="G3650" i="1" s="1"/>
  <c r="B3651" i="1"/>
  <c r="C3651" i="1" s="1"/>
  <c r="G3651" i="1" s="1"/>
  <c r="B3652" i="1"/>
  <c r="C3652" i="1" s="1"/>
  <c r="G3652" i="1" s="1"/>
  <c r="B3653" i="1"/>
  <c r="C3653" i="1" s="1"/>
  <c r="G3653" i="1" s="1"/>
  <c r="B3654" i="1"/>
  <c r="C3654" i="1" s="1"/>
  <c r="G3654" i="1" s="1"/>
  <c r="B3655" i="1"/>
  <c r="C3655" i="1" s="1"/>
  <c r="G3655" i="1" s="1"/>
  <c r="B3656" i="1"/>
  <c r="C3656" i="1" s="1"/>
  <c r="G3656" i="1" s="1"/>
  <c r="B3657" i="1"/>
  <c r="C3657" i="1" s="1"/>
  <c r="G3657" i="1" s="1"/>
  <c r="B3658" i="1"/>
  <c r="C3658" i="1" s="1"/>
  <c r="G3658" i="1" s="1"/>
  <c r="B3659" i="1"/>
  <c r="C3659" i="1" s="1"/>
  <c r="G3659" i="1" s="1"/>
  <c r="B3660" i="1"/>
  <c r="C3660" i="1" s="1"/>
  <c r="G3660" i="1" s="1"/>
  <c r="B3661" i="1"/>
  <c r="C3661" i="1" s="1"/>
  <c r="G3661" i="1" s="1"/>
  <c r="B3662" i="1"/>
  <c r="C3662" i="1" s="1"/>
  <c r="G3662" i="1" s="1"/>
  <c r="B3663" i="1"/>
  <c r="C3663" i="1" s="1"/>
  <c r="G3663" i="1" s="1"/>
  <c r="B3664" i="1"/>
  <c r="C3664" i="1" s="1"/>
  <c r="G3664" i="1" s="1"/>
  <c r="B3665" i="1"/>
  <c r="C3665" i="1" s="1"/>
  <c r="G3665" i="1" s="1"/>
  <c r="B3666" i="1"/>
  <c r="C3666" i="1" s="1"/>
  <c r="G3666" i="1" s="1"/>
  <c r="B3667" i="1"/>
  <c r="C3667" i="1" s="1"/>
  <c r="G3667" i="1" s="1"/>
  <c r="B3668" i="1"/>
  <c r="C3668" i="1" s="1"/>
  <c r="G3668" i="1" s="1"/>
  <c r="B3669" i="1"/>
  <c r="C3669" i="1" s="1"/>
  <c r="G3669" i="1" s="1"/>
  <c r="B3670" i="1"/>
  <c r="C3670" i="1" s="1"/>
  <c r="G3670" i="1" s="1"/>
  <c r="B3671" i="1"/>
  <c r="C3671" i="1" s="1"/>
  <c r="G3671" i="1" s="1"/>
  <c r="B3672" i="1"/>
  <c r="C3672" i="1" s="1"/>
  <c r="G3672" i="1" s="1"/>
  <c r="B3673" i="1"/>
  <c r="C3673" i="1" s="1"/>
  <c r="G3673" i="1" s="1"/>
  <c r="B3674" i="1"/>
  <c r="C3674" i="1" s="1"/>
  <c r="G3674" i="1" s="1"/>
  <c r="B3675" i="1"/>
  <c r="C3675" i="1" s="1"/>
  <c r="G3675" i="1" s="1"/>
  <c r="B3676" i="1"/>
  <c r="C3676" i="1" s="1"/>
  <c r="G3676" i="1" s="1"/>
  <c r="B3677" i="1"/>
  <c r="C3677" i="1" s="1"/>
  <c r="G3677" i="1" s="1"/>
  <c r="B3678" i="1"/>
  <c r="C3678" i="1" s="1"/>
  <c r="G3678" i="1" s="1"/>
  <c r="B3679" i="1"/>
  <c r="C3679" i="1" s="1"/>
  <c r="G3679" i="1" s="1"/>
  <c r="B3680" i="1"/>
  <c r="C3680" i="1" s="1"/>
  <c r="G3680" i="1" s="1"/>
  <c r="B3681" i="1"/>
  <c r="C3681" i="1" s="1"/>
  <c r="G3681" i="1" s="1"/>
  <c r="J3681" i="1" s="1"/>
  <c r="B3682" i="1"/>
  <c r="C3682" i="1" s="1"/>
  <c r="G3682" i="1" s="1"/>
  <c r="B3683" i="1"/>
  <c r="C3683" i="1" s="1"/>
  <c r="G3683" i="1" s="1"/>
  <c r="B3684" i="1"/>
  <c r="C3684" i="1" s="1"/>
  <c r="G3684" i="1" s="1"/>
  <c r="B3685" i="1"/>
  <c r="C3685" i="1" s="1"/>
  <c r="G3685" i="1" s="1"/>
  <c r="B3686" i="1"/>
  <c r="C3686" i="1" s="1"/>
  <c r="G3686" i="1" s="1"/>
  <c r="B3687" i="1"/>
  <c r="C3687" i="1" s="1"/>
  <c r="G3687" i="1" s="1"/>
  <c r="B3688" i="1"/>
  <c r="C3688" i="1" s="1"/>
  <c r="G3688" i="1" s="1"/>
  <c r="B3689" i="1"/>
  <c r="C3689" i="1" s="1"/>
  <c r="G3689" i="1" s="1"/>
  <c r="B3690" i="1"/>
  <c r="C3690" i="1" s="1"/>
  <c r="G3690" i="1" s="1"/>
  <c r="B3691" i="1"/>
  <c r="C3691" i="1" s="1"/>
  <c r="G3691" i="1" s="1"/>
  <c r="B3692" i="1"/>
  <c r="C3692" i="1" s="1"/>
  <c r="G3692" i="1" s="1"/>
  <c r="B3693" i="1"/>
  <c r="C3693" i="1" s="1"/>
  <c r="G3693" i="1" s="1"/>
  <c r="B3694" i="1"/>
  <c r="C3694" i="1" s="1"/>
  <c r="G3694" i="1" s="1"/>
  <c r="B3695" i="1"/>
  <c r="C3695" i="1" s="1"/>
  <c r="G3695" i="1" s="1"/>
  <c r="B3696" i="1"/>
  <c r="C3696" i="1" s="1"/>
  <c r="G3696" i="1" s="1"/>
  <c r="B3697" i="1"/>
  <c r="C3697" i="1" s="1"/>
  <c r="G3697" i="1" s="1"/>
  <c r="B3698" i="1"/>
  <c r="C3698" i="1" s="1"/>
  <c r="G3698" i="1" s="1"/>
  <c r="B3699" i="1"/>
  <c r="C3699" i="1" s="1"/>
  <c r="G3699" i="1" s="1"/>
  <c r="B3700" i="1"/>
  <c r="C3700" i="1" s="1"/>
  <c r="G3700" i="1" s="1"/>
  <c r="B3701" i="1"/>
  <c r="C3701" i="1" s="1"/>
  <c r="G3701" i="1" s="1"/>
  <c r="B3702" i="1"/>
  <c r="C3702" i="1" s="1"/>
  <c r="G3702" i="1" s="1"/>
  <c r="B3703" i="1"/>
  <c r="C3703" i="1" s="1"/>
  <c r="G3703" i="1" s="1"/>
  <c r="B3704" i="1"/>
  <c r="C3704" i="1" s="1"/>
  <c r="G3704" i="1" s="1"/>
  <c r="B3705" i="1"/>
  <c r="C3705" i="1" s="1"/>
  <c r="G3705" i="1" s="1"/>
  <c r="B3706" i="1"/>
  <c r="C3706" i="1" s="1"/>
  <c r="G3706" i="1" s="1"/>
  <c r="B3707" i="1"/>
  <c r="C3707" i="1" s="1"/>
  <c r="G3707" i="1" s="1"/>
  <c r="B3708" i="1"/>
  <c r="C3708" i="1" s="1"/>
  <c r="G3708" i="1" s="1"/>
  <c r="B3709" i="1"/>
  <c r="C3709" i="1" s="1"/>
  <c r="G3709" i="1" s="1"/>
  <c r="B3710" i="1"/>
  <c r="C3710" i="1" s="1"/>
  <c r="G3710" i="1" s="1"/>
  <c r="B3711" i="1"/>
  <c r="C3711" i="1" s="1"/>
  <c r="G3711" i="1" s="1"/>
  <c r="B3712" i="1"/>
  <c r="C3712" i="1" s="1"/>
  <c r="G3712" i="1" s="1"/>
  <c r="B3713" i="1"/>
  <c r="C3713" i="1" s="1"/>
  <c r="G3713" i="1" s="1"/>
  <c r="J3713" i="1" s="1"/>
  <c r="B3714" i="1"/>
  <c r="C3714" i="1" s="1"/>
  <c r="G3714" i="1" s="1"/>
  <c r="B3715" i="1"/>
  <c r="C3715" i="1" s="1"/>
  <c r="G3715" i="1" s="1"/>
  <c r="B3716" i="1"/>
  <c r="C3716" i="1" s="1"/>
  <c r="G3716" i="1" s="1"/>
  <c r="B3717" i="1"/>
  <c r="C3717" i="1" s="1"/>
  <c r="G3717" i="1" s="1"/>
  <c r="B3718" i="1"/>
  <c r="C3718" i="1" s="1"/>
  <c r="G3718" i="1" s="1"/>
  <c r="B3719" i="1"/>
  <c r="C3719" i="1" s="1"/>
  <c r="G3719" i="1" s="1"/>
  <c r="B3720" i="1"/>
  <c r="C3720" i="1" s="1"/>
  <c r="G3720" i="1" s="1"/>
  <c r="B3721" i="1"/>
  <c r="C3721" i="1" s="1"/>
  <c r="G3721" i="1" s="1"/>
  <c r="B3722" i="1"/>
  <c r="C3722" i="1" s="1"/>
  <c r="G3722" i="1" s="1"/>
  <c r="B3723" i="1"/>
  <c r="C3723" i="1" s="1"/>
  <c r="G3723" i="1" s="1"/>
  <c r="B3724" i="1"/>
  <c r="C3724" i="1" s="1"/>
  <c r="G3724" i="1" s="1"/>
  <c r="B3725" i="1"/>
  <c r="C3725" i="1" s="1"/>
  <c r="G3725" i="1" s="1"/>
  <c r="B3726" i="1"/>
  <c r="C3726" i="1" s="1"/>
  <c r="G3726" i="1" s="1"/>
  <c r="B3727" i="1"/>
  <c r="C3727" i="1" s="1"/>
  <c r="G3727" i="1" s="1"/>
  <c r="B3728" i="1"/>
  <c r="C3728" i="1" s="1"/>
  <c r="G3728" i="1" s="1"/>
  <c r="B3729" i="1"/>
  <c r="C3729" i="1" s="1"/>
  <c r="G3729" i="1" s="1"/>
  <c r="B3730" i="1"/>
  <c r="C3730" i="1" s="1"/>
  <c r="G3730" i="1" s="1"/>
  <c r="B3731" i="1"/>
  <c r="C3731" i="1" s="1"/>
  <c r="G3731" i="1" s="1"/>
  <c r="B3732" i="1"/>
  <c r="C3732" i="1" s="1"/>
  <c r="G3732" i="1" s="1"/>
  <c r="B3733" i="1"/>
  <c r="C3733" i="1" s="1"/>
  <c r="G3733" i="1" s="1"/>
  <c r="B3734" i="1"/>
  <c r="C3734" i="1" s="1"/>
  <c r="G3734" i="1" s="1"/>
  <c r="B3735" i="1"/>
  <c r="C3735" i="1" s="1"/>
  <c r="G3735" i="1" s="1"/>
  <c r="B3736" i="1"/>
  <c r="C3736" i="1" s="1"/>
  <c r="G3736" i="1" s="1"/>
  <c r="B3737" i="1"/>
  <c r="C3737" i="1" s="1"/>
  <c r="G3737" i="1" s="1"/>
  <c r="B3738" i="1"/>
  <c r="C3738" i="1" s="1"/>
  <c r="G3738" i="1" s="1"/>
  <c r="B3739" i="1"/>
  <c r="C3739" i="1" s="1"/>
  <c r="G3739" i="1" s="1"/>
  <c r="B3740" i="1"/>
  <c r="C3740" i="1" s="1"/>
  <c r="G3740" i="1" s="1"/>
  <c r="B3741" i="1"/>
  <c r="C3741" i="1" s="1"/>
  <c r="G3741" i="1" s="1"/>
  <c r="B3742" i="1"/>
  <c r="C3742" i="1" s="1"/>
  <c r="G3742" i="1" s="1"/>
  <c r="B3743" i="1"/>
  <c r="C3743" i="1" s="1"/>
  <c r="G3743" i="1" s="1"/>
  <c r="B3744" i="1"/>
  <c r="C3744" i="1" s="1"/>
  <c r="G3744" i="1" s="1"/>
  <c r="B3745" i="1"/>
  <c r="C3745" i="1" s="1"/>
  <c r="G3745" i="1" s="1"/>
  <c r="J3745" i="1" s="1"/>
  <c r="B3746" i="1"/>
  <c r="C3746" i="1" s="1"/>
  <c r="G3746" i="1" s="1"/>
  <c r="B3747" i="1"/>
  <c r="C3747" i="1" s="1"/>
  <c r="G3747" i="1" s="1"/>
  <c r="B3748" i="1"/>
  <c r="C3748" i="1" s="1"/>
  <c r="G3748" i="1" s="1"/>
  <c r="B3749" i="1"/>
  <c r="C3749" i="1" s="1"/>
  <c r="G3749" i="1" s="1"/>
  <c r="B3750" i="1"/>
  <c r="C3750" i="1" s="1"/>
  <c r="G3750" i="1" s="1"/>
  <c r="B3751" i="1"/>
  <c r="C3751" i="1" s="1"/>
  <c r="G3751" i="1" s="1"/>
  <c r="B3752" i="1"/>
  <c r="C3752" i="1" s="1"/>
  <c r="G3752" i="1" s="1"/>
  <c r="B3753" i="1"/>
  <c r="C3753" i="1" s="1"/>
  <c r="G3753" i="1" s="1"/>
  <c r="B3754" i="1"/>
  <c r="C3754" i="1" s="1"/>
  <c r="G3754" i="1" s="1"/>
  <c r="B3755" i="1"/>
  <c r="C3755" i="1" s="1"/>
  <c r="G3755" i="1" s="1"/>
  <c r="B3756" i="1"/>
  <c r="C3756" i="1" s="1"/>
  <c r="G3756" i="1" s="1"/>
  <c r="B3757" i="1"/>
  <c r="C3757" i="1" s="1"/>
  <c r="G3757" i="1" s="1"/>
  <c r="B3758" i="1"/>
  <c r="C3758" i="1" s="1"/>
  <c r="G3758" i="1" s="1"/>
  <c r="B3759" i="1"/>
  <c r="C3759" i="1" s="1"/>
  <c r="G3759" i="1" s="1"/>
  <c r="B3760" i="1"/>
  <c r="C3760" i="1" s="1"/>
  <c r="G3760" i="1" s="1"/>
  <c r="B3761" i="1"/>
  <c r="C3761" i="1" s="1"/>
  <c r="G3761" i="1" s="1"/>
  <c r="B3762" i="1"/>
  <c r="C3762" i="1" s="1"/>
  <c r="G3762" i="1" s="1"/>
  <c r="B3763" i="1"/>
  <c r="C3763" i="1" s="1"/>
  <c r="G3763" i="1" s="1"/>
  <c r="B3764" i="1"/>
  <c r="C3764" i="1" s="1"/>
  <c r="G3764" i="1" s="1"/>
  <c r="B3765" i="1"/>
  <c r="C3765" i="1" s="1"/>
  <c r="G3765" i="1" s="1"/>
  <c r="B3766" i="1"/>
  <c r="C3766" i="1" s="1"/>
  <c r="G3766" i="1" s="1"/>
  <c r="B3767" i="1"/>
  <c r="C3767" i="1" s="1"/>
  <c r="G3767" i="1" s="1"/>
  <c r="B3768" i="1"/>
  <c r="C3768" i="1" s="1"/>
  <c r="G3768" i="1" s="1"/>
  <c r="B3769" i="1"/>
  <c r="C3769" i="1" s="1"/>
  <c r="G3769" i="1" s="1"/>
  <c r="B3770" i="1"/>
  <c r="C3770" i="1" s="1"/>
  <c r="G3770" i="1" s="1"/>
  <c r="B3771" i="1"/>
  <c r="C3771" i="1" s="1"/>
  <c r="G3771" i="1" s="1"/>
  <c r="B3772" i="1"/>
  <c r="C3772" i="1" s="1"/>
  <c r="G3772" i="1" s="1"/>
  <c r="B3773" i="1"/>
  <c r="C3773" i="1" s="1"/>
  <c r="G3773" i="1" s="1"/>
  <c r="B3774" i="1"/>
  <c r="C3774" i="1" s="1"/>
  <c r="G3774" i="1" s="1"/>
  <c r="B3775" i="1"/>
  <c r="C3775" i="1" s="1"/>
  <c r="G3775" i="1" s="1"/>
  <c r="B3776" i="1"/>
  <c r="C3776" i="1" s="1"/>
  <c r="G3776" i="1" s="1"/>
  <c r="B3777" i="1"/>
  <c r="C3777" i="1" s="1"/>
  <c r="G3777" i="1" s="1"/>
  <c r="B3778" i="1"/>
  <c r="C3778" i="1" s="1"/>
  <c r="G3778" i="1" s="1"/>
  <c r="B3779" i="1"/>
  <c r="C3779" i="1" s="1"/>
  <c r="G3779" i="1" s="1"/>
  <c r="B3780" i="1"/>
  <c r="C3780" i="1" s="1"/>
  <c r="G3780" i="1" s="1"/>
  <c r="B3781" i="1"/>
  <c r="C3781" i="1" s="1"/>
  <c r="G3781" i="1" s="1"/>
  <c r="B3782" i="1"/>
  <c r="C3782" i="1" s="1"/>
  <c r="G3782" i="1" s="1"/>
  <c r="B3783" i="1"/>
  <c r="C3783" i="1" s="1"/>
  <c r="G3783" i="1" s="1"/>
  <c r="B3784" i="1"/>
  <c r="C3784" i="1" s="1"/>
  <c r="G3784" i="1" s="1"/>
  <c r="B3785" i="1"/>
  <c r="C3785" i="1" s="1"/>
  <c r="G3785" i="1" s="1"/>
  <c r="B3786" i="1"/>
  <c r="C3786" i="1" s="1"/>
  <c r="G3786" i="1" s="1"/>
  <c r="B3787" i="1"/>
  <c r="C3787" i="1" s="1"/>
  <c r="G3787" i="1" s="1"/>
  <c r="B3788" i="1"/>
  <c r="C3788" i="1" s="1"/>
  <c r="G3788" i="1" s="1"/>
  <c r="B3789" i="1"/>
  <c r="C3789" i="1" s="1"/>
  <c r="G3789" i="1" s="1"/>
  <c r="B3790" i="1"/>
  <c r="C3790" i="1" s="1"/>
  <c r="G3790" i="1" s="1"/>
  <c r="B3791" i="1"/>
  <c r="C3791" i="1" s="1"/>
  <c r="G3791" i="1" s="1"/>
  <c r="B3792" i="1"/>
  <c r="C3792" i="1" s="1"/>
  <c r="G3792" i="1" s="1"/>
  <c r="B3793" i="1"/>
  <c r="C3793" i="1" s="1"/>
  <c r="G3793" i="1" s="1"/>
  <c r="B3794" i="1"/>
  <c r="C3794" i="1" s="1"/>
  <c r="G3794" i="1" s="1"/>
  <c r="B3795" i="1"/>
  <c r="C3795" i="1" s="1"/>
  <c r="G3795" i="1" s="1"/>
  <c r="B3796" i="1"/>
  <c r="C3796" i="1" s="1"/>
  <c r="G3796" i="1" s="1"/>
  <c r="B3797" i="1"/>
  <c r="C3797" i="1" s="1"/>
  <c r="G3797" i="1" s="1"/>
  <c r="B3798" i="1"/>
  <c r="C3798" i="1" s="1"/>
  <c r="G3798" i="1" s="1"/>
  <c r="B3799" i="1"/>
  <c r="C3799" i="1" s="1"/>
  <c r="G3799" i="1" s="1"/>
  <c r="B3800" i="1"/>
  <c r="C3800" i="1" s="1"/>
  <c r="G3800" i="1" s="1"/>
  <c r="B3801" i="1"/>
  <c r="C3801" i="1" s="1"/>
  <c r="G3801" i="1" s="1"/>
  <c r="B3802" i="1"/>
  <c r="C3802" i="1" s="1"/>
  <c r="G3802" i="1" s="1"/>
  <c r="B3803" i="1"/>
  <c r="C3803" i="1" s="1"/>
  <c r="G3803" i="1" s="1"/>
  <c r="B3804" i="1"/>
  <c r="C3804" i="1" s="1"/>
  <c r="G3804" i="1" s="1"/>
  <c r="B3805" i="1"/>
  <c r="C3805" i="1" s="1"/>
  <c r="G3805" i="1" s="1"/>
  <c r="B3806" i="1"/>
  <c r="C3806" i="1" s="1"/>
  <c r="G3806" i="1" s="1"/>
  <c r="B3807" i="1"/>
  <c r="C3807" i="1" s="1"/>
  <c r="G3807" i="1" s="1"/>
  <c r="B3808" i="1"/>
  <c r="C3808" i="1" s="1"/>
  <c r="G3808" i="1" s="1"/>
  <c r="B3809" i="1"/>
  <c r="C3809" i="1" s="1"/>
  <c r="G3809" i="1" s="1"/>
  <c r="B3810" i="1"/>
  <c r="C3810" i="1" s="1"/>
  <c r="G3810" i="1" s="1"/>
  <c r="B3811" i="1"/>
  <c r="C3811" i="1" s="1"/>
  <c r="G3811" i="1" s="1"/>
  <c r="B3812" i="1"/>
  <c r="C3812" i="1" s="1"/>
  <c r="G3812" i="1" s="1"/>
  <c r="B3813" i="1"/>
  <c r="C3813" i="1" s="1"/>
  <c r="G3813" i="1" s="1"/>
  <c r="B3814" i="1"/>
  <c r="C3814" i="1" s="1"/>
  <c r="G3814" i="1" s="1"/>
  <c r="B3815" i="1"/>
  <c r="C3815" i="1" s="1"/>
  <c r="G3815" i="1" s="1"/>
  <c r="B3816" i="1"/>
  <c r="C3816" i="1" s="1"/>
  <c r="G3816" i="1" s="1"/>
  <c r="B3817" i="1"/>
  <c r="C3817" i="1" s="1"/>
  <c r="G3817" i="1" s="1"/>
  <c r="B3818" i="1"/>
  <c r="C3818" i="1" s="1"/>
  <c r="G3818" i="1" s="1"/>
  <c r="B3819" i="1"/>
  <c r="C3819" i="1" s="1"/>
  <c r="G3819" i="1" s="1"/>
  <c r="B3820" i="1"/>
  <c r="C3820" i="1" s="1"/>
  <c r="G3820" i="1" s="1"/>
  <c r="B3821" i="1"/>
  <c r="C3821" i="1" s="1"/>
  <c r="G3821" i="1" s="1"/>
  <c r="B3822" i="1"/>
  <c r="C3822" i="1" s="1"/>
  <c r="G3822" i="1" s="1"/>
  <c r="B3823" i="1"/>
  <c r="C3823" i="1" s="1"/>
  <c r="G3823" i="1" s="1"/>
  <c r="B3824" i="1"/>
  <c r="C3824" i="1" s="1"/>
  <c r="G3824" i="1" s="1"/>
  <c r="B3825" i="1"/>
  <c r="C3825" i="1" s="1"/>
  <c r="G3825" i="1" s="1"/>
  <c r="B3826" i="1"/>
  <c r="C3826" i="1" s="1"/>
  <c r="G3826" i="1" s="1"/>
  <c r="B3827" i="1"/>
  <c r="C3827" i="1" s="1"/>
  <c r="G3827" i="1" s="1"/>
  <c r="B3828" i="1"/>
  <c r="C3828" i="1" s="1"/>
  <c r="G3828" i="1" s="1"/>
  <c r="B3829" i="1"/>
  <c r="C3829" i="1" s="1"/>
  <c r="G3829" i="1" s="1"/>
  <c r="B3830" i="1"/>
  <c r="C3830" i="1" s="1"/>
  <c r="G3830" i="1" s="1"/>
  <c r="B3831" i="1"/>
  <c r="C3831" i="1" s="1"/>
  <c r="G3831" i="1" s="1"/>
  <c r="B3832" i="1"/>
  <c r="C3832" i="1" s="1"/>
  <c r="G3832" i="1" s="1"/>
  <c r="B3833" i="1"/>
  <c r="C3833" i="1" s="1"/>
  <c r="G3833" i="1" s="1"/>
  <c r="B3834" i="1"/>
  <c r="C3834" i="1" s="1"/>
  <c r="G3834" i="1" s="1"/>
  <c r="B3835" i="1"/>
  <c r="C3835" i="1" s="1"/>
  <c r="G3835" i="1" s="1"/>
  <c r="B3836" i="1"/>
  <c r="C3836" i="1" s="1"/>
  <c r="G3836" i="1" s="1"/>
  <c r="B3837" i="1"/>
  <c r="C3837" i="1" s="1"/>
  <c r="G3837" i="1" s="1"/>
  <c r="B3838" i="1"/>
  <c r="C3838" i="1" s="1"/>
  <c r="G3838" i="1" s="1"/>
  <c r="B3839" i="1"/>
  <c r="C3839" i="1" s="1"/>
  <c r="G3839" i="1" s="1"/>
  <c r="B3840" i="1"/>
  <c r="C3840" i="1" s="1"/>
  <c r="G3840" i="1" s="1"/>
  <c r="B3841" i="1"/>
  <c r="C3841" i="1" s="1"/>
  <c r="G3841" i="1" s="1"/>
  <c r="B3842" i="1"/>
  <c r="C3842" i="1" s="1"/>
  <c r="G3842" i="1" s="1"/>
  <c r="B3843" i="1"/>
  <c r="C3843" i="1" s="1"/>
  <c r="G3843" i="1" s="1"/>
  <c r="B3844" i="1"/>
  <c r="C3844" i="1" s="1"/>
  <c r="G3844" i="1" s="1"/>
  <c r="B3845" i="1"/>
  <c r="C3845" i="1" s="1"/>
  <c r="G3845" i="1" s="1"/>
  <c r="B3846" i="1"/>
  <c r="C3846" i="1" s="1"/>
  <c r="G3846" i="1" s="1"/>
  <c r="B3847" i="1"/>
  <c r="C3847" i="1" s="1"/>
  <c r="G3847" i="1" s="1"/>
  <c r="B3848" i="1"/>
  <c r="C3848" i="1" s="1"/>
  <c r="G3848" i="1" s="1"/>
  <c r="B3849" i="1"/>
  <c r="C3849" i="1" s="1"/>
  <c r="G3849" i="1" s="1"/>
  <c r="B3850" i="1"/>
  <c r="C3850" i="1" s="1"/>
  <c r="G3850" i="1" s="1"/>
  <c r="B3851" i="1"/>
  <c r="C3851" i="1" s="1"/>
  <c r="G3851" i="1" s="1"/>
  <c r="B3852" i="1"/>
  <c r="C3852" i="1" s="1"/>
  <c r="G3852" i="1" s="1"/>
  <c r="B3853" i="1"/>
  <c r="C3853" i="1" s="1"/>
  <c r="G3853" i="1" s="1"/>
  <c r="B3854" i="1"/>
  <c r="C3854" i="1" s="1"/>
  <c r="G3854" i="1" s="1"/>
  <c r="B3855" i="1"/>
  <c r="C3855" i="1" s="1"/>
  <c r="G3855" i="1" s="1"/>
  <c r="B3856" i="1"/>
  <c r="C3856" i="1" s="1"/>
  <c r="G3856" i="1" s="1"/>
  <c r="B3857" i="1"/>
  <c r="C3857" i="1" s="1"/>
  <c r="G3857" i="1" s="1"/>
  <c r="B3858" i="1"/>
  <c r="C3858" i="1" s="1"/>
  <c r="G3858" i="1" s="1"/>
  <c r="B3859" i="1"/>
  <c r="C3859" i="1" s="1"/>
  <c r="G3859" i="1" s="1"/>
  <c r="B3860" i="1"/>
  <c r="C3860" i="1" s="1"/>
  <c r="G3860" i="1" s="1"/>
  <c r="B3861" i="1"/>
  <c r="C3861" i="1" s="1"/>
  <c r="G3861" i="1" s="1"/>
  <c r="B3862" i="1"/>
  <c r="C3862" i="1" s="1"/>
  <c r="G3862" i="1" s="1"/>
  <c r="B3863" i="1"/>
  <c r="C3863" i="1" s="1"/>
  <c r="G3863" i="1" s="1"/>
  <c r="B3864" i="1"/>
  <c r="C3864" i="1" s="1"/>
  <c r="G3864" i="1" s="1"/>
  <c r="B3865" i="1"/>
  <c r="C3865" i="1" s="1"/>
  <c r="G3865" i="1" s="1"/>
  <c r="B3866" i="1"/>
  <c r="C3866" i="1" s="1"/>
  <c r="G3866" i="1" s="1"/>
  <c r="B3867" i="1"/>
  <c r="C3867" i="1" s="1"/>
  <c r="G3867" i="1" s="1"/>
  <c r="B3868" i="1"/>
  <c r="C3868" i="1" s="1"/>
  <c r="G3868" i="1" s="1"/>
  <c r="B3869" i="1"/>
  <c r="C3869" i="1" s="1"/>
  <c r="G3869" i="1" s="1"/>
  <c r="B3870" i="1"/>
  <c r="C3870" i="1" s="1"/>
  <c r="G3870" i="1" s="1"/>
  <c r="B3871" i="1"/>
  <c r="C3871" i="1" s="1"/>
  <c r="G3871" i="1" s="1"/>
  <c r="B3872" i="1"/>
  <c r="C3872" i="1" s="1"/>
  <c r="G3872" i="1" s="1"/>
  <c r="B3873" i="1"/>
  <c r="C3873" i="1" s="1"/>
  <c r="G3873" i="1" s="1"/>
  <c r="B3874" i="1"/>
  <c r="C3874" i="1" s="1"/>
  <c r="G3874" i="1" s="1"/>
  <c r="B3875" i="1"/>
  <c r="C3875" i="1" s="1"/>
  <c r="G3875" i="1" s="1"/>
  <c r="B3876" i="1"/>
  <c r="C3876" i="1" s="1"/>
  <c r="G3876" i="1" s="1"/>
  <c r="B3877" i="1"/>
  <c r="C3877" i="1" s="1"/>
  <c r="G3877" i="1" s="1"/>
  <c r="B3878" i="1"/>
  <c r="C3878" i="1" s="1"/>
  <c r="G3878" i="1" s="1"/>
  <c r="B3879" i="1"/>
  <c r="C3879" i="1" s="1"/>
  <c r="G3879" i="1" s="1"/>
  <c r="B3880" i="1"/>
  <c r="C3880" i="1" s="1"/>
  <c r="G3880" i="1" s="1"/>
  <c r="B3881" i="1"/>
  <c r="C3881" i="1" s="1"/>
  <c r="G3881" i="1" s="1"/>
  <c r="B3882" i="1"/>
  <c r="C3882" i="1" s="1"/>
  <c r="G3882" i="1" s="1"/>
  <c r="B3883" i="1"/>
  <c r="C3883" i="1" s="1"/>
  <c r="G3883" i="1" s="1"/>
  <c r="B3884" i="1"/>
  <c r="C3884" i="1" s="1"/>
  <c r="G3884" i="1" s="1"/>
  <c r="B3885" i="1"/>
  <c r="C3885" i="1" s="1"/>
  <c r="G3885" i="1" s="1"/>
  <c r="B3886" i="1"/>
  <c r="C3886" i="1" s="1"/>
  <c r="G3886" i="1" s="1"/>
  <c r="B3887" i="1"/>
  <c r="C3887" i="1" s="1"/>
  <c r="G3887" i="1" s="1"/>
  <c r="B3888" i="1"/>
  <c r="C3888" i="1" s="1"/>
  <c r="G3888" i="1" s="1"/>
  <c r="B3889" i="1"/>
  <c r="C3889" i="1" s="1"/>
  <c r="G3889" i="1" s="1"/>
  <c r="B3890" i="1"/>
  <c r="C3890" i="1" s="1"/>
  <c r="G3890" i="1" s="1"/>
  <c r="B3891" i="1"/>
  <c r="C3891" i="1" s="1"/>
  <c r="G3891" i="1" s="1"/>
  <c r="B3892" i="1"/>
  <c r="C3892" i="1" s="1"/>
  <c r="G3892" i="1" s="1"/>
  <c r="B3893" i="1"/>
  <c r="C3893" i="1" s="1"/>
  <c r="G3893" i="1" s="1"/>
  <c r="B3894" i="1"/>
  <c r="C3894" i="1" s="1"/>
  <c r="G3894" i="1" s="1"/>
  <c r="B3895" i="1"/>
  <c r="C3895" i="1" s="1"/>
  <c r="G3895" i="1" s="1"/>
  <c r="B3896" i="1"/>
  <c r="C3896" i="1" s="1"/>
  <c r="G3896" i="1" s="1"/>
  <c r="B3897" i="1"/>
  <c r="C3897" i="1" s="1"/>
  <c r="G3897" i="1" s="1"/>
  <c r="B3898" i="1"/>
  <c r="C3898" i="1" s="1"/>
  <c r="G3898" i="1" s="1"/>
  <c r="B3899" i="1"/>
  <c r="C3899" i="1" s="1"/>
  <c r="G3899" i="1" s="1"/>
  <c r="B3900" i="1"/>
  <c r="C3900" i="1" s="1"/>
  <c r="G3900" i="1" s="1"/>
  <c r="B3901" i="1"/>
  <c r="C3901" i="1" s="1"/>
  <c r="G3901" i="1" s="1"/>
  <c r="B3902" i="1"/>
  <c r="C3902" i="1" s="1"/>
  <c r="G3902" i="1" s="1"/>
  <c r="B3903" i="1"/>
  <c r="C3903" i="1" s="1"/>
  <c r="G3903" i="1" s="1"/>
  <c r="B3904" i="1"/>
  <c r="C3904" i="1" s="1"/>
  <c r="G3904" i="1" s="1"/>
  <c r="B3905" i="1"/>
  <c r="C3905" i="1" s="1"/>
  <c r="G3905" i="1" s="1"/>
  <c r="B3906" i="1"/>
  <c r="C3906" i="1" s="1"/>
  <c r="G3906" i="1" s="1"/>
  <c r="B3907" i="1"/>
  <c r="C3907" i="1" s="1"/>
  <c r="G3907" i="1" s="1"/>
  <c r="B3908" i="1"/>
  <c r="C3908" i="1" s="1"/>
  <c r="G3908" i="1" s="1"/>
  <c r="B3909" i="1"/>
  <c r="C3909" i="1" s="1"/>
  <c r="G3909" i="1" s="1"/>
  <c r="B3910" i="1"/>
  <c r="C3910" i="1" s="1"/>
  <c r="G3910" i="1" s="1"/>
  <c r="B3911" i="1"/>
  <c r="C3911" i="1" s="1"/>
  <c r="G3911" i="1" s="1"/>
  <c r="B3912" i="1"/>
  <c r="C3912" i="1" s="1"/>
  <c r="G3912" i="1" s="1"/>
  <c r="B3913" i="1"/>
  <c r="C3913" i="1" s="1"/>
  <c r="G3913" i="1" s="1"/>
  <c r="B3914" i="1"/>
  <c r="C3914" i="1" s="1"/>
  <c r="G3914" i="1" s="1"/>
  <c r="B3915" i="1"/>
  <c r="C3915" i="1" s="1"/>
  <c r="G3915" i="1" s="1"/>
  <c r="B3916" i="1"/>
  <c r="C3916" i="1" s="1"/>
  <c r="G3916" i="1" s="1"/>
  <c r="B3917" i="1"/>
  <c r="C3917" i="1" s="1"/>
  <c r="G3917" i="1" s="1"/>
  <c r="B3918" i="1"/>
  <c r="C3918" i="1" s="1"/>
  <c r="G3918" i="1" s="1"/>
  <c r="B3919" i="1"/>
  <c r="C3919" i="1" s="1"/>
  <c r="G3919" i="1" s="1"/>
  <c r="B3920" i="1"/>
  <c r="C3920" i="1" s="1"/>
  <c r="G3920" i="1" s="1"/>
  <c r="B3921" i="1"/>
  <c r="C3921" i="1" s="1"/>
  <c r="G3921" i="1" s="1"/>
  <c r="B3922" i="1"/>
  <c r="C3922" i="1" s="1"/>
  <c r="G3922" i="1" s="1"/>
  <c r="B3923" i="1"/>
  <c r="C3923" i="1" s="1"/>
  <c r="G3923" i="1" s="1"/>
  <c r="B3924" i="1"/>
  <c r="C3924" i="1" s="1"/>
  <c r="G3924" i="1" s="1"/>
  <c r="B3925" i="1"/>
  <c r="C3925" i="1" s="1"/>
  <c r="G3925" i="1" s="1"/>
  <c r="B3926" i="1"/>
  <c r="C3926" i="1" s="1"/>
  <c r="G3926" i="1" s="1"/>
  <c r="B3927" i="1"/>
  <c r="C3927" i="1" s="1"/>
  <c r="G3927" i="1" s="1"/>
  <c r="B3928" i="1"/>
  <c r="C3928" i="1" s="1"/>
  <c r="G3928" i="1" s="1"/>
  <c r="B3929" i="1"/>
  <c r="C3929" i="1" s="1"/>
  <c r="G3929" i="1" s="1"/>
  <c r="B3930" i="1"/>
  <c r="C3930" i="1" s="1"/>
  <c r="G3930" i="1" s="1"/>
  <c r="B3931" i="1"/>
  <c r="C3931" i="1" s="1"/>
  <c r="G3931" i="1" s="1"/>
  <c r="B3932" i="1"/>
  <c r="C3932" i="1" s="1"/>
  <c r="G3932" i="1" s="1"/>
  <c r="B3933" i="1"/>
  <c r="C3933" i="1" s="1"/>
  <c r="G3933" i="1" s="1"/>
  <c r="B3934" i="1"/>
  <c r="C3934" i="1" s="1"/>
  <c r="G3934" i="1" s="1"/>
  <c r="B3935" i="1"/>
  <c r="C3935" i="1" s="1"/>
  <c r="G3935" i="1" s="1"/>
  <c r="B3936" i="1"/>
  <c r="C3936" i="1" s="1"/>
  <c r="G3936" i="1" s="1"/>
  <c r="B3937" i="1"/>
  <c r="C3937" i="1" s="1"/>
  <c r="G3937" i="1" s="1"/>
  <c r="B3938" i="1"/>
  <c r="C3938" i="1" s="1"/>
  <c r="G3938" i="1" s="1"/>
  <c r="B3939" i="1"/>
  <c r="C3939" i="1" s="1"/>
  <c r="G3939" i="1" s="1"/>
  <c r="B3940" i="1"/>
  <c r="C3940" i="1" s="1"/>
  <c r="G3940" i="1" s="1"/>
  <c r="B3941" i="1"/>
  <c r="C3941" i="1" s="1"/>
  <c r="G3941" i="1" s="1"/>
  <c r="B3942" i="1"/>
  <c r="C3942" i="1" s="1"/>
  <c r="G3942" i="1" s="1"/>
  <c r="B3943" i="1"/>
  <c r="C3943" i="1" s="1"/>
  <c r="G3943" i="1" s="1"/>
  <c r="B3944" i="1"/>
  <c r="C3944" i="1" s="1"/>
  <c r="G3944" i="1" s="1"/>
  <c r="B3945" i="1"/>
  <c r="C3945" i="1" s="1"/>
  <c r="G3945" i="1" s="1"/>
  <c r="B3946" i="1"/>
  <c r="C3946" i="1" s="1"/>
  <c r="G3946" i="1" s="1"/>
  <c r="B3947" i="1"/>
  <c r="C3947" i="1" s="1"/>
  <c r="G3947" i="1" s="1"/>
  <c r="B3948" i="1"/>
  <c r="C3948" i="1" s="1"/>
  <c r="G3948" i="1" s="1"/>
  <c r="B3949" i="1"/>
  <c r="C3949" i="1" s="1"/>
  <c r="G3949" i="1" s="1"/>
  <c r="B3950" i="1"/>
  <c r="C3950" i="1" s="1"/>
  <c r="G3950" i="1" s="1"/>
  <c r="B3951" i="1"/>
  <c r="C3951" i="1" s="1"/>
  <c r="G3951" i="1" s="1"/>
  <c r="B3952" i="1"/>
  <c r="C3952" i="1" s="1"/>
  <c r="G3952" i="1" s="1"/>
  <c r="B3953" i="1"/>
  <c r="C3953" i="1" s="1"/>
  <c r="G3953" i="1" s="1"/>
  <c r="B3954" i="1"/>
  <c r="C3954" i="1" s="1"/>
  <c r="G3954" i="1" s="1"/>
  <c r="B3955" i="1"/>
  <c r="C3955" i="1" s="1"/>
  <c r="G3955" i="1" s="1"/>
  <c r="B3956" i="1"/>
  <c r="C3956" i="1" s="1"/>
  <c r="G3956" i="1" s="1"/>
  <c r="B3957" i="1"/>
  <c r="C3957" i="1" s="1"/>
  <c r="G3957" i="1" s="1"/>
  <c r="B3958" i="1"/>
  <c r="C3958" i="1" s="1"/>
  <c r="G3958" i="1" s="1"/>
  <c r="B3959" i="1"/>
  <c r="C3959" i="1" s="1"/>
  <c r="G3959" i="1" s="1"/>
  <c r="B3960" i="1"/>
  <c r="C3960" i="1" s="1"/>
  <c r="G3960" i="1" s="1"/>
  <c r="B3961" i="1"/>
  <c r="C3961" i="1" s="1"/>
  <c r="G3961" i="1" s="1"/>
  <c r="B3962" i="1"/>
  <c r="C3962" i="1" s="1"/>
  <c r="G3962" i="1" s="1"/>
  <c r="B3963" i="1"/>
  <c r="C3963" i="1" s="1"/>
  <c r="G3963" i="1" s="1"/>
  <c r="B3964" i="1"/>
  <c r="C3964" i="1" s="1"/>
  <c r="G3964" i="1" s="1"/>
  <c r="B3965" i="1"/>
  <c r="C3965" i="1" s="1"/>
  <c r="G3965" i="1" s="1"/>
  <c r="B3966" i="1"/>
  <c r="C3966" i="1" s="1"/>
  <c r="G3966" i="1" s="1"/>
  <c r="B3967" i="1"/>
  <c r="C3967" i="1" s="1"/>
  <c r="G3967" i="1" s="1"/>
  <c r="B3968" i="1"/>
  <c r="C3968" i="1" s="1"/>
  <c r="G3968" i="1" s="1"/>
  <c r="B3969" i="1"/>
  <c r="C3969" i="1" s="1"/>
  <c r="G3969" i="1" s="1"/>
  <c r="B3970" i="1"/>
  <c r="C3970" i="1" s="1"/>
  <c r="G3970" i="1" s="1"/>
  <c r="B3971" i="1"/>
  <c r="C3971" i="1" s="1"/>
  <c r="G3971" i="1" s="1"/>
  <c r="B3972" i="1"/>
  <c r="C3972" i="1" s="1"/>
  <c r="G3972" i="1" s="1"/>
  <c r="B3973" i="1"/>
  <c r="C3973" i="1" s="1"/>
  <c r="G3973" i="1" s="1"/>
  <c r="B3974" i="1"/>
  <c r="C3974" i="1" s="1"/>
  <c r="G3974" i="1" s="1"/>
  <c r="B3975" i="1"/>
  <c r="C3975" i="1" s="1"/>
  <c r="G3975" i="1" s="1"/>
  <c r="B3976" i="1"/>
  <c r="C3976" i="1" s="1"/>
  <c r="G3976" i="1" s="1"/>
  <c r="B3977" i="1"/>
  <c r="C3977" i="1" s="1"/>
  <c r="G3977" i="1" s="1"/>
  <c r="B3978" i="1"/>
  <c r="C3978" i="1" s="1"/>
  <c r="G3978" i="1" s="1"/>
  <c r="B3979" i="1"/>
  <c r="C3979" i="1" s="1"/>
  <c r="G3979" i="1" s="1"/>
  <c r="B3980" i="1"/>
  <c r="C3980" i="1" s="1"/>
  <c r="G3980" i="1" s="1"/>
  <c r="B3981" i="1"/>
  <c r="C3981" i="1" s="1"/>
  <c r="G3981" i="1" s="1"/>
  <c r="B3982" i="1"/>
  <c r="C3982" i="1" s="1"/>
  <c r="G3982" i="1" s="1"/>
  <c r="B3983" i="1"/>
  <c r="C3983" i="1" s="1"/>
  <c r="G3983" i="1" s="1"/>
  <c r="B3984" i="1"/>
  <c r="C3984" i="1" s="1"/>
  <c r="G3984" i="1" s="1"/>
  <c r="B3985" i="1"/>
  <c r="C3985" i="1" s="1"/>
  <c r="G3985" i="1" s="1"/>
  <c r="B3986" i="1"/>
  <c r="C3986" i="1" s="1"/>
  <c r="G3986" i="1" s="1"/>
  <c r="B3987" i="1"/>
  <c r="C3987" i="1" s="1"/>
  <c r="G3987" i="1" s="1"/>
  <c r="B3988" i="1"/>
  <c r="C3988" i="1" s="1"/>
  <c r="G3988" i="1" s="1"/>
  <c r="B3989" i="1"/>
  <c r="C3989" i="1" s="1"/>
  <c r="G3989" i="1" s="1"/>
  <c r="B3990" i="1"/>
  <c r="C3990" i="1" s="1"/>
  <c r="G3990" i="1" s="1"/>
  <c r="B3991" i="1"/>
  <c r="C3991" i="1" s="1"/>
  <c r="G3991" i="1" s="1"/>
  <c r="B3992" i="1"/>
  <c r="C3992" i="1" s="1"/>
  <c r="G3992" i="1" s="1"/>
  <c r="B3993" i="1"/>
  <c r="C3993" i="1" s="1"/>
  <c r="G3993" i="1" s="1"/>
  <c r="B3994" i="1"/>
  <c r="C3994" i="1" s="1"/>
  <c r="G3994" i="1" s="1"/>
  <c r="B3995" i="1"/>
  <c r="C3995" i="1" s="1"/>
  <c r="G3995" i="1" s="1"/>
  <c r="B3996" i="1"/>
  <c r="C3996" i="1" s="1"/>
  <c r="G3996" i="1" s="1"/>
  <c r="B3997" i="1"/>
  <c r="C3997" i="1" s="1"/>
  <c r="G3997" i="1" s="1"/>
  <c r="B3998" i="1"/>
  <c r="C3998" i="1" s="1"/>
  <c r="G3998" i="1" s="1"/>
  <c r="B3999" i="1"/>
  <c r="C3999" i="1" s="1"/>
  <c r="G3999" i="1" s="1"/>
  <c r="I3999" i="1" s="1"/>
  <c r="B4000" i="1"/>
  <c r="C4000" i="1" s="1"/>
  <c r="G4000" i="1" s="1"/>
  <c r="B4001" i="1"/>
  <c r="C4001" i="1" s="1"/>
  <c r="G4001" i="1" s="1"/>
  <c r="B4002" i="1"/>
  <c r="C4002" i="1" s="1"/>
  <c r="G4002" i="1" s="1"/>
  <c r="B4003" i="1"/>
  <c r="C4003" i="1" s="1"/>
  <c r="G4003" i="1" s="1"/>
  <c r="B4004" i="1"/>
  <c r="C4004" i="1" s="1"/>
  <c r="G4004" i="1" s="1"/>
  <c r="B4005" i="1"/>
  <c r="C4005" i="1" s="1"/>
  <c r="G4005" i="1" s="1"/>
  <c r="B4006" i="1"/>
  <c r="C4006" i="1" s="1"/>
  <c r="G4006" i="1" s="1"/>
  <c r="B4007" i="1"/>
  <c r="C4007" i="1" s="1"/>
  <c r="G4007" i="1" s="1"/>
  <c r="B4008" i="1"/>
  <c r="C4008" i="1" s="1"/>
  <c r="G4008" i="1" s="1"/>
  <c r="B4009" i="1"/>
  <c r="C4009" i="1" s="1"/>
  <c r="G4009" i="1" s="1"/>
  <c r="B4010" i="1"/>
  <c r="C4010" i="1" s="1"/>
  <c r="G4010" i="1" s="1"/>
  <c r="B4011" i="1"/>
  <c r="C4011" i="1" s="1"/>
  <c r="G4011" i="1" s="1"/>
  <c r="B4012" i="1"/>
  <c r="C4012" i="1" s="1"/>
  <c r="G4012" i="1" s="1"/>
  <c r="B4013" i="1"/>
  <c r="C4013" i="1" s="1"/>
  <c r="G4013" i="1" s="1"/>
  <c r="B4014" i="1"/>
  <c r="C4014" i="1" s="1"/>
  <c r="G4014" i="1" s="1"/>
  <c r="B4015" i="1"/>
  <c r="C4015" i="1" s="1"/>
  <c r="G4015" i="1" s="1"/>
  <c r="B4016" i="1"/>
  <c r="C4016" i="1" s="1"/>
  <c r="G4016" i="1" s="1"/>
  <c r="B4017" i="1"/>
  <c r="C4017" i="1" s="1"/>
  <c r="G4017" i="1" s="1"/>
  <c r="B4018" i="1"/>
  <c r="C4018" i="1" s="1"/>
  <c r="G4018" i="1" s="1"/>
  <c r="B4019" i="1"/>
  <c r="C4019" i="1" s="1"/>
  <c r="G4019" i="1" s="1"/>
  <c r="B4020" i="1"/>
  <c r="C4020" i="1" s="1"/>
  <c r="G4020" i="1" s="1"/>
  <c r="B4021" i="1"/>
  <c r="C4021" i="1" s="1"/>
  <c r="G4021" i="1" s="1"/>
  <c r="B4022" i="1"/>
  <c r="C4022" i="1" s="1"/>
  <c r="G4022" i="1" s="1"/>
  <c r="B4023" i="1"/>
  <c r="C4023" i="1" s="1"/>
  <c r="G4023" i="1" s="1"/>
  <c r="B4024" i="1"/>
  <c r="C4024" i="1" s="1"/>
  <c r="G4024" i="1" s="1"/>
  <c r="B4025" i="1"/>
  <c r="C4025" i="1" s="1"/>
  <c r="G4025" i="1" s="1"/>
  <c r="B4026" i="1"/>
  <c r="C4026" i="1" s="1"/>
  <c r="G4026" i="1" s="1"/>
  <c r="B4027" i="1"/>
  <c r="C4027" i="1" s="1"/>
  <c r="G4027" i="1" s="1"/>
  <c r="B4028" i="1"/>
  <c r="C4028" i="1" s="1"/>
  <c r="G4028" i="1" s="1"/>
  <c r="B4029" i="1"/>
  <c r="C4029" i="1" s="1"/>
  <c r="G4029" i="1" s="1"/>
  <c r="B4030" i="1"/>
  <c r="C4030" i="1" s="1"/>
  <c r="G4030" i="1" s="1"/>
  <c r="B4031" i="1"/>
  <c r="C4031" i="1" s="1"/>
  <c r="G4031" i="1" s="1"/>
  <c r="B4032" i="1"/>
  <c r="C4032" i="1" s="1"/>
  <c r="G4032" i="1" s="1"/>
  <c r="B4033" i="1"/>
  <c r="C4033" i="1" s="1"/>
  <c r="G4033" i="1" s="1"/>
  <c r="B4034" i="1"/>
  <c r="C4034" i="1" s="1"/>
  <c r="G4034" i="1" s="1"/>
  <c r="B4035" i="1"/>
  <c r="C4035" i="1" s="1"/>
  <c r="G4035" i="1" s="1"/>
  <c r="B4036" i="1"/>
  <c r="C4036" i="1" s="1"/>
  <c r="G4036" i="1" s="1"/>
  <c r="B4037" i="1"/>
  <c r="C4037" i="1" s="1"/>
  <c r="G4037" i="1" s="1"/>
  <c r="B4038" i="1"/>
  <c r="C4038" i="1" s="1"/>
  <c r="G4038" i="1" s="1"/>
  <c r="B4039" i="1"/>
  <c r="C4039" i="1" s="1"/>
  <c r="G4039" i="1" s="1"/>
  <c r="B4040" i="1"/>
  <c r="C4040" i="1" s="1"/>
  <c r="G4040" i="1" s="1"/>
  <c r="B4041" i="1"/>
  <c r="C4041" i="1" s="1"/>
  <c r="G4041" i="1" s="1"/>
  <c r="B4042" i="1"/>
  <c r="C4042" i="1" s="1"/>
  <c r="G4042" i="1" s="1"/>
  <c r="B4043" i="1"/>
  <c r="C4043" i="1" s="1"/>
  <c r="G4043" i="1" s="1"/>
  <c r="B4044" i="1"/>
  <c r="C4044" i="1" s="1"/>
  <c r="G4044" i="1" s="1"/>
  <c r="B4045" i="1"/>
  <c r="C4045" i="1" s="1"/>
  <c r="G4045" i="1" s="1"/>
  <c r="B4046" i="1"/>
  <c r="C4046" i="1" s="1"/>
  <c r="G4046" i="1" s="1"/>
  <c r="B4047" i="1"/>
  <c r="C4047" i="1" s="1"/>
  <c r="G4047" i="1" s="1"/>
  <c r="B4048" i="1"/>
  <c r="C4048" i="1" s="1"/>
  <c r="G4048" i="1" s="1"/>
  <c r="B4049" i="1"/>
  <c r="C4049" i="1" s="1"/>
  <c r="G4049" i="1" s="1"/>
  <c r="B4050" i="1"/>
  <c r="C4050" i="1" s="1"/>
  <c r="G4050" i="1" s="1"/>
  <c r="B4051" i="1"/>
  <c r="C4051" i="1" s="1"/>
  <c r="G4051" i="1" s="1"/>
  <c r="B4052" i="1"/>
  <c r="C4052" i="1" s="1"/>
  <c r="G4052" i="1" s="1"/>
  <c r="B4053" i="1"/>
  <c r="C4053" i="1" s="1"/>
  <c r="G4053" i="1" s="1"/>
  <c r="B4054" i="1"/>
  <c r="C4054" i="1" s="1"/>
  <c r="G4054" i="1" s="1"/>
  <c r="B4055" i="1"/>
  <c r="C4055" i="1" s="1"/>
  <c r="G4055" i="1" s="1"/>
  <c r="B4056" i="1"/>
  <c r="C4056" i="1" s="1"/>
  <c r="G4056" i="1" s="1"/>
  <c r="B4057" i="1"/>
  <c r="C4057" i="1" s="1"/>
  <c r="G4057" i="1" s="1"/>
  <c r="B4058" i="1"/>
  <c r="C4058" i="1" s="1"/>
  <c r="G4058" i="1" s="1"/>
  <c r="B4059" i="1"/>
  <c r="C4059" i="1" s="1"/>
  <c r="G4059" i="1" s="1"/>
  <c r="B4060" i="1"/>
  <c r="C4060" i="1" s="1"/>
  <c r="G4060" i="1" s="1"/>
  <c r="B4061" i="1"/>
  <c r="C4061" i="1" s="1"/>
  <c r="G4061" i="1" s="1"/>
  <c r="B4062" i="1"/>
  <c r="C4062" i="1" s="1"/>
  <c r="G4062" i="1" s="1"/>
  <c r="B4063" i="1"/>
  <c r="C4063" i="1" s="1"/>
  <c r="G4063" i="1" s="1"/>
  <c r="B4064" i="1"/>
  <c r="C4064" i="1" s="1"/>
  <c r="G4064" i="1" s="1"/>
  <c r="B4065" i="1"/>
  <c r="C4065" i="1" s="1"/>
  <c r="G4065" i="1" s="1"/>
  <c r="B4066" i="1"/>
  <c r="C4066" i="1" s="1"/>
  <c r="G4066" i="1" s="1"/>
  <c r="B4067" i="1"/>
  <c r="C4067" i="1" s="1"/>
  <c r="G4067" i="1" s="1"/>
  <c r="B4068" i="1"/>
  <c r="C4068" i="1" s="1"/>
  <c r="G4068" i="1" s="1"/>
  <c r="B4069" i="1"/>
  <c r="C4069" i="1" s="1"/>
  <c r="G4069" i="1" s="1"/>
  <c r="B4070" i="1"/>
  <c r="C4070" i="1" s="1"/>
  <c r="G4070" i="1" s="1"/>
  <c r="B4071" i="1"/>
  <c r="C4071" i="1" s="1"/>
  <c r="G4071" i="1" s="1"/>
  <c r="B4072" i="1"/>
  <c r="C4072" i="1" s="1"/>
  <c r="G4072" i="1" s="1"/>
  <c r="B4073" i="1"/>
  <c r="C4073" i="1" s="1"/>
  <c r="G4073" i="1" s="1"/>
  <c r="B4074" i="1"/>
  <c r="C4074" i="1" s="1"/>
  <c r="G4074" i="1" s="1"/>
  <c r="B4075" i="1"/>
  <c r="C4075" i="1" s="1"/>
  <c r="G4075" i="1" s="1"/>
  <c r="B4076" i="1"/>
  <c r="C4076" i="1" s="1"/>
  <c r="G4076" i="1" s="1"/>
  <c r="B4077" i="1"/>
  <c r="C4077" i="1" s="1"/>
  <c r="G4077" i="1" s="1"/>
  <c r="B4078" i="1"/>
  <c r="C4078" i="1" s="1"/>
  <c r="G4078" i="1" s="1"/>
  <c r="B4079" i="1"/>
  <c r="C4079" i="1" s="1"/>
  <c r="G4079" i="1" s="1"/>
  <c r="B4080" i="1"/>
  <c r="C4080" i="1" s="1"/>
  <c r="G4080" i="1" s="1"/>
  <c r="B4081" i="1"/>
  <c r="C4081" i="1" s="1"/>
  <c r="G4081" i="1" s="1"/>
  <c r="B4082" i="1"/>
  <c r="C4082" i="1" s="1"/>
  <c r="G4082" i="1" s="1"/>
  <c r="B4083" i="1"/>
  <c r="C4083" i="1" s="1"/>
  <c r="G4083" i="1" s="1"/>
  <c r="B4084" i="1"/>
  <c r="C4084" i="1" s="1"/>
  <c r="G4084" i="1" s="1"/>
  <c r="B4085" i="1"/>
  <c r="C4085" i="1" s="1"/>
  <c r="G4085" i="1" s="1"/>
  <c r="B4086" i="1"/>
  <c r="C4086" i="1" s="1"/>
  <c r="G4086" i="1" s="1"/>
  <c r="B4087" i="1"/>
  <c r="C4087" i="1" s="1"/>
  <c r="G4087" i="1" s="1"/>
  <c r="B4088" i="1"/>
  <c r="C4088" i="1" s="1"/>
  <c r="G4088" i="1" s="1"/>
  <c r="B4089" i="1"/>
  <c r="C4089" i="1" s="1"/>
  <c r="G4089" i="1" s="1"/>
  <c r="B4090" i="1"/>
  <c r="C4090" i="1" s="1"/>
  <c r="G4090" i="1" s="1"/>
  <c r="B4091" i="1"/>
  <c r="C4091" i="1" s="1"/>
  <c r="G4091" i="1" s="1"/>
  <c r="B4092" i="1"/>
  <c r="C4092" i="1" s="1"/>
  <c r="G4092" i="1" s="1"/>
  <c r="B4093" i="1"/>
  <c r="C4093" i="1" s="1"/>
  <c r="G4093" i="1" s="1"/>
  <c r="B4094" i="1"/>
  <c r="C4094" i="1" s="1"/>
  <c r="G4094" i="1" s="1"/>
  <c r="B4095" i="1"/>
  <c r="C4095" i="1" s="1"/>
  <c r="G4095" i="1" s="1"/>
  <c r="B4096" i="1"/>
  <c r="C4096" i="1" s="1"/>
  <c r="G4096" i="1" s="1"/>
  <c r="B4097" i="1"/>
  <c r="C4097" i="1" s="1"/>
  <c r="G4097" i="1" s="1"/>
  <c r="B4098" i="1"/>
  <c r="C4098" i="1" s="1"/>
  <c r="G4098" i="1" s="1"/>
  <c r="B4099" i="1"/>
  <c r="C4099" i="1" s="1"/>
  <c r="G4099" i="1" s="1"/>
  <c r="B4100" i="1"/>
  <c r="C4100" i="1" s="1"/>
  <c r="G4100" i="1" s="1"/>
  <c r="B4101" i="1"/>
  <c r="C4101" i="1" s="1"/>
  <c r="G4101" i="1" s="1"/>
  <c r="B4102" i="1"/>
  <c r="C4102" i="1" s="1"/>
  <c r="G4102" i="1" s="1"/>
  <c r="B4103" i="1"/>
  <c r="C4103" i="1" s="1"/>
  <c r="G4103" i="1" s="1"/>
  <c r="B4104" i="1"/>
  <c r="C4104" i="1" s="1"/>
  <c r="G4104" i="1" s="1"/>
  <c r="B4105" i="1"/>
  <c r="C4105" i="1" s="1"/>
  <c r="G4105" i="1" s="1"/>
  <c r="B4106" i="1"/>
  <c r="C4106" i="1" s="1"/>
  <c r="G4106" i="1" s="1"/>
  <c r="B4107" i="1"/>
  <c r="C4107" i="1" s="1"/>
  <c r="G4107" i="1" s="1"/>
  <c r="B4108" i="1"/>
  <c r="C4108" i="1" s="1"/>
  <c r="G4108" i="1" s="1"/>
  <c r="B4109" i="1"/>
  <c r="C4109" i="1" s="1"/>
  <c r="G4109" i="1" s="1"/>
  <c r="B4110" i="1"/>
  <c r="C4110" i="1" s="1"/>
  <c r="G4110" i="1" s="1"/>
  <c r="B4111" i="1"/>
  <c r="C4111" i="1" s="1"/>
  <c r="G4111" i="1" s="1"/>
  <c r="B4112" i="1"/>
  <c r="C4112" i="1" s="1"/>
  <c r="G4112" i="1" s="1"/>
  <c r="B4113" i="1"/>
  <c r="C4113" i="1" s="1"/>
  <c r="G4113" i="1" s="1"/>
  <c r="B4114" i="1"/>
  <c r="C4114" i="1" s="1"/>
  <c r="G4114" i="1" s="1"/>
  <c r="B4115" i="1"/>
  <c r="C4115" i="1" s="1"/>
  <c r="G4115" i="1" s="1"/>
  <c r="B4116" i="1"/>
  <c r="C4116" i="1" s="1"/>
  <c r="G4116" i="1" s="1"/>
  <c r="B4117" i="1"/>
  <c r="C4117" i="1" s="1"/>
  <c r="G4117" i="1" s="1"/>
  <c r="B4118" i="1"/>
  <c r="C4118" i="1" s="1"/>
  <c r="G4118" i="1" s="1"/>
  <c r="B4119" i="1"/>
  <c r="C4119" i="1" s="1"/>
  <c r="G4119" i="1" s="1"/>
  <c r="B4120" i="1"/>
  <c r="C4120" i="1" s="1"/>
  <c r="G4120" i="1" s="1"/>
  <c r="B4121" i="1"/>
  <c r="C4121" i="1" s="1"/>
  <c r="G4121" i="1" s="1"/>
  <c r="B4122" i="1"/>
  <c r="C4122" i="1" s="1"/>
  <c r="G4122" i="1" s="1"/>
  <c r="B4123" i="1"/>
  <c r="C4123" i="1" s="1"/>
  <c r="G4123" i="1" s="1"/>
  <c r="B4124" i="1"/>
  <c r="C4124" i="1" s="1"/>
  <c r="G4124" i="1" s="1"/>
  <c r="B4125" i="1"/>
  <c r="C4125" i="1" s="1"/>
  <c r="G4125" i="1" s="1"/>
  <c r="B4126" i="1"/>
  <c r="C4126" i="1" s="1"/>
  <c r="G4126" i="1" s="1"/>
  <c r="B4127" i="1"/>
  <c r="C4127" i="1" s="1"/>
  <c r="G4127" i="1" s="1"/>
  <c r="B4128" i="1"/>
  <c r="C4128" i="1" s="1"/>
  <c r="G4128" i="1" s="1"/>
  <c r="B4129" i="1"/>
  <c r="C4129" i="1" s="1"/>
  <c r="G4129" i="1" s="1"/>
  <c r="B4130" i="1"/>
  <c r="C4130" i="1" s="1"/>
  <c r="G4130" i="1" s="1"/>
  <c r="B4131" i="1"/>
  <c r="C4131" i="1" s="1"/>
  <c r="G4131" i="1" s="1"/>
  <c r="B4132" i="1"/>
  <c r="C4132" i="1" s="1"/>
  <c r="G4132" i="1" s="1"/>
  <c r="B4133" i="1"/>
  <c r="C4133" i="1" s="1"/>
  <c r="G4133" i="1" s="1"/>
  <c r="B4134" i="1"/>
  <c r="C4134" i="1" s="1"/>
  <c r="G4134" i="1" s="1"/>
  <c r="B4135" i="1"/>
  <c r="C4135" i="1" s="1"/>
  <c r="G4135" i="1" s="1"/>
  <c r="B4136" i="1"/>
  <c r="C4136" i="1" s="1"/>
  <c r="G4136" i="1" s="1"/>
  <c r="B4137" i="1"/>
  <c r="C4137" i="1" s="1"/>
  <c r="G4137" i="1" s="1"/>
  <c r="B4138" i="1"/>
  <c r="C4138" i="1" s="1"/>
  <c r="G4138" i="1" s="1"/>
  <c r="B4139" i="1"/>
  <c r="C4139" i="1" s="1"/>
  <c r="G4139" i="1" s="1"/>
  <c r="B4140" i="1"/>
  <c r="C4140" i="1" s="1"/>
  <c r="G4140" i="1" s="1"/>
  <c r="B4141" i="1"/>
  <c r="C4141" i="1" s="1"/>
  <c r="G4141" i="1" s="1"/>
  <c r="B4142" i="1"/>
  <c r="C4142" i="1" s="1"/>
  <c r="G4142" i="1" s="1"/>
  <c r="B4143" i="1"/>
  <c r="C4143" i="1" s="1"/>
  <c r="G4143" i="1" s="1"/>
  <c r="B4144" i="1"/>
  <c r="C4144" i="1" s="1"/>
  <c r="G4144" i="1" s="1"/>
  <c r="B4145" i="1"/>
  <c r="C4145" i="1" s="1"/>
  <c r="G4145" i="1" s="1"/>
  <c r="B4146" i="1"/>
  <c r="C4146" i="1" s="1"/>
  <c r="G4146" i="1" s="1"/>
  <c r="B4147" i="1"/>
  <c r="C4147" i="1" s="1"/>
  <c r="G4147" i="1" s="1"/>
  <c r="B4148" i="1"/>
  <c r="C4148" i="1" s="1"/>
  <c r="G4148" i="1" s="1"/>
  <c r="B4149" i="1"/>
  <c r="C4149" i="1" s="1"/>
  <c r="G4149" i="1" s="1"/>
  <c r="B4150" i="1"/>
  <c r="C4150" i="1" s="1"/>
  <c r="G4150" i="1" s="1"/>
  <c r="B4151" i="1"/>
  <c r="C4151" i="1" s="1"/>
  <c r="G4151" i="1" s="1"/>
  <c r="B4152" i="1"/>
  <c r="C4152" i="1" s="1"/>
  <c r="G4152" i="1" s="1"/>
  <c r="B4153" i="1"/>
  <c r="C4153" i="1" s="1"/>
  <c r="G4153" i="1" s="1"/>
  <c r="B4154" i="1"/>
  <c r="C4154" i="1" s="1"/>
  <c r="G4154" i="1" s="1"/>
  <c r="B4155" i="1"/>
  <c r="C4155" i="1" s="1"/>
  <c r="G4155" i="1" s="1"/>
  <c r="B4156" i="1"/>
  <c r="C4156" i="1" s="1"/>
  <c r="G4156" i="1" s="1"/>
  <c r="B4157" i="1"/>
  <c r="C4157" i="1" s="1"/>
  <c r="G4157" i="1" s="1"/>
  <c r="B4158" i="1"/>
  <c r="C4158" i="1" s="1"/>
  <c r="G4158" i="1" s="1"/>
  <c r="B4159" i="1"/>
  <c r="C4159" i="1" s="1"/>
  <c r="G4159" i="1" s="1"/>
  <c r="B4160" i="1"/>
  <c r="C4160" i="1" s="1"/>
  <c r="G4160" i="1" s="1"/>
  <c r="B4161" i="1"/>
  <c r="C4161" i="1" s="1"/>
  <c r="G4161" i="1" s="1"/>
  <c r="B4162" i="1"/>
  <c r="C4162" i="1" s="1"/>
  <c r="G4162" i="1" s="1"/>
  <c r="B4163" i="1"/>
  <c r="C4163" i="1" s="1"/>
  <c r="G4163" i="1" s="1"/>
  <c r="B4164" i="1"/>
  <c r="C4164" i="1" s="1"/>
  <c r="G4164" i="1" s="1"/>
  <c r="B4165" i="1"/>
  <c r="C4165" i="1" s="1"/>
  <c r="G4165" i="1" s="1"/>
  <c r="B4166" i="1"/>
  <c r="C4166" i="1" s="1"/>
  <c r="G4166" i="1" s="1"/>
  <c r="B4167" i="1"/>
  <c r="C4167" i="1" s="1"/>
  <c r="G4167" i="1" s="1"/>
  <c r="B4168" i="1"/>
  <c r="C4168" i="1" s="1"/>
  <c r="G4168" i="1" s="1"/>
  <c r="B4169" i="1"/>
  <c r="C4169" i="1" s="1"/>
  <c r="G4169" i="1" s="1"/>
  <c r="B4170" i="1"/>
  <c r="C4170" i="1" s="1"/>
  <c r="G4170" i="1" s="1"/>
  <c r="B4171" i="1"/>
  <c r="C4171" i="1" s="1"/>
  <c r="G4171" i="1" s="1"/>
  <c r="B4172" i="1"/>
  <c r="C4172" i="1" s="1"/>
  <c r="G4172" i="1" s="1"/>
  <c r="B4173" i="1"/>
  <c r="C4173" i="1" s="1"/>
  <c r="G4173" i="1" s="1"/>
  <c r="B4174" i="1"/>
  <c r="C4174" i="1" s="1"/>
  <c r="G4174" i="1" s="1"/>
  <c r="B4175" i="1"/>
  <c r="C4175" i="1" s="1"/>
  <c r="G4175" i="1" s="1"/>
  <c r="B4176" i="1"/>
  <c r="C4176" i="1" s="1"/>
  <c r="G4176" i="1" s="1"/>
  <c r="B4177" i="1"/>
  <c r="C4177" i="1" s="1"/>
  <c r="G4177" i="1" s="1"/>
  <c r="B4178" i="1"/>
  <c r="C4178" i="1" s="1"/>
  <c r="G4178" i="1" s="1"/>
  <c r="B4179" i="1"/>
  <c r="C4179" i="1" s="1"/>
  <c r="G4179" i="1" s="1"/>
  <c r="B4180" i="1"/>
  <c r="C4180" i="1" s="1"/>
  <c r="G4180" i="1" s="1"/>
  <c r="B4181" i="1"/>
  <c r="C4181" i="1" s="1"/>
  <c r="G4181" i="1" s="1"/>
  <c r="B4182" i="1"/>
  <c r="C4182" i="1" s="1"/>
  <c r="G4182" i="1" s="1"/>
  <c r="B4183" i="1"/>
  <c r="C4183" i="1" s="1"/>
  <c r="G4183" i="1" s="1"/>
  <c r="B4184" i="1"/>
  <c r="C4184" i="1" s="1"/>
  <c r="G4184" i="1" s="1"/>
  <c r="B4185" i="1"/>
  <c r="C4185" i="1" s="1"/>
  <c r="G4185" i="1" s="1"/>
  <c r="B4186" i="1"/>
  <c r="C4186" i="1" s="1"/>
  <c r="G4186" i="1" s="1"/>
  <c r="B4187" i="1"/>
  <c r="C4187" i="1" s="1"/>
  <c r="G4187" i="1" s="1"/>
  <c r="B4188" i="1"/>
  <c r="C4188" i="1" s="1"/>
  <c r="G4188" i="1" s="1"/>
  <c r="B4189" i="1"/>
  <c r="C4189" i="1" s="1"/>
  <c r="G4189" i="1" s="1"/>
  <c r="B4190" i="1"/>
  <c r="C4190" i="1" s="1"/>
  <c r="G4190" i="1" s="1"/>
  <c r="B4191" i="1"/>
  <c r="C4191" i="1" s="1"/>
  <c r="G4191" i="1" s="1"/>
  <c r="B4192" i="1"/>
  <c r="C4192" i="1" s="1"/>
  <c r="G4192" i="1" s="1"/>
  <c r="B4193" i="1"/>
  <c r="C4193" i="1" s="1"/>
  <c r="G4193" i="1" s="1"/>
  <c r="B4194" i="1"/>
  <c r="C4194" i="1" s="1"/>
  <c r="G4194" i="1" s="1"/>
  <c r="B4195" i="1"/>
  <c r="C4195" i="1" s="1"/>
  <c r="G4195" i="1" s="1"/>
  <c r="B4196" i="1"/>
  <c r="C4196" i="1" s="1"/>
  <c r="G4196" i="1" s="1"/>
  <c r="B4197" i="1"/>
  <c r="C4197" i="1" s="1"/>
  <c r="G4197" i="1" s="1"/>
  <c r="B4198" i="1"/>
  <c r="C4198" i="1" s="1"/>
  <c r="G4198" i="1" s="1"/>
  <c r="B4199" i="1"/>
  <c r="C4199" i="1" s="1"/>
  <c r="G4199" i="1" s="1"/>
  <c r="B4200" i="1"/>
  <c r="C4200" i="1" s="1"/>
  <c r="G4200" i="1" s="1"/>
  <c r="B4201" i="1"/>
  <c r="C4201" i="1" s="1"/>
  <c r="G4201" i="1" s="1"/>
  <c r="B4202" i="1"/>
  <c r="C4202" i="1" s="1"/>
  <c r="G4202" i="1" s="1"/>
  <c r="B4203" i="1"/>
  <c r="C4203" i="1" s="1"/>
  <c r="G4203" i="1" s="1"/>
  <c r="B4204" i="1"/>
  <c r="C4204" i="1" s="1"/>
  <c r="G4204" i="1" s="1"/>
  <c r="B4205" i="1"/>
  <c r="C4205" i="1" s="1"/>
  <c r="G4205" i="1" s="1"/>
  <c r="B4206" i="1"/>
  <c r="C4206" i="1" s="1"/>
  <c r="G4206" i="1" s="1"/>
  <c r="B4207" i="1"/>
  <c r="C4207" i="1" s="1"/>
  <c r="G4207" i="1" s="1"/>
  <c r="B4208" i="1"/>
  <c r="C4208" i="1" s="1"/>
  <c r="G4208" i="1" s="1"/>
  <c r="B4209" i="1"/>
  <c r="C4209" i="1" s="1"/>
  <c r="G4209" i="1" s="1"/>
  <c r="B4210" i="1"/>
  <c r="C4210" i="1" s="1"/>
  <c r="G4210" i="1" s="1"/>
  <c r="B4211" i="1"/>
  <c r="C4211" i="1" s="1"/>
  <c r="G4211" i="1" s="1"/>
  <c r="B4212" i="1"/>
  <c r="C4212" i="1" s="1"/>
  <c r="G4212" i="1" s="1"/>
  <c r="B4213" i="1"/>
  <c r="C4213" i="1" s="1"/>
  <c r="G4213" i="1" s="1"/>
  <c r="B4214" i="1"/>
  <c r="C4214" i="1" s="1"/>
  <c r="G4214" i="1" s="1"/>
  <c r="B4215" i="1"/>
  <c r="C4215" i="1" s="1"/>
  <c r="G4215" i="1" s="1"/>
  <c r="B4216" i="1"/>
  <c r="C4216" i="1" s="1"/>
  <c r="G4216" i="1" s="1"/>
  <c r="B4217" i="1"/>
  <c r="C4217" i="1" s="1"/>
  <c r="G4217" i="1" s="1"/>
  <c r="B4218" i="1"/>
  <c r="C4218" i="1" s="1"/>
  <c r="G4218" i="1" s="1"/>
  <c r="B4219" i="1"/>
  <c r="C4219" i="1" s="1"/>
  <c r="G4219" i="1" s="1"/>
  <c r="B4220" i="1"/>
  <c r="C4220" i="1" s="1"/>
  <c r="G4220" i="1" s="1"/>
  <c r="B4221" i="1"/>
  <c r="C4221" i="1" s="1"/>
  <c r="G4221" i="1" s="1"/>
  <c r="B4222" i="1"/>
  <c r="C4222" i="1" s="1"/>
  <c r="G4222" i="1" s="1"/>
  <c r="B4223" i="1"/>
  <c r="C4223" i="1" s="1"/>
  <c r="G4223" i="1" s="1"/>
  <c r="B4224" i="1"/>
  <c r="C4224" i="1" s="1"/>
  <c r="G4224" i="1" s="1"/>
  <c r="B4225" i="1"/>
  <c r="C4225" i="1" s="1"/>
  <c r="G4225" i="1" s="1"/>
  <c r="B4226" i="1"/>
  <c r="C4226" i="1" s="1"/>
  <c r="G4226" i="1" s="1"/>
  <c r="B4227" i="1"/>
  <c r="C4227" i="1" s="1"/>
  <c r="G4227" i="1" s="1"/>
  <c r="B4228" i="1"/>
  <c r="C4228" i="1" s="1"/>
  <c r="G4228" i="1" s="1"/>
  <c r="B4229" i="1"/>
  <c r="C4229" i="1" s="1"/>
  <c r="G4229" i="1" s="1"/>
  <c r="B4230" i="1"/>
  <c r="C4230" i="1" s="1"/>
  <c r="G4230" i="1" s="1"/>
  <c r="B4231" i="1"/>
  <c r="C4231" i="1" s="1"/>
  <c r="G4231" i="1" s="1"/>
  <c r="B4232" i="1"/>
  <c r="C4232" i="1" s="1"/>
  <c r="G4232" i="1" s="1"/>
  <c r="B4233" i="1"/>
  <c r="C4233" i="1" s="1"/>
  <c r="G4233" i="1" s="1"/>
  <c r="B4234" i="1"/>
  <c r="C4234" i="1" s="1"/>
  <c r="G4234" i="1" s="1"/>
  <c r="B4235" i="1"/>
  <c r="C4235" i="1" s="1"/>
  <c r="G4235" i="1" s="1"/>
  <c r="B4236" i="1"/>
  <c r="C4236" i="1" s="1"/>
  <c r="G4236" i="1" s="1"/>
  <c r="B4237" i="1"/>
  <c r="C4237" i="1" s="1"/>
  <c r="G4237" i="1" s="1"/>
  <c r="B4238" i="1"/>
  <c r="C4238" i="1" s="1"/>
  <c r="G4238" i="1" s="1"/>
  <c r="B4239" i="1"/>
  <c r="C4239" i="1" s="1"/>
  <c r="G4239" i="1" s="1"/>
  <c r="B4240" i="1"/>
  <c r="C4240" i="1" s="1"/>
  <c r="G4240" i="1" s="1"/>
  <c r="B4241" i="1"/>
  <c r="C4241" i="1" s="1"/>
  <c r="G4241" i="1" s="1"/>
  <c r="B4242" i="1"/>
  <c r="C4242" i="1" s="1"/>
  <c r="G4242" i="1" s="1"/>
  <c r="B4243" i="1"/>
  <c r="C4243" i="1" s="1"/>
  <c r="G4243" i="1" s="1"/>
  <c r="B4244" i="1"/>
  <c r="C4244" i="1" s="1"/>
  <c r="G4244" i="1" s="1"/>
  <c r="B4245" i="1"/>
  <c r="C4245" i="1" s="1"/>
  <c r="G4245" i="1" s="1"/>
  <c r="B4246" i="1"/>
  <c r="C4246" i="1" s="1"/>
  <c r="G4246" i="1" s="1"/>
  <c r="B4247" i="1"/>
  <c r="C4247" i="1" s="1"/>
  <c r="G4247" i="1" s="1"/>
  <c r="B4248" i="1"/>
  <c r="C4248" i="1" s="1"/>
  <c r="G4248" i="1" s="1"/>
  <c r="B4249" i="1"/>
  <c r="C4249" i="1" s="1"/>
  <c r="G4249" i="1" s="1"/>
  <c r="B4250" i="1"/>
  <c r="C4250" i="1" s="1"/>
  <c r="G4250" i="1" s="1"/>
  <c r="B4251" i="1"/>
  <c r="C4251" i="1" s="1"/>
  <c r="G4251" i="1" s="1"/>
  <c r="B4252" i="1"/>
  <c r="C4252" i="1" s="1"/>
  <c r="G4252" i="1" s="1"/>
  <c r="B4253" i="1"/>
  <c r="C4253" i="1" s="1"/>
  <c r="G4253" i="1" s="1"/>
  <c r="B4254" i="1"/>
  <c r="C4254" i="1" s="1"/>
  <c r="G4254" i="1" s="1"/>
  <c r="B4255" i="1"/>
  <c r="C4255" i="1" s="1"/>
  <c r="G4255" i="1" s="1"/>
  <c r="B4256" i="1"/>
  <c r="C4256" i="1" s="1"/>
  <c r="G4256" i="1" s="1"/>
  <c r="B4257" i="1"/>
  <c r="C4257" i="1" s="1"/>
  <c r="G4257" i="1" s="1"/>
  <c r="B4258" i="1"/>
  <c r="C4258" i="1" s="1"/>
  <c r="G4258" i="1" s="1"/>
  <c r="B4259" i="1"/>
  <c r="C4259" i="1" s="1"/>
  <c r="G4259" i="1" s="1"/>
  <c r="B4260" i="1"/>
  <c r="C4260" i="1" s="1"/>
  <c r="G4260" i="1" s="1"/>
  <c r="B4261" i="1"/>
  <c r="C4261" i="1" s="1"/>
  <c r="G4261" i="1" s="1"/>
  <c r="B4262" i="1"/>
  <c r="C4262" i="1" s="1"/>
  <c r="G4262" i="1" s="1"/>
  <c r="B4263" i="1"/>
  <c r="C4263" i="1" s="1"/>
  <c r="G4263" i="1" s="1"/>
  <c r="B4264" i="1"/>
  <c r="C4264" i="1" s="1"/>
  <c r="G4264" i="1" s="1"/>
  <c r="B4265" i="1"/>
  <c r="C4265" i="1" s="1"/>
  <c r="G4265" i="1" s="1"/>
  <c r="B4266" i="1"/>
  <c r="C4266" i="1" s="1"/>
  <c r="G4266" i="1" s="1"/>
  <c r="B4267" i="1"/>
  <c r="C4267" i="1" s="1"/>
  <c r="G4267" i="1" s="1"/>
  <c r="B4268" i="1"/>
  <c r="C4268" i="1" s="1"/>
  <c r="G4268" i="1" s="1"/>
  <c r="B4269" i="1"/>
  <c r="C4269" i="1" s="1"/>
  <c r="G4269" i="1" s="1"/>
  <c r="B4270" i="1"/>
  <c r="C4270" i="1" s="1"/>
  <c r="G4270" i="1" s="1"/>
  <c r="B4271" i="1"/>
  <c r="C4271" i="1" s="1"/>
  <c r="G4271" i="1" s="1"/>
  <c r="B4272" i="1"/>
  <c r="C4272" i="1" s="1"/>
  <c r="G4272" i="1" s="1"/>
  <c r="B4273" i="1"/>
  <c r="C4273" i="1" s="1"/>
  <c r="G4273" i="1" s="1"/>
  <c r="B4274" i="1"/>
  <c r="C4274" i="1" s="1"/>
  <c r="G4274" i="1" s="1"/>
  <c r="B4275" i="1"/>
  <c r="C4275" i="1" s="1"/>
  <c r="G4275" i="1" s="1"/>
  <c r="B4276" i="1"/>
  <c r="C4276" i="1" s="1"/>
  <c r="G4276" i="1" s="1"/>
  <c r="B4277" i="1"/>
  <c r="C4277" i="1" s="1"/>
  <c r="G4277" i="1" s="1"/>
  <c r="B4278" i="1"/>
  <c r="C4278" i="1" s="1"/>
  <c r="G4278" i="1" s="1"/>
  <c r="B4279" i="1"/>
  <c r="C4279" i="1" s="1"/>
  <c r="G4279" i="1" s="1"/>
  <c r="B4280" i="1"/>
  <c r="C4280" i="1" s="1"/>
  <c r="G4280" i="1" s="1"/>
  <c r="B4281" i="1"/>
  <c r="C4281" i="1" s="1"/>
  <c r="G4281" i="1" s="1"/>
  <c r="B4282" i="1"/>
  <c r="C4282" i="1" s="1"/>
  <c r="G4282" i="1" s="1"/>
  <c r="B4283" i="1"/>
  <c r="C4283" i="1" s="1"/>
  <c r="G4283" i="1" s="1"/>
  <c r="B4284" i="1"/>
  <c r="C4284" i="1" s="1"/>
  <c r="G4284" i="1" s="1"/>
  <c r="B4285" i="1"/>
  <c r="C4285" i="1" s="1"/>
  <c r="G4285" i="1" s="1"/>
  <c r="B4286" i="1"/>
  <c r="C4286" i="1" s="1"/>
  <c r="G4286" i="1" s="1"/>
  <c r="B4287" i="1"/>
  <c r="C4287" i="1" s="1"/>
  <c r="G4287" i="1" s="1"/>
  <c r="B4288" i="1"/>
  <c r="C4288" i="1" s="1"/>
  <c r="G4288" i="1" s="1"/>
  <c r="B4289" i="1"/>
  <c r="C4289" i="1" s="1"/>
  <c r="G4289" i="1" s="1"/>
  <c r="B4290" i="1"/>
  <c r="C4290" i="1" s="1"/>
  <c r="G4290" i="1" s="1"/>
  <c r="B4291" i="1"/>
  <c r="C4291" i="1" s="1"/>
  <c r="G4291" i="1" s="1"/>
  <c r="B4292" i="1"/>
  <c r="C4292" i="1" s="1"/>
  <c r="G4292" i="1" s="1"/>
  <c r="B4293" i="1"/>
  <c r="C4293" i="1" s="1"/>
  <c r="G4293" i="1" s="1"/>
  <c r="B4294" i="1"/>
  <c r="C4294" i="1" s="1"/>
  <c r="G4294" i="1" s="1"/>
  <c r="B4295" i="1"/>
  <c r="C4295" i="1" s="1"/>
  <c r="G4295" i="1" s="1"/>
  <c r="B4296" i="1"/>
  <c r="C4296" i="1" s="1"/>
  <c r="G4296" i="1" s="1"/>
  <c r="B4297" i="1"/>
  <c r="C4297" i="1" s="1"/>
  <c r="G4297" i="1" s="1"/>
  <c r="B4298" i="1"/>
  <c r="C4298" i="1" s="1"/>
  <c r="G4298" i="1" s="1"/>
  <c r="B4299" i="1"/>
  <c r="C4299" i="1" s="1"/>
  <c r="G4299" i="1" s="1"/>
  <c r="B4300" i="1"/>
  <c r="C4300" i="1" s="1"/>
  <c r="G4300" i="1" s="1"/>
  <c r="B4301" i="1"/>
  <c r="C4301" i="1" s="1"/>
  <c r="G4301" i="1" s="1"/>
  <c r="B4302" i="1"/>
  <c r="C4302" i="1" s="1"/>
  <c r="G4302" i="1" s="1"/>
  <c r="B4303" i="1"/>
  <c r="C4303" i="1" s="1"/>
  <c r="G4303" i="1" s="1"/>
  <c r="B4304" i="1"/>
  <c r="C4304" i="1" s="1"/>
  <c r="G4304" i="1" s="1"/>
  <c r="B4305" i="1"/>
  <c r="C4305" i="1" s="1"/>
  <c r="G4305" i="1" s="1"/>
  <c r="B4306" i="1"/>
  <c r="C4306" i="1" s="1"/>
  <c r="G4306" i="1" s="1"/>
  <c r="B4307" i="1"/>
  <c r="C4307" i="1" s="1"/>
  <c r="G4307" i="1" s="1"/>
  <c r="B4308" i="1"/>
  <c r="C4308" i="1" s="1"/>
  <c r="G4308" i="1" s="1"/>
  <c r="B4309" i="1"/>
  <c r="C4309" i="1" s="1"/>
  <c r="G4309" i="1" s="1"/>
  <c r="B4310" i="1"/>
  <c r="C4310" i="1" s="1"/>
  <c r="G4310" i="1" s="1"/>
  <c r="B4311" i="1"/>
  <c r="C4311" i="1" s="1"/>
  <c r="G4311" i="1" s="1"/>
  <c r="B4312" i="1"/>
  <c r="C4312" i="1" s="1"/>
  <c r="G4312" i="1" s="1"/>
  <c r="B4313" i="1"/>
  <c r="C4313" i="1" s="1"/>
  <c r="G4313" i="1" s="1"/>
  <c r="B4314" i="1"/>
  <c r="C4314" i="1" s="1"/>
  <c r="G4314" i="1" s="1"/>
  <c r="B4315" i="1"/>
  <c r="C4315" i="1" s="1"/>
  <c r="G4315" i="1" s="1"/>
  <c r="B4316" i="1"/>
  <c r="C4316" i="1" s="1"/>
  <c r="G4316" i="1" s="1"/>
  <c r="B2" i="1"/>
  <c r="C2" i="1" s="1"/>
  <c r="G2" i="1" s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E360" i="1"/>
  <c r="E361" i="1"/>
  <c r="E362" i="1"/>
  <c r="E363" i="1"/>
  <c r="E364" i="1"/>
  <c r="E365" i="1"/>
  <c r="E366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388" i="1"/>
  <c r="E389" i="1"/>
  <c r="E390" i="1"/>
  <c r="E391" i="1"/>
  <c r="E392" i="1"/>
  <c r="E393" i="1"/>
  <c r="E394" i="1"/>
  <c r="E395" i="1"/>
  <c r="E396" i="1"/>
  <c r="E397" i="1"/>
  <c r="E398" i="1"/>
  <c r="E399" i="1"/>
  <c r="E400" i="1"/>
  <c r="E401" i="1"/>
  <c r="E402" i="1"/>
  <c r="E403" i="1"/>
  <c r="E404" i="1"/>
  <c r="E405" i="1"/>
  <c r="E406" i="1"/>
  <c r="E407" i="1"/>
  <c r="E408" i="1"/>
  <c r="E409" i="1"/>
  <c r="E410" i="1"/>
  <c r="E411" i="1"/>
  <c r="E412" i="1"/>
  <c r="E413" i="1"/>
  <c r="E414" i="1"/>
  <c r="E415" i="1"/>
  <c r="E416" i="1"/>
  <c r="E417" i="1"/>
  <c r="E418" i="1"/>
  <c r="E419" i="1"/>
  <c r="E420" i="1"/>
  <c r="E421" i="1"/>
  <c r="E422" i="1"/>
  <c r="E423" i="1"/>
  <c r="E424" i="1"/>
  <c r="E425" i="1"/>
  <c r="E426" i="1"/>
  <c r="E427" i="1"/>
  <c r="E428" i="1"/>
  <c r="E429" i="1"/>
  <c r="E430" i="1"/>
  <c r="E431" i="1"/>
  <c r="E432" i="1"/>
  <c r="E433" i="1"/>
  <c r="E434" i="1"/>
  <c r="E435" i="1"/>
  <c r="E436" i="1"/>
  <c r="E437" i="1"/>
  <c r="E438" i="1"/>
  <c r="E439" i="1"/>
  <c r="E440" i="1"/>
  <c r="E441" i="1"/>
  <c r="E442" i="1"/>
  <c r="E443" i="1"/>
  <c r="E444" i="1"/>
  <c r="E445" i="1"/>
  <c r="E446" i="1"/>
  <c r="E447" i="1"/>
  <c r="E448" i="1"/>
  <c r="E449" i="1"/>
  <c r="E450" i="1"/>
  <c r="E451" i="1"/>
  <c r="E452" i="1"/>
  <c r="E453" i="1"/>
  <c r="E454" i="1"/>
  <c r="E455" i="1"/>
  <c r="E456" i="1"/>
  <c r="E457" i="1"/>
  <c r="E458" i="1"/>
  <c r="E459" i="1"/>
  <c r="E460" i="1"/>
  <c r="E461" i="1"/>
  <c r="E462" i="1"/>
  <c r="E463" i="1"/>
  <c r="E464" i="1"/>
  <c r="E465" i="1"/>
  <c r="E466" i="1"/>
  <c r="E467" i="1"/>
  <c r="E468" i="1"/>
  <c r="E469" i="1"/>
  <c r="E470" i="1"/>
  <c r="E471" i="1"/>
  <c r="E472" i="1"/>
  <c r="E473" i="1"/>
  <c r="E474" i="1"/>
  <c r="E475" i="1"/>
  <c r="E476" i="1"/>
  <c r="E477" i="1"/>
  <c r="E478" i="1"/>
  <c r="E479" i="1"/>
  <c r="E480" i="1"/>
  <c r="E481" i="1"/>
  <c r="E482" i="1"/>
  <c r="E483" i="1"/>
  <c r="E484" i="1"/>
  <c r="E485" i="1"/>
  <c r="E486" i="1"/>
  <c r="E487" i="1"/>
  <c r="E488" i="1"/>
  <c r="E489" i="1"/>
  <c r="E490" i="1"/>
  <c r="E491" i="1"/>
  <c r="E492" i="1"/>
  <c r="E493" i="1"/>
  <c r="E494" i="1"/>
  <c r="E495" i="1"/>
  <c r="E496" i="1"/>
  <c r="E497" i="1"/>
  <c r="E498" i="1"/>
  <c r="E499" i="1"/>
  <c r="E500" i="1"/>
  <c r="E501" i="1"/>
  <c r="E502" i="1"/>
  <c r="E503" i="1"/>
  <c r="E504" i="1"/>
  <c r="E505" i="1"/>
  <c r="E506" i="1"/>
  <c r="E507" i="1"/>
  <c r="E508" i="1"/>
  <c r="E509" i="1"/>
  <c r="E510" i="1"/>
  <c r="E511" i="1"/>
  <c r="E512" i="1"/>
  <c r="E513" i="1"/>
  <c r="E514" i="1"/>
  <c r="E515" i="1"/>
  <c r="E516" i="1"/>
  <c r="E517" i="1"/>
  <c r="E518" i="1"/>
  <c r="E519" i="1"/>
  <c r="E520" i="1"/>
  <c r="E521" i="1"/>
  <c r="E522" i="1"/>
  <c r="E523" i="1"/>
  <c r="E524" i="1"/>
  <c r="E525" i="1"/>
  <c r="E526" i="1"/>
  <c r="E527" i="1"/>
  <c r="E528" i="1"/>
  <c r="E529" i="1"/>
  <c r="E530" i="1"/>
  <c r="E531" i="1"/>
  <c r="E532" i="1"/>
  <c r="E533" i="1"/>
  <c r="E534" i="1"/>
  <c r="E535" i="1"/>
  <c r="E536" i="1"/>
  <c r="E537" i="1"/>
  <c r="E538" i="1"/>
  <c r="E539" i="1"/>
  <c r="E540" i="1"/>
  <c r="E541" i="1"/>
  <c r="E542" i="1"/>
  <c r="E543" i="1"/>
  <c r="E544" i="1"/>
  <c r="E545" i="1"/>
  <c r="E546" i="1"/>
  <c r="E547" i="1"/>
  <c r="E548" i="1"/>
  <c r="E549" i="1"/>
  <c r="E550" i="1"/>
  <c r="E551" i="1"/>
  <c r="E552" i="1"/>
  <c r="E553" i="1"/>
  <c r="E554" i="1"/>
  <c r="E555" i="1"/>
  <c r="E556" i="1"/>
  <c r="E557" i="1"/>
  <c r="E558" i="1"/>
  <c r="E559" i="1"/>
  <c r="E560" i="1"/>
  <c r="E561" i="1"/>
  <c r="E562" i="1"/>
  <c r="E563" i="1"/>
  <c r="E564" i="1"/>
  <c r="E565" i="1"/>
  <c r="E566" i="1"/>
  <c r="E567" i="1"/>
  <c r="E568" i="1"/>
  <c r="E569" i="1"/>
  <c r="E570" i="1"/>
  <c r="E571" i="1"/>
  <c r="E572" i="1"/>
  <c r="E573" i="1"/>
  <c r="E574" i="1"/>
  <c r="E575" i="1"/>
  <c r="E576" i="1"/>
  <c r="E577" i="1"/>
  <c r="E578" i="1"/>
  <c r="E579" i="1"/>
  <c r="E580" i="1"/>
  <c r="E581" i="1"/>
  <c r="E582" i="1"/>
  <c r="E583" i="1"/>
  <c r="E584" i="1"/>
  <c r="E585" i="1"/>
  <c r="E586" i="1"/>
  <c r="E587" i="1"/>
  <c r="E588" i="1"/>
  <c r="E589" i="1"/>
  <c r="E590" i="1"/>
  <c r="E591" i="1"/>
  <c r="E592" i="1"/>
  <c r="E593" i="1"/>
  <c r="E594" i="1"/>
  <c r="E595" i="1"/>
  <c r="E596" i="1"/>
  <c r="E597" i="1"/>
  <c r="E598" i="1"/>
  <c r="E599" i="1"/>
  <c r="E600" i="1"/>
  <c r="E601" i="1"/>
  <c r="E602" i="1"/>
  <c r="E603" i="1"/>
  <c r="E604" i="1"/>
  <c r="E605" i="1"/>
  <c r="E606" i="1"/>
  <c r="E607" i="1"/>
  <c r="E608" i="1"/>
  <c r="E609" i="1"/>
  <c r="E610" i="1"/>
  <c r="E611" i="1"/>
  <c r="E612" i="1"/>
  <c r="E613" i="1"/>
  <c r="E614" i="1"/>
  <c r="E615" i="1"/>
  <c r="E616" i="1"/>
  <c r="E617" i="1"/>
  <c r="E618" i="1"/>
  <c r="E619" i="1"/>
  <c r="E620" i="1"/>
  <c r="E621" i="1"/>
  <c r="E622" i="1"/>
  <c r="E623" i="1"/>
  <c r="E624" i="1"/>
  <c r="E625" i="1"/>
  <c r="E626" i="1"/>
  <c r="E627" i="1"/>
  <c r="E628" i="1"/>
  <c r="E629" i="1"/>
  <c r="E630" i="1"/>
  <c r="E631" i="1"/>
  <c r="E632" i="1"/>
  <c r="E633" i="1"/>
  <c r="E634" i="1"/>
  <c r="E635" i="1"/>
  <c r="E636" i="1"/>
  <c r="E637" i="1"/>
  <c r="E638" i="1"/>
  <c r="E639" i="1"/>
  <c r="E640" i="1"/>
  <c r="E641" i="1"/>
  <c r="E642" i="1"/>
  <c r="E643" i="1"/>
  <c r="E644" i="1"/>
  <c r="E645" i="1"/>
  <c r="E646" i="1"/>
  <c r="E647" i="1"/>
  <c r="E648" i="1"/>
  <c r="E649" i="1"/>
  <c r="E650" i="1"/>
  <c r="E651" i="1"/>
  <c r="E652" i="1"/>
  <c r="E653" i="1"/>
  <c r="E654" i="1"/>
  <c r="E655" i="1"/>
  <c r="E656" i="1"/>
  <c r="E657" i="1"/>
  <c r="E658" i="1"/>
  <c r="E659" i="1"/>
  <c r="E660" i="1"/>
  <c r="E661" i="1"/>
  <c r="E662" i="1"/>
  <c r="E663" i="1"/>
  <c r="E664" i="1"/>
  <c r="E665" i="1"/>
  <c r="E666" i="1"/>
  <c r="E667" i="1"/>
  <c r="E668" i="1"/>
  <c r="E669" i="1"/>
  <c r="E670" i="1"/>
  <c r="E671" i="1"/>
  <c r="E672" i="1"/>
  <c r="E673" i="1"/>
  <c r="E674" i="1"/>
  <c r="E675" i="1"/>
  <c r="E676" i="1"/>
  <c r="E677" i="1"/>
  <c r="E678" i="1"/>
  <c r="E679" i="1"/>
  <c r="E680" i="1"/>
  <c r="E681" i="1"/>
  <c r="E682" i="1"/>
  <c r="E683" i="1"/>
  <c r="E684" i="1"/>
  <c r="E685" i="1"/>
  <c r="E686" i="1"/>
  <c r="E687" i="1"/>
  <c r="E688" i="1"/>
  <c r="E689" i="1"/>
  <c r="E690" i="1"/>
  <c r="E691" i="1"/>
  <c r="E692" i="1"/>
  <c r="E693" i="1"/>
  <c r="E694" i="1"/>
  <c r="E695" i="1"/>
  <c r="E696" i="1"/>
  <c r="E697" i="1"/>
  <c r="E698" i="1"/>
  <c r="E699" i="1"/>
  <c r="E700" i="1"/>
  <c r="E701" i="1"/>
  <c r="E702" i="1"/>
  <c r="E703" i="1"/>
  <c r="E704" i="1"/>
  <c r="E705" i="1"/>
  <c r="E706" i="1"/>
  <c r="E707" i="1"/>
  <c r="E708" i="1"/>
  <c r="E709" i="1"/>
  <c r="E710" i="1"/>
  <c r="E711" i="1"/>
  <c r="E712" i="1"/>
  <c r="E713" i="1"/>
  <c r="E714" i="1"/>
  <c r="E715" i="1"/>
  <c r="E716" i="1"/>
  <c r="E717" i="1"/>
  <c r="E718" i="1"/>
  <c r="E719" i="1"/>
  <c r="E720" i="1"/>
  <c r="E721" i="1"/>
  <c r="E722" i="1"/>
  <c r="E723" i="1"/>
  <c r="E724" i="1"/>
  <c r="E725" i="1"/>
  <c r="E726" i="1"/>
  <c r="E727" i="1"/>
  <c r="E728" i="1"/>
  <c r="E729" i="1"/>
  <c r="E730" i="1"/>
  <c r="E731" i="1"/>
  <c r="E732" i="1"/>
  <c r="E733" i="1"/>
  <c r="E734" i="1"/>
  <c r="E735" i="1"/>
  <c r="E736" i="1"/>
  <c r="E737" i="1"/>
  <c r="E738" i="1"/>
  <c r="E739" i="1"/>
  <c r="E740" i="1"/>
  <c r="E741" i="1"/>
  <c r="E742" i="1"/>
  <c r="E743" i="1"/>
  <c r="E744" i="1"/>
  <c r="E745" i="1"/>
  <c r="E746" i="1"/>
  <c r="E747" i="1"/>
  <c r="E748" i="1"/>
  <c r="E749" i="1"/>
  <c r="E750" i="1"/>
  <c r="E751" i="1"/>
  <c r="E752" i="1"/>
  <c r="E753" i="1"/>
  <c r="E754" i="1"/>
  <c r="E755" i="1"/>
  <c r="E756" i="1"/>
  <c r="E757" i="1"/>
  <c r="E758" i="1"/>
  <c r="E759" i="1"/>
  <c r="E760" i="1"/>
  <c r="E761" i="1"/>
  <c r="E762" i="1"/>
  <c r="E763" i="1"/>
  <c r="E764" i="1"/>
  <c r="E765" i="1"/>
  <c r="E766" i="1"/>
  <c r="E767" i="1"/>
  <c r="E768" i="1"/>
  <c r="E769" i="1"/>
  <c r="E770" i="1"/>
  <c r="E771" i="1"/>
  <c r="E772" i="1"/>
  <c r="E773" i="1"/>
  <c r="E774" i="1"/>
  <c r="E775" i="1"/>
  <c r="E776" i="1"/>
  <c r="E777" i="1"/>
  <c r="E778" i="1"/>
  <c r="E779" i="1"/>
  <c r="E780" i="1"/>
  <c r="E781" i="1"/>
  <c r="E782" i="1"/>
  <c r="E783" i="1"/>
  <c r="E784" i="1"/>
  <c r="E785" i="1"/>
  <c r="E786" i="1"/>
  <c r="E787" i="1"/>
  <c r="E788" i="1"/>
  <c r="E789" i="1"/>
  <c r="E790" i="1"/>
  <c r="E791" i="1"/>
  <c r="E792" i="1"/>
  <c r="E793" i="1"/>
  <c r="E794" i="1"/>
  <c r="E795" i="1"/>
  <c r="E796" i="1"/>
  <c r="E797" i="1"/>
  <c r="E798" i="1"/>
  <c r="E799" i="1"/>
  <c r="E800" i="1"/>
  <c r="E801" i="1"/>
  <c r="E802" i="1"/>
  <c r="E803" i="1"/>
  <c r="E804" i="1"/>
  <c r="E805" i="1"/>
  <c r="E806" i="1"/>
  <c r="E807" i="1"/>
  <c r="E808" i="1"/>
  <c r="E809" i="1"/>
  <c r="E810" i="1"/>
  <c r="E811" i="1"/>
  <c r="E812" i="1"/>
  <c r="E813" i="1"/>
  <c r="E814" i="1"/>
  <c r="E815" i="1"/>
  <c r="E816" i="1"/>
  <c r="E817" i="1"/>
  <c r="E818" i="1"/>
  <c r="E819" i="1"/>
  <c r="E820" i="1"/>
  <c r="E821" i="1"/>
  <c r="E822" i="1"/>
  <c r="E823" i="1"/>
  <c r="E824" i="1"/>
  <c r="E825" i="1"/>
  <c r="E826" i="1"/>
  <c r="E827" i="1"/>
  <c r="E828" i="1"/>
  <c r="E829" i="1"/>
  <c r="E830" i="1"/>
  <c r="E831" i="1"/>
  <c r="E832" i="1"/>
  <c r="E833" i="1"/>
  <c r="E834" i="1"/>
  <c r="E835" i="1"/>
  <c r="E836" i="1"/>
  <c r="E837" i="1"/>
  <c r="E838" i="1"/>
  <c r="E839" i="1"/>
  <c r="E840" i="1"/>
  <c r="E841" i="1"/>
  <c r="E842" i="1"/>
  <c r="E843" i="1"/>
  <c r="E844" i="1"/>
  <c r="E845" i="1"/>
  <c r="E846" i="1"/>
  <c r="E847" i="1"/>
  <c r="E848" i="1"/>
  <c r="E849" i="1"/>
  <c r="E850" i="1"/>
  <c r="E851" i="1"/>
  <c r="E852" i="1"/>
  <c r="E853" i="1"/>
  <c r="E854" i="1"/>
  <c r="E855" i="1"/>
  <c r="E856" i="1"/>
  <c r="E857" i="1"/>
  <c r="E858" i="1"/>
  <c r="E859" i="1"/>
  <c r="E860" i="1"/>
  <c r="E861" i="1"/>
  <c r="E862" i="1"/>
  <c r="E863" i="1"/>
  <c r="E864" i="1"/>
  <c r="E865" i="1"/>
  <c r="E866" i="1"/>
  <c r="E867" i="1"/>
  <c r="E868" i="1"/>
  <c r="E869" i="1"/>
  <c r="E870" i="1"/>
  <c r="E871" i="1"/>
  <c r="E872" i="1"/>
  <c r="E873" i="1"/>
  <c r="E874" i="1"/>
  <c r="E875" i="1"/>
  <c r="E876" i="1"/>
  <c r="E877" i="1"/>
  <c r="E878" i="1"/>
  <c r="E879" i="1"/>
  <c r="E880" i="1"/>
  <c r="E881" i="1"/>
  <c r="E882" i="1"/>
  <c r="E883" i="1"/>
  <c r="E884" i="1"/>
  <c r="E885" i="1"/>
  <c r="E886" i="1"/>
  <c r="E887" i="1"/>
  <c r="E888" i="1"/>
  <c r="E889" i="1"/>
  <c r="E890" i="1"/>
  <c r="E891" i="1"/>
  <c r="E892" i="1"/>
  <c r="E893" i="1"/>
  <c r="E894" i="1"/>
  <c r="E895" i="1"/>
  <c r="E896" i="1"/>
  <c r="E897" i="1"/>
  <c r="E898" i="1"/>
  <c r="E899" i="1"/>
  <c r="E900" i="1"/>
  <c r="E901" i="1"/>
  <c r="E902" i="1"/>
  <c r="E903" i="1"/>
  <c r="E904" i="1"/>
  <c r="E905" i="1"/>
  <c r="E906" i="1"/>
  <c r="E907" i="1"/>
  <c r="E908" i="1"/>
  <c r="E909" i="1"/>
  <c r="E910" i="1"/>
  <c r="E911" i="1"/>
  <c r="E912" i="1"/>
  <c r="E913" i="1"/>
  <c r="E914" i="1"/>
  <c r="E915" i="1"/>
  <c r="E916" i="1"/>
  <c r="E917" i="1"/>
  <c r="E918" i="1"/>
  <c r="E919" i="1"/>
  <c r="E920" i="1"/>
  <c r="E921" i="1"/>
  <c r="E922" i="1"/>
  <c r="E923" i="1"/>
  <c r="E924" i="1"/>
  <c r="E925" i="1"/>
  <c r="E926" i="1"/>
  <c r="E927" i="1"/>
  <c r="E928" i="1"/>
  <c r="E929" i="1"/>
  <c r="E930" i="1"/>
  <c r="E931" i="1"/>
  <c r="E932" i="1"/>
  <c r="E933" i="1"/>
  <c r="E934" i="1"/>
  <c r="E935" i="1"/>
  <c r="E936" i="1"/>
  <c r="E937" i="1"/>
  <c r="E938" i="1"/>
  <c r="E939" i="1"/>
  <c r="E940" i="1"/>
  <c r="E941" i="1"/>
  <c r="E942" i="1"/>
  <c r="E943" i="1"/>
  <c r="E944" i="1"/>
  <c r="E945" i="1"/>
  <c r="E946" i="1"/>
  <c r="E947" i="1"/>
  <c r="E948" i="1"/>
  <c r="E949" i="1"/>
  <c r="E950" i="1"/>
  <c r="E951" i="1"/>
  <c r="E952" i="1"/>
  <c r="E953" i="1"/>
  <c r="E954" i="1"/>
  <c r="E955" i="1"/>
  <c r="E956" i="1"/>
  <c r="E957" i="1"/>
  <c r="E958" i="1"/>
  <c r="E959" i="1"/>
  <c r="E960" i="1"/>
  <c r="E961" i="1"/>
  <c r="E962" i="1"/>
  <c r="E963" i="1"/>
  <c r="E964" i="1"/>
  <c r="E965" i="1"/>
  <c r="E966" i="1"/>
  <c r="E967" i="1"/>
  <c r="E968" i="1"/>
  <c r="E969" i="1"/>
  <c r="E970" i="1"/>
  <c r="E971" i="1"/>
  <c r="E972" i="1"/>
  <c r="E973" i="1"/>
  <c r="E974" i="1"/>
  <c r="E975" i="1"/>
  <c r="E976" i="1"/>
  <c r="E977" i="1"/>
  <c r="E978" i="1"/>
  <c r="E979" i="1"/>
  <c r="E980" i="1"/>
  <c r="E981" i="1"/>
  <c r="E982" i="1"/>
  <c r="E983" i="1"/>
  <c r="E984" i="1"/>
  <c r="E985" i="1"/>
  <c r="E986" i="1"/>
  <c r="E987" i="1"/>
  <c r="E988" i="1"/>
  <c r="E989" i="1"/>
  <c r="E990" i="1"/>
  <c r="E991" i="1"/>
  <c r="E992" i="1"/>
  <c r="E993" i="1"/>
  <c r="E994" i="1"/>
  <c r="E995" i="1"/>
  <c r="E996" i="1"/>
  <c r="E997" i="1"/>
  <c r="E998" i="1"/>
  <c r="E999" i="1"/>
  <c r="E1000" i="1"/>
  <c r="E1001" i="1"/>
  <c r="E1002" i="1"/>
  <c r="E1003" i="1"/>
  <c r="E1004" i="1"/>
  <c r="E1005" i="1"/>
  <c r="E1006" i="1"/>
  <c r="E1007" i="1"/>
  <c r="E1008" i="1"/>
  <c r="E1009" i="1"/>
  <c r="E1010" i="1"/>
  <c r="E1011" i="1"/>
  <c r="E1012" i="1"/>
  <c r="E1013" i="1"/>
  <c r="E1014" i="1"/>
  <c r="E1015" i="1"/>
  <c r="E1016" i="1"/>
  <c r="E1017" i="1"/>
  <c r="E1018" i="1"/>
  <c r="E1019" i="1"/>
  <c r="E1020" i="1"/>
  <c r="E1021" i="1"/>
  <c r="E1022" i="1"/>
  <c r="E1023" i="1"/>
  <c r="E1024" i="1"/>
  <c r="E1025" i="1"/>
  <c r="E1026" i="1"/>
  <c r="E1027" i="1"/>
  <c r="E1028" i="1"/>
  <c r="E1029" i="1"/>
  <c r="E1030" i="1"/>
  <c r="E1031" i="1"/>
  <c r="E1032" i="1"/>
  <c r="E1033" i="1"/>
  <c r="E1034" i="1"/>
  <c r="E1035" i="1"/>
  <c r="E1036" i="1"/>
  <c r="E1037" i="1"/>
  <c r="E1038" i="1"/>
  <c r="E1039" i="1"/>
  <c r="E1040" i="1"/>
  <c r="E1041" i="1"/>
  <c r="E1042" i="1"/>
  <c r="E1043" i="1"/>
  <c r="E1044" i="1"/>
  <c r="E1045" i="1"/>
  <c r="E1046" i="1"/>
  <c r="E1047" i="1"/>
  <c r="E1048" i="1"/>
  <c r="E1049" i="1"/>
  <c r="E1050" i="1"/>
  <c r="E1051" i="1"/>
  <c r="E1052" i="1"/>
  <c r="E1053" i="1"/>
  <c r="E1054" i="1"/>
  <c r="E1055" i="1"/>
  <c r="E1056" i="1"/>
  <c r="E1057" i="1"/>
  <c r="E1058" i="1"/>
  <c r="E1059" i="1"/>
  <c r="E1060" i="1"/>
  <c r="E1061" i="1"/>
  <c r="E1062" i="1"/>
  <c r="E1063" i="1"/>
  <c r="E1064" i="1"/>
  <c r="E1065" i="1"/>
  <c r="E1066" i="1"/>
  <c r="E1067" i="1"/>
  <c r="E1068" i="1"/>
  <c r="E1069" i="1"/>
  <c r="E1070" i="1"/>
  <c r="E1071" i="1"/>
  <c r="E1072" i="1"/>
  <c r="E1073" i="1"/>
  <c r="E1074" i="1"/>
  <c r="E1075" i="1"/>
  <c r="E1076" i="1"/>
  <c r="E1077" i="1"/>
  <c r="E1078" i="1"/>
  <c r="E1079" i="1"/>
  <c r="E1080" i="1"/>
  <c r="E1081" i="1"/>
  <c r="E1082" i="1"/>
  <c r="E1083" i="1"/>
  <c r="E1084" i="1"/>
  <c r="E1085" i="1"/>
  <c r="E1086" i="1"/>
  <c r="E1087" i="1"/>
  <c r="E1088" i="1"/>
  <c r="E1089" i="1"/>
  <c r="E1090" i="1"/>
  <c r="E1091" i="1"/>
  <c r="E1092" i="1"/>
  <c r="E1093" i="1"/>
  <c r="E1094" i="1"/>
  <c r="E1095" i="1"/>
  <c r="E1096" i="1"/>
  <c r="E1097" i="1"/>
  <c r="E1098" i="1"/>
  <c r="E1099" i="1"/>
  <c r="E1100" i="1"/>
  <c r="E1101" i="1"/>
  <c r="E1102" i="1"/>
  <c r="E1103" i="1"/>
  <c r="E1104" i="1"/>
  <c r="E1105" i="1"/>
  <c r="E1106" i="1"/>
  <c r="E1107" i="1"/>
  <c r="E1108" i="1"/>
  <c r="E1109" i="1"/>
  <c r="E1110" i="1"/>
  <c r="E1111" i="1"/>
  <c r="E1112" i="1"/>
  <c r="E1113" i="1"/>
  <c r="E1114" i="1"/>
  <c r="E1115" i="1"/>
  <c r="E1116" i="1"/>
  <c r="E1117" i="1"/>
  <c r="E1118" i="1"/>
  <c r="E1119" i="1"/>
  <c r="E1120" i="1"/>
  <c r="E1121" i="1"/>
  <c r="E1122" i="1"/>
  <c r="E1123" i="1"/>
  <c r="E1124" i="1"/>
  <c r="E1125" i="1"/>
  <c r="E1126" i="1"/>
  <c r="E1127" i="1"/>
  <c r="E1128" i="1"/>
  <c r="E1129" i="1"/>
  <c r="E1130" i="1"/>
  <c r="E1131" i="1"/>
  <c r="E1132" i="1"/>
  <c r="E1133" i="1"/>
  <c r="E1134" i="1"/>
  <c r="E1135" i="1"/>
  <c r="E1136" i="1"/>
  <c r="E1137" i="1"/>
  <c r="E1138" i="1"/>
  <c r="E1139" i="1"/>
  <c r="E1140" i="1"/>
  <c r="E1141" i="1"/>
  <c r="E1142" i="1"/>
  <c r="E1143" i="1"/>
  <c r="E1144" i="1"/>
  <c r="E1145" i="1"/>
  <c r="E1146" i="1"/>
  <c r="E1147" i="1"/>
  <c r="E1148" i="1"/>
  <c r="E1149" i="1"/>
  <c r="E1150" i="1"/>
  <c r="E1151" i="1"/>
  <c r="E1152" i="1"/>
  <c r="E1153" i="1"/>
  <c r="E1154" i="1"/>
  <c r="E1155" i="1"/>
  <c r="E1156" i="1"/>
  <c r="E1157" i="1"/>
  <c r="E1158" i="1"/>
  <c r="E1159" i="1"/>
  <c r="E1160" i="1"/>
  <c r="E1161" i="1"/>
  <c r="E1162" i="1"/>
  <c r="E1163" i="1"/>
  <c r="E1164" i="1"/>
  <c r="E1165" i="1"/>
  <c r="E1166" i="1"/>
  <c r="E1167" i="1"/>
  <c r="E1168" i="1"/>
  <c r="E1169" i="1"/>
  <c r="E1170" i="1"/>
  <c r="E1171" i="1"/>
  <c r="E1172" i="1"/>
  <c r="E1173" i="1"/>
  <c r="E1174" i="1"/>
  <c r="E1175" i="1"/>
  <c r="E1176" i="1"/>
  <c r="E1177" i="1"/>
  <c r="E1178" i="1"/>
  <c r="E1179" i="1"/>
  <c r="E1180" i="1"/>
  <c r="E1181" i="1"/>
  <c r="E1182" i="1"/>
  <c r="E1183" i="1"/>
  <c r="E1184" i="1"/>
  <c r="E1185" i="1"/>
  <c r="E1186" i="1"/>
  <c r="E1187" i="1"/>
  <c r="E1188" i="1"/>
  <c r="E1189" i="1"/>
  <c r="E1190" i="1"/>
  <c r="E1191" i="1"/>
  <c r="E1192" i="1"/>
  <c r="E1193" i="1"/>
  <c r="E1194" i="1"/>
  <c r="E1195" i="1"/>
  <c r="E1196" i="1"/>
  <c r="E1197" i="1"/>
  <c r="E1198" i="1"/>
  <c r="E1199" i="1"/>
  <c r="E1200" i="1"/>
  <c r="E1201" i="1"/>
  <c r="E1202" i="1"/>
  <c r="E1203" i="1"/>
  <c r="E1204" i="1"/>
  <c r="E1205" i="1"/>
  <c r="E1206" i="1"/>
  <c r="E1207" i="1"/>
  <c r="E1208" i="1"/>
  <c r="E1209" i="1"/>
  <c r="E1210" i="1"/>
  <c r="E1211" i="1"/>
  <c r="E1212" i="1"/>
  <c r="E1213" i="1"/>
  <c r="E1214" i="1"/>
  <c r="E1215" i="1"/>
  <c r="E1216" i="1"/>
  <c r="E1217" i="1"/>
  <c r="E1218" i="1"/>
  <c r="E1219" i="1"/>
  <c r="E1220" i="1"/>
  <c r="E1221" i="1"/>
  <c r="E1222" i="1"/>
  <c r="E1223" i="1"/>
  <c r="E1224" i="1"/>
  <c r="E1225" i="1"/>
  <c r="E1226" i="1"/>
  <c r="E1227" i="1"/>
  <c r="E1228" i="1"/>
  <c r="E1229" i="1"/>
  <c r="E1230" i="1"/>
  <c r="E1231" i="1"/>
  <c r="E1232" i="1"/>
  <c r="E1233" i="1"/>
  <c r="E1234" i="1"/>
  <c r="E1235" i="1"/>
  <c r="E1236" i="1"/>
  <c r="E1237" i="1"/>
  <c r="E1238" i="1"/>
  <c r="E1239" i="1"/>
  <c r="E1240" i="1"/>
  <c r="E1241" i="1"/>
  <c r="E1242" i="1"/>
  <c r="E1243" i="1"/>
  <c r="E1244" i="1"/>
  <c r="E1245" i="1"/>
  <c r="E1246" i="1"/>
  <c r="E1247" i="1"/>
  <c r="E1248" i="1"/>
  <c r="E1249" i="1"/>
  <c r="E1250" i="1"/>
  <c r="E1251" i="1"/>
  <c r="E1252" i="1"/>
  <c r="E1253" i="1"/>
  <c r="E1254" i="1"/>
  <c r="E1255" i="1"/>
  <c r="E1256" i="1"/>
  <c r="E1257" i="1"/>
  <c r="E1258" i="1"/>
  <c r="E1259" i="1"/>
  <c r="E1260" i="1"/>
  <c r="E1261" i="1"/>
  <c r="E1262" i="1"/>
  <c r="E1263" i="1"/>
  <c r="E1264" i="1"/>
  <c r="E1265" i="1"/>
  <c r="E1266" i="1"/>
  <c r="E1267" i="1"/>
  <c r="E1268" i="1"/>
  <c r="E1269" i="1"/>
  <c r="E1270" i="1"/>
  <c r="E1271" i="1"/>
  <c r="E1272" i="1"/>
  <c r="E1273" i="1"/>
  <c r="E1274" i="1"/>
  <c r="E1275" i="1"/>
  <c r="E1276" i="1"/>
  <c r="E1277" i="1"/>
  <c r="E1278" i="1"/>
  <c r="E1279" i="1"/>
  <c r="E1280" i="1"/>
  <c r="E1281" i="1"/>
  <c r="E1282" i="1"/>
  <c r="E1283" i="1"/>
  <c r="E1284" i="1"/>
  <c r="E1285" i="1"/>
  <c r="E1286" i="1"/>
  <c r="E1287" i="1"/>
  <c r="E1288" i="1"/>
  <c r="E1289" i="1"/>
  <c r="E1290" i="1"/>
  <c r="E1291" i="1"/>
  <c r="E1292" i="1"/>
  <c r="E1293" i="1"/>
  <c r="E1294" i="1"/>
  <c r="E1295" i="1"/>
  <c r="E1296" i="1"/>
  <c r="E1297" i="1"/>
  <c r="E1298" i="1"/>
  <c r="E1299" i="1"/>
  <c r="E1300" i="1"/>
  <c r="E1301" i="1"/>
  <c r="E1302" i="1"/>
  <c r="E1303" i="1"/>
  <c r="E1304" i="1"/>
  <c r="E1305" i="1"/>
  <c r="E1306" i="1"/>
  <c r="E1307" i="1"/>
  <c r="E1308" i="1"/>
  <c r="E1309" i="1"/>
  <c r="E1310" i="1"/>
  <c r="E1311" i="1"/>
  <c r="E1312" i="1"/>
  <c r="E1313" i="1"/>
  <c r="E1314" i="1"/>
  <c r="E1315" i="1"/>
  <c r="E1316" i="1"/>
  <c r="E1317" i="1"/>
  <c r="E1318" i="1"/>
  <c r="E1319" i="1"/>
  <c r="E1320" i="1"/>
  <c r="E1321" i="1"/>
  <c r="E1322" i="1"/>
  <c r="E1323" i="1"/>
  <c r="E1324" i="1"/>
  <c r="E1325" i="1"/>
  <c r="E1326" i="1"/>
  <c r="E1327" i="1"/>
  <c r="E1328" i="1"/>
  <c r="E1329" i="1"/>
  <c r="E1330" i="1"/>
  <c r="E1331" i="1"/>
  <c r="E1332" i="1"/>
  <c r="E1333" i="1"/>
  <c r="E1334" i="1"/>
  <c r="E1335" i="1"/>
  <c r="E1336" i="1"/>
  <c r="E1337" i="1"/>
  <c r="E1338" i="1"/>
  <c r="E1339" i="1"/>
  <c r="E1340" i="1"/>
  <c r="E1341" i="1"/>
  <c r="E1342" i="1"/>
  <c r="E1343" i="1"/>
  <c r="E1344" i="1"/>
  <c r="E1345" i="1"/>
  <c r="E1346" i="1"/>
  <c r="E1347" i="1"/>
  <c r="E1348" i="1"/>
  <c r="E1349" i="1"/>
  <c r="E1350" i="1"/>
  <c r="E1351" i="1"/>
  <c r="E1352" i="1"/>
  <c r="E1353" i="1"/>
  <c r="E1354" i="1"/>
  <c r="E1355" i="1"/>
  <c r="E1356" i="1"/>
  <c r="E1357" i="1"/>
  <c r="E1358" i="1"/>
  <c r="E1359" i="1"/>
  <c r="E1360" i="1"/>
  <c r="E1361" i="1"/>
  <c r="E1362" i="1"/>
  <c r="E1363" i="1"/>
  <c r="E1364" i="1"/>
  <c r="E1365" i="1"/>
  <c r="E1366" i="1"/>
  <c r="E1367" i="1"/>
  <c r="E1368" i="1"/>
  <c r="E1369" i="1"/>
  <c r="E1370" i="1"/>
  <c r="E1371" i="1"/>
  <c r="E1372" i="1"/>
  <c r="E1373" i="1"/>
  <c r="E1374" i="1"/>
  <c r="E1375" i="1"/>
  <c r="E1376" i="1"/>
  <c r="E1377" i="1"/>
  <c r="E1378" i="1"/>
  <c r="E1379" i="1"/>
  <c r="E1380" i="1"/>
  <c r="E1381" i="1"/>
  <c r="E1382" i="1"/>
  <c r="E1383" i="1"/>
  <c r="E1384" i="1"/>
  <c r="E1385" i="1"/>
  <c r="E1386" i="1"/>
  <c r="E1387" i="1"/>
  <c r="E1388" i="1"/>
  <c r="E1389" i="1"/>
  <c r="E1390" i="1"/>
  <c r="E1391" i="1"/>
  <c r="E1392" i="1"/>
  <c r="E1393" i="1"/>
  <c r="E1394" i="1"/>
  <c r="E1395" i="1"/>
  <c r="E1396" i="1"/>
  <c r="E1397" i="1"/>
  <c r="E1398" i="1"/>
  <c r="E1399" i="1"/>
  <c r="E1400" i="1"/>
  <c r="E1401" i="1"/>
  <c r="E1402" i="1"/>
  <c r="E1403" i="1"/>
  <c r="E1404" i="1"/>
  <c r="E1405" i="1"/>
  <c r="E1406" i="1"/>
  <c r="E1407" i="1"/>
  <c r="E1408" i="1"/>
  <c r="E1409" i="1"/>
  <c r="E1410" i="1"/>
  <c r="E1411" i="1"/>
  <c r="E1412" i="1"/>
  <c r="E1413" i="1"/>
  <c r="E1414" i="1"/>
  <c r="E1415" i="1"/>
  <c r="E1416" i="1"/>
  <c r="E1417" i="1"/>
  <c r="E1418" i="1"/>
  <c r="E1419" i="1"/>
  <c r="E1420" i="1"/>
  <c r="E1421" i="1"/>
  <c r="E1422" i="1"/>
  <c r="E1423" i="1"/>
  <c r="E1424" i="1"/>
  <c r="E1425" i="1"/>
  <c r="E1426" i="1"/>
  <c r="E1427" i="1"/>
  <c r="E1428" i="1"/>
  <c r="E1429" i="1"/>
  <c r="E1430" i="1"/>
  <c r="E1431" i="1"/>
  <c r="E1432" i="1"/>
  <c r="E1433" i="1"/>
  <c r="E1434" i="1"/>
  <c r="E1435" i="1"/>
  <c r="E1436" i="1"/>
  <c r="E1437" i="1"/>
  <c r="E1438" i="1"/>
  <c r="E1439" i="1"/>
  <c r="E1440" i="1"/>
  <c r="E1441" i="1"/>
  <c r="E1442" i="1"/>
  <c r="E1443" i="1"/>
  <c r="E1444" i="1"/>
  <c r="E1445" i="1"/>
  <c r="E1446" i="1"/>
  <c r="E1447" i="1"/>
  <c r="E1448" i="1"/>
  <c r="E1449" i="1"/>
  <c r="E1450" i="1"/>
  <c r="E1451" i="1"/>
  <c r="E1452" i="1"/>
  <c r="E1453" i="1"/>
  <c r="E1454" i="1"/>
  <c r="E1455" i="1"/>
  <c r="E1456" i="1"/>
  <c r="E1457" i="1"/>
  <c r="E1458" i="1"/>
  <c r="E1459" i="1"/>
  <c r="E1460" i="1"/>
  <c r="E1461" i="1"/>
  <c r="E1462" i="1"/>
  <c r="E1463" i="1"/>
  <c r="E1464" i="1"/>
  <c r="E1465" i="1"/>
  <c r="E1466" i="1"/>
  <c r="E1467" i="1"/>
  <c r="E1468" i="1"/>
  <c r="E1469" i="1"/>
  <c r="E1470" i="1"/>
  <c r="E1471" i="1"/>
  <c r="E1472" i="1"/>
  <c r="E1473" i="1"/>
  <c r="E1474" i="1"/>
  <c r="E1475" i="1"/>
  <c r="E1476" i="1"/>
  <c r="E1477" i="1"/>
  <c r="E1478" i="1"/>
  <c r="E1479" i="1"/>
  <c r="E1480" i="1"/>
  <c r="E1481" i="1"/>
  <c r="E1482" i="1"/>
  <c r="E1483" i="1"/>
  <c r="E1484" i="1"/>
  <c r="E1485" i="1"/>
  <c r="E1486" i="1"/>
  <c r="E1487" i="1"/>
  <c r="E1488" i="1"/>
  <c r="E1489" i="1"/>
  <c r="E1490" i="1"/>
  <c r="E1491" i="1"/>
  <c r="E1492" i="1"/>
  <c r="E1493" i="1"/>
  <c r="E1494" i="1"/>
  <c r="E1495" i="1"/>
  <c r="E1496" i="1"/>
  <c r="E1497" i="1"/>
  <c r="E1498" i="1"/>
  <c r="E1499" i="1"/>
  <c r="E1500" i="1"/>
  <c r="E1501" i="1"/>
  <c r="E1502" i="1"/>
  <c r="E1503" i="1"/>
  <c r="E1504" i="1"/>
  <c r="E1505" i="1"/>
  <c r="E1506" i="1"/>
  <c r="E1507" i="1"/>
  <c r="E1508" i="1"/>
  <c r="E1509" i="1"/>
  <c r="E1510" i="1"/>
  <c r="E1511" i="1"/>
  <c r="E1512" i="1"/>
  <c r="E1513" i="1"/>
  <c r="E1514" i="1"/>
  <c r="E1515" i="1"/>
  <c r="E1516" i="1"/>
  <c r="E1517" i="1"/>
  <c r="E1518" i="1"/>
  <c r="E1519" i="1"/>
  <c r="E1520" i="1"/>
  <c r="E1521" i="1"/>
  <c r="E1522" i="1"/>
  <c r="E1523" i="1"/>
  <c r="E1524" i="1"/>
  <c r="E1525" i="1"/>
  <c r="E1526" i="1"/>
  <c r="E1527" i="1"/>
  <c r="E1528" i="1"/>
  <c r="E1529" i="1"/>
  <c r="E1530" i="1"/>
  <c r="E1531" i="1"/>
  <c r="E1532" i="1"/>
  <c r="E1533" i="1"/>
  <c r="E1534" i="1"/>
  <c r="E1535" i="1"/>
  <c r="E1536" i="1"/>
  <c r="E1537" i="1"/>
  <c r="E1538" i="1"/>
  <c r="E1539" i="1"/>
  <c r="E1540" i="1"/>
  <c r="E1541" i="1"/>
  <c r="E1542" i="1"/>
  <c r="E1543" i="1"/>
  <c r="E1544" i="1"/>
  <c r="E1545" i="1"/>
  <c r="E1546" i="1"/>
  <c r="E1547" i="1"/>
  <c r="E1548" i="1"/>
  <c r="E1549" i="1"/>
  <c r="E1550" i="1"/>
  <c r="E1551" i="1"/>
  <c r="E1552" i="1"/>
  <c r="E1553" i="1"/>
  <c r="E1554" i="1"/>
  <c r="E1555" i="1"/>
  <c r="E1556" i="1"/>
  <c r="E1557" i="1"/>
  <c r="E1558" i="1"/>
  <c r="E1559" i="1"/>
  <c r="E1560" i="1"/>
  <c r="E1561" i="1"/>
  <c r="E1562" i="1"/>
  <c r="E1563" i="1"/>
  <c r="E1564" i="1"/>
  <c r="E1565" i="1"/>
  <c r="E1566" i="1"/>
  <c r="E1567" i="1"/>
  <c r="E1568" i="1"/>
  <c r="E1569" i="1"/>
  <c r="E1570" i="1"/>
  <c r="E1571" i="1"/>
  <c r="E1572" i="1"/>
  <c r="E1573" i="1"/>
  <c r="E1574" i="1"/>
  <c r="E1575" i="1"/>
  <c r="E1576" i="1"/>
  <c r="E1577" i="1"/>
  <c r="E1578" i="1"/>
  <c r="E1579" i="1"/>
  <c r="E1580" i="1"/>
  <c r="E1581" i="1"/>
  <c r="E1582" i="1"/>
  <c r="E1583" i="1"/>
  <c r="E1584" i="1"/>
  <c r="E1585" i="1"/>
  <c r="E1586" i="1"/>
  <c r="E1587" i="1"/>
  <c r="E1588" i="1"/>
  <c r="E1589" i="1"/>
  <c r="E1590" i="1"/>
  <c r="E1591" i="1"/>
  <c r="E1592" i="1"/>
  <c r="E1593" i="1"/>
  <c r="E1594" i="1"/>
  <c r="E1595" i="1"/>
  <c r="E1596" i="1"/>
  <c r="E1597" i="1"/>
  <c r="E1598" i="1"/>
  <c r="E1599" i="1"/>
  <c r="E1600" i="1"/>
  <c r="E1601" i="1"/>
  <c r="E1602" i="1"/>
  <c r="E1603" i="1"/>
  <c r="E1604" i="1"/>
  <c r="E1605" i="1"/>
  <c r="E1606" i="1"/>
  <c r="E1607" i="1"/>
  <c r="E1608" i="1"/>
  <c r="E1609" i="1"/>
  <c r="E1610" i="1"/>
  <c r="E1611" i="1"/>
  <c r="E1612" i="1"/>
  <c r="E1613" i="1"/>
  <c r="E1614" i="1"/>
  <c r="E1615" i="1"/>
  <c r="E1616" i="1"/>
  <c r="E1617" i="1"/>
  <c r="E1618" i="1"/>
  <c r="E1619" i="1"/>
  <c r="E1620" i="1"/>
  <c r="E1621" i="1"/>
  <c r="E1622" i="1"/>
  <c r="E1623" i="1"/>
  <c r="E1624" i="1"/>
  <c r="E1625" i="1"/>
  <c r="E1626" i="1"/>
  <c r="E1627" i="1"/>
  <c r="E1628" i="1"/>
  <c r="E1629" i="1"/>
  <c r="E1630" i="1"/>
  <c r="E1631" i="1"/>
  <c r="E1632" i="1"/>
  <c r="E1633" i="1"/>
  <c r="E1634" i="1"/>
  <c r="E1635" i="1"/>
  <c r="E1636" i="1"/>
  <c r="E1637" i="1"/>
  <c r="E1638" i="1"/>
  <c r="E1639" i="1"/>
  <c r="E1640" i="1"/>
  <c r="E1641" i="1"/>
  <c r="E1642" i="1"/>
  <c r="E1643" i="1"/>
  <c r="E1644" i="1"/>
  <c r="E1645" i="1"/>
  <c r="E1646" i="1"/>
  <c r="E1647" i="1"/>
  <c r="E1648" i="1"/>
  <c r="E1649" i="1"/>
  <c r="E1650" i="1"/>
  <c r="E1651" i="1"/>
  <c r="E1652" i="1"/>
  <c r="E1653" i="1"/>
  <c r="E1654" i="1"/>
  <c r="E1655" i="1"/>
  <c r="E1656" i="1"/>
  <c r="E1657" i="1"/>
  <c r="E1658" i="1"/>
  <c r="E1659" i="1"/>
  <c r="E1660" i="1"/>
  <c r="E1661" i="1"/>
  <c r="E1662" i="1"/>
  <c r="E1663" i="1"/>
  <c r="E1664" i="1"/>
  <c r="E1665" i="1"/>
  <c r="E1666" i="1"/>
  <c r="E1667" i="1"/>
  <c r="E1668" i="1"/>
  <c r="E1669" i="1"/>
  <c r="E1670" i="1"/>
  <c r="E1671" i="1"/>
  <c r="E1672" i="1"/>
  <c r="E1673" i="1"/>
  <c r="E1674" i="1"/>
  <c r="E1675" i="1"/>
  <c r="E1676" i="1"/>
  <c r="E1677" i="1"/>
  <c r="E1678" i="1"/>
  <c r="E1679" i="1"/>
  <c r="E1680" i="1"/>
  <c r="E1681" i="1"/>
  <c r="E1682" i="1"/>
  <c r="E1683" i="1"/>
  <c r="E1684" i="1"/>
  <c r="E1685" i="1"/>
  <c r="E1686" i="1"/>
  <c r="E1687" i="1"/>
  <c r="E1688" i="1"/>
  <c r="E1689" i="1"/>
  <c r="E1690" i="1"/>
  <c r="E1691" i="1"/>
  <c r="E1692" i="1"/>
  <c r="E1693" i="1"/>
  <c r="E1694" i="1"/>
  <c r="E1695" i="1"/>
  <c r="E1696" i="1"/>
  <c r="E1697" i="1"/>
  <c r="E1698" i="1"/>
  <c r="E1699" i="1"/>
  <c r="E1700" i="1"/>
  <c r="E1701" i="1"/>
  <c r="E1702" i="1"/>
  <c r="E1703" i="1"/>
  <c r="E1704" i="1"/>
  <c r="E1705" i="1"/>
  <c r="E1706" i="1"/>
  <c r="E1707" i="1"/>
  <c r="E1708" i="1"/>
  <c r="E1709" i="1"/>
  <c r="E1710" i="1"/>
  <c r="E1711" i="1"/>
  <c r="E1712" i="1"/>
  <c r="E1713" i="1"/>
  <c r="E1714" i="1"/>
  <c r="E1715" i="1"/>
  <c r="E1716" i="1"/>
  <c r="E1717" i="1"/>
  <c r="E1718" i="1"/>
  <c r="E1719" i="1"/>
  <c r="E1720" i="1"/>
  <c r="E1721" i="1"/>
  <c r="E1722" i="1"/>
  <c r="E1723" i="1"/>
  <c r="E1724" i="1"/>
  <c r="E1725" i="1"/>
  <c r="E1726" i="1"/>
  <c r="E1727" i="1"/>
  <c r="E1728" i="1"/>
  <c r="E1729" i="1"/>
  <c r="E1730" i="1"/>
  <c r="E1731" i="1"/>
  <c r="E1732" i="1"/>
  <c r="E1733" i="1"/>
  <c r="E1734" i="1"/>
  <c r="E1735" i="1"/>
  <c r="E1736" i="1"/>
  <c r="E1737" i="1"/>
  <c r="E1738" i="1"/>
  <c r="E1739" i="1"/>
  <c r="E1740" i="1"/>
  <c r="E1741" i="1"/>
  <c r="E1742" i="1"/>
  <c r="E1743" i="1"/>
  <c r="E1744" i="1"/>
  <c r="E1745" i="1"/>
  <c r="E1746" i="1"/>
  <c r="E1747" i="1"/>
  <c r="E1748" i="1"/>
  <c r="E1749" i="1"/>
  <c r="E1750" i="1"/>
  <c r="E1751" i="1"/>
  <c r="E1752" i="1"/>
  <c r="E1753" i="1"/>
  <c r="E1754" i="1"/>
  <c r="E1755" i="1"/>
  <c r="E1756" i="1"/>
  <c r="E1757" i="1"/>
  <c r="E1758" i="1"/>
  <c r="E1759" i="1"/>
  <c r="E1760" i="1"/>
  <c r="E1761" i="1"/>
  <c r="E1762" i="1"/>
  <c r="E1763" i="1"/>
  <c r="E1764" i="1"/>
  <c r="E1765" i="1"/>
  <c r="E1766" i="1"/>
  <c r="E1767" i="1"/>
  <c r="E1768" i="1"/>
  <c r="E1769" i="1"/>
  <c r="E1770" i="1"/>
  <c r="E1771" i="1"/>
  <c r="E1772" i="1"/>
  <c r="E1773" i="1"/>
  <c r="E1774" i="1"/>
  <c r="E1775" i="1"/>
  <c r="E1776" i="1"/>
  <c r="E1777" i="1"/>
  <c r="E1778" i="1"/>
  <c r="E1779" i="1"/>
  <c r="E1780" i="1"/>
  <c r="E1781" i="1"/>
  <c r="E1782" i="1"/>
  <c r="E1783" i="1"/>
  <c r="E1784" i="1"/>
  <c r="E1785" i="1"/>
  <c r="E1786" i="1"/>
  <c r="E1787" i="1"/>
  <c r="E1788" i="1"/>
  <c r="E1789" i="1"/>
  <c r="E1790" i="1"/>
  <c r="E1791" i="1"/>
  <c r="E1792" i="1"/>
  <c r="E1793" i="1"/>
  <c r="E1794" i="1"/>
  <c r="E1795" i="1"/>
  <c r="E1796" i="1"/>
  <c r="E1797" i="1"/>
  <c r="E1798" i="1"/>
  <c r="E1799" i="1"/>
  <c r="E1800" i="1"/>
  <c r="E1801" i="1"/>
  <c r="E1802" i="1"/>
  <c r="E1803" i="1"/>
  <c r="E1804" i="1"/>
  <c r="E1805" i="1"/>
  <c r="E1806" i="1"/>
  <c r="E1807" i="1"/>
  <c r="E1808" i="1"/>
  <c r="E1809" i="1"/>
  <c r="E1810" i="1"/>
  <c r="E1811" i="1"/>
  <c r="E1812" i="1"/>
  <c r="E1813" i="1"/>
  <c r="E1814" i="1"/>
  <c r="E1815" i="1"/>
  <c r="E1816" i="1"/>
  <c r="E1817" i="1"/>
  <c r="E1818" i="1"/>
  <c r="E1819" i="1"/>
  <c r="E1820" i="1"/>
  <c r="E1821" i="1"/>
  <c r="E1822" i="1"/>
  <c r="E1823" i="1"/>
  <c r="E1824" i="1"/>
  <c r="E1825" i="1"/>
  <c r="E1826" i="1"/>
  <c r="E1827" i="1"/>
  <c r="E1828" i="1"/>
  <c r="E1829" i="1"/>
  <c r="E1830" i="1"/>
  <c r="E1831" i="1"/>
  <c r="E1832" i="1"/>
  <c r="E1833" i="1"/>
  <c r="E1834" i="1"/>
  <c r="E1835" i="1"/>
  <c r="E1836" i="1"/>
  <c r="E1837" i="1"/>
  <c r="E1838" i="1"/>
  <c r="E1839" i="1"/>
  <c r="E1840" i="1"/>
  <c r="E1841" i="1"/>
  <c r="E1842" i="1"/>
  <c r="E1843" i="1"/>
  <c r="E1844" i="1"/>
  <c r="E1845" i="1"/>
  <c r="E1846" i="1"/>
  <c r="E1847" i="1"/>
  <c r="E1848" i="1"/>
  <c r="E1849" i="1"/>
  <c r="E1850" i="1"/>
  <c r="E1851" i="1"/>
  <c r="E1852" i="1"/>
  <c r="E1853" i="1"/>
  <c r="E1854" i="1"/>
  <c r="E1855" i="1"/>
  <c r="E1856" i="1"/>
  <c r="E1857" i="1"/>
  <c r="E1858" i="1"/>
  <c r="E1859" i="1"/>
  <c r="E1860" i="1"/>
  <c r="E1861" i="1"/>
  <c r="E1862" i="1"/>
  <c r="E1863" i="1"/>
  <c r="E1864" i="1"/>
  <c r="E1865" i="1"/>
  <c r="E1866" i="1"/>
  <c r="E1867" i="1"/>
  <c r="E1868" i="1"/>
  <c r="E1869" i="1"/>
  <c r="E1870" i="1"/>
  <c r="E1871" i="1"/>
  <c r="E1872" i="1"/>
  <c r="E1873" i="1"/>
  <c r="E1874" i="1"/>
  <c r="E1875" i="1"/>
  <c r="E1876" i="1"/>
  <c r="E1877" i="1"/>
  <c r="E1878" i="1"/>
  <c r="E1879" i="1"/>
  <c r="E1880" i="1"/>
  <c r="E1881" i="1"/>
  <c r="E1882" i="1"/>
  <c r="E1883" i="1"/>
  <c r="E1884" i="1"/>
  <c r="E1885" i="1"/>
  <c r="E1886" i="1"/>
  <c r="E1887" i="1"/>
  <c r="E1888" i="1"/>
  <c r="E1889" i="1"/>
  <c r="E1890" i="1"/>
  <c r="E1891" i="1"/>
  <c r="E1892" i="1"/>
  <c r="E1893" i="1"/>
  <c r="E1894" i="1"/>
  <c r="E1895" i="1"/>
  <c r="E1896" i="1"/>
  <c r="E1897" i="1"/>
  <c r="E1898" i="1"/>
  <c r="E1899" i="1"/>
  <c r="E1900" i="1"/>
  <c r="E1901" i="1"/>
  <c r="E1902" i="1"/>
  <c r="E1903" i="1"/>
  <c r="E1904" i="1"/>
  <c r="E1905" i="1"/>
  <c r="E1906" i="1"/>
  <c r="E1907" i="1"/>
  <c r="E1908" i="1"/>
  <c r="E1909" i="1"/>
  <c r="E1910" i="1"/>
  <c r="E1911" i="1"/>
  <c r="E1912" i="1"/>
  <c r="E1913" i="1"/>
  <c r="E1914" i="1"/>
  <c r="E1915" i="1"/>
  <c r="E1916" i="1"/>
  <c r="E1917" i="1"/>
  <c r="E1918" i="1"/>
  <c r="E1919" i="1"/>
  <c r="E1920" i="1"/>
  <c r="E1921" i="1"/>
  <c r="E1922" i="1"/>
  <c r="E1923" i="1"/>
  <c r="E1924" i="1"/>
  <c r="E1925" i="1"/>
  <c r="E1926" i="1"/>
  <c r="E1927" i="1"/>
  <c r="E1928" i="1"/>
  <c r="E1929" i="1"/>
  <c r="E1930" i="1"/>
  <c r="E1931" i="1"/>
  <c r="E1932" i="1"/>
  <c r="E1933" i="1"/>
  <c r="E1934" i="1"/>
  <c r="E1935" i="1"/>
  <c r="E1936" i="1"/>
  <c r="E1937" i="1"/>
  <c r="E1938" i="1"/>
  <c r="E1939" i="1"/>
  <c r="E1940" i="1"/>
  <c r="E1941" i="1"/>
  <c r="E1942" i="1"/>
  <c r="E1943" i="1"/>
  <c r="E1944" i="1"/>
  <c r="E1945" i="1"/>
  <c r="E1946" i="1"/>
  <c r="E1947" i="1"/>
  <c r="E1948" i="1"/>
  <c r="E1949" i="1"/>
  <c r="E1950" i="1"/>
  <c r="E1951" i="1"/>
  <c r="E1952" i="1"/>
  <c r="E1953" i="1"/>
  <c r="E1954" i="1"/>
  <c r="E1955" i="1"/>
  <c r="E1956" i="1"/>
  <c r="E1957" i="1"/>
  <c r="E1958" i="1"/>
  <c r="E1959" i="1"/>
  <c r="E1960" i="1"/>
  <c r="E1961" i="1"/>
  <c r="E1962" i="1"/>
  <c r="E1963" i="1"/>
  <c r="E1964" i="1"/>
  <c r="E1965" i="1"/>
  <c r="E1966" i="1"/>
  <c r="E1967" i="1"/>
  <c r="E1968" i="1"/>
  <c r="E1969" i="1"/>
  <c r="E1970" i="1"/>
  <c r="E1971" i="1"/>
  <c r="E1972" i="1"/>
  <c r="E1973" i="1"/>
  <c r="E1974" i="1"/>
  <c r="E1975" i="1"/>
  <c r="E1976" i="1"/>
  <c r="E1977" i="1"/>
  <c r="E1978" i="1"/>
  <c r="E1979" i="1"/>
  <c r="E1980" i="1"/>
  <c r="E1981" i="1"/>
  <c r="E1982" i="1"/>
  <c r="E1983" i="1"/>
  <c r="E1984" i="1"/>
  <c r="E1985" i="1"/>
  <c r="E1986" i="1"/>
  <c r="E1987" i="1"/>
  <c r="E1988" i="1"/>
  <c r="E1989" i="1"/>
  <c r="E1990" i="1"/>
  <c r="E1991" i="1"/>
  <c r="E1992" i="1"/>
  <c r="E1993" i="1"/>
  <c r="E1994" i="1"/>
  <c r="E1995" i="1"/>
  <c r="E1996" i="1"/>
  <c r="E1997" i="1"/>
  <c r="E1998" i="1"/>
  <c r="E1999" i="1"/>
  <c r="E2000" i="1"/>
  <c r="E2001" i="1"/>
  <c r="E2002" i="1"/>
  <c r="E2003" i="1"/>
  <c r="E2004" i="1"/>
  <c r="E2005" i="1"/>
  <c r="E2006" i="1"/>
  <c r="E2007" i="1"/>
  <c r="E2008" i="1"/>
  <c r="E2009" i="1"/>
  <c r="E2010" i="1"/>
  <c r="E2011" i="1"/>
  <c r="E2012" i="1"/>
  <c r="E2013" i="1"/>
  <c r="E2014" i="1"/>
  <c r="E2015" i="1"/>
  <c r="E2016" i="1"/>
  <c r="E2017" i="1"/>
  <c r="E2018" i="1"/>
  <c r="E2019" i="1"/>
  <c r="E2020" i="1"/>
  <c r="E2021" i="1"/>
  <c r="E2022" i="1"/>
  <c r="E2023" i="1"/>
  <c r="E2024" i="1"/>
  <c r="E2025" i="1"/>
  <c r="E2026" i="1"/>
  <c r="E2027" i="1"/>
  <c r="E2028" i="1"/>
  <c r="E2029" i="1"/>
  <c r="E2030" i="1"/>
  <c r="E2031" i="1"/>
  <c r="E2032" i="1"/>
  <c r="E2033" i="1"/>
  <c r="E2034" i="1"/>
  <c r="E2035" i="1"/>
  <c r="E2036" i="1"/>
  <c r="E2037" i="1"/>
  <c r="E2038" i="1"/>
  <c r="E2039" i="1"/>
  <c r="E2040" i="1"/>
  <c r="E2041" i="1"/>
  <c r="E2042" i="1"/>
  <c r="E2043" i="1"/>
  <c r="E2044" i="1"/>
  <c r="E2045" i="1"/>
  <c r="E2046" i="1"/>
  <c r="E2047" i="1"/>
  <c r="E2048" i="1"/>
  <c r="E2049" i="1"/>
  <c r="E2050" i="1"/>
  <c r="E2051" i="1"/>
  <c r="E2052" i="1"/>
  <c r="E2053" i="1"/>
  <c r="E2054" i="1"/>
  <c r="E2055" i="1"/>
  <c r="E2056" i="1"/>
  <c r="E2057" i="1"/>
  <c r="E2058" i="1"/>
  <c r="E2059" i="1"/>
  <c r="E2060" i="1"/>
  <c r="E2061" i="1"/>
  <c r="E2062" i="1"/>
  <c r="E2063" i="1"/>
  <c r="E2064" i="1"/>
  <c r="E2065" i="1"/>
  <c r="E2066" i="1"/>
  <c r="E2067" i="1"/>
  <c r="E2068" i="1"/>
  <c r="E2069" i="1"/>
  <c r="E2070" i="1"/>
  <c r="E2071" i="1"/>
  <c r="E2072" i="1"/>
  <c r="E2073" i="1"/>
  <c r="E2074" i="1"/>
  <c r="E2075" i="1"/>
  <c r="E2076" i="1"/>
  <c r="E2077" i="1"/>
  <c r="E2078" i="1"/>
  <c r="E2079" i="1"/>
  <c r="E2080" i="1"/>
  <c r="E2081" i="1"/>
  <c r="E2082" i="1"/>
  <c r="E2083" i="1"/>
  <c r="E2084" i="1"/>
  <c r="E2085" i="1"/>
  <c r="E2086" i="1"/>
  <c r="E2087" i="1"/>
  <c r="E2088" i="1"/>
  <c r="E2089" i="1"/>
  <c r="E2090" i="1"/>
  <c r="E2091" i="1"/>
  <c r="E2092" i="1"/>
  <c r="E2093" i="1"/>
  <c r="E2094" i="1"/>
  <c r="E2095" i="1"/>
  <c r="E2096" i="1"/>
  <c r="E2097" i="1"/>
  <c r="E2098" i="1"/>
  <c r="E2099" i="1"/>
  <c r="E2100" i="1"/>
  <c r="E2101" i="1"/>
  <c r="E2102" i="1"/>
  <c r="E2103" i="1"/>
  <c r="E2104" i="1"/>
  <c r="E2105" i="1"/>
  <c r="E2106" i="1"/>
  <c r="E2107" i="1"/>
  <c r="E2108" i="1"/>
  <c r="E2109" i="1"/>
  <c r="E2110" i="1"/>
  <c r="E2111" i="1"/>
  <c r="E2112" i="1"/>
  <c r="E2113" i="1"/>
  <c r="E2114" i="1"/>
  <c r="E2115" i="1"/>
  <c r="E2116" i="1"/>
  <c r="E2117" i="1"/>
  <c r="E2118" i="1"/>
  <c r="E2119" i="1"/>
  <c r="E2120" i="1"/>
  <c r="E2121" i="1"/>
  <c r="E2122" i="1"/>
  <c r="E2123" i="1"/>
  <c r="E2124" i="1"/>
  <c r="E2125" i="1"/>
  <c r="E2126" i="1"/>
  <c r="E2127" i="1"/>
  <c r="E2128" i="1"/>
  <c r="E2129" i="1"/>
  <c r="E2130" i="1"/>
  <c r="E2131" i="1"/>
  <c r="E2132" i="1"/>
  <c r="E2133" i="1"/>
  <c r="E2134" i="1"/>
  <c r="E2135" i="1"/>
  <c r="E2136" i="1"/>
  <c r="E2137" i="1"/>
  <c r="E2138" i="1"/>
  <c r="E2139" i="1"/>
  <c r="E2140" i="1"/>
  <c r="E2141" i="1"/>
  <c r="E2142" i="1"/>
  <c r="E2143" i="1"/>
  <c r="E2144" i="1"/>
  <c r="E2145" i="1"/>
  <c r="E2146" i="1"/>
  <c r="E2147" i="1"/>
  <c r="E2148" i="1"/>
  <c r="E2149" i="1"/>
  <c r="E2150" i="1"/>
  <c r="E2151" i="1"/>
  <c r="E2152" i="1"/>
  <c r="E2153" i="1"/>
  <c r="E2154" i="1"/>
  <c r="E2155" i="1"/>
  <c r="E2156" i="1"/>
  <c r="E2157" i="1"/>
  <c r="E2158" i="1"/>
  <c r="E2159" i="1"/>
  <c r="E2160" i="1"/>
  <c r="E2161" i="1"/>
  <c r="E2162" i="1"/>
  <c r="E2163" i="1"/>
  <c r="E2164" i="1"/>
  <c r="E2165" i="1"/>
  <c r="E2166" i="1"/>
  <c r="E2167" i="1"/>
  <c r="E2168" i="1"/>
  <c r="E2169" i="1"/>
  <c r="E2170" i="1"/>
  <c r="E2171" i="1"/>
  <c r="E2172" i="1"/>
  <c r="E2173" i="1"/>
  <c r="E2174" i="1"/>
  <c r="E2175" i="1"/>
  <c r="E2176" i="1"/>
  <c r="E2177" i="1"/>
  <c r="E2178" i="1"/>
  <c r="E2179" i="1"/>
  <c r="E2180" i="1"/>
  <c r="E2181" i="1"/>
  <c r="E2182" i="1"/>
  <c r="E2183" i="1"/>
  <c r="E2184" i="1"/>
  <c r="E2185" i="1"/>
  <c r="E2186" i="1"/>
  <c r="E2187" i="1"/>
  <c r="E2188" i="1"/>
  <c r="E2189" i="1"/>
  <c r="E2190" i="1"/>
  <c r="E2191" i="1"/>
  <c r="E2192" i="1"/>
  <c r="E2193" i="1"/>
  <c r="E2194" i="1"/>
  <c r="E2195" i="1"/>
  <c r="E2196" i="1"/>
  <c r="E2197" i="1"/>
  <c r="E2198" i="1"/>
  <c r="E2199" i="1"/>
  <c r="E2200" i="1"/>
  <c r="E2201" i="1"/>
  <c r="E2202" i="1"/>
  <c r="E2203" i="1"/>
  <c r="E2204" i="1"/>
  <c r="E2205" i="1"/>
  <c r="E2206" i="1"/>
  <c r="E2207" i="1"/>
  <c r="E2208" i="1"/>
  <c r="E2209" i="1"/>
  <c r="E2210" i="1"/>
  <c r="E2211" i="1"/>
  <c r="E2212" i="1"/>
  <c r="E2213" i="1"/>
  <c r="E2214" i="1"/>
  <c r="E2215" i="1"/>
  <c r="E2216" i="1"/>
  <c r="E2217" i="1"/>
  <c r="E2218" i="1"/>
  <c r="E2219" i="1"/>
  <c r="E2220" i="1"/>
  <c r="E2221" i="1"/>
  <c r="E2222" i="1"/>
  <c r="E2223" i="1"/>
  <c r="E2224" i="1"/>
  <c r="E2225" i="1"/>
  <c r="E2226" i="1"/>
  <c r="E2227" i="1"/>
  <c r="E2228" i="1"/>
  <c r="E2229" i="1"/>
  <c r="E2230" i="1"/>
  <c r="E2231" i="1"/>
  <c r="E2232" i="1"/>
  <c r="E2233" i="1"/>
  <c r="E2234" i="1"/>
  <c r="E2235" i="1"/>
  <c r="E2236" i="1"/>
  <c r="E2237" i="1"/>
  <c r="E2238" i="1"/>
  <c r="E2239" i="1"/>
  <c r="E2240" i="1"/>
  <c r="E2241" i="1"/>
  <c r="E2242" i="1"/>
  <c r="E2243" i="1"/>
  <c r="E2244" i="1"/>
  <c r="E2245" i="1"/>
  <c r="E2246" i="1"/>
  <c r="E2247" i="1"/>
  <c r="E2248" i="1"/>
  <c r="E2249" i="1"/>
  <c r="E2250" i="1"/>
  <c r="E2251" i="1"/>
  <c r="E2252" i="1"/>
  <c r="E2253" i="1"/>
  <c r="E2254" i="1"/>
  <c r="E2255" i="1"/>
  <c r="E2256" i="1"/>
  <c r="E2257" i="1"/>
  <c r="E2258" i="1"/>
  <c r="E2259" i="1"/>
  <c r="E2260" i="1"/>
  <c r="E2261" i="1"/>
  <c r="E2262" i="1"/>
  <c r="E2263" i="1"/>
  <c r="E2264" i="1"/>
  <c r="E2265" i="1"/>
  <c r="E2266" i="1"/>
  <c r="E2267" i="1"/>
  <c r="E2268" i="1"/>
  <c r="E2269" i="1"/>
  <c r="E2270" i="1"/>
  <c r="E2271" i="1"/>
  <c r="E2272" i="1"/>
  <c r="E2273" i="1"/>
  <c r="E2274" i="1"/>
  <c r="E2275" i="1"/>
  <c r="E2276" i="1"/>
  <c r="E2277" i="1"/>
  <c r="E2278" i="1"/>
  <c r="E2279" i="1"/>
  <c r="E2280" i="1"/>
  <c r="E2281" i="1"/>
  <c r="E2282" i="1"/>
  <c r="E2283" i="1"/>
  <c r="E2284" i="1"/>
  <c r="E2285" i="1"/>
  <c r="E2286" i="1"/>
  <c r="E2287" i="1"/>
  <c r="E2288" i="1"/>
  <c r="E2289" i="1"/>
  <c r="E2290" i="1"/>
  <c r="E2291" i="1"/>
  <c r="E2292" i="1"/>
  <c r="E2293" i="1"/>
  <c r="E2294" i="1"/>
  <c r="E2295" i="1"/>
  <c r="E2296" i="1"/>
  <c r="E2297" i="1"/>
  <c r="E2298" i="1"/>
  <c r="E2299" i="1"/>
  <c r="E2300" i="1"/>
  <c r="E2301" i="1"/>
  <c r="E2302" i="1"/>
  <c r="E2303" i="1"/>
  <c r="E2304" i="1"/>
  <c r="E2305" i="1"/>
  <c r="E2306" i="1"/>
  <c r="E2307" i="1"/>
  <c r="E2308" i="1"/>
  <c r="E2309" i="1"/>
  <c r="E2310" i="1"/>
  <c r="E2311" i="1"/>
  <c r="E2312" i="1"/>
  <c r="E2313" i="1"/>
  <c r="E2314" i="1"/>
  <c r="E2315" i="1"/>
  <c r="E2316" i="1"/>
  <c r="E2317" i="1"/>
  <c r="E2318" i="1"/>
  <c r="E2319" i="1"/>
  <c r="E2320" i="1"/>
  <c r="E2321" i="1"/>
  <c r="E2322" i="1"/>
  <c r="E2323" i="1"/>
  <c r="E2324" i="1"/>
  <c r="E2325" i="1"/>
  <c r="E2326" i="1"/>
  <c r="E2327" i="1"/>
  <c r="E2328" i="1"/>
  <c r="E2329" i="1"/>
  <c r="E2330" i="1"/>
  <c r="E2331" i="1"/>
  <c r="E2332" i="1"/>
  <c r="E2333" i="1"/>
  <c r="E2334" i="1"/>
  <c r="E2335" i="1"/>
  <c r="E2336" i="1"/>
  <c r="E2337" i="1"/>
  <c r="E2338" i="1"/>
  <c r="E2339" i="1"/>
  <c r="E2340" i="1"/>
  <c r="E2341" i="1"/>
  <c r="E2342" i="1"/>
  <c r="E2343" i="1"/>
  <c r="E2344" i="1"/>
  <c r="E2345" i="1"/>
  <c r="E2346" i="1"/>
  <c r="E2347" i="1"/>
  <c r="E2348" i="1"/>
  <c r="E2349" i="1"/>
  <c r="E2350" i="1"/>
  <c r="E2351" i="1"/>
  <c r="E2352" i="1"/>
  <c r="E2353" i="1"/>
  <c r="E2354" i="1"/>
  <c r="E2355" i="1"/>
  <c r="E2356" i="1"/>
  <c r="E2357" i="1"/>
  <c r="E2358" i="1"/>
  <c r="E2359" i="1"/>
  <c r="E2360" i="1"/>
  <c r="E2361" i="1"/>
  <c r="E2362" i="1"/>
  <c r="E2363" i="1"/>
  <c r="E2364" i="1"/>
  <c r="E2365" i="1"/>
  <c r="E2366" i="1"/>
  <c r="E2367" i="1"/>
  <c r="E2368" i="1"/>
  <c r="E2369" i="1"/>
  <c r="E2370" i="1"/>
  <c r="E2371" i="1"/>
  <c r="E2372" i="1"/>
  <c r="E2373" i="1"/>
  <c r="E2374" i="1"/>
  <c r="E2375" i="1"/>
  <c r="E2376" i="1"/>
  <c r="E2377" i="1"/>
  <c r="E2378" i="1"/>
  <c r="E2379" i="1"/>
  <c r="E2380" i="1"/>
  <c r="E2381" i="1"/>
  <c r="E2382" i="1"/>
  <c r="E2383" i="1"/>
  <c r="E2384" i="1"/>
  <c r="E2385" i="1"/>
  <c r="E2386" i="1"/>
  <c r="E2387" i="1"/>
  <c r="E2388" i="1"/>
  <c r="E2389" i="1"/>
  <c r="E2390" i="1"/>
  <c r="E2391" i="1"/>
  <c r="E2392" i="1"/>
  <c r="E2393" i="1"/>
  <c r="E2394" i="1"/>
  <c r="E2395" i="1"/>
  <c r="E2396" i="1"/>
  <c r="E2397" i="1"/>
  <c r="E2398" i="1"/>
  <c r="E2399" i="1"/>
  <c r="E2400" i="1"/>
  <c r="E2401" i="1"/>
  <c r="E2402" i="1"/>
  <c r="E2403" i="1"/>
  <c r="E2404" i="1"/>
  <c r="E2405" i="1"/>
  <c r="E2406" i="1"/>
  <c r="E2407" i="1"/>
  <c r="E2408" i="1"/>
  <c r="E2409" i="1"/>
  <c r="E2410" i="1"/>
  <c r="E2411" i="1"/>
  <c r="E2412" i="1"/>
  <c r="E2413" i="1"/>
  <c r="E2414" i="1"/>
  <c r="E2415" i="1"/>
  <c r="E2416" i="1"/>
  <c r="E2417" i="1"/>
  <c r="E2418" i="1"/>
  <c r="E2419" i="1"/>
  <c r="E2420" i="1"/>
  <c r="E2421" i="1"/>
  <c r="E2422" i="1"/>
  <c r="E2423" i="1"/>
  <c r="E2424" i="1"/>
  <c r="E2425" i="1"/>
  <c r="E2426" i="1"/>
  <c r="E2427" i="1"/>
  <c r="E2428" i="1"/>
  <c r="E2429" i="1"/>
  <c r="E2430" i="1"/>
  <c r="E2431" i="1"/>
  <c r="E2432" i="1"/>
  <c r="E2433" i="1"/>
  <c r="E2434" i="1"/>
  <c r="E2435" i="1"/>
  <c r="E2436" i="1"/>
  <c r="E2437" i="1"/>
  <c r="E2438" i="1"/>
  <c r="E2439" i="1"/>
  <c r="E2440" i="1"/>
  <c r="E2441" i="1"/>
  <c r="E2442" i="1"/>
  <c r="E2443" i="1"/>
  <c r="E2444" i="1"/>
  <c r="E2445" i="1"/>
  <c r="E2446" i="1"/>
  <c r="E2447" i="1"/>
  <c r="E2448" i="1"/>
  <c r="E2449" i="1"/>
  <c r="E2450" i="1"/>
  <c r="E2451" i="1"/>
  <c r="E2452" i="1"/>
  <c r="E2453" i="1"/>
  <c r="E2454" i="1"/>
  <c r="E2455" i="1"/>
  <c r="E2456" i="1"/>
  <c r="E2457" i="1"/>
  <c r="E2458" i="1"/>
  <c r="E2459" i="1"/>
  <c r="E2460" i="1"/>
  <c r="E2461" i="1"/>
  <c r="E2462" i="1"/>
  <c r="E2463" i="1"/>
  <c r="E2464" i="1"/>
  <c r="E2465" i="1"/>
  <c r="E2466" i="1"/>
  <c r="E2467" i="1"/>
  <c r="E2468" i="1"/>
  <c r="E2469" i="1"/>
  <c r="E2470" i="1"/>
  <c r="E2471" i="1"/>
  <c r="E2472" i="1"/>
  <c r="E2473" i="1"/>
  <c r="E2474" i="1"/>
  <c r="E2475" i="1"/>
  <c r="E2476" i="1"/>
  <c r="E2477" i="1"/>
  <c r="E2478" i="1"/>
  <c r="E2479" i="1"/>
  <c r="E2480" i="1"/>
  <c r="E2481" i="1"/>
  <c r="E2482" i="1"/>
  <c r="E2483" i="1"/>
  <c r="E2484" i="1"/>
  <c r="E2485" i="1"/>
  <c r="E2486" i="1"/>
  <c r="E2487" i="1"/>
  <c r="E2488" i="1"/>
  <c r="E2489" i="1"/>
  <c r="E2490" i="1"/>
  <c r="E2491" i="1"/>
  <c r="E2492" i="1"/>
  <c r="E2493" i="1"/>
  <c r="E2494" i="1"/>
  <c r="E2495" i="1"/>
  <c r="E2496" i="1"/>
  <c r="E2497" i="1"/>
  <c r="E2498" i="1"/>
  <c r="E2499" i="1"/>
  <c r="E2500" i="1"/>
  <c r="E2501" i="1"/>
  <c r="E2502" i="1"/>
  <c r="E2503" i="1"/>
  <c r="E2504" i="1"/>
  <c r="E2505" i="1"/>
  <c r="E2506" i="1"/>
  <c r="E2507" i="1"/>
  <c r="E2508" i="1"/>
  <c r="E2509" i="1"/>
  <c r="E2510" i="1"/>
  <c r="E2511" i="1"/>
  <c r="E2512" i="1"/>
  <c r="E2513" i="1"/>
  <c r="E2514" i="1"/>
  <c r="E2515" i="1"/>
  <c r="E2516" i="1"/>
  <c r="E2517" i="1"/>
  <c r="E2518" i="1"/>
  <c r="E2519" i="1"/>
  <c r="E2520" i="1"/>
  <c r="E2521" i="1"/>
  <c r="E2522" i="1"/>
  <c r="E2523" i="1"/>
  <c r="E2524" i="1"/>
  <c r="E2525" i="1"/>
  <c r="E2526" i="1"/>
  <c r="E2527" i="1"/>
  <c r="E2528" i="1"/>
  <c r="E2529" i="1"/>
  <c r="E2530" i="1"/>
  <c r="E2531" i="1"/>
  <c r="E2532" i="1"/>
  <c r="E2533" i="1"/>
  <c r="E2534" i="1"/>
  <c r="E2535" i="1"/>
  <c r="E2536" i="1"/>
  <c r="E2537" i="1"/>
  <c r="E2538" i="1"/>
  <c r="E2539" i="1"/>
  <c r="E2540" i="1"/>
  <c r="E2541" i="1"/>
  <c r="E2542" i="1"/>
  <c r="E2543" i="1"/>
  <c r="E2544" i="1"/>
  <c r="E2545" i="1"/>
  <c r="E2546" i="1"/>
  <c r="E2547" i="1"/>
  <c r="E2548" i="1"/>
  <c r="E2549" i="1"/>
  <c r="E2550" i="1"/>
  <c r="E2551" i="1"/>
  <c r="E2552" i="1"/>
  <c r="E2553" i="1"/>
  <c r="E2554" i="1"/>
  <c r="E2555" i="1"/>
  <c r="E2556" i="1"/>
  <c r="E2557" i="1"/>
  <c r="E2558" i="1"/>
  <c r="E2559" i="1"/>
  <c r="E2560" i="1"/>
  <c r="E2561" i="1"/>
  <c r="E2562" i="1"/>
  <c r="E2563" i="1"/>
  <c r="E2564" i="1"/>
  <c r="E2565" i="1"/>
  <c r="E2566" i="1"/>
  <c r="E2567" i="1"/>
  <c r="E2568" i="1"/>
  <c r="E2569" i="1"/>
  <c r="E2570" i="1"/>
  <c r="E2571" i="1"/>
  <c r="E2572" i="1"/>
  <c r="E2573" i="1"/>
  <c r="E2574" i="1"/>
  <c r="E2575" i="1"/>
  <c r="E2576" i="1"/>
  <c r="E2577" i="1"/>
  <c r="E2578" i="1"/>
  <c r="E2579" i="1"/>
  <c r="E2580" i="1"/>
  <c r="E2581" i="1"/>
  <c r="E2582" i="1"/>
  <c r="E2583" i="1"/>
  <c r="E2584" i="1"/>
  <c r="E2585" i="1"/>
  <c r="E2586" i="1"/>
  <c r="E2587" i="1"/>
  <c r="E2588" i="1"/>
  <c r="E2589" i="1"/>
  <c r="E2590" i="1"/>
  <c r="E2591" i="1"/>
  <c r="E2592" i="1"/>
  <c r="E2593" i="1"/>
  <c r="E2594" i="1"/>
  <c r="E2595" i="1"/>
  <c r="E2596" i="1"/>
  <c r="E2597" i="1"/>
  <c r="E2598" i="1"/>
  <c r="E2599" i="1"/>
  <c r="E2600" i="1"/>
  <c r="E2601" i="1"/>
  <c r="E2602" i="1"/>
  <c r="E2603" i="1"/>
  <c r="E2604" i="1"/>
  <c r="E2605" i="1"/>
  <c r="E2606" i="1"/>
  <c r="E2607" i="1"/>
  <c r="E2608" i="1"/>
  <c r="E2609" i="1"/>
  <c r="E2610" i="1"/>
  <c r="E2611" i="1"/>
  <c r="E2612" i="1"/>
  <c r="E2613" i="1"/>
  <c r="E2614" i="1"/>
  <c r="E2615" i="1"/>
  <c r="E2616" i="1"/>
  <c r="E2617" i="1"/>
  <c r="E2618" i="1"/>
  <c r="E2619" i="1"/>
  <c r="E2620" i="1"/>
  <c r="E2621" i="1"/>
  <c r="E2622" i="1"/>
  <c r="E2623" i="1"/>
  <c r="E2624" i="1"/>
  <c r="E2625" i="1"/>
  <c r="E2626" i="1"/>
  <c r="E2627" i="1"/>
  <c r="E2628" i="1"/>
  <c r="E2629" i="1"/>
  <c r="E2630" i="1"/>
  <c r="E2631" i="1"/>
  <c r="E2632" i="1"/>
  <c r="E2633" i="1"/>
  <c r="E2634" i="1"/>
  <c r="E2635" i="1"/>
  <c r="E2636" i="1"/>
  <c r="E2637" i="1"/>
  <c r="E2638" i="1"/>
  <c r="E2639" i="1"/>
  <c r="E2640" i="1"/>
  <c r="E2641" i="1"/>
  <c r="E2642" i="1"/>
  <c r="E2643" i="1"/>
  <c r="E2644" i="1"/>
  <c r="E2645" i="1"/>
  <c r="E2646" i="1"/>
  <c r="E2647" i="1"/>
  <c r="E2648" i="1"/>
  <c r="E2649" i="1"/>
  <c r="E2650" i="1"/>
  <c r="E2651" i="1"/>
  <c r="E2652" i="1"/>
  <c r="E2653" i="1"/>
  <c r="E2654" i="1"/>
  <c r="E2655" i="1"/>
  <c r="E2656" i="1"/>
  <c r="E2657" i="1"/>
  <c r="E2658" i="1"/>
  <c r="E2659" i="1"/>
  <c r="E2660" i="1"/>
  <c r="E2661" i="1"/>
  <c r="E2662" i="1"/>
  <c r="E2663" i="1"/>
  <c r="E2664" i="1"/>
  <c r="E2665" i="1"/>
  <c r="E2666" i="1"/>
  <c r="E2667" i="1"/>
  <c r="E2668" i="1"/>
  <c r="E2669" i="1"/>
  <c r="E2670" i="1"/>
  <c r="E2671" i="1"/>
  <c r="E2672" i="1"/>
  <c r="E2673" i="1"/>
  <c r="E2674" i="1"/>
  <c r="E2675" i="1"/>
  <c r="E2676" i="1"/>
  <c r="E2677" i="1"/>
  <c r="E2678" i="1"/>
  <c r="E2679" i="1"/>
  <c r="E2680" i="1"/>
  <c r="E2681" i="1"/>
  <c r="E2682" i="1"/>
  <c r="E2683" i="1"/>
  <c r="E2684" i="1"/>
  <c r="E2685" i="1"/>
  <c r="E2686" i="1"/>
  <c r="E2687" i="1"/>
  <c r="E2688" i="1"/>
  <c r="E2689" i="1"/>
  <c r="E2690" i="1"/>
  <c r="E2691" i="1"/>
  <c r="E2692" i="1"/>
  <c r="E2693" i="1"/>
  <c r="E2694" i="1"/>
  <c r="E2695" i="1"/>
  <c r="E2696" i="1"/>
  <c r="E2697" i="1"/>
  <c r="E2698" i="1"/>
  <c r="E2699" i="1"/>
  <c r="E2700" i="1"/>
  <c r="E2701" i="1"/>
  <c r="E2702" i="1"/>
  <c r="E2703" i="1"/>
  <c r="E2704" i="1"/>
  <c r="E2705" i="1"/>
  <c r="E2706" i="1"/>
  <c r="E2707" i="1"/>
  <c r="E2708" i="1"/>
  <c r="E2709" i="1"/>
  <c r="E2710" i="1"/>
  <c r="E2711" i="1"/>
  <c r="E2712" i="1"/>
  <c r="E2713" i="1"/>
  <c r="E2714" i="1"/>
  <c r="E2715" i="1"/>
  <c r="E2716" i="1"/>
  <c r="E2717" i="1"/>
  <c r="E2718" i="1"/>
  <c r="E2719" i="1"/>
  <c r="E2720" i="1"/>
  <c r="E2721" i="1"/>
  <c r="E2722" i="1"/>
  <c r="E2723" i="1"/>
  <c r="E2724" i="1"/>
  <c r="E2725" i="1"/>
  <c r="E2726" i="1"/>
  <c r="E2727" i="1"/>
  <c r="E2728" i="1"/>
  <c r="E2729" i="1"/>
  <c r="E2730" i="1"/>
  <c r="E2731" i="1"/>
  <c r="E2732" i="1"/>
  <c r="E2733" i="1"/>
  <c r="E2734" i="1"/>
  <c r="E2735" i="1"/>
  <c r="E2736" i="1"/>
  <c r="E2737" i="1"/>
  <c r="E2738" i="1"/>
  <c r="E2739" i="1"/>
  <c r="E2740" i="1"/>
  <c r="E2741" i="1"/>
  <c r="E2742" i="1"/>
  <c r="E2743" i="1"/>
  <c r="E2744" i="1"/>
  <c r="E2745" i="1"/>
  <c r="E2746" i="1"/>
  <c r="E2747" i="1"/>
  <c r="E2748" i="1"/>
  <c r="E2749" i="1"/>
  <c r="E2750" i="1"/>
  <c r="E2751" i="1"/>
  <c r="E2752" i="1"/>
  <c r="E2753" i="1"/>
  <c r="E2754" i="1"/>
  <c r="E2755" i="1"/>
  <c r="E2756" i="1"/>
  <c r="E2757" i="1"/>
  <c r="E2758" i="1"/>
  <c r="E2759" i="1"/>
  <c r="E2760" i="1"/>
  <c r="E2761" i="1"/>
  <c r="E2762" i="1"/>
  <c r="E2763" i="1"/>
  <c r="E2764" i="1"/>
  <c r="E2765" i="1"/>
  <c r="E2766" i="1"/>
  <c r="E2767" i="1"/>
  <c r="E2768" i="1"/>
  <c r="E2769" i="1"/>
  <c r="E2770" i="1"/>
  <c r="E2771" i="1"/>
  <c r="E2772" i="1"/>
  <c r="E2773" i="1"/>
  <c r="E2774" i="1"/>
  <c r="E2775" i="1"/>
  <c r="E2776" i="1"/>
  <c r="E2777" i="1"/>
  <c r="E2778" i="1"/>
  <c r="E2779" i="1"/>
  <c r="E2780" i="1"/>
  <c r="E2781" i="1"/>
  <c r="E2782" i="1"/>
  <c r="E2783" i="1"/>
  <c r="E2784" i="1"/>
  <c r="E2785" i="1"/>
  <c r="E2786" i="1"/>
  <c r="E2787" i="1"/>
  <c r="E2788" i="1"/>
  <c r="E2789" i="1"/>
  <c r="E2790" i="1"/>
  <c r="E2791" i="1"/>
  <c r="E2792" i="1"/>
  <c r="E2793" i="1"/>
  <c r="E2794" i="1"/>
  <c r="E2795" i="1"/>
  <c r="E2796" i="1"/>
  <c r="E2797" i="1"/>
  <c r="E2798" i="1"/>
  <c r="E2799" i="1"/>
  <c r="E2800" i="1"/>
  <c r="E2801" i="1"/>
  <c r="E2802" i="1"/>
  <c r="E2803" i="1"/>
  <c r="E2804" i="1"/>
  <c r="E2805" i="1"/>
  <c r="E2806" i="1"/>
  <c r="E2807" i="1"/>
  <c r="E2808" i="1"/>
  <c r="E2809" i="1"/>
  <c r="E2810" i="1"/>
  <c r="E2811" i="1"/>
  <c r="E2812" i="1"/>
  <c r="E2813" i="1"/>
  <c r="E2814" i="1"/>
  <c r="E2815" i="1"/>
  <c r="E2816" i="1"/>
  <c r="E2817" i="1"/>
  <c r="E2818" i="1"/>
  <c r="E2819" i="1"/>
  <c r="E2820" i="1"/>
  <c r="E2821" i="1"/>
  <c r="E2822" i="1"/>
  <c r="E2823" i="1"/>
  <c r="E2824" i="1"/>
  <c r="E2825" i="1"/>
  <c r="E2826" i="1"/>
  <c r="E2827" i="1"/>
  <c r="E2828" i="1"/>
  <c r="E2829" i="1"/>
  <c r="E2830" i="1"/>
  <c r="E2831" i="1"/>
  <c r="E2832" i="1"/>
  <c r="E2833" i="1"/>
  <c r="E2834" i="1"/>
  <c r="E2835" i="1"/>
  <c r="E2836" i="1"/>
  <c r="E2837" i="1"/>
  <c r="E2838" i="1"/>
  <c r="E2839" i="1"/>
  <c r="E2840" i="1"/>
  <c r="E2841" i="1"/>
  <c r="E2842" i="1"/>
  <c r="E2843" i="1"/>
  <c r="E2844" i="1"/>
  <c r="E2845" i="1"/>
  <c r="E2846" i="1"/>
  <c r="E2847" i="1"/>
  <c r="E2848" i="1"/>
  <c r="E2849" i="1"/>
  <c r="E2850" i="1"/>
  <c r="E2851" i="1"/>
  <c r="E2852" i="1"/>
  <c r="E2853" i="1"/>
  <c r="E2854" i="1"/>
  <c r="E2855" i="1"/>
  <c r="E2856" i="1"/>
  <c r="E2857" i="1"/>
  <c r="E2858" i="1"/>
  <c r="E2859" i="1"/>
  <c r="E2860" i="1"/>
  <c r="E2861" i="1"/>
  <c r="E2862" i="1"/>
  <c r="E2863" i="1"/>
  <c r="E2864" i="1"/>
  <c r="E2865" i="1"/>
  <c r="E2866" i="1"/>
  <c r="E2867" i="1"/>
  <c r="E2868" i="1"/>
  <c r="E2869" i="1"/>
  <c r="E2870" i="1"/>
  <c r="E2871" i="1"/>
  <c r="E2872" i="1"/>
  <c r="E2873" i="1"/>
  <c r="E2874" i="1"/>
  <c r="E2875" i="1"/>
  <c r="E2876" i="1"/>
  <c r="E2877" i="1"/>
  <c r="E2878" i="1"/>
  <c r="E2879" i="1"/>
  <c r="E2880" i="1"/>
  <c r="E2881" i="1"/>
  <c r="E2882" i="1"/>
  <c r="E2883" i="1"/>
  <c r="E2884" i="1"/>
  <c r="E2885" i="1"/>
  <c r="E2886" i="1"/>
  <c r="E2887" i="1"/>
  <c r="E2888" i="1"/>
  <c r="E2889" i="1"/>
  <c r="E2890" i="1"/>
  <c r="E2891" i="1"/>
  <c r="E2892" i="1"/>
  <c r="E2893" i="1"/>
  <c r="E2894" i="1"/>
  <c r="E2895" i="1"/>
  <c r="E2896" i="1"/>
  <c r="E2897" i="1"/>
  <c r="E2898" i="1"/>
  <c r="E2899" i="1"/>
  <c r="E2900" i="1"/>
  <c r="E2901" i="1"/>
  <c r="E2902" i="1"/>
  <c r="E2903" i="1"/>
  <c r="E2904" i="1"/>
  <c r="E2905" i="1"/>
  <c r="E2906" i="1"/>
  <c r="E2907" i="1"/>
  <c r="E2908" i="1"/>
  <c r="E2909" i="1"/>
  <c r="E2910" i="1"/>
  <c r="E2911" i="1"/>
  <c r="E2912" i="1"/>
  <c r="E2913" i="1"/>
  <c r="E2914" i="1"/>
  <c r="E2915" i="1"/>
  <c r="E2916" i="1"/>
  <c r="E2917" i="1"/>
  <c r="E2918" i="1"/>
  <c r="E2919" i="1"/>
  <c r="E2920" i="1"/>
  <c r="E2921" i="1"/>
  <c r="E2922" i="1"/>
  <c r="E2923" i="1"/>
  <c r="E2924" i="1"/>
  <c r="E2925" i="1"/>
  <c r="E2926" i="1"/>
  <c r="E2927" i="1"/>
  <c r="E2928" i="1"/>
  <c r="E2929" i="1"/>
  <c r="E2930" i="1"/>
  <c r="E2931" i="1"/>
  <c r="E2932" i="1"/>
  <c r="E2933" i="1"/>
  <c r="E2934" i="1"/>
  <c r="E2935" i="1"/>
  <c r="E2936" i="1"/>
  <c r="E2937" i="1"/>
  <c r="E2938" i="1"/>
  <c r="E2939" i="1"/>
  <c r="E2940" i="1"/>
  <c r="E2941" i="1"/>
  <c r="E2942" i="1"/>
  <c r="E2943" i="1"/>
  <c r="E2944" i="1"/>
  <c r="E2945" i="1"/>
  <c r="E2946" i="1"/>
  <c r="E2947" i="1"/>
  <c r="E2948" i="1"/>
  <c r="E2949" i="1"/>
  <c r="E2950" i="1"/>
  <c r="E2951" i="1"/>
  <c r="E2952" i="1"/>
  <c r="E2953" i="1"/>
  <c r="E2954" i="1"/>
  <c r="E2955" i="1"/>
  <c r="E2956" i="1"/>
  <c r="E2957" i="1"/>
  <c r="E2958" i="1"/>
  <c r="E2959" i="1"/>
  <c r="E2960" i="1"/>
  <c r="E2961" i="1"/>
  <c r="E2962" i="1"/>
  <c r="E2963" i="1"/>
  <c r="E2964" i="1"/>
  <c r="E2965" i="1"/>
  <c r="E2966" i="1"/>
  <c r="E2967" i="1"/>
  <c r="E2968" i="1"/>
  <c r="E2969" i="1"/>
  <c r="E2970" i="1"/>
  <c r="E2971" i="1"/>
  <c r="E2972" i="1"/>
  <c r="E2973" i="1"/>
  <c r="E2974" i="1"/>
  <c r="E2975" i="1"/>
  <c r="E2976" i="1"/>
  <c r="E2977" i="1"/>
  <c r="E2978" i="1"/>
  <c r="E2979" i="1"/>
  <c r="E2980" i="1"/>
  <c r="E2981" i="1"/>
  <c r="E2982" i="1"/>
  <c r="E2983" i="1"/>
  <c r="E2984" i="1"/>
  <c r="E2985" i="1"/>
  <c r="E2986" i="1"/>
  <c r="E2987" i="1"/>
  <c r="E2988" i="1"/>
  <c r="E2989" i="1"/>
  <c r="E2990" i="1"/>
  <c r="E2991" i="1"/>
  <c r="E2992" i="1"/>
  <c r="E2993" i="1"/>
  <c r="E2994" i="1"/>
  <c r="E2995" i="1"/>
  <c r="E2996" i="1"/>
  <c r="E2997" i="1"/>
  <c r="E2998" i="1"/>
  <c r="E2999" i="1"/>
  <c r="E3000" i="1"/>
  <c r="E3001" i="1"/>
  <c r="E3002" i="1"/>
  <c r="E3003" i="1"/>
  <c r="E3004" i="1"/>
  <c r="E3005" i="1"/>
  <c r="E3006" i="1"/>
  <c r="E3007" i="1"/>
  <c r="E3008" i="1"/>
  <c r="E3009" i="1"/>
  <c r="E3010" i="1"/>
  <c r="E3011" i="1"/>
  <c r="E3012" i="1"/>
  <c r="E3013" i="1"/>
  <c r="E3014" i="1"/>
  <c r="E3015" i="1"/>
  <c r="E3016" i="1"/>
  <c r="E3017" i="1"/>
  <c r="E3018" i="1"/>
  <c r="E3019" i="1"/>
  <c r="E3020" i="1"/>
  <c r="E3021" i="1"/>
  <c r="E3022" i="1"/>
  <c r="E3023" i="1"/>
  <c r="E3024" i="1"/>
  <c r="E3025" i="1"/>
  <c r="E3026" i="1"/>
  <c r="E3027" i="1"/>
  <c r="E3028" i="1"/>
  <c r="E3029" i="1"/>
  <c r="E3030" i="1"/>
  <c r="E3031" i="1"/>
  <c r="E3032" i="1"/>
  <c r="E3033" i="1"/>
  <c r="E3034" i="1"/>
  <c r="E3035" i="1"/>
  <c r="E3036" i="1"/>
  <c r="E3037" i="1"/>
  <c r="E3038" i="1"/>
  <c r="E3039" i="1"/>
  <c r="E3040" i="1"/>
  <c r="E3041" i="1"/>
  <c r="E3042" i="1"/>
  <c r="E3043" i="1"/>
  <c r="E3044" i="1"/>
  <c r="E3045" i="1"/>
  <c r="E3046" i="1"/>
  <c r="E3047" i="1"/>
  <c r="E3048" i="1"/>
  <c r="E3049" i="1"/>
  <c r="E3050" i="1"/>
  <c r="E3051" i="1"/>
  <c r="E3052" i="1"/>
  <c r="E3053" i="1"/>
  <c r="E3054" i="1"/>
  <c r="E3055" i="1"/>
  <c r="E3056" i="1"/>
  <c r="E3057" i="1"/>
  <c r="E3058" i="1"/>
  <c r="E3059" i="1"/>
  <c r="E3060" i="1"/>
  <c r="E3061" i="1"/>
  <c r="E3062" i="1"/>
  <c r="E3063" i="1"/>
  <c r="E3064" i="1"/>
  <c r="E3065" i="1"/>
  <c r="E3066" i="1"/>
  <c r="E3067" i="1"/>
  <c r="E3068" i="1"/>
  <c r="E3069" i="1"/>
  <c r="E3070" i="1"/>
  <c r="E3071" i="1"/>
  <c r="E3072" i="1"/>
  <c r="E3073" i="1"/>
  <c r="E3074" i="1"/>
  <c r="E3075" i="1"/>
  <c r="E3076" i="1"/>
  <c r="E3077" i="1"/>
  <c r="E3078" i="1"/>
  <c r="E3079" i="1"/>
  <c r="E3080" i="1"/>
  <c r="E3081" i="1"/>
  <c r="E3082" i="1"/>
  <c r="E3083" i="1"/>
  <c r="E3084" i="1"/>
  <c r="E3085" i="1"/>
  <c r="E3086" i="1"/>
  <c r="E3087" i="1"/>
  <c r="E3088" i="1"/>
  <c r="E3089" i="1"/>
  <c r="E3090" i="1"/>
  <c r="E3091" i="1"/>
  <c r="E3092" i="1"/>
  <c r="E3093" i="1"/>
  <c r="E3094" i="1"/>
  <c r="E3095" i="1"/>
  <c r="E3096" i="1"/>
  <c r="E3097" i="1"/>
  <c r="E3098" i="1"/>
  <c r="E3099" i="1"/>
  <c r="E3100" i="1"/>
  <c r="E3101" i="1"/>
  <c r="E3102" i="1"/>
  <c r="E3103" i="1"/>
  <c r="E3104" i="1"/>
  <c r="E3105" i="1"/>
  <c r="E3106" i="1"/>
  <c r="E3107" i="1"/>
  <c r="E3108" i="1"/>
  <c r="E3109" i="1"/>
  <c r="E3110" i="1"/>
  <c r="E3111" i="1"/>
  <c r="E3112" i="1"/>
  <c r="E3113" i="1"/>
  <c r="E3114" i="1"/>
  <c r="E3115" i="1"/>
  <c r="E3116" i="1"/>
  <c r="E3117" i="1"/>
  <c r="E3118" i="1"/>
  <c r="E3119" i="1"/>
  <c r="E3120" i="1"/>
  <c r="E3121" i="1"/>
  <c r="E3122" i="1"/>
  <c r="E3123" i="1"/>
  <c r="E3124" i="1"/>
  <c r="E3125" i="1"/>
  <c r="E3126" i="1"/>
  <c r="E3127" i="1"/>
  <c r="E3128" i="1"/>
  <c r="E3129" i="1"/>
  <c r="E3130" i="1"/>
  <c r="E3131" i="1"/>
  <c r="E3132" i="1"/>
  <c r="E3133" i="1"/>
  <c r="E3134" i="1"/>
  <c r="E3135" i="1"/>
  <c r="E3136" i="1"/>
  <c r="E3137" i="1"/>
  <c r="E3138" i="1"/>
  <c r="E3139" i="1"/>
  <c r="E3140" i="1"/>
  <c r="E3141" i="1"/>
  <c r="E3142" i="1"/>
  <c r="E3143" i="1"/>
  <c r="E3144" i="1"/>
  <c r="E3145" i="1"/>
  <c r="E3146" i="1"/>
  <c r="E3147" i="1"/>
  <c r="E3148" i="1"/>
  <c r="E3149" i="1"/>
  <c r="E3150" i="1"/>
  <c r="E3151" i="1"/>
  <c r="E3152" i="1"/>
  <c r="E3153" i="1"/>
  <c r="E3154" i="1"/>
  <c r="E3155" i="1"/>
  <c r="E3156" i="1"/>
  <c r="E3157" i="1"/>
  <c r="E3158" i="1"/>
  <c r="E3159" i="1"/>
  <c r="E3160" i="1"/>
  <c r="E3161" i="1"/>
  <c r="E3162" i="1"/>
  <c r="E3163" i="1"/>
  <c r="E3164" i="1"/>
  <c r="E3165" i="1"/>
  <c r="E3166" i="1"/>
  <c r="E3167" i="1"/>
  <c r="E3168" i="1"/>
  <c r="E3169" i="1"/>
  <c r="E3170" i="1"/>
  <c r="E3171" i="1"/>
  <c r="E3172" i="1"/>
  <c r="E3173" i="1"/>
  <c r="E3174" i="1"/>
  <c r="E3175" i="1"/>
  <c r="E3176" i="1"/>
  <c r="E3177" i="1"/>
  <c r="E3178" i="1"/>
  <c r="E3179" i="1"/>
  <c r="E3180" i="1"/>
  <c r="E3181" i="1"/>
  <c r="E3182" i="1"/>
  <c r="E3183" i="1"/>
  <c r="E3184" i="1"/>
  <c r="E3185" i="1"/>
  <c r="E3186" i="1"/>
  <c r="E3187" i="1"/>
  <c r="E3188" i="1"/>
  <c r="E3189" i="1"/>
  <c r="E3190" i="1"/>
  <c r="E3191" i="1"/>
  <c r="E3192" i="1"/>
  <c r="E3193" i="1"/>
  <c r="E3194" i="1"/>
  <c r="E3195" i="1"/>
  <c r="E3196" i="1"/>
  <c r="E3197" i="1"/>
  <c r="E3198" i="1"/>
  <c r="E3199" i="1"/>
  <c r="E3200" i="1"/>
  <c r="E3201" i="1"/>
  <c r="E3202" i="1"/>
  <c r="E3203" i="1"/>
  <c r="E3204" i="1"/>
  <c r="E3205" i="1"/>
  <c r="E3206" i="1"/>
  <c r="E3207" i="1"/>
  <c r="E3208" i="1"/>
  <c r="E3209" i="1"/>
  <c r="E3210" i="1"/>
  <c r="E3211" i="1"/>
  <c r="E3212" i="1"/>
  <c r="E3213" i="1"/>
  <c r="E3214" i="1"/>
  <c r="E3215" i="1"/>
  <c r="E3216" i="1"/>
  <c r="E3217" i="1"/>
  <c r="E3218" i="1"/>
  <c r="E3219" i="1"/>
  <c r="E3220" i="1"/>
  <c r="E3221" i="1"/>
  <c r="E3222" i="1"/>
  <c r="E3223" i="1"/>
  <c r="E3224" i="1"/>
  <c r="E3225" i="1"/>
  <c r="E3226" i="1"/>
  <c r="E3227" i="1"/>
  <c r="E3228" i="1"/>
  <c r="E3229" i="1"/>
  <c r="E3230" i="1"/>
  <c r="E3231" i="1"/>
  <c r="E3232" i="1"/>
  <c r="E3233" i="1"/>
  <c r="E3234" i="1"/>
  <c r="E3235" i="1"/>
  <c r="E3236" i="1"/>
  <c r="E3237" i="1"/>
  <c r="E3238" i="1"/>
  <c r="E3239" i="1"/>
  <c r="E3240" i="1"/>
  <c r="E3241" i="1"/>
  <c r="E3242" i="1"/>
  <c r="E3243" i="1"/>
  <c r="E3244" i="1"/>
  <c r="E3245" i="1"/>
  <c r="E3246" i="1"/>
  <c r="E3247" i="1"/>
  <c r="E3248" i="1"/>
  <c r="E3249" i="1"/>
  <c r="E3250" i="1"/>
  <c r="E3251" i="1"/>
  <c r="E3252" i="1"/>
  <c r="E3253" i="1"/>
  <c r="E3254" i="1"/>
  <c r="E3255" i="1"/>
  <c r="E3256" i="1"/>
  <c r="E3257" i="1"/>
  <c r="E3258" i="1"/>
  <c r="E3259" i="1"/>
  <c r="E3260" i="1"/>
  <c r="E3261" i="1"/>
  <c r="E3262" i="1"/>
  <c r="E3263" i="1"/>
  <c r="E3264" i="1"/>
  <c r="E3265" i="1"/>
  <c r="E3266" i="1"/>
  <c r="E3267" i="1"/>
  <c r="E3268" i="1"/>
  <c r="E3269" i="1"/>
  <c r="E3270" i="1"/>
  <c r="E3271" i="1"/>
  <c r="E3272" i="1"/>
  <c r="E3273" i="1"/>
  <c r="E3274" i="1"/>
  <c r="E3275" i="1"/>
  <c r="E3276" i="1"/>
  <c r="E3277" i="1"/>
  <c r="E3278" i="1"/>
  <c r="E3279" i="1"/>
  <c r="E3280" i="1"/>
  <c r="E3281" i="1"/>
  <c r="E3282" i="1"/>
  <c r="E3283" i="1"/>
  <c r="E3284" i="1"/>
  <c r="E3285" i="1"/>
  <c r="E3286" i="1"/>
  <c r="E3287" i="1"/>
  <c r="E3288" i="1"/>
  <c r="E3289" i="1"/>
  <c r="E3290" i="1"/>
  <c r="E3291" i="1"/>
  <c r="E3292" i="1"/>
  <c r="E3293" i="1"/>
  <c r="E3294" i="1"/>
  <c r="E3295" i="1"/>
  <c r="E3296" i="1"/>
  <c r="E3297" i="1"/>
  <c r="E3298" i="1"/>
  <c r="E3299" i="1"/>
  <c r="E3300" i="1"/>
  <c r="E3301" i="1"/>
  <c r="E3302" i="1"/>
  <c r="E3303" i="1"/>
  <c r="E3304" i="1"/>
  <c r="E3305" i="1"/>
  <c r="E3306" i="1"/>
  <c r="E3307" i="1"/>
  <c r="E3308" i="1"/>
  <c r="E3309" i="1"/>
  <c r="E3310" i="1"/>
  <c r="E3311" i="1"/>
  <c r="E3312" i="1"/>
  <c r="E3313" i="1"/>
  <c r="E3314" i="1"/>
  <c r="E3315" i="1"/>
  <c r="E3316" i="1"/>
  <c r="E3317" i="1"/>
  <c r="E3318" i="1"/>
  <c r="E3319" i="1"/>
  <c r="E3320" i="1"/>
  <c r="E3321" i="1"/>
  <c r="E3322" i="1"/>
  <c r="E3323" i="1"/>
  <c r="E3324" i="1"/>
  <c r="E3325" i="1"/>
  <c r="E3326" i="1"/>
  <c r="E3327" i="1"/>
  <c r="E3328" i="1"/>
  <c r="E3329" i="1"/>
  <c r="E3330" i="1"/>
  <c r="E3331" i="1"/>
  <c r="E3332" i="1"/>
  <c r="E3333" i="1"/>
  <c r="E3334" i="1"/>
  <c r="E3335" i="1"/>
  <c r="E3336" i="1"/>
  <c r="E3337" i="1"/>
  <c r="E3338" i="1"/>
  <c r="E3339" i="1"/>
  <c r="E3340" i="1"/>
  <c r="E3341" i="1"/>
  <c r="E3342" i="1"/>
  <c r="E3343" i="1"/>
  <c r="E3344" i="1"/>
  <c r="E3345" i="1"/>
  <c r="E3346" i="1"/>
  <c r="E3347" i="1"/>
  <c r="E3348" i="1"/>
  <c r="E3349" i="1"/>
  <c r="E3350" i="1"/>
  <c r="E3351" i="1"/>
  <c r="E3352" i="1"/>
  <c r="E3353" i="1"/>
  <c r="E3354" i="1"/>
  <c r="E3355" i="1"/>
  <c r="E3356" i="1"/>
  <c r="E3357" i="1"/>
  <c r="E3358" i="1"/>
  <c r="E3359" i="1"/>
  <c r="E3360" i="1"/>
  <c r="E3361" i="1"/>
  <c r="E3362" i="1"/>
  <c r="E3363" i="1"/>
  <c r="E3364" i="1"/>
  <c r="E3365" i="1"/>
  <c r="E3366" i="1"/>
  <c r="E3367" i="1"/>
  <c r="E3368" i="1"/>
  <c r="E3369" i="1"/>
  <c r="E3370" i="1"/>
  <c r="E3371" i="1"/>
  <c r="E3372" i="1"/>
  <c r="E3373" i="1"/>
  <c r="E3374" i="1"/>
  <c r="E3375" i="1"/>
  <c r="E3376" i="1"/>
  <c r="E3377" i="1"/>
  <c r="E3378" i="1"/>
  <c r="E3379" i="1"/>
  <c r="E3380" i="1"/>
  <c r="E3381" i="1"/>
  <c r="E3382" i="1"/>
  <c r="E3383" i="1"/>
  <c r="E3384" i="1"/>
  <c r="E3385" i="1"/>
  <c r="E3386" i="1"/>
  <c r="E3387" i="1"/>
  <c r="E3388" i="1"/>
  <c r="E3389" i="1"/>
  <c r="E3390" i="1"/>
  <c r="E3391" i="1"/>
  <c r="E3392" i="1"/>
  <c r="E3393" i="1"/>
  <c r="E3394" i="1"/>
  <c r="E3395" i="1"/>
  <c r="E3396" i="1"/>
  <c r="E3397" i="1"/>
  <c r="E3398" i="1"/>
  <c r="E3399" i="1"/>
  <c r="E3400" i="1"/>
  <c r="E3401" i="1"/>
  <c r="E3402" i="1"/>
  <c r="E3403" i="1"/>
  <c r="E3404" i="1"/>
  <c r="E3405" i="1"/>
  <c r="E3406" i="1"/>
  <c r="E3407" i="1"/>
  <c r="E3408" i="1"/>
  <c r="E3409" i="1"/>
  <c r="E3410" i="1"/>
  <c r="E3411" i="1"/>
  <c r="E3412" i="1"/>
  <c r="E3413" i="1"/>
  <c r="E3414" i="1"/>
  <c r="E3415" i="1"/>
  <c r="E3416" i="1"/>
  <c r="E3417" i="1"/>
  <c r="E3418" i="1"/>
  <c r="E3419" i="1"/>
  <c r="E3420" i="1"/>
  <c r="E3421" i="1"/>
  <c r="E3422" i="1"/>
  <c r="E3423" i="1"/>
  <c r="E3424" i="1"/>
  <c r="E3425" i="1"/>
  <c r="E3426" i="1"/>
  <c r="E3427" i="1"/>
  <c r="E3428" i="1"/>
  <c r="E3429" i="1"/>
  <c r="E3430" i="1"/>
  <c r="E3431" i="1"/>
  <c r="E3432" i="1"/>
  <c r="E3433" i="1"/>
  <c r="E3434" i="1"/>
  <c r="E3435" i="1"/>
  <c r="E3436" i="1"/>
  <c r="E3437" i="1"/>
  <c r="E3438" i="1"/>
  <c r="E3439" i="1"/>
  <c r="E3440" i="1"/>
  <c r="E3441" i="1"/>
  <c r="E3442" i="1"/>
  <c r="E3443" i="1"/>
  <c r="E3444" i="1"/>
  <c r="E3445" i="1"/>
  <c r="E3446" i="1"/>
  <c r="E3447" i="1"/>
  <c r="E3448" i="1"/>
  <c r="E3449" i="1"/>
  <c r="E3450" i="1"/>
  <c r="E3451" i="1"/>
  <c r="E3452" i="1"/>
  <c r="E3453" i="1"/>
  <c r="E3454" i="1"/>
  <c r="E3455" i="1"/>
  <c r="E3456" i="1"/>
  <c r="E3457" i="1"/>
  <c r="E3458" i="1"/>
  <c r="E3459" i="1"/>
  <c r="E3460" i="1"/>
  <c r="E3461" i="1"/>
  <c r="E3462" i="1"/>
  <c r="E3463" i="1"/>
  <c r="E3464" i="1"/>
  <c r="E3465" i="1"/>
  <c r="E3466" i="1"/>
  <c r="E3467" i="1"/>
  <c r="E3468" i="1"/>
  <c r="E3469" i="1"/>
  <c r="E3470" i="1"/>
  <c r="E3471" i="1"/>
  <c r="E3472" i="1"/>
  <c r="E3473" i="1"/>
  <c r="E3474" i="1"/>
  <c r="E3475" i="1"/>
  <c r="E3476" i="1"/>
  <c r="E3477" i="1"/>
  <c r="E3478" i="1"/>
  <c r="E3479" i="1"/>
  <c r="E3480" i="1"/>
  <c r="E3481" i="1"/>
  <c r="E3482" i="1"/>
  <c r="E3483" i="1"/>
  <c r="E3484" i="1"/>
  <c r="E3485" i="1"/>
  <c r="E3486" i="1"/>
  <c r="E3487" i="1"/>
  <c r="E3488" i="1"/>
  <c r="E3489" i="1"/>
  <c r="E3490" i="1"/>
  <c r="E3491" i="1"/>
  <c r="E3492" i="1"/>
  <c r="E3493" i="1"/>
  <c r="E3494" i="1"/>
  <c r="E3495" i="1"/>
  <c r="E3496" i="1"/>
  <c r="E3497" i="1"/>
  <c r="E3498" i="1"/>
  <c r="E3499" i="1"/>
  <c r="E3500" i="1"/>
  <c r="E3501" i="1"/>
  <c r="E3502" i="1"/>
  <c r="E3503" i="1"/>
  <c r="E3504" i="1"/>
  <c r="E3505" i="1"/>
  <c r="E3506" i="1"/>
  <c r="E3507" i="1"/>
  <c r="E3508" i="1"/>
  <c r="E3509" i="1"/>
  <c r="E3510" i="1"/>
  <c r="E3511" i="1"/>
  <c r="E3512" i="1"/>
  <c r="E3513" i="1"/>
  <c r="E3514" i="1"/>
  <c r="E3515" i="1"/>
  <c r="E3516" i="1"/>
  <c r="E3517" i="1"/>
  <c r="E3518" i="1"/>
  <c r="E3519" i="1"/>
  <c r="E3520" i="1"/>
  <c r="E3521" i="1"/>
  <c r="E3522" i="1"/>
  <c r="E3523" i="1"/>
  <c r="E3524" i="1"/>
  <c r="E3525" i="1"/>
  <c r="E3526" i="1"/>
  <c r="E3527" i="1"/>
  <c r="E3528" i="1"/>
  <c r="E3529" i="1"/>
  <c r="E3530" i="1"/>
  <c r="E3531" i="1"/>
  <c r="E3532" i="1"/>
  <c r="E3533" i="1"/>
  <c r="E3534" i="1"/>
  <c r="E3535" i="1"/>
  <c r="E3536" i="1"/>
  <c r="E3537" i="1"/>
  <c r="E3538" i="1"/>
  <c r="E3539" i="1"/>
  <c r="E3540" i="1"/>
  <c r="E3541" i="1"/>
  <c r="E3542" i="1"/>
  <c r="E3543" i="1"/>
  <c r="E3544" i="1"/>
  <c r="E3545" i="1"/>
  <c r="E3546" i="1"/>
  <c r="E3547" i="1"/>
  <c r="E3548" i="1"/>
  <c r="E3549" i="1"/>
  <c r="E3550" i="1"/>
  <c r="E3551" i="1"/>
  <c r="E3552" i="1"/>
  <c r="E3553" i="1"/>
  <c r="E3554" i="1"/>
  <c r="E3555" i="1"/>
  <c r="E3556" i="1"/>
  <c r="E3557" i="1"/>
  <c r="E3558" i="1"/>
  <c r="E3559" i="1"/>
  <c r="E3560" i="1"/>
  <c r="E3561" i="1"/>
  <c r="E3562" i="1"/>
  <c r="E3563" i="1"/>
  <c r="E3564" i="1"/>
  <c r="E3565" i="1"/>
  <c r="E3566" i="1"/>
  <c r="E3567" i="1"/>
  <c r="E3568" i="1"/>
  <c r="E3569" i="1"/>
  <c r="E3570" i="1"/>
  <c r="E3571" i="1"/>
  <c r="E3572" i="1"/>
  <c r="E3573" i="1"/>
  <c r="E3574" i="1"/>
  <c r="E3575" i="1"/>
  <c r="E3576" i="1"/>
  <c r="E3577" i="1"/>
  <c r="E3578" i="1"/>
  <c r="E3579" i="1"/>
  <c r="E3580" i="1"/>
  <c r="E3581" i="1"/>
  <c r="E3582" i="1"/>
  <c r="E3583" i="1"/>
  <c r="E3584" i="1"/>
  <c r="E3585" i="1"/>
  <c r="E3586" i="1"/>
  <c r="E3587" i="1"/>
  <c r="E3588" i="1"/>
  <c r="E3589" i="1"/>
  <c r="E3590" i="1"/>
  <c r="E3591" i="1"/>
  <c r="E3592" i="1"/>
  <c r="E3593" i="1"/>
  <c r="E3594" i="1"/>
  <c r="E3595" i="1"/>
  <c r="E3596" i="1"/>
  <c r="E3597" i="1"/>
  <c r="E3598" i="1"/>
  <c r="E3599" i="1"/>
  <c r="E3600" i="1"/>
  <c r="E3601" i="1"/>
  <c r="E3602" i="1"/>
  <c r="E3603" i="1"/>
  <c r="E3604" i="1"/>
  <c r="E3605" i="1"/>
  <c r="E3606" i="1"/>
  <c r="E3607" i="1"/>
  <c r="E3608" i="1"/>
  <c r="E3609" i="1"/>
  <c r="E3610" i="1"/>
  <c r="E3611" i="1"/>
  <c r="E3612" i="1"/>
  <c r="E3613" i="1"/>
  <c r="E3614" i="1"/>
  <c r="E3615" i="1"/>
  <c r="E3616" i="1"/>
  <c r="E3617" i="1"/>
  <c r="E3618" i="1"/>
  <c r="E3619" i="1"/>
  <c r="E3620" i="1"/>
  <c r="E3621" i="1"/>
  <c r="E3622" i="1"/>
  <c r="E3623" i="1"/>
  <c r="E3624" i="1"/>
  <c r="E3625" i="1"/>
  <c r="E3626" i="1"/>
  <c r="E3627" i="1"/>
  <c r="E3628" i="1"/>
  <c r="E3629" i="1"/>
  <c r="E3630" i="1"/>
  <c r="E3631" i="1"/>
  <c r="E3632" i="1"/>
  <c r="E3633" i="1"/>
  <c r="E3634" i="1"/>
  <c r="E3635" i="1"/>
  <c r="E3636" i="1"/>
  <c r="E3637" i="1"/>
  <c r="E3638" i="1"/>
  <c r="E3639" i="1"/>
  <c r="E3640" i="1"/>
  <c r="E3641" i="1"/>
  <c r="E3642" i="1"/>
  <c r="E3643" i="1"/>
  <c r="E3644" i="1"/>
  <c r="E3645" i="1"/>
  <c r="E3646" i="1"/>
  <c r="E3647" i="1"/>
  <c r="E3648" i="1"/>
  <c r="E3649" i="1"/>
  <c r="E3650" i="1"/>
  <c r="E3651" i="1"/>
  <c r="E3652" i="1"/>
  <c r="E3653" i="1"/>
  <c r="E3654" i="1"/>
  <c r="E3655" i="1"/>
  <c r="E3656" i="1"/>
  <c r="E3657" i="1"/>
  <c r="E3658" i="1"/>
  <c r="E3659" i="1"/>
  <c r="E3660" i="1"/>
  <c r="E3661" i="1"/>
  <c r="E3662" i="1"/>
  <c r="E3663" i="1"/>
  <c r="E3664" i="1"/>
  <c r="E3665" i="1"/>
  <c r="E3666" i="1"/>
  <c r="E3667" i="1"/>
  <c r="E3668" i="1"/>
  <c r="E3669" i="1"/>
  <c r="E3670" i="1"/>
  <c r="E3671" i="1"/>
  <c r="E3672" i="1"/>
  <c r="E3673" i="1"/>
  <c r="E3674" i="1"/>
  <c r="E3675" i="1"/>
  <c r="E3676" i="1"/>
  <c r="E3677" i="1"/>
  <c r="E3678" i="1"/>
  <c r="E3679" i="1"/>
  <c r="E3680" i="1"/>
  <c r="E3681" i="1"/>
  <c r="E3682" i="1"/>
  <c r="E3683" i="1"/>
  <c r="E3684" i="1"/>
  <c r="E3685" i="1"/>
  <c r="E3686" i="1"/>
  <c r="E3687" i="1"/>
  <c r="E3688" i="1"/>
  <c r="E3689" i="1"/>
  <c r="E3690" i="1"/>
  <c r="E3691" i="1"/>
  <c r="E3692" i="1"/>
  <c r="E3693" i="1"/>
  <c r="E3694" i="1"/>
  <c r="E3695" i="1"/>
  <c r="E3696" i="1"/>
  <c r="E3697" i="1"/>
  <c r="E3698" i="1"/>
  <c r="E3699" i="1"/>
  <c r="E3700" i="1"/>
  <c r="E3701" i="1"/>
  <c r="E3702" i="1"/>
  <c r="E3703" i="1"/>
  <c r="E3704" i="1"/>
  <c r="E3705" i="1"/>
  <c r="E3706" i="1"/>
  <c r="E3707" i="1"/>
  <c r="E3708" i="1"/>
  <c r="E3709" i="1"/>
  <c r="E3710" i="1"/>
  <c r="E3711" i="1"/>
  <c r="E3712" i="1"/>
  <c r="E3713" i="1"/>
  <c r="E3714" i="1"/>
  <c r="E3715" i="1"/>
  <c r="E3716" i="1"/>
  <c r="E3717" i="1"/>
  <c r="E3718" i="1"/>
  <c r="E3719" i="1"/>
  <c r="E3720" i="1"/>
  <c r="E3721" i="1"/>
  <c r="E3722" i="1"/>
  <c r="E3723" i="1"/>
  <c r="E3724" i="1"/>
  <c r="E3725" i="1"/>
  <c r="E3726" i="1"/>
  <c r="E3727" i="1"/>
  <c r="E3728" i="1"/>
  <c r="E3729" i="1"/>
  <c r="E3730" i="1"/>
  <c r="E3731" i="1"/>
  <c r="E3732" i="1"/>
  <c r="E3733" i="1"/>
  <c r="E3734" i="1"/>
  <c r="E3735" i="1"/>
  <c r="E3736" i="1"/>
  <c r="E3737" i="1"/>
  <c r="E3738" i="1"/>
  <c r="E3739" i="1"/>
  <c r="E3740" i="1"/>
  <c r="E3741" i="1"/>
  <c r="E3742" i="1"/>
  <c r="E3743" i="1"/>
  <c r="E3744" i="1"/>
  <c r="E3745" i="1"/>
  <c r="E3746" i="1"/>
  <c r="E3747" i="1"/>
  <c r="E3748" i="1"/>
  <c r="E3749" i="1"/>
  <c r="E3750" i="1"/>
  <c r="E3751" i="1"/>
  <c r="E3752" i="1"/>
  <c r="E3753" i="1"/>
  <c r="E3754" i="1"/>
  <c r="E3755" i="1"/>
  <c r="E3756" i="1"/>
  <c r="E3757" i="1"/>
  <c r="E3758" i="1"/>
  <c r="E3759" i="1"/>
  <c r="E3760" i="1"/>
  <c r="E3761" i="1"/>
  <c r="E3762" i="1"/>
  <c r="E3763" i="1"/>
  <c r="E3764" i="1"/>
  <c r="E3765" i="1"/>
  <c r="E3766" i="1"/>
  <c r="E3767" i="1"/>
  <c r="E3768" i="1"/>
  <c r="E3769" i="1"/>
  <c r="E3770" i="1"/>
  <c r="E3771" i="1"/>
  <c r="E3772" i="1"/>
  <c r="E3773" i="1"/>
  <c r="E3774" i="1"/>
  <c r="E3775" i="1"/>
  <c r="E3776" i="1"/>
  <c r="E3777" i="1"/>
  <c r="E3778" i="1"/>
  <c r="E3779" i="1"/>
  <c r="E3780" i="1"/>
  <c r="E3781" i="1"/>
  <c r="E3782" i="1"/>
  <c r="E3783" i="1"/>
  <c r="E3784" i="1"/>
  <c r="E3785" i="1"/>
  <c r="E3786" i="1"/>
  <c r="E3787" i="1"/>
  <c r="E3788" i="1"/>
  <c r="E3789" i="1"/>
  <c r="E3790" i="1"/>
  <c r="E3791" i="1"/>
  <c r="E3792" i="1"/>
  <c r="E3793" i="1"/>
  <c r="E3794" i="1"/>
  <c r="E3795" i="1"/>
  <c r="E3796" i="1"/>
  <c r="E3797" i="1"/>
  <c r="E3798" i="1"/>
  <c r="E3799" i="1"/>
  <c r="E3800" i="1"/>
  <c r="E3801" i="1"/>
  <c r="E3802" i="1"/>
  <c r="E3803" i="1"/>
  <c r="E3804" i="1"/>
  <c r="E3805" i="1"/>
  <c r="E3806" i="1"/>
  <c r="E3807" i="1"/>
  <c r="E3808" i="1"/>
  <c r="E3809" i="1"/>
  <c r="E3810" i="1"/>
  <c r="E3811" i="1"/>
  <c r="E3812" i="1"/>
  <c r="E3813" i="1"/>
  <c r="E3814" i="1"/>
  <c r="E3815" i="1"/>
  <c r="E3816" i="1"/>
  <c r="E3817" i="1"/>
  <c r="E3818" i="1"/>
  <c r="E3819" i="1"/>
  <c r="E3820" i="1"/>
  <c r="E3821" i="1"/>
  <c r="E3822" i="1"/>
  <c r="E3823" i="1"/>
  <c r="E3824" i="1"/>
  <c r="E3825" i="1"/>
  <c r="E3826" i="1"/>
  <c r="E3827" i="1"/>
  <c r="E3828" i="1"/>
  <c r="E3829" i="1"/>
  <c r="E3830" i="1"/>
  <c r="E3831" i="1"/>
  <c r="E3832" i="1"/>
  <c r="E3833" i="1"/>
  <c r="E3834" i="1"/>
  <c r="E3835" i="1"/>
  <c r="E3836" i="1"/>
  <c r="E3837" i="1"/>
  <c r="E3838" i="1"/>
  <c r="E3839" i="1"/>
  <c r="E3840" i="1"/>
  <c r="E3841" i="1"/>
  <c r="E3842" i="1"/>
  <c r="E3843" i="1"/>
  <c r="E3844" i="1"/>
  <c r="E3845" i="1"/>
  <c r="E3846" i="1"/>
  <c r="E3847" i="1"/>
  <c r="E3848" i="1"/>
  <c r="E3849" i="1"/>
  <c r="E3850" i="1"/>
  <c r="E3851" i="1"/>
  <c r="E3852" i="1"/>
  <c r="E3853" i="1"/>
  <c r="E3854" i="1"/>
  <c r="E3855" i="1"/>
  <c r="E3856" i="1"/>
  <c r="E3857" i="1"/>
  <c r="E3858" i="1"/>
  <c r="E3859" i="1"/>
  <c r="E3860" i="1"/>
  <c r="E3861" i="1"/>
  <c r="E3862" i="1"/>
  <c r="E3863" i="1"/>
  <c r="E3864" i="1"/>
  <c r="E3865" i="1"/>
  <c r="E3866" i="1"/>
  <c r="E3867" i="1"/>
  <c r="E3868" i="1"/>
  <c r="E3869" i="1"/>
  <c r="E3870" i="1"/>
  <c r="E3871" i="1"/>
  <c r="E3872" i="1"/>
  <c r="E3873" i="1"/>
  <c r="E3874" i="1"/>
  <c r="E3875" i="1"/>
  <c r="E3876" i="1"/>
  <c r="E3877" i="1"/>
  <c r="E3878" i="1"/>
  <c r="E3879" i="1"/>
  <c r="E3880" i="1"/>
  <c r="E3881" i="1"/>
  <c r="E3882" i="1"/>
  <c r="E3883" i="1"/>
  <c r="E3884" i="1"/>
  <c r="E3885" i="1"/>
  <c r="E3886" i="1"/>
  <c r="E3887" i="1"/>
  <c r="E3888" i="1"/>
  <c r="E3889" i="1"/>
  <c r="E3890" i="1"/>
  <c r="E3891" i="1"/>
  <c r="E3892" i="1"/>
  <c r="E3893" i="1"/>
  <c r="E3894" i="1"/>
  <c r="E3895" i="1"/>
  <c r="E3896" i="1"/>
  <c r="E3897" i="1"/>
  <c r="E3898" i="1"/>
  <c r="E3899" i="1"/>
  <c r="E3900" i="1"/>
  <c r="E3901" i="1"/>
  <c r="E3902" i="1"/>
  <c r="E3903" i="1"/>
  <c r="E3904" i="1"/>
  <c r="E3905" i="1"/>
  <c r="E3906" i="1"/>
  <c r="E3907" i="1"/>
  <c r="E3908" i="1"/>
  <c r="E3909" i="1"/>
  <c r="E3910" i="1"/>
  <c r="E3911" i="1"/>
  <c r="E3912" i="1"/>
  <c r="E3913" i="1"/>
  <c r="E3914" i="1"/>
  <c r="E3915" i="1"/>
  <c r="E3916" i="1"/>
  <c r="E3917" i="1"/>
  <c r="E3918" i="1"/>
  <c r="E3919" i="1"/>
  <c r="E3920" i="1"/>
  <c r="E3921" i="1"/>
  <c r="E3922" i="1"/>
  <c r="E3923" i="1"/>
  <c r="E3924" i="1"/>
  <c r="E3925" i="1"/>
  <c r="E3926" i="1"/>
  <c r="E3927" i="1"/>
  <c r="E3928" i="1"/>
  <c r="E3929" i="1"/>
  <c r="E3930" i="1"/>
  <c r="E3931" i="1"/>
  <c r="E3932" i="1"/>
  <c r="E3933" i="1"/>
  <c r="E3934" i="1"/>
  <c r="E3935" i="1"/>
  <c r="E3936" i="1"/>
  <c r="E3937" i="1"/>
  <c r="E3938" i="1"/>
  <c r="E3939" i="1"/>
  <c r="E3940" i="1"/>
  <c r="E3941" i="1"/>
  <c r="E3942" i="1"/>
  <c r="E3943" i="1"/>
  <c r="E3944" i="1"/>
  <c r="E3945" i="1"/>
  <c r="E3946" i="1"/>
  <c r="E3947" i="1"/>
  <c r="E3948" i="1"/>
  <c r="E3949" i="1"/>
  <c r="E3950" i="1"/>
  <c r="E3951" i="1"/>
  <c r="E3952" i="1"/>
  <c r="E3953" i="1"/>
  <c r="E3954" i="1"/>
  <c r="E3955" i="1"/>
  <c r="E3956" i="1"/>
  <c r="E3957" i="1"/>
  <c r="E3958" i="1"/>
  <c r="E3959" i="1"/>
  <c r="E3960" i="1"/>
  <c r="E3961" i="1"/>
  <c r="E3962" i="1"/>
  <c r="E3963" i="1"/>
  <c r="E3964" i="1"/>
  <c r="E3965" i="1"/>
  <c r="E3966" i="1"/>
  <c r="E3967" i="1"/>
  <c r="E3968" i="1"/>
  <c r="E3969" i="1"/>
  <c r="E3970" i="1"/>
  <c r="E3971" i="1"/>
  <c r="E3972" i="1"/>
  <c r="E3973" i="1"/>
  <c r="E3974" i="1"/>
  <c r="E3975" i="1"/>
  <c r="E3976" i="1"/>
  <c r="E3977" i="1"/>
  <c r="E3978" i="1"/>
  <c r="E3979" i="1"/>
  <c r="E3980" i="1"/>
  <c r="E3981" i="1"/>
  <c r="E3982" i="1"/>
  <c r="E3983" i="1"/>
  <c r="E3984" i="1"/>
  <c r="E3985" i="1"/>
  <c r="E3986" i="1"/>
  <c r="E3987" i="1"/>
  <c r="E3988" i="1"/>
  <c r="E3989" i="1"/>
  <c r="E3990" i="1"/>
  <c r="E3991" i="1"/>
  <c r="E3992" i="1"/>
  <c r="E3993" i="1"/>
  <c r="E3994" i="1"/>
  <c r="E3995" i="1"/>
  <c r="E3996" i="1"/>
  <c r="E3997" i="1"/>
  <c r="E3998" i="1"/>
  <c r="E3999" i="1"/>
  <c r="E4000" i="1"/>
  <c r="E4001" i="1"/>
  <c r="E4002" i="1"/>
  <c r="E4003" i="1"/>
  <c r="E4004" i="1"/>
  <c r="E4005" i="1"/>
  <c r="E4006" i="1"/>
  <c r="E4007" i="1"/>
  <c r="E4008" i="1"/>
  <c r="E4009" i="1"/>
  <c r="E4010" i="1"/>
  <c r="E4011" i="1"/>
  <c r="E4012" i="1"/>
  <c r="E4013" i="1"/>
  <c r="E4014" i="1"/>
  <c r="E4015" i="1"/>
  <c r="E4016" i="1"/>
  <c r="E4017" i="1"/>
  <c r="E4018" i="1"/>
  <c r="E4019" i="1"/>
  <c r="E4020" i="1"/>
  <c r="E4021" i="1"/>
  <c r="E4022" i="1"/>
  <c r="E4023" i="1"/>
  <c r="E4024" i="1"/>
  <c r="E4025" i="1"/>
  <c r="E4026" i="1"/>
  <c r="E4027" i="1"/>
  <c r="E4028" i="1"/>
  <c r="E4029" i="1"/>
  <c r="E4030" i="1"/>
  <c r="E4031" i="1"/>
  <c r="E4032" i="1"/>
  <c r="E4033" i="1"/>
  <c r="E4034" i="1"/>
  <c r="E4035" i="1"/>
  <c r="E4036" i="1"/>
  <c r="E4037" i="1"/>
  <c r="E4038" i="1"/>
  <c r="E4039" i="1"/>
  <c r="E4040" i="1"/>
  <c r="E4041" i="1"/>
  <c r="E4042" i="1"/>
  <c r="E4043" i="1"/>
  <c r="E4044" i="1"/>
  <c r="E4045" i="1"/>
  <c r="E4046" i="1"/>
  <c r="E4047" i="1"/>
  <c r="E4048" i="1"/>
  <c r="E4049" i="1"/>
  <c r="E4050" i="1"/>
  <c r="E4051" i="1"/>
  <c r="E4052" i="1"/>
  <c r="E4053" i="1"/>
  <c r="E4054" i="1"/>
  <c r="E4055" i="1"/>
  <c r="E4056" i="1"/>
  <c r="E4057" i="1"/>
  <c r="E4058" i="1"/>
  <c r="E4059" i="1"/>
  <c r="E4060" i="1"/>
  <c r="E4061" i="1"/>
  <c r="E4062" i="1"/>
  <c r="E4063" i="1"/>
  <c r="E4064" i="1"/>
  <c r="E4065" i="1"/>
  <c r="E4066" i="1"/>
  <c r="E4067" i="1"/>
  <c r="E4068" i="1"/>
  <c r="E4069" i="1"/>
  <c r="E4070" i="1"/>
  <c r="E4071" i="1"/>
  <c r="E4072" i="1"/>
  <c r="E4073" i="1"/>
  <c r="E4074" i="1"/>
  <c r="E4075" i="1"/>
  <c r="E4076" i="1"/>
  <c r="E4077" i="1"/>
  <c r="E4078" i="1"/>
  <c r="E4079" i="1"/>
  <c r="E4080" i="1"/>
  <c r="E4081" i="1"/>
  <c r="E4082" i="1"/>
  <c r="E4083" i="1"/>
  <c r="E4084" i="1"/>
  <c r="E4085" i="1"/>
  <c r="E4086" i="1"/>
  <c r="E4087" i="1"/>
  <c r="E4088" i="1"/>
  <c r="E4089" i="1"/>
  <c r="E4090" i="1"/>
  <c r="E4091" i="1"/>
  <c r="E4092" i="1"/>
  <c r="E4093" i="1"/>
  <c r="E4094" i="1"/>
  <c r="E4095" i="1"/>
  <c r="E4096" i="1"/>
  <c r="E4097" i="1"/>
  <c r="E4098" i="1"/>
  <c r="E4099" i="1"/>
  <c r="E4100" i="1"/>
  <c r="E4101" i="1"/>
  <c r="E4102" i="1"/>
  <c r="E4103" i="1"/>
  <c r="E4104" i="1"/>
  <c r="E4105" i="1"/>
  <c r="E4106" i="1"/>
  <c r="E4107" i="1"/>
  <c r="E4108" i="1"/>
  <c r="E4109" i="1"/>
  <c r="E4110" i="1"/>
  <c r="E4111" i="1"/>
  <c r="E4112" i="1"/>
  <c r="E4113" i="1"/>
  <c r="E4114" i="1"/>
  <c r="E4115" i="1"/>
  <c r="E4116" i="1"/>
  <c r="E4117" i="1"/>
  <c r="E4118" i="1"/>
  <c r="E4119" i="1"/>
  <c r="E4120" i="1"/>
  <c r="E4121" i="1"/>
  <c r="E4122" i="1"/>
  <c r="E4123" i="1"/>
  <c r="E4124" i="1"/>
  <c r="E4125" i="1"/>
  <c r="E4126" i="1"/>
  <c r="E4127" i="1"/>
  <c r="E4128" i="1"/>
  <c r="E4129" i="1"/>
  <c r="E4130" i="1"/>
  <c r="E4131" i="1"/>
  <c r="E4132" i="1"/>
  <c r="E4133" i="1"/>
  <c r="E4134" i="1"/>
  <c r="E4135" i="1"/>
  <c r="E4136" i="1"/>
  <c r="E4137" i="1"/>
  <c r="E4138" i="1"/>
  <c r="E4139" i="1"/>
  <c r="E4140" i="1"/>
  <c r="E4141" i="1"/>
  <c r="E4142" i="1"/>
  <c r="E4143" i="1"/>
  <c r="E4144" i="1"/>
  <c r="E4145" i="1"/>
  <c r="E4146" i="1"/>
  <c r="E4147" i="1"/>
  <c r="E4148" i="1"/>
  <c r="E4149" i="1"/>
  <c r="E4150" i="1"/>
  <c r="E4151" i="1"/>
  <c r="E4152" i="1"/>
  <c r="E4153" i="1"/>
  <c r="E4154" i="1"/>
  <c r="E4155" i="1"/>
  <c r="E4156" i="1"/>
  <c r="E4157" i="1"/>
  <c r="E4158" i="1"/>
  <c r="E4159" i="1"/>
  <c r="E4160" i="1"/>
  <c r="E4161" i="1"/>
  <c r="E4162" i="1"/>
  <c r="E4163" i="1"/>
  <c r="E4164" i="1"/>
  <c r="E4165" i="1"/>
  <c r="E4166" i="1"/>
  <c r="E4167" i="1"/>
  <c r="E4168" i="1"/>
  <c r="E4169" i="1"/>
  <c r="E4170" i="1"/>
  <c r="E4171" i="1"/>
  <c r="E4172" i="1"/>
  <c r="E4173" i="1"/>
  <c r="E4174" i="1"/>
  <c r="E4175" i="1"/>
  <c r="E4176" i="1"/>
  <c r="E4177" i="1"/>
  <c r="E4178" i="1"/>
  <c r="E4179" i="1"/>
  <c r="E4180" i="1"/>
  <c r="E4181" i="1"/>
  <c r="E4182" i="1"/>
  <c r="E4183" i="1"/>
  <c r="E4184" i="1"/>
  <c r="E4185" i="1"/>
  <c r="E4186" i="1"/>
  <c r="E4187" i="1"/>
  <c r="E4188" i="1"/>
  <c r="E4189" i="1"/>
  <c r="E4190" i="1"/>
  <c r="E4191" i="1"/>
  <c r="E4192" i="1"/>
  <c r="E4193" i="1"/>
  <c r="E4194" i="1"/>
  <c r="E4195" i="1"/>
  <c r="E4196" i="1"/>
  <c r="E4197" i="1"/>
  <c r="E4198" i="1"/>
  <c r="E4199" i="1"/>
  <c r="E4200" i="1"/>
  <c r="E4201" i="1"/>
  <c r="E4202" i="1"/>
  <c r="E4203" i="1"/>
  <c r="E4204" i="1"/>
  <c r="E4205" i="1"/>
  <c r="E4206" i="1"/>
  <c r="E4207" i="1"/>
  <c r="E4208" i="1"/>
  <c r="E4209" i="1"/>
  <c r="E4210" i="1"/>
  <c r="E4211" i="1"/>
  <c r="E4212" i="1"/>
  <c r="E4213" i="1"/>
  <c r="E4214" i="1"/>
  <c r="E4215" i="1"/>
  <c r="E4216" i="1"/>
  <c r="E4217" i="1"/>
  <c r="E4218" i="1"/>
  <c r="E4219" i="1"/>
  <c r="E4220" i="1"/>
  <c r="E4221" i="1"/>
  <c r="E4222" i="1"/>
  <c r="E4223" i="1"/>
  <c r="E4224" i="1"/>
  <c r="E4225" i="1"/>
  <c r="E4226" i="1"/>
  <c r="E4227" i="1"/>
  <c r="E4228" i="1"/>
  <c r="E4229" i="1"/>
  <c r="E4230" i="1"/>
  <c r="E4231" i="1"/>
  <c r="E4232" i="1"/>
  <c r="E4233" i="1"/>
  <c r="E4234" i="1"/>
  <c r="E4235" i="1"/>
  <c r="E4236" i="1"/>
  <c r="E4237" i="1"/>
  <c r="E4238" i="1"/>
  <c r="E4239" i="1"/>
  <c r="E4240" i="1"/>
  <c r="E4241" i="1"/>
  <c r="E4242" i="1"/>
  <c r="E4243" i="1"/>
  <c r="E4244" i="1"/>
  <c r="E4245" i="1"/>
  <c r="E4246" i="1"/>
  <c r="E4247" i="1"/>
  <c r="E4248" i="1"/>
  <c r="E4249" i="1"/>
  <c r="E4250" i="1"/>
  <c r="E4251" i="1"/>
  <c r="E4252" i="1"/>
  <c r="E4253" i="1"/>
  <c r="E4254" i="1"/>
  <c r="E4255" i="1"/>
  <c r="E4256" i="1"/>
  <c r="E4257" i="1"/>
  <c r="E4258" i="1"/>
  <c r="E4259" i="1"/>
  <c r="E4260" i="1"/>
  <c r="E4261" i="1"/>
  <c r="E4262" i="1"/>
  <c r="E4263" i="1"/>
  <c r="E4264" i="1"/>
  <c r="E4265" i="1"/>
  <c r="E4266" i="1"/>
  <c r="E4267" i="1"/>
  <c r="E4268" i="1"/>
  <c r="E4269" i="1"/>
  <c r="E4270" i="1"/>
  <c r="E4271" i="1"/>
  <c r="E4272" i="1"/>
  <c r="E4273" i="1"/>
  <c r="E4274" i="1"/>
  <c r="E4275" i="1"/>
  <c r="E4276" i="1"/>
  <c r="E4277" i="1"/>
  <c r="E4278" i="1"/>
  <c r="E4279" i="1"/>
  <c r="E4280" i="1"/>
  <c r="E4281" i="1"/>
  <c r="E4282" i="1"/>
  <c r="E4283" i="1"/>
  <c r="E4284" i="1"/>
  <c r="E4285" i="1"/>
  <c r="E4286" i="1"/>
  <c r="E4287" i="1"/>
  <c r="E4288" i="1"/>
  <c r="E4289" i="1"/>
  <c r="E4290" i="1"/>
  <c r="E4291" i="1"/>
  <c r="E4292" i="1"/>
  <c r="E4293" i="1"/>
  <c r="E4294" i="1"/>
  <c r="E4295" i="1"/>
  <c r="E4296" i="1"/>
  <c r="E4297" i="1"/>
  <c r="E4298" i="1"/>
  <c r="E4299" i="1"/>
  <c r="E4300" i="1"/>
  <c r="E4301" i="1"/>
  <c r="E4302" i="1"/>
  <c r="E4303" i="1"/>
  <c r="E4304" i="1"/>
  <c r="E4305" i="1"/>
  <c r="E4306" i="1"/>
  <c r="E4307" i="1"/>
  <c r="E4308" i="1"/>
  <c r="E4309" i="1"/>
  <c r="E4310" i="1"/>
  <c r="E4311" i="1"/>
  <c r="E4312" i="1"/>
  <c r="E4313" i="1"/>
  <c r="E4314" i="1"/>
  <c r="E4315" i="1"/>
  <c r="E4316" i="1"/>
  <c r="E2" i="1"/>
  <c r="J4314" i="1" l="1"/>
  <c r="I4314" i="1"/>
  <c r="J4306" i="1"/>
  <c r="I4306" i="1"/>
  <c r="J4298" i="1"/>
  <c r="I4298" i="1"/>
  <c r="J4290" i="1"/>
  <c r="I4290" i="1"/>
  <c r="J4282" i="1"/>
  <c r="I4282" i="1"/>
  <c r="J4274" i="1"/>
  <c r="I4274" i="1"/>
  <c r="J4266" i="1"/>
  <c r="I4266" i="1"/>
  <c r="J4258" i="1"/>
  <c r="I4258" i="1"/>
  <c r="J4250" i="1"/>
  <c r="I4250" i="1"/>
  <c r="J4242" i="1"/>
  <c r="I4242" i="1"/>
  <c r="J4234" i="1"/>
  <c r="I4234" i="1"/>
  <c r="J4226" i="1"/>
  <c r="I4226" i="1"/>
  <c r="J4218" i="1"/>
  <c r="I4218" i="1"/>
  <c r="J4210" i="1"/>
  <c r="I4210" i="1"/>
  <c r="J4202" i="1"/>
  <c r="I4202" i="1"/>
  <c r="J4194" i="1"/>
  <c r="I4194" i="1"/>
  <c r="J4186" i="1"/>
  <c r="I4186" i="1"/>
  <c r="J4178" i="1"/>
  <c r="I4178" i="1"/>
  <c r="J4170" i="1"/>
  <c r="I4170" i="1"/>
  <c r="J4162" i="1"/>
  <c r="I4162" i="1"/>
  <c r="J4154" i="1"/>
  <c r="I4154" i="1"/>
  <c r="J4146" i="1"/>
  <c r="I4146" i="1"/>
  <c r="J4138" i="1"/>
  <c r="I4138" i="1"/>
  <c r="J4130" i="1"/>
  <c r="I4130" i="1"/>
  <c r="J4122" i="1"/>
  <c r="I4122" i="1"/>
  <c r="J4114" i="1"/>
  <c r="I4114" i="1"/>
  <c r="J4106" i="1"/>
  <c r="I4106" i="1"/>
  <c r="J4098" i="1"/>
  <c r="I4098" i="1"/>
  <c r="J4090" i="1"/>
  <c r="I4090" i="1"/>
  <c r="J4082" i="1"/>
  <c r="I4082" i="1"/>
  <c r="J4074" i="1"/>
  <c r="I4074" i="1"/>
  <c r="J4066" i="1"/>
  <c r="I4066" i="1"/>
  <c r="J4058" i="1"/>
  <c r="I4058" i="1"/>
  <c r="J4050" i="1"/>
  <c r="I4050" i="1"/>
  <c r="J4042" i="1"/>
  <c r="I4042" i="1"/>
  <c r="J4034" i="1"/>
  <c r="I4034" i="1"/>
  <c r="J4026" i="1"/>
  <c r="I4026" i="1"/>
  <c r="J4018" i="1"/>
  <c r="I4018" i="1"/>
  <c r="J4010" i="1"/>
  <c r="I4010" i="1"/>
  <c r="J4002" i="1"/>
  <c r="I4002" i="1"/>
  <c r="J3994" i="1"/>
  <c r="I3994" i="1"/>
  <c r="J3986" i="1"/>
  <c r="I3986" i="1"/>
  <c r="J3978" i="1"/>
  <c r="I3978" i="1"/>
  <c r="J3970" i="1"/>
  <c r="I3970" i="1"/>
  <c r="J3962" i="1"/>
  <c r="I3962" i="1"/>
  <c r="J3954" i="1"/>
  <c r="I3954" i="1"/>
  <c r="J3946" i="1"/>
  <c r="I3946" i="1"/>
  <c r="J3938" i="1"/>
  <c r="I3938" i="1"/>
  <c r="J3930" i="1"/>
  <c r="I3930" i="1"/>
  <c r="J3922" i="1"/>
  <c r="I3922" i="1"/>
  <c r="J3914" i="1"/>
  <c r="I3914" i="1"/>
  <c r="J3906" i="1"/>
  <c r="I3906" i="1"/>
  <c r="J3898" i="1"/>
  <c r="I3898" i="1"/>
  <c r="J3890" i="1"/>
  <c r="I3890" i="1"/>
  <c r="J3882" i="1"/>
  <c r="I3882" i="1"/>
  <c r="J3874" i="1"/>
  <c r="I3874" i="1"/>
  <c r="J3866" i="1"/>
  <c r="I3866" i="1"/>
  <c r="J3858" i="1"/>
  <c r="I3858" i="1"/>
  <c r="J3850" i="1"/>
  <c r="I3850" i="1"/>
  <c r="J3842" i="1"/>
  <c r="I3842" i="1"/>
  <c r="J3834" i="1"/>
  <c r="I3834" i="1"/>
  <c r="J3826" i="1"/>
  <c r="I3826" i="1"/>
  <c r="J3818" i="1"/>
  <c r="I3818" i="1"/>
  <c r="J3810" i="1"/>
  <c r="I3810" i="1"/>
  <c r="J3802" i="1"/>
  <c r="I3802" i="1"/>
  <c r="J3794" i="1"/>
  <c r="I3794" i="1"/>
  <c r="J3786" i="1"/>
  <c r="I3786" i="1"/>
  <c r="J3778" i="1"/>
  <c r="I3778" i="1"/>
  <c r="J3770" i="1"/>
  <c r="I3770" i="1"/>
  <c r="J3762" i="1"/>
  <c r="I3762" i="1"/>
  <c r="J3754" i="1"/>
  <c r="I3754" i="1"/>
  <c r="J3746" i="1"/>
  <c r="I3746" i="1"/>
  <c r="J3738" i="1"/>
  <c r="I3738" i="1"/>
  <c r="J3730" i="1"/>
  <c r="I3730" i="1"/>
  <c r="J3722" i="1"/>
  <c r="I3722" i="1"/>
  <c r="J3714" i="1"/>
  <c r="I3714" i="1"/>
  <c r="J3706" i="1"/>
  <c r="I3706" i="1"/>
  <c r="J3698" i="1"/>
  <c r="I3698" i="1"/>
  <c r="J3690" i="1"/>
  <c r="I3690" i="1"/>
  <c r="J3682" i="1"/>
  <c r="I3682" i="1"/>
  <c r="J3674" i="1"/>
  <c r="I3674" i="1"/>
  <c r="J3666" i="1"/>
  <c r="I3666" i="1"/>
  <c r="J3658" i="1"/>
  <c r="I3658" i="1"/>
  <c r="J3650" i="1"/>
  <c r="I3650" i="1"/>
  <c r="J3642" i="1"/>
  <c r="I3642" i="1"/>
  <c r="J3634" i="1"/>
  <c r="I3634" i="1"/>
  <c r="J3626" i="1"/>
  <c r="I3626" i="1"/>
  <c r="J3618" i="1"/>
  <c r="I3618" i="1"/>
  <c r="J3610" i="1"/>
  <c r="I3610" i="1"/>
  <c r="J3602" i="1"/>
  <c r="I3602" i="1"/>
  <c r="J3594" i="1"/>
  <c r="I3594" i="1"/>
  <c r="J3586" i="1"/>
  <c r="I3586" i="1"/>
  <c r="J3578" i="1"/>
  <c r="I3578" i="1"/>
  <c r="J3570" i="1"/>
  <c r="I3570" i="1"/>
  <c r="J3562" i="1"/>
  <c r="I3562" i="1"/>
  <c r="J3554" i="1"/>
  <c r="I3554" i="1"/>
  <c r="J3546" i="1"/>
  <c r="I3546" i="1"/>
  <c r="J3538" i="1"/>
  <c r="I3538" i="1"/>
  <c r="J3530" i="1"/>
  <c r="I3530" i="1"/>
  <c r="J3522" i="1"/>
  <c r="I3522" i="1"/>
  <c r="J3514" i="1"/>
  <c r="I3514" i="1"/>
  <c r="J3506" i="1"/>
  <c r="I3506" i="1"/>
  <c r="J3498" i="1"/>
  <c r="I3498" i="1"/>
  <c r="J3490" i="1"/>
  <c r="I3490" i="1"/>
  <c r="J3482" i="1"/>
  <c r="I3482" i="1"/>
  <c r="J3474" i="1"/>
  <c r="I3474" i="1"/>
  <c r="J3466" i="1"/>
  <c r="I3466" i="1"/>
  <c r="J3458" i="1"/>
  <c r="I3458" i="1"/>
  <c r="J3450" i="1"/>
  <c r="I3450" i="1"/>
  <c r="J3442" i="1"/>
  <c r="I3442" i="1"/>
  <c r="J3434" i="1"/>
  <c r="I3434" i="1"/>
  <c r="J3426" i="1"/>
  <c r="I3426" i="1"/>
  <c r="J3418" i="1"/>
  <c r="I3418" i="1"/>
  <c r="J3410" i="1"/>
  <c r="I3410" i="1"/>
  <c r="J3402" i="1"/>
  <c r="I3402" i="1"/>
  <c r="J3394" i="1"/>
  <c r="I3394" i="1"/>
  <c r="J3386" i="1"/>
  <c r="I3386" i="1"/>
  <c r="J3378" i="1"/>
  <c r="I3378" i="1"/>
  <c r="J3370" i="1"/>
  <c r="I3370" i="1"/>
  <c r="J3362" i="1"/>
  <c r="I3362" i="1"/>
  <c r="J3354" i="1"/>
  <c r="I3354" i="1"/>
  <c r="J4313" i="1"/>
  <c r="I4313" i="1"/>
  <c r="J4305" i="1"/>
  <c r="I4305" i="1"/>
  <c r="J4297" i="1"/>
  <c r="I4297" i="1"/>
  <c r="J4289" i="1"/>
  <c r="I4289" i="1"/>
  <c r="J4281" i="1"/>
  <c r="I4281" i="1"/>
  <c r="J4273" i="1"/>
  <c r="I4273" i="1"/>
  <c r="J4265" i="1"/>
  <c r="I4265" i="1"/>
  <c r="J4257" i="1"/>
  <c r="I4257" i="1"/>
  <c r="J4249" i="1"/>
  <c r="I4249" i="1"/>
  <c r="J4241" i="1"/>
  <c r="I4241" i="1"/>
  <c r="J4233" i="1"/>
  <c r="I4233" i="1"/>
  <c r="J4225" i="1"/>
  <c r="I4225" i="1"/>
  <c r="J4217" i="1"/>
  <c r="I4217" i="1"/>
  <c r="J4209" i="1"/>
  <c r="I4209" i="1"/>
  <c r="J4201" i="1"/>
  <c r="I4201" i="1"/>
  <c r="J4193" i="1"/>
  <c r="I4193" i="1"/>
  <c r="J4185" i="1"/>
  <c r="I4185" i="1"/>
  <c r="J4177" i="1"/>
  <c r="I4177" i="1"/>
  <c r="J4169" i="1"/>
  <c r="I4169" i="1"/>
  <c r="J4161" i="1"/>
  <c r="I4161" i="1"/>
  <c r="J4153" i="1"/>
  <c r="I4153" i="1"/>
  <c r="J4145" i="1"/>
  <c r="I4145" i="1"/>
  <c r="J4137" i="1"/>
  <c r="I4137" i="1"/>
  <c r="J4129" i="1"/>
  <c r="I4129" i="1"/>
  <c r="J4121" i="1"/>
  <c r="I4121" i="1"/>
  <c r="J4113" i="1"/>
  <c r="I4113" i="1"/>
  <c r="J4105" i="1"/>
  <c r="I4105" i="1"/>
  <c r="J4097" i="1"/>
  <c r="I4097" i="1"/>
  <c r="J4089" i="1"/>
  <c r="I4089" i="1"/>
  <c r="J4081" i="1"/>
  <c r="I4081" i="1"/>
  <c r="J4073" i="1"/>
  <c r="I4073" i="1"/>
  <c r="J4065" i="1"/>
  <c r="I4065" i="1"/>
  <c r="J4057" i="1"/>
  <c r="I4057" i="1"/>
  <c r="J4049" i="1"/>
  <c r="I4049" i="1"/>
  <c r="J4041" i="1"/>
  <c r="I4041" i="1"/>
  <c r="J4033" i="1"/>
  <c r="I4033" i="1"/>
  <c r="J4025" i="1"/>
  <c r="I4025" i="1"/>
  <c r="J4017" i="1"/>
  <c r="I4017" i="1"/>
  <c r="J4009" i="1"/>
  <c r="I4009" i="1"/>
  <c r="J4001" i="1"/>
  <c r="I4001" i="1"/>
  <c r="J3993" i="1"/>
  <c r="I3993" i="1"/>
  <c r="J3985" i="1"/>
  <c r="I3985" i="1"/>
  <c r="J3977" i="1"/>
  <c r="I3977" i="1"/>
  <c r="J3969" i="1"/>
  <c r="I3969" i="1"/>
  <c r="J3961" i="1"/>
  <c r="I3961" i="1"/>
  <c r="J3953" i="1"/>
  <c r="I3953" i="1"/>
  <c r="J3945" i="1"/>
  <c r="I3945" i="1"/>
  <c r="J3937" i="1"/>
  <c r="I3937" i="1"/>
  <c r="J3929" i="1"/>
  <c r="I3929" i="1"/>
  <c r="J3921" i="1"/>
  <c r="I3921" i="1"/>
  <c r="J3913" i="1"/>
  <c r="I3913" i="1"/>
  <c r="J3905" i="1"/>
  <c r="I3905" i="1"/>
  <c r="J3897" i="1"/>
  <c r="I3897" i="1"/>
  <c r="J3889" i="1"/>
  <c r="I3889" i="1"/>
  <c r="J3881" i="1"/>
  <c r="I3881" i="1"/>
  <c r="J3873" i="1"/>
  <c r="I3873" i="1"/>
  <c r="J3865" i="1"/>
  <c r="I3865" i="1"/>
  <c r="J3857" i="1"/>
  <c r="I3857" i="1"/>
  <c r="J3849" i="1"/>
  <c r="I3849" i="1"/>
  <c r="J3841" i="1"/>
  <c r="I3841" i="1"/>
  <c r="J3833" i="1"/>
  <c r="I3833" i="1"/>
  <c r="J3825" i="1"/>
  <c r="I3825" i="1"/>
  <c r="J3817" i="1"/>
  <c r="I3817" i="1"/>
  <c r="J3809" i="1"/>
  <c r="I3809" i="1"/>
  <c r="J3801" i="1"/>
  <c r="I3801" i="1"/>
  <c r="J3793" i="1"/>
  <c r="I3793" i="1"/>
  <c r="J3785" i="1"/>
  <c r="I3785" i="1"/>
  <c r="J3777" i="1"/>
  <c r="I3777" i="1"/>
  <c r="J3769" i="1"/>
  <c r="I3769" i="1"/>
  <c r="J3761" i="1"/>
  <c r="I3761" i="1"/>
  <c r="J3753" i="1"/>
  <c r="I3753" i="1"/>
  <c r="J4312" i="1"/>
  <c r="I4312" i="1"/>
  <c r="J4304" i="1"/>
  <c r="I4304" i="1"/>
  <c r="J4296" i="1"/>
  <c r="I4296" i="1"/>
  <c r="J4288" i="1"/>
  <c r="I4288" i="1"/>
  <c r="J4280" i="1"/>
  <c r="I4280" i="1"/>
  <c r="J4272" i="1"/>
  <c r="I4272" i="1"/>
  <c r="J4264" i="1"/>
  <c r="I4264" i="1"/>
  <c r="J4256" i="1"/>
  <c r="I4256" i="1"/>
  <c r="J4248" i="1"/>
  <c r="I4248" i="1"/>
  <c r="J4240" i="1"/>
  <c r="I4240" i="1"/>
  <c r="J4232" i="1"/>
  <c r="I4232" i="1"/>
  <c r="J4224" i="1"/>
  <c r="I4224" i="1"/>
  <c r="J4216" i="1"/>
  <c r="I4216" i="1"/>
  <c r="J4208" i="1"/>
  <c r="I4208" i="1"/>
  <c r="J4200" i="1"/>
  <c r="I4200" i="1"/>
  <c r="J4192" i="1"/>
  <c r="I4192" i="1"/>
  <c r="J4184" i="1"/>
  <c r="I4184" i="1"/>
  <c r="J4176" i="1"/>
  <c r="I4176" i="1"/>
  <c r="J4168" i="1"/>
  <c r="I4168" i="1"/>
  <c r="J4160" i="1"/>
  <c r="I4160" i="1"/>
  <c r="J4152" i="1"/>
  <c r="I4152" i="1"/>
  <c r="J4144" i="1"/>
  <c r="I4144" i="1"/>
  <c r="J4136" i="1"/>
  <c r="I4136" i="1"/>
  <c r="J4128" i="1"/>
  <c r="I4128" i="1"/>
  <c r="J4120" i="1"/>
  <c r="I4120" i="1"/>
  <c r="J4112" i="1"/>
  <c r="I4112" i="1"/>
  <c r="J4104" i="1"/>
  <c r="I4104" i="1"/>
  <c r="J4096" i="1"/>
  <c r="I4096" i="1"/>
  <c r="J4088" i="1"/>
  <c r="I4088" i="1"/>
  <c r="J4080" i="1"/>
  <c r="I4080" i="1"/>
  <c r="J4072" i="1"/>
  <c r="I4072" i="1"/>
  <c r="J4064" i="1"/>
  <c r="I4064" i="1"/>
  <c r="J4056" i="1"/>
  <c r="I4056" i="1"/>
  <c r="J4048" i="1"/>
  <c r="I4048" i="1"/>
  <c r="J4040" i="1"/>
  <c r="I4040" i="1"/>
  <c r="J4032" i="1"/>
  <c r="I4032" i="1"/>
  <c r="J4024" i="1"/>
  <c r="I4024" i="1"/>
  <c r="J4016" i="1"/>
  <c r="I4016" i="1"/>
  <c r="J4008" i="1"/>
  <c r="I4008" i="1"/>
  <c r="J4000" i="1"/>
  <c r="I4000" i="1"/>
  <c r="J3992" i="1"/>
  <c r="I3992" i="1"/>
  <c r="J3984" i="1"/>
  <c r="I3984" i="1"/>
  <c r="J3976" i="1"/>
  <c r="I3976" i="1"/>
  <c r="J3968" i="1"/>
  <c r="I3968" i="1"/>
  <c r="J3960" i="1"/>
  <c r="I3960" i="1"/>
  <c r="J3952" i="1"/>
  <c r="I3952" i="1"/>
  <c r="J3944" i="1"/>
  <c r="I3944" i="1"/>
  <c r="J3936" i="1"/>
  <c r="I3936" i="1"/>
  <c r="J3928" i="1"/>
  <c r="I3928" i="1"/>
  <c r="J3920" i="1"/>
  <c r="I3920" i="1"/>
  <c r="J3912" i="1"/>
  <c r="I3912" i="1"/>
  <c r="J3904" i="1"/>
  <c r="I3904" i="1"/>
  <c r="J3896" i="1"/>
  <c r="I3896" i="1"/>
  <c r="J3888" i="1"/>
  <c r="I3888" i="1"/>
  <c r="J3880" i="1"/>
  <c r="I3880" i="1"/>
  <c r="J3872" i="1"/>
  <c r="I3872" i="1"/>
  <c r="J3864" i="1"/>
  <c r="I3864" i="1"/>
  <c r="J3856" i="1"/>
  <c r="I3856" i="1"/>
  <c r="J3848" i="1"/>
  <c r="I3848" i="1"/>
  <c r="J4311" i="1"/>
  <c r="I4311" i="1"/>
  <c r="J4303" i="1"/>
  <c r="I4303" i="1"/>
  <c r="J4295" i="1"/>
  <c r="I4295" i="1"/>
  <c r="J4287" i="1"/>
  <c r="I4287" i="1"/>
  <c r="J4279" i="1"/>
  <c r="I4279" i="1"/>
  <c r="J4271" i="1"/>
  <c r="I4271" i="1"/>
  <c r="J4263" i="1"/>
  <c r="I4263" i="1"/>
  <c r="J4255" i="1"/>
  <c r="I4255" i="1"/>
  <c r="J4247" i="1"/>
  <c r="I4247" i="1"/>
  <c r="J4239" i="1"/>
  <c r="I4239" i="1"/>
  <c r="J4231" i="1"/>
  <c r="I4231" i="1"/>
  <c r="J4223" i="1"/>
  <c r="I4223" i="1"/>
  <c r="J4215" i="1"/>
  <c r="I4215" i="1"/>
  <c r="J4207" i="1"/>
  <c r="I4207" i="1"/>
  <c r="J4199" i="1"/>
  <c r="I4199" i="1"/>
  <c r="J4191" i="1"/>
  <c r="I4191" i="1"/>
  <c r="J4183" i="1"/>
  <c r="I4183" i="1"/>
  <c r="J4175" i="1"/>
  <c r="I4175" i="1"/>
  <c r="J4167" i="1"/>
  <c r="I4167" i="1"/>
  <c r="J4159" i="1"/>
  <c r="I4159" i="1"/>
  <c r="J4151" i="1"/>
  <c r="I4151" i="1"/>
  <c r="J4143" i="1"/>
  <c r="I4143" i="1"/>
  <c r="J4135" i="1"/>
  <c r="I4135" i="1"/>
  <c r="J4127" i="1"/>
  <c r="I4127" i="1"/>
  <c r="J4119" i="1"/>
  <c r="I4119" i="1"/>
  <c r="J4111" i="1"/>
  <c r="I4111" i="1"/>
  <c r="J4103" i="1"/>
  <c r="I4103" i="1"/>
  <c r="J4095" i="1"/>
  <c r="I4095" i="1"/>
  <c r="J4087" i="1"/>
  <c r="I4087" i="1"/>
  <c r="J4079" i="1"/>
  <c r="I4079" i="1"/>
  <c r="J4071" i="1"/>
  <c r="I4071" i="1"/>
  <c r="J4063" i="1"/>
  <c r="I4063" i="1"/>
  <c r="J4055" i="1"/>
  <c r="I4055" i="1"/>
  <c r="J4047" i="1"/>
  <c r="I4047" i="1"/>
  <c r="J4039" i="1"/>
  <c r="I4039" i="1"/>
  <c r="J4031" i="1"/>
  <c r="I4031" i="1"/>
  <c r="J4023" i="1"/>
  <c r="I4023" i="1"/>
  <c r="J4015" i="1"/>
  <c r="I4015" i="1"/>
  <c r="J4007" i="1"/>
  <c r="I4007" i="1"/>
  <c r="J3991" i="1"/>
  <c r="I3991" i="1"/>
  <c r="J3983" i="1"/>
  <c r="I3983" i="1"/>
  <c r="J3975" i="1"/>
  <c r="I3975" i="1"/>
  <c r="J3967" i="1"/>
  <c r="I3967" i="1"/>
  <c r="J3959" i="1"/>
  <c r="I3959" i="1"/>
  <c r="J3951" i="1"/>
  <c r="I3951" i="1"/>
  <c r="J3943" i="1"/>
  <c r="I3943" i="1"/>
  <c r="J3935" i="1"/>
  <c r="I3935" i="1"/>
  <c r="J3927" i="1"/>
  <c r="I3927" i="1"/>
  <c r="J3919" i="1"/>
  <c r="I3919" i="1"/>
  <c r="J3911" i="1"/>
  <c r="I3911" i="1"/>
  <c r="J3903" i="1"/>
  <c r="I3903" i="1"/>
  <c r="J3895" i="1"/>
  <c r="I3895" i="1"/>
  <c r="J3887" i="1"/>
  <c r="I3887" i="1"/>
  <c r="J3879" i="1"/>
  <c r="I3879" i="1"/>
  <c r="J3871" i="1"/>
  <c r="I3871" i="1"/>
  <c r="J3863" i="1"/>
  <c r="I3863" i="1"/>
  <c r="J3855" i="1"/>
  <c r="I3855" i="1"/>
  <c r="J3847" i="1"/>
  <c r="I3847" i="1"/>
  <c r="J3839" i="1"/>
  <c r="I3839" i="1"/>
  <c r="J3831" i="1"/>
  <c r="I3831" i="1"/>
  <c r="J4310" i="1"/>
  <c r="I4310" i="1"/>
  <c r="J4302" i="1"/>
  <c r="I4302" i="1"/>
  <c r="J4294" i="1"/>
  <c r="I4294" i="1"/>
  <c r="J4286" i="1"/>
  <c r="I4286" i="1"/>
  <c r="J4278" i="1"/>
  <c r="I4278" i="1"/>
  <c r="J4270" i="1"/>
  <c r="I4270" i="1"/>
  <c r="J4262" i="1"/>
  <c r="I4262" i="1"/>
  <c r="J4254" i="1"/>
  <c r="I4254" i="1"/>
  <c r="J4246" i="1"/>
  <c r="I4246" i="1"/>
  <c r="J4238" i="1"/>
  <c r="I4238" i="1"/>
  <c r="J4230" i="1"/>
  <c r="I4230" i="1"/>
  <c r="J4222" i="1"/>
  <c r="I4222" i="1"/>
  <c r="J4214" i="1"/>
  <c r="I4214" i="1"/>
  <c r="J4206" i="1"/>
  <c r="I4206" i="1"/>
  <c r="J4198" i="1"/>
  <c r="I4198" i="1"/>
  <c r="J4190" i="1"/>
  <c r="I4190" i="1"/>
  <c r="J4182" i="1"/>
  <c r="I4182" i="1"/>
  <c r="J4174" i="1"/>
  <c r="I4174" i="1"/>
  <c r="J4166" i="1"/>
  <c r="I4166" i="1"/>
  <c r="J4158" i="1"/>
  <c r="I4158" i="1"/>
  <c r="J4150" i="1"/>
  <c r="I4150" i="1"/>
  <c r="J4142" i="1"/>
  <c r="I4142" i="1"/>
  <c r="J4134" i="1"/>
  <c r="I4134" i="1"/>
  <c r="J4126" i="1"/>
  <c r="I4126" i="1"/>
  <c r="J4118" i="1"/>
  <c r="I4118" i="1"/>
  <c r="J4110" i="1"/>
  <c r="I4110" i="1"/>
  <c r="J4102" i="1"/>
  <c r="I4102" i="1"/>
  <c r="J4094" i="1"/>
  <c r="I4094" i="1"/>
  <c r="J4086" i="1"/>
  <c r="I4086" i="1"/>
  <c r="J4078" i="1"/>
  <c r="I4078" i="1"/>
  <c r="J4070" i="1"/>
  <c r="I4070" i="1"/>
  <c r="J4062" i="1"/>
  <c r="I4062" i="1"/>
  <c r="J4054" i="1"/>
  <c r="I4054" i="1"/>
  <c r="J4046" i="1"/>
  <c r="I4046" i="1"/>
  <c r="J4038" i="1"/>
  <c r="I4038" i="1"/>
  <c r="J4030" i="1"/>
  <c r="I4030" i="1"/>
  <c r="J4022" i="1"/>
  <c r="I4022" i="1"/>
  <c r="J4014" i="1"/>
  <c r="I4014" i="1"/>
  <c r="J4006" i="1"/>
  <c r="I4006" i="1"/>
  <c r="J3998" i="1"/>
  <c r="I3998" i="1"/>
  <c r="J3990" i="1"/>
  <c r="I3990" i="1"/>
  <c r="J3982" i="1"/>
  <c r="I3982" i="1"/>
  <c r="J3974" i="1"/>
  <c r="I3974" i="1"/>
  <c r="J3966" i="1"/>
  <c r="I3966" i="1"/>
  <c r="J3958" i="1"/>
  <c r="I3958" i="1"/>
  <c r="J3950" i="1"/>
  <c r="I3950" i="1"/>
  <c r="J3942" i="1"/>
  <c r="I3942" i="1"/>
  <c r="J3934" i="1"/>
  <c r="I3934" i="1"/>
  <c r="J3926" i="1"/>
  <c r="I3926" i="1"/>
  <c r="J3918" i="1"/>
  <c r="I3918" i="1"/>
  <c r="J3910" i="1"/>
  <c r="I3910" i="1"/>
  <c r="J3902" i="1"/>
  <c r="I3902" i="1"/>
  <c r="J3894" i="1"/>
  <c r="I3894" i="1"/>
  <c r="J3886" i="1"/>
  <c r="I3886" i="1"/>
  <c r="J3878" i="1"/>
  <c r="I3878" i="1"/>
  <c r="J3870" i="1"/>
  <c r="I3870" i="1"/>
  <c r="J3862" i="1"/>
  <c r="I3862" i="1"/>
  <c r="J3854" i="1"/>
  <c r="I3854" i="1"/>
  <c r="J3846" i="1"/>
  <c r="I3846" i="1"/>
  <c r="J3838" i="1"/>
  <c r="I3838" i="1"/>
  <c r="J3830" i="1"/>
  <c r="I3830" i="1"/>
  <c r="J3822" i="1"/>
  <c r="I3822" i="1"/>
  <c r="J3814" i="1"/>
  <c r="I3814" i="1"/>
  <c r="J3806" i="1"/>
  <c r="I3806" i="1"/>
  <c r="J3798" i="1"/>
  <c r="I3798" i="1"/>
  <c r="J3790" i="1"/>
  <c r="I3790" i="1"/>
  <c r="J3782" i="1"/>
  <c r="I3782" i="1"/>
  <c r="J3774" i="1"/>
  <c r="I3774" i="1"/>
  <c r="J3766" i="1"/>
  <c r="I3766" i="1"/>
  <c r="J3758" i="1"/>
  <c r="I3758" i="1"/>
  <c r="J3750" i="1"/>
  <c r="I3750" i="1"/>
  <c r="J3742" i="1"/>
  <c r="I3742" i="1"/>
  <c r="J3734" i="1"/>
  <c r="I3734" i="1"/>
  <c r="J3726" i="1"/>
  <c r="I3726" i="1"/>
  <c r="J3718" i="1"/>
  <c r="I3718" i="1"/>
  <c r="J3710" i="1"/>
  <c r="I3710" i="1"/>
  <c r="J3702" i="1"/>
  <c r="I3702" i="1"/>
  <c r="J3694" i="1"/>
  <c r="I3694" i="1"/>
  <c r="J3686" i="1"/>
  <c r="I3686" i="1"/>
  <c r="J3678" i="1"/>
  <c r="I3678" i="1"/>
  <c r="J3670" i="1"/>
  <c r="I3670" i="1"/>
  <c r="J3662" i="1"/>
  <c r="I3662" i="1"/>
  <c r="J3654" i="1"/>
  <c r="I3654" i="1"/>
  <c r="J3646" i="1"/>
  <c r="I3646" i="1"/>
  <c r="J3638" i="1"/>
  <c r="I3638" i="1"/>
  <c r="J3630" i="1"/>
  <c r="I3630" i="1"/>
  <c r="J3622" i="1"/>
  <c r="I3622" i="1"/>
  <c r="J3614" i="1"/>
  <c r="I3614" i="1"/>
  <c r="J3606" i="1"/>
  <c r="I3606" i="1"/>
  <c r="J3598" i="1"/>
  <c r="I3598" i="1"/>
  <c r="J3590" i="1"/>
  <c r="I3590" i="1"/>
  <c r="J3582" i="1"/>
  <c r="I3582" i="1"/>
  <c r="J3574" i="1"/>
  <c r="I3574" i="1"/>
  <c r="J3566" i="1"/>
  <c r="I3566" i="1"/>
  <c r="J3558" i="1"/>
  <c r="I3558" i="1"/>
  <c r="J3550" i="1"/>
  <c r="I3550" i="1"/>
  <c r="J3542" i="1"/>
  <c r="I3542" i="1"/>
  <c r="J3534" i="1"/>
  <c r="I3534" i="1"/>
  <c r="J3526" i="1"/>
  <c r="I3526" i="1"/>
  <c r="J3518" i="1"/>
  <c r="I3518" i="1"/>
  <c r="J3510" i="1"/>
  <c r="I3510" i="1"/>
  <c r="J3502" i="1"/>
  <c r="I3502" i="1"/>
  <c r="J3494" i="1"/>
  <c r="I3494" i="1"/>
  <c r="J3486" i="1"/>
  <c r="I3486" i="1"/>
  <c r="J3478" i="1"/>
  <c r="I3478" i="1"/>
  <c r="J3470" i="1"/>
  <c r="I3470" i="1"/>
  <c r="J3462" i="1"/>
  <c r="I3462" i="1"/>
  <c r="J3454" i="1"/>
  <c r="I3454" i="1"/>
  <c r="J3446" i="1"/>
  <c r="I3446" i="1"/>
  <c r="J3438" i="1"/>
  <c r="I3438" i="1"/>
  <c r="J3430" i="1"/>
  <c r="I3430" i="1"/>
  <c r="J3422" i="1"/>
  <c r="I3422" i="1"/>
  <c r="J3414" i="1"/>
  <c r="I3414" i="1"/>
  <c r="J3406" i="1"/>
  <c r="I3406" i="1"/>
  <c r="J3398" i="1"/>
  <c r="I3398" i="1"/>
  <c r="J3390" i="1"/>
  <c r="I3390" i="1"/>
  <c r="J3382" i="1"/>
  <c r="I3382" i="1"/>
  <c r="J3374" i="1"/>
  <c r="I3374" i="1"/>
  <c r="J3366" i="1"/>
  <c r="I3366" i="1"/>
  <c r="J3358" i="1"/>
  <c r="I3358" i="1"/>
  <c r="J3350" i="1"/>
  <c r="I3350" i="1"/>
  <c r="J3342" i="1"/>
  <c r="I3342" i="1"/>
  <c r="J3334" i="1"/>
  <c r="I3334" i="1"/>
  <c r="J3326" i="1"/>
  <c r="I3326" i="1"/>
  <c r="J3318" i="1"/>
  <c r="I3318" i="1"/>
  <c r="J3310" i="1"/>
  <c r="I3310" i="1"/>
  <c r="J3302" i="1"/>
  <c r="I3302" i="1"/>
  <c r="J3294" i="1"/>
  <c r="I3294" i="1"/>
  <c r="J3286" i="1"/>
  <c r="I3286" i="1"/>
  <c r="J3278" i="1"/>
  <c r="I3278" i="1"/>
  <c r="J3270" i="1"/>
  <c r="I3270" i="1"/>
  <c r="J3262" i="1"/>
  <c r="I3262" i="1"/>
  <c r="J3254" i="1"/>
  <c r="I3254" i="1"/>
  <c r="J3246" i="1"/>
  <c r="I3246" i="1"/>
  <c r="J3238" i="1"/>
  <c r="I3238" i="1"/>
  <c r="J3222" i="1"/>
  <c r="I3222" i="1"/>
  <c r="J3214" i="1"/>
  <c r="I3214" i="1"/>
  <c r="J3206" i="1"/>
  <c r="I3206" i="1"/>
  <c r="J3198" i="1"/>
  <c r="I3198" i="1"/>
  <c r="J3190" i="1"/>
  <c r="I3190" i="1"/>
  <c r="J3182" i="1"/>
  <c r="I3182" i="1"/>
  <c r="J3174" i="1"/>
  <c r="I3174" i="1"/>
  <c r="J3166" i="1"/>
  <c r="I3166" i="1"/>
  <c r="J3158" i="1"/>
  <c r="I3158" i="1"/>
  <c r="J3150" i="1"/>
  <c r="I3150" i="1"/>
  <c r="J3142" i="1"/>
  <c r="I3142" i="1"/>
  <c r="J3134" i="1"/>
  <c r="I3134" i="1"/>
  <c r="J3126" i="1"/>
  <c r="I3126" i="1"/>
  <c r="J3118" i="1"/>
  <c r="I3118" i="1"/>
  <c r="J3110" i="1"/>
  <c r="I3110" i="1"/>
  <c r="J3102" i="1"/>
  <c r="I3102" i="1"/>
  <c r="J3094" i="1"/>
  <c r="I3094" i="1"/>
  <c r="J3086" i="1"/>
  <c r="I3086" i="1"/>
  <c r="J3078" i="1"/>
  <c r="I3078" i="1"/>
  <c r="J3070" i="1"/>
  <c r="I3070" i="1"/>
  <c r="J3062" i="1"/>
  <c r="I3062" i="1"/>
  <c r="J3054" i="1"/>
  <c r="I3054" i="1"/>
  <c r="J3046" i="1"/>
  <c r="I3046" i="1"/>
  <c r="J3038" i="1"/>
  <c r="I3038" i="1"/>
  <c r="J3030" i="1"/>
  <c r="I3030" i="1"/>
  <c r="J3022" i="1"/>
  <c r="I3022" i="1"/>
  <c r="J3014" i="1"/>
  <c r="I3014" i="1"/>
  <c r="J3006" i="1"/>
  <c r="I3006" i="1"/>
  <c r="J2998" i="1"/>
  <c r="I2998" i="1"/>
  <c r="J2990" i="1"/>
  <c r="I2990" i="1"/>
  <c r="J2982" i="1"/>
  <c r="I2982" i="1"/>
  <c r="J2974" i="1"/>
  <c r="I2974" i="1"/>
  <c r="J2966" i="1"/>
  <c r="I2966" i="1"/>
  <c r="J2958" i="1"/>
  <c r="I2958" i="1"/>
  <c r="J2950" i="1"/>
  <c r="I2950" i="1"/>
  <c r="J2942" i="1"/>
  <c r="I2942" i="1"/>
  <c r="J2934" i="1"/>
  <c r="I2934" i="1"/>
  <c r="J2926" i="1"/>
  <c r="I2926" i="1"/>
  <c r="J2918" i="1"/>
  <c r="I2918" i="1"/>
  <c r="J2910" i="1"/>
  <c r="I2910" i="1"/>
  <c r="J2902" i="1"/>
  <c r="I2902" i="1"/>
  <c r="J2894" i="1"/>
  <c r="I2894" i="1"/>
  <c r="J2886" i="1"/>
  <c r="I2886" i="1"/>
  <c r="J2878" i="1"/>
  <c r="I2878" i="1"/>
  <c r="J2870" i="1"/>
  <c r="I2870" i="1"/>
  <c r="J2862" i="1"/>
  <c r="I2862" i="1"/>
  <c r="J2854" i="1"/>
  <c r="I2854" i="1"/>
  <c r="J2846" i="1"/>
  <c r="I2846" i="1"/>
  <c r="J2838" i="1"/>
  <c r="I2838" i="1"/>
  <c r="J2830" i="1"/>
  <c r="I2830" i="1"/>
  <c r="J2822" i="1"/>
  <c r="I2822" i="1"/>
  <c r="J2814" i="1"/>
  <c r="I2814" i="1"/>
  <c r="J2806" i="1"/>
  <c r="I2806" i="1"/>
  <c r="J2798" i="1"/>
  <c r="I2798" i="1"/>
  <c r="J2790" i="1"/>
  <c r="I2790" i="1"/>
  <c r="J2782" i="1"/>
  <c r="I2782" i="1"/>
  <c r="J2774" i="1"/>
  <c r="I2774" i="1"/>
  <c r="J2766" i="1"/>
  <c r="I2766" i="1"/>
  <c r="J2758" i="1"/>
  <c r="I2758" i="1"/>
  <c r="J2750" i="1"/>
  <c r="I2750" i="1"/>
  <c r="J2742" i="1"/>
  <c r="I2742" i="1"/>
  <c r="J2734" i="1"/>
  <c r="I2734" i="1"/>
  <c r="J2726" i="1"/>
  <c r="I2726" i="1"/>
  <c r="J2718" i="1"/>
  <c r="I2718" i="1"/>
  <c r="J2710" i="1"/>
  <c r="I2710" i="1"/>
  <c r="J2702" i="1"/>
  <c r="I2702" i="1"/>
  <c r="J2694" i="1"/>
  <c r="I2694" i="1"/>
  <c r="J2686" i="1"/>
  <c r="I2686" i="1"/>
  <c r="J2678" i="1"/>
  <c r="I2678" i="1"/>
  <c r="J2670" i="1"/>
  <c r="I2670" i="1"/>
  <c r="J2662" i="1"/>
  <c r="I2662" i="1"/>
  <c r="J2654" i="1"/>
  <c r="I2654" i="1"/>
  <c r="J2646" i="1"/>
  <c r="I2646" i="1"/>
  <c r="J2638" i="1"/>
  <c r="I2638" i="1"/>
  <c r="J2630" i="1"/>
  <c r="I2630" i="1"/>
  <c r="J2622" i="1"/>
  <c r="I2622" i="1"/>
  <c r="J2614" i="1"/>
  <c r="I2614" i="1"/>
  <c r="J2606" i="1"/>
  <c r="I2606" i="1"/>
  <c r="J2598" i="1"/>
  <c r="I2598" i="1"/>
  <c r="J2590" i="1"/>
  <c r="I2590" i="1"/>
  <c r="J2582" i="1"/>
  <c r="I2582" i="1"/>
  <c r="J2574" i="1"/>
  <c r="I2574" i="1"/>
  <c r="J2566" i="1"/>
  <c r="I2566" i="1"/>
  <c r="J2558" i="1"/>
  <c r="I2558" i="1"/>
  <c r="J2550" i="1"/>
  <c r="I2550" i="1"/>
  <c r="J2542" i="1"/>
  <c r="I2542" i="1"/>
  <c r="J2534" i="1"/>
  <c r="I2534" i="1"/>
  <c r="J2526" i="1"/>
  <c r="I2526" i="1"/>
  <c r="J2518" i="1"/>
  <c r="I2518" i="1"/>
  <c r="J2510" i="1"/>
  <c r="I2510" i="1"/>
  <c r="J2502" i="1"/>
  <c r="I2502" i="1"/>
  <c r="J2494" i="1"/>
  <c r="I2494" i="1"/>
  <c r="J2486" i="1"/>
  <c r="I2486" i="1"/>
  <c r="J2478" i="1"/>
  <c r="I2478" i="1"/>
  <c r="J2470" i="1"/>
  <c r="I2470" i="1"/>
  <c r="J2462" i="1"/>
  <c r="I2462" i="1"/>
  <c r="J2454" i="1"/>
  <c r="I2454" i="1"/>
  <c r="J2446" i="1"/>
  <c r="I2446" i="1"/>
  <c r="J2438" i="1"/>
  <c r="I2438" i="1"/>
  <c r="J2430" i="1"/>
  <c r="I2430" i="1"/>
  <c r="J2422" i="1"/>
  <c r="I2422" i="1"/>
  <c r="J2414" i="1"/>
  <c r="I2414" i="1"/>
  <c r="J2406" i="1"/>
  <c r="I2406" i="1"/>
  <c r="J2398" i="1"/>
  <c r="I2398" i="1"/>
  <c r="J2390" i="1"/>
  <c r="I2390" i="1"/>
  <c r="J2382" i="1"/>
  <c r="I2382" i="1"/>
  <c r="J2374" i="1"/>
  <c r="I2374" i="1"/>
  <c r="J2366" i="1"/>
  <c r="I2366" i="1"/>
  <c r="J2358" i="1"/>
  <c r="I2358" i="1"/>
  <c r="J2350" i="1"/>
  <c r="I2350" i="1"/>
  <c r="J2342" i="1"/>
  <c r="I2342" i="1"/>
  <c r="J2334" i="1"/>
  <c r="I2334" i="1"/>
  <c r="J2326" i="1"/>
  <c r="I2326" i="1"/>
  <c r="J2318" i="1"/>
  <c r="I2318" i="1"/>
  <c r="J2310" i="1"/>
  <c r="I2310" i="1"/>
  <c r="J2302" i="1"/>
  <c r="I2302" i="1"/>
  <c r="J2294" i="1"/>
  <c r="I2294" i="1"/>
  <c r="J2286" i="1"/>
  <c r="I2286" i="1"/>
  <c r="J2278" i="1"/>
  <c r="I2278" i="1"/>
  <c r="J2270" i="1"/>
  <c r="I2270" i="1"/>
  <c r="J2262" i="1"/>
  <c r="I2262" i="1"/>
  <c r="J2254" i="1"/>
  <c r="I2254" i="1"/>
  <c r="J2246" i="1"/>
  <c r="I2246" i="1"/>
  <c r="J2238" i="1"/>
  <c r="I2238" i="1"/>
  <c r="J2230" i="1"/>
  <c r="I2230" i="1"/>
  <c r="J2222" i="1"/>
  <c r="I2222" i="1"/>
  <c r="J2214" i="1"/>
  <c r="I2214" i="1"/>
  <c r="J2206" i="1"/>
  <c r="I2206" i="1"/>
  <c r="J2198" i="1"/>
  <c r="I2198" i="1"/>
  <c r="J2190" i="1"/>
  <c r="I2190" i="1"/>
  <c r="J2182" i="1"/>
  <c r="I2182" i="1"/>
  <c r="J2174" i="1"/>
  <c r="I2174" i="1"/>
  <c r="J2166" i="1"/>
  <c r="I2166" i="1"/>
  <c r="J2158" i="1"/>
  <c r="I2158" i="1"/>
  <c r="J2150" i="1"/>
  <c r="I2150" i="1"/>
  <c r="J2142" i="1"/>
  <c r="I2142" i="1"/>
  <c r="J2134" i="1"/>
  <c r="I2134" i="1"/>
  <c r="J2126" i="1"/>
  <c r="I2126" i="1"/>
  <c r="J2118" i="1"/>
  <c r="I2118" i="1"/>
  <c r="J2110" i="1"/>
  <c r="I2110" i="1"/>
  <c r="J2102" i="1"/>
  <c r="I2102" i="1"/>
  <c r="J2094" i="1"/>
  <c r="I2094" i="1"/>
  <c r="J2086" i="1"/>
  <c r="I2086" i="1"/>
  <c r="J2078" i="1"/>
  <c r="I2078" i="1"/>
  <c r="J2070" i="1"/>
  <c r="I2070" i="1"/>
  <c r="J2" i="1"/>
  <c r="I2" i="1"/>
  <c r="J4309" i="1"/>
  <c r="I4309" i="1"/>
  <c r="J4301" i="1"/>
  <c r="I4301" i="1"/>
  <c r="J4293" i="1"/>
  <c r="I4293" i="1"/>
  <c r="J4285" i="1"/>
  <c r="I4285" i="1"/>
  <c r="J4277" i="1"/>
  <c r="I4277" i="1"/>
  <c r="J4269" i="1"/>
  <c r="I4269" i="1"/>
  <c r="J4261" i="1"/>
  <c r="I4261" i="1"/>
  <c r="J4253" i="1"/>
  <c r="I4253" i="1"/>
  <c r="J4245" i="1"/>
  <c r="I4245" i="1"/>
  <c r="J4237" i="1"/>
  <c r="I4237" i="1"/>
  <c r="J4229" i="1"/>
  <c r="I4229" i="1"/>
  <c r="J4221" i="1"/>
  <c r="I4221" i="1"/>
  <c r="J4213" i="1"/>
  <c r="I4213" i="1"/>
  <c r="J4205" i="1"/>
  <c r="I4205" i="1"/>
  <c r="J4197" i="1"/>
  <c r="I4197" i="1"/>
  <c r="J4189" i="1"/>
  <c r="I4189" i="1"/>
  <c r="J4181" i="1"/>
  <c r="I4181" i="1"/>
  <c r="J4173" i="1"/>
  <c r="I4173" i="1"/>
  <c r="J4165" i="1"/>
  <c r="I4165" i="1"/>
  <c r="J4157" i="1"/>
  <c r="I4157" i="1"/>
  <c r="J4149" i="1"/>
  <c r="I4149" i="1"/>
  <c r="J4141" i="1"/>
  <c r="I4141" i="1"/>
  <c r="J4133" i="1"/>
  <c r="I4133" i="1"/>
  <c r="J4125" i="1"/>
  <c r="I4125" i="1"/>
  <c r="J4117" i="1"/>
  <c r="I4117" i="1"/>
  <c r="J4109" i="1"/>
  <c r="I4109" i="1"/>
  <c r="J4101" i="1"/>
  <c r="I4101" i="1"/>
  <c r="J4093" i="1"/>
  <c r="I4093" i="1"/>
  <c r="J4085" i="1"/>
  <c r="I4085" i="1"/>
  <c r="J4077" i="1"/>
  <c r="I4077" i="1"/>
  <c r="J4069" i="1"/>
  <c r="I4069" i="1"/>
  <c r="J4061" i="1"/>
  <c r="I4061" i="1"/>
  <c r="J4053" i="1"/>
  <c r="I4053" i="1"/>
  <c r="J4045" i="1"/>
  <c r="I4045" i="1"/>
  <c r="J4037" i="1"/>
  <c r="I4037" i="1"/>
  <c r="J4029" i="1"/>
  <c r="I4029" i="1"/>
  <c r="J4021" i="1"/>
  <c r="I4021" i="1"/>
  <c r="J4013" i="1"/>
  <c r="I4013" i="1"/>
  <c r="J4005" i="1"/>
  <c r="I4005" i="1"/>
  <c r="J3997" i="1"/>
  <c r="I3997" i="1"/>
  <c r="J3989" i="1"/>
  <c r="I3989" i="1"/>
  <c r="J3981" i="1"/>
  <c r="I3981" i="1"/>
  <c r="J3973" i="1"/>
  <c r="I3973" i="1"/>
  <c r="J3965" i="1"/>
  <c r="I3965" i="1"/>
  <c r="J3957" i="1"/>
  <c r="I3957" i="1"/>
  <c r="J3949" i="1"/>
  <c r="I3949" i="1"/>
  <c r="J3941" i="1"/>
  <c r="I3941" i="1"/>
  <c r="J3933" i="1"/>
  <c r="I3933" i="1"/>
  <c r="J3925" i="1"/>
  <c r="I3925" i="1"/>
  <c r="J3917" i="1"/>
  <c r="I3917" i="1"/>
  <c r="J3909" i="1"/>
  <c r="I3909" i="1"/>
  <c r="J3901" i="1"/>
  <c r="I3901" i="1"/>
  <c r="J3893" i="1"/>
  <c r="I3893" i="1"/>
  <c r="J3885" i="1"/>
  <c r="I3885" i="1"/>
  <c r="J3877" i="1"/>
  <c r="I3877" i="1"/>
  <c r="J3869" i="1"/>
  <c r="I3869" i="1"/>
  <c r="J3861" i="1"/>
  <c r="I3861" i="1"/>
  <c r="J3853" i="1"/>
  <c r="I3853" i="1"/>
  <c r="J3845" i="1"/>
  <c r="I3845" i="1"/>
  <c r="J3837" i="1"/>
  <c r="I3837" i="1"/>
  <c r="J3829" i="1"/>
  <c r="I3829" i="1"/>
  <c r="J3821" i="1"/>
  <c r="I3821" i="1"/>
  <c r="J3813" i="1"/>
  <c r="I3813" i="1"/>
  <c r="J3805" i="1"/>
  <c r="I3805" i="1"/>
  <c r="J3797" i="1"/>
  <c r="I3797" i="1"/>
  <c r="J3789" i="1"/>
  <c r="I3789" i="1"/>
  <c r="J3781" i="1"/>
  <c r="I3781" i="1"/>
  <c r="J4316" i="1"/>
  <c r="I4316" i="1"/>
  <c r="J4308" i="1"/>
  <c r="I4308" i="1"/>
  <c r="J4300" i="1"/>
  <c r="I4300" i="1"/>
  <c r="J4292" i="1"/>
  <c r="I4292" i="1"/>
  <c r="J4284" i="1"/>
  <c r="I4284" i="1"/>
  <c r="J4276" i="1"/>
  <c r="I4276" i="1"/>
  <c r="J4268" i="1"/>
  <c r="I4268" i="1"/>
  <c r="J4260" i="1"/>
  <c r="I4260" i="1"/>
  <c r="J4252" i="1"/>
  <c r="I4252" i="1"/>
  <c r="J4244" i="1"/>
  <c r="I4244" i="1"/>
  <c r="J4236" i="1"/>
  <c r="I4236" i="1"/>
  <c r="J4228" i="1"/>
  <c r="I4228" i="1"/>
  <c r="J4220" i="1"/>
  <c r="I4220" i="1"/>
  <c r="J4212" i="1"/>
  <c r="I4212" i="1"/>
  <c r="J4204" i="1"/>
  <c r="I4204" i="1"/>
  <c r="J4196" i="1"/>
  <c r="I4196" i="1"/>
  <c r="J4188" i="1"/>
  <c r="I4188" i="1"/>
  <c r="J4180" i="1"/>
  <c r="I4180" i="1"/>
  <c r="J4172" i="1"/>
  <c r="I4172" i="1"/>
  <c r="J4164" i="1"/>
  <c r="I4164" i="1"/>
  <c r="J4156" i="1"/>
  <c r="I4156" i="1"/>
  <c r="J4148" i="1"/>
  <c r="I4148" i="1"/>
  <c r="J4140" i="1"/>
  <c r="I4140" i="1"/>
  <c r="J4132" i="1"/>
  <c r="I4132" i="1"/>
  <c r="J4124" i="1"/>
  <c r="I4124" i="1"/>
  <c r="J4116" i="1"/>
  <c r="I4116" i="1"/>
  <c r="J4108" i="1"/>
  <c r="I4108" i="1"/>
  <c r="J4100" i="1"/>
  <c r="I4100" i="1"/>
  <c r="J4092" i="1"/>
  <c r="I4092" i="1"/>
  <c r="J4084" i="1"/>
  <c r="I4084" i="1"/>
  <c r="J4076" i="1"/>
  <c r="I4076" i="1"/>
  <c r="J4068" i="1"/>
  <c r="I4068" i="1"/>
  <c r="J4060" i="1"/>
  <c r="I4060" i="1"/>
  <c r="J4052" i="1"/>
  <c r="I4052" i="1"/>
  <c r="J4044" i="1"/>
  <c r="I4044" i="1"/>
  <c r="J4036" i="1"/>
  <c r="I4036" i="1"/>
  <c r="J4028" i="1"/>
  <c r="I4028" i="1"/>
  <c r="J4020" i="1"/>
  <c r="I4020" i="1"/>
  <c r="J4012" i="1"/>
  <c r="I4012" i="1"/>
  <c r="J4004" i="1"/>
  <c r="I4004" i="1"/>
  <c r="J3996" i="1"/>
  <c r="I3996" i="1"/>
  <c r="J3988" i="1"/>
  <c r="I3988" i="1"/>
  <c r="J3980" i="1"/>
  <c r="I3980" i="1"/>
  <c r="J3972" i="1"/>
  <c r="I3972" i="1"/>
  <c r="J3964" i="1"/>
  <c r="I3964" i="1"/>
  <c r="J3956" i="1"/>
  <c r="I3956" i="1"/>
  <c r="J3948" i="1"/>
  <c r="I3948" i="1"/>
  <c r="J3940" i="1"/>
  <c r="I3940" i="1"/>
  <c r="J3932" i="1"/>
  <c r="I3932" i="1"/>
  <c r="J3924" i="1"/>
  <c r="I3924" i="1"/>
  <c r="J3916" i="1"/>
  <c r="I3916" i="1"/>
  <c r="J3908" i="1"/>
  <c r="I3908" i="1"/>
  <c r="J3900" i="1"/>
  <c r="I3900" i="1"/>
  <c r="J3892" i="1"/>
  <c r="I3892" i="1"/>
  <c r="J3884" i="1"/>
  <c r="I3884" i="1"/>
  <c r="J3876" i="1"/>
  <c r="I3876" i="1"/>
  <c r="J3868" i="1"/>
  <c r="I3868" i="1"/>
  <c r="J3860" i="1"/>
  <c r="I3860" i="1"/>
  <c r="J3852" i="1"/>
  <c r="I3852" i="1"/>
  <c r="J3844" i="1"/>
  <c r="I3844" i="1"/>
  <c r="J3836" i="1"/>
  <c r="I3836" i="1"/>
  <c r="J3828" i="1"/>
  <c r="I3828" i="1"/>
  <c r="J3820" i="1"/>
  <c r="I3820" i="1"/>
  <c r="J3812" i="1"/>
  <c r="I3812" i="1"/>
  <c r="J3804" i="1"/>
  <c r="I3804" i="1"/>
  <c r="J3796" i="1"/>
  <c r="I3796" i="1"/>
  <c r="J4315" i="1"/>
  <c r="I4315" i="1"/>
  <c r="J4307" i="1"/>
  <c r="I4307" i="1"/>
  <c r="J4299" i="1"/>
  <c r="I4299" i="1"/>
  <c r="J4291" i="1"/>
  <c r="I4291" i="1"/>
  <c r="J4283" i="1"/>
  <c r="I4283" i="1"/>
  <c r="J4275" i="1"/>
  <c r="I4275" i="1"/>
  <c r="J4267" i="1"/>
  <c r="I4267" i="1"/>
  <c r="J4259" i="1"/>
  <c r="I4259" i="1"/>
  <c r="J4251" i="1"/>
  <c r="I4251" i="1"/>
  <c r="J4243" i="1"/>
  <c r="I4243" i="1"/>
  <c r="J4235" i="1"/>
  <c r="I4235" i="1"/>
  <c r="J4227" i="1"/>
  <c r="I4227" i="1"/>
  <c r="J4219" i="1"/>
  <c r="I4219" i="1"/>
  <c r="J4211" i="1"/>
  <c r="I4211" i="1"/>
  <c r="J4203" i="1"/>
  <c r="I4203" i="1"/>
  <c r="J4195" i="1"/>
  <c r="I4195" i="1"/>
  <c r="J4187" i="1"/>
  <c r="I4187" i="1"/>
  <c r="J4179" i="1"/>
  <c r="I4179" i="1"/>
  <c r="J4171" i="1"/>
  <c r="I4171" i="1"/>
  <c r="J4163" i="1"/>
  <c r="I4163" i="1"/>
  <c r="J4155" i="1"/>
  <c r="I4155" i="1"/>
  <c r="J4147" i="1"/>
  <c r="I4147" i="1"/>
  <c r="J4139" i="1"/>
  <c r="I4139" i="1"/>
  <c r="J4131" i="1"/>
  <c r="I4131" i="1"/>
  <c r="J4123" i="1"/>
  <c r="I4123" i="1"/>
  <c r="J4115" i="1"/>
  <c r="I4115" i="1"/>
  <c r="J4107" i="1"/>
  <c r="I4107" i="1"/>
  <c r="J4099" i="1"/>
  <c r="I4099" i="1"/>
  <c r="J4091" i="1"/>
  <c r="I4091" i="1"/>
  <c r="J4083" i="1"/>
  <c r="I4083" i="1"/>
  <c r="J4075" i="1"/>
  <c r="I4075" i="1"/>
  <c r="J4067" i="1"/>
  <c r="I4067" i="1"/>
  <c r="J4059" i="1"/>
  <c r="I4059" i="1"/>
  <c r="J4051" i="1"/>
  <c r="I4051" i="1"/>
  <c r="J4043" i="1"/>
  <c r="I4043" i="1"/>
  <c r="J4035" i="1"/>
  <c r="I4035" i="1"/>
  <c r="J4027" i="1"/>
  <c r="I4027" i="1"/>
  <c r="J4019" i="1"/>
  <c r="I4019" i="1"/>
  <c r="J4011" i="1"/>
  <c r="I4011" i="1"/>
  <c r="J4003" i="1"/>
  <c r="I4003" i="1"/>
  <c r="J3995" i="1"/>
  <c r="I3995" i="1"/>
  <c r="J3987" i="1"/>
  <c r="I3987" i="1"/>
  <c r="J3979" i="1"/>
  <c r="I3979" i="1"/>
  <c r="J3971" i="1"/>
  <c r="I3971" i="1"/>
  <c r="J3963" i="1"/>
  <c r="I3963" i="1"/>
  <c r="J3955" i="1"/>
  <c r="I3955" i="1"/>
  <c r="J3947" i="1"/>
  <c r="I3947" i="1"/>
  <c r="J3939" i="1"/>
  <c r="I3939" i="1"/>
  <c r="J3931" i="1"/>
  <c r="I3931" i="1"/>
  <c r="J3923" i="1"/>
  <c r="I3923" i="1"/>
  <c r="J3915" i="1"/>
  <c r="I3915" i="1"/>
  <c r="J3907" i="1"/>
  <c r="I3907" i="1"/>
  <c r="J3899" i="1"/>
  <c r="I3899" i="1"/>
  <c r="J3891" i="1"/>
  <c r="I3891" i="1"/>
  <c r="J3883" i="1"/>
  <c r="I3883" i="1"/>
  <c r="J3875" i="1"/>
  <c r="I3875" i="1"/>
  <c r="J3867" i="1"/>
  <c r="I3867" i="1"/>
  <c r="J3859" i="1"/>
  <c r="I3859" i="1"/>
  <c r="J3851" i="1"/>
  <c r="I3851" i="1"/>
  <c r="J3843" i="1"/>
  <c r="I3843" i="1"/>
  <c r="J3835" i="1"/>
  <c r="I3835" i="1"/>
  <c r="J3827" i="1"/>
  <c r="I3827" i="1"/>
  <c r="J3819" i="1"/>
  <c r="I3819" i="1"/>
  <c r="J3811" i="1"/>
  <c r="I3811" i="1"/>
  <c r="J2062" i="1"/>
  <c r="I2062" i="1"/>
  <c r="J2054" i="1"/>
  <c r="I2054" i="1"/>
  <c r="J2046" i="1"/>
  <c r="I2046" i="1"/>
  <c r="J2038" i="1"/>
  <c r="I2038" i="1"/>
  <c r="J2030" i="1"/>
  <c r="I2030" i="1"/>
  <c r="J2022" i="1"/>
  <c r="I2022" i="1"/>
  <c r="J2014" i="1"/>
  <c r="I2014" i="1"/>
  <c r="J2006" i="1"/>
  <c r="I2006" i="1"/>
  <c r="J1998" i="1"/>
  <c r="I1998" i="1"/>
  <c r="J1990" i="1"/>
  <c r="I1990" i="1"/>
  <c r="J1982" i="1"/>
  <c r="I1982" i="1"/>
  <c r="J1974" i="1"/>
  <c r="I1974" i="1"/>
  <c r="J1966" i="1"/>
  <c r="I1966" i="1"/>
  <c r="J1958" i="1"/>
  <c r="I1958" i="1"/>
  <c r="J1950" i="1"/>
  <c r="I1950" i="1"/>
  <c r="J1942" i="1"/>
  <c r="I1942" i="1"/>
  <c r="J1934" i="1"/>
  <c r="I1934" i="1"/>
  <c r="J1926" i="1"/>
  <c r="I1926" i="1"/>
  <c r="J1918" i="1"/>
  <c r="I1918" i="1"/>
  <c r="J1910" i="1"/>
  <c r="I1910" i="1"/>
  <c r="J1902" i="1"/>
  <c r="I1902" i="1"/>
  <c r="J1894" i="1"/>
  <c r="I1894" i="1"/>
  <c r="J1886" i="1"/>
  <c r="I1886" i="1"/>
  <c r="J1878" i="1"/>
  <c r="I1878" i="1"/>
  <c r="J1870" i="1"/>
  <c r="I1870" i="1"/>
  <c r="J1862" i="1"/>
  <c r="I1862" i="1"/>
  <c r="J1854" i="1"/>
  <c r="I1854" i="1"/>
  <c r="J1846" i="1"/>
  <c r="I1846" i="1"/>
  <c r="J1838" i="1"/>
  <c r="I1838" i="1"/>
  <c r="J1830" i="1"/>
  <c r="I1830" i="1"/>
  <c r="J1822" i="1"/>
  <c r="I1822" i="1"/>
  <c r="J1814" i="1"/>
  <c r="I1814" i="1"/>
  <c r="J1806" i="1"/>
  <c r="I1806" i="1"/>
  <c r="J1798" i="1"/>
  <c r="I1798" i="1"/>
  <c r="J1790" i="1"/>
  <c r="I1790" i="1"/>
  <c r="J1782" i="1"/>
  <c r="I1782" i="1"/>
  <c r="J1774" i="1"/>
  <c r="I1774" i="1"/>
  <c r="J1766" i="1"/>
  <c r="I1766" i="1"/>
  <c r="J1758" i="1"/>
  <c r="I1758" i="1"/>
  <c r="J1750" i="1"/>
  <c r="I1750" i="1"/>
  <c r="J1742" i="1"/>
  <c r="I1742" i="1"/>
  <c r="J1734" i="1"/>
  <c r="I1734" i="1"/>
  <c r="J1726" i="1"/>
  <c r="I1726" i="1"/>
  <c r="J1718" i="1"/>
  <c r="I1718" i="1"/>
  <c r="J1710" i="1"/>
  <c r="I1710" i="1"/>
  <c r="J1702" i="1"/>
  <c r="I1702" i="1"/>
  <c r="J1694" i="1"/>
  <c r="I1694" i="1"/>
  <c r="J1686" i="1"/>
  <c r="I1686" i="1"/>
  <c r="J1678" i="1"/>
  <c r="I1678" i="1"/>
  <c r="J1670" i="1"/>
  <c r="I1670" i="1"/>
  <c r="J1662" i="1"/>
  <c r="I1662" i="1"/>
  <c r="J1654" i="1"/>
  <c r="I1654" i="1"/>
  <c r="J1646" i="1"/>
  <c r="I1646" i="1"/>
  <c r="J1638" i="1"/>
  <c r="I1638" i="1"/>
  <c r="J1630" i="1"/>
  <c r="I1630" i="1"/>
  <c r="J1622" i="1"/>
  <c r="I1622" i="1"/>
  <c r="J1614" i="1"/>
  <c r="I1614" i="1"/>
  <c r="J1606" i="1"/>
  <c r="I1606" i="1"/>
  <c r="J1598" i="1"/>
  <c r="I1598" i="1"/>
  <c r="J1590" i="1"/>
  <c r="I1590" i="1"/>
  <c r="J1582" i="1"/>
  <c r="I1582" i="1"/>
  <c r="J1574" i="1"/>
  <c r="I1574" i="1"/>
  <c r="J1566" i="1"/>
  <c r="I1566" i="1"/>
  <c r="J1558" i="1"/>
  <c r="I1558" i="1"/>
  <c r="J1550" i="1"/>
  <c r="I1550" i="1"/>
  <c r="J1542" i="1"/>
  <c r="I1542" i="1"/>
  <c r="J1534" i="1"/>
  <c r="I1534" i="1"/>
  <c r="J1526" i="1"/>
  <c r="I1526" i="1"/>
  <c r="J1518" i="1"/>
  <c r="I1518" i="1"/>
  <c r="J1510" i="1"/>
  <c r="I1510" i="1"/>
  <c r="J1502" i="1"/>
  <c r="I1502" i="1"/>
  <c r="J1494" i="1"/>
  <c r="I1494" i="1"/>
  <c r="J1486" i="1"/>
  <c r="I1486" i="1"/>
  <c r="J1478" i="1"/>
  <c r="I1478" i="1"/>
  <c r="J1470" i="1"/>
  <c r="I1470" i="1"/>
  <c r="J1462" i="1"/>
  <c r="I1462" i="1"/>
  <c r="J1454" i="1"/>
  <c r="I1454" i="1"/>
  <c r="J1446" i="1"/>
  <c r="I1446" i="1"/>
  <c r="J1438" i="1"/>
  <c r="I1438" i="1"/>
  <c r="J1430" i="1"/>
  <c r="I1430" i="1"/>
  <c r="J1422" i="1"/>
  <c r="I1422" i="1"/>
  <c r="J1414" i="1"/>
  <c r="I1414" i="1"/>
  <c r="J1406" i="1"/>
  <c r="I1406" i="1"/>
  <c r="J1398" i="1"/>
  <c r="I1398" i="1"/>
  <c r="J1390" i="1"/>
  <c r="I1390" i="1"/>
  <c r="J1382" i="1"/>
  <c r="I1382" i="1"/>
  <c r="J1374" i="1"/>
  <c r="I1374" i="1"/>
  <c r="J1366" i="1"/>
  <c r="I1366" i="1"/>
  <c r="J1358" i="1"/>
  <c r="I1358" i="1"/>
  <c r="J1350" i="1"/>
  <c r="I1350" i="1"/>
  <c r="J1342" i="1"/>
  <c r="I1342" i="1"/>
  <c r="J1334" i="1"/>
  <c r="I1334" i="1"/>
  <c r="J1326" i="1"/>
  <c r="I1326" i="1"/>
  <c r="J1318" i="1"/>
  <c r="I1318" i="1"/>
  <c r="J1310" i="1"/>
  <c r="I1310" i="1"/>
  <c r="J1302" i="1"/>
  <c r="I1302" i="1"/>
  <c r="J1294" i="1"/>
  <c r="I1294" i="1"/>
  <c r="J1286" i="1"/>
  <c r="I1286" i="1"/>
  <c r="J1278" i="1"/>
  <c r="I1278" i="1"/>
  <c r="J1270" i="1"/>
  <c r="I1270" i="1"/>
  <c r="J1262" i="1"/>
  <c r="I1262" i="1"/>
  <c r="J1254" i="1"/>
  <c r="I1254" i="1"/>
  <c r="J1246" i="1"/>
  <c r="I1246" i="1"/>
  <c r="J1238" i="1"/>
  <c r="I1238" i="1"/>
  <c r="J1230" i="1"/>
  <c r="I1230" i="1"/>
  <c r="J1222" i="1"/>
  <c r="I1222" i="1"/>
  <c r="J1214" i="1"/>
  <c r="I1214" i="1"/>
  <c r="J1206" i="1"/>
  <c r="I1206" i="1"/>
  <c r="J1198" i="1"/>
  <c r="I1198" i="1"/>
  <c r="J1190" i="1"/>
  <c r="I1190" i="1"/>
  <c r="J1182" i="1"/>
  <c r="I1182" i="1"/>
  <c r="J1174" i="1"/>
  <c r="I1174" i="1"/>
  <c r="J1166" i="1"/>
  <c r="I1166" i="1"/>
  <c r="J1158" i="1"/>
  <c r="I1158" i="1"/>
  <c r="J1150" i="1"/>
  <c r="I1150" i="1"/>
  <c r="J1142" i="1"/>
  <c r="I1142" i="1"/>
  <c r="J1134" i="1"/>
  <c r="I1134" i="1"/>
  <c r="J1126" i="1"/>
  <c r="I1126" i="1"/>
  <c r="J1118" i="1"/>
  <c r="I1118" i="1"/>
  <c r="J1110" i="1"/>
  <c r="I1110" i="1"/>
  <c r="J1102" i="1"/>
  <c r="I1102" i="1"/>
  <c r="J1094" i="1"/>
  <c r="I1094" i="1"/>
  <c r="J1086" i="1"/>
  <c r="I1086" i="1"/>
  <c r="J1078" i="1"/>
  <c r="I1078" i="1"/>
  <c r="J1070" i="1"/>
  <c r="I1070" i="1"/>
  <c r="J1062" i="1"/>
  <c r="I1062" i="1"/>
  <c r="J1054" i="1"/>
  <c r="I1054" i="1"/>
  <c r="J1046" i="1"/>
  <c r="I1046" i="1"/>
  <c r="J1038" i="1"/>
  <c r="I1038" i="1"/>
  <c r="J1030" i="1"/>
  <c r="I1030" i="1"/>
  <c r="J1022" i="1"/>
  <c r="I1022" i="1"/>
  <c r="J1014" i="1"/>
  <c r="I1014" i="1"/>
  <c r="J1006" i="1"/>
  <c r="I1006" i="1"/>
  <c r="J998" i="1"/>
  <c r="I998" i="1"/>
  <c r="J990" i="1"/>
  <c r="I990" i="1"/>
  <c r="J982" i="1"/>
  <c r="I982" i="1"/>
  <c r="J974" i="1"/>
  <c r="I974" i="1"/>
  <c r="J966" i="1"/>
  <c r="I966" i="1"/>
  <c r="J958" i="1"/>
  <c r="I958" i="1"/>
  <c r="J950" i="1"/>
  <c r="I950" i="1"/>
  <c r="J942" i="1"/>
  <c r="I942" i="1"/>
  <c r="J934" i="1"/>
  <c r="I934" i="1"/>
  <c r="J926" i="1"/>
  <c r="I926" i="1"/>
  <c r="J918" i="1"/>
  <c r="I918" i="1"/>
  <c r="J910" i="1"/>
  <c r="I910" i="1"/>
  <c r="J902" i="1"/>
  <c r="I902" i="1"/>
  <c r="J894" i="1"/>
  <c r="I894" i="1"/>
  <c r="J886" i="1"/>
  <c r="I886" i="1"/>
  <c r="J878" i="1"/>
  <c r="I878" i="1"/>
  <c r="J870" i="1"/>
  <c r="I870" i="1"/>
  <c r="J862" i="1"/>
  <c r="I862" i="1"/>
  <c r="J854" i="1"/>
  <c r="I854" i="1"/>
  <c r="J846" i="1"/>
  <c r="I846" i="1"/>
  <c r="J838" i="1"/>
  <c r="I838" i="1"/>
  <c r="J830" i="1"/>
  <c r="I830" i="1"/>
  <c r="J822" i="1"/>
  <c r="I822" i="1"/>
  <c r="J814" i="1"/>
  <c r="I814" i="1"/>
  <c r="J806" i="1"/>
  <c r="I806" i="1"/>
  <c r="J798" i="1"/>
  <c r="I798" i="1"/>
  <c r="J790" i="1"/>
  <c r="I790" i="1"/>
  <c r="J782" i="1"/>
  <c r="I782" i="1"/>
  <c r="J774" i="1"/>
  <c r="I774" i="1"/>
  <c r="J766" i="1"/>
  <c r="I766" i="1"/>
  <c r="J758" i="1"/>
  <c r="I758" i="1"/>
  <c r="J750" i="1"/>
  <c r="I750" i="1"/>
  <c r="J742" i="1"/>
  <c r="I742" i="1"/>
  <c r="J734" i="1"/>
  <c r="I734" i="1"/>
  <c r="J726" i="1"/>
  <c r="I726" i="1"/>
  <c r="J718" i="1"/>
  <c r="I718" i="1"/>
  <c r="J710" i="1"/>
  <c r="I710" i="1"/>
  <c r="J702" i="1"/>
  <c r="I702" i="1"/>
  <c r="J694" i="1"/>
  <c r="I694" i="1"/>
  <c r="J686" i="1"/>
  <c r="I686" i="1"/>
  <c r="J678" i="1"/>
  <c r="I678" i="1"/>
  <c r="J670" i="1"/>
  <c r="I670" i="1"/>
  <c r="J662" i="1"/>
  <c r="I662" i="1"/>
  <c r="J654" i="1"/>
  <c r="I654" i="1"/>
  <c r="J646" i="1"/>
  <c r="I646" i="1"/>
  <c r="J638" i="1"/>
  <c r="I638" i="1"/>
  <c r="J630" i="1"/>
  <c r="I630" i="1"/>
  <c r="J622" i="1"/>
  <c r="I622" i="1"/>
  <c r="J614" i="1"/>
  <c r="I614" i="1"/>
  <c r="J606" i="1"/>
  <c r="I606" i="1"/>
  <c r="J598" i="1"/>
  <c r="I598" i="1"/>
  <c r="J590" i="1"/>
  <c r="I590" i="1"/>
  <c r="J582" i="1"/>
  <c r="I582" i="1"/>
  <c r="J574" i="1"/>
  <c r="I574" i="1"/>
  <c r="J566" i="1"/>
  <c r="I566" i="1"/>
  <c r="J558" i="1"/>
  <c r="I558" i="1"/>
  <c r="J550" i="1"/>
  <c r="I550" i="1"/>
  <c r="J542" i="1"/>
  <c r="I542" i="1"/>
  <c r="J534" i="1"/>
  <c r="I534" i="1"/>
  <c r="J526" i="1"/>
  <c r="I526" i="1"/>
  <c r="J518" i="1"/>
  <c r="I518" i="1"/>
  <c r="J510" i="1"/>
  <c r="I510" i="1"/>
  <c r="J502" i="1"/>
  <c r="I502" i="1"/>
  <c r="J494" i="1"/>
  <c r="I494" i="1"/>
  <c r="J486" i="1"/>
  <c r="I486" i="1"/>
  <c r="J478" i="1"/>
  <c r="I478" i="1"/>
  <c r="J470" i="1"/>
  <c r="I470" i="1"/>
  <c r="J462" i="1"/>
  <c r="I462" i="1"/>
  <c r="J454" i="1"/>
  <c r="I454" i="1"/>
  <c r="J446" i="1"/>
  <c r="I446" i="1"/>
  <c r="J438" i="1"/>
  <c r="I438" i="1"/>
  <c r="J430" i="1"/>
  <c r="I430" i="1"/>
  <c r="J422" i="1"/>
  <c r="I422" i="1"/>
  <c r="J414" i="1"/>
  <c r="I414" i="1"/>
  <c r="J406" i="1"/>
  <c r="I406" i="1"/>
  <c r="J398" i="1"/>
  <c r="I398" i="1"/>
  <c r="J390" i="1"/>
  <c r="I390" i="1"/>
  <c r="J382" i="1"/>
  <c r="I382" i="1"/>
  <c r="J374" i="1"/>
  <c r="I374" i="1"/>
  <c r="J366" i="1"/>
  <c r="I366" i="1"/>
  <c r="J358" i="1"/>
  <c r="I358" i="1"/>
  <c r="J350" i="1"/>
  <c r="I350" i="1"/>
  <c r="J342" i="1"/>
  <c r="I342" i="1"/>
  <c r="J334" i="1"/>
  <c r="I334" i="1"/>
  <c r="J326" i="1"/>
  <c r="I326" i="1"/>
  <c r="J318" i="1"/>
  <c r="I318" i="1"/>
  <c r="J310" i="1"/>
  <c r="I310" i="1"/>
  <c r="J302" i="1"/>
  <c r="I302" i="1"/>
  <c r="J294" i="1"/>
  <c r="I294" i="1"/>
  <c r="J286" i="1"/>
  <c r="I286" i="1"/>
  <c r="J278" i="1"/>
  <c r="I278" i="1"/>
  <c r="J270" i="1"/>
  <c r="I270" i="1"/>
  <c r="J262" i="1"/>
  <c r="I262" i="1"/>
  <c r="J254" i="1"/>
  <c r="I254" i="1"/>
  <c r="I3681" i="1"/>
  <c r="I3425" i="1"/>
  <c r="I3169" i="1"/>
  <c r="J3773" i="1"/>
  <c r="I3773" i="1"/>
  <c r="J3765" i="1"/>
  <c r="I3765" i="1"/>
  <c r="J3757" i="1"/>
  <c r="I3757" i="1"/>
  <c r="J3749" i="1"/>
  <c r="I3749" i="1"/>
  <c r="J3741" i="1"/>
  <c r="I3741" i="1"/>
  <c r="J3733" i="1"/>
  <c r="I3733" i="1"/>
  <c r="J3725" i="1"/>
  <c r="I3725" i="1"/>
  <c r="J3717" i="1"/>
  <c r="I3717" i="1"/>
  <c r="J3709" i="1"/>
  <c r="I3709" i="1"/>
  <c r="J3701" i="1"/>
  <c r="I3701" i="1"/>
  <c r="J3693" i="1"/>
  <c r="I3693" i="1"/>
  <c r="J3685" i="1"/>
  <c r="I3685" i="1"/>
  <c r="J3677" i="1"/>
  <c r="I3677" i="1"/>
  <c r="J3669" i="1"/>
  <c r="I3669" i="1"/>
  <c r="J3661" i="1"/>
  <c r="I3661" i="1"/>
  <c r="J3653" i="1"/>
  <c r="I3653" i="1"/>
  <c r="J3645" i="1"/>
  <c r="I3645" i="1"/>
  <c r="J3637" i="1"/>
  <c r="I3637" i="1"/>
  <c r="J3629" i="1"/>
  <c r="I3629" i="1"/>
  <c r="J3621" i="1"/>
  <c r="I3621" i="1"/>
  <c r="J3613" i="1"/>
  <c r="I3613" i="1"/>
  <c r="J3605" i="1"/>
  <c r="I3605" i="1"/>
  <c r="J3597" i="1"/>
  <c r="I3597" i="1"/>
  <c r="J3589" i="1"/>
  <c r="I3589" i="1"/>
  <c r="J3581" i="1"/>
  <c r="I3581" i="1"/>
  <c r="J3573" i="1"/>
  <c r="I3573" i="1"/>
  <c r="J3565" i="1"/>
  <c r="I3565" i="1"/>
  <c r="J3557" i="1"/>
  <c r="I3557" i="1"/>
  <c r="J3549" i="1"/>
  <c r="I3549" i="1"/>
  <c r="J3541" i="1"/>
  <c r="I3541" i="1"/>
  <c r="J3533" i="1"/>
  <c r="I3533" i="1"/>
  <c r="J3525" i="1"/>
  <c r="I3525" i="1"/>
  <c r="J3517" i="1"/>
  <c r="I3517" i="1"/>
  <c r="J3509" i="1"/>
  <c r="I3509" i="1"/>
  <c r="J3501" i="1"/>
  <c r="I3501" i="1"/>
  <c r="J3493" i="1"/>
  <c r="I3493" i="1"/>
  <c r="J3485" i="1"/>
  <c r="I3485" i="1"/>
  <c r="J3477" i="1"/>
  <c r="I3477" i="1"/>
  <c r="J3469" i="1"/>
  <c r="I3469" i="1"/>
  <c r="J3461" i="1"/>
  <c r="I3461" i="1"/>
  <c r="J3453" i="1"/>
  <c r="I3453" i="1"/>
  <c r="J3445" i="1"/>
  <c r="I3445" i="1"/>
  <c r="J3437" i="1"/>
  <c r="I3437" i="1"/>
  <c r="J3429" i="1"/>
  <c r="I3429" i="1"/>
  <c r="J3421" i="1"/>
  <c r="I3421" i="1"/>
  <c r="J3413" i="1"/>
  <c r="I3413" i="1"/>
  <c r="J3405" i="1"/>
  <c r="I3405" i="1"/>
  <c r="J3397" i="1"/>
  <c r="I3397" i="1"/>
  <c r="J3389" i="1"/>
  <c r="I3389" i="1"/>
  <c r="J3381" i="1"/>
  <c r="I3381" i="1"/>
  <c r="J3373" i="1"/>
  <c r="I3373" i="1"/>
  <c r="J3365" i="1"/>
  <c r="I3365" i="1"/>
  <c r="J3357" i="1"/>
  <c r="I3357" i="1"/>
  <c r="J3349" i="1"/>
  <c r="I3349" i="1"/>
  <c r="J3341" i="1"/>
  <c r="I3341" i="1"/>
  <c r="J3333" i="1"/>
  <c r="I3333" i="1"/>
  <c r="J3325" i="1"/>
  <c r="I3325" i="1"/>
  <c r="J3317" i="1"/>
  <c r="I3317" i="1"/>
  <c r="J3309" i="1"/>
  <c r="I3309" i="1"/>
  <c r="J3301" i="1"/>
  <c r="I3301" i="1"/>
  <c r="J3293" i="1"/>
  <c r="I3293" i="1"/>
  <c r="J3285" i="1"/>
  <c r="I3285" i="1"/>
  <c r="J3277" i="1"/>
  <c r="I3277" i="1"/>
  <c r="J3269" i="1"/>
  <c r="I3269" i="1"/>
  <c r="J3261" i="1"/>
  <c r="I3261" i="1"/>
  <c r="J3253" i="1"/>
  <c r="I3253" i="1"/>
  <c r="J3245" i="1"/>
  <c r="I3245" i="1"/>
  <c r="J3237" i="1"/>
  <c r="I3237" i="1"/>
  <c r="J3229" i="1"/>
  <c r="I3229" i="1"/>
  <c r="J3221" i="1"/>
  <c r="I3221" i="1"/>
  <c r="J3213" i="1"/>
  <c r="I3213" i="1"/>
  <c r="J3205" i="1"/>
  <c r="I3205" i="1"/>
  <c r="J3197" i="1"/>
  <c r="I3197" i="1"/>
  <c r="J3189" i="1"/>
  <c r="I3189" i="1"/>
  <c r="J3181" i="1"/>
  <c r="I3181" i="1"/>
  <c r="J3173" i="1"/>
  <c r="I3173" i="1"/>
  <c r="J3165" i="1"/>
  <c r="I3165" i="1"/>
  <c r="J3157" i="1"/>
  <c r="I3157" i="1"/>
  <c r="J3149" i="1"/>
  <c r="I3149" i="1"/>
  <c r="J3141" i="1"/>
  <c r="I3141" i="1"/>
  <c r="J3133" i="1"/>
  <c r="I3133" i="1"/>
  <c r="J3125" i="1"/>
  <c r="I3125" i="1"/>
  <c r="J3117" i="1"/>
  <c r="I3117" i="1"/>
  <c r="J3109" i="1"/>
  <c r="I3109" i="1"/>
  <c r="J3101" i="1"/>
  <c r="I3101" i="1"/>
  <c r="J3093" i="1"/>
  <c r="I3093" i="1"/>
  <c r="J3085" i="1"/>
  <c r="I3085" i="1"/>
  <c r="J3077" i="1"/>
  <c r="I3077" i="1"/>
  <c r="J3069" i="1"/>
  <c r="I3069" i="1"/>
  <c r="J3061" i="1"/>
  <c r="I3061" i="1"/>
  <c r="J3053" i="1"/>
  <c r="I3053" i="1"/>
  <c r="J3045" i="1"/>
  <c r="I3045" i="1"/>
  <c r="J3037" i="1"/>
  <c r="I3037" i="1"/>
  <c r="J3029" i="1"/>
  <c r="I3029" i="1"/>
  <c r="J3021" i="1"/>
  <c r="I3021" i="1"/>
  <c r="J3013" i="1"/>
  <c r="I3013" i="1"/>
  <c r="J3005" i="1"/>
  <c r="I3005" i="1"/>
  <c r="J2997" i="1"/>
  <c r="I2997" i="1"/>
  <c r="J2989" i="1"/>
  <c r="I2989" i="1"/>
  <c r="J2981" i="1"/>
  <c r="I2981" i="1"/>
  <c r="J2973" i="1"/>
  <c r="I2973" i="1"/>
  <c r="J2965" i="1"/>
  <c r="I2965" i="1"/>
  <c r="J2957" i="1"/>
  <c r="I2957" i="1"/>
  <c r="J2949" i="1"/>
  <c r="I2949" i="1"/>
  <c r="J2941" i="1"/>
  <c r="I2941" i="1"/>
  <c r="J2933" i="1"/>
  <c r="I2933" i="1"/>
  <c r="J2925" i="1"/>
  <c r="I2925" i="1"/>
  <c r="J2917" i="1"/>
  <c r="I2917" i="1"/>
  <c r="J2909" i="1"/>
  <c r="I2909" i="1"/>
  <c r="J2901" i="1"/>
  <c r="I2901" i="1"/>
  <c r="J2893" i="1"/>
  <c r="I2893" i="1"/>
  <c r="J2885" i="1"/>
  <c r="I2885" i="1"/>
  <c r="J2877" i="1"/>
  <c r="I2877" i="1"/>
  <c r="J2869" i="1"/>
  <c r="I2869" i="1"/>
  <c r="J2861" i="1"/>
  <c r="I2861" i="1"/>
  <c r="J2853" i="1"/>
  <c r="I2853" i="1"/>
  <c r="J2845" i="1"/>
  <c r="I2845" i="1"/>
  <c r="J2837" i="1"/>
  <c r="I2837" i="1"/>
  <c r="J2829" i="1"/>
  <c r="I2829" i="1"/>
  <c r="J2821" i="1"/>
  <c r="I2821" i="1"/>
  <c r="J2813" i="1"/>
  <c r="I2813" i="1"/>
  <c r="J2797" i="1"/>
  <c r="I2797" i="1"/>
  <c r="J2789" i="1"/>
  <c r="I2789" i="1"/>
  <c r="J2781" i="1"/>
  <c r="I2781" i="1"/>
  <c r="J2773" i="1"/>
  <c r="I2773" i="1"/>
  <c r="J2765" i="1"/>
  <c r="I2765" i="1"/>
  <c r="J2757" i="1"/>
  <c r="I2757" i="1"/>
  <c r="J2749" i="1"/>
  <c r="I2749" i="1"/>
  <c r="J2741" i="1"/>
  <c r="I2741" i="1"/>
  <c r="J2733" i="1"/>
  <c r="I2733" i="1"/>
  <c r="J2725" i="1"/>
  <c r="I2725" i="1"/>
  <c r="J2717" i="1"/>
  <c r="I2717" i="1"/>
  <c r="J2709" i="1"/>
  <c r="I2709" i="1"/>
  <c r="J2701" i="1"/>
  <c r="I2701" i="1"/>
  <c r="J2693" i="1"/>
  <c r="I2693" i="1"/>
  <c r="J2685" i="1"/>
  <c r="I2685" i="1"/>
  <c r="J2677" i="1"/>
  <c r="I2677" i="1"/>
  <c r="J2669" i="1"/>
  <c r="I2669" i="1"/>
  <c r="J2661" i="1"/>
  <c r="I2661" i="1"/>
  <c r="J2653" i="1"/>
  <c r="I2653" i="1"/>
  <c r="J2645" i="1"/>
  <c r="I2645" i="1"/>
  <c r="J2637" i="1"/>
  <c r="I2637" i="1"/>
  <c r="J2629" i="1"/>
  <c r="I2629" i="1"/>
  <c r="J2621" i="1"/>
  <c r="I2621" i="1"/>
  <c r="J2613" i="1"/>
  <c r="I2613" i="1"/>
  <c r="J2605" i="1"/>
  <c r="I2605" i="1"/>
  <c r="J2597" i="1"/>
  <c r="I2597" i="1"/>
  <c r="J2589" i="1"/>
  <c r="I2589" i="1"/>
  <c r="J2581" i="1"/>
  <c r="I2581" i="1"/>
  <c r="J2573" i="1"/>
  <c r="I2573" i="1"/>
  <c r="J2565" i="1"/>
  <c r="I2565" i="1"/>
  <c r="J2557" i="1"/>
  <c r="I2557" i="1"/>
  <c r="J2549" i="1"/>
  <c r="I2549" i="1"/>
  <c r="J2541" i="1"/>
  <c r="I2541" i="1"/>
  <c r="J2533" i="1"/>
  <c r="I2533" i="1"/>
  <c r="J2525" i="1"/>
  <c r="I2525" i="1"/>
  <c r="J2517" i="1"/>
  <c r="I2517" i="1"/>
  <c r="J2509" i="1"/>
  <c r="I2509" i="1"/>
  <c r="J2501" i="1"/>
  <c r="I2501" i="1"/>
  <c r="J2493" i="1"/>
  <c r="I2493" i="1"/>
  <c r="J2485" i="1"/>
  <c r="I2485" i="1"/>
  <c r="J2477" i="1"/>
  <c r="I2477" i="1"/>
  <c r="J2469" i="1"/>
  <c r="I2469" i="1"/>
  <c r="J2461" i="1"/>
  <c r="I2461" i="1"/>
  <c r="J2453" i="1"/>
  <c r="I2453" i="1"/>
  <c r="J2445" i="1"/>
  <c r="I2445" i="1"/>
  <c r="J2437" i="1"/>
  <c r="I2437" i="1"/>
  <c r="J2429" i="1"/>
  <c r="I2429" i="1"/>
  <c r="J2421" i="1"/>
  <c r="I2421" i="1"/>
  <c r="J2413" i="1"/>
  <c r="I2413" i="1"/>
  <c r="J2405" i="1"/>
  <c r="I2405" i="1"/>
  <c r="J2397" i="1"/>
  <c r="I2397" i="1"/>
  <c r="J2389" i="1"/>
  <c r="I2389" i="1"/>
  <c r="J2381" i="1"/>
  <c r="I2381" i="1"/>
  <c r="J2373" i="1"/>
  <c r="I2373" i="1"/>
  <c r="J2365" i="1"/>
  <c r="I2365" i="1"/>
  <c r="J2357" i="1"/>
  <c r="I2357" i="1"/>
  <c r="J2349" i="1"/>
  <c r="I2349" i="1"/>
  <c r="J2341" i="1"/>
  <c r="I2341" i="1"/>
  <c r="J2333" i="1"/>
  <c r="I2333" i="1"/>
  <c r="J2325" i="1"/>
  <c r="I2325" i="1"/>
  <c r="J2317" i="1"/>
  <c r="I2317" i="1"/>
  <c r="J2309" i="1"/>
  <c r="I2309" i="1"/>
  <c r="J2301" i="1"/>
  <c r="I2301" i="1"/>
  <c r="J2293" i="1"/>
  <c r="I2293" i="1"/>
  <c r="J2285" i="1"/>
  <c r="I2285" i="1"/>
  <c r="J2277" i="1"/>
  <c r="I2277" i="1"/>
  <c r="J2269" i="1"/>
  <c r="I2269" i="1"/>
  <c r="J2261" i="1"/>
  <c r="I2261" i="1"/>
  <c r="J2253" i="1"/>
  <c r="I2253" i="1"/>
  <c r="J2245" i="1"/>
  <c r="I2245" i="1"/>
  <c r="J2237" i="1"/>
  <c r="I2237" i="1"/>
  <c r="J2229" i="1"/>
  <c r="I2229" i="1"/>
  <c r="J2221" i="1"/>
  <c r="I2221" i="1"/>
  <c r="J2213" i="1"/>
  <c r="I2213" i="1"/>
  <c r="J2205" i="1"/>
  <c r="I2205" i="1"/>
  <c r="J2197" i="1"/>
  <c r="I2197" i="1"/>
  <c r="J2189" i="1"/>
  <c r="I2189" i="1"/>
  <c r="J2181" i="1"/>
  <c r="I2181" i="1"/>
  <c r="J2173" i="1"/>
  <c r="I2173" i="1"/>
  <c r="J2165" i="1"/>
  <c r="I2165" i="1"/>
  <c r="J2157" i="1"/>
  <c r="I2157" i="1"/>
  <c r="J2149" i="1"/>
  <c r="I2149" i="1"/>
  <c r="J2141" i="1"/>
  <c r="I2141" i="1"/>
  <c r="J2133" i="1"/>
  <c r="I2133" i="1"/>
  <c r="J2125" i="1"/>
  <c r="I2125" i="1"/>
  <c r="J2117" i="1"/>
  <c r="I2117" i="1"/>
  <c r="J2109" i="1"/>
  <c r="I2109" i="1"/>
  <c r="J2101" i="1"/>
  <c r="I2101" i="1"/>
  <c r="J2093" i="1"/>
  <c r="I2093" i="1"/>
  <c r="J2085" i="1"/>
  <c r="I2085" i="1"/>
  <c r="J2077" i="1"/>
  <c r="I2077" i="1"/>
  <c r="J2069" i="1"/>
  <c r="I2069" i="1"/>
  <c r="J2061" i="1"/>
  <c r="I2061" i="1"/>
  <c r="J2053" i="1"/>
  <c r="I2053" i="1"/>
  <c r="J2045" i="1"/>
  <c r="I2045" i="1"/>
  <c r="J2037" i="1"/>
  <c r="I2037" i="1"/>
  <c r="J2029" i="1"/>
  <c r="I2029" i="1"/>
  <c r="J2021" i="1"/>
  <c r="I2021" i="1"/>
  <c r="J2013" i="1"/>
  <c r="I2013" i="1"/>
  <c r="J2005" i="1"/>
  <c r="I2005" i="1"/>
  <c r="J1997" i="1"/>
  <c r="I1997" i="1"/>
  <c r="J1989" i="1"/>
  <c r="I1989" i="1"/>
  <c r="J1981" i="1"/>
  <c r="I1981" i="1"/>
  <c r="J1973" i="1"/>
  <c r="I1973" i="1"/>
  <c r="J1965" i="1"/>
  <c r="I1965" i="1"/>
  <c r="J1957" i="1"/>
  <c r="I1957" i="1"/>
  <c r="J1949" i="1"/>
  <c r="I1949" i="1"/>
  <c r="J1941" i="1"/>
  <c r="I1941" i="1"/>
  <c r="J1933" i="1"/>
  <c r="I1933" i="1"/>
  <c r="J1925" i="1"/>
  <c r="I1925" i="1"/>
  <c r="J1917" i="1"/>
  <c r="I1917" i="1"/>
  <c r="J1909" i="1"/>
  <c r="I1909" i="1"/>
  <c r="J1901" i="1"/>
  <c r="I1901" i="1"/>
  <c r="J1893" i="1"/>
  <c r="I1893" i="1"/>
  <c r="J1885" i="1"/>
  <c r="I1885" i="1"/>
  <c r="J1877" i="1"/>
  <c r="I1877" i="1"/>
  <c r="J1869" i="1"/>
  <c r="I1869" i="1"/>
  <c r="J1861" i="1"/>
  <c r="I1861" i="1"/>
  <c r="J1853" i="1"/>
  <c r="I1853" i="1"/>
  <c r="J1845" i="1"/>
  <c r="I1845" i="1"/>
  <c r="J1837" i="1"/>
  <c r="I1837" i="1"/>
  <c r="J1829" i="1"/>
  <c r="I1829" i="1"/>
  <c r="J1821" i="1"/>
  <c r="I1821" i="1"/>
  <c r="J1813" i="1"/>
  <c r="I1813" i="1"/>
  <c r="J1805" i="1"/>
  <c r="I1805" i="1"/>
  <c r="J1797" i="1"/>
  <c r="I1797" i="1"/>
  <c r="J1789" i="1"/>
  <c r="I1789" i="1"/>
  <c r="J1781" i="1"/>
  <c r="I1781" i="1"/>
  <c r="J1773" i="1"/>
  <c r="I1773" i="1"/>
  <c r="J1765" i="1"/>
  <c r="I1765" i="1"/>
  <c r="J1757" i="1"/>
  <c r="I1757" i="1"/>
  <c r="J1749" i="1"/>
  <c r="I1749" i="1"/>
  <c r="J1741" i="1"/>
  <c r="I1741" i="1"/>
  <c r="J1733" i="1"/>
  <c r="I1733" i="1"/>
  <c r="J1725" i="1"/>
  <c r="I1725" i="1"/>
  <c r="J1717" i="1"/>
  <c r="I1717" i="1"/>
  <c r="J1709" i="1"/>
  <c r="I1709" i="1"/>
  <c r="J1701" i="1"/>
  <c r="I1701" i="1"/>
  <c r="J1693" i="1"/>
  <c r="I1693" i="1"/>
  <c r="J1685" i="1"/>
  <c r="I1685" i="1"/>
  <c r="J1677" i="1"/>
  <c r="I1677" i="1"/>
  <c r="J1669" i="1"/>
  <c r="I1669" i="1"/>
  <c r="J1661" i="1"/>
  <c r="I1661" i="1"/>
  <c r="J1653" i="1"/>
  <c r="I1653" i="1"/>
  <c r="J1645" i="1"/>
  <c r="I1645" i="1"/>
  <c r="J1637" i="1"/>
  <c r="I1637" i="1"/>
  <c r="J1629" i="1"/>
  <c r="I1629" i="1"/>
  <c r="J1621" i="1"/>
  <c r="I1621" i="1"/>
  <c r="J1613" i="1"/>
  <c r="I1613" i="1"/>
  <c r="J1605" i="1"/>
  <c r="I1605" i="1"/>
  <c r="J1597" i="1"/>
  <c r="I1597" i="1"/>
  <c r="J1589" i="1"/>
  <c r="I1589" i="1"/>
  <c r="J1581" i="1"/>
  <c r="I1581" i="1"/>
  <c r="J1573" i="1"/>
  <c r="I1573" i="1"/>
  <c r="J1565" i="1"/>
  <c r="I1565" i="1"/>
  <c r="J1557" i="1"/>
  <c r="I1557" i="1"/>
  <c r="J1549" i="1"/>
  <c r="I1549" i="1"/>
  <c r="J1541" i="1"/>
  <c r="I1541" i="1"/>
  <c r="J1533" i="1"/>
  <c r="I1533" i="1"/>
  <c r="J1525" i="1"/>
  <c r="I1525" i="1"/>
  <c r="J1517" i="1"/>
  <c r="I1517" i="1"/>
  <c r="J1509" i="1"/>
  <c r="I1509" i="1"/>
  <c r="J1501" i="1"/>
  <c r="I1501" i="1"/>
  <c r="J1493" i="1"/>
  <c r="I1493" i="1"/>
  <c r="J1485" i="1"/>
  <c r="I1485" i="1"/>
  <c r="J1477" i="1"/>
  <c r="I1477" i="1"/>
  <c r="J1469" i="1"/>
  <c r="I1469" i="1"/>
  <c r="J1461" i="1"/>
  <c r="I1461" i="1"/>
  <c r="J1453" i="1"/>
  <c r="I1453" i="1"/>
  <c r="J1445" i="1"/>
  <c r="I1445" i="1"/>
  <c r="J1437" i="1"/>
  <c r="I1437" i="1"/>
  <c r="J1429" i="1"/>
  <c r="I1429" i="1"/>
  <c r="J1421" i="1"/>
  <c r="I1421" i="1"/>
  <c r="J1413" i="1"/>
  <c r="I1413" i="1"/>
  <c r="J1405" i="1"/>
  <c r="I1405" i="1"/>
  <c r="J1397" i="1"/>
  <c r="I1397" i="1"/>
  <c r="J1389" i="1"/>
  <c r="I1389" i="1"/>
  <c r="J1381" i="1"/>
  <c r="I1381" i="1"/>
  <c r="J1373" i="1"/>
  <c r="I1373" i="1"/>
  <c r="J1365" i="1"/>
  <c r="I1365" i="1"/>
  <c r="J1357" i="1"/>
  <c r="I1357" i="1"/>
  <c r="J1349" i="1"/>
  <c r="I1349" i="1"/>
  <c r="J1341" i="1"/>
  <c r="I1341" i="1"/>
  <c r="J1333" i="1"/>
  <c r="I1333" i="1"/>
  <c r="J1325" i="1"/>
  <c r="I1325" i="1"/>
  <c r="J1317" i="1"/>
  <c r="I1317" i="1"/>
  <c r="J1309" i="1"/>
  <c r="I1309" i="1"/>
  <c r="J1301" i="1"/>
  <c r="I1301" i="1"/>
  <c r="J1293" i="1"/>
  <c r="I1293" i="1"/>
  <c r="J1285" i="1"/>
  <c r="I1285" i="1"/>
  <c r="J1277" i="1"/>
  <c r="I1277" i="1"/>
  <c r="J1269" i="1"/>
  <c r="I1269" i="1"/>
  <c r="J1261" i="1"/>
  <c r="I1261" i="1"/>
  <c r="J1253" i="1"/>
  <c r="I1253" i="1"/>
  <c r="J1245" i="1"/>
  <c r="I1245" i="1"/>
  <c r="J1237" i="1"/>
  <c r="I1237" i="1"/>
  <c r="J1229" i="1"/>
  <c r="I1229" i="1"/>
  <c r="J1221" i="1"/>
  <c r="I1221" i="1"/>
  <c r="J1213" i="1"/>
  <c r="I1213" i="1"/>
  <c r="J1205" i="1"/>
  <c r="I1205" i="1"/>
  <c r="J1197" i="1"/>
  <c r="I1197" i="1"/>
  <c r="J1189" i="1"/>
  <c r="I1189" i="1"/>
  <c r="J1181" i="1"/>
  <c r="I1181" i="1"/>
  <c r="J1173" i="1"/>
  <c r="I1173" i="1"/>
  <c r="J1165" i="1"/>
  <c r="I1165" i="1"/>
  <c r="J1157" i="1"/>
  <c r="I1157" i="1"/>
  <c r="J1149" i="1"/>
  <c r="I1149" i="1"/>
  <c r="J1141" i="1"/>
  <c r="I1141" i="1"/>
  <c r="J1133" i="1"/>
  <c r="I1133" i="1"/>
  <c r="J1125" i="1"/>
  <c r="I1125" i="1"/>
  <c r="J1117" i="1"/>
  <c r="I1117" i="1"/>
  <c r="J1109" i="1"/>
  <c r="I1109" i="1"/>
  <c r="J1101" i="1"/>
  <c r="I1101" i="1"/>
  <c r="J1093" i="1"/>
  <c r="I1093" i="1"/>
  <c r="J1085" i="1"/>
  <c r="I1085" i="1"/>
  <c r="J1077" i="1"/>
  <c r="I1077" i="1"/>
  <c r="J1069" i="1"/>
  <c r="I1069" i="1"/>
  <c r="J1061" i="1"/>
  <c r="I1061" i="1"/>
  <c r="J1053" i="1"/>
  <c r="I1053" i="1"/>
  <c r="J1045" i="1"/>
  <c r="I1045" i="1"/>
  <c r="J1037" i="1"/>
  <c r="I1037" i="1"/>
  <c r="J1029" i="1"/>
  <c r="I1029" i="1"/>
  <c r="J1021" i="1"/>
  <c r="I1021" i="1"/>
  <c r="J1013" i="1"/>
  <c r="I1013" i="1"/>
  <c r="J1005" i="1"/>
  <c r="I1005" i="1"/>
  <c r="J997" i="1"/>
  <c r="I997" i="1"/>
  <c r="J989" i="1"/>
  <c r="I989" i="1"/>
  <c r="J981" i="1"/>
  <c r="I981" i="1"/>
  <c r="J973" i="1"/>
  <c r="I973" i="1"/>
  <c r="J965" i="1"/>
  <c r="I965" i="1"/>
  <c r="J957" i="1"/>
  <c r="I957" i="1"/>
  <c r="J949" i="1"/>
  <c r="I949" i="1"/>
  <c r="J941" i="1"/>
  <c r="I941" i="1"/>
  <c r="J933" i="1"/>
  <c r="I933" i="1"/>
  <c r="J925" i="1"/>
  <c r="I925" i="1"/>
  <c r="J917" i="1"/>
  <c r="I917" i="1"/>
  <c r="J909" i="1"/>
  <c r="I909" i="1"/>
  <c r="J901" i="1"/>
  <c r="I901" i="1"/>
  <c r="J893" i="1"/>
  <c r="I893" i="1"/>
  <c r="J885" i="1"/>
  <c r="I885" i="1"/>
  <c r="J877" i="1"/>
  <c r="I877" i="1"/>
  <c r="J869" i="1"/>
  <c r="I869" i="1"/>
  <c r="J861" i="1"/>
  <c r="I861" i="1"/>
  <c r="J853" i="1"/>
  <c r="I853" i="1"/>
  <c r="J845" i="1"/>
  <c r="I845" i="1"/>
  <c r="J837" i="1"/>
  <c r="I837" i="1"/>
  <c r="J829" i="1"/>
  <c r="I829" i="1"/>
  <c r="J821" i="1"/>
  <c r="I821" i="1"/>
  <c r="J813" i="1"/>
  <c r="I813" i="1"/>
  <c r="J805" i="1"/>
  <c r="I805" i="1"/>
  <c r="J797" i="1"/>
  <c r="I797" i="1"/>
  <c r="J789" i="1"/>
  <c r="I789" i="1"/>
  <c r="J781" i="1"/>
  <c r="I781" i="1"/>
  <c r="J773" i="1"/>
  <c r="I773" i="1"/>
  <c r="J765" i="1"/>
  <c r="I765" i="1"/>
  <c r="J757" i="1"/>
  <c r="I757" i="1"/>
  <c r="J749" i="1"/>
  <c r="I749" i="1"/>
  <c r="J741" i="1"/>
  <c r="I741" i="1"/>
  <c r="J733" i="1"/>
  <c r="I733" i="1"/>
  <c r="J725" i="1"/>
  <c r="I725" i="1"/>
  <c r="J717" i="1"/>
  <c r="I717" i="1"/>
  <c r="J709" i="1"/>
  <c r="I709" i="1"/>
  <c r="J701" i="1"/>
  <c r="I701" i="1"/>
  <c r="J693" i="1"/>
  <c r="I693" i="1"/>
  <c r="J685" i="1"/>
  <c r="I685" i="1"/>
  <c r="J677" i="1"/>
  <c r="I677" i="1"/>
  <c r="J669" i="1"/>
  <c r="I669" i="1"/>
  <c r="J661" i="1"/>
  <c r="I661" i="1"/>
  <c r="J653" i="1"/>
  <c r="I653" i="1"/>
  <c r="J645" i="1"/>
  <c r="I645" i="1"/>
  <c r="J637" i="1"/>
  <c r="I637" i="1"/>
  <c r="J629" i="1"/>
  <c r="I629" i="1"/>
  <c r="J621" i="1"/>
  <c r="I621" i="1"/>
  <c r="J613" i="1"/>
  <c r="I613" i="1"/>
  <c r="J605" i="1"/>
  <c r="I605" i="1"/>
  <c r="J597" i="1"/>
  <c r="I597" i="1"/>
  <c r="J589" i="1"/>
  <c r="I589" i="1"/>
  <c r="J581" i="1"/>
  <c r="I581" i="1"/>
  <c r="J573" i="1"/>
  <c r="I573" i="1"/>
  <c r="J565" i="1"/>
  <c r="I565" i="1"/>
  <c r="J557" i="1"/>
  <c r="I557" i="1"/>
  <c r="J549" i="1"/>
  <c r="I549" i="1"/>
  <c r="J541" i="1"/>
  <c r="I541" i="1"/>
  <c r="J533" i="1"/>
  <c r="I533" i="1"/>
  <c r="J525" i="1"/>
  <c r="I525" i="1"/>
  <c r="J517" i="1"/>
  <c r="I517" i="1"/>
  <c r="J509" i="1"/>
  <c r="I509" i="1"/>
  <c r="J501" i="1"/>
  <c r="I501" i="1"/>
  <c r="J493" i="1"/>
  <c r="I493" i="1"/>
  <c r="J485" i="1"/>
  <c r="I485" i="1"/>
  <c r="J477" i="1"/>
  <c r="I477" i="1"/>
  <c r="J469" i="1"/>
  <c r="I469" i="1"/>
  <c r="J461" i="1"/>
  <c r="I461" i="1"/>
  <c r="J453" i="1"/>
  <c r="I453" i="1"/>
  <c r="J445" i="1"/>
  <c r="I445" i="1"/>
  <c r="J437" i="1"/>
  <c r="I437" i="1"/>
  <c r="J429" i="1"/>
  <c r="I429" i="1"/>
  <c r="J421" i="1"/>
  <c r="I421" i="1"/>
  <c r="J413" i="1"/>
  <c r="I413" i="1"/>
  <c r="J405" i="1"/>
  <c r="I405" i="1"/>
  <c r="J397" i="1"/>
  <c r="I397" i="1"/>
  <c r="J389" i="1"/>
  <c r="I389" i="1"/>
  <c r="J381" i="1"/>
  <c r="I381" i="1"/>
  <c r="J373" i="1"/>
  <c r="I373" i="1"/>
  <c r="J365" i="1"/>
  <c r="I365" i="1"/>
  <c r="J357" i="1"/>
  <c r="I357" i="1"/>
  <c r="J349" i="1"/>
  <c r="I349" i="1"/>
  <c r="J341" i="1"/>
  <c r="I341" i="1"/>
  <c r="J333" i="1"/>
  <c r="I333" i="1"/>
  <c r="J325" i="1"/>
  <c r="I325" i="1"/>
  <c r="J317" i="1"/>
  <c r="I317" i="1"/>
  <c r="J309" i="1"/>
  <c r="I309" i="1"/>
  <c r="J301" i="1"/>
  <c r="I301" i="1"/>
  <c r="J293" i="1"/>
  <c r="I293" i="1"/>
  <c r="J285" i="1"/>
  <c r="I285" i="1"/>
  <c r="J277" i="1"/>
  <c r="I277" i="1"/>
  <c r="J269" i="1"/>
  <c r="I269" i="1"/>
  <c r="J261" i="1"/>
  <c r="I261" i="1"/>
  <c r="J253" i="1"/>
  <c r="I253" i="1"/>
  <c r="J245" i="1"/>
  <c r="I245" i="1"/>
  <c r="J237" i="1"/>
  <c r="I237" i="1"/>
  <c r="J229" i="1"/>
  <c r="I229" i="1"/>
  <c r="J221" i="1"/>
  <c r="I221" i="1"/>
  <c r="J213" i="1"/>
  <c r="I213" i="1"/>
  <c r="I3649" i="1"/>
  <c r="I3393" i="1"/>
  <c r="J3788" i="1"/>
  <c r="I3788" i="1"/>
  <c r="J3780" i="1"/>
  <c r="I3780" i="1"/>
  <c r="J3772" i="1"/>
  <c r="I3772" i="1"/>
  <c r="J3764" i="1"/>
  <c r="I3764" i="1"/>
  <c r="J3756" i="1"/>
  <c r="I3756" i="1"/>
  <c r="J3748" i="1"/>
  <c r="I3748" i="1"/>
  <c r="J3740" i="1"/>
  <c r="I3740" i="1"/>
  <c r="J3732" i="1"/>
  <c r="I3732" i="1"/>
  <c r="J3724" i="1"/>
  <c r="I3724" i="1"/>
  <c r="J3716" i="1"/>
  <c r="I3716" i="1"/>
  <c r="J3708" i="1"/>
  <c r="I3708" i="1"/>
  <c r="J3700" i="1"/>
  <c r="I3700" i="1"/>
  <c r="J3692" i="1"/>
  <c r="I3692" i="1"/>
  <c r="J3684" i="1"/>
  <c r="I3684" i="1"/>
  <c r="J3676" i="1"/>
  <c r="I3676" i="1"/>
  <c r="J3668" i="1"/>
  <c r="I3668" i="1"/>
  <c r="J3660" i="1"/>
  <c r="I3660" i="1"/>
  <c r="J3652" i="1"/>
  <c r="I3652" i="1"/>
  <c r="J3644" i="1"/>
  <c r="I3644" i="1"/>
  <c r="J3636" i="1"/>
  <c r="I3636" i="1"/>
  <c r="J3628" i="1"/>
  <c r="I3628" i="1"/>
  <c r="J3620" i="1"/>
  <c r="I3620" i="1"/>
  <c r="J3612" i="1"/>
  <c r="I3612" i="1"/>
  <c r="J3604" i="1"/>
  <c r="I3604" i="1"/>
  <c r="J3596" i="1"/>
  <c r="I3596" i="1"/>
  <c r="J3588" i="1"/>
  <c r="I3588" i="1"/>
  <c r="J3580" i="1"/>
  <c r="I3580" i="1"/>
  <c r="J3572" i="1"/>
  <c r="I3572" i="1"/>
  <c r="J3564" i="1"/>
  <c r="I3564" i="1"/>
  <c r="J3556" i="1"/>
  <c r="I3556" i="1"/>
  <c r="J3548" i="1"/>
  <c r="I3548" i="1"/>
  <c r="J3540" i="1"/>
  <c r="I3540" i="1"/>
  <c r="J3532" i="1"/>
  <c r="I3532" i="1"/>
  <c r="J3524" i="1"/>
  <c r="I3524" i="1"/>
  <c r="J3516" i="1"/>
  <c r="I3516" i="1"/>
  <c r="J3508" i="1"/>
  <c r="I3508" i="1"/>
  <c r="J3500" i="1"/>
  <c r="I3500" i="1"/>
  <c r="J3492" i="1"/>
  <c r="I3492" i="1"/>
  <c r="J3484" i="1"/>
  <c r="I3484" i="1"/>
  <c r="J3476" i="1"/>
  <c r="I3476" i="1"/>
  <c r="J3468" i="1"/>
  <c r="I3468" i="1"/>
  <c r="J3460" i="1"/>
  <c r="I3460" i="1"/>
  <c r="J3452" i="1"/>
  <c r="I3452" i="1"/>
  <c r="J3444" i="1"/>
  <c r="I3444" i="1"/>
  <c r="J3436" i="1"/>
  <c r="I3436" i="1"/>
  <c r="J3428" i="1"/>
  <c r="I3428" i="1"/>
  <c r="J3420" i="1"/>
  <c r="I3420" i="1"/>
  <c r="J3412" i="1"/>
  <c r="I3412" i="1"/>
  <c r="J3404" i="1"/>
  <c r="I3404" i="1"/>
  <c r="J3396" i="1"/>
  <c r="I3396" i="1"/>
  <c r="J3388" i="1"/>
  <c r="I3388" i="1"/>
  <c r="J3380" i="1"/>
  <c r="I3380" i="1"/>
  <c r="J3372" i="1"/>
  <c r="I3372" i="1"/>
  <c r="J3364" i="1"/>
  <c r="I3364" i="1"/>
  <c r="J3356" i="1"/>
  <c r="I3356" i="1"/>
  <c r="J3348" i="1"/>
  <c r="I3348" i="1"/>
  <c r="J3340" i="1"/>
  <c r="I3340" i="1"/>
  <c r="J3332" i="1"/>
  <c r="I3332" i="1"/>
  <c r="J3324" i="1"/>
  <c r="I3324" i="1"/>
  <c r="J3316" i="1"/>
  <c r="I3316" i="1"/>
  <c r="J3308" i="1"/>
  <c r="I3308" i="1"/>
  <c r="J3300" i="1"/>
  <c r="I3300" i="1"/>
  <c r="J3292" i="1"/>
  <c r="I3292" i="1"/>
  <c r="J3284" i="1"/>
  <c r="I3284" i="1"/>
  <c r="J3276" i="1"/>
  <c r="I3276" i="1"/>
  <c r="J3268" i="1"/>
  <c r="I3268" i="1"/>
  <c r="J3260" i="1"/>
  <c r="I3260" i="1"/>
  <c r="J3252" i="1"/>
  <c r="I3252" i="1"/>
  <c r="J3244" i="1"/>
  <c r="I3244" i="1"/>
  <c r="J3236" i="1"/>
  <c r="I3236" i="1"/>
  <c r="J3228" i="1"/>
  <c r="I3228" i="1"/>
  <c r="J3220" i="1"/>
  <c r="I3220" i="1"/>
  <c r="J3212" i="1"/>
  <c r="I3212" i="1"/>
  <c r="J3204" i="1"/>
  <c r="I3204" i="1"/>
  <c r="J3196" i="1"/>
  <c r="I3196" i="1"/>
  <c r="J3188" i="1"/>
  <c r="I3188" i="1"/>
  <c r="J3180" i="1"/>
  <c r="I3180" i="1"/>
  <c r="J3172" i="1"/>
  <c r="I3172" i="1"/>
  <c r="J3164" i="1"/>
  <c r="I3164" i="1"/>
  <c r="J3156" i="1"/>
  <c r="I3156" i="1"/>
  <c r="J3148" i="1"/>
  <c r="I3148" i="1"/>
  <c r="J3140" i="1"/>
  <c r="I3140" i="1"/>
  <c r="J3132" i="1"/>
  <c r="I3132" i="1"/>
  <c r="J3124" i="1"/>
  <c r="I3124" i="1"/>
  <c r="J3116" i="1"/>
  <c r="I3116" i="1"/>
  <c r="J3108" i="1"/>
  <c r="I3108" i="1"/>
  <c r="J3100" i="1"/>
  <c r="I3100" i="1"/>
  <c r="J3092" i="1"/>
  <c r="I3092" i="1"/>
  <c r="J3084" i="1"/>
  <c r="I3084" i="1"/>
  <c r="J3076" i="1"/>
  <c r="I3076" i="1"/>
  <c r="J3068" i="1"/>
  <c r="I3068" i="1"/>
  <c r="J3060" i="1"/>
  <c r="I3060" i="1"/>
  <c r="J3052" i="1"/>
  <c r="I3052" i="1"/>
  <c r="J3044" i="1"/>
  <c r="I3044" i="1"/>
  <c r="J3036" i="1"/>
  <c r="I3036" i="1"/>
  <c r="J3028" i="1"/>
  <c r="I3028" i="1"/>
  <c r="J3020" i="1"/>
  <c r="I3020" i="1"/>
  <c r="J3012" i="1"/>
  <c r="I3012" i="1"/>
  <c r="J3004" i="1"/>
  <c r="I3004" i="1"/>
  <c r="J2996" i="1"/>
  <c r="I2996" i="1"/>
  <c r="J2988" i="1"/>
  <c r="I2988" i="1"/>
  <c r="J2980" i="1"/>
  <c r="I2980" i="1"/>
  <c r="J2972" i="1"/>
  <c r="I2972" i="1"/>
  <c r="J2964" i="1"/>
  <c r="I2964" i="1"/>
  <c r="J2956" i="1"/>
  <c r="I2956" i="1"/>
  <c r="J2948" i="1"/>
  <c r="I2948" i="1"/>
  <c r="J2940" i="1"/>
  <c r="I2940" i="1"/>
  <c r="J2932" i="1"/>
  <c r="I2932" i="1"/>
  <c r="J2924" i="1"/>
  <c r="I2924" i="1"/>
  <c r="J2916" i="1"/>
  <c r="I2916" i="1"/>
  <c r="J2908" i="1"/>
  <c r="I2908" i="1"/>
  <c r="J2900" i="1"/>
  <c r="I2900" i="1"/>
  <c r="J2892" i="1"/>
  <c r="I2892" i="1"/>
  <c r="J2884" i="1"/>
  <c r="I2884" i="1"/>
  <c r="J2876" i="1"/>
  <c r="I2876" i="1"/>
  <c r="J2868" i="1"/>
  <c r="I2868" i="1"/>
  <c r="J2860" i="1"/>
  <c r="I2860" i="1"/>
  <c r="J2852" i="1"/>
  <c r="I2852" i="1"/>
  <c r="J2844" i="1"/>
  <c r="I2844" i="1"/>
  <c r="J2836" i="1"/>
  <c r="I2836" i="1"/>
  <c r="J2828" i="1"/>
  <c r="I2828" i="1"/>
  <c r="J2820" i="1"/>
  <c r="I2820" i="1"/>
  <c r="J2812" i="1"/>
  <c r="I2812" i="1"/>
  <c r="J2804" i="1"/>
  <c r="I2804" i="1"/>
  <c r="J2796" i="1"/>
  <c r="I2796" i="1"/>
  <c r="J2788" i="1"/>
  <c r="I2788" i="1"/>
  <c r="J2780" i="1"/>
  <c r="I2780" i="1"/>
  <c r="J2772" i="1"/>
  <c r="I2772" i="1"/>
  <c r="J2764" i="1"/>
  <c r="I2764" i="1"/>
  <c r="J2756" i="1"/>
  <c r="I2756" i="1"/>
  <c r="J2748" i="1"/>
  <c r="I2748" i="1"/>
  <c r="J2740" i="1"/>
  <c r="I2740" i="1"/>
  <c r="J2732" i="1"/>
  <c r="I2732" i="1"/>
  <c r="J2724" i="1"/>
  <c r="I2724" i="1"/>
  <c r="J2716" i="1"/>
  <c r="I2716" i="1"/>
  <c r="J2708" i="1"/>
  <c r="I2708" i="1"/>
  <c r="J2700" i="1"/>
  <c r="I2700" i="1"/>
  <c r="J2692" i="1"/>
  <c r="I2692" i="1"/>
  <c r="J2676" i="1"/>
  <c r="I2676" i="1"/>
  <c r="J2668" i="1"/>
  <c r="I2668" i="1"/>
  <c r="J2660" i="1"/>
  <c r="I2660" i="1"/>
  <c r="J2652" i="1"/>
  <c r="I2652" i="1"/>
  <c r="J2644" i="1"/>
  <c r="I2644" i="1"/>
  <c r="J2636" i="1"/>
  <c r="I2636" i="1"/>
  <c r="J2628" i="1"/>
  <c r="I2628" i="1"/>
  <c r="J2620" i="1"/>
  <c r="I2620" i="1"/>
  <c r="J2612" i="1"/>
  <c r="I2612" i="1"/>
  <c r="J2604" i="1"/>
  <c r="I2604" i="1"/>
  <c r="J2596" i="1"/>
  <c r="I2596" i="1"/>
  <c r="J2588" i="1"/>
  <c r="I2588" i="1"/>
  <c r="J2580" i="1"/>
  <c r="I2580" i="1"/>
  <c r="J2572" i="1"/>
  <c r="I2572" i="1"/>
  <c r="J2564" i="1"/>
  <c r="I2564" i="1"/>
  <c r="J2556" i="1"/>
  <c r="I2556" i="1"/>
  <c r="J2548" i="1"/>
  <c r="I2548" i="1"/>
  <c r="J2540" i="1"/>
  <c r="I2540" i="1"/>
  <c r="J2532" i="1"/>
  <c r="I2532" i="1"/>
  <c r="J2524" i="1"/>
  <c r="I2524" i="1"/>
  <c r="J2516" i="1"/>
  <c r="I2516" i="1"/>
  <c r="J2508" i="1"/>
  <c r="I2508" i="1"/>
  <c r="J2500" i="1"/>
  <c r="I2500" i="1"/>
  <c r="J2492" i="1"/>
  <c r="I2492" i="1"/>
  <c r="J2484" i="1"/>
  <c r="I2484" i="1"/>
  <c r="J2476" i="1"/>
  <c r="I2476" i="1"/>
  <c r="J2468" i="1"/>
  <c r="I2468" i="1"/>
  <c r="J2460" i="1"/>
  <c r="I2460" i="1"/>
  <c r="J2452" i="1"/>
  <c r="I2452" i="1"/>
  <c r="J2444" i="1"/>
  <c r="I2444" i="1"/>
  <c r="J2436" i="1"/>
  <c r="I2436" i="1"/>
  <c r="J2428" i="1"/>
  <c r="I2428" i="1"/>
  <c r="J2420" i="1"/>
  <c r="I2420" i="1"/>
  <c r="J2412" i="1"/>
  <c r="I2412" i="1"/>
  <c r="J2404" i="1"/>
  <c r="I2404" i="1"/>
  <c r="J2396" i="1"/>
  <c r="I2396" i="1"/>
  <c r="J2388" i="1"/>
  <c r="I2388" i="1"/>
  <c r="J2380" i="1"/>
  <c r="I2380" i="1"/>
  <c r="J2372" i="1"/>
  <c r="I2372" i="1"/>
  <c r="J2364" i="1"/>
  <c r="I2364" i="1"/>
  <c r="J2356" i="1"/>
  <c r="I2356" i="1"/>
  <c r="J2348" i="1"/>
  <c r="I2348" i="1"/>
  <c r="J2340" i="1"/>
  <c r="I2340" i="1"/>
  <c r="J2332" i="1"/>
  <c r="I2332" i="1"/>
  <c r="J2324" i="1"/>
  <c r="I2324" i="1"/>
  <c r="J2316" i="1"/>
  <c r="I2316" i="1"/>
  <c r="J2308" i="1"/>
  <c r="I2308" i="1"/>
  <c r="J2300" i="1"/>
  <c r="I2300" i="1"/>
  <c r="J2292" i="1"/>
  <c r="I2292" i="1"/>
  <c r="J2284" i="1"/>
  <c r="I2284" i="1"/>
  <c r="J2276" i="1"/>
  <c r="I2276" i="1"/>
  <c r="J2268" i="1"/>
  <c r="I2268" i="1"/>
  <c r="J2260" i="1"/>
  <c r="I2260" i="1"/>
  <c r="J2252" i="1"/>
  <c r="I2252" i="1"/>
  <c r="J2244" i="1"/>
  <c r="I2244" i="1"/>
  <c r="J2236" i="1"/>
  <c r="I2236" i="1"/>
  <c r="J2228" i="1"/>
  <c r="I2228" i="1"/>
  <c r="J2220" i="1"/>
  <c r="I2220" i="1"/>
  <c r="J2212" i="1"/>
  <c r="I2212" i="1"/>
  <c r="J2204" i="1"/>
  <c r="I2204" i="1"/>
  <c r="J2196" i="1"/>
  <c r="I2196" i="1"/>
  <c r="J2188" i="1"/>
  <c r="I2188" i="1"/>
  <c r="J2180" i="1"/>
  <c r="I2180" i="1"/>
  <c r="J2172" i="1"/>
  <c r="I2172" i="1"/>
  <c r="J2164" i="1"/>
  <c r="I2164" i="1"/>
  <c r="J2156" i="1"/>
  <c r="I2156" i="1"/>
  <c r="J2148" i="1"/>
  <c r="I2148" i="1"/>
  <c r="J2140" i="1"/>
  <c r="I2140" i="1"/>
  <c r="J2132" i="1"/>
  <c r="I2132" i="1"/>
  <c r="J2124" i="1"/>
  <c r="I2124" i="1"/>
  <c r="J2116" i="1"/>
  <c r="I2116" i="1"/>
  <c r="J2108" i="1"/>
  <c r="I2108" i="1"/>
  <c r="J2100" i="1"/>
  <c r="I2100" i="1"/>
  <c r="J2092" i="1"/>
  <c r="I2092" i="1"/>
  <c r="J2084" i="1"/>
  <c r="I2084" i="1"/>
  <c r="J2076" i="1"/>
  <c r="I2076" i="1"/>
  <c r="J2068" i="1"/>
  <c r="I2068" i="1"/>
  <c r="J2060" i="1"/>
  <c r="I2060" i="1"/>
  <c r="J2052" i="1"/>
  <c r="I2052" i="1"/>
  <c r="J2044" i="1"/>
  <c r="I2044" i="1"/>
  <c r="J2036" i="1"/>
  <c r="I2036" i="1"/>
  <c r="J2028" i="1"/>
  <c r="I2028" i="1"/>
  <c r="J2020" i="1"/>
  <c r="I2020" i="1"/>
  <c r="J2012" i="1"/>
  <c r="I2012" i="1"/>
  <c r="J2004" i="1"/>
  <c r="I2004" i="1"/>
  <c r="J1996" i="1"/>
  <c r="I1996" i="1"/>
  <c r="J1988" i="1"/>
  <c r="I1988" i="1"/>
  <c r="J1980" i="1"/>
  <c r="I1980" i="1"/>
  <c r="J1972" i="1"/>
  <c r="I1972" i="1"/>
  <c r="J1964" i="1"/>
  <c r="I1964" i="1"/>
  <c r="J1956" i="1"/>
  <c r="I1956" i="1"/>
  <c r="J1948" i="1"/>
  <c r="I1948" i="1"/>
  <c r="J1940" i="1"/>
  <c r="I1940" i="1"/>
  <c r="J1932" i="1"/>
  <c r="I1932" i="1"/>
  <c r="J1924" i="1"/>
  <c r="I1924" i="1"/>
  <c r="J1916" i="1"/>
  <c r="I1916" i="1"/>
  <c r="J1908" i="1"/>
  <c r="I1908" i="1"/>
  <c r="J1900" i="1"/>
  <c r="I1900" i="1"/>
  <c r="J1892" i="1"/>
  <c r="I1892" i="1"/>
  <c r="J1884" i="1"/>
  <c r="I1884" i="1"/>
  <c r="J1876" i="1"/>
  <c r="I1876" i="1"/>
  <c r="J1868" i="1"/>
  <c r="I1868" i="1"/>
  <c r="J1860" i="1"/>
  <c r="I1860" i="1"/>
  <c r="J1852" i="1"/>
  <c r="I1852" i="1"/>
  <c r="J1844" i="1"/>
  <c r="I1844" i="1"/>
  <c r="J1836" i="1"/>
  <c r="I1836" i="1"/>
  <c r="J1828" i="1"/>
  <c r="I1828" i="1"/>
  <c r="J1820" i="1"/>
  <c r="I1820" i="1"/>
  <c r="J1812" i="1"/>
  <c r="I1812" i="1"/>
  <c r="J1804" i="1"/>
  <c r="I1804" i="1"/>
  <c r="J1796" i="1"/>
  <c r="I1796" i="1"/>
  <c r="J1788" i="1"/>
  <c r="I1788" i="1"/>
  <c r="J1780" i="1"/>
  <c r="I1780" i="1"/>
  <c r="J1772" i="1"/>
  <c r="I1772" i="1"/>
  <c r="J1764" i="1"/>
  <c r="I1764" i="1"/>
  <c r="J1756" i="1"/>
  <c r="I1756" i="1"/>
  <c r="J1748" i="1"/>
  <c r="I1748" i="1"/>
  <c r="J1740" i="1"/>
  <c r="I1740" i="1"/>
  <c r="J1732" i="1"/>
  <c r="I1732" i="1"/>
  <c r="J1724" i="1"/>
  <c r="I1724" i="1"/>
  <c r="J1716" i="1"/>
  <c r="I1716" i="1"/>
  <c r="J1708" i="1"/>
  <c r="I1708" i="1"/>
  <c r="J1700" i="1"/>
  <c r="I1700" i="1"/>
  <c r="J1692" i="1"/>
  <c r="I1692" i="1"/>
  <c r="J1684" i="1"/>
  <c r="I1684" i="1"/>
  <c r="J1676" i="1"/>
  <c r="I1676" i="1"/>
  <c r="J1668" i="1"/>
  <c r="I1668" i="1"/>
  <c r="J1660" i="1"/>
  <c r="I1660" i="1"/>
  <c r="J1652" i="1"/>
  <c r="I1652" i="1"/>
  <c r="J1644" i="1"/>
  <c r="I1644" i="1"/>
  <c r="J1636" i="1"/>
  <c r="I1636" i="1"/>
  <c r="J1628" i="1"/>
  <c r="I1628" i="1"/>
  <c r="J1620" i="1"/>
  <c r="I1620" i="1"/>
  <c r="J1612" i="1"/>
  <c r="I1612" i="1"/>
  <c r="J1604" i="1"/>
  <c r="I1604" i="1"/>
  <c r="J1596" i="1"/>
  <c r="I1596" i="1"/>
  <c r="J1588" i="1"/>
  <c r="I1588" i="1"/>
  <c r="J1580" i="1"/>
  <c r="I1580" i="1"/>
  <c r="J1572" i="1"/>
  <c r="I1572" i="1"/>
  <c r="J1564" i="1"/>
  <c r="I1564" i="1"/>
  <c r="J1556" i="1"/>
  <c r="I1556" i="1"/>
  <c r="J1548" i="1"/>
  <c r="I1548" i="1"/>
  <c r="J1540" i="1"/>
  <c r="I1540" i="1"/>
  <c r="J1532" i="1"/>
  <c r="I1532" i="1"/>
  <c r="J1524" i="1"/>
  <c r="I1524" i="1"/>
  <c r="J1516" i="1"/>
  <c r="I1516" i="1"/>
  <c r="J1508" i="1"/>
  <c r="I1508" i="1"/>
  <c r="J1500" i="1"/>
  <c r="I1500" i="1"/>
  <c r="J1492" i="1"/>
  <c r="I1492" i="1"/>
  <c r="J1484" i="1"/>
  <c r="I1484" i="1"/>
  <c r="J1476" i="1"/>
  <c r="I1476" i="1"/>
  <c r="J1468" i="1"/>
  <c r="I1468" i="1"/>
  <c r="J1460" i="1"/>
  <c r="I1460" i="1"/>
  <c r="J1452" i="1"/>
  <c r="I1452" i="1"/>
  <c r="J1444" i="1"/>
  <c r="I1444" i="1"/>
  <c r="J1436" i="1"/>
  <c r="I1436" i="1"/>
  <c r="J1428" i="1"/>
  <c r="I1428" i="1"/>
  <c r="J1420" i="1"/>
  <c r="I1420" i="1"/>
  <c r="J1412" i="1"/>
  <c r="I1412" i="1"/>
  <c r="J1404" i="1"/>
  <c r="I1404" i="1"/>
  <c r="J1396" i="1"/>
  <c r="I1396" i="1"/>
  <c r="J1388" i="1"/>
  <c r="I1388" i="1"/>
  <c r="J1380" i="1"/>
  <c r="I1380" i="1"/>
  <c r="J1372" i="1"/>
  <c r="I1372" i="1"/>
  <c r="J1364" i="1"/>
  <c r="I1364" i="1"/>
  <c r="J1356" i="1"/>
  <c r="I1356" i="1"/>
  <c r="J1348" i="1"/>
  <c r="I1348" i="1"/>
  <c r="J1340" i="1"/>
  <c r="I1340" i="1"/>
  <c r="J1332" i="1"/>
  <c r="I1332" i="1"/>
  <c r="J1324" i="1"/>
  <c r="I1324" i="1"/>
  <c r="J1316" i="1"/>
  <c r="I1316" i="1"/>
  <c r="J1308" i="1"/>
  <c r="I1308" i="1"/>
  <c r="J1300" i="1"/>
  <c r="I1300" i="1"/>
  <c r="J1292" i="1"/>
  <c r="I1292" i="1"/>
  <c r="J1284" i="1"/>
  <c r="I1284" i="1"/>
  <c r="J1276" i="1"/>
  <c r="I1276" i="1"/>
  <c r="J1268" i="1"/>
  <c r="I1268" i="1"/>
  <c r="J1260" i="1"/>
  <c r="I1260" i="1"/>
  <c r="J1252" i="1"/>
  <c r="I1252" i="1"/>
  <c r="J1244" i="1"/>
  <c r="I1244" i="1"/>
  <c r="J1236" i="1"/>
  <c r="I1236" i="1"/>
  <c r="J1228" i="1"/>
  <c r="I1228" i="1"/>
  <c r="J1220" i="1"/>
  <c r="I1220" i="1"/>
  <c r="J1212" i="1"/>
  <c r="I1212" i="1"/>
  <c r="J1204" i="1"/>
  <c r="I1204" i="1"/>
  <c r="J1196" i="1"/>
  <c r="I1196" i="1"/>
  <c r="J1188" i="1"/>
  <c r="I1188" i="1"/>
  <c r="J1180" i="1"/>
  <c r="I1180" i="1"/>
  <c r="J1172" i="1"/>
  <c r="I1172" i="1"/>
  <c r="J1164" i="1"/>
  <c r="I1164" i="1"/>
  <c r="J1156" i="1"/>
  <c r="I1156" i="1"/>
  <c r="J1148" i="1"/>
  <c r="I1148" i="1"/>
  <c r="J1140" i="1"/>
  <c r="I1140" i="1"/>
  <c r="J1132" i="1"/>
  <c r="I1132" i="1"/>
  <c r="J1124" i="1"/>
  <c r="I1124" i="1"/>
  <c r="J1116" i="1"/>
  <c r="I1116" i="1"/>
  <c r="J1108" i="1"/>
  <c r="I1108" i="1"/>
  <c r="J1100" i="1"/>
  <c r="I1100" i="1"/>
  <c r="J1092" i="1"/>
  <c r="I1092" i="1"/>
  <c r="J1084" i="1"/>
  <c r="I1084" i="1"/>
  <c r="J1076" i="1"/>
  <c r="I1076" i="1"/>
  <c r="J1068" i="1"/>
  <c r="I1068" i="1"/>
  <c r="J1060" i="1"/>
  <c r="I1060" i="1"/>
  <c r="J1052" i="1"/>
  <c r="I1052" i="1"/>
  <c r="J1044" i="1"/>
  <c r="I1044" i="1"/>
  <c r="J1036" i="1"/>
  <c r="I1036" i="1"/>
  <c r="J1028" i="1"/>
  <c r="I1028" i="1"/>
  <c r="J1020" i="1"/>
  <c r="I1020" i="1"/>
  <c r="J1012" i="1"/>
  <c r="I1012" i="1"/>
  <c r="J1004" i="1"/>
  <c r="I1004" i="1"/>
  <c r="J996" i="1"/>
  <c r="I996" i="1"/>
  <c r="J988" i="1"/>
  <c r="I988" i="1"/>
  <c r="J980" i="1"/>
  <c r="I980" i="1"/>
  <c r="J972" i="1"/>
  <c r="I972" i="1"/>
  <c r="J964" i="1"/>
  <c r="I964" i="1"/>
  <c r="J956" i="1"/>
  <c r="I956" i="1"/>
  <c r="J948" i="1"/>
  <c r="I948" i="1"/>
  <c r="J940" i="1"/>
  <c r="I940" i="1"/>
  <c r="J932" i="1"/>
  <c r="I932" i="1"/>
  <c r="J924" i="1"/>
  <c r="I924" i="1"/>
  <c r="J916" i="1"/>
  <c r="I916" i="1"/>
  <c r="J908" i="1"/>
  <c r="I908" i="1"/>
  <c r="J900" i="1"/>
  <c r="I900" i="1"/>
  <c r="J892" i="1"/>
  <c r="I892" i="1"/>
  <c r="J884" i="1"/>
  <c r="I884" i="1"/>
  <c r="J876" i="1"/>
  <c r="I876" i="1"/>
  <c r="J868" i="1"/>
  <c r="I868" i="1"/>
  <c r="J860" i="1"/>
  <c r="I860" i="1"/>
  <c r="J852" i="1"/>
  <c r="I852" i="1"/>
  <c r="J844" i="1"/>
  <c r="I844" i="1"/>
  <c r="J836" i="1"/>
  <c r="I836" i="1"/>
  <c r="J828" i="1"/>
  <c r="I828" i="1"/>
  <c r="J820" i="1"/>
  <c r="I820" i="1"/>
  <c r="J812" i="1"/>
  <c r="I812" i="1"/>
  <c r="J804" i="1"/>
  <c r="I804" i="1"/>
  <c r="J796" i="1"/>
  <c r="I796" i="1"/>
  <c r="J788" i="1"/>
  <c r="I788" i="1"/>
  <c r="J780" i="1"/>
  <c r="I780" i="1"/>
  <c r="J772" i="1"/>
  <c r="I772" i="1"/>
  <c r="J764" i="1"/>
  <c r="I764" i="1"/>
  <c r="J756" i="1"/>
  <c r="I756" i="1"/>
  <c r="J748" i="1"/>
  <c r="I748" i="1"/>
  <c r="J740" i="1"/>
  <c r="I740" i="1"/>
  <c r="J732" i="1"/>
  <c r="I732" i="1"/>
  <c r="J724" i="1"/>
  <c r="I724" i="1"/>
  <c r="J716" i="1"/>
  <c r="I716" i="1"/>
  <c r="J708" i="1"/>
  <c r="I708" i="1"/>
  <c r="J700" i="1"/>
  <c r="I700" i="1"/>
  <c r="J692" i="1"/>
  <c r="I692" i="1"/>
  <c r="J684" i="1"/>
  <c r="I684" i="1"/>
  <c r="J676" i="1"/>
  <c r="I676" i="1"/>
  <c r="J668" i="1"/>
  <c r="I668" i="1"/>
  <c r="J660" i="1"/>
  <c r="I660" i="1"/>
  <c r="J652" i="1"/>
  <c r="I652" i="1"/>
  <c r="J644" i="1"/>
  <c r="I644" i="1"/>
  <c r="J636" i="1"/>
  <c r="I636" i="1"/>
  <c r="J628" i="1"/>
  <c r="I628" i="1"/>
  <c r="J620" i="1"/>
  <c r="I620" i="1"/>
  <c r="J612" i="1"/>
  <c r="I612" i="1"/>
  <c r="J604" i="1"/>
  <c r="I604" i="1"/>
  <c r="J596" i="1"/>
  <c r="I596" i="1"/>
  <c r="J588" i="1"/>
  <c r="I588" i="1"/>
  <c r="J580" i="1"/>
  <c r="I580" i="1"/>
  <c r="J572" i="1"/>
  <c r="I572" i="1"/>
  <c r="J564" i="1"/>
  <c r="I564" i="1"/>
  <c r="J556" i="1"/>
  <c r="I556" i="1"/>
  <c r="J548" i="1"/>
  <c r="I548" i="1"/>
  <c r="J540" i="1"/>
  <c r="I540" i="1"/>
  <c r="J532" i="1"/>
  <c r="I532" i="1"/>
  <c r="J524" i="1"/>
  <c r="I524" i="1"/>
  <c r="J516" i="1"/>
  <c r="I516" i="1"/>
  <c r="J508" i="1"/>
  <c r="I508" i="1"/>
  <c r="J500" i="1"/>
  <c r="I500" i="1"/>
  <c r="J492" i="1"/>
  <c r="I492" i="1"/>
  <c r="J484" i="1"/>
  <c r="I484" i="1"/>
  <c r="J476" i="1"/>
  <c r="I476" i="1"/>
  <c r="J468" i="1"/>
  <c r="I468" i="1"/>
  <c r="J460" i="1"/>
  <c r="I460" i="1"/>
  <c r="J452" i="1"/>
  <c r="I452" i="1"/>
  <c r="J444" i="1"/>
  <c r="I444" i="1"/>
  <c r="J436" i="1"/>
  <c r="I436" i="1"/>
  <c r="J428" i="1"/>
  <c r="I428" i="1"/>
  <c r="J420" i="1"/>
  <c r="I420" i="1"/>
  <c r="J412" i="1"/>
  <c r="I412" i="1"/>
  <c r="J404" i="1"/>
  <c r="I404" i="1"/>
  <c r="J396" i="1"/>
  <c r="I396" i="1"/>
  <c r="J388" i="1"/>
  <c r="I388" i="1"/>
  <c r="J380" i="1"/>
  <c r="I380" i="1"/>
  <c r="J372" i="1"/>
  <c r="I372" i="1"/>
  <c r="J364" i="1"/>
  <c r="I364" i="1"/>
  <c r="J356" i="1"/>
  <c r="I356" i="1"/>
  <c r="J348" i="1"/>
  <c r="I348" i="1"/>
  <c r="J340" i="1"/>
  <c r="I340" i="1"/>
  <c r="I3617" i="1"/>
  <c r="I3361" i="1"/>
  <c r="J3803" i="1"/>
  <c r="I3803" i="1"/>
  <c r="J3795" i="1"/>
  <c r="I3795" i="1"/>
  <c r="J3787" i="1"/>
  <c r="I3787" i="1"/>
  <c r="J3779" i="1"/>
  <c r="I3779" i="1"/>
  <c r="J3771" i="1"/>
  <c r="I3771" i="1"/>
  <c r="J3763" i="1"/>
  <c r="I3763" i="1"/>
  <c r="J3755" i="1"/>
  <c r="I3755" i="1"/>
  <c r="J3747" i="1"/>
  <c r="I3747" i="1"/>
  <c r="J3739" i="1"/>
  <c r="I3739" i="1"/>
  <c r="J3731" i="1"/>
  <c r="I3731" i="1"/>
  <c r="J3723" i="1"/>
  <c r="I3723" i="1"/>
  <c r="J3715" i="1"/>
  <c r="I3715" i="1"/>
  <c r="J3707" i="1"/>
  <c r="I3707" i="1"/>
  <c r="J3699" i="1"/>
  <c r="I3699" i="1"/>
  <c r="J3691" i="1"/>
  <c r="I3691" i="1"/>
  <c r="J3683" i="1"/>
  <c r="I3683" i="1"/>
  <c r="J3675" i="1"/>
  <c r="I3675" i="1"/>
  <c r="J3667" i="1"/>
  <c r="I3667" i="1"/>
  <c r="J3659" i="1"/>
  <c r="I3659" i="1"/>
  <c r="J3651" i="1"/>
  <c r="I3651" i="1"/>
  <c r="J3643" i="1"/>
  <c r="I3643" i="1"/>
  <c r="J3635" i="1"/>
  <c r="I3635" i="1"/>
  <c r="J3627" i="1"/>
  <c r="I3627" i="1"/>
  <c r="J3619" i="1"/>
  <c r="I3619" i="1"/>
  <c r="J3611" i="1"/>
  <c r="I3611" i="1"/>
  <c r="J3603" i="1"/>
  <c r="I3603" i="1"/>
  <c r="J3595" i="1"/>
  <c r="I3595" i="1"/>
  <c r="J3587" i="1"/>
  <c r="I3587" i="1"/>
  <c r="J3579" i="1"/>
  <c r="I3579" i="1"/>
  <c r="J3571" i="1"/>
  <c r="I3571" i="1"/>
  <c r="J3563" i="1"/>
  <c r="I3563" i="1"/>
  <c r="J3555" i="1"/>
  <c r="I3555" i="1"/>
  <c r="J3547" i="1"/>
  <c r="I3547" i="1"/>
  <c r="J3539" i="1"/>
  <c r="I3539" i="1"/>
  <c r="J3531" i="1"/>
  <c r="I3531" i="1"/>
  <c r="J3523" i="1"/>
  <c r="I3523" i="1"/>
  <c r="J3515" i="1"/>
  <c r="I3515" i="1"/>
  <c r="J3507" i="1"/>
  <c r="I3507" i="1"/>
  <c r="J3499" i="1"/>
  <c r="I3499" i="1"/>
  <c r="J3491" i="1"/>
  <c r="I3491" i="1"/>
  <c r="J3483" i="1"/>
  <c r="I3483" i="1"/>
  <c r="J3475" i="1"/>
  <c r="I3475" i="1"/>
  <c r="J3467" i="1"/>
  <c r="I3467" i="1"/>
  <c r="J3459" i="1"/>
  <c r="I3459" i="1"/>
  <c r="J3451" i="1"/>
  <c r="I3451" i="1"/>
  <c r="J3443" i="1"/>
  <c r="I3443" i="1"/>
  <c r="J3435" i="1"/>
  <c r="I3435" i="1"/>
  <c r="J3427" i="1"/>
  <c r="I3427" i="1"/>
  <c r="J3419" i="1"/>
  <c r="I3419" i="1"/>
  <c r="J3411" i="1"/>
  <c r="I3411" i="1"/>
  <c r="J3403" i="1"/>
  <c r="I3403" i="1"/>
  <c r="J3395" i="1"/>
  <c r="I3395" i="1"/>
  <c r="J3387" i="1"/>
  <c r="I3387" i="1"/>
  <c r="J3379" i="1"/>
  <c r="I3379" i="1"/>
  <c r="J3371" i="1"/>
  <c r="I3371" i="1"/>
  <c r="J3363" i="1"/>
  <c r="I3363" i="1"/>
  <c r="J3355" i="1"/>
  <c r="I3355" i="1"/>
  <c r="J3347" i="1"/>
  <c r="I3347" i="1"/>
  <c r="J3339" i="1"/>
  <c r="I3339" i="1"/>
  <c r="J3331" i="1"/>
  <c r="I3331" i="1"/>
  <c r="J3323" i="1"/>
  <c r="I3323" i="1"/>
  <c r="J3315" i="1"/>
  <c r="I3315" i="1"/>
  <c r="J3307" i="1"/>
  <c r="I3307" i="1"/>
  <c r="J3299" i="1"/>
  <c r="I3299" i="1"/>
  <c r="J3291" i="1"/>
  <c r="I3291" i="1"/>
  <c r="J3283" i="1"/>
  <c r="I3283" i="1"/>
  <c r="J3275" i="1"/>
  <c r="I3275" i="1"/>
  <c r="J3267" i="1"/>
  <c r="I3267" i="1"/>
  <c r="J3259" i="1"/>
  <c r="I3259" i="1"/>
  <c r="J3251" i="1"/>
  <c r="I3251" i="1"/>
  <c r="J3243" i="1"/>
  <c r="I3243" i="1"/>
  <c r="J3235" i="1"/>
  <c r="I3235" i="1"/>
  <c r="J3227" i="1"/>
  <c r="I3227" i="1"/>
  <c r="J3219" i="1"/>
  <c r="I3219" i="1"/>
  <c r="J3211" i="1"/>
  <c r="I3211" i="1"/>
  <c r="J3203" i="1"/>
  <c r="I3203" i="1"/>
  <c r="J3195" i="1"/>
  <c r="I3195" i="1"/>
  <c r="J3187" i="1"/>
  <c r="I3187" i="1"/>
  <c r="J3179" i="1"/>
  <c r="I3179" i="1"/>
  <c r="J3171" i="1"/>
  <c r="I3171" i="1"/>
  <c r="J3163" i="1"/>
  <c r="I3163" i="1"/>
  <c r="J3155" i="1"/>
  <c r="I3155" i="1"/>
  <c r="J3147" i="1"/>
  <c r="I3147" i="1"/>
  <c r="J3139" i="1"/>
  <c r="I3139" i="1"/>
  <c r="J3131" i="1"/>
  <c r="I3131" i="1"/>
  <c r="J3123" i="1"/>
  <c r="I3123" i="1"/>
  <c r="J3115" i="1"/>
  <c r="I3115" i="1"/>
  <c r="J3107" i="1"/>
  <c r="I3107" i="1"/>
  <c r="J3099" i="1"/>
  <c r="I3099" i="1"/>
  <c r="J3091" i="1"/>
  <c r="I3091" i="1"/>
  <c r="J3083" i="1"/>
  <c r="I3083" i="1"/>
  <c r="J3075" i="1"/>
  <c r="I3075" i="1"/>
  <c r="J3067" i="1"/>
  <c r="I3067" i="1"/>
  <c r="J3059" i="1"/>
  <c r="I3059" i="1"/>
  <c r="J3051" i="1"/>
  <c r="I3051" i="1"/>
  <c r="J3043" i="1"/>
  <c r="I3043" i="1"/>
  <c r="J3035" i="1"/>
  <c r="I3035" i="1"/>
  <c r="J3027" i="1"/>
  <c r="I3027" i="1"/>
  <c r="J3019" i="1"/>
  <c r="I3019" i="1"/>
  <c r="J3011" i="1"/>
  <c r="I3011" i="1"/>
  <c r="J3003" i="1"/>
  <c r="I3003" i="1"/>
  <c r="J2995" i="1"/>
  <c r="I2995" i="1"/>
  <c r="J2987" i="1"/>
  <c r="I2987" i="1"/>
  <c r="J2979" i="1"/>
  <c r="I2979" i="1"/>
  <c r="J2971" i="1"/>
  <c r="I2971" i="1"/>
  <c r="J2963" i="1"/>
  <c r="I2963" i="1"/>
  <c r="J2955" i="1"/>
  <c r="I2955" i="1"/>
  <c r="J2947" i="1"/>
  <c r="I2947" i="1"/>
  <c r="J2939" i="1"/>
  <c r="I2939" i="1"/>
  <c r="J2931" i="1"/>
  <c r="I2931" i="1"/>
  <c r="J2923" i="1"/>
  <c r="I2923" i="1"/>
  <c r="J2915" i="1"/>
  <c r="I2915" i="1"/>
  <c r="J2899" i="1"/>
  <c r="I2899" i="1"/>
  <c r="J2883" i="1"/>
  <c r="I2883" i="1"/>
  <c r="J2875" i="1"/>
  <c r="I2875" i="1"/>
  <c r="J2867" i="1"/>
  <c r="I2867" i="1"/>
  <c r="J2859" i="1"/>
  <c r="I2859" i="1"/>
  <c r="J2851" i="1"/>
  <c r="I2851" i="1"/>
  <c r="J2843" i="1"/>
  <c r="I2843" i="1"/>
  <c r="J2835" i="1"/>
  <c r="I2835" i="1"/>
  <c r="J2827" i="1"/>
  <c r="I2827" i="1"/>
  <c r="J2819" i="1"/>
  <c r="I2819" i="1"/>
  <c r="J2811" i="1"/>
  <c r="I2811" i="1"/>
  <c r="J2803" i="1"/>
  <c r="I2803" i="1"/>
  <c r="J2795" i="1"/>
  <c r="I2795" i="1"/>
  <c r="J2787" i="1"/>
  <c r="I2787" i="1"/>
  <c r="J2779" i="1"/>
  <c r="I2779" i="1"/>
  <c r="J2771" i="1"/>
  <c r="I2771" i="1"/>
  <c r="J2763" i="1"/>
  <c r="I2763" i="1"/>
  <c r="J2755" i="1"/>
  <c r="I2755" i="1"/>
  <c r="J2747" i="1"/>
  <c r="I2747" i="1"/>
  <c r="J2739" i="1"/>
  <c r="I2739" i="1"/>
  <c r="J2731" i="1"/>
  <c r="I2731" i="1"/>
  <c r="J2723" i="1"/>
  <c r="I2723" i="1"/>
  <c r="J2715" i="1"/>
  <c r="I2715" i="1"/>
  <c r="J2707" i="1"/>
  <c r="I2707" i="1"/>
  <c r="J2699" i="1"/>
  <c r="I2699" i="1"/>
  <c r="J2691" i="1"/>
  <c r="I2691" i="1"/>
  <c r="J2683" i="1"/>
  <c r="I2683" i="1"/>
  <c r="J2675" i="1"/>
  <c r="I2675" i="1"/>
  <c r="J2667" i="1"/>
  <c r="I2667" i="1"/>
  <c r="J2659" i="1"/>
  <c r="I2659" i="1"/>
  <c r="J2651" i="1"/>
  <c r="I2651" i="1"/>
  <c r="J2643" i="1"/>
  <c r="I2643" i="1"/>
  <c r="J2635" i="1"/>
  <c r="I2635" i="1"/>
  <c r="J2627" i="1"/>
  <c r="I2627" i="1"/>
  <c r="J2619" i="1"/>
  <c r="I2619" i="1"/>
  <c r="J2611" i="1"/>
  <c r="I2611" i="1"/>
  <c r="J2603" i="1"/>
  <c r="I2603" i="1"/>
  <c r="J2595" i="1"/>
  <c r="I2595" i="1"/>
  <c r="J2587" i="1"/>
  <c r="I2587" i="1"/>
  <c r="J2579" i="1"/>
  <c r="I2579" i="1"/>
  <c r="J2571" i="1"/>
  <c r="I2571" i="1"/>
  <c r="J2563" i="1"/>
  <c r="I2563" i="1"/>
  <c r="J2555" i="1"/>
  <c r="I2555" i="1"/>
  <c r="J2547" i="1"/>
  <c r="I2547" i="1"/>
  <c r="J2539" i="1"/>
  <c r="I2539" i="1"/>
  <c r="J2531" i="1"/>
  <c r="I2531" i="1"/>
  <c r="J2523" i="1"/>
  <c r="I2523" i="1"/>
  <c r="J2515" i="1"/>
  <c r="I2515" i="1"/>
  <c r="J2507" i="1"/>
  <c r="I2507" i="1"/>
  <c r="J2499" i="1"/>
  <c r="I2499" i="1"/>
  <c r="J2491" i="1"/>
  <c r="I2491" i="1"/>
  <c r="J2483" i="1"/>
  <c r="I2483" i="1"/>
  <c r="J2475" i="1"/>
  <c r="I2475" i="1"/>
  <c r="J2467" i="1"/>
  <c r="I2467" i="1"/>
  <c r="J2459" i="1"/>
  <c r="I2459" i="1"/>
  <c r="J2451" i="1"/>
  <c r="I2451" i="1"/>
  <c r="J2443" i="1"/>
  <c r="I2443" i="1"/>
  <c r="J2435" i="1"/>
  <c r="I2435" i="1"/>
  <c r="J2427" i="1"/>
  <c r="I2427" i="1"/>
  <c r="J2419" i="1"/>
  <c r="I2419" i="1"/>
  <c r="J2411" i="1"/>
  <c r="I2411" i="1"/>
  <c r="J2403" i="1"/>
  <c r="I2403" i="1"/>
  <c r="J2395" i="1"/>
  <c r="I2395" i="1"/>
  <c r="J2387" i="1"/>
  <c r="I2387" i="1"/>
  <c r="J2379" i="1"/>
  <c r="I2379" i="1"/>
  <c r="J2371" i="1"/>
  <c r="I2371" i="1"/>
  <c r="J2363" i="1"/>
  <c r="I2363" i="1"/>
  <c r="J2355" i="1"/>
  <c r="I2355" i="1"/>
  <c r="J2347" i="1"/>
  <c r="I2347" i="1"/>
  <c r="J2339" i="1"/>
  <c r="I2339" i="1"/>
  <c r="J2331" i="1"/>
  <c r="I2331" i="1"/>
  <c r="J2323" i="1"/>
  <c r="I2323" i="1"/>
  <c r="J2315" i="1"/>
  <c r="I2315" i="1"/>
  <c r="J2307" i="1"/>
  <c r="I2307" i="1"/>
  <c r="J2299" i="1"/>
  <c r="I2299" i="1"/>
  <c r="J2291" i="1"/>
  <c r="I2291" i="1"/>
  <c r="J2283" i="1"/>
  <c r="I2283" i="1"/>
  <c r="J2275" i="1"/>
  <c r="I2275" i="1"/>
  <c r="J2267" i="1"/>
  <c r="I2267" i="1"/>
  <c r="J2259" i="1"/>
  <c r="I2259" i="1"/>
  <c r="J2251" i="1"/>
  <c r="I2251" i="1"/>
  <c r="J2243" i="1"/>
  <c r="I2243" i="1"/>
  <c r="J2235" i="1"/>
  <c r="I2235" i="1"/>
  <c r="J2227" i="1"/>
  <c r="I2227" i="1"/>
  <c r="J2219" i="1"/>
  <c r="I2219" i="1"/>
  <c r="J2211" i="1"/>
  <c r="I2211" i="1"/>
  <c r="J2203" i="1"/>
  <c r="I2203" i="1"/>
  <c r="J2195" i="1"/>
  <c r="I2195" i="1"/>
  <c r="J2187" i="1"/>
  <c r="I2187" i="1"/>
  <c r="J2179" i="1"/>
  <c r="I2179" i="1"/>
  <c r="J2171" i="1"/>
  <c r="I2171" i="1"/>
  <c r="J2163" i="1"/>
  <c r="I2163" i="1"/>
  <c r="J2155" i="1"/>
  <c r="I2155" i="1"/>
  <c r="J2147" i="1"/>
  <c r="I2147" i="1"/>
  <c r="J2139" i="1"/>
  <c r="I2139" i="1"/>
  <c r="J2131" i="1"/>
  <c r="I2131" i="1"/>
  <c r="J2123" i="1"/>
  <c r="I2123" i="1"/>
  <c r="J2115" i="1"/>
  <c r="I2115" i="1"/>
  <c r="J2107" i="1"/>
  <c r="I2107" i="1"/>
  <c r="J2099" i="1"/>
  <c r="I2099" i="1"/>
  <c r="J2091" i="1"/>
  <c r="I2091" i="1"/>
  <c r="J2083" i="1"/>
  <c r="I2083" i="1"/>
  <c r="J2075" i="1"/>
  <c r="I2075" i="1"/>
  <c r="J2067" i="1"/>
  <c r="I2067" i="1"/>
  <c r="J2059" i="1"/>
  <c r="I2059" i="1"/>
  <c r="J2051" i="1"/>
  <c r="I2051" i="1"/>
  <c r="J2043" i="1"/>
  <c r="I2043" i="1"/>
  <c r="J2035" i="1"/>
  <c r="I2035" i="1"/>
  <c r="J2027" i="1"/>
  <c r="I2027" i="1"/>
  <c r="J2019" i="1"/>
  <c r="I2019" i="1"/>
  <c r="J2011" i="1"/>
  <c r="I2011" i="1"/>
  <c r="J2003" i="1"/>
  <c r="I2003" i="1"/>
  <c r="J1995" i="1"/>
  <c r="I1995" i="1"/>
  <c r="J1987" i="1"/>
  <c r="I1987" i="1"/>
  <c r="J1979" i="1"/>
  <c r="I1979" i="1"/>
  <c r="J1971" i="1"/>
  <c r="I1971" i="1"/>
  <c r="J1963" i="1"/>
  <c r="I1963" i="1"/>
  <c r="J1955" i="1"/>
  <c r="I1955" i="1"/>
  <c r="J1947" i="1"/>
  <c r="I1947" i="1"/>
  <c r="J1939" i="1"/>
  <c r="I1939" i="1"/>
  <c r="J1931" i="1"/>
  <c r="I1931" i="1"/>
  <c r="J1923" i="1"/>
  <c r="I1923" i="1"/>
  <c r="J1915" i="1"/>
  <c r="I1915" i="1"/>
  <c r="J1907" i="1"/>
  <c r="I1907" i="1"/>
  <c r="J1899" i="1"/>
  <c r="I1899" i="1"/>
  <c r="J1891" i="1"/>
  <c r="I1891" i="1"/>
  <c r="J1883" i="1"/>
  <c r="I1883" i="1"/>
  <c r="J1875" i="1"/>
  <c r="I1875" i="1"/>
  <c r="J1867" i="1"/>
  <c r="I1867" i="1"/>
  <c r="J1859" i="1"/>
  <c r="I1859" i="1"/>
  <c r="J1851" i="1"/>
  <c r="I1851" i="1"/>
  <c r="J1843" i="1"/>
  <c r="I1843" i="1"/>
  <c r="J1835" i="1"/>
  <c r="I1835" i="1"/>
  <c r="J1827" i="1"/>
  <c r="I1827" i="1"/>
  <c r="J1819" i="1"/>
  <c r="I1819" i="1"/>
  <c r="J1811" i="1"/>
  <c r="I1811" i="1"/>
  <c r="J1803" i="1"/>
  <c r="I1803" i="1"/>
  <c r="J1795" i="1"/>
  <c r="I1795" i="1"/>
  <c r="J1787" i="1"/>
  <c r="I1787" i="1"/>
  <c r="J1779" i="1"/>
  <c r="I1779" i="1"/>
  <c r="J1771" i="1"/>
  <c r="I1771" i="1"/>
  <c r="J1763" i="1"/>
  <c r="I1763" i="1"/>
  <c r="J1755" i="1"/>
  <c r="I1755" i="1"/>
  <c r="J1747" i="1"/>
  <c r="I1747" i="1"/>
  <c r="J1739" i="1"/>
  <c r="I1739" i="1"/>
  <c r="J1731" i="1"/>
  <c r="I1731" i="1"/>
  <c r="J1723" i="1"/>
  <c r="I1723" i="1"/>
  <c r="J1715" i="1"/>
  <c r="I1715" i="1"/>
  <c r="J1707" i="1"/>
  <c r="I1707" i="1"/>
  <c r="J1699" i="1"/>
  <c r="I1699" i="1"/>
  <c r="J1691" i="1"/>
  <c r="I1691" i="1"/>
  <c r="J1683" i="1"/>
  <c r="I1683" i="1"/>
  <c r="J1675" i="1"/>
  <c r="I1675" i="1"/>
  <c r="J1667" i="1"/>
  <c r="I1667" i="1"/>
  <c r="J1659" i="1"/>
  <c r="I1659" i="1"/>
  <c r="J1651" i="1"/>
  <c r="I1651" i="1"/>
  <c r="J1643" i="1"/>
  <c r="I1643" i="1"/>
  <c r="J1635" i="1"/>
  <c r="I1635" i="1"/>
  <c r="J1627" i="1"/>
  <c r="I1627" i="1"/>
  <c r="J1619" i="1"/>
  <c r="I1619" i="1"/>
  <c r="J1611" i="1"/>
  <c r="I1611" i="1"/>
  <c r="J1603" i="1"/>
  <c r="I1603" i="1"/>
  <c r="J1595" i="1"/>
  <c r="I1595" i="1"/>
  <c r="J1587" i="1"/>
  <c r="I1587" i="1"/>
  <c r="J1579" i="1"/>
  <c r="I1579" i="1"/>
  <c r="J1571" i="1"/>
  <c r="I1571" i="1"/>
  <c r="J1563" i="1"/>
  <c r="I1563" i="1"/>
  <c r="J1555" i="1"/>
  <c r="I1555" i="1"/>
  <c r="J1547" i="1"/>
  <c r="I1547" i="1"/>
  <c r="J1539" i="1"/>
  <c r="I1539" i="1"/>
  <c r="J1531" i="1"/>
  <c r="I1531" i="1"/>
  <c r="J1523" i="1"/>
  <c r="I1523" i="1"/>
  <c r="J1515" i="1"/>
  <c r="I1515" i="1"/>
  <c r="J1507" i="1"/>
  <c r="I1507" i="1"/>
  <c r="J1499" i="1"/>
  <c r="I1499" i="1"/>
  <c r="J1491" i="1"/>
  <c r="I1491" i="1"/>
  <c r="J1483" i="1"/>
  <c r="I1483" i="1"/>
  <c r="J1475" i="1"/>
  <c r="I1475" i="1"/>
  <c r="J1467" i="1"/>
  <c r="I1467" i="1"/>
  <c r="J1459" i="1"/>
  <c r="I1459" i="1"/>
  <c r="J1451" i="1"/>
  <c r="I1451" i="1"/>
  <c r="J1443" i="1"/>
  <c r="I1443" i="1"/>
  <c r="J1435" i="1"/>
  <c r="I1435" i="1"/>
  <c r="J1427" i="1"/>
  <c r="I1427" i="1"/>
  <c r="J1419" i="1"/>
  <c r="I1419" i="1"/>
  <c r="J1411" i="1"/>
  <c r="I1411" i="1"/>
  <c r="J1403" i="1"/>
  <c r="I1403" i="1"/>
  <c r="J1395" i="1"/>
  <c r="I1395" i="1"/>
  <c r="J1387" i="1"/>
  <c r="I1387" i="1"/>
  <c r="J1379" i="1"/>
  <c r="I1379" i="1"/>
  <c r="J1371" i="1"/>
  <c r="I1371" i="1"/>
  <c r="J1363" i="1"/>
  <c r="I1363" i="1"/>
  <c r="J1355" i="1"/>
  <c r="I1355" i="1"/>
  <c r="J1347" i="1"/>
  <c r="I1347" i="1"/>
  <c r="J1339" i="1"/>
  <c r="I1339" i="1"/>
  <c r="J1331" i="1"/>
  <c r="I1331" i="1"/>
  <c r="J1323" i="1"/>
  <c r="I1323" i="1"/>
  <c r="J1315" i="1"/>
  <c r="I1315" i="1"/>
  <c r="J1307" i="1"/>
  <c r="I1307" i="1"/>
  <c r="J1299" i="1"/>
  <c r="I1299" i="1"/>
  <c r="J1291" i="1"/>
  <c r="I1291" i="1"/>
  <c r="J1283" i="1"/>
  <c r="I1283" i="1"/>
  <c r="J1275" i="1"/>
  <c r="I1275" i="1"/>
  <c r="J1267" i="1"/>
  <c r="I1267" i="1"/>
  <c r="J1259" i="1"/>
  <c r="I1259" i="1"/>
  <c r="J1251" i="1"/>
  <c r="I1251" i="1"/>
  <c r="J1243" i="1"/>
  <c r="I1243" i="1"/>
  <c r="J1235" i="1"/>
  <c r="I1235" i="1"/>
  <c r="J1227" i="1"/>
  <c r="I1227" i="1"/>
  <c r="J1219" i="1"/>
  <c r="I1219" i="1"/>
  <c r="J1211" i="1"/>
  <c r="I1211" i="1"/>
  <c r="J1203" i="1"/>
  <c r="I1203" i="1"/>
  <c r="J1195" i="1"/>
  <c r="I1195" i="1"/>
  <c r="J1187" i="1"/>
  <c r="I1187" i="1"/>
  <c r="J1179" i="1"/>
  <c r="I1179" i="1"/>
  <c r="J1171" i="1"/>
  <c r="I1171" i="1"/>
  <c r="J1163" i="1"/>
  <c r="I1163" i="1"/>
  <c r="J1155" i="1"/>
  <c r="I1155" i="1"/>
  <c r="J1147" i="1"/>
  <c r="I1147" i="1"/>
  <c r="J1139" i="1"/>
  <c r="I1139" i="1"/>
  <c r="J1131" i="1"/>
  <c r="I1131" i="1"/>
  <c r="J1123" i="1"/>
  <c r="I1123" i="1"/>
  <c r="J1115" i="1"/>
  <c r="I1115" i="1"/>
  <c r="J1107" i="1"/>
  <c r="I1107" i="1"/>
  <c r="J1099" i="1"/>
  <c r="I1099" i="1"/>
  <c r="J1091" i="1"/>
  <c r="I1091" i="1"/>
  <c r="J1083" i="1"/>
  <c r="I1083" i="1"/>
  <c r="J1075" i="1"/>
  <c r="I1075" i="1"/>
  <c r="J1067" i="1"/>
  <c r="I1067" i="1"/>
  <c r="J1059" i="1"/>
  <c r="I1059" i="1"/>
  <c r="J1051" i="1"/>
  <c r="I1051" i="1"/>
  <c r="J1043" i="1"/>
  <c r="I1043" i="1"/>
  <c r="J1035" i="1"/>
  <c r="I1035" i="1"/>
  <c r="J1027" i="1"/>
  <c r="I1027" i="1"/>
  <c r="J1019" i="1"/>
  <c r="I1019" i="1"/>
  <c r="J1011" i="1"/>
  <c r="I1011" i="1"/>
  <c r="J1003" i="1"/>
  <c r="I1003" i="1"/>
  <c r="J995" i="1"/>
  <c r="I995" i="1"/>
  <c r="J987" i="1"/>
  <c r="I987" i="1"/>
  <c r="J979" i="1"/>
  <c r="I979" i="1"/>
  <c r="J971" i="1"/>
  <c r="I971" i="1"/>
  <c r="J963" i="1"/>
  <c r="I963" i="1"/>
  <c r="J955" i="1"/>
  <c r="I955" i="1"/>
  <c r="J947" i="1"/>
  <c r="I947" i="1"/>
  <c r="J939" i="1"/>
  <c r="I939" i="1"/>
  <c r="J931" i="1"/>
  <c r="I931" i="1"/>
  <c r="J923" i="1"/>
  <c r="I923" i="1"/>
  <c r="J915" i="1"/>
  <c r="I915" i="1"/>
  <c r="J907" i="1"/>
  <c r="I907" i="1"/>
  <c r="J899" i="1"/>
  <c r="I899" i="1"/>
  <c r="J891" i="1"/>
  <c r="I891" i="1"/>
  <c r="J883" i="1"/>
  <c r="I883" i="1"/>
  <c r="J875" i="1"/>
  <c r="I875" i="1"/>
  <c r="J867" i="1"/>
  <c r="I867" i="1"/>
  <c r="J859" i="1"/>
  <c r="I859" i="1"/>
  <c r="J851" i="1"/>
  <c r="I851" i="1"/>
  <c r="J843" i="1"/>
  <c r="I843" i="1"/>
  <c r="J835" i="1"/>
  <c r="I835" i="1"/>
  <c r="J827" i="1"/>
  <c r="I827" i="1"/>
  <c r="J819" i="1"/>
  <c r="I819" i="1"/>
  <c r="J811" i="1"/>
  <c r="I811" i="1"/>
  <c r="J803" i="1"/>
  <c r="I803" i="1"/>
  <c r="J795" i="1"/>
  <c r="I795" i="1"/>
  <c r="J787" i="1"/>
  <c r="I787" i="1"/>
  <c r="J779" i="1"/>
  <c r="I779" i="1"/>
  <c r="J771" i="1"/>
  <c r="I771" i="1"/>
  <c r="J763" i="1"/>
  <c r="I763" i="1"/>
  <c r="J755" i="1"/>
  <c r="I755" i="1"/>
  <c r="J747" i="1"/>
  <c r="I747" i="1"/>
  <c r="J739" i="1"/>
  <c r="I739" i="1"/>
  <c r="J731" i="1"/>
  <c r="I731" i="1"/>
  <c r="J723" i="1"/>
  <c r="I723" i="1"/>
  <c r="J715" i="1"/>
  <c r="I715" i="1"/>
  <c r="J707" i="1"/>
  <c r="I707" i="1"/>
  <c r="J699" i="1"/>
  <c r="I699" i="1"/>
  <c r="J691" i="1"/>
  <c r="I691" i="1"/>
  <c r="J683" i="1"/>
  <c r="I683" i="1"/>
  <c r="J675" i="1"/>
  <c r="I675" i="1"/>
  <c r="J667" i="1"/>
  <c r="I667" i="1"/>
  <c r="J659" i="1"/>
  <c r="I659" i="1"/>
  <c r="J651" i="1"/>
  <c r="I651" i="1"/>
  <c r="J643" i="1"/>
  <c r="I643" i="1"/>
  <c r="J635" i="1"/>
  <c r="I635" i="1"/>
  <c r="J627" i="1"/>
  <c r="I627" i="1"/>
  <c r="J619" i="1"/>
  <c r="I619" i="1"/>
  <c r="J611" i="1"/>
  <c r="I611" i="1"/>
  <c r="J603" i="1"/>
  <c r="I603" i="1"/>
  <c r="J595" i="1"/>
  <c r="I595" i="1"/>
  <c r="J587" i="1"/>
  <c r="I587" i="1"/>
  <c r="J579" i="1"/>
  <c r="I579" i="1"/>
  <c r="J571" i="1"/>
  <c r="I571" i="1"/>
  <c r="J563" i="1"/>
  <c r="I563" i="1"/>
  <c r="J555" i="1"/>
  <c r="I555" i="1"/>
  <c r="J547" i="1"/>
  <c r="I547" i="1"/>
  <c r="J539" i="1"/>
  <c r="I539" i="1"/>
  <c r="J531" i="1"/>
  <c r="I531" i="1"/>
  <c r="J523" i="1"/>
  <c r="I523" i="1"/>
  <c r="J515" i="1"/>
  <c r="I515" i="1"/>
  <c r="J507" i="1"/>
  <c r="I507" i="1"/>
  <c r="J499" i="1"/>
  <c r="I499" i="1"/>
  <c r="J491" i="1"/>
  <c r="I491" i="1"/>
  <c r="J483" i="1"/>
  <c r="I483" i="1"/>
  <c r="J475" i="1"/>
  <c r="I475" i="1"/>
  <c r="J467" i="1"/>
  <c r="I467" i="1"/>
  <c r="J459" i="1"/>
  <c r="I459" i="1"/>
  <c r="J451" i="1"/>
  <c r="I451" i="1"/>
  <c r="J443" i="1"/>
  <c r="I443" i="1"/>
  <c r="J435" i="1"/>
  <c r="I435" i="1"/>
  <c r="J427" i="1"/>
  <c r="I427" i="1"/>
  <c r="J419" i="1"/>
  <c r="I419" i="1"/>
  <c r="J411" i="1"/>
  <c r="I411" i="1"/>
  <c r="J403" i="1"/>
  <c r="I403" i="1"/>
  <c r="J395" i="1"/>
  <c r="I395" i="1"/>
  <c r="J387" i="1"/>
  <c r="I387" i="1"/>
  <c r="J379" i="1"/>
  <c r="I379" i="1"/>
  <c r="J371" i="1"/>
  <c r="I371" i="1"/>
  <c r="J363" i="1"/>
  <c r="I363" i="1"/>
  <c r="J355" i="1"/>
  <c r="I355" i="1"/>
  <c r="J347" i="1"/>
  <c r="I347" i="1"/>
  <c r="J339" i="1"/>
  <c r="I339" i="1"/>
  <c r="J331" i="1"/>
  <c r="I331" i="1"/>
  <c r="J323" i="1"/>
  <c r="I323" i="1"/>
  <c r="J315" i="1"/>
  <c r="I315" i="1"/>
  <c r="J307" i="1"/>
  <c r="I307" i="1"/>
  <c r="J299" i="1"/>
  <c r="I299" i="1"/>
  <c r="J291" i="1"/>
  <c r="I291" i="1"/>
  <c r="J283" i="1"/>
  <c r="I283" i="1"/>
  <c r="J275" i="1"/>
  <c r="I275" i="1"/>
  <c r="J267" i="1"/>
  <c r="I267" i="1"/>
  <c r="J259" i="1"/>
  <c r="I259" i="1"/>
  <c r="J251" i="1"/>
  <c r="I251" i="1"/>
  <c r="J243" i="1"/>
  <c r="I243" i="1"/>
  <c r="J235" i="1"/>
  <c r="I235" i="1"/>
  <c r="I3585" i="1"/>
  <c r="I3329" i="1"/>
  <c r="I2976" i="1"/>
  <c r="J3346" i="1"/>
  <c r="I3346" i="1"/>
  <c r="J3338" i="1"/>
  <c r="I3338" i="1"/>
  <c r="J3330" i="1"/>
  <c r="I3330" i="1"/>
  <c r="J3322" i="1"/>
  <c r="I3322" i="1"/>
  <c r="J3314" i="1"/>
  <c r="I3314" i="1"/>
  <c r="J3306" i="1"/>
  <c r="I3306" i="1"/>
  <c r="J3298" i="1"/>
  <c r="I3298" i="1"/>
  <c r="J3290" i="1"/>
  <c r="I3290" i="1"/>
  <c r="J3282" i="1"/>
  <c r="I3282" i="1"/>
  <c r="J3274" i="1"/>
  <c r="I3274" i="1"/>
  <c r="J3266" i="1"/>
  <c r="I3266" i="1"/>
  <c r="J3258" i="1"/>
  <c r="I3258" i="1"/>
  <c r="J3250" i="1"/>
  <c r="I3250" i="1"/>
  <c r="J3242" i="1"/>
  <c r="I3242" i="1"/>
  <c r="J3234" i="1"/>
  <c r="I3234" i="1"/>
  <c r="J3226" i="1"/>
  <c r="I3226" i="1"/>
  <c r="J3218" i="1"/>
  <c r="I3218" i="1"/>
  <c r="J3210" i="1"/>
  <c r="I3210" i="1"/>
  <c r="J3202" i="1"/>
  <c r="I3202" i="1"/>
  <c r="J3194" i="1"/>
  <c r="I3194" i="1"/>
  <c r="J3186" i="1"/>
  <c r="I3186" i="1"/>
  <c r="J3178" i="1"/>
  <c r="I3178" i="1"/>
  <c r="J3170" i="1"/>
  <c r="I3170" i="1"/>
  <c r="J3162" i="1"/>
  <c r="I3162" i="1"/>
  <c r="J3154" i="1"/>
  <c r="I3154" i="1"/>
  <c r="J3146" i="1"/>
  <c r="I3146" i="1"/>
  <c r="J3138" i="1"/>
  <c r="I3138" i="1"/>
  <c r="J3130" i="1"/>
  <c r="I3130" i="1"/>
  <c r="J3122" i="1"/>
  <c r="I3122" i="1"/>
  <c r="J3114" i="1"/>
  <c r="I3114" i="1"/>
  <c r="J3106" i="1"/>
  <c r="I3106" i="1"/>
  <c r="J3098" i="1"/>
  <c r="I3098" i="1"/>
  <c r="J3090" i="1"/>
  <c r="I3090" i="1"/>
  <c r="J3082" i="1"/>
  <c r="I3082" i="1"/>
  <c r="J3074" i="1"/>
  <c r="I3074" i="1"/>
  <c r="J3066" i="1"/>
  <c r="I3066" i="1"/>
  <c r="J3050" i="1"/>
  <c r="I3050" i="1"/>
  <c r="J3042" i="1"/>
  <c r="I3042" i="1"/>
  <c r="J3034" i="1"/>
  <c r="I3034" i="1"/>
  <c r="J3026" i="1"/>
  <c r="I3026" i="1"/>
  <c r="J3018" i="1"/>
  <c r="I3018" i="1"/>
  <c r="J3010" i="1"/>
  <c r="I3010" i="1"/>
  <c r="J3002" i="1"/>
  <c r="I3002" i="1"/>
  <c r="J2994" i="1"/>
  <c r="I2994" i="1"/>
  <c r="J2986" i="1"/>
  <c r="I2986" i="1"/>
  <c r="J2978" i="1"/>
  <c r="I2978" i="1"/>
  <c r="J2970" i="1"/>
  <c r="I2970" i="1"/>
  <c r="J2962" i="1"/>
  <c r="I2962" i="1"/>
  <c r="J2954" i="1"/>
  <c r="I2954" i="1"/>
  <c r="J2946" i="1"/>
  <c r="I2946" i="1"/>
  <c r="J2938" i="1"/>
  <c r="I2938" i="1"/>
  <c r="J2930" i="1"/>
  <c r="I2930" i="1"/>
  <c r="J2922" i="1"/>
  <c r="I2922" i="1"/>
  <c r="J2914" i="1"/>
  <c r="I2914" i="1"/>
  <c r="J2906" i="1"/>
  <c r="I2906" i="1"/>
  <c r="J2898" i="1"/>
  <c r="I2898" i="1"/>
  <c r="J2890" i="1"/>
  <c r="I2890" i="1"/>
  <c r="J2882" i="1"/>
  <c r="I2882" i="1"/>
  <c r="J2874" i="1"/>
  <c r="I2874" i="1"/>
  <c r="J2866" i="1"/>
  <c r="I2866" i="1"/>
  <c r="J2858" i="1"/>
  <c r="I2858" i="1"/>
  <c r="J2850" i="1"/>
  <c r="I2850" i="1"/>
  <c r="J2842" i="1"/>
  <c r="I2842" i="1"/>
  <c r="J2834" i="1"/>
  <c r="I2834" i="1"/>
  <c r="J2826" i="1"/>
  <c r="I2826" i="1"/>
  <c r="J2818" i="1"/>
  <c r="I2818" i="1"/>
  <c r="J2810" i="1"/>
  <c r="I2810" i="1"/>
  <c r="J2802" i="1"/>
  <c r="I2802" i="1"/>
  <c r="J2794" i="1"/>
  <c r="I2794" i="1"/>
  <c r="J2786" i="1"/>
  <c r="I2786" i="1"/>
  <c r="J2778" i="1"/>
  <c r="I2778" i="1"/>
  <c r="J2770" i="1"/>
  <c r="I2770" i="1"/>
  <c r="J2762" i="1"/>
  <c r="I2762" i="1"/>
  <c r="J2754" i="1"/>
  <c r="I2754" i="1"/>
  <c r="J2746" i="1"/>
  <c r="I2746" i="1"/>
  <c r="J2730" i="1"/>
  <c r="I2730" i="1"/>
  <c r="J2722" i="1"/>
  <c r="I2722" i="1"/>
  <c r="J2714" i="1"/>
  <c r="I2714" i="1"/>
  <c r="J2706" i="1"/>
  <c r="I2706" i="1"/>
  <c r="J2698" i="1"/>
  <c r="I2698" i="1"/>
  <c r="J2690" i="1"/>
  <c r="I2690" i="1"/>
  <c r="J2682" i="1"/>
  <c r="I2682" i="1"/>
  <c r="J2674" i="1"/>
  <c r="I2674" i="1"/>
  <c r="J2666" i="1"/>
  <c r="I2666" i="1"/>
  <c r="J2658" i="1"/>
  <c r="I2658" i="1"/>
  <c r="J2650" i="1"/>
  <c r="I2650" i="1"/>
  <c r="J2642" i="1"/>
  <c r="I2642" i="1"/>
  <c r="J2634" i="1"/>
  <c r="I2634" i="1"/>
  <c r="J2626" i="1"/>
  <c r="I2626" i="1"/>
  <c r="J2618" i="1"/>
  <c r="I2618" i="1"/>
  <c r="J2610" i="1"/>
  <c r="I2610" i="1"/>
  <c r="J2602" i="1"/>
  <c r="I2602" i="1"/>
  <c r="J2594" i="1"/>
  <c r="I2594" i="1"/>
  <c r="J2586" i="1"/>
  <c r="I2586" i="1"/>
  <c r="J2578" i="1"/>
  <c r="I2578" i="1"/>
  <c r="J2570" i="1"/>
  <c r="I2570" i="1"/>
  <c r="J2562" i="1"/>
  <c r="I2562" i="1"/>
  <c r="J2554" i="1"/>
  <c r="I2554" i="1"/>
  <c r="J2546" i="1"/>
  <c r="I2546" i="1"/>
  <c r="J2538" i="1"/>
  <c r="I2538" i="1"/>
  <c r="J2530" i="1"/>
  <c r="I2530" i="1"/>
  <c r="J2522" i="1"/>
  <c r="I2522" i="1"/>
  <c r="J2514" i="1"/>
  <c r="I2514" i="1"/>
  <c r="J2506" i="1"/>
  <c r="I2506" i="1"/>
  <c r="J2498" i="1"/>
  <c r="I2498" i="1"/>
  <c r="J2490" i="1"/>
  <c r="I2490" i="1"/>
  <c r="J2482" i="1"/>
  <c r="I2482" i="1"/>
  <c r="J2474" i="1"/>
  <c r="I2474" i="1"/>
  <c r="J2466" i="1"/>
  <c r="I2466" i="1"/>
  <c r="J2458" i="1"/>
  <c r="I2458" i="1"/>
  <c r="J2450" i="1"/>
  <c r="I2450" i="1"/>
  <c r="J2442" i="1"/>
  <c r="I2442" i="1"/>
  <c r="J2434" i="1"/>
  <c r="I2434" i="1"/>
  <c r="J2426" i="1"/>
  <c r="I2426" i="1"/>
  <c r="J2418" i="1"/>
  <c r="I2418" i="1"/>
  <c r="J2410" i="1"/>
  <c r="I2410" i="1"/>
  <c r="J2394" i="1"/>
  <c r="I2394" i="1"/>
  <c r="J2386" i="1"/>
  <c r="I2386" i="1"/>
  <c r="J2378" i="1"/>
  <c r="I2378" i="1"/>
  <c r="J2370" i="1"/>
  <c r="I2370" i="1"/>
  <c r="J2362" i="1"/>
  <c r="I2362" i="1"/>
  <c r="J2354" i="1"/>
  <c r="I2354" i="1"/>
  <c r="J2346" i="1"/>
  <c r="I2346" i="1"/>
  <c r="J2338" i="1"/>
  <c r="I2338" i="1"/>
  <c r="J2330" i="1"/>
  <c r="I2330" i="1"/>
  <c r="J2322" i="1"/>
  <c r="I2322" i="1"/>
  <c r="J2314" i="1"/>
  <c r="I2314" i="1"/>
  <c r="J2306" i="1"/>
  <c r="I2306" i="1"/>
  <c r="J2298" i="1"/>
  <c r="I2298" i="1"/>
  <c r="J2290" i="1"/>
  <c r="I2290" i="1"/>
  <c r="J2282" i="1"/>
  <c r="I2282" i="1"/>
  <c r="J2274" i="1"/>
  <c r="I2274" i="1"/>
  <c r="J2266" i="1"/>
  <c r="I2266" i="1"/>
  <c r="J2258" i="1"/>
  <c r="I2258" i="1"/>
  <c r="J2250" i="1"/>
  <c r="I2250" i="1"/>
  <c r="J2242" i="1"/>
  <c r="I2242" i="1"/>
  <c r="J2234" i="1"/>
  <c r="I2234" i="1"/>
  <c r="J2226" i="1"/>
  <c r="I2226" i="1"/>
  <c r="J2218" i="1"/>
  <c r="I2218" i="1"/>
  <c r="J2210" i="1"/>
  <c r="I2210" i="1"/>
  <c r="J2202" i="1"/>
  <c r="I2202" i="1"/>
  <c r="J2194" i="1"/>
  <c r="I2194" i="1"/>
  <c r="J2186" i="1"/>
  <c r="I2186" i="1"/>
  <c r="J2178" i="1"/>
  <c r="I2178" i="1"/>
  <c r="J2170" i="1"/>
  <c r="I2170" i="1"/>
  <c r="J2162" i="1"/>
  <c r="I2162" i="1"/>
  <c r="J2154" i="1"/>
  <c r="I2154" i="1"/>
  <c r="J2146" i="1"/>
  <c r="I2146" i="1"/>
  <c r="J2138" i="1"/>
  <c r="I2138" i="1"/>
  <c r="J2130" i="1"/>
  <c r="I2130" i="1"/>
  <c r="J2122" i="1"/>
  <c r="I2122" i="1"/>
  <c r="J2114" i="1"/>
  <c r="I2114" i="1"/>
  <c r="J2106" i="1"/>
  <c r="I2106" i="1"/>
  <c r="J2098" i="1"/>
  <c r="I2098" i="1"/>
  <c r="J2090" i="1"/>
  <c r="I2090" i="1"/>
  <c r="J2082" i="1"/>
  <c r="I2082" i="1"/>
  <c r="J2074" i="1"/>
  <c r="I2074" i="1"/>
  <c r="J2066" i="1"/>
  <c r="I2066" i="1"/>
  <c r="J2058" i="1"/>
  <c r="I2058" i="1"/>
  <c r="J2050" i="1"/>
  <c r="I2050" i="1"/>
  <c r="J2042" i="1"/>
  <c r="I2042" i="1"/>
  <c r="J2034" i="1"/>
  <c r="I2034" i="1"/>
  <c r="J2026" i="1"/>
  <c r="I2026" i="1"/>
  <c r="J2018" i="1"/>
  <c r="I2018" i="1"/>
  <c r="J2010" i="1"/>
  <c r="I2010" i="1"/>
  <c r="J2002" i="1"/>
  <c r="I2002" i="1"/>
  <c r="J1994" i="1"/>
  <c r="I1994" i="1"/>
  <c r="J1986" i="1"/>
  <c r="I1986" i="1"/>
  <c r="J1978" i="1"/>
  <c r="I1978" i="1"/>
  <c r="J1970" i="1"/>
  <c r="I1970" i="1"/>
  <c r="J1962" i="1"/>
  <c r="I1962" i="1"/>
  <c r="J1954" i="1"/>
  <c r="I1954" i="1"/>
  <c r="J1946" i="1"/>
  <c r="I1946" i="1"/>
  <c r="J1938" i="1"/>
  <c r="I1938" i="1"/>
  <c r="J1930" i="1"/>
  <c r="I1930" i="1"/>
  <c r="J1922" i="1"/>
  <c r="I1922" i="1"/>
  <c r="J1914" i="1"/>
  <c r="I1914" i="1"/>
  <c r="J1906" i="1"/>
  <c r="I1906" i="1"/>
  <c r="J1898" i="1"/>
  <c r="I1898" i="1"/>
  <c r="J1890" i="1"/>
  <c r="I1890" i="1"/>
  <c r="J1882" i="1"/>
  <c r="I1882" i="1"/>
  <c r="J1874" i="1"/>
  <c r="I1874" i="1"/>
  <c r="J1866" i="1"/>
  <c r="I1866" i="1"/>
  <c r="J1858" i="1"/>
  <c r="I1858" i="1"/>
  <c r="J1850" i="1"/>
  <c r="I1850" i="1"/>
  <c r="J1842" i="1"/>
  <c r="I1842" i="1"/>
  <c r="J1834" i="1"/>
  <c r="I1834" i="1"/>
  <c r="J1826" i="1"/>
  <c r="I1826" i="1"/>
  <c r="J1818" i="1"/>
  <c r="I1818" i="1"/>
  <c r="J1810" i="1"/>
  <c r="I1810" i="1"/>
  <c r="J1802" i="1"/>
  <c r="I1802" i="1"/>
  <c r="J1794" i="1"/>
  <c r="I1794" i="1"/>
  <c r="J1786" i="1"/>
  <c r="I1786" i="1"/>
  <c r="J1778" i="1"/>
  <c r="I1778" i="1"/>
  <c r="J1770" i="1"/>
  <c r="I1770" i="1"/>
  <c r="J1762" i="1"/>
  <c r="I1762" i="1"/>
  <c r="J1754" i="1"/>
  <c r="I1754" i="1"/>
  <c r="J1746" i="1"/>
  <c r="I1746" i="1"/>
  <c r="J1738" i="1"/>
  <c r="I1738" i="1"/>
  <c r="J1730" i="1"/>
  <c r="I1730" i="1"/>
  <c r="J1722" i="1"/>
  <c r="I1722" i="1"/>
  <c r="J1714" i="1"/>
  <c r="I1714" i="1"/>
  <c r="J1706" i="1"/>
  <c r="I1706" i="1"/>
  <c r="J1698" i="1"/>
  <c r="I1698" i="1"/>
  <c r="J1690" i="1"/>
  <c r="I1690" i="1"/>
  <c r="J1682" i="1"/>
  <c r="I1682" i="1"/>
  <c r="J1674" i="1"/>
  <c r="I1674" i="1"/>
  <c r="J1666" i="1"/>
  <c r="I1666" i="1"/>
  <c r="J1658" i="1"/>
  <c r="I1658" i="1"/>
  <c r="J1650" i="1"/>
  <c r="I1650" i="1"/>
  <c r="J1642" i="1"/>
  <c r="I1642" i="1"/>
  <c r="J1634" i="1"/>
  <c r="I1634" i="1"/>
  <c r="J1626" i="1"/>
  <c r="I1626" i="1"/>
  <c r="J1618" i="1"/>
  <c r="I1618" i="1"/>
  <c r="J1610" i="1"/>
  <c r="I1610" i="1"/>
  <c r="J1602" i="1"/>
  <c r="I1602" i="1"/>
  <c r="J1594" i="1"/>
  <c r="I1594" i="1"/>
  <c r="J1586" i="1"/>
  <c r="I1586" i="1"/>
  <c r="J1578" i="1"/>
  <c r="I1578" i="1"/>
  <c r="J1570" i="1"/>
  <c r="I1570" i="1"/>
  <c r="J1562" i="1"/>
  <c r="I1562" i="1"/>
  <c r="J1554" i="1"/>
  <c r="I1554" i="1"/>
  <c r="J1546" i="1"/>
  <c r="I1546" i="1"/>
  <c r="J1538" i="1"/>
  <c r="I1538" i="1"/>
  <c r="J1530" i="1"/>
  <c r="I1530" i="1"/>
  <c r="J1522" i="1"/>
  <c r="I1522" i="1"/>
  <c r="J1514" i="1"/>
  <c r="I1514" i="1"/>
  <c r="J1506" i="1"/>
  <c r="I1506" i="1"/>
  <c r="J1498" i="1"/>
  <c r="I1498" i="1"/>
  <c r="J1490" i="1"/>
  <c r="I1490" i="1"/>
  <c r="J1482" i="1"/>
  <c r="I1482" i="1"/>
  <c r="J1474" i="1"/>
  <c r="I1474" i="1"/>
  <c r="J1466" i="1"/>
  <c r="I1466" i="1"/>
  <c r="J1458" i="1"/>
  <c r="I1458" i="1"/>
  <c r="J1450" i="1"/>
  <c r="I1450" i="1"/>
  <c r="J1442" i="1"/>
  <c r="I1442" i="1"/>
  <c r="J1434" i="1"/>
  <c r="I1434" i="1"/>
  <c r="J1426" i="1"/>
  <c r="I1426" i="1"/>
  <c r="J1418" i="1"/>
  <c r="I1418" i="1"/>
  <c r="J1410" i="1"/>
  <c r="I1410" i="1"/>
  <c r="J1402" i="1"/>
  <c r="I1402" i="1"/>
  <c r="J1394" i="1"/>
  <c r="I1394" i="1"/>
  <c r="J1386" i="1"/>
  <c r="I1386" i="1"/>
  <c r="J1378" i="1"/>
  <c r="I1378" i="1"/>
  <c r="J1370" i="1"/>
  <c r="I1370" i="1"/>
  <c r="J1362" i="1"/>
  <c r="I1362" i="1"/>
  <c r="J1354" i="1"/>
  <c r="I1354" i="1"/>
  <c r="J1346" i="1"/>
  <c r="I1346" i="1"/>
  <c r="J1338" i="1"/>
  <c r="I1338" i="1"/>
  <c r="J1330" i="1"/>
  <c r="I1330" i="1"/>
  <c r="J1322" i="1"/>
  <c r="I1322" i="1"/>
  <c r="J1314" i="1"/>
  <c r="I1314" i="1"/>
  <c r="J1306" i="1"/>
  <c r="I1306" i="1"/>
  <c r="J1298" i="1"/>
  <c r="I1298" i="1"/>
  <c r="J1290" i="1"/>
  <c r="I1290" i="1"/>
  <c r="J1282" i="1"/>
  <c r="I1282" i="1"/>
  <c r="J1274" i="1"/>
  <c r="I1274" i="1"/>
  <c r="J1266" i="1"/>
  <c r="I1266" i="1"/>
  <c r="J1258" i="1"/>
  <c r="I1258" i="1"/>
  <c r="J1250" i="1"/>
  <c r="I1250" i="1"/>
  <c r="J1242" i="1"/>
  <c r="I1242" i="1"/>
  <c r="J1234" i="1"/>
  <c r="I1234" i="1"/>
  <c r="J1226" i="1"/>
  <c r="I1226" i="1"/>
  <c r="J1218" i="1"/>
  <c r="I1218" i="1"/>
  <c r="J1210" i="1"/>
  <c r="I1210" i="1"/>
  <c r="J1202" i="1"/>
  <c r="I1202" i="1"/>
  <c r="J1194" i="1"/>
  <c r="I1194" i="1"/>
  <c r="J1186" i="1"/>
  <c r="I1186" i="1"/>
  <c r="J1178" i="1"/>
  <c r="I1178" i="1"/>
  <c r="J1170" i="1"/>
  <c r="I1170" i="1"/>
  <c r="J1162" i="1"/>
  <c r="I1162" i="1"/>
  <c r="J1154" i="1"/>
  <c r="I1154" i="1"/>
  <c r="J1146" i="1"/>
  <c r="I1146" i="1"/>
  <c r="J1138" i="1"/>
  <c r="I1138" i="1"/>
  <c r="J1130" i="1"/>
  <c r="I1130" i="1"/>
  <c r="J1122" i="1"/>
  <c r="I1122" i="1"/>
  <c r="J1114" i="1"/>
  <c r="I1114" i="1"/>
  <c r="J1106" i="1"/>
  <c r="I1106" i="1"/>
  <c r="J1098" i="1"/>
  <c r="I1098" i="1"/>
  <c r="J1090" i="1"/>
  <c r="I1090" i="1"/>
  <c r="J1082" i="1"/>
  <c r="I1082" i="1"/>
  <c r="J1074" i="1"/>
  <c r="I1074" i="1"/>
  <c r="J1066" i="1"/>
  <c r="I1066" i="1"/>
  <c r="J1058" i="1"/>
  <c r="I1058" i="1"/>
  <c r="J1050" i="1"/>
  <c r="I1050" i="1"/>
  <c r="J1042" i="1"/>
  <c r="I1042" i="1"/>
  <c r="J1034" i="1"/>
  <c r="I1034" i="1"/>
  <c r="J1026" i="1"/>
  <c r="I1026" i="1"/>
  <c r="J1018" i="1"/>
  <c r="I1018" i="1"/>
  <c r="J1010" i="1"/>
  <c r="I1010" i="1"/>
  <c r="J1002" i="1"/>
  <c r="I1002" i="1"/>
  <c r="J994" i="1"/>
  <c r="I994" i="1"/>
  <c r="J986" i="1"/>
  <c r="I986" i="1"/>
  <c r="J978" i="1"/>
  <c r="I978" i="1"/>
  <c r="J970" i="1"/>
  <c r="I970" i="1"/>
  <c r="J962" i="1"/>
  <c r="I962" i="1"/>
  <c r="J954" i="1"/>
  <c r="I954" i="1"/>
  <c r="J946" i="1"/>
  <c r="I946" i="1"/>
  <c r="J938" i="1"/>
  <c r="I938" i="1"/>
  <c r="J930" i="1"/>
  <c r="I930" i="1"/>
  <c r="J922" i="1"/>
  <c r="I922" i="1"/>
  <c r="J914" i="1"/>
  <c r="I914" i="1"/>
  <c r="J906" i="1"/>
  <c r="I906" i="1"/>
  <c r="J898" i="1"/>
  <c r="I898" i="1"/>
  <c r="J890" i="1"/>
  <c r="I890" i="1"/>
  <c r="J882" i="1"/>
  <c r="I882" i="1"/>
  <c r="J874" i="1"/>
  <c r="I874" i="1"/>
  <c r="J866" i="1"/>
  <c r="I866" i="1"/>
  <c r="J858" i="1"/>
  <c r="I858" i="1"/>
  <c r="J850" i="1"/>
  <c r="I850" i="1"/>
  <c r="J842" i="1"/>
  <c r="I842" i="1"/>
  <c r="J834" i="1"/>
  <c r="I834" i="1"/>
  <c r="J826" i="1"/>
  <c r="I826" i="1"/>
  <c r="J818" i="1"/>
  <c r="I818" i="1"/>
  <c r="J810" i="1"/>
  <c r="I810" i="1"/>
  <c r="J802" i="1"/>
  <c r="I802" i="1"/>
  <c r="J794" i="1"/>
  <c r="I794" i="1"/>
  <c r="J786" i="1"/>
  <c r="I786" i="1"/>
  <c r="J778" i="1"/>
  <c r="I778" i="1"/>
  <c r="J770" i="1"/>
  <c r="I770" i="1"/>
  <c r="J762" i="1"/>
  <c r="I762" i="1"/>
  <c r="J754" i="1"/>
  <c r="I754" i="1"/>
  <c r="J746" i="1"/>
  <c r="I746" i="1"/>
  <c r="J738" i="1"/>
  <c r="I738" i="1"/>
  <c r="J730" i="1"/>
  <c r="I730" i="1"/>
  <c r="J722" i="1"/>
  <c r="I722" i="1"/>
  <c r="J714" i="1"/>
  <c r="I714" i="1"/>
  <c r="J706" i="1"/>
  <c r="I706" i="1"/>
  <c r="J698" i="1"/>
  <c r="I698" i="1"/>
  <c r="J690" i="1"/>
  <c r="I690" i="1"/>
  <c r="J682" i="1"/>
  <c r="I682" i="1"/>
  <c r="J674" i="1"/>
  <c r="I674" i="1"/>
  <c r="J666" i="1"/>
  <c r="I666" i="1"/>
  <c r="J658" i="1"/>
  <c r="I658" i="1"/>
  <c r="J650" i="1"/>
  <c r="I650" i="1"/>
  <c r="J642" i="1"/>
  <c r="I642" i="1"/>
  <c r="J634" i="1"/>
  <c r="I634" i="1"/>
  <c r="J626" i="1"/>
  <c r="I626" i="1"/>
  <c r="J618" i="1"/>
  <c r="I618" i="1"/>
  <c r="J610" i="1"/>
  <c r="I610" i="1"/>
  <c r="J602" i="1"/>
  <c r="I602" i="1"/>
  <c r="J594" i="1"/>
  <c r="I594" i="1"/>
  <c r="J586" i="1"/>
  <c r="I586" i="1"/>
  <c r="J578" i="1"/>
  <c r="I578" i="1"/>
  <c r="J570" i="1"/>
  <c r="I570" i="1"/>
  <c r="J562" i="1"/>
  <c r="I562" i="1"/>
  <c r="J554" i="1"/>
  <c r="I554" i="1"/>
  <c r="J546" i="1"/>
  <c r="I546" i="1"/>
  <c r="J538" i="1"/>
  <c r="I538" i="1"/>
  <c r="J530" i="1"/>
  <c r="I530" i="1"/>
  <c r="J522" i="1"/>
  <c r="I522" i="1"/>
  <c r="J514" i="1"/>
  <c r="I514" i="1"/>
  <c r="J506" i="1"/>
  <c r="I506" i="1"/>
  <c r="J498" i="1"/>
  <c r="I498" i="1"/>
  <c r="J490" i="1"/>
  <c r="I490" i="1"/>
  <c r="J482" i="1"/>
  <c r="I482" i="1"/>
  <c r="J474" i="1"/>
  <c r="I474" i="1"/>
  <c r="J466" i="1"/>
  <c r="I466" i="1"/>
  <c r="J458" i="1"/>
  <c r="I458" i="1"/>
  <c r="J450" i="1"/>
  <c r="I450" i="1"/>
  <c r="J442" i="1"/>
  <c r="I442" i="1"/>
  <c r="J434" i="1"/>
  <c r="I434" i="1"/>
  <c r="J426" i="1"/>
  <c r="I426" i="1"/>
  <c r="J418" i="1"/>
  <c r="I418" i="1"/>
  <c r="J410" i="1"/>
  <c r="I410" i="1"/>
  <c r="J402" i="1"/>
  <c r="I402" i="1"/>
  <c r="J394" i="1"/>
  <c r="I394" i="1"/>
  <c r="J386" i="1"/>
  <c r="I386" i="1"/>
  <c r="J378" i="1"/>
  <c r="I378" i="1"/>
  <c r="J370" i="1"/>
  <c r="I370" i="1"/>
  <c r="J362" i="1"/>
  <c r="I362" i="1"/>
  <c r="J354" i="1"/>
  <c r="I354" i="1"/>
  <c r="J346" i="1"/>
  <c r="I346" i="1"/>
  <c r="J338" i="1"/>
  <c r="I338" i="1"/>
  <c r="J330" i="1"/>
  <c r="I330" i="1"/>
  <c r="J322" i="1"/>
  <c r="I322" i="1"/>
  <c r="J314" i="1"/>
  <c r="I314" i="1"/>
  <c r="J306" i="1"/>
  <c r="I306" i="1"/>
  <c r="J298" i="1"/>
  <c r="I298" i="1"/>
  <c r="J290" i="1"/>
  <c r="I290" i="1"/>
  <c r="J282" i="1"/>
  <c r="I282" i="1"/>
  <c r="J274" i="1"/>
  <c r="I274" i="1"/>
  <c r="J266" i="1"/>
  <c r="I266" i="1"/>
  <c r="J258" i="1"/>
  <c r="I258" i="1"/>
  <c r="J250" i="1"/>
  <c r="I250" i="1"/>
  <c r="J242" i="1"/>
  <c r="I242" i="1"/>
  <c r="J234" i="1"/>
  <c r="I234" i="1"/>
  <c r="J226" i="1"/>
  <c r="I226" i="1"/>
  <c r="J218" i="1"/>
  <c r="I218" i="1"/>
  <c r="J210" i="1"/>
  <c r="I210" i="1"/>
  <c r="J202" i="1"/>
  <c r="I202" i="1"/>
  <c r="J194" i="1"/>
  <c r="I194" i="1"/>
  <c r="J186" i="1"/>
  <c r="I186" i="1"/>
  <c r="J178" i="1"/>
  <c r="I178" i="1"/>
  <c r="J170" i="1"/>
  <c r="I170" i="1"/>
  <c r="J162" i="1"/>
  <c r="I162" i="1"/>
  <c r="J154" i="1"/>
  <c r="I154" i="1"/>
  <c r="J146" i="1"/>
  <c r="I146" i="1"/>
  <c r="J138" i="1"/>
  <c r="I138" i="1"/>
  <c r="J130" i="1"/>
  <c r="I130" i="1"/>
  <c r="J122" i="1"/>
  <c r="I122" i="1"/>
  <c r="J114" i="1"/>
  <c r="I114" i="1"/>
  <c r="J106" i="1"/>
  <c r="I106" i="1"/>
  <c r="J98" i="1"/>
  <c r="I98" i="1"/>
  <c r="J90" i="1"/>
  <c r="I90" i="1"/>
  <c r="J82" i="1"/>
  <c r="I82" i="1"/>
  <c r="J74" i="1"/>
  <c r="I74" i="1"/>
  <c r="J66" i="1"/>
  <c r="I66" i="1"/>
  <c r="J58" i="1"/>
  <c r="I58" i="1"/>
  <c r="J50" i="1"/>
  <c r="I50" i="1"/>
  <c r="J42" i="1"/>
  <c r="I42" i="1"/>
  <c r="J34" i="1"/>
  <c r="I34" i="1"/>
  <c r="J26" i="1"/>
  <c r="I26" i="1"/>
  <c r="J18" i="1"/>
  <c r="I18" i="1"/>
  <c r="J10" i="1"/>
  <c r="I10" i="1"/>
  <c r="I3553" i="1"/>
  <c r="I3297" i="1"/>
  <c r="I2891" i="1"/>
  <c r="J3737" i="1"/>
  <c r="I3737" i="1"/>
  <c r="J3729" i="1"/>
  <c r="I3729" i="1"/>
  <c r="J3721" i="1"/>
  <c r="I3721" i="1"/>
  <c r="J3705" i="1"/>
  <c r="I3705" i="1"/>
  <c r="J3697" i="1"/>
  <c r="I3697" i="1"/>
  <c r="J3689" i="1"/>
  <c r="I3689" i="1"/>
  <c r="J3673" i="1"/>
  <c r="I3673" i="1"/>
  <c r="J3665" i="1"/>
  <c r="I3665" i="1"/>
  <c r="J3657" i="1"/>
  <c r="I3657" i="1"/>
  <c r="J3641" i="1"/>
  <c r="I3641" i="1"/>
  <c r="J3633" i="1"/>
  <c r="I3633" i="1"/>
  <c r="J3625" i="1"/>
  <c r="I3625" i="1"/>
  <c r="J3609" i="1"/>
  <c r="I3609" i="1"/>
  <c r="J3601" i="1"/>
  <c r="I3601" i="1"/>
  <c r="J3593" i="1"/>
  <c r="I3593" i="1"/>
  <c r="J3577" i="1"/>
  <c r="I3577" i="1"/>
  <c r="J3569" i="1"/>
  <c r="I3569" i="1"/>
  <c r="J3561" i="1"/>
  <c r="I3561" i="1"/>
  <c r="J3545" i="1"/>
  <c r="I3545" i="1"/>
  <c r="J3537" i="1"/>
  <c r="I3537" i="1"/>
  <c r="J3529" i="1"/>
  <c r="I3529" i="1"/>
  <c r="J3513" i="1"/>
  <c r="I3513" i="1"/>
  <c r="J3505" i="1"/>
  <c r="I3505" i="1"/>
  <c r="J3497" i="1"/>
  <c r="I3497" i="1"/>
  <c r="J3481" i="1"/>
  <c r="I3481" i="1"/>
  <c r="J3473" i="1"/>
  <c r="I3473" i="1"/>
  <c r="J3465" i="1"/>
  <c r="I3465" i="1"/>
  <c r="J3449" i="1"/>
  <c r="I3449" i="1"/>
  <c r="J3441" i="1"/>
  <c r="I3441" i="1"/>
  <c r="J3433" i="1"/>
  <c r="I3433" i="1"/>
  <c r="J3417" i="1"/>
  <c r="I3417" i="1"/>
  <c r="J3409" i="1"/>
  <c r="I3409" i="1"/>
  <c r="J3401" i="1"/>
  <c r="I3401" i="1"/>
  <c r="J3385" i="1"/>
  <c r="I3385" i="1"/>
  <c r="J3377" i="1"/>
  <c r="I3377" i="1"/>
  <c r="J3369" i="1"/>
  <c r="I3369" i="1"/>
  <c r="J3353" i="1"/>
  <c r="I3353" i="1"/>
  <c r="J3345" i="1"/>
  <c r="I3345" i="1"/>
  <c r="J3337" i="1"/>
  <c r="I3337" i="1"/>
  <c r="J3321" i="1"/>
  <c r="I3321" i="1"/>
  <c r="J3313" i="1"/>
  <c r="I3313" i="1"/>
  <c r="J3305" i="1"/>
  <c r="I3305" i="1"/>
  <c r="J3289" i="1"/>
  <c r="I3289" i="1"/>
  <c r="J3281" i="1"/>
  <c r="I3281" i="1"/>
  <c r="J3273" i="1"/>
  <c r="I3273" i="1"/>
  <c r="J3257" i="1"/>
  <c r="I3257" i="1"/>
  <c r="J3249" i="1"/>
  <c r="I3249" i="1"/>
  <c r="J3241" i="1"/>
  <c r="I3241" i="1"/>
  <c r="J3225" i="1"/>
  <c r="I3225" i="1"/>
  <c r="J3217" i="1"/>
  <c r="I3217" i="1"/>
  <c r="J3209" i="1"/>
  <c r="I3209" i="1"/>
  <c r="J3193" i="1"/>
  <c r="I3193" i="1"/>
  <c r="J3185" i="1"/>
  <c r="I3185" i="1"/>
  <c r="J3177" i="1"/>
  <c r="I3177" i="1"/>
  <c r="J3161" i="1"/>
  <c r="I3161" i="1"/>
  <c r="J3153" i="1"/>
  <c r="I3153" i="1"/>
  <c r="J3145" i="1"/>
  <c r="I3145" i="1"/>
  <c r="J3137" i="1"/>
  <c r="I3137" i="1"/>
  <c r="J3129" i="1"/>
  <c r="I3129" i="1"/>
  <c r="J3121" i="1"/>
  <c r="I3121" i="1"/>
  <c r="J3113" i="1"/>
  <c r="I3113" i="1"/>
  <c r="J3105" i="1"/>
  <c r="I3105" i="1"/>
  <c r="J3097" i="1"/>
  <c r="I3097" i="1"/>
  <c r="J3089" i="1"/>
  <c r="I3089" i="1"/>
  <c r="J3081" i="1"/>
  <c r="I3081" i="1"/>
  <c r="J3073" i="1"/>
  <c r="I3073" i="1"/>
  <c r="J3065" i="1"/>
  <c r="I3065" i="1"/>
  <c r="J3057" i="1"/>
  <c r="I3057" i="1"/>
  <c r="J3049" i="1"/>
  <c r="I3049" i="1"/>
  <c r="J3041" i="1"/>
  <c r="I3041" i="1"/>
  <c r="J3033" i="1"/>
  <c r="I3033" i="1"/>
  <c r="J3025" i="1"/>
  <c r="I3025" i="1"/>
  <c r="J3017" i="1"/>
  <c r="I3017" i="1"/>
  <c r="J3009" i="1"/>
  <c r="I3009" i="1"/>
  <c r="J3001" i="1"/>
  <c r="I3001" i="1"/>
  <c r="J2993" i="1"/>
  <c r="I2993" i="1"/>
  <c r="J2985" i="1"/>
  <c r="I2985" i="1"/>
  <c r="J2977" i="1"/>
  <c r="I2977" i="1"/>
  <c r="J2969" i="1"/>
  <c r="I2969" i="1"/>
  <c r="J2961" i="1"/>
  <c r="I2961" i="1"/>
  <c r="J2953" i="1"/>
  <c r="I2953" i="1"/>
  <c r="J2945" i="1"/>
  <c r="I2945" i="1"/>
  <c r="J2937" i="1"/>
  <c r="I2937" i="1"/>
  <c r="J2929" i="1"/>
  <c r="I2929" i="1"/>
  <c r="J2921" i="1"/>
  <c r="I2921" i="1"/>
  <c r="J2913" i="1"/>
  <c r="I2913" i="1"/>
  <c r="J2905" i="1"/>
  <c r="I2905" i="1"/>
  <c r="J2897" i="1"/>
  <c r="I2897" i="1"/>
  <c r="J2889" i="1"/>
  <c r="I2889" i="1"/>
  <c r="J2881" i="1"/>
  <c r="I2881" i="1"/>
  <c r="J2873" i="1"/>
  <c r="I2873" i="1"/>
  <c r="J2865" i="1"/>
  <c r="I2865" i="1"/>
  <c r="J2857" i="1"/>
  <c r="I2857" i="1"/>
  <c r="J2849" i="1"/>
  <c r="I2849" i="1"/>
  <c r="J2841" i="1"/>
  <c r="I2841" i="1"/>
  <c r="J2833" i="1"/>
  <c r="I2833" i="1"/>
  <c r="J2825" i="1"/>
  <c r="I2825" i="1"/>
  <c r="J2817" i="1"/>
  <c r="I2817" i="1"/>
  <c r="J2809" i="1"/>
  <c r="I2809" i="1"/>
  <c r="J2801" i="1"/>
  <c r="I2801" i="1"/>
  <c r="J2793" i="1"/>
  <c r="I2793" i="1"/>
  <c r="J2785" i="1"/>
  <c r="I2785" i="1"/>
  <c r="J2777" i="1"/>
  <c r="I2777" i="1"/>
  <c r="J2769" i="1"/>
  <c r="I2769" i="1"/>
  <c r="J2761" i="1"/>
  <c r="I2761" i="1"/>
  <c r="J2753" i="1"/>
  <c r="I2753" i="1"/>
  <c r="J2745" i="1"/>
  <c r="I2745" i="1"/>
  <c r="J2737" i="1"/>
  <c r="I2737" i="1"/>
  <c r="J2729" i="1"/>
  <c r="I2729" i="1"/>
  <c r="J2721" i="1"/>
  <c r="I2721" i="1"/>
  <c r="J2713" i="1"/>
  <c r="I2713" i="1"/>
  <c r="J2705" i="1"/>
  <c r="I2705" i="1"/>
  <c r="J2697" i="1"/>
  <c r="I2697" i="1"/>
  <c r="J2689" i="1"/>
  <c r="I2689" i="1"/>
  <c r="J2681" i="1"/>
  <c r="I2681" i="1"/>
  <c r="J2673" i="1"/>
  <c r="I2673" i="1"/>
  <c r="J2665" i="1"/>
  <c r="I2665" i="1"/>
  <c r="J2657" i="1"/>
  <c r="I2657" i="1"/>
  <c r="J2649" i="1"/>
  <c r="I2649" i="1"/>
  <c r="J2641" i="1"/>
  <c r="I2641" i="1"/>
  <c r="J2633" i="1"/>
  <c r="I2633" i="1"/>
  <c r="J2625" i="1"/>
  <c r="I2625" i="1"/>
  <c r="J2617" i="1"/>
  <c r="I2617" i="1"/>
  <c r="J2609" i="1"/>
  <c r="I2609" i="1"/>
  <c r="J2601" i="1"/>
  <c r="I2601" i="1"/>
  <c r="J2593" i="1"/>
  <c r="I2593" i="1"/>
  <c r="J2585" i="1"/>
  <c r="I2585" i="1"/>
  <c r="J2577" i="1"/>
  <c r="I2577" i="1"/>
  <c r="J2569" i="1"/>
  <c r="I2569" i="1"/>
  <c r="J2561" i="1"/>
  <c r="I2561" i="1"/>
  <c r="J2553" i="1"/>
  <c r="I2553" i="1"/>
  <c r="J2545" i="1"/>
  <c r="I2545" i="1"/>
  <c r="J2537" i="1"/>
  <c r="I2537" i="1"/>
  <c r="J2529" i="1"/>
  <c r="I2529" i="1"/>
  <c r="J2521" i="1"/>
  <c r="I2521" i="1"/>
  <c r="J2513" i="1"/>
  <c r="I2513" i="1"/>
  <c r="J2505" i="1"/>
  <c r="I2505" i="1"/>
  <c r="J2497" i="1"/>
  <c r="I2497" i="1"/>
  <c r="J2489" i="1"/>
  <c r="I2489" i="1"/>
  <c r="J2481" i="1"/>
  <c r="I2481" i="1"/>
  <c r="J2473" i="1"/>
  <c r="I2473" i="1"/>
  <c r="J2465" i="1"/>
  <c r="I2465" i="1"/>
  <c r="J2457" i="1"/>
  <c r="I2457" i="1"/>
  <c r="J2449" i="1"/>
  <c r="I2449" i="1"/>
  <c r="J2441" i="1"/>
  <c r="I2441" i="1"/>
  <c r="J2433" i="1"/>
  <c r="I2433" i="1"/>
  <c r="J2425" i="1"/>
  <c r="I2425" i="1"/>
  <c r="J2417" i="1"/>
  <c r="I2417" i="1"/>
  <c r="J2409" i="1"/>
  <c r="I2409" i="1"/>
  <c r="J2401" i="1"/>
  <c r="I2401" i="1"/>
  <c r="J2393" i="1"/>
  <c r="I2393" i="1"/>
  <c r="J2385" i="1"/>
  <c r="I2385" i="1"/>
  <c r="J2377" i="1"/>
  <c r="I2377" i="1"/>
  <c r="J2369" i="1"/>
  <c r="I2369" i="1"/>
  <c r="J2361" i="1"/>
  <c r="I2361" i="1"/>
  <c r="J2353" i="1"/>
  <c r="I2353" i="1"/>
  <c r="J2345" i="1"/>
  <c r="I2345" i="1"/>
  <c r="J2337" i="1"/>
  <c r="I2337" i="1"/>
  <c r="J2329" i="1"/>
  <c r="I2329" i="1"/>
  <c r="J2321" i="1"/>
  <c r="I2321" i="1"/>
  <c r="J2313" i="1"/>
  <c r="I2313" i="1"/>
  <c r="J2305" i="1"/>
  <c r="I2305" i="1"/>
  <c r="J2297" i="1"/>
  <c r="I2297" i="1"/>
  <c r="J2289" i="1"/>
  <c r="I2289" i="1"/>
  <c r="J2281" i="1"/>
  <c r="I2281" i="1"/>
  <c r="J2273" i="1"/>
  <c r="I2273" i="1"/>
  <c r="J2265" i="1"/>
  <c r="I2265" i="1"/>
  <c r="J2257" i="1"/>
  <c r="I2257" i="1"/>
  <c r="J2249" i="1"/>
  <c r="I2249" i="1"/>
  <c r="J2241" i="1"/>
  <c r="I2241" i="1"/>
  <c r="J2233" i="1"/>
  <c r="I2233" i="1"/>
  <c r="J2225" i="1"/>
  <c r="I2225" i="1"/>
  <c r="J2217" i="1"/>
  <c r="I2217" i="1"/>
  <c r="J2209" i="1"/>
  <c r="I2209" i="1"/>
  <c r="J2201" i="1"/>
  <c r="I2201" i="1"/>
  <c r="J2193" i="1"/>
  <c r="I2193" i="1"/>
  <c r="J2185" i="1"/>
  <c r="I2185" i="1"/>
  <c r="J2177" i="1"/>
  <c r="I2177" i="1"/>
  <c r="J2169" i="1"/>
  <c r="I2169" i="1"/>
  <c r="J2161" i="1"/>
  <c r="I2161" i="1"/>
  <c r="J2153" i="1"/>
  <c r="I2153" i="1"/>
  <c r="J2145" i="1"/>
  <c r="I2145" i="1"/>
  <c r="J2137" i="1"/>
  <c r="I2137" i="1"/>
  <c r="J2129" i="1"/>
  <c r="I2129" i="1"/>
  <c r="J2121" i="1"/>
  <c r="I2121" i="1"/>
  <c r="J2113" i="1"/>
  <c r="I2113" i="1"/>
  <c r="J2105" i="1"/>
  <c r="I2105" i="1"/>
  <c r="J2097" i="1"/>
  <c r="I2097" i="1"/>
  <c r="J2089" i="1"/>
  <c r="I2089" i="1"/>
  <c r="J2081" i="1"/>
  <c r="I2081" i="1"/>
  <c r="J2073" i="1"/>
  <c r="I2073" i="1"/>
  <c r="J2065" i="1"/>
  <c r="I2065" i="1"/>
  <c r="J2057" i="1"/>
  <c r="I2057" i="1"/>
  <c r="J2049" i="1"/>
  <c r="I2049" i="1"/>
  <c r="J2041" i="1"/>
  <c r="I2041" i="1"/>
  <c r="J2033" i="1"/>
  <c r="I2033" i="1"/>
  <c r="J2025" i="1"/>
  <c r="I2025" i="1"/>
  <c r="J2017" i="1"/>
  <c r="I2017" i="1"/>
  <c r="J2009" i="1"/>
  <c r="I2009" i="1"/>
  <c r="J2001" i="1"/>
  <c r="I2001" i="1"/>
  <c r="J1993" i="1"/>
  <c r="I1993" i="1"/>
  <c r="J1985" i="1"/>
  <c r="I1985" i="1"/>
  <c r="J1977" i="1"/>
  <c r="I1977" i="1"/>
  <c r="J1969" i="1"/>
  <c r="I1969" i="1"/>
  <c r="J1961" i="1"/>
  <c r="I1961" i="1"/>
  <c r="J1953" i="1"/>
  <c r="I1953" i="1"/>
  <c r="J1945" i="1"/>
  <c r="I1945" i="1"/>
  <c r="J1937" i="1"/>
  <c r="I1937" i="1"/>
  <c r="J1929" i="1"/>
  <c r="I1929" i="1"/>
  <c r="J1921" i="1"/>
  <c r="I1921" i="1"/>
  <c r="J1913" i="1"/>
  <c r="I1913" i="1"/>
  <c r="J1905" i="1"/>
  <c r="I1905" i="1"/>
  <c r="J1897" i="1"/>
  <c r="I1897" i="1"/>
  <c r="J1889" i="1"/>
  <c r="I1889" i="1"/>
  <c r="J1881" i="1"/>
  <c r="I1881" i="1"/>
  <c r="J1873" i="1"/>
  <c r="I1873" i="1"/>
  <c r="J1865" i="1"/>
  <c r="I1865" i="1"/>
  <c r="J1857" i="1"/>
  <c r="I1857" i="1"/>
  <c r="J1849" i="1"/>
  <c r="I1849" i="1"/>
  <c r="J1841" i="1"/>
  <c r="I1841" i="1"/>
  <c r="J1833" i="1"/>
  <c r="I1833" i="1"/>
  <c r="J1825" i="1"/>
  <c r="I1825" i="1"/>
  <c r="J1817" i="1"/>
  <c r="I1817" i="1"/>
  <c r="J1809" i="1"/>
  <c r="I1809" i="1"/>
  <c r="J1801" i="1"/>
  <c r="I1801" i="1"/>
  <c r="J1793" i="1"/>
  <c r="I1793" i="1"/>
  <c r="J1785" i="1"/>
  <c r="I1785" i="1"/>
  <c r="J1777" i="1"/>
  <c r="I1777" i="1"/>
  <c r="J1769" i="1"/>
  <c r="I1769" i="1"/>
  <c r="J1761" i="1"/>
  <c r="I1761" i="1"/>
  <c r="J1753" i="1"/>
  <c r="I1753" i="1"/>
  <c r="J1745" i="1"/>
  <c r="I1745" i="1"/>
  <c r="J1737" i="1"/>
  <c r="I1737" i="1"/>
  <c r="J1729" i="1"/>
  <c r="I1729" i="1"/>
  <c r="J1721" i="1"/>
  <c r="I1721" i="1"/>
  <c r="J1713" i="1"/>
  <c r="I1713" i="1"/>
  <c r="J1705" i="1"/>
  <c r="I1705" i="1"/>
  <c r="J1697" i="1"/>
  <c r="I1697" i="1"/>
  <c r="J1689" i="1"/>
  <c r="I1689" i="1"/>
  <c r="J1681" i="1"/>
  <c r="I1681" i="1"/>
  <c r="J1673" i="1"/>
  <c r="I1673" i="1"/>
  <c r="J1665" i="1"/>
  <c r="I1665" i="1"/>
  <c r="J1657" i="1"/>
  <c r="I1657" i="1"/>
  <c r="J1649" i="1"/>
  <c r="I1649" i="1"/>
  <c r="J1641" i="1"/>
  <c r="I1641" i="1"/>
  <c r="J1633" i="1"/>
  <c r="I1633" i="1"/>
  <c r="J1625" i="1"/>
  <c r="I1625" i="1"/>
  <c r="J1617" i="1"/>
  <c r="I1617" i="1"/>
  <c r="J1609" i="1"/>
  <c r="I1609" i="1"/>
  <c r="J1601" i="1"/>
  <c r="I1601" i="1"/>
  <c r="J1593" i="1"/>
  <c r="I1593" i="1"/>
  <c r="J1585" i="1"/>
  <c r="I1585" i="1"/>
  <c r="J1577" i="1"/>
  <c r="I1577" i="1"/>
  <c r="J1569" i="1"/>
  <c r="I1569" i="1"/>
  <c r="J1561" i="1"/>
  <c r="I1561" i="1"/>
  <c r="J1553" i="1"/>
  <c r="I1553" i="1"/>
  <c r="J1545" i="1"/>
  <c r="I1545" i="1"/>
  <c r="J1537" i="1"/>
  <c r="I1537" i="1"/>
  <c r="J1529" i="1"/>
  <c r="I1529" i="1"/>
  <c r="J1521" i="1"/>
  <c r="I1521" i="1"/>
  <c r="J1513" i="1"/>
  <c r="I1513" i="1"/>
  <c r="J1505" i="1"/>
  <c r="I1505" i="1"/>
  <c r="J1497" i="1"/>
  <c r="I1497" i="1"/>
  <c r="J1489" i="1"/>
  <c r="I1489" i="1"/>
  <c r="J1481" i="1"/>
  <c r="I1481" i="1"/>
  <c r="J1473" i="1"/>
  <c r="I1473" i="1"/>
  <c r="J1465" i="1"/>
  <c r="I1465" i="1"/>
  <c r="J1457" i="1"/>
  <c r="I1457" i="1"/>
  <c r="J1449" i="1"/>
  <c r="I1449" i="1"/>
  <c r="J1441" i="1"/>
  <c r="I1441" i="1"/>
  <c r="J1433" i="1"/>
  <c r="I1433" i="1"/>
  <c r="J1425" i="1"/>
  <c r="I1425" i="1"/>
  <c r="J1417" i="1"/>
  <c r="I1417" i="1"/>
  <c r="J1409" i="1"/>
  <c r="I1409" i="1"/>
  <c r="J1401" i="1"/>
  <c r="I1401" i="1"/>
  <c r="J1393" i="1"/>
  <c r="I1393" i="1"/>
  <c r="J1385" i="1"/>
  <c r="I1385" i="1"/>
  <c r="J1377" i="1"/>
  <c r="I1377" i="1"/>
  <c r="J1369" i="1"/>
  <c r="I1369" i="1"/>
  <c r="J1361" i="1"/>
  <c r="I1361" i="1"/>
  <c r="J1353" i="1"/>
  <c r="I1353" i="1"/>
  <c r="J1345" i="1"/>
  <c r="I1345" i="1"/>
  <c r="J1337" i="1"/>
  <c r="I1337" i="1"/>
  <c r="J1329" i="1"/>
  <c r="I1329" i="1"/>
  <c r="J1321" i="1"/>
  <c r="I1321" i="1"/>
  <c r="J1313" i="1"/>
  <c r="I1313" i="1"/>
  <c r="J1305" i="1"/>
  <c r="I1305" i="1"/>
  <c r="J1297" i="1"/>
  <c r="I1297" i="1"/>
  <c r="J1289" i="1"/>
  <c r="I1289" i="1"/>
  <c r="J1281" i="1"/>
  <c r="I1281" i="1"/>
  <c r="J1273" i="1"/>
  <c r="I1273" i="1"/>
  <c r="J1265" i="1"/>
  <c r="I1265" i="1"/>
  <c r="J1257" i="1"/>
  <c r="I1257" i="1"/>
  <c r="J1249" i="1"/>
  <c r="I1249" i="1"/>
  <c r="J1241" i="1"/>
  <c r="I1241" i="1"/>
  <c r="J1233" i="1"/>
  <c r="I1233" i="1"/>
  <c r="J1225" i="1"/>
  <c r="I1225" i="1"/>
  <c r="J1217" i="1"/>
  <c r="I1217" i="1"/>
  <c r="J1209" i="1"/>
  <c r="I1209" i="1"/>
  <c r="J1201" i="1"/>
  <c r="I1201" i="1"/>
  <c r="J1193" i="1"/>
  <c r="I1193" i="1"/>
  <c r="J1185" i="1"/>
  <c r="I1185" i="1"/>
  <c r="J1177" i="1"/>
  <c r="I1177" i="1"/>
  <c r="J1169" i="1"/>
  <c r="I1169" i="1"/>
  <c r="J1161" i="1"/>
  <c r="I1161" i="1"/>
  <c r="J1153" i="1"/>
  <c r="I1153" i="1"/>
  <c r="J1145" i="1"/>
  <c r="I1145" i="1"/>
  <c r="J1137" i="1"/>
  <c r="I1137" i="1"/>
  <c r="J1129" i="1"/>
  <c r="I1129" i="1"/>
  <c r="J1121" i="1"/>
  <c r="I1121" i="1"/>
  <c r="J1113" i="1"/>
  <c r="I1113" i="1"/>
  <c r="J1105" i="1"/>
  <c r="I1105" i="1"/>
  <c r="J1097" i="1"/>
  <c r="I1097" i="1"/>
  <c r="J1089" i="1"/>
  <c r="I1089" i="1"/>
  <c r="J1081" i="1"/>
  <c r="I1081" i="1"/>
  <c r="J1073" i="1"/>
  <c r="I1073" i="1"/>
  <c r="J1065" i="1"/>
  <c r="I1065" i="1"/>
  <c r="J1057" i="1"/>
  <c r="I1057" i="1"/>
  <c r="J1049" i="1"/>
  <c r="I1049" i="1"/>
  <c r="J1041" i="1"/>
  <c r="I1041" i="1"/>
  <c r="J1033" i="1"/>
  <c r="I1033" i="1"/>
  <c r="J1025" i="1"/>
  <c r="I1025" i="1"/>
  <c r="J1017" i="1"/>
  <c r="I1017" i="1"/>
  <c r="J1009" i="1"/>
  <c r="I1009" i="1"/>
  <c r="J1001" i="1"/>
  <c r="I1001" i="1"/>
  <c r="J993" i="1"/>
  <c r="I993" i="1"/>
  <c r="J985" i="1"/>
  <c r="I985" i="1"/>
  <c r="J977" i="1"/>
  <c r="I977" i="1"/>
  <c r="J969" i="1"/>
  <c r="I969" i="1"/>
  <c r="J961" i="1"/>
  <c r="I961" i="1"/>
  <c r="J953" i="1"/>
  <c r="I953" i="1"/>
  <c r="J945" i="1"/>
  <c r="I945" i="1"/>
  <c r="J937" i="1"/>
  <c r="I937" i="1"/>
  <c r="J929" i="1"/>
  <c r="I929" i="1"/>
  <c r="J921" i="1"/>
  <c r="I921" i="1"/>
  <c r="J913" i="1"/>
  <c r="I913" i="1"/>
  <c r="J905" i="1"/>
  <c r="I905" i="1"/>
  <c r="J897" i="1"/>
  <c r="I897" i="1"/>
  <c r="J889" i="1"/>
  <c r="I889" i="1"/>
  <c r="J881" i="1"/>
  <c r="I881" i="1"/>
  <c r="J873" i="1"/>
  <c r="I873" i="1"/>
  <c r="J865" i="1"/>
  <c r="I865" i="1"/>
  <c r="J857" i="1"/>
  <c r="I857" i="1"/>
  <c r="J849" i="1"/>
  <c r="I849" i="1"/>
  <c r="J841" i="1"/>
  <c r="I841" i="1"/>
  <c r="J833" i="1"/>
  <c r="I833" i="1"/>
  <c r="J825" i="1"/>
  <c r="I825" i="1"/>
  <c r="J817" i="1"/>
  <c r="I817" i="1"/>
  <c r="J809" i="1"/>
  <c r="I809" i="1"/>
  <c r="J801" i="1"/>
  <c r="I801" i="1"/>
  <c r="J793" i="1"/>
  <c r="I793" i="1"/>
  <c r="J785" i="1"/>
  <c r="I785" i="1"/>
  <c r="J777" i="1"/>
  <c r="I777" i="1"/>
  <c r="J769" i="1"/>
  <c r="I769" i="1"/>
  <c r="J761" i="1"/>
  <c r="I761" i="1"/>
  <c r="J753" i="1"/>
  <c r="I753" i="1"/>
  <c r="J745" i="1"/>
  <c r="I745" i="1"/>
  <c r="J737" i="1"/>
  <c r="I737" i="1"/>
  <c r="J729" i="1"/>
  <c r="I729" i="1"/>
  <c r="J721" i="1"/>
  <c r="I721" i="1"/>
  <c r="J713" i="1"/>
  <c r="I713" i="1"/>
  <c r="J705" i="1"/>
  <c r="I705" i="1"/>
  <c r="J697" i="1"/>
  <c r="I697" i="1"/>
  <c r="J689" i="1"/>
  <c r="I689" i="1"/>
  <c r="J681" i="1"/>
  <c r="I681" i="1"/>
  <c r="J673" i="1"/>
  <c r="I673" i="1"/>
  <c r="J665" i="1"/>
  <c r="I665" i="1"/>
  <c r="J657" i="1"/>
  <c r="I657" i="1"/>
  <c r="J649" i="1"/>
  <c r="I649" i="1"/>
  <c r="J641" i="1"/>
  <c r="I641" i="1"/>
  <c r="J633" i="1"/>
  <c r="I633" i="1"/>
  <c r="J625" i="1"/>
  <c r="I625" i="1"/>
  <c r="J617" i="1"/>
  <c r="I617" i="1"/>
  <c r="J609" i="1"/>
  <c r="I609" i="1"/>
  <c r="J601" i="1"/>
  <c r="I601" i="1"/>
  <c r="J593" i="1"/>
  <c r="I593" i="1"/>
  <c r="J585" i="1"/>
  <c r="I585" i="1"/>
  <c r="J577" i="1"/>
  <c r="I577" i="1"/>
  <c r="J569" i="1"/>
  <c r="I569" i="1"/>
  <c r="J561" i="1"/>
  <c r="I561" i="1"/>
  <c r="J553" i="1"/>
  <c r="I553" i="1"/>
  <c r="J545" i="1"/>
  <c r="I545" i="1"/>
  <c r="J537" i="1"/>
  <c r="I537" i="1"/>
  <c r="J529" i="1"/>
  <c r="I529" i="1"/>
  <c r="J521" i="1"/>
  <c r="I521" i="1"/>
  <c r="J513" i="1"/>
  <c r="I513" i="1"/>
  <c r="J505" i="1"/>
  <c r="I505" i="1"/>
  <c r="J497" i="1"/>
  <c r="I497" i="1"/>
  <c r="J489" i="1"/>
  <c r="I489" i="1"/>
  <c r="J481" i="1"/>
  <c r="I481" i="1"/>
  <c r="J473" i="1"/>
  <c r="I473" i="1"/>
  <c r="J465" i="1"/>
  <c r="I465" i="1"/>
  <c r="J457" i="1"/>
  <c r="I457" i="1"/>
  <c r="J449" i="1"/>
  <c r="I449" i="1"/>
  <c r="J441" i="1"/>
  <c r="I441" i="1"/>
  <c r="J433" i="1"/>
  <c r="I433" i="1"/>
  <c r="J425" i="1"/>
  <c r="I425" i="1"/>
  <c r="J417" i="1"/>
  <c r="I417" i="1"/>
  <c r="J409" i="1"/>
  <c r="I409" i="1"/>
  <c r="J401" i="1"/>
  <c r="I401" i="1"/>
  <c r="J393" i="1"/>
  <c r="I393" i="1"/>
  <c r="J385" i="1"/>
  <c r="I385" i="1"/>
  <c r="J377" i="1"/>
  <c r="I377" i="1"/>
  <c r="J369" i="1"/>
  <c r="I369" i="1"/>
  <c r="J361" i="1"/>
  <c r="I361" i="1"/>
  <c r="J353" i="1"/>
  <c r="I353" i="1"/>
  <c r="J345" i="1"/>
  <c r="I345" i="1"/>
  <c r="J337" i="1"/>
  <c r="I337" i="1"/>
  <c r="J329" i="1"/>
  <c r="I329" i="1"/>
  <c r="J321" i="1"/>
  <c r="I321" i="1"/>
  <c r="J313" i="1"/>
  <c r="I313" i="1"/>
  <c r="J305" i="1"/>
  <c r="I305" i="1"/>
  <c r="J297" i="1"/>
  <c r="I297" i="1"/>
  <c r="J289" i="1"/>
  <c r="I289" i="1"/>
  <c r="J281" i="1"/>
  <c r="I281" i="1"/>
  <c r="J273" i="1"/>
  <c r="I273" i="1"/>
  <c r="J265" i="1"/>
  <c r="I265" i="1"/>
  <c r="J257" i="1"/>
  <c r="I257" i="1"/>
  <c r="J249" i="1"/>
  <c r="I249" i="1"/>
  <c r="J241" i="1"/>
  <c r="I241" i="1"/>
  <c r="J233" i="1"/>
  <c r="I233" i="1"/>
  <c r="I3521" i="1"/>
  <c r="I3265" i="1"/>
  <c r="I2805" i="1"/>
  <c r="J3840" i="1"/>
  <c r="I3840" i="1"/>
  <c r="J3832" i="1"/>
  <c r="I3832" i="1"/>
  <c r="J3824" i="1"/>
  <c r="I3824" i="1"/>
  <c r="J3816" i="1"/>
  <c r="I3816" i="1"/>
  <c r="J3808" i="1"/>
  <c r="I3808" i="1"/>
  <c r="J3800" i="1"/>
  <c r="I3800" i="1"/>
  <c r="J3792" i="1"/>
  <c r="I3792" i="1"/>
  <c r="J3784" i="1"/>
  <c r="I3784" i="1"/>
  <c r="J3776" i="1"/>
  <c r="I3776" i="1"/>
  <c r="J3768" i="1"/>
  <c r="I3768" i="1"/>
  <c r="J3760" i="1"/>
  <c r="I3760" i="1"/>
  <c r="J3752" i="1"/>
  <c r="I3752" i="1"/>
  <c r="J3744" i="1"/>
  <c r="I3744" i="1"/>
  <c r="J3736" i="1"/>
  <c r="I3736" i="1"/>
  <c r="J3728" i="1"/>
  <c r="I3728" i="1"/>
  <c r="J3720" i="1"/>
  <c r="I3720" i="1"/>
  <c r="J3712" i="1"/>
  <c r="I3712" i="1"/>
  <c r="J3704" i="1"/>
  <c r="I3704" i="1"/>
  <c r="J3696" i="1"/>
  <c r="I3696" i="1"/>
  <c r="J3688" i="1"/>
  <c r="I3688" i="1"/>
  <c r="J3680" i="1"/>
  <c r="I3680" i="1"/>
  <c r="J3672" i="1"/>
  <c r="I3672" i="1"/>
  <c r="J3664" i="1"/>
  <c r="I3664" i="1"/>
  <c r="J3656" i="1"/>
  <c r="I3656" i="1"/>
  <c r="J3648" i="1"/>
  <c r="I3648" i="1"/>
  <c r="J3640" i="1"/>
  <c r="I3640" i="1"/>
  <c r="J3632" i="1"/>
  <c r="I3632" i="1"/>
  <c r="J3624" i="1"/>
  <c r="I3624" i="1"/>
  <c r="J3616" i="1"/>
  <c r="I3616" i="1"/>
  <c r="J3608" i="1"/>
  <c r="I3608" i="1"/>
  <c r="J3600" i="1"/>
  <c r="I3600" i="1"/>
  <c r="J3592" i="1"/>
  <c r="I3592" i="1"/>
  <c r="J3584" i="1"/>
  <c r="I3584" i="1"/>
  <c r="J3576" i="1"/>
  <c r="I3576" i="1"/>
  <c r="J3568" i="1"/>
  <c r="I3568" i="1"/>
  <c r="J3560" i="1"/>
  <c r="I3560" i="1"/>
  <c r="J3552" i="1"/>
  <c r="I3552" i="1"/>
  <c r="J3544" i="1"/>
  <c r="I3544" i="1"/>
  <c r="J3536" i="1"/>
  <c r="I3536" i="1"/>
  <c r="J3528" i="1"/>
  <c r="I3528" i="1"/>
  <c r="J3520" i="1"/>
  <c r="I3520" i="1"/>
  <c r="J3512" i="1"/>
  <c r="I3512" i="1"/>
  <c r="J3504" i="1"/>
  <c r="I3504" i="1"/>
  <c r="J3496" i="1"/>
  <c r="I3496" i="1"/>
  <c r="J3488" i="1"/>
  <c r="I3488" i="1"/>
  <c r="J3480" i="1"/>
  <c r="I3480" i="1"/>
  <c r="J3472" i="1"/>
  <c r="I3472" i="1"/>
  <c r="J3464" i="1"/>
  <c r="I3464" i="1"/>
  <c r="J3456" i="1"/>
  <c r="I3456" i="1"/>
  <c r="J3448" i="1"/>
  <c r="I3448" i="1"/>
  <c r="J3440" i="1"/>
  <c r="I3440" i="1"/>
  <c r="J3432" i="1"/>
  <c r="I3432" i="1"/>
  <c r="J3416" i="1"/>
  <c r="I3416" i="1"/>
  <c r="J3408" i="1"/>
  <c r="I3408" i="1"/>
  <c r="J3400" i="1"/>
  <c r="I3400" i="1"/>
  <c r="J3392" i="1"/>
  <c r="I3392" i="1"/>
  <c r="J3384" i="1"/>
  <c r="I3384" i="1"/>
  <c r="J3376" i="1"/>
  <c r="I3376" i="1"/>
  <c r="J3368" i="1"/>
  <c r="I3368" i="1"/>
  <c r="J3352" i="1"/>
  <c r="I3352" i="1"/>
  <c r="J3344" i="1"/>
  <c r="I3344" i="1"/>
  <c r="J3336" i="1"/>
  <c r="I3336" i="1"/>
  <c r="J3328" i="1"/>
  <c r="I3328" i="1"/>
  <c r="J3320" i="1"/>
  <c r="I3320" i="1"/>
  <c r="J3312" i="1"/>
  <c r="I3312" i="1"/>
  <c r="J3304" i="1"/>
  <c r="I3304" i="1"/>
  <c r="J3288" i="1"/>
  <c r="I3288" i="1"/>
  <c r="J3280" i="1"/>
  <c r="I3280" i="1"/>
  <c r="J3272" i="1"/>
  <c r="I3272" i="1"/>
  <c r="J3264" i="1"/>
  <c r="I3264" i="1"/>
  <c r="J3256" i="1"/>
  <c r="I3256" i="1"/>
  <c r="J3248" i="1"/>
  <c r="I3248" i="1"/>
  <c r="J3240" i="1"/>
  <c r="I3240" i="1"/>
  <c r="J3232" i="1"/>
  <c r="I3232" i="1"/>
  <c r="J3224" i="1"/>
  <c r="I3224" i="1"/>
  <c r="J3216" i="1"/>
  <c r="I3216" i="1"/>
  <c r="J3208" i="1"/>
  <c r="I3208" i="1"/>
  <c r="J3200" i="1"/>
  <c r="I3200" i="1"/>
  <c r="J3192" i="1"/>
  <c r="I3192" i="1"/>
  <c r="J3184" i="1"/>
  <c r="I3184" i="1"/>
  <c r="J3176" i="1"/>
  <c r="I3176" i="1"/>
  <c r="J3168" i="1"/>
  <c r="I3168" i="1"/>
  <c r="J3160" i="1"/>
  <c r="I3160" i="1"/>
  <c r="J3152" i="1"/>
  <c r="I3152" i="1"/>
  <c r="J3136" i="1"/>
  <c r="I3136" i="1"/>
  <c r="J3128" i="1"/>
  <c r="I3128" i="1"/>
  <c r="J3120" i="1"/>
  <c r="I3120" i="1"/>
  <c r="J3112" i="1"/>
  <c r="I3112" i="1"/>
  <c r="J3104" i="1"/>
  <c r="I3104" i="1"/>
  <c r="J3096" i="1"/>
  <c r="I3096" i="1"/>
  <c r="J3088" i="1"/>
  <c r="I3088" i="1"/>
  <c r="J3080" i="1"/>
  <c r="I3080" i="1"/>
  <c r="J3072" i="1"/>
  <c r="I3072" i="1"/>
  <c r="J3064" i="1"/>
  <c r="I3064" i="1"/>
  <c r="J3056" i="1"/>
  <c r="I3056" i="1"/>
  <c r="J3048" i="1"/>
  <c r="I3048" i="1"/>
  <c r="J3040" i="1"/>
  <c r="I3040" i="1"/>
  <c r="J3032" i="1"/>
  <c r="I3032" i="1"/>
  <c r="J3024" i="1"/>
  <c r="I3024" i="1"/>
  <c r="J3016" i="1"/>
  <c r="I3016" i="1"/>
  <c r="J3008" i="1"/>
  <c r="I3008" i="1"/>
  <c r="J3000" i="1"/>
  <c r="I3000" i="1"/>
  <c r="J2992" i="1"/>
  <c r="I2992" i="1"/>
  <c r="J2984" i="1"/>
  <c r="I2984" i="1"/>
  <c r="J2968" i="1"/>
  <c r="I2968" i="1"/>
  <c r="J2960" i="1"/>
  <c r="I2960" i="1"/>
  <c r="J2952" i="1"/>
  <c r="I2952" i="1"/>
  <c r="J2944" i="1"/>
  <c r="I2944" i="1"/>
  <c r="J2936" i="1"/>
  <c r="I2936" i="1"/>
  <c r="J2928" i="1"/>
  <c r="I2928" i="1"/>
  <c r="J2920" i="1"/>
  <c r="I2920" i="1"/>
  <c r="J2912" i="1"/>
  <c r="I2912" i="1"/>
  <c r="J2904" i="1"/>
  <c r="I2904" i="1"/>
  <c r="J2896" i="1"/>
  <c r="I2896" i="1"/>
  <c r="J2888" i="1"/>
  <c r="I2888" i="1"/>
  <c r="J2880" i="1"/>
  <c r="I2880" i="1"/>
  <c r="J2872" i="1"/>
  <c r="I2872" i="1"/>
  <c r="J2864" i="1"/>
  <c r="I2864" i="1"/>
  <c r="J2856" i="1"/>
  <c r="I2856" i="1"/>
  <c r="J2848" i="1"/>
  <c r="I2848" i="1"/>
  <c r="J2840" i="1"/>
  <c r="I2840" i="1"/>
  <c r="J2832" i="1"/>
  <c r="I2832" i="1"/>
  <c r="J2824" i="1"/>
  <c r="I2824" i="1"/>
  <c r="J2816" i="1"/>
  <c r="I2816" i="1"/>
  <c r="J2808" i="1"/>
  <c r="I2808" i="1"/>
  <c r="J2800" i="1"/>
  <c r="I2800" i="1"/>
  <c r="J2792" i="1"/>
  <c r="I2792" i="1"/>
  <c r="J2784" i="1"/>
  <c r="I2784" i="1"/>
  <c r="J2776" i="1"/>
  <c r="I2776" i="1"/>
  <c r="J2768" i="1"/>
  <c r="I2768" i="1"/>
  <c r="J2760" i="1"/>
  <c r="I2760" i="1"/>
  <c r="J2752" i="1"/>
  <c r="I2752" i="1"/>
  <c r="J2744" i="1"/>
  <c r="I2744" i="1"/>
  <c r="J2736" i="1"/>
  <c r="I2736" i="1"/>
  <c r="J2728" i="1"/>
  <c r="I2728" i="1"/>
  <c r="J2720" i="1"/>
  <c r="I2720" i="1"/>
  <c r="J2712" i="1"/>
  <c r="I2712" i="1"/>
  <c r="J2704" i="1"/>
  <c r="I2704" i="1"/>
  <c r="J2696" i="1"/>
  <c r="I2696" i="1"/>
  <c r="J2688" i="1"/>
  <c r="I2688" i="1"/>
  <c r="J2680" i="1"/>
  <c r="I2680" i="1"/>
  <c r="J2672" i="1"/>
  <c r="I2672" i="1"/>
  <c r="J2664" i="1"/>
  <c r="I2664" i="1"/>
  <c r="J2656" i="1"/>
  <c r="I2656" i="1"/>
  <c r="J2648" i="1"/>
  <c r="I2648" i="1"/>
  <c r="J2640" i="1"/>
  <c r="I2640" i="1"/>
  <c r="J2632" i="1"/>
  <c r="I2632" i="1"/>
  <c r="J2624" i="1"/>
  <c r="I2624" i="1"/>
  <c r="J2616" i="1"/>
  <c r="I2616" i="1"/>
  <c r="J2608" i="1"/>
  <c r="I2608" i="1"/>
  <c r="J2600" i="1"/>
  <c r="I2600" i="1"/>
  <c r="J2592" i="1"/>
  <c r="I2592" i="1"/>
  <c r="J2584" i="1"/>
  <c r="I2584" i="1"/>
  <c r="J2576" i="1"/>
  <c r="I2576" i="1"/>
  <c r="J2560" i="1"/>
  <c r="I2560" i="1"/>
  <c r="J2552" i="1"/>
  <c r="I2552" i="1"/>
  <c r="J2544" i="1"/>
  <c r="I2544" i="1"/>
  <c r="J2536" i="1"/>
  <c r="I2536" i="1"/>
  <c r="J2528" i="1"/>
  <c r="I2528" i="1"/>
  <c r="J2520" i="1"/>
  <c r="I2520" i="1"/>
  <c r="J2512" i="1"/>
  <c r="I2512" i="1"/>
  <c r="J2504" i="1"/>
  <c r="I2504" i="1"/>
  <c r="J2496" i="1"/>
  <c r="I2496" i="1"/>
  <c r="J2488" i="1"/>
  <c r="I2488" i="1"/>
  <c r="J2480" i="1"/>
  <c r="I2480" i="1"/>
  <c r="J2472" i="1"/>
  <c r="I2472" i="1"/>
  <c r="J2464" i="1"/>
  <c r="I2464" i="1"/>
  <c r="J2456" i="1"/>
  <c r="I2456" i="1"/>
  <c r="J2448" i="1"/>
  <c r="I2448" i="1"/>
  <c r="J2440" i="1"/>
  <c r="I2440" i="1"/>
  <c r="J2432" i="1"/>
  <c r="I2432" i="1"/>
  <c r="J2424" i="1"/>
  <c r="I2424" i="1"/>
  <c r="J2416" i="1"/>
  <c r="I2416" i="1"/>
  <c r="J2408" i="1"/>
  <c r="I2408" i="1"/>
  <c r="J2400" i="1"/>
  <c r="I2400" i="1"/>
  <c r="J2392" i="1"/>
  <c r="I2392" i="1"/>
  <c r="J2384" i="1"/>
  <c r="I2384" i="1"/>
  <c r="J2376" i="1"/>
  <c r="I2376" i="1"/>
  <c r="J2368" i="1"/>
  <c r="I2368" i="1"/>
  <c r="J2360" i="1"/>
  <c r="I2360" i="1"/>
  <c r="J2352" i="1"/>
  <c r="I2352" i="1"/>
  <c r="J2344" i="1"/>
  <c r="I2344" i="1"/>
  <c r="J2336" i="1"/>
  <c r="I2336" i="1"/>
  <c r="J2328" i="1"/>
  <c r="I2328" i="1"/>
  <c r="J2320" i="1"/>
  <c r="I2320" i="1"/>
  <c r="J2312" i="1"/>
  <c r="I2312" i="1"/>
  <c r="J2304" i="1"/>
  <c r="I2304" i="1"/>
  <c r="J2296" i="1"/>
  <c r="I2296" i="1"/>
  <c r="J2288" i="1"/>
  <c r="I2288" i="1"/>
  <c r="J2280" i="1"/>
  <c r="I2280" i="1"/>
  <c r="J2272" i="1"/>
  <c r="I2272" i="1"/>
  <c r="J2264" i="1"/>
  <c r="I2264" i="1"/>
  <c r="J2256" i="1"/>
  <c r="I2256" i="1"/>
  <c r="J2248" i="1"/>
  <c r="I2248" i="1"/>
  <c r="J2240" i="1"/>
  <c r="I2240" i="1"/>
  <c r="J2232" i="1"/>
  <c r="I2232" i="1"/>
  <c r="J2224" i="1"/>
  <c r="I2224" i="1"/>
  <c r="J2216" i="1"/>
  <c r="I2216" i="1"/>
  <c r="J2208" i="1"/>
  <c r="I2208" i="1"/>
  <c r="J2200" i="1"/>
  <c r="I2200" i="1"/>
  <c r="J2192" i="1"/>
  <c r="I2192" i="1"/>
  <c r="J2184" i="1"/>
  <c r="I2184" i="1"/>
  <c r="J2176" i="1"/>
  <c r="I2176" i="1"/>
  <c r="J2168" i="1"/>
  <c r="I2168" i="1"/>
  <c r="J2160" i="1"/>
  <c r="I2160" i="1"/>
  <c r="J2152" i="1"/>
  <c r="I2152" i="1"/>
  <c r="J2144" i="1"/>
  <c r="I2144" i="1"/>
  <c r="J2136" i="1"/>
  <c r="I2136" i="1"/>
  <c r="J2128" i="1"/>
  <c r="I2128" i="1"/>
  <c r="J2120" i="1"/>
  <c r="I2120" i="1"/>
  <c r="J2112" i="1"/>
  <c r="I2112" i="1"/>
  <c r="J2104" i="1"/>
  <c r="I2104" i="1"/>
  <c r="J2096" i="1"/>
  <c r="I2096" i="1"/>
  <c r="J2088" i="1"/>
  <c r="I2088" i="1"/>
  <c r="J2080" i="1"/>
  <c r="I2080" i="1"/>
  <c r="J2072" i="1"/>
  <c r="I2072" i="1"/>
  <c r="J2064" i="1"/>
  <c r="I2064" i="1"/>
  <c r="J2056" i="1"/>
  <c r="I2056" i="1"/>
  <c r="J2048" i="1"/>
  <c r="I2048" i="1"/>
  <c r="J2040" i="1"/>
  <c r="I2040" i="1"/>
  <c r="J2032" i="1"/>
  <c r="I2032" i="1"/>
  <c r="J2024" i="1"/>
  <c r="I2024" i="1"/>
  <c r="J2016" i="1"/>
  <c r="I2016" i="1"/>
  <c r="J2008" i="1"/>
  <c r="I2008" i="1"/>
  <c r="J2000" i="1"/>
  <c r="I2000" i="1"/>
  <c r="J1992" i="1"/>
  <c r="I1992" i="1"/>
  <c r="J1984" i="1"/>
  <c r="I1984" i="1"/>
  <c r="J1976" i="1"/>
  <c r="I1976" i="1"/>
  <c r="J1968" i="1"/>
  <c r="I1968" i="1"/>
  <c r="J1960" i="1"/>
  <c r="I1960" i="1"/>
  <c r="J1952" i="1"/>
  <c r="I1952" i="1"/>
  <c r="J1944" i="1"/>
  <c r="I1944" i="1"/>
  <c r="J1936" i="1"/>
  <c r="I1936" i="1"/>
  <c r="J1928" i="1"/>
  <c r="I1928" i="1"/>
  <c r="J1920" i="1"/>
  <c r="I1920" i="1"/>
  <c r="J1912" i="1"/>
  <c r="I1912" i="1"/>
  <c r="J1904" i="1"/>
  <c r="I1904" i="1"/>
  <c r="J1896" i="1"/>
  <c r="I1896" i="1"/>
  <c r="J1888" i="1"/>
  <c r="I1888" i="1"/>
  <c r="J1880" i="1"/>
  <c r="I1880" i="1"/>
  <c r="J1872" i="1"/>
  <c r="I1872" i="1"/>
  <c r="J1864" i="1"/>
  <c r="I1864" i="1"/>
  <c r="J1856" i="1"/>
  <c r="I1856" i="1"/>
  <c r="J1848" i="1"/>
  <c r="I1848" i="1"/>
  <c r="J1840" i="1"/>
  <c r="I1840" i="1"/>
  <c r="J1832" i="1"/>
  <c r="I1832" i="1"/>
  <c r="J1824" i="1"/>
  <c r="I1824" i="1"/>
  <c r="J1816" i="1"/>
  <c r="I1816" i="1"/>
  <c r="J1808" i="1"/>
  <c r="I1808" i="1"/>
  <c r="J1800" i="1"/>
  <c r="I1800" i="1"/>
  <c r="J1792" i="1"/>
  <c r="I1792" i="1"/>
  <c r="J1784" i="1"/>
  <c r="I1784" i="1"/>
  <c r="J1776" i="1"/>
  <c r="I1776" i="1"/>
  <c r="J1768" i="1"/>
  <c r="I1768" i="1"/>
  <c r="J1760" i="1"/>
  <c r="I1760" i="1"/>
  <c r="J1752" i="1"/>
  <c r="I1752" i="1"/>
  <c r="J1744" i="1"/>
  <c r="I1744" i="1"/>
  <c r="J1736" i="1"/>
  <c r="I1736" i="1"/>
  <c r="J1728" i="1"/>
  <c r="I1728" i="1"/>
  <c r="J1720" i="1"/>
  <c r="I1720" i="1"/>
  <c r="J1712" i="1"/>
  <c r="I1712" i="1"/>
  <c r="J1704" i="1"/>
  <c r="I1704" i="1"/>
  <c r="J1696" i="1"/>
  <c r="I1696" i="1"/>
  <c r="J1688" i="1"/>
  <c r="I1688" i="1"/>
  <c r="J1680" i="1"/>
  <c r="I1680" i="1"/>
  <c r="J1672" i="1"/>
  <c r="I1672" i="1"/>
  <c r="J1664" i="1"/>
  <c r="I1664" i="1"/>
  <c r="J1656" i="1"/>
  <c r="I1656" i="1"/>
  <c r="J1648" i="1"/>
  <c r="I1648" i="1"/>
  <c r="J1640" i="1"/>
  <c r="I1640" i="1"/>
  <c r="J1632" i="1"/>
  <c r="I1632" i="1"/>
  <c r="J1624" i="1"/>
  <c r="I1624" i="1"/>
  <c r="J1616" i="1"/>
  <c r="I1616" i="1"/>
  <c r="J1608" i="1"/>
  <c r="I1608" i="1"/>
  <c r="J1600" i="1"/>
  <c r="I1600" i="1"/>
  <c r="J1592" i="1"/>
  <c r="I1592" i="1"/>
  <c r="J1584" i="1"/>
  <c r="I1584" i="1"/>
  <c r="J1576" i="1"/>
  <c r="I1576" i="1"/>
  <c r="J1568" i="1"/>
  <c r="I1568" i="1"/>
  <c r="J1560" i="1"/>
  <c r="I1560" i="1"/>
  <c r="J1552" i="1"/>
  <c r="I1552" i="1"/>
  <c r="J1544" i="1"/>
  <c r="I1544" i="1"/>
  <c r="J1536" i="1"/>
  <c r="I1536" i="1"/>
  <c r="J1528" i="1"/>
  <c r="I1528" i="1"/>
  <c r="J1520" i="1"/>
  <c r="I1520" i="1"/>
  <c r="J1512" i="1"/>
  <c r="I1512" i="1"/>
  <c r="J1504" i="1"/>
  <c r="I1504" i="1"/>
  <c r="J1496" i="1"/>
  <c r="I1496" i="1"/>
  <c r="J1488" i="1"/>
  <c r="I1488" i="1"/>
  <c r="J1480" i="1"/>
  <c r="I1480" i="1"/>
  <c r="J1472" i="1"/>
  <c r="I1472" i="1"/>
  <c r="J1464" i="1"/>
  <c r="I1464" i="1"/>
  <c r="J1456" i="1"/>
  <c r="I1456" i="1"/>
  <c r="J1448" i="1"/>
  <c r="I1448" i="1"/>
  <c r="J1440" i="1"/>
  <c r="I1440" i="1"/>
  <c r="J1432" i="1"/>
  <c r="I1432" i="1"/>
  <c r="J1424" i="1"/>
  <c r="I1424" i="1"/>
  <c r="J1416" i="1"/>
  <c r="I1416" i="1"/>
  <c r="J1408" i="1"/>
  <c r="I1408" i="1"/>
  <c r="J1400" i="1"/>
  <c r="I1400" i="1"/>
  <c r="J1392" i="1"/>
  <c r="I1392" i="1"/>
  <c r="J1384" i="1"/>
  <c r="I1384" i="1"/>
  <c r="J1376" i="1"/>
  <c r="I1376" i="1"/>
  <c r="J1368" i="1"/>
  <c r="I1368" i="1"/>
  <c r="J1360" i="1"/>
  <c r="I1360" i="1"/>
  <c r="J1352" i="1"/>
  <c r="I1352" i="1"/>
  <c r="J1344" i="1"/>
  <c r="I1344" i="1"/>
  <c r="J1336" i="1"/>
  <c r="I1336" i="1"/>
  <c r="J1328" i="1"/>
  <c r="I1328" i="1"/>
  <c r="J1320" i="1"/>
  <c r="I1320" i="1"/>
  <c r="J1312" i="1"/>
  <c r="I1312" i="1"/>
  <c r="J1304" i="1"/>
  <c r="I1304" i="1"/>
  <c r="J1296" i="1"/>
  <c r="I1296" i="1"/>
  <c r="J1288" i="1"/>
  <c r="I1288" i="1"/>
  <c r="J1280" i="1"/>
  <c r="I1280" i="1"/>
  <c r="J1272" i="1"/>
  <c r="I1272" i="1"/>
  <c r="J1264" i="1"/>
  <c r="I1264" i="1"/>
  <c r="J1256" i="1"/>
  <c r="I1256" i="1"/>
  <c r="J1248" i="1"/>
  <c r="I1248" i="1"/>
  <c r="J1240" i="1"/>
  <c r="I1240" i="1"/>
  <c r="J1232" i="1"/>
  <c r="I1232" i="1"/>
  <c r="J1224" i="1"/>
  <c r="I1224" i="1"/>
  <c r="J1216" i="1"/>
  <c r="I1216" i="1"/>
  <c r="J1208" i="1"/>
  <c r="I1208" i="1"/>
  <c r="J1200" i="1"/>
  <c r="I1200" i="1"/>
  <c r="J1192" i="1"/>
  <c r="I1192" i="1"/>
  <c r="J1184" i="1"/>
  <c r="I1184" i="1"/>
  <c r="J1176" i="1"/>
  <c r="I1176" i="1"/>
  <c r="J1168" i="1"/>
  <c r="I1168" i="1"/>
  <c r="J1160" i="1"/>
  <c r="I1160" i="1"/>
  <c r="J1152" i="1"/>
  <c r="I1152" i="1"/>
  <c r="J1144" i="1"/>
  <c r="I1144" i="1"/>
  <c r="J1136" i="1"/>
  <c r="I1136" i="1"/>
  <c r="J1128" i="1"/>
  <c r="I1128" i="1"/>
  <c r="J1120" i="1"/>
  <c r="I1120" i="1"/>
  <c r="J1112" i="1"/>
  <c r="I1112" i="1"/>
  <c r="J1104" i="1"/>
  <c r="I1104" i="1"/>
  <c r="J1096" i="1"/>
  <c r="I1096" i="1"/>
  <c r="J1088" i="1"/>
  <c r="I1088" i="1"/>
  <c r="J1080" i="1"/>
  <c r="I1080" i="1"/>
  <c r="J1072" i="1"/>
  <c r="I1072" i="1"/>
  <c r="J1064" i="1"/>
  <c r="I1064" i="1"/>
  <c r="J1056" i="1"/>
  <c r="I1056" i="1"/>
  <c r="J1048" i="1"/>
  <c r="I1048" i="1"/>
  <c r="J1040" i="1"/>
  <c r="I1040" i="1"/>
  <c r="J1032" i="1"/>
  <c r="I1032" i="1"/>
  <c r="J1024" i="1"/>
  <c r="I1024" i="1"/>
  <c r="J1016" i="1"/>
  <c r="I1016" i="1"/>
  <c r="J1008" i="1"/>
  <c r="I1008" i="1"/>
  <c r="J1000" i="1"/>
  <c r="I1000" i="1"/>
  <c r="J992" i="1"/>
  <c r="I992" i="1"/>
  <c r="J984" i="1"/>
  <c r="I984" i="1"/>
  <c r="J976" i="1"/>
  <c r="I976" i="1"/>
  <c r="J968" i="1"/>
  <c r="I968" i="1"/>
  <c r="J960" i="1"/>
  <c r="I960" i="1"/>
  <c r="J952" i="1"/>
  <c r="I952" i="1"/>
  <c r="J944" i="1"/>
  <c r="I944" i="1"/>
  <c r="J936" i="1"/>
  <c r="I936" i="1"/>
  <c r="J928" i="1"/>
  <c r="I928" i="1"/>
  <c r="J920" i="1"/>
  <c r="I920" i="1"/>
  <c r="J912" i="1"/>
  <c r="I912" i="1"/>
  <c r="J904" i="1"/>
  <c r="I904" i="1"/>
  <c r="J896" i="1"/>
  <c r="I896" i="1"/>
  <c r="J888" i="1"/>
  <c r="I888" i="1"/>
  <c r="J880" i="1"/>
  <c r="I880" i="1"/>
  <c r="J872" i="1"/>
  <c r="I872" i="1"/>
  <c r="J864" i="1"/>
  <c r="I864" i="1"/>
  <c r="J856" i="1"/>
  <c r="I856" i="1"/>
  <c r="J848" i="1"/>
  <c r="I848" i="1"/>
  <c r="J840" i="1"/>
  <c r="I840" i="1"/>
  <c r="J832" i="1"/>
  <c r="I832" i="1"/>
  <c r="J824" i="1"/>
  <c r="I824" i="1"/>
  <c r="J816" i="1"/>
  <c r="I816" i="1"/>
  <c r="J808" i="1"/>
  <c r="I808" i="1"/>
  <c r="J800" i="1"/>
  <c r="I800" i="1"/>
  <c r="J792" i="1"/>
  <c r="I792" i="1"/>
  <c r="J784" i="1"/>
  <c r="I784" i="1"/>
  <c r="J776" i="1"/>
  <c r="I776" i="1"/>
  <c r="J768" i="1"/>
  <c r="I768" i="1"/>
  <c r="J760" i="1"/>
  <c r="I760" i="1"/>
  <c r="J752" i="1"/>
  <c r="I752" i="1"/>
  <c r="J744" i="1"/>
  <c r="I744" i="1"/>
  <c r="J736" i="1"/>
  <c r="I736" i="1"/>
  <c r="J728" i="1"/>
  <c r="I728" i="1"/>
  <c r="J720" i="1"/>
  <c r="I720" i="1"/>
  <c r="J712" i="1"/>
  <c r="I712" i="1"/>
  <c r="J704" i="1"/>
  <c r="I704" i="1"/>
  <c r="J696" i="1"/>
  <c r="I696" i="1"/>
  <c r="J688" i="1"/>
  <c r="I688" i="1"/>
  <c r="J680" i="1"/>
  <c r="I680" i="1"/>
  <c r="J672" i="1"/>
  <c r="I672" i="1"/>
  <c r="J664" i="1"/>
  <c r="I664" i="1"/>
  <c r="J656" i="1"/>
  <c r="I656" i="1"/>
  <c r="J648" i="1"/>
  <c r="I648" i="1"/>
  <c r="J640" i="1"/>
  <c r="I640" i="1"/>
  <c r="J632" i="1"/>
  <c r="I632" i="1"/>
  <c r="J624" i="1"/>
  <c r="I624" i="1"/>
  <c r="J616" i="1"/>
  <c r="I616" i="1"/>
  <c r="J608" i="1"/>
  <c r="I608" i="1"/>
  <c r="J600" i="1"/>
  <c r="I600" i="1"/>
  <c r="J592" i="1"/>
  <c r="I592" i="1"/>
  <c r="J584" i="1"/>
  <c r="I584" i="1"/>
  <c r="J576" i="1"/>
  <c r="I576" i="1"/>
  <c r="J568" i="1"/>
  <c r="I568" i="1"/>
  <c r="J560" i="1"/>
  <c r="I560" i="1"/>
  <c r="J552" i="1"/>
  <c r="I552" i="1"/>
  <c r="J544" i="1"/>
  <c r="I544" i="1"/>
  <c r="J536" i="1"/>
  <c r="I536" i="1"/>
  <c r="J528" i="1"/>
  <c r="I528" i="1"/>
  <c r="J520" i="1"/>
  <c r="I520" i="1"/>
  <c r="J512" i="1"/>
  <c r="I512" i="1"/>
  <c r="J504" i="1"/>
  <c r="I504" i="1"/>
  <c r="J496" i="1"/>
  <c r="I496" i="1"/>
  <c r="J488" i="1"/>
  <c r="I488" i="1"/>
  <c r="J480" i="1"/>
  <c r="I480" i="1"/>
  <c r="J472" i="1"/>
  <c r="I472" i="1"/>
  <c r="J464" i="1"/>
  <c r="I464" i="1"/>
  <c r="J456" i="1"/>
  <c r="I456" i="1"/>
  <c r="J448" i="1"/>
  <c r="I448" i="1"/>
  <c r="J440" i="1"/>
  <c r="I440" i="1"/>
  <c r="J432" i="1"/>
  <c r="I432" i="1"/>
  <c r="J424" i="1"/>
  <c r="I424" i="1"/>
  <c r="J416" i="1"/>
  <c r="I416" i="1"/>
  <c r="J408" i="1"/>
  <c r="I408" i="1"/>
  <c r="J400" i="1"/>
  <c r="I400" i="1"/>
  <c r="J392" i="1"/>
  <c r="I392" i="1"/>
  <c r="J384" i="1"/>
  <c r="I384" i="1"/>
  <c r="J376" i="1"/>
  <c r="I376" i="1"/>
  <c r="J368" i="1"/>
  <c r="I368" i="1"/>
  <c r="J360" i="1"/>
  <c r="I360" i="1"/>
  <c r="J352" i="1"/>
  <c r="I352" i="1"/>
  <c r="J344" i="1"/>
  <c r="I344" i="1"/>
  <c r="I3745" i="1"/>
  <c r="I3489" i="1"/>
  <c r="I3233" i="1"/>
  <c r="I2684" i="1"/>
  <c r="J3823" i="1"/>
  <c r="I3823" i="1"/>
  <c r="J3815" i="1"/>
  <c r="I3815" i="1"/>
  <c r="J3807" i="1"/>
  <c r="I3807" i="1"/>
  <c r="J3799" i="1"/>
  <c r="I3799" i="1"/>
  <c r="J3791" i="1"/>
  <c r="I3791" i="1"/>
  <c r="J3783" i="1"/>
  <c r="I3783" i="1"/>
  <c r="J3775" i="1"/>
  <c r="I3775" i="1"/>
  <c r="J3767" i="1"/>
  <c r="I3767" i="1"/>
  <c r="J3759" i="1"/>
  <c r="I3759" i="1"/>
  <c r="J3751" i="1"/>
  <c r="I3751" i="1"/>
  <c r="J3743" i="1"/>
  <c r="I3743" i="1"/>
  <c r="J3735" i="1"/>
  <c r="I3735" i="1"/>
  <c r="J3727" i="1"/>
  <c r="I3727" i="1"/>
  <c r="J3719" i="1"/>
  <c r="I3719" i="1"/>
  <c r="J3711" i="1"/>
  <c r="I3711" i="1"/>
  <c r="J3703" i="1"/>
  <c r="I3703" i="1"/>
  <c r="J3695" i="1"/>
  <c r="I3695" i="1"/>
  <c r="J3687" i="1"/>
  <c r="I3687" i="1"/>
  <c r="J3679" i="1"/>
  <c r="I3679" i="1"/>
  <c r="J3671" i="1"/>
  <c r="I3671" i="1"/>
  <c r="J3663" i="1"/>
  <c r="I3663" i="1"/>
  <c r="J3655" i="1"/>
  <c r="I3655" i="1"/>
  <c r="J3647" i="1"/>
  <c r="I3647" i="1"/>
  <c r="J3639" i="1"/>
  <c r="I3639" i="1"/>
  <c r="J3631" i="1"/>
  <c r="I3631" i="1"/>
  <c r="J3623" i="1"/>
  <c r="I3623" i="1"/>
  <c r="J3615" i="1"/>
  <c r="I3615" i="1"/>
  <c r="J3607" i="1"/>
  <c r="I3607" i="1"/>
  <c r="J3599" i="1"/>
  <c r="I3599" i="1"/>
  <c r="J3591" i="1"/>
  <c r="I3591" i="1"/>
  <c r="J3583" i="1"/>
  <c r="I3583" i="1"/>
  <c r="J3575" i="1"/>
  <c r="I3575" i="1"/>
  <c r="J3567" i="1"/>
  <c r="I3567" i="1"/>
  <c r="J3559" i="1"/>
  <c r="I3559" i="1"/>
  <c r="J3551" i="1"/>
  <c r="I3551" i="1"/>
  <c r="J3543" i="1"/>
  <c r="I3543" i="1"/>
  <c r="J3535" i="1"/>
  <c r="I3535" i="1"/>
  <c r="J3527" i="1"/>
  <c r="I3527" i="1"/>
  <c r="J3519" i="1"/>
  <c r="I3519" i="1"/>
  <c r="J3511" i="1"/>
  <c r="I3511" i="1"/>
  <c r="J3503" i="1"/>
  <c r="I3503" i="1"/>
  <c r="J3495" i="1"/>
  <c r="I3495" i="1"/>
  <c r="J3487" i="1"/>
  <c r="I3487" i="1"/>
  <c r="J3479" i="1"/>
  <c r="I3479" i="1"/>
  <c r="J3471" i="1"/>
  <c r="I3471" i="1"/>
  <c r="J3463" i="1"/>
  <c r="I3463" i="1"/>
  <c r="J3455" i="1"/>
  <c r="I3455" i="1"/>
  <c r="J3447" i="1"/>
  <c r="I3447" i="1"/>
  <c r="J3439" i="1"/>
  <c r="I3439" i="1"/>
  <c r="J3431" i="1"/>
  <c r="I3431" i="1"/>
  <c r="J3423" i="1"/>
  <c r="I3423" i="1"/>
  <c r="J3415" i="1"/>
  <c r="I3415" i="1"/>
  <c r="J3407" i="1"/>
  <c r="I3407" i="1"/>
  <c r="J3399" i="1"/>
  <c r="I3399" i="1"/>
  <c r="J3391" i="1"/>
  <c r="I3391" i="1"/>
  <c r="J3383" i="1"/>
  <c r="I3383" i="1"/>
  <c r="J3375" i="1"/>
  <c r="I3375" i="1"/>
  <c r="J3367" i="1"/>
  <c r="I3367" i="1"/>
  <c r="J3359" i="1"/>
  <c r="I3359" i="1"/>
  <c r="J3351" i="1"/>
  <c r="I3351" i="1"/>
  <c r="J3343" i="1"/>
  <c r="I3343" i="1"/>
  <c r="J3335" i="1"/>
  <c r="I3335" i="1"/>
  <c r="J3327" i="1"/>
  <c r="I3327" i="1"/>
  <c r="J3319" i="1"/>
  <c r="I3319" i="1"/>
  <c r="J3311" i="1"/>
  <c r="I3311" i="1"/>
  <c r="J3303" i="1"/>
  <c r="I3303" i="1"/>
  <c r="J3295" i="1"/>
  <c r="I3295" i="1"/>
  <c r="J3287" i="1"/>
  <c r="I3287" i="1"/>
  <c r="J3279" i="1"/>
  <c r="I3279" i="1"/>
  <c r="J3271" i="1"/>
  <c r="I3271" i="1"/>
  <c r="J3263" i="1"/>
  <c r="I3263" i="1"/>
  <c r="J3255" i="1"/>
  <c r="I3255" i="1"/>
  <c r="J3247" i="1"/>
  <c r="I3247" i="1"/>
  <c r="J3239" i="1"/>
  <c r="I3239" i="1"/>
  <c r="J3231" i="1"/>
  <c r="I3231" i="1"/>
  <c r="J3223" i="1"/>
  <c r="I3223" i="1"/>
  <c r="J3215" i="1"/>
  <c r="I3215" i="1"/>
  <c r="J3207" i="1"/>
  <c r="I3207" i="1"/>
  <c r="J3199" i="1"/>
  <c r="I3199" i="1"/>
  <c r="J3191" i="1"/>
  <c r="I3191" i="1"/>
  <c r="J3183" i="1"/>
  <c r="I3183" i="1"/>
  <c r="J3175" i="1"/>
  <c r="I3175" i="1"/>
  <c r="J3167" i="1"/>
  <c r="I3167" i="1"/>
  <c r="J3159" i="1"/>
  <c r="I3159" i="1"/>
  <c r="J3151" i="1"/>
  <c r="I3151" i="1"/>
  <c r="J3143" i="1"/>
  <c r="I3143" i="1"/>
  <c r="J3135" i="1"/>
  <c r="I3135" i="1"/>
  <c r="J3127" i="1"/>
  <c r="I3127" i="1"/>
  <c r="J3119" i="1"/>
  <c r="I3119" i="1"/>
  <c r="J3111" i="1"/>
  <c r="I3111" i="1"/>
  <c r="J3103" i="1"/>
  <c r="I3103" i="1"/>
  <c r="J3095" i="1"/>
  <c r="I3095" i="1"/>
  <c r="J3087" i="1"/>
  <c r="I3087" i="1"/>
  <c r="J3079" i="1"/>
  <c r="I3079" i="1"/>
  <c r="J3071" i="1"/>
  <c r="I3071" i="1"/>
  <c r="J3063" i="1"/>
  <c r="I3063" i="1"/>
  <c r="J3055" i="1"/>
  <c r="I3055" i="1"/>
  <c r="J3047" i="1"/>
  <c r="I3047" i="1"/>
  <c r="J3039" i="1"/>
  <c r="I3039" i="1"/>
  <c r="J3031" i="1"/>
  <c r="I3031" i="1"/>
  <c r="J3023" i="1"/>
  <c r="I3023" i="1"/>
  <c r="J3015" i="1"/>
  <c r="I3015" i="1"/>
  <c r="J3007" i="1"/>
  <c r="I3007" i="1"/>
  <c r="J2999" i="1"/>
  <c r="I2999" i="1"/>
  <c r="J2991" i="1"/>
  <c r="I2991" i="1"/>
  <c r="J2983" i="1"/>
  <c r="I2983" i="1"/>
  <c r="J2975" i="1"/>
  <c r="I2975" i="1"/>
  <c r="J2967" i="1"/>
  <c r="I2967" i="1"/>
  <c r="J2959" i="1"/>
  <c r="I2959" i="1"/>
  <c r="J2951" i="1"/>
  <c r="I2951" i="1"/>
  <c r="J2943" i="1"/>
  <c r="I2943" i="1"/>
  <c r="J2935" i="1"/>
  <c r="I2935" i="1"/>
  <c r="J2927" i="1"/>
  <c r="I2927" i="1"/>
  <c r="J2919" i="1"/>
  <c r="I2919" i="1"/>
  <c r="J2911" i="1"/>
  <c r="I2911" i="1"/>
  <c r="J2903" i="1"/>
  <c r="I2903" i="1"/>
  <c r="J2895" i="1"/>
  <c r="I2895" i="1"/>
  <c r="J2887" i="1"/>
  <c r="I2887" i="1"/>
  <c r="J2879" i="1"/>
  <c r="I2879" i="1"/>
  <c r="J2871" i="1"/>
  <c r="I2871" i="1"/>
  <c r="J2863" i="1"/>
  <c r="I2863" i="1"/>
  <c r="J2855" i="1"/>
  <c r="I2855" i="1"/>
  <c r="J2847" i="1"/>
  <c r="I2847" i="1"/>
  <c r="J2839" i="1"/>
  <c r="I2839" i="1"/>
  <c r="J2831" i="1"/>
  <c r="I2831" i="1"/>
  <c r="J2823" i="1"/>
  <c r="I2823" i="1"/>
  <c r="J2815" i="1"/>
  <c r="I2815" i="1"/>
  <c r="J2807" i="1"/>
  <c r="I2807" i="1"/>
  <c r="J2799" i="1"/>
  <c r="I2799" i="1"/>
  <c r="J2791" i="1"/>
  <c r="I2791" i="1"/>
  <c r="J2783" i="1"/>
  <c r="I2783" i="1"/>
  <c r="J2775" i="1"/>
  <c r="I2775" i="1"/>
  <c r="J2767" i="1"/>
  <c r="I2767" i="1"/>
  <c r="J2759" i="1"/>
  <c r="I2759" i="1"/>
  <c r="J2751" i="1"/>
  <c r="I2751" i="1"/>
  <c r="J2743" i="1"/>
  <c r="I2743" i="1"/>
  <c r="J2735" i="1"/>
  <c r="I2735" i="1"/>
  <c r="J2727" i="1"/>
  <c r="I2727" i="1"/>
  <c r="J2719" i="1"/>
  <c r="I2719" i="1"/>
  <c r="J2711" i="1"/>
  <c r="I2711" i="1"/>
  <c r="J2703" i="1"/>
  <c r="I2703" i="1"/>
  <c r="J2695" i="1"/>
  <c r="I2695" i="1"/>
  <c r="J2687" i="1"/>
  <c r="I2687" i="1"/>
  <c r="J2679" i="1"/>
  <c r="I2679" i="1"/>
  <c r="J2671" i="1"/>
  <c r="I2671" i="1"/>
  <c r="J2663" i="1"/>
  <c r="I2663" i="1"/>
  <c r="J2655" i="1"/>
  <c r="I2655" i="1"/>
  <c r="J2647" i="1"/>
  <c r="I2647" i="1"/>
  <c r="J2639" i="1"/>
  <c r="I2639" i="1"/>
  <c r="J2631" i="1"/>
  <c r="I2631" i="1"/>
  <c r="J2623" i="1"/>
  <c r="I2623" i="1"/>
  <c r="J2615" i="1"/>
  <c r="I2615" i="1"/>
  <c r="J2607" i="1"/>
  <c r="I2607" i="1"/>
  <c r="J2599" i="1"/>
  <c r="I2599" i="1"/>
  <c r="J2591" i="1"/>
  <c r="I2591" i="1"/>
  <c r="J2583" i="1"/>
  <c r="I2583" i="1"/>
  <c r="J2575" i="1"/>
  <c r="I2575" i="1"/>
  <c r="J2567" i="1"/>
  <c r="I2567" i="1"/>
  <c r="J2559" i="1"/>
  <c r="I2559" i="1"/>
  <c r="J2551" i="1"/>
  <c r="I2551" i="1"/>
  <c r="J2543" i="1"/>
  <c r="I2543" i="1"/>
  <c r="J2535" i="1"/>
  <c r="I2535" i="1"/>
  <c r="J2527" i="1"/>
  <c r="I2527" i="1"/>
  <c r="J2519" i="1"/>
  <c r="I2519" i="1"/>
  <c r="J2511" i="1"/>
  <c r="I2511" i="1"/>
  <c r="J2503" i="1"/>
  <c r="I2503" i="1"/>
  <c r="J2495" i="1"/>
  <c r="I2495" i="1"/>
  <c r="J2487" i="1"/>
  <c r="I2487" i="1"/>
  <c r="J2479" i="1"/>
  <c r="I2479" i="1"/>
  <c r="J2471" i="1"/>
  <c r="I2471" i="1"/>
  <c r="J2463" i="1"/>
  <c r="I2463" i="1"/>
  <c r="J2455" i="1"/>
  <c r="I2455" i="1"/>
  <c r="J2447" i="1"/>
  <c r="I2447" i="1"/>
  <c r="J2439" i="1"/>
  <c r="I2439" i="1"/>
  <c r="J2431" i="1"/>
  <c r="I2431" i="1"/>
  <c r="J2423" i="1"/>
  <c r="I2423" i="1"/>
  <c r="J2415" i="1"/>
  <c r="I2415" i="1"/>
  <c r="J2407" i="1"/>
  <c r="I2407" i="1"/>
  <c r="J2399" i="1"/>
  <c r="I2399" i="1"/>
  <c r="J2391" i="1"/>
  <c r="I2391" i="1"/>
  <c r="J2383" i="1"/>
  <c r="I2383" i="1"/>
  <c r="J2375" i="1"/>
  <c r="I2375" i="1"/>
  <c r="J2367" i="1"/>
  <c r="I2367" i="1"/>
  <c r="J2359" i="1"/>
  <c r="I2359" i="1"/>
  <c r="J2351" i="1"/>
  <c r="I2351" i="1"/>
  <c r="J2343" i="1"/>
  <c r="I2343" i="1"/>
  <c r="J2335" i="1"/>
  <c r="I2335" i="1"/>
  <c r="J2327" i="1"/>
  <c r="I2327" i="1"/>
  <c r="J2319" i="1"/>
  <c r="I2319" i="1"/>
  <c r="J2311" i="1"/>
  <c r="I2311" i="1"/>
  <c r="J2303" i="1"/>
  <c r="I2303" i="1"/>
  <c r="J2295" i="1"/>
  <c r="I2295" i="1"/>
  <c r="J2287" i="1"/>
  <c r="I2287" i="1"/>
  <c r="J2279" i="1"/>
  <c r="I2279" i="1"/>
  <c r="J2271" i="1"/>
  <c r="I2271" i="1"/>
  <c r="J2263" i="1"/>
  <c r="I2263" i="1"/>
  <c r="J2255" i="1"/>
  <c r="I2255" i="1"/>
  <c r="J2247" i="1"/>
  <c r="I2247" i="1"/>
  <c r="J2239" i="1"/>
  <c r="I2239" i="1"/>
  <c r="J2231" i="1"/>
  <c r="I2231" i="1"/>
  <c r="J2223" i="1"/>
  <c r="I2223" i="1"/>
  <c r="J2215" i="1"/>
  <c r="I2215" i="1"/>
  <c r="J2207" i="1"/>
  <c r="I2207" i="1"/>
  <c r="J2199" i="1"/>
  <c r="I2199" i="1"/>
  <c r="J2191" i="1"/>
  <c r="I2191" i="1"/>
  <c r="J2183" i="1"/>
  <c r="I2183" i="1"/>
  <c r="J2175" i="1"/>
  <c r="I2175" i="1"/>
  <c r="J2167" i="1"/>
  <c r="I2167" i="1"/>
  <c r="J2159" i="1"/>
  <c r="I2159" i="1"/>
  <c r="J2151" i="1"/>
  <c r="I2151" i="1"/>
  <c r="J2143" i="1"/>
  <c r="I2143" i="1"/>
  <c r="J2135" i="1"/>
  <c r="I2135" i="1"/>
  <c r="J2127" i="1"/>
  <c r="I2127" i="1"/>
  <c r="J2119" i="1"/>
  <c r="I2119" i="1"/>
  <c r="J2111" i="1"/>
  <c r="I2111" i="1"/>
  <c r="J2103" i="1"/>
  <c r="I2103" i="1"/>
  <c r="J2095" i="1"/>
  <c r="I2095" i="1"/>
  <c r="J2087" i="1"/>
  <c r="I2087" i="1"/>
  <c r="J2079" i="1"/>
  <c r="I2079" i="1"/>
  <c r="J2071" i="1"/>
  <c r="I2071" i="1"/>
  <c r="J2063" i="1"/>
  <c r="I2063" i="1"/>
  <c r="J2055" i="1"/>
  <c r="I2055" i="1"/>
  <c r="J2047" i="1"/>
  <c r="I2047" i="1"/>
  <c r="J2039" i="1"/>
  <c r="I2039" i="1"/>
  <c r="J2031" i="1"/>
  <c r="I2031" i="1"/>
  <c r="J2023" i="1"/>
  <c r="I2023" i="1"/>
  <c r="J2015" i="1"/>
  <c r="I2015" i="1"/>
  <c r="J2007" i="1"/>
  <c r="I2007" i="1"/>
  <c r="J1999" i="1"/>
  <c r="I1999" i="1"/>
  <c r="J1991" i="1"/>
  <c r="I1991" i="1"/>
  <c r="J1983" i="1"/>
  <c r="I1983" i="1"/>
  <c r="J1975" i="1"/>
  <c r="I1975" i="1"/>
  <c r="J1967" i="1"/>
  <c r="I1967" i="1"/>
  <c r="J1959" i="1"/>
  <c r="I1959" i="1"/>
  <c r="J1951" i="1"/>
  <c r="I1951" i="1"/>
  <c r="J1943" i="1"/>
  <c r="I1943" i="1"/>
  <c r="J1935" i="1"/>
  <c r="I1935" i="1"/>
  <c r="J1927" i="1"/>
  <c r="I1927" i="1"/>
  <c r="J1919" i="1"/>
  <c r="I1919" i="1"/>
  <c r="J1911" i="1"/>
  <c r="I1911" i="1"/>
  <c r="J1903" i="1"/>
  <c r="I1903" i="1"/>
  <c r="J1895" i="1"/>
  <c r="I1895" i="1"/>
  <c r="J1887" i="1"/>
  <c r="I1887" i="1"/>
  <c r="J1879" i="1"/>
  <c r="I1879" i="1"/>
  <c r="J1871" i="1"/>
  <c r="I1871" i="1"/>
  <c r="J1863" i="1"/>
  <c r="I1863" i="1"/>
  <c r="J1855" i="1"/>
  <c r="I1855" i="1"/>
  <c r="J1847" i="1"/>
  <c r="I1847" i="1"/>
  <c r="J1839" i="1"/>
  <c r="I1839" i="1"/>
  <c r="J1831" i="1"/>
  <c r="I1831" i="1"/>
  <c r="J1823" i="1"/>
  <c r="I1823" i="1"/>
  <c r="J1815" i="1"/>
  <c r="I1815" i="1"/>
  <c r="J1807" i="1"/>
  <c r="I1807" i="1"/>
  <c r="J1799" i="1"/>
  <c r="I1799" i="1"/>
  <c r="J1791" i="1"/>
  <c r="I1791" i="1"/>
  <c r="J1783" i="1"/>
  <c r="I1783" i="1"/>
  <c r="J1775" i="1"/>
  <c r="I1775" i="1"/>
  <c r="J1767" i="1"/>
  <c r="I1767" i="1"/>
  <c r="J1759" i="1"/>
  <c r="I1759" i="1"/>
  <c r="J1751" i="1"/>
  <c r="I1751" i="1"/>
  <c r="J1743" i="1"/>
  <c r="I1743" i="1"/>
  <c r="J1735" i="1"/>
  <c r="I1735" i="1"/>
  <c r="J1727" i="1"/>
  <c r="I1727" i="1"/>
  <c r="J1719" i="1"/>
  <c r="I1719" i="1"/>
  <c r="J1711" i="1"/>
  <c r="I1711" i="1"/>
  <c r="J1703" i="1"/>
  <c r="I1703" i="1"/>
  <c r="J1695" i="1"/>
  <c r="I1695" i="1"/>
  <c r="J1687" i="1"/>
  <c r="I1687" i="1"/>
  <c r="J1679" i="1"/>
  <c r="I1679" i="1"/>
  <c r="J1671" i="1"/>
  <c r="I1671" i="1"/>
  <c r="J1663" i="1"/>
  <c r="I1663" i="1"/>
  <c r="J1655" i="1"/>
  <c r="I1655" i="1"/>
  <c r="J1647" i="1"/>
  <c r="I1647" i="1"/>
  <c r="J1639" i="1"/>
  <c r="I1639" i="1"/>
  <c r="J1631" i="1"/>
  <c r="I1631" i="1"/>
  <c r="J1623" i="1"/>
  <c r="I1623" i="1"/>
  <c r="J1615" i="1"/>
  <c r="I1615" i="1"/>
  <c r="J1607" i="1"/>
  <c r="I1607" i="1"/>
  <c r="J1599" i="1"/>
  <c r="I1599" i="1"/>
  <c r="J1591" i="1"/>
  <c r="I1591" i="1"/>
  <c r="J1583" i="1"/>
  <c r="I1583" i="1"/>
  <c r="J1575" i="1"/>
  <c r="I1575" i="1"/>
  <c r="J1567" i="1"/>
  <c r="I1567" i="1"/>
  <c r="J1559" i="1"/>
  <c r="I1559" i="1"/>
  <c r="J1551" i="1"/>
  <c r="I1551" i="1"/>
  <c r="J1543" i="1"/>
  <c r="I1543" i="1"/>
  <c r="J1535" i="1"/>
  <c r="I1535" i="1"/>
  <c r="J1527" i="1"/>
  <c r="I1527" i="1"/>
  <c r="J1519" i="1"/>
  <c r="I1519" i="1"/>
  <c r="J1511" i="1"/>
  <c r="I1511" i="1"/>
  <c r="J1503" i="1"/>
  <c r="I1503" i="1"/>
  <c r="J1495" i="1"/>
  <c r="I1495" i="1"/>
  <c r="J1487" i="1"/>
  <c r="I1487" i="1"/>
  <c r="J1479" i="1"/>
  <c r="I1479" i="1"/>
  <c r="J1471" i="1"/>
  <c r="I1471" i="1"/>
  <c r="J1463" i="1"/>
  <c r="I1463" i="1"/>
  <c r="J1455" i="1"/>
  <c r="I1455" i="1"/>
  <c r="J1447" i="1"/>
  <c r="I1447" i="1"/>
  <c r="J1439" i="1"/>
  <c r="I1439" i="1"/>
  <c r="J1431" i="1"/>
  <c r="I1431" i="1"/>
  <c r="J1423" i="1"/>
  <c r="I1423" i="1"/>
  <c r="J1415" i="1"/>
  <c r="I1415" i="1"/>
  <c r="J1407" i="1"/>
  <c r="I1407" i="1"/>
  <c r="J1399" i="1"/>
  <c r="I1399" i="1"/>
  <c r="J1391" i="1"/>
  <c r="I1391" i="1"/>
  <c r="J1383" i="1"/>
  <c r="I1383" i="1"/>
  <c r="J1375" i="1"/>
  <c r="I1375" i="1"/>
  <c r="J1367" i="1"/>
  <c r="I1367" i="1"/>
  <c r="J1359" i="1"/>
  <c r="I1359" i="1"/>
  <c r="J1351" i="1"/>
  <c r="I1351" i="1"/>
  <c r="J1343" i="1"/>
  <c r="I1343" i="1"/>
  <c r="J1335" i="1"/>
  <c r="I1335" i="1"/>
  <c r="J1327" i="1"/>
  <c r="I1327" i="1"/>
  <c r="J1319" i="1"/>
  <c r="I1319" i="1"/>
  <c r="J1311" i="1"/>
  <c r="I1311" i="1"/>
  <c r="J1303" i="1"/>
  <c r="I1303" i="1"/>
  <c r="J1295" i="1"/>
  <c r="I1295" i="1"/>
  <c r="J1287" i="1"/>
  <c r="I1287" i="1"/>
  <c r="J1279" i="1"/>
  <c r="I1279" i="1"/>
  <c r="J1271" i="1"/>
  <c r="I1271" i="1"/>
  <c r="J1263" i="1"/>
  <c r="I1263" i="1"/>
  <c r="J1255" i="1"/>
  <c r="I1255" i="1"/>
  <c r="J1247" i="1"/>
  <c r="I1247" i="1"/>
  <c r="J1239" i="1"/>
  <c r="I1239" i="1"/>
  <c r="J1231" i="1"/>
  <c r="I1231" i="1"/>
  <c r="J1223" i="1"/>
  <c r="I1223" i="1"/>
  <c r="J1215" i="1"/>
  <c r="I1215" i="1"/>
  <c r="J1207" i="1"/>
  <c r="I1207" i="1"/>
  <c r="J1199" i="1"/>
  <c r="I1199" i="1"/>
  <c r="J1191" i="1"/>
  <c r="I1191" i="1"/>
  <c r="J1183" i="1"/>
  <c r="I1183" i="1"/>
  <c r="J1175" i="1"/>
  <c r="I1175" i="1"/>
  <c r="J1167" i="1"/>
  <c r="I1167" i="1"/>
  <c r="J1159" i="1"/>
  <c r="I1159" i="1"/>
  <c r="J1151" i="1"/>
  <c r="I1151" i="1"/>
  <c r="J1143" i="1"/>
  <c r="I1143" i="1"/>
  <c r="J1135" i="1"/>
  <c r="I1135" i="1"/>
  <c r="J1127" i="1"/>
  <c r="I1127" i="1"/>
  <c r="J1119" i="1"/>
  <c r="I1119" i="1"/>
  <c r="J1111" i="1"/>
  <c r="I1111" i="1"/>
  <c r="J1103" i="1"/>
  <c r="I1103" i="1"/>
  <c r="J1095" i="1"/>
  <c r="I1095" i="1"/>
  <c r="J1087" i="1"/>
  <c r="I1087" i="1"/>
  <c r="J1079" i="1"/>
  <c r="I1079" i="1"/>
  <c r="J1071" i="1"/>
  <c r="I1071" i="1"/>
  <c r="J1063" i="1"/>
  <c r="I1063" i="1"/>
  <c r="J1055" i="1"/>
  <c r="I1055" i="1"/>
  <c r="J1047" i="1"/>
  <c r="I1047" i="1"/>
  <c r="J1039" i="1"/>
  <c r="I1039" i="1"/>
  <c r="J1031" i="1"/>
  <c r="I1031" i="1"/>
  <c r="J1023" i="1"/>
  <c r="I1023" i="1"/>
  <c r="J1015" i="1"/>
  <c r="I1015" i="1"/>
  <c r="J1007" i="1"/>
  <c r="I1007" i="1"/>
  <c r="J999" i="1"/>
  <c r="I999" i="1"/>
  <c r="J991" i="1"/>
  <c r="I991" i="1"/>
  <c r="J983" i="1"/>
  <c r="I983" i="1"/>
  <c r="J975" i="1"/>
  <c r="I975" i="1"/>
  <c r="J967" i="1"/>
  <c r="I967" i="1"/>
  <c r="J959" i="1"/>
  <c r="I959" i="1"/>
  <c r="J951" i="1"/>
  <c r="I951" i="1"/>
  <c r="J943" i="1"/>
  <c r="I943" i="1"/>
  <c r="J935" i="1"/>
  <c r="I935" i="1"/>
  <c r="J927" i="1"/>
  <c r="I927" i="1"/>
  <c r="J919" i="1"/>
  <c r="I919" i="1"/>
  <c r="J911" i="1"/>
  <c r="I911" i="1"/>
  <c r="J903" i="1"/>
  <c r="I903" i="1"/>
  <c r="J895" i="1"/>
  <c r="I895" i="1"/>
  <c r="J887" i="1"/>
  <c r="I887" i="1"/>
  <c r="J879" i="1"/>
  <c r="I879" i="1"/>
  <c r="J871" i="1"/>
  <c r="I871" i="1"/>
  <c r="J863" i="1"/>
  <c r="I863" i="1"/>
  <c r="J855" i="1"/>
  <c r="I855" i="1"/>
  <c r="J847" i="1"/>
  <c r="I847" i="1"/>
  <c r="J839" i="1"/>
  <c r="I839" i="1"/>
  <c r="J831" i="1"/>
  <c r="I831" i="1"/>
  <c r="J823" i="1"/>
  <c r="I823" i="1"/>
  <c r="J815" i="1"/>
  <c r="I815" i="1"/>
  <c r="J807" i="1"/>
  <c r="I807" i="1"/>
  <c r="J799" i="1"/>
  <c r="I799" i="1"/>
  <c r="J791" i="1"/>
  <c r="I791" i="1"/>
  <c r="J783" i="1"/>
  <c r="I783" i="1"/>
  <c r="J775" i="1"/>
  <c r="I775" i="1"/>
  <c r="J767" i="1"/>
  <c r="I767" i="1"/>
  <c r="J759" i="1"/>
  <c r="I759" i="1"/>
  <c r="J751" i="1"/>
  <c r="I751" i="1"/>
  <c r="J743" i="1"/>
  <c r="I743" i="1"/>
  <c r="J735" i="1"/>
  <c r="I735" i="1"/>
  <c r="J727" i="1"/>
  <c r="I727" i="1"/>
  <c r="J719" i="1"/>
  <c r="I719" i="1"/>
  <c r="J711" i="1"/>
  <c r="I711" i="1"/>
  <c r="J703" i="1"/>
  <c r="I703" i="1"/>
  <c r="J695" i="1"/>
  <c r="I695" i="1"/>
  <c r="J687" i="1"/>
  <c r="I687" i="1"/>
  <c r="J679" i="1"/>
  <c r="I679" i="1"/>
  <c r="J671" i="1"/>
  <c r="I671" i="1"/>
  <c r="J663" i="1"/>
  <c r="I663" i="1"/>
  <c r="J655" i="1"/>
  <c r="I655" i="1"/>
  <c r="J647" i="1"/>
  <c r="I647" i="1"/>
  <c r="J639" i="1"/>
  <c r="I639" i="1"/>
  <c r="J631" i="1"/>
  <c r="I631" i="1"/>
  <c r="J623" i="1"/>
  <c r="I623" i="1"/>
  <c r="J615" i="1"/>
  <c r="I615" i="1"/>
  <c r="J607" i="1"/>
  <c r="I607" i="1"/>
  <c r="J599" i="1"/>
  <c r="I599" i="1"/>
  <c r="J591" i="1"/>
  <c r="I591" i="1"/>
  <c r="J583" i="1"/>
  <c r="I583" i="1"/>
  <c r="J575" i="1"/>
  <c r="I575" i="1"/>
  <c r="J567" i="1"/>
  <c r="I567" i="1"/>
  <c r="J559" i="1"/>
  <c r="I559" i="1"/>
  <c r="J551" i="1"/>
  <c r="I551" i="1"/>
  <c r="J543" i="1"/>
  <c r="I543" i="1"/>
  <c r="J535" i="1"/>
  <c r="I535" i="1"/>
  <c r="J527" i="1"/>
  <c r="I527" i="1"/>
  <c r="J519" i="1"/>
  <c r="I519" i="1"/>
  <c r="J511" i="1"/>
  <c r="I511" i="1"/>
  <c r="J503" i="1"/>
  <c r="I503" i="1"/>
  <c r="J495" i="1"/>
  <c r="I495" i="1"/>
  <c r="J487" i="1"/>
  <c r="I487" i="1"/>
  <c r="J479" i="1"/>
  <c r="I479" i="1"/>
  <c r="J471" i="1"/>
  <c r="I471" i="1"/>
  <c r="J463" i="1"/>
  <c r="I463" i="1"/>
  <c r="J455" i="1"/>
  <c r="I455" i="1"/>
  <c r="J447" i="1"/>
  <c r="I447" i="1"/>
  <c r="J439" i="1"/>
  <c r="I439" i="1"/>
  <c r="J431" i="1"/>
  <c r="I431" i="1"/>
  <c r="J423" i="1"/>
  <c r="I423" i="1"/>
  <c r="J415" i="1"/>
  <c r="I415" i="1"/>
  <c r="J407" i="1"/>
  <c r="I407" i="1"/>
  <c r="J399" i="1"/>
  <c r="I399" i="1"/>
  <c r="J391" i="1"/>
  <c r="I391" i="1"/>
  <c r="J383" i="1"/>
  <c r="I383" i="1"/>
  <c r="J375" i="1"/>
  <c r="I375" i="1"/>
  <c r="J367" i="1"/>
  <c r="I367" i="1"/>
  <c r="J359" i="1"/>
  <c r="I359" i="1"/>
  <c r="J351" i="1"/>
  <c r="I351" i="1"/>
  <c r="J343" i="1"/>
  <c r="I343" i="1"/>
  <c r="J335" i="1"/>
  <c r="I335" i="1"/>
  <c r="J327" i="1"/>
  <c r="I327" i="1"/>
  <c r="J319" i="1"/>
  <c r="I319" i="1"/>
  <c r="J311" i="1"/>
  <c r="I311" i="1"/>
  <c r="J303" i="1"/>
  <c r="I303" i="1"/>
  <c r="I3713" i="1"/>
  <c r="I3457" i="1"/>
  <c r="I3201" i="1"/>
  <c r="I2402" i="1"/>
  <c r="J225" i="1"/>
  <c r="I225" i="1"/>
  <c r="J217" i="1"/>
  <c r="I217" i="1"/>
  <c r="J209" i="1"/>
  <c r="I209" i="1"/>
  <c r="J201" i="1"/>
  <c r="I201" i="1"/>
  <c r="J193" i="1"/>
  <c r="I193" i="1"/>
  <c r="J185" i="1"/>
  <c r="I185" i="1"/>
  <c r="J177" i="1"/>
  <c r="I177" i="1"/>
  <c r="J169" i="1"/>
  <c r="I169" i="1"/>
  <c r="J161" i="1"/>
  <c r="I161" i="1"/>
  <c r="J153" i="1"/>
  <c r="I153" i="1"/>
  <c r="J145" i="1"/>
  <c r="I145" i="1"/>
  <c r="J137" i="1"/>
  <c r="I137" i="1"/>
  <c r="J129" i="1"/>
  <c r="I129" i="1"/>
  <c r="J121" i="1"/>
  <c r="I121" i="1"/>
  <c r="J113" i="1"/>
  <c r="I113" i="1"/>
  <c r="J105" i="1"/>
  <c r="I105" i="1"/>
  <c r="J97" i="1"/>
  <c r="I97" i="1"/>
  <c r="J89" i="1"/>
  <c r="I89" i="1"/>
  <c r="J81" i="1"/>
  <c r="I81" i="1"/>
  <c r="J73" i="1"/>
  <c r="I73" i="1"/>
  <c r="J65" i="1"/>
  <c r="I65" i="1"/>
  <c r="J57" i="1"/>
  <c r="I57" i="1"/>
  <c r="J49" i="1"/>
  <c r="I49" i="1"/>
  <c r="J41" i="1"/>
  <c r="I41" i="1"/>
  <c r="J33" i="1"/>
  <c r="I33" i="1"/>
  <c r="J25" i="1"/>
  <c r="I25" i="1"/>
  <c r="J17" i="1"/>
  <c r="I17" i="1"/>
  <c r="J9" i="1"/>
  <c r="I9" i="1"/>
  <c r="J336" i="1"/>
  <c r="I336" i="1"/>
  <c r="J328" i="1"/>
  <c r="I328" i="1"/>
  <c r="J320" i="1"/>
  <c r="I320" i="1"/>
  <c r="J312" i="1"/>
  <c r="I312" i="1"/>
  <c r="J304" i="1"/>
  <c r="I304" i="1"/>
  <c r="J296" i="1"/>
  <c r="I296" i="1"/>
  <c r="J288" i="1"/>
  <c r="I288" i="1"/>
  <c r="J280" i="1"/>
  <c r="I280" i="1"/>
  <c r="J272" i="1"/>
  <c r="I272" i="1"/>
  <c r="J264" i="1"/>
  <c r="I264" i="1"/>
  <c r="J256" i="1"/>
  <c r="I256" i="1"/>
  <c r="J248" i="1"/>
  <c r="I248" i="1"/>
  <c r="J240" i="1"/>
  <c r="I240" i="1"/>
  <c r="J232" i="1"/>
  <c r="I232" i="1"/>
  <c r="J224" i="1"/>
  <c r="I224" i="1"/>
  <c r="J216" i="1"/>
  <c r="I216" i="1"/>
  <c r="J208" i="1"/>
  <c r="I208" i="1"/>
  <c r="J200" i="1"/>
  <c r="I200" i="1"/>
  <c r="J192" i="1"/>
  <c r="I192" i="1"/>
  <c r="J184" i="1"/>
  <c r="I184" i="1"/>
  <c r="J176" i="1"/>
  <c r="I176" i="1"/>
  <c r="J168" i="1"/>
  <c r="I168" i="1"/>
  <c r="J160" i="1"/>
  <c r="I160" i="1"/>
  <c r="J152" i="1"/>
  <c r="I152" i="1"/>
  <c r="J144" i="1"/>
  <c r="I144" i="1"/>
  <c r="J136" i="1"/>
  <c r="I136" i="1"/>
  <c r="J128" i="1"/>
  <c r="I128" i="1"/>
  <c r="J120" i="1"/>
  <c r="I120" i="1"/>
  <c r="J112" i="1"/>
  <c r="I112" i="1"/>
  <c r="J104" i="1"/>
  <c r="I104" i="1"/>
  <c r="J96" i="1"/>
  <c r="I96" i="1"/>
  <c r="J88" i="1"/>
  <c r="I88" i="1"/>
  <c r="J80" i="1"/>
  <c r="I80" i="1"/>
  <c r="J72" i="1"/>
  <c r="I72" i="1"/>
  <c r="J64" i="1"/>
  <c r="I64" i="1"/>
  <c r="J56" i="1"/>
  <c r="I56" i="1"/>
  <c r="J48" i="1"/>
  <c r="I48" i="1"/>
  <c r="J40" i="1"/>
  <c r="I40" i="1"/>
  <c r="J32" i="1"/>
  <c r="I32" i="1"/>
  <c r="J24" i="1"/>
  <c r="I24" i="1"/>
  <c r="J16" i="1"/>
  <c r="I16" i="1"/>
  <c r="J8" i="1"/>
  <c r="I8" i="1"/>
  <c r="J295" i="1"/>
  <c r="I295" i="1"/>
  <c r="J287" i="1"/>
  <c r="I287" i="1"/>
  <c r="J279" i="1"/>
  <c r="I279" i="1"/>
  <c r="J271" i="1"/>
  <c r="I271" i="1"/>
  <c r="J263" i="1"/>
  <c r="I263" i="1"/>
  <c r="J255" i="1"/>
  <c r="I255" i="1"/>
  <c r="J247" i="1"/>
  <c r="I247" i="1"/>
  <c r="J239" i="1"/>
  <c r="I239" i="1"/>
  <c r="J231" i="1"/>
  <c r="I231" i="1"/>
  <c r="J223" i="1"/>
  <c r="I223" i="1"/>
  <c r="J215" i="1"/>
  <c r="I215" i="1"/>
  <c r="J207" i="1"/>
  <c r="I207" i="1"/>
  <c r="J199" i="1"/>
  <c r="I199" i="1"/>
  <c r="J191" i="1"/>
  <c r="I191" i="1"/>
  <c r="J183" i="1"/>
  <c r="I183" i="1"/>
  <c r="J175" i="1"/>
  <c r="I175" i="1"/>
  <c r="J167" i="1"/>
  <c r="I167" i="1"/>
  <c r="J159" i="1"/>
  <c r="I159" i="1"/>
  <c r="J151" i="1"/>
  <c r="I151" i="1"/>
  <c r="J143" i="1"/>
  <c r="I143" i="1"/>
  <c r="J135" i="1"/>
  <c r="I135" i="1"/>
  <c r="J127" i="1"/>
  <c r="I127" i="1"/>
  <c r="J119" i="1"/>
  <c r="I119" i="1"/>
  <c r="J111" i="1"/>
  <c r="I111" i="1"/>
  <c r="J103" i="1"/>
  <c r="I103" i="1"/>
  <c r="J95" i="1"/>
  <c r="I95" i="1"/>
  <c r="J87" i="1"/>
  <c r="I87" i="1"/>
  <c r="J79" i="1"/>
  <c r="I79" i="1"/>
  <c r="J71" i="1"/>
  <c r="I71" i="1"/>
  <c r="J63" i="1"/>
  <c r="I63" i="1"/>
  <c r="J55" i="1"/>
  <c r="I55" i="1"/>
  <c r="J47" i="1"/>
  <c r="I47" i="1"/>
  <c r="J39" i="1"/>
  <c r="I39" i="1"/>
  <c r="J31" i="1"/>
  <c r="I31" i="1"/>
  <c r="J23" i="1"/>
  <c r="I23" i="1"/>
  <c r="J15" i="1"/>
  <c r="I15" i="1"/>
  <c r="J7" i="1"/>
  <c r="I7" i="1"/>
  <c r="J246" i="1"/>
  <c r="I246" i="1"/>
  <c r="J238" i="1"/>
  <c r="I238" i="1"/>
  <c r="J230" i="1"/>
  <c r="I230" i="1"/>
  <c r="J222" i="1"/>
  <c r="I222" i="1"/>
  <c r="J214" i="1"/>
  <c r="I214" i="1"/>
  <c r="J206" i="1"/>
  <c r="I206" i="1"/>
  <c r="J198" i="1"/>
  <c r="I198" i="1"/>
  <c r="J190" i="1"/>
  <c r="I190" i="1"/>
  <c r="J182" i="1"/>
  <c r="I182" i="1"/>
  <c r="J174" i="1"/>
  <c r="I174" i="1"/>
  <c r="J166" i="1"/>
  <c r="I166" i="1"/>
  <c r="J158" i="1"/>
  <c r="I158" i="1"/>
  <c r="J150" i="1"/>
  <c r="I150" i="1"/>
  <c r="J142" i="1"/>
  <c r="I142" i="1"/>
  <c r="J134" i="1"/>
  <c r="I134" i="1"/>
  <c r="J126" i="1"/>
  <c r="I126" i="1"/>
  <c r="J118" i="1"/>
  <c r="I118" i="1"/>
  <c r="J110" i="1"/>
  <c r="I110" i="1"/>
  <c r="J102" i="1"/>
  <c r="I102" i="1"/>
  <c r="J94" i="1"/>
  <c r="I94" i="1"/>
  <c r="J86" i="1"/>
  <c r="I86" i="1"/>
  <c r="J78" i="1"/>
  <c r="I78" i="1"/>
  <c r="J70" i="1"/>
  <c r="I70" i="1"/>
  <c r="J62" i="1"/>
  <c r="I62" i="1"/>
  <c r="J54" i="1"/>
  <c r="I54" i="1"/>
  <c r="J46" i="1"/>
  <c r="I46" i="1"/>
  <c r="J38" i="1"/>
  <c r="I38" i="1"/>
  <c r="J30" i="1"/>
  <c r="I30" i="1"/>
  <c r="J22" i="1"/>
  <c r="I22" i="1"/>
  <c r="J14" i="1"/>
  <c r="I14" i="1"/>
  <c r="J6" i="1"/>
  <c r="I6" i="1"/>
  <c r="J205" i="1"/>
  <c r="I205" i="1"/>
  <c r="J197" i="1"/>
  <c r="I197" i="1"/>
  <c r="J189" i="1"/>
  <c r="I189" i="1"/>
  <c r="J181" i="1"/>
  <c r="I181" i="1"/>
  <c r="J173" i="1"/>
  <c r="I173" i="1"/>
  <c r="J165" i="1"/>
  <c r="I165" i="1"/>
  <c r="J157" i="1"/>
  <c r="I157" i="1"/>
  <c r="J149" i="1"/>
  <c r="I149" i="1"/>
  <c r="J141" i="1"/>
  <c r="I141" i="1"/>
  <c r="J133" i="1"/>
  <c r="I133" i="1"/>
  <c r="J125" i="1"/>
  <c r="I125" i="1"/>
  <c r="J117" i="1"/>
  <c r="I117" i="1"/>
  <c r="J109" i="1"/>
  <c r="I109" i="1"/>
  <c r="J101" i="1"/>
  <c r="I101" i="1"/>
  <c r="J93" i="1"/>
  <c r="I93" i="1"/>
  <c r="J85" i="1"/>
  <c r="I85" i="1"/>
  <c r="J77" i="1"/>
  <c r="I77" i="1"/>
  <c r="J69" i="1"/>
  <c r="I69" i="1"/>
  <c r="J61" i="1"/>
  <c r="I61" i="1"/>
  <c r="J53" i="1"/>
  <c r="I53" i="1"/>
  <c r="J45" i="1"/>
  <c r="I45" i="1"/>
  <c r="J37" i="1"/>
  <c r="I37" i="1"/>
  <c r="J29" i="1"/>
  <c r="I29" i="1"/>
  <c r="J21" i="1"/>
  <c r="I21" i="1"/>
  <c r="J13" i="1"/>
  <c r="I13" i="1"/>
  <c r="J5" i="1"/>
  <c r="I5" i="1"/>
  <c r="J332" i="1"/>
  <c r="I332" i="1"/>
  <c r="J324" i="1"/>
  <c r="I324" i="1"/>
  <c r="J316" i="1"/>
  <c r="I316" i="1"/>
  <c r="J308" i="1"/>
  <c r="I308" i="1"/>
  <c r="J300" i="1"/>
  <c r="I300" i="1"/>
  <c r="J292" i="1"/>
  <c r="I292" i="1"/>
  <c r="J284" i="1"/>
  <c r="I284" i="1"/>
  <c r="J276" i="1"/>
  <c r="I276" i="1"/>
  <c r="J268" i="1"/>
  <c r="I268" i="1"/>
  <c r="J260" i="1"/>
  <c r="I260" i="1"/>
  <c r="J252" i="1"/>
  <c r="I252" i="1"/>
  <c r="J244" i="1"/>
  <c r="I244" i="1"/>
  <c r="J236" i="1"/>
  <c r="I236" i="1"/>
  <c r="J228" i="1"/>
  <c r="I228" i="1"/>
  <c r="J220" i="1"/>
  <c r="I220" i="1"/>
  <c r="J212" i="1"/>
  <c r="I212" i="1"/>
  <c r="J204" i="1"/>
  <c r="I204" i="1"/>
  <c r="J196" i="1"/>
  <c r="I196" i="1"/>
  <c r="J188" i="1"/>
  <c r="I188" i="1"/>
  <c r="J180" i="1"/>
  <c r="I180" i="1"/>
  <c r="J172" i="1"/>
  <c r="I172" i="1"/>
  <c r="J164" i="1"/>
  <c r="I164" i="1"/>
  <c r="J156" i="1"/>
  <c r="I156" i="1"/>
  <c r="J148" i="1"/>
  <c r="I148" i="1"/>
  <c r="J140" i="1"/>
  <c r="I140" i="1"/>
  <c r="J132" i="1"/>
  <c r="I132" i="1"/>
  <c r="J124" i="1"/>
  <c r="I124" i="1"/>
  <c r="J116" i="1"/>
  <c r="I116" i="1"/>
  <c r="J108" i="1"/>
  <c r="I108" i="1"/>
  <c r="J100" i="1"/>
  <c r="I100" i="1"/>
  <c r="J92" i="1"/>
  <c r="I92" i="1"/>
  <c r="J84" i="1"/>
  <c r="I84" i="1"/>
  <c r="J76" i="1"/>
  <c r="I76" i="1"/>
  <c r="J68" i="1"/>
  <c r="I68" i="1"/>
  <c r="J60" i="1"/>
  <c r="I60" i="1"/>
  <c r="J52" i="1"/>
  <c r="I52" i="1"/>
  <c r="J44" i="1"/>
  <c r="I44" i="1"/>
  <c r="J36" i="1"/>
  <c r="I36" i="1"/>
  <c r="J28" i="1"/>
  <c r="I28" i="1"/>
  <c r="J20" i="1"/>
  <c r="I20" i="1"/>
  <c r="J12" i="1"/>
  <c r="I12" i="1"/>
  <c r="J4" i="1"/>
  <c r="I4" i="1"/>
  <c r="J227" i="1"/>
  <c r="I227" i="1"/>
  <c r="J219" i="1"/>
  <c r="I219" i="1"/>
  <c r="J211" i="1"/>
  <c r="I211" i="1"/>
  <c r="J203" i="1"/>
  <c r="I203" i="1"/>
  <c r="J195" i="1"/>
  <c r="I195" i="1"/>
  <c r="J187" i="1"/>
  <c r="I187" i="1"/>
  <c r="J179" i="1"/>
  <c r="I179" i="1"/>
  <c r="J171" i="1"/>
  <c r="I171" i="1"/>
  <c r="J163" i="1"/>
  <c r="I163" i="1"/>
  <c r="J155" i="1"/>
  <c r="I155" i="1"/>
  <c r="J147" i="1"/>
  <c r="I147" i="1"/>
  <c r="J139" i="1"/>
  <c r="I139" i="1"/>
  <c r="J131" i="1"/>
  <c r="I131" i="1"/>
  <c r="J123" i="1"/>
  <c r="I123" i="1"/>
  <c r="J115" i="1"/>
  <c r="I115" i="1"/>
  <c r="J107" i="1"/>
  <c r="I107" i="1"/>
  <c r="J99" i="1"/>
  <c r="I99" i="1"/>
  <c r="J91" i="1"/>
  <c r="I91" i="1"/>
  <c r="J83" i="1"/>
  <c r="I83" i="1"/>
  <c r="J75" i="1"/>
  <c r="I75" i="1"/>
  <c r="J67" i="1"/>
  <c r="I67" i="1"/>
  <c r="J59" i="1"/>
  <c r="I59" i="1"/>
  <c r="J51" i="1"/>
  <c r="I51" i="1"/>
  <c r="J43" i="1"/>
  <c r="I43" i="1"/>
  <c r="J35" i="1"/>
  <c r="I35" i="1"/>
  <c r="J27" i="1"/>
  <c r="I27" i="1"/>
  <c r="J19" i="1"/>
  <c r="I19" i="1"/>
  <c r="J11" i="1"/>
  <c r="I11" i="1"/>
  <c r="J3" i="1"/>
  <c r="I3" i="1"/>
  <c r="J3999" i="1"/>
  <c r="D3230" i="1"/>
  <c r="G3230" i="1"/>
  <c r="D2907" i="1"/>
  <c r="G2907" i="1"/>
  <c r="D3058" i="1"/>
  <c r="G3058" i="1"/>
  <c r="D2738" i="1"/>
  <c r="G2738" i="1"/>
  <c r="D3424" i="1"/>
  <c r="G3424" i="1"/>
  <c r="D3360" i="1"/>
  <c r="G3360" i="1"/>
  <c r="D3296" i="1"/>
  <c r="G3296" i="1"/>
  <c r="D3144" i="1"/>
  <c r="G3144" i="1"/>
  <c r="D2568" i="1"/>
  <c r="G2568" i="1"/>
  <c r="D4314" i="1"/>
  <c r="F4314" i="1"/>
  <c r="D4306" i="1"/>
  <c r="F4306" i="1"/>
  <c r="D4298" i="1"/>
  <c r="F4298" i="1"/>
  <c r="D4290" i="1"/>
  <c r="F4290" i="1"/>
  <c r="D4282" i="1"/>
  <c r="F4282" i="1"/>
  <c r="D4274" i="1"/>
  <c r="F4274" i="1"/>
  <c r="D4266" i="1"/>
  <c r="F4266" i="1"/>
  <c r="D4258" i="1"/>
  <c r="F4258" i="1"/>
  <c r="D4250" i="1"/>
  <c r="F4250" i="1"/>
  <c r="D4242" i="1"/>
  <c r="F4242" i="1"/>
  <c r="D4234" i="1"/>
  <c r="F4234" i="1"/>
  <c r="D4226" i="1"/>
  <c r="F4226" i="1"/>
  <c r="D4218" i="1"/>
  <c r="F4218" i="1"/>
  <c r="D4210" i="1"/>
  <c r="F4210" i="1"/>
  <c r="D4202" i="1"/>
  <c r="F4202" i="1"/>
  <c r="D4194" i="1"/>
  <c r="F4194" i="1"/>
  <c r="D4186" i="1"/>
  <c r="F4186" i="1"/>
  <c r="D4178" i="1"/>
  <c r="F4178" i="1"/>
  <c r="D4170" i="1"/>
  <c r="F4170" i="1"/>
  <c r="D4162" i="1"/>
  <c r="F4162" i="1"/>
  <c r="D4154" i="1"/>
  <c r="F4154" i="1"/>
  <c r="D4146" i="1"/>
  <c r="F4146" i="1"/>
  <c r="D4138" i="1"/>
  <c r="F4138" i="1"/>
  <c r="D4130" i="1"/>
  <c r="F4130" i="1"/>
  <c r="D4122" i="1"/>
  <c r="F4122" i="1"/>
  <c r="D4114" i="1"/>
  <c r="F4114" i="1"/>
  <c r="D4106" i="1"/>
  <c r="F4106" i="1"/>
  <c r="D4098" i="1"/>
  <c r="F4098" i="1"/>
  <c r="D4090" i="1"/>
  <c r="F4090" i="1"/>
  <c r="D4082" i="1"/>
  <c r="F4082" i="1"/>
  <c r="D4074" i="1"/>
  <c r="F4074" i="1"/>
  <c r="D4066" i="1"/>
  <c r="F4066" i="1"/>
  <c r="D4058" i="1"/>
  <c r="F4058" i="1"/>
  <c r="D4050" i="1"/>
  <c r="F4050" i="1"/>
  <c r="D4042" i="1"/>
  <c r="F4042" i="1"/>
  <c r="D4034" i="1"/>
  <c r="F4034" i="1"/>
  <c r="D4026" i="1"/>
  <c r="F4026" i="1"/>
  <c r="D4018" i="1"/>
  <c r="F4018" i="1"/>
  <c r="D4010" i="1"/>
  <c r="F4010" i="1"/>
  <c r="D4002" i="1"/>
  <c r="F4002" i="1"/>
  <c r="D3994" i="1"/>
  <c r="F3994" i="1"/>
  <c r="D3986" i="1"/>
  <c r="F3986" i="1"/>
  <c r="D3978" i="1"/>
  <c r="F3978" i="1"/>
  <c r="D3970" i="1"/>
  <c r="F3970" i="1"/>
  <c r="D3962" i="1"/>
  <c r="F3962" i="1"/>
  <c r="D3954" i="1"/>
  <c r="F3954" i="1"/>
  <c r="D3946" i="1"/>
  <c r="F3946" i="1"/>
  <c r="D3938" i="1"/>
  <c r="F3938" i="1"/>
  <c r="D3930" i="1"/>
  <c r="F3930" i="1"/>
  <c r="D3922" i="1"/>
  <c r="F3922" i="1"/>
  <c r="D3914" i="1"/>
  <c r="F3914" i="1"/>
  <c r="D3906" i="1"/>
  <c r="F3906" i="1"/>
  <c r="D3898" i="1"/>
  <c r="F3898" i="1"/>
  <c r="D3890" i="1"/>
  <c r="F3890" i="1"/>
  <c r="D3882" i="1"/>
  <c r="F3882" i="1"/>
  <c r="D3874" i="1"/>
  <c r="F3874" i="1"/>
  <c r="D3866" i="1"/>
  <c r="F3866" i="1"/>
  <c r="D3858" i="1"/>
  <c r="F3858" i="1"/>
  <c r="D3850" i="1"/>
  <c r="F3850" i="1"/>
  <c r="D3842" i="1"/>
  <c r="F3842" i="1"/>
  <c r="D3834" i="1"/>
  <c r="F3834" i="1"/>
  <c r="D3826" i="1"/>
  <c r="F3826" i="1"/>
  <c r="D3818" i="1"/>
  <c r="F3818" i="1"/>
  <c r="D3810" i="1"/>
  <c r="F3810" i="1"/>
  <c r="D3802" i="1"/>
  <c r="F3802" i="1"/>
  <c r="D3794" i="1"/>
  <c r="F3794" i="1"/>
  <c r="D3786" i="1"/>
  <c r="F3786" i="1"/>
  <c r="D3778" i="1"/>
  <c r="F3778" i="1"/>
  <c r="D3770" i="1"/>
  <c r="F3770" i="1"/>
  <c r="D3762" i="1"/>
  <c r="F3762" i="1"/>
  <c r="D3754" i="1"/>
  <c r="F3754" i="1"/>
  <c r="D3746" i="1"/>
  <c r="F3746" i="1"/>
  <c r="D3738" i="1"/>
  <c r="F3738" i="1"/>
  <c r="D3730" i="1"/>
  <c r="F3730" i="1"/>
  <c r="D3722" i="1"/>
  <c r="F3722" i="1"/>
  <c r="D3714" i="1"/>
  <c r="F3714" i="1"/>
  <c r="D3706" i="1"/>
  <c r="F3706" i="1"/>
  <c r="D3698" i="1"/>
  <c r="F3698" i="1"/>
  <c r="D3690" i="1"/>
  <c r="F3690" i="1"/>
  <c r="D3682" i="1"/>
  <c r="F3682" i="1"/>
  <c r="D3674" i="1"/>
  <c r="F3674" i="1"/>
  <c r="D3666" i="1"/>
  <c r="F3666" i="1"/>
  <c r="D3658" i="1"/>
  <c r="F3658" i="1"/>
  <c r="D3650" i="1"/>
  <c r="F3650" i="1"/>
  <c r="D3642" i="1"/>
  <c r="F3642" i="1"/>
  <c r="D3634" i="1"/>
  <c r="F3634" i="1"/>
  <c r="D3626" i="1"/>
  <c r="F3626" i="1"/>
  <c r="D3618" i="1"/>
  <c r="F3618" i="1"/>
  <c r="D3610" i="1"/>
  <c r="F3610" i="1"/>
  <c r="D3602" i="1"/>
  <c r="F3602" i="1"/>
  <c r="D3594" i="1"/>
  <c r="F3594" i="1"/>
  <c r="D3586" i="1"/>
  <c r="F3586" i="1"/>
  <c r="D3578" i="1"/>
  <c r="F3578" i="1"/>
  <c r="D3570" i="1"/>
  <c r="F3570" i="1"/>
  <c r="D3562" i="1"/>
  <c r="F3562" i="1"/>
  <c r="D3554" i="1"/>
  <c r="F3554" i="1"/>
  <c r="D3546" i="1"/>
  <c r="F3546" i="1"/>
  <c r="D3538" i="1"/>
  <c r="F3538" i="1"/>
  <c r="D3530" i="1"/>
  <c r="F3530" i="1"/>
  <c r="D3522" i="1"/>
  <c r="F3522" i="1"/>
  <c r="D3514" i="1"/>
  <c r="F3514" i="1"/>
  <c r="D3506" i="1"/>
  <c r="F3506" i="1"/>
  <c r="D3498" i="1"/>
  <c r="F3498" i="1"/>
  <c r="D3490" i="1"/>
  <c r="F3490" i="1"/>
  <c r="D4313" i="1"/>
  <c r="F4313" i="1"/>
  <c r="D4305" i="1"/>
  <c r="F4305" i="1"/>
  <c r="D4297" i="1"/>
  <c r="F4297" i="1"/>
  <c r="D4289" i="1"/>
  <c r="F4289" i="1"/>
  <c r="D4281" i="1"/>
  <c r="F4281" i="1"/>
  <c r="D4273" i="1"/>
  <c r="F4273" i="1"/>
  <c r="D4265" i="1"/>
  <c r="F4265" i="1"/>
  <c r="D4257" i="1"/>
  <c r="F4257" i="1"/>
  <c r="D4249" i="1"/>
  <c r="F4249" i="1"/>
  <c r="D4241" i="1"/>
  <c r="F4241" i="1"/>
  <c r="D4233" i="1"/>
  <c r="F4233" i="1"/>
  <c r="D4225" i="1"/>
  <c r="F4225" i="1"/>
  <c r="D4217" i="1"/>
  <c r="F4217" i="1"/>
  <c r="D4209" i="1"/>
  <c r="F4209" i="1"/>
  <c r="D4201" i="1"/>
  <c r="F4201" i="1"/>
  <c r="D4193" i="1"/>
  <c r="F4193" i="1"/>
  <c r="D4185" i="1"/>
  <c r="F4185" i="1"/>
  <c r="D4177" i="1"/>
  <c r="F4177" i="1"/>
  <c r="D4169" i="1"/>
  <c r="F4169" i="1"/>
  <c r="D4161" i="1"/>
  <c r="F4161" i="1"/>
  <c r="D4153" i="1"/>
  <c r="F4153" i="1"/>
  <c r="D4145" i="1"/>
  <c r="F4145" i="1"/>
  <c r="D4137" i="1"/>
  <c r="F4137" i="1"/>
  <c r="D4129" i="1"/>
  <c r="F4129" i="1"/>
  <c r="D4121" i="1"/>
  <c r="F4121" i="1"/>
  <c r="D4113" i="1"/>
  <c r="F4113" i="1"/>
  <c r="D4105" i="1"/>
  <c r="F4105" i="1"/>
  <c r="D4097" i="1"/>
  <c r="F4097" i="1"/>
  <c r="D4089" i="1"/>
  <c r="F4089" i="1"/>
  <c r="D4081" i="1"/>
  <c r="F4081" i="1"/>
  <c r="D4073" i="1"/>
  <c r="F4073" i="1"/>
  <c r="D4065" i="1"/>
  <c r="F4065" i="1"/>
  <c r="D4057" i="1"/>
  <c r="F4057" i="1"/>
  <c r="D4049" i="1"/>
  <c r="F4049" i="1"/>
  <c r="D4041" i="1"/>
  <c r="F4041" i="1"/>
  <c r="D4033" i="1"/>
  <c r="F4033" i="1"/>
  <c r="D4025" i="1"/>
  <c r="F4025" i="1"/>
  <c r="D4017" i="1"/>
  <c r="F4017" i="1"/>
  <c r="D4009" i="1"/>
  <c r="F4009" i="1"/>
  <c r="D4001" i="1"/>
  <c r="F4001" i="1"/>
  <c r="D3993" i="1"/>
  <c r="F3993" i="1"/>
  <c r="D3985" i="1"/>
  <c r="F3985" i="1"/>
  <c r="D3977" i="1"/>
  <c r="F3977" i="1"/>
  <c r="D3969" i="1"/>
  <c r="F3969" i="1"/>
  <c r="D3961" i="1"/>
  <c r="F3961" i="1"/>
  <c r="D3953" i="1"/>
  <c r="F3953" i="1"/>
  <c r="D3945" i="1"/>
  <c r="F3945" i="1"/>
  <c r="D3937" i="1"/>
  <c r="F3937" i="1"/>
  <c r="D3929" i="1"/>
  <c r="F3929" i="1"/>
  <c r="D3921" i="1"/>
  <c r="F3921" i="1"/>
  <c r="D3913" i="1"/>
  <c r="F3913" i="1"/>
  <c r="D3905" i="1"/>
  <c r="F3905" i="1"/>
  <c r="D3897" i="1"/>
  <c r="F3897" i="1"/>
  <c r="D3889" i="1"/>
  <c r="F3889" i="1"/>
  <c r="D3881" i="1"/>
  <c r="F3881" i="1"/>
  <c r="D3873" i="1"/>
  <c r="F3873" i="1"/>
  <c r="D3865" i="1"/>
  <c r="F3865" i="1"/>
  <c r="D3857" i="1"/>
  <c r="F3857" i="1"/>
  <c r="D3849" i="1"/>
  <c r="F3849" i="1"/>
  <c r="D3841" i="1"/>
  <c r="F3841" i="1"/>
  <c r="D3833" i="1"/>
  <c r="F3833" i="1"/>
  <c r="D3825" i="1"/>
  <c r="F3825" i="1"/>
  <c r="D3817" i="1"/>
  <c r="F3817" i="1"/>
  <c r="D3809" i="1"/>
  <c r="F3809" i="1"/>
  <c r="D3801" i="1"/>
  <c r="F3801" i="1"/>
  <c r="D3793" i="1"/>
  <c r="F3793" i="1"/>
  <c r="D3785" i="1"/>
  <c r="F3785" i="1"/>
  <c r="D3777" i="1"/>
  <c r="F3777" i="1"/>
  <c r="D3769" i="1"/>
  <c r="F3769" i="1"/>
  <c r="D3761" i="1"/>
  <c r="F3761" i="1"/>
  <c r="D3753" i="1"/>
  <c r="F3753" i="1"/>
  <c r="D3745" i="1"/>
  <c r="F3745" i="1"/>
  <c r="D3737" i="1"/>
  <c r="F3737" i="1"/>
  <c r="D3729" i="1"/>
  <c r="F3729" i="1"/>
  <c r="D3721" i="1"/>
  <c r="F3721" i="1"/>
  <c r="D3713" i="1"/>
  <c r="F3713" i="1"/>
  <c r="D3705" i="1"/>
  <c r="F3705" i="1"/>
  <c r="D3697" i="1"/>
  <c r="F3697" i="1"/>
  <c r="D3689" i="1"/>
  <c r="F3689" i="1"/>
  <c r="D3681" i="1"/>
  <c r="F3681" i="1"/>
  <c r="D3673" i="1"/>
  <c r="F3673" i="1"/>
  <c r="D3665" i="1"/>
  <c r="F3665" i="1"/>
  <c r="D3657" i="1"/>
  <c r="F3657" i="1"/>
  <c r="D3649" i="1"/>
  <c r="F3649" i="1"/>
  <c r="D3641" i="1"/>
  <c r="F3641" i="1"/>
  <c r="D3633" i="1"/>
  <c r="F3633" i="1"/>
  <c r="D3625" i="1"/>
  <c r="F3625" i="1"/>
  <c r="D3617" i="1"/>
  <c r="F3617" i="1"/>
  <c r="D3609" i="1"/>
  <c r="F3609" i="1"/>
  <c r="D3601" i="1"/>
  <c r="F3601" i="1"/>
  <c r="D3593" i="1"/>
  <c r="F3593" i="1"/>
  <c r="D3585" i="1"/>
  <c r="F3585" i="1"/>
  <c r="D3577" i="1"/>
  <c r="F3577" i="1"/>
  <c r="D3569" i="1"/>
  <c r="F3569" i="1"/>
  <c r="D3561" i="1"/>
  <c r="F3561" i="1"/>
  <c r="D3553" i="1"/>
  <c r="F3553" i="1"/>
  <c r="D3545" i="1"/>
  <c r="F3545" i="1"/>
  <c r="D3537" i="1"/>
  <c r="F3537" i="1"/>
  <c r="D3529" i="1"/>
  <c r="F3529" i="1"/>
  <c r="D3521" i="1"/>
  <c r="F3521" i="1"/>
  <c r="D3513" i="1"/>
  <c r="F3513" i="1"/>
  <c r="D3505" i="1"/>
  <c r="F3505" i="1"/>
  <c r="D3497" i="1"/>
  <c r="F3497" i="1"/>
  <c r="D3489" i="1"/>
  <c r="F3489" i="1"/>
  <c r="D3481" i="1"/>
  <c r="F3481" i="1"/>
  <c r="D3473" i="1"/>
  <c r="F3473" i="1"/>
  <c r="D3465" i="1"/>
  <c r="F3465" i="1"/>
  <c r="D3457" i="1"/>
  <c r="F3457" i="1"/>
  <c r="D3449" i="1"/>
  <c r="F3449" i="1"/>
  <c r="D3441" i="1"/>
  <c r="F3441" i="1"/>
  <c r="D3433" i="1"/>
  <c r="F3433" i="1"/>
  <c r="D3425" i="1"/>
  <c r="F3425" i="1"/>
  <c r="D3417" i="1"/>
  <c r="F3417" i="1"/>
  <c r="D3409" i="1"/>
  <c r="F3409" i="1"/>
  <c r="D3401" i="1"/>
  <c r="F3401" i="1"/>
  <c r="D3393" i="1"/>
  <c r="F3393" i="1"/>
  <c r="D3385" i="1"/>
  <c r="F3385" i="1"/>
  <c r="D3377" i="1"/>
  <c r="F3377" i="1"/>
  <c r="D3369" i="1"/>
  <c r="F3369" i="1"/>
  <c r="D3361" i="1"/>
  <c r="F3361" i="1"/>
  <c r="D3353" i="1"/>
  <c r="F3353" i="1"/>
  <c r="D3345" i="1"/>
  <c r="F3345" i="1"/>
  <c r="D3337" i="1"/>
  <c r="F3337" i="1"/>
  <c r="D3329" i="1"/>
  <c r="F3329" i="1"/>
  <c r="D3321" i="1"/>
  <c r="F3321" i="1"/>
  <c r="D3313" i="1"/>
  <c r="F3313" i="1"/>
  <c r="D3305" i="1"/>
  <c r="F3305" i="1"/>
  <c r="D3297" i="1"/>
  <c r="F3297" i="1"/>
  <c r="D3289" i="1"/>
  <c r="F3289" i="1"/>
  <c r="D3281" i="1"/>
  <c r="F3281" i="1"/>
  <c r="D3273" i="1"/>
  <c r="F3273" i="1"/>
  <c r="D3265" i="1"/>
  <c r="F3265" i="1"/>
  <c r="D3257" i="1"/>
  <c r="F3257" i="1"/>
  <c r="D3249" i="1"/>
  <c r="F3249" i="1"/>
  <c r="D3241" i="1"/>
  <c r="F3241" i="1"/>
  <c r="D3233" i="1"/>
  <c r="F3233" i="1"/>
  <c r="D3225" i="1"/>
  <c r="F3225" i="1"/>
  <c r="D3217" i="1"/>
  <c r="F3217" i="1"/>
  <c r="D3209" i="1"/>
  <c r="F3209" i="1"/>
  <c r="D3201" i="1"/>
  <c r="F3201" i="1"/>
  <c r="D3193" i="1"/>
  <c r="F3193" i="1"/>
  <c r="D3185" i="1"/>
  <c r="F3185" i="1"/>
  <c r="D3177" i="1"/>
  <c r="F3177" i="1"/>
  <c r="D3169" i="1"/>
  <c r="F3169" i="1"/>
  <c r="D3161" i="1"/>
  <c r="F3161" i="1"/>
  <c r="D3153" i="1"/>
  <c r="F3153" i="1"/>
  <c r="D3145" i="1"/>
  <c r="F3145" i="1"/>
  <c r="D3137" i="1"/>
  <c r="F3137" i="1"/>
  <c r="D3129" i="1"/>
  <c r="F3129" i="1"/>
  <c r="D3121" i="1"/>
  <c r="F3121" i="1"/>
  <c r="D3113" i="1"/>
  <c r="F3113" i="1"/>
  <c r="D3105" i="1"/>
  <c r="F3105" i="1"/>
  <c r="D3097" i="1"/>
  <c r="F3097" i="1"/>
  <c r="D3089" i="1"/>
  <c r="F3089" i="1"/>
  <c r="D3081" i="1"/>
  <c r="F3081" i="1"/>
  <c r="D3073" i="1"/>
  <c r="F3073" i="1"/>
  <c r="D3065" i="1"/>
  <c r="F3065" i="1"/>
  <c r="D3057" i="1"/>
  <c r="F3057" i="1"/>
  <c r="D3049" i="1"/>
  <c r="F3049" i="1"/>
  <c r="D3041" i="1"/>
  <c r="F3041" i="1"/>
  <c r="D3033" i="1"/>
  <c r="F3033" i="1"/>
  <c r="D3025" i="1"/>
  <c r="F3025" i="1"/>
  <c r="D3017" i="1"/>
  <c r="F3017" i="1"/>
  <c r="D3009" i="1"/>
  <c r="F3009" i="1"/>
  <c r="D3001" i="1"/>
  <c r="F3001" i="1"/>
  <c r="D2993" i="1"/>
  <c r="F2993" i="1"/>
  <c r="D2985" i="1"/>
  <c r="F2985" i="1"/>
  <c r="D2977" i="1"/>
  <c r="F2977" i="1"/>
  <c r="D2969" i="1"/>
  <c r="F2969" i="1"/>
  <c r="D2961" i="1"/>
  <c r="F2961" i="1"/>
  <c r="D2953" i="1"/>
  <c r="F2953" i="1"/>
  <c r="D2945" i="1"/>
  <c r="F2945" i="1"/>
  <c r="D2937" i="1"/>
  <c r="F2937" i="1"/>
  <c r="D2929" i="1"/>
  <c r="F2929" i="1"/>
  <c r="D2921" i="1"/>
  <c r="F2921" i="1"/>
  <c r="D2913" i="1"/>
  <c r="F2913" i="1"/>
  <c r="D2905" i="1"/>
  <c r="F2905" i="1"/>
  <c r="D2897" i="1"/>
  <c r="F2897" i="1"/>
  <c r="D2889" i="1"/>
  <c r="F2889" i="1"/>
  <c r="D2881" i="1"/>
  <c r="F2881" i="1"/>
  <c r="D2873" i="1"/>
  <c r="F2873" i="1"/>
  <c r="D2865" i="1"/>
  <c r="F2865" i="1"/>
  <c r="D2857" i="1"/>
  <c r="F2857" i="1"/>
  <c r="D4312" i="1"/>
  <c r="F4312" i="1"/>
  <c r="D4304" i="1"/>
  <c r="F4304" i="1"/>
  <c r="D4296" i="1"/>
  <c r="F4296" i="1"/>
  <c r="D4288" i="1"/>
  <c r="F4288" i="1"/>
  <c r="D4280" i="1"/>
  <c r="F4280" i="1"/>
  <c r="D4272" i="1"/>
  <c r="F4272" i="1"/>
  <c r="D4264" i="1"/>
  <c r="F4264" i="1"/>
  <c r="D4256" i="1"/>
  <c r="F4256" i="1"/>
  <c r="D4248" i="1"/>
  <c r="F4248" i="1"/>
  <c r="D4240" i="1"/>
  <c r="F4240" i="1"/>
  <c r="D4232" i="1"/>
  <c r="F4232" i="1"/>
  <c r="D4224" i="1"/>
  <c r="F4224" i="1"/>
  <c r="D4216" i="1"/>
  <c r="F4216" i="1"/>
  <c r="D4208" i="1"/>
  <c r="F4208" i="1"/>
  <c r="D4200" i="1"/>
  <c r="F4200" i="1"/>
  <c r="D4192" i="1"/>
  <c r="F4192" i="1"/>
  <c r="D4184" i="1"/>
  <c r="F4184" i="1"/>
  <c r="D4176" i="1"/>
  <c r="F4176" i="1"/>
  <c r="D4168" i="1"/>
  <c r="F4168" i="1"/>
  <c r="D4160" i="1"/>
  <c r="F4160" i="1"/>
  <c r="D4152" i="1"/>
  <c r="F4152" i="1"/>
  <c r="D4144" i="1"/>
  <c r="F4144" i="1"/>
  <c r="D4136" i="1"/>
  <c r="F4136" i="1"/>
  <c r="D4128" i="1"/>
  <c r="F4128" i="1"/>
  <c r="D4120" i="1"/>
  <c r="F4120" i="1"/>
  <c r="D4112" i="1"/>
  <c r="F4112" i="1"/>
  <c r="D4104" i="1"/>
  <c r="F4104" i="1"/>
  <c r="D4096" i="1"/>
  <c r="F4096" i="1"/>
  <c r="D4088" i="1"/>
  <c r="F4088" i="1"/>
  <c r="D4080" i="1"/>
  <c r="F4080" i="1"/>
  <c r="D4072" i="1"/>
  <c r="F4072" i="1"/>
  <c r="D4064" i="1"/>
  <c r="F4064" i="1"/>
  <c r="D4056" i="1"/>
  <c r="F4056" i="1"/>
  <c r="D4048" i="1"/>
  <c r="F4048" i="1"/>
  <c r="D4040" i="1"/>
  <c r="F4040" i="1"/>
  <c r="D4032" i="1"/>
  <c r="F4032" i="1"/>
  <c r="D4024" i="1"/>
  <c r="F4024" i="1"/>
  <c r="D4016" i="1"/>
  <c r="F4016" i="1"/>
  <c r="D4008" i="1"/>
  <c r="F4008" i="1"/>
  <c r="D4000" i="1"/>
  <c r="F4000" i="1"/>
  <c r="D3992" i="1"/>
  <c r="F3992" i="1"/>
  <c r="D3984" i="1"/>
  <c r="F3984" i="1"/>
  <c r="D3976" i="1"/>
  <c r="F3976" i="1"/>
  <c r="D3968" i="1"/>
  <c r="F3968" i="1"/>
  <c r="D3960" i="1"/>
  <c r="F3960" i="1"/>
  <c r="D3952" i="1"/>
  <c r="F3952" i="1"/>
  <c r="D3944" i="1"/>
  <c r="F3944" i="1"/>
  <c r="D3936" i="1"/>
  <c r="F3936" i="1"/>
  <c r="D3928" i="1"/>
  <c r="F3928" i="1"/>
  <c r="D3920" i="1"/>
  <c r="F3920" i="1"/>
  <c r="D3912" i="1"/>
  <c r="F3912" i="1"/>
  <c r="D3904" i="1"/>
  <c r="F3904" i="1"/>
  <c r="D3896" i="1"/>
  <c r="F3896" i="1"/>
  <c r="D3888" i="1"/>
  <c r="F3888" i="1"/>
  <c r="D3880" i="1"/>
  <c r="F3880" i="1"/>
  <c r="D3872" i="1"/>
  <c r="F3872" i="1"/>
  <c r="D3864" i="1"/>
  <c r="F3864" i="1"/>
  <c r="D3856" i="1"/>
  <c r="F3856" i="1"/>
  <c r="D3848" i="1"/>
  <c r="F3848" i="1"/>
  <c r="D3840" i="1"/>
  <c r="F3840" i="1"/>
  <c r="D3832" i="1"/>
  <c r="F3832" i="1"/>
  <c r="D3824" i="1"/>
  <c r="F3824" i="1"/>
  <c r="D3816" i="1"/>
  <c r="F3816" i="1"/>
  <c r="D3808" i="1"/>
  <c r="F3808" i="1"/>
  <c r="D3800" i="1"/>
  <c r="F3800" i="1"/>
  <c r="D3792" i="1"/>
  <c r="F3792" i="1"/>
  <c r="D3784" i="1"/>
  <c r="F3784" i="1"/>
  <c r="D3776" i="1"/>
  <c r="F3776" i="1"/>
  <c r="D3768" i="1"/>
  <c r="F3768" i="1"/>
  <c r="D3760" i="1"/>
  <c r="F3760" i="1"/>
  <c r="D3752" i="1"/>
  <c r="F3752" i="1"/>
  <c r="D3744" i="1"/>
  <c r="F3744" i="1"/>
  <c r="D3736" i="1"/>
  <c r="F3736" i="1"/>
  <c r="D3728" i="1"/>
  <c r="F3728" i="1"/>
  <c r="D3720" i="1"/>
  <c r="F3720" i="1"/>
  <c r="D3712" i="1"/>
  <c r="F3712" i="1"/>
  <c r="D3704" i="1"/>
  <c r="F3704" i="1"/>
  <c r="D3696" i="1"/>
  <c r="F3696" i="1"/>
  <c r="D3688" i="1"/>
  <c r="F3688" i="1"/>
  <c r="D3680" i="1"/>
  <c r="F3680" i="1"/>
  <c r="D3672" i="1"/>
  <c r="F3672" i="1"/>
  <c r="D3664" i="1"/>
  <c r="F3664" i="1"/>
  <c r="D3656" i="1"/>
  <c r="F3656" i="1"/>
  <c r="D3648" i="1"/>
  <c r="F3648" i="1"/>
  <c r="D3640" i="1"/>
  <c r="F3640" i="1"/>
  <c r="D3632" i="1"/>
  <c r="F3632" i="1"/>
  <c r="D3624" i="1"/>
  <c r="F3624" i="1"/>
  <c r="D3616" i="1"/>
  <c r="F3616" i="1"/>
  <c r="D3608" i="1"/>
  <c r="F3608" i="1"/>
  <c r="D3600" i="1"/>
  <c r="F3600" i="1"/>
  <c r="D3592" i="1"/>
  <c r="F3592" i="1"/>
  <c r="D3584" i="1"/>
  <c r="F3584" i="1"/>
  <c r="D3576" i="1"/>
  <c r="F3576" i="1"/>
  <c r="D3568" i="1"/>
  <c r="F3568" i="1"/>
  <c r="D3560" i="1"/>
  <c r="F3560" i="1"/>
  <c r="D3552" i="1"/>
  <c r="F3552" i="1"/>
  <c r="D3544" i="1"/>
  <c r="F3544" i="1"/>
  <c r="D3536" i="1"/>
  <c r="F3536" i="1"/>
  <c r="D3528" i="1"/>
  <c r="F3528" i="1"/>
  <c r="D3520" i="1"/>
  <c r="F3520" i="1"/>
  <c r="D3512" i="1"/>
  <c r="F3512" i="1"/>
  <c r="D3504" i="1"/>
  <c r="F3504" i="1"/>
  <c r="D3496" i="1"/>
  <c r="F3496" i="1"/>
  <c r="D3488" i="1"/>
  <c r="F3488" i="1"/>
  <c r="D4311" i="1"/>
  <c r="F4311" i="1"/>
  <c r="D4303" i="1"/>
  <c r="F4303" i="1"/>
  <c r="D4295" i="1"/>
  <c r="F4295" i="1"/>
  <c r="D4287" i="1"/>
  <c r="F4287" i="1"/>
  <c r="D4279" i="1"/>
  <c r="F4279" i="1"/>
  <c r="D4271" i="1"/>
  <c r="F4271" i="1"/>
  <c r="D4263" i="1"/>
  <c r="F4263" i="1"/>
  <c r="D4255" i="1"/>
  <c r="F4255" i="1"/>
  <c r="D4247" i="1"/>
  <c r="F4247" i="1"/>
  <c r="D4239" i="1"/>
  <c r="F4239" i="1"/>
  <c r="D4231" i="1"/>
  <c r="F4231" i="1"/>
  <c r="D4223" i="1"/>
  <c r="F4223" i="1"/>
  <c r="D4215" i="1"/>
  <c r="F4215" i="1"/>
  <c r="D4207" i="1"/>
  <c r="F4207" i="1"/>
  <c r="D4199" i="1"/>
  <c r="F4199" i="1"/>
  <c r="D4191" i="1"/>
  <c r="F4191" i="1"/>
  <c r="D4183" i="1"/>
  <c r="F4183" i="1"/>
  <c r="D4175" i="1"/>
  <c r="F4175" i="1"/>
  <c r="D4167" i="1"/>
  <c r="F4167" i="1"/>
  <c r="D4159" i="1"/>
  <c r="F4159" i="1"/>
  <c r="D4151" i="1"/>
  <c r="F4151" i="1"/>
  <c r="D4143" i="1"/>
  <c r="F4143" i="1"/>
  <c r="D4135" i="1"/>
  <c r="F4135" i="1"/>
  <c r="D4127" i="1"/>
  <c r="F4127" i="1"/>
  <c r="D4119" i="1"/>
  <c r="F4119" i="1"/>
  <c r="D4111" i="1"/>
  <c r="F4111" i="1"/>
  <c r="D4103" i="1"/>
  <c r="F4103" i="1"/>
  <c r="D4095" i="1"/>
  <c r="F4095" i="1"/>
  <c r="D4087" i="1"/>
  <c r="F4087" i="1"/>
  <c r="D4079" i="1"/>
  <c r="F4079" i="1"/>
  <c r="D4071" i="1"/>
  <c r="F4071" i="1"/>
  <c r="D4063" i="1"/>
  <c r="F4063" i="1"/>
  <c r="D4055" i="1"/>
  <c r="F4055" i="1"/>
  <c r="D4047" i="1"/>
  <c r="F4047" i="1"/>
  <c r="D4039" i="1"/>
  <c r="F4039" i="1"/>
  <c r="D4031" i="1"/>
  <c r="F4031" i="1"/>
  <c r="D4023" i="1"/>
  <c r="F4023" i="1"/>
  <c r="D4015" i="1"/>
  <c r="F4015" i="1"/>
  <c r="D4007" i="1"/>
  <c r="F4007" i="1"/>
  <c r="D3999" i="1"/>
  <c r="F3999" i="1"/>
  <c r="D3991" i="1"/>
  <c r="F3991" i="1"/>
  <c r="D3983" i="1"/>
  <c r="F3983" i="1"/>
  <c r="D3975" i="1"/>
  <c r="F3975" i="1"/>
  <c r="D3967" i="1"/>
  <c r="F3967" i="1"/>
  <c r="D3959" i="1"/>
  <c r="F3959" i="1"/>
  <c r="D3951" i="1"/>
  <c r="F3951" i="1"/>
  <c r="D3943" i="1"/>
  <c r="F3943" i="1"/>
  <c r="D3935" i="1"/>
  <c r="F3935" i="1"/>
  <c r="D3927" i="1"/>
  <c r="F3927" i="1"/>
  <c r="D3919" i="1"/>
  <c r="F3919" i="1"/>
  <c r="D3911" i="1"/>
  <c r="F3911" i="1"/>
  <c r="D3903" i="1"/>
  <c r="F3903" i="1"/>
  <c r="D3895" i="1"/>
  <c r="F3895" i="1"/>
  <c r="D3887" i="1"/>
  <c r="F3887" i="1"/>
  <c r="D3879" i="1"/>
  <c r="F3879" i="1"/>
  <c r="D3871" i="1"/>
  <c r="F3871" i="1"/>
  <c r="D3863" i="1"/>
  <c r="F3863" i="1"/>
  <c r="D3855" i="1"/>
  <c r="F3855" i="1"/>
  <c r="D3847" i="1"/>
  <c r="F3847" i="1"/>
  <c r="D3839" i="1"/>
  <c r="F3839" i="1"/>
  <c r="D3831" i="1"/>
  <c r="F3831" i="1"/>
  <c r="D3823" i="1"/>
  <c r="F3823" i="1"/>
  <c r="D3815" i="1"/>
  <c r="F3815" i="1"/>
  <c r="D3807" i="1"/>
  <c r="F3807" i="1"/>
  <c r="D3799" i="1"/>
  <c r="F3799" i="1"/>
  <c r="D3791" i="1"/>
  <c r="F3791" i="1"/>
  <c r="D3783" i="1"/>
  <c r="F3783" i="1"/>
  <c r="D3775" i="1"/>
  <c r="F3775" i="1"/>
  <c r="D3767" i="1"/>
  <c r="F3767" i="1"/>
  <c r="D3759" i="1"/>
  <c r="F3759" i="1"/>
  <c r="D3751" i="1"/>
  <c r="F3751" i="1"/>
  <c r="D3743" i="1"/>
  <c r="F3743" i="1"/>
  <c r="D3735" i="1"/>
  <c r="F3735" i="1"/>
  <c r="D3727" i="1"/>
  <c r="F3727" i="1"/>
  <c r="D3719" i="1"/>
  <c r="F3719" i="1"/>
  <c r="D3711" i="1"/>
  <c r="F3711" i="1"/>
  <c r="D3703" i="1"/>
  <c r="F3703" i="1"/>
  <c r="D3695" i="1"/>
  <c r="F3695" i="1"/>
  <c r="D3687" i="1"/>
  <c r="F3687" i="1"/>
  <c r="D3679" i="1"/>
  <c r="F3679" i="1"/>
  <c r="D3671" i="1"/>
  <c r="F3671" i="1"/>
  <c r="D3663" i="1"/>
  <c r="F3663" i="1"/>
  <c r="D3655" i="1"/>
  <c r="F3655" i="1"/>
  <c r="D3647" i="1"/>
  <c r="F3647" i="1"/>
  <c r="D3639" i="1"/>
  <c r="F3639" i="1"/>
  <c r="D3631" i="1"/>
  <c r="F3631" i="1"/>
  <c r="D3623" i="1"/>
  <c r="F3623" i="1"/>
  <c r="D3615" i="1"/>
  <c r="F3615" i="1"/>
  <c r="D3607" i="1"/>
  <c r="F3607" i="1"/>
  <c r="D3599" i="1"/>
  <c r="F3599" i="1"/>
  <c r="D3591" i="1"/>
  <c r="F3591" i="1"/>
  <c r="D3583" i="1"/>
  <c r="F3583" i="1"/>
  <c r="D3575" i="1"/>
  <c r="F3575" i="1"/>
  <c r="D3567" i="1"/>
  <c r="F3567" i="1"/>
  <c r="D3559" i="1"/>
  <c r="F3559" i="1"/>
  <c r="D3551" i="1"/>
  <c r="F3551" i="1"/>
  <c r="D3543" i="1"/>
  <c r="F3543" i="1"/>
  <c r="D3535" i="1"/>
  <c r="F3535" i="1"/>
  <c r="D3527" i="1"/>
  <c r="F3527" i="1"/>
  <c r="D3519" i="1"/>
  <c r="F3519" i="1"/>
  <c r="D3511" i="1"/>
  <c r="F3511" i="1"/>
  <c r="D3503" i="1"/>
  <c r="F3503" i="1"/>
  <c r="D3495" i="1"/>
  <c r="F3495" i="1"/>
  <c r="D3487" i="1"/>
  <c r="F3487" i="1"/>
  <c r="D4310" i="1"/>
  <c r="F4310" i="1"/>
  <c r="D4302" i="1"/>
  <c r="F4302" i="1"/>
  <c r="D4294" i="1"/>
  <c r="F4294" i="1"/>
  <c r="D4286" i="1"/>
  <c r="F4286" i="1"/>
  <c r="D4278" i="1"/>
  <c r="F4278" i="1"/>
  <c r="D4270" i="1"/>
  <c r="F4270" i="1"/>
  <c r="D4262" i="1"/>
  <c r="F4262" i="1"/>
  <c r="D4254" i="1"/>
  <c r="F4254" i="1"/>
  <c r="D4246" i="1"/>
  <c r="F4246" i="1"/>
  <c r="D4238" i="1"/>
  <c r="F4238" i="1"/>
  <c r="D4230" i="1"/>
  <c r="F4230" i="1"/>
  <c r="D4222" i="1"/>
  <c r="F4222" i="1"/>
  <c r="D4214" i="1"/>
  <c r="F4214" i="1"/>
  <c r="D4206" i="1"/>
  <c r="F4206" i="1"/>
  <c r="D4198" i="1"/>
  <c r="F4198" i="1"/>
  <c r="D4190" i="1"/>
  <c r="F4190" i="1"/>
  <c r="D4182" i="1"/>
  <c r="F4182" i="1"/>
  <c r="D4174" i="1"/>
  <c r="F4174" i="1"/>
  <c r="D4166" i="1"/>
  <c r="F4166" i="1"/>
  <c r="D4158" i="1"/>
  <c r="F4158" i="1"/>
  <c r="D4150" i="1"/>
  <c r="F4150" i="1"/>
  <c r="D4142" i="1"/>
  <c r="F4142" i="1"/>
  <c r="D4134" i="1"/>
  <c r="F4134" i="1"/>
  <c r="D4126" i="1"/>
  <c r="F4126" i="1"/>
  <c r="D4118" i="1"/>
  <c r="F4118" i="1"/>
  <c r="D4110" i="1"/>
  <c r="F4110" i="1"/>
  <c r="D4102" i="1"/>
  <c r="F4102" i="1"/>
  <c r="D4094" i="1"/>
  <c r="F4094" i="1"/>
  <c r="D4086" i="1"/>
  <c r="F4086" i="1"/>
  <c r="D4078" i="1"/>
  <c r="F4078" i="1"/>
  <c r="D4070" i="1"/>
  <c r="F4070" i="1"/>
  <c r="D4062" i="1"/>
  <c r="F4062" i="1"/>
  <c r="D4054" i="1"/>
  <c r="F4054" i="1"/>
  <c r="D4046" i="1"/>
  <c r="F4046" i="1"/>
  <c r="D4038" i="1"/>
  <c r="F4038" i="1"/>
  <c r="D4030" i="1"/>
  <c r="F4030" i="1"/>
  <c r="D4022" i="1"/>
  <c r="F4022" i="1"/>
  <c r="D4014" i="1"/>
  <c r="F4014" i="1"/>
  <c r="D4006" i="1"/>
  <c r="F4006" i="1"/>
  <c r="D3998" i="1"/>
  <c r="F3998" i="1"/>
  <c r="D3990" i="1"/>
  <c r="F3990" i="1"/>
  <c r="D3982" i="1"/>
  <c r="F3982" i="1"/>
  <c r="D3974" i="1"/>
  <c r="F3974" i="1"/>
  <c r="D3966" i="1"/>
  <c r="F3966" i="1"/>
  <c r="D3958" i="1"/>
  <c r="F3958" i="1"/>
  <c r="D3950" i="1"/>
  <c r="F3950" i="1"/>
  <c r="D3942" i="1"/>
  <c r="F3942" i="1"/>
  <c r="D3934" i="1"/>
  <c r="F3934" i="1"/>
  <c r="D3926" i="1"/>
  <c r="F3926" i="1"/>
  <c r="D3918" i="1"/>
  <c r="F3918" i="1"/>
  <c r="D3910" i="1"/>
  <c r="F3910" i="1"/>
  <c r="D3902" i="1"/>
  <c r="F3902" i="1"/>
  <c r="D3894" i="1"/>
  <c r="F3894" i="1"/>
  <c r="D3886" i="1"/>
  <c r="F3886" i="1"/>
  <c r="D3878" i="1"/>
  <c r="F3878" i="1"/>
  <c r="D3870" i="1"/>
  <c r="F3870" i="1"/>
  <c r="D3862" i="1"/>
  <c r="F3862" i="1"/>
  <c r="D3854" i="1"/>
  <c r="F3854" i="1"/>
  <c r="D3846" i="1"/>
  <c r="F3846" i="1"/>
  <c r="D3838" i="1"/>
  <c r="F3838" i="1"/>
  <c r="D3830" i="1"/>
  <c r="F3830" i="1"/>
  <c r="D3822" i="1"/>
  <c r="F3822" i="1"/>
  <c r="D3814" i="1"/>
  <c r="F3814" i="1"/>
  <c r="D3806" i="1"/>
  <c r="F3806" i="1"/>
  <c r="D3798" i="1"/>
  <c r="F3798" i="1"/>
  <c r="D3790" i="1"/>
  <c r="F3790" i="1"/>
  <c r="D3782" i="1"/>
  <c r="F3782" i="1"/>
  <c r="D3774" i="1"/>
  <c r="F3774" i="1"/>
  <c r="D3766" i="1"/>
  <c r="F3766" i="1"/>
  <c r="D3758" i="1"/>
  <c r="F3758" i="1"/>
  <c r="D3750" i="1"/>
  <c r="F3750" i="1"/>
  <c r="D3742" i="1"/>
  <c r="F3742" i="1"/>
  <c r="D3734" i="1"/>
  <c r="F3734" i="1"/>
  <c r="D3726" i="1"/>
  <c r="F3726" i="1"/>
  <c r="D3718" i="1"/>
  <c r="F3718" i="1"/>
  <c r="D3710" i="1"/>
  <c r="F3710" i="1"/>
  <c r="D3702" i="1"/>
  <c r="F3702" i="1"/>
  <c r="D3694" i="1"/>
  <c r="F3694" i="1"/>
  <c r="D3686" i="1"/>
  <c r="F3686" i="1"/>
  <c r="D3678" i="1"/>
  <c r="F3678" i="1"/>
  <c r="D3670" i="1"/>
  <c r="F3670" i="1"/>
  <c r="D3662" i="1"/>
  <c r="F3662" i="1"/>
  <c r="D3654" i="1"/>
  <c r="F3654" i="1"/>
  <c r="D3646" i="1"/>
  <c r="F3646" i="1"/>
  <c r="D3638" i="1"/>
  <c r="F3638" i="1"/>
  <c r="D3630" i="1"/>
  <c r="F3630" i="1"/>
  <c r="D3622" i="1"/>
  <c r="F3622" i="1"/>
  <c r="D3614" i="1"/>
  <c r="F3614" i="1"/>
  <c r="D3606" i="1"/>
  <c r="F3606" i="1"/>
  <c r="D3598" i="1"/>
  <c r="F3598" i="1"/>
  <c r="D3590" i="1"/>
  <c r="F3590" i="1"/>
  <c r="D3582" i="1"/>
  <c r="F3582" i="1"/>
  <c r="D3574" i="1"/>
  <c r="F3574" i="1"/>
  <c r="D3566" i="1"/>
  <c r="F3566" i="1"/>
  <c r="D3558" i="1"/>
  <c r="F3558" i="1"/>
  <c r="D3550" i="1"/>
  <c r="F3550" i="1"/>
  <c r="D3542" i="1"/>
  <c r="F3542" i="1"/>
  <c r="D3534" i="1"/>
  <c r="F3534" i="1"/>
  <c r="D3526" i="1"/>
  <c r="F3526" i="1"/>
  <c r="D3518" i="1"/>
  <c r="F3518" i="1"/>
  <c r="D3510" i="1"/>
  <c r="F3510" i="1"/>
  <c r="D3502" i="1"/>
  <c r="F3502" i="1"/>
  <c r="D3494" i="1"/>
  <c r="F3494" i="1"/>
  <c r="D3486" i="1"/>
  <c r="F3486" i="1"/>
  <c r="D3478" i="1"/>
  <c r="F3478" i="1"/>
  <c r="D3470" i="1"/>
  <c r="F3470" i="1"/>
  <c r="D3462" i="1"/>
  <c r="F3462" i="1"/>
  <c r="D3454" i="1"/>
  <c r="F3454" i="1"/>
  <c r="D3446" i="1"/>
  <c r="F3446" i="1"/>
  <c r="D3438" i="1"/>
  <c r="F3438" i="1"/>
  <c r="D3430" i="1"/>
  <c r="F3430" i="1"/>
  <c r="D3422" i="1"/>
  <c r="F3422" i="1"/>
  <c r="D3414" i="1"/>
  <c r="F3414" i="1"/>
  <c r="D3406" i="1"/>
  <c r="F3406" i="1"/>
  <c r="D2" i="1"/>
  <c r="F2" i="1"/>
  <c r="D4309" i="1"/>
  <c r="F4309" i="1"/>
  <c r="D4301" i="1"/>
  <c r="F4301" i="1"/>
  <c r="D4293" i="1"/>
  <c r="F4293" i="1"/>
  <c r="D4285" i="1"/>
  <c r="F4285" i="1"/>
  <c r="D4277" i="1"/>
  <c r="F4277" i="1"/>
  <c r="D4269" i="1"/>
  <c r="F4269" i="1"/>
  <c r="D4261" i="1"/>
  <c r="F4261" i="1"/>
  <c r="D4253" i="1"/>
  <c r="F4253" i="1"/>
  <c r="D4245" i="1"/>
  <c r="F4245" i="1"/>
  <c r="D4237" i="1"/>
  <c r="F4237" i="1"/>
  <c r="D4229" i="1"/>
  <c r="F4229" i="1"/>
  <c r="D4221" i="1"/>
  <c r="F4221" i="1"/>
  <c r="D4213" i="1"/>
  <c r="F4213" i="1"/>
  <c r="D4205" i="1"/>
  <c r="F4205" i="1"/>
  <c r="D4197" i="1"/>
  <c r="F4197" i="1"/>
  <c r="D4189" i="1"/>
  <c r="F4189" i="1"/>
  <c r="D4181" i="1"/>
  <c r="F4181" i="1"/>
  <c r="D4173" i="1"/>
  <c r="F4173" i="1"/>
  <c r="D4165" i="1"/>
  <c r="F4165" i="1"/>
  <c r="D4157" i="1"/>
  <c r="F4157" i="1"/>
  <c r="D4149" i="1"/>
  <c r="F4149" i="1"/>
  <c r="D4141" i="1"/>
  <c r="F4141" i="1"/>
  <c r="D4133" i="1"/>
  <c r="F4133" i="1"/>
  <c r="D4125" i="1"/>
  <c r="F4125" i="1"/>
  <c r="D4117" i="1"/>
  <c r="F4117" i="1"/>
  <c r="D4109" i="1"/>
  <c r="F4109" i="1"/>
  <c r="D4101" i="1"/>
  <c r="F4101" i="1"/>
  <c r="D4093" i="1"/>
  <c r="F4093" i="1"/>
  <c r="D4085" i="1"/>
  <c r="F4085" i="1"/>
  <c r="D4077" i="1"/>
  <c r="F4077" i="1"/>
  <c r="D4069" i="1"/>
  <c r="F4069" i="1"/>
  <c r="D4061" i="1"/>
  <c r="F4061" i="1"/>
  <c r="D4053" i="1"/>
  <c r="F4053" i="1"/>
  <c r="D4045" i="1"/>
  <c r="F4045" i="1"/>
  <c r="D4037" i="1"/>
  <c r="F4037" i="1"/>
  <c r="D4029" i="1"/>
  <c r="F4029" i="1"/>
  <c r="D4021" i="1"/>
  <c r="F4021" i="1"/>
  <c r="D4013" i="1"/>
  <c r="F4013" i="1"/>
  <c r="D4005" i="1"/>
  <c r="F4005" i="1"/>
  <c r="D3997" i="1"/>
  <c r="F3997" i="1"/>
  <c r="D3989" i="1"/>
  <c r="F3989" i="1"/>
  <c r="D3981" i="1"/>
  <c r="F3981" i="1"/>
  <c r="D3973" i="1"/>
  <c r="F3973" i="1"/>
  <c r="D3965" i="1"/>
  <c r="F3965" i="1"/>
  <c r="D3957" i="1"/>
  <c r="F3957" i="1"/>
  <c r="D3949" i="1"/>
  <c r="F3949" i="1"/>
  <c r="D3941" i="1"/>
  <c r="F3941" i="1"/>
  <c r="D3933" i="1"/>
  <c r="F3933" i="1"/>
  <c r="D3925" i="1"/>
  <c r="F3925" i="1"/>
  <c r="D3917" i="1"/>
  <c r="F3917" i="1"/>
  <c r="D3909" i="1"/>
  <c r="F3909" i="1"/>
  <c r="D3901" i="1"/>
  <c r="F3901" i="1"/>
  <c r="D3893" i="1"/>
  <c r="F3893" i="1"/>
  <c r="D3885" i="1"/>
  <c r="F3885" i="1"/>
  <c r="D3877" i="1"/>
  <c r="F3877" i="1"/>
  <c r="D3869" i="1"/>
  <c r="F3869" i="1"/>
  <c r="D3861" i="1"/>
  <c r="F3861" i="1"/>
  <c r="D3853" i="1"/>
  <c r="F3853" i="1"/>
  <c r="D3845" i="1"/>
  <c r="F3845" i="1"/>
  <c r="D3837" i="1"/>
  <c r="F3837" i="1"/>
  <c r="D3829" i="1"/>
  <c r="F3829" i="1"/>
  <c r="D3821" i="1"/>
  <c r="F3821" i="1"/>
  <c r="D3813" i="1"/>
  <c r="F3813" i="1"/>
  <c r="D3805" i="1"/>
  <c r="F3805" i="1"/>
  <c r="D3797" i="1"/>
  <c r="F3797" i="1"/>
  <c r="D3789" i="1"/>
  <c r="F3789" i="1"/>
  <c r="D3781" i="1"/>
  <c r="F3781" i="1"/>
  <c r="D3773" i="1"/>
  <c r="F3773" i="1"/>
  <c r="D3765" i="1"/>
  <c r="F3765" i="1"/>
  <c r="D3757" i="1"/>
  <c r="F3757" i="1"/>
  <c r="D3749" i="1"/>
  <c r="F3749" i="1"/>
  <c r="D3741" i="1"/>
  <c r="F3741" i="1"/>
  <c r="D3733" i="1"/>
  <c r="F3733" i="1"/>
  <c r="D3725" i="1"/>
  <c r="F3725" i="1"/>
  <c r="D3717" i="1"/>
  <c r="F3717" i="1"/>
  <c r="D3709" i="1"/>
  <c r="F3709" i="1"/>
  <c r="D3701" i="1"/>
  <c r="F3701" i="1"/>
  <c r="D3693" i="1"/>
  <c r="F3693" i="1"/>
  <c r="D3685" i="1"/>
  <c r="F3685" i="1"/>
  <c r="D3677" i="1"/>
  <c r="F3677" i="1"/>
  <c r="D3669" i="1"/>
  <c r="F3669" i="1"/>
  <c r="D3661" i="1"/>
  <c r="F3661" i="1"/>
  <c r="D3653" i="1"/>
  <c r="F3653" i="1"/>
  <c r="D3645" i="1"/>
  <c r="F3645" i="1"/>
  <c r="D3637" i="1"/>
  <c r="F3637" i="1"/>
  <c r="D3629" i="1"/>
  <c r="F3629" i="1"/>
  <c r="D3621" i="1"/>
  <c r="F3621" i="1"/>
  <c r="D3613" i="1"/>
  <c r="F3613" i="1"/>
  <c r="D3605" i="1"/>
  <c r="F3605" i="1"/>
  <c r="D3597" i="1"/>
  <c r="F3597" i="1"/>
  <c r="D3589" i="1"/>
  <c r="F3589" i="1"/>
  <c r="D3581" i="1"/>
  <c r="F3581" i="1"/>
  <c r="D3573" i="1"/>
  <c r="F3573" i="1"/>
  <c r="D3565" i="1"/>
  <c r="F3565" i="1"/>
  <c r="D3557" i="1"/>
  <c r="F3557" i="1"/>
  <c r="D3549" i="1"/>
  <c r="F3549" i="1"/>
  <c r="D3541" i="1"/>
  <c r="F3541" i="1"/>
  <c r="D3533" i="1"/>
  <c r="F3533" i="1"/>
  <c r="D3525" i="1"/>
  <c r="F3525" i="1"/>
  <c r="D3517" i="1"/>
  <c r="F3517" i="1"/>
  <c r="D3509" i="1"/>
  <c r="F3509" i="1"/>
  <c r="D3501" i="1"/>
  <c r="F3501" i="1"/>
  <c r="D3493" i="1"/>
  <c r="F3493" i="1"/>
  <c r="D3485" i="1"/>
  <c r="F3485" i="1"/>
  <c r="D3477" i="1"/>
  <c r="F3477" i="1"/>
  <c r="D3469" i="1"/>
  <c r="F3469" i="1"/>
  <c r="D3461" i="1"/>
  <c r="F3461" i="1"/>
  <c r="D3453" i="1"/>
  <c r="F3453" i="1"/>
  <c r="D3445" i="1"/>
  <c r="F3445" i="1"/>
  <c r="D3437" i="1"/>
  <c r="F3437" i="1"/>
  <c r="D3429" i="1"/>
  <c r="F3429" i="1"/>
  <c r="D3421" i="1"/>
  <c r="F3421" i="1"/>
  <c r="D3413" i="1"/>
  <c r="F3413" i="1"/>
  <c r="D3405" i="1"/>
  <c r="F3405" i="1"/>
  <c r="D3397" i="1"/>
  <c r="F3397" i="1"/>
  <c r="D3389" i="1"/>
  <c r="F3389" i="1"/>
  <c r="D3381" i="1"/>
  <c r="F3381" i="1"/>
  <c r="D3373" i="1"/>
  <c r="F3373" i="1"/>
  <c r="D3365" i="1"/>
  <c r="F3365" i="1"/>
  <c r="D3357" i="1"/>
  <c r="F3357" i="1"/>
  <c r="D3349" i="1"/>
  <c r="F3349" i="1"/>
  <c r="D3341" i="1"/>
  <c r="F3341" i="1"/>
  <c r="D3333" i="1"/>
  <c r="F3333" i="1"/>
  <c r="D3325" i="1"/>
  <c r="F3325" i="1"/>
  <c r="D3317" i="1"/>
  <c r="F3317" i="1"/>
  <c r="D3309" i="1"/>
  <c r="F3309" i="1"/>
  <c r="D3301" i="1"/>
  <c r="F3301" i="1"/>
  <c r="D3293" i="1"/>
  <c r="F3293" i="1"/>
  <c r="D3285" i="1"/>
  <c r="F3285" i="1"/>
  <c r="D3277" i="1"/>
  <c r="F3277" i="1"/>
  <c r="D3269" i="1"/>
  <c r="F3269" i="1"/>
  <c r="D3261" i="1"/>
  <c r="F3261" i="1"/>
  <c r="D3253" i="1"/>
  <c r="F3253" i="1"/>
  <c r="D3245" i="1"/>
  <c r="F3245" i="1"/>
  <c r="D3237" i="1"/>
  <c r="F3237" i="1"/>
  <c r="D3229" i="1"/>
  <c r="F3229" i="1"/>
  <c r="D3221" i="1"/>
  <c r="F3221" i="1"/>
  <c r="D3213" i="1"/>
  <c r="F3213" i="1"/>
  <c r="D3205" i="1"/>
  <c r="F3205" i="1"/>
  <c r="D3197" i="1"/>
  <c r="F3197" i="1"/>
  <c r="D3189" i="1"/>
  <c r="F3189" i="1"/>
  <c r="D3181" i="1"/>
  <c r="F3181" i="1"/>
  <c r="D3173" i="1"/>
  <c r="F3173" i="1"/>
  <c r="D3165" i="1"/>
  <c r="F3165" i="1"/>
  <c r="D3157" i="1"/>
  <c r="F3157" i="1"/>
  <c r="D3149" i="1"/>
  <c r="F3149" i="1"/>
  <c r="D3141" i="1"/>
  <c r="F3141" i="1"/>
  <c r="D3133" i="1"/>
  <c r="F3133" i="1"/>
  <c r="D3125" i="1"/>
  <c r="F3125" i="1"/>
  <c r="D3117" i="1"/>
  <c r="F3117" i="1"/>
  <c r="D3109" i="1"/>
  <c r="F3109" i="1"/>
  <c r="D3101" i="1"/>
  <c r="F3101" i="1"/>
  <c r="D3093" i="1"/>
  <c r="F3093" i="1"/>
  <c r="D3085" i="1"/>
  <c r="F3085" i="1"/>
  <c r="D3077" i="1"/>
  <c r="F3077" i="1"/>
  <c r="D3069" i="1"/>
  <c r="F3069" i="1"/>
  <c r="D3061" i="1"/>
  <c r="F3061" i="1"/>
  <c r="D3053" i="1"/>
  <c r="F3053" i="1"/>
  <c r="D3045" i="1"/>
  <c r="F3045" i="1"/>
  <c r="D3037" i="1"/>
  <c r="F3037" i="1"/>
  <c r="D3029" i="1"/>
  <c r="F3029" i="1"/>
  <c r="D3021" i="1"/>
  <c r="F3021" i="1"/>
  <c r="D3013" i="1"/>
  <c r="F3013" i="1"/>
  <c r="D3005" i="1"/>
  <c r="F3005" i="1"/>
  <c r="D2997" i="1"/>
  <c r="F2997" i="1"/>
  <c r="D2989" i="1"/>
  <c r="F2989" i="1"/>
  <c r="D2981" i="1"/>
  <c r="F2981" i="1"/>
  <c r="D2973" i="1"/>
  <c r="F2973" i="1"/>
  <c r="D2965" i="1"/>
  <c r="F2965" i="1"/>
  <c r="D2957" i="1"/>
  <c r="F2957" i="1"/>
  <c r="D2949" i="1"/>
  <c r="F2949" i="1"/>
  <c r="D2941" i="1"/>
  <c r="F2941" i="1"/>
  <c r="D2933" i="1"/>
  <c r="F2933" i="1"/>
  <c r="D2925" i="1"/>
  <c r="F2925" i="1"/>
  <c r="D2917" i="1"/>
  <c r="F2917" i="1"/>
  <c r="D2909" i="1"/>
  <c r="F2909" i="1"/>
  <c r="D2901" i="1"/>
  <c r="F2901" i="1"/>
  <c r="D2893" i="1"/>
  <c r="F2893" i="1"/>
  <c r="D2885" i="1"/>
  <c r="F2885" i="1"/>
  <c r="D2877" i="1"/>
  <c r="F2877" i="1"/>
  <c r="D2869" i="1"/>
  <c r="F2869" i="1"/>
  <c r="D2861" i="1"/>
  <c r="F2861" i="1"/>
  <c r="D2853" i="1"/>
  <c r="F2853" i="1"/>
  <c r="D2845" i="1"/>
  <c r="F2845" i="1"/>
  <c r="D2837" i="1"/>
  <c r="F2837" i="1"/>
  <c r="D2829" i="1"/>
  <c r="F2829" i="1"/>
  <c r="D2821" i="1"/>
  <c r="F2821" i="1"/>
  <c r="D2813" i="1"/>
  <c r="F2813" i="1"/>
  <c r="D2805" i="1"/>
  <c r="F2805" i="1"/>
  <c r="D2797" i="1"/>
  <c r="F2797" i="1"/>
  <c r="D2789" i="1"/>
  <c r="F2789" i="1"/>
  <c r="D2781" i="1"/>
  <c r="F2781" i="1"/>
  <c r="D2773" i="1"/>
  <c r="F2773" i="1"/>
  <c r="D2765" i="1"/>
  <c r="F2765" i="1"/>
  <c r="D2757" i="1"/>
  <c r="F2757" i="1"/>
  <c r="D2749" i="1"/>
  <c r="F2749" i="1"/>
  <c r="D2741" i="1"/>
  <c r="F2741" i="1"/>
  <c r="D2733" i="1"/>
  <c r="F2733" i="1"/>
  <c r="D2725" i="1"/>
  <c r="F2725" i="1"/>
  <c r="D2717" i="1"/>
  <c r="F2717" i="1"/>
  <c r="D2709" i="1"/>
  <c r="F2709" i="1"/>
  <c r="D2701" i="1"/>
  <c r="F2701" i="1"/>
  <c r="D2693" i="1"/>
  <c r="F2693" i="1"/>
  <c r="D2685" i="1"/>
  <c r="F2685" i="1"/>
  <c r="D2677" i="1"/>
  <c r="F2677" i="1"/>
  <c r="D2669" i="1"/>
  <c r="F2669" i="1"/>
  <c r="D2661" i="1"/>
  <c r="F2661" i="1"/>
  <c r="D2653" i="1"/>
  <c r="F2653" i="1"/>
  <c r="D2645" i="1"/>
  <c r="F2645" i="1"/>
  <c r="D2637" i="1"/>
  <c r="F2637" i="1"/>
  <c r="D2629" i="1"/>
  <c r="F2629" i="1"/>
  <c r="D2621" i="1"/>
  <c r="F2621" i="1"/>
  <c r="D2613" i="1"/>
  <c r="F2613" i="1"/>
  <c r="D2605" i="1"/>
  <c r="F2605" i="1"/>
  <c r="D2597" i="1"/>
  <c r="F2597" i="1"/>
  <c r="D2589" i="1"/>
  <c r="F2589" i="1"/>
  <c r="D2581" i="1"/>
  <c r="F2581" i="1"/>
  <c r="D2573" i="1"/>
  <c r="F2573" i="1"/>
  <c r="D2565" i="1"/>
  <c r="F2565" i="1"/>
  <c r="D2557" i="1"/>
  <c r="F2557" i="1"/>
  <c r="D2549" i="1"/>
  <c r="F2549" i="1"/>
  <c r="D2541" i="1"/>
  <c r="F2541" i="1"/>
  <c r="D2533" i="1"/>
  <c r="F2533" i="1"/>
  <c r="D2525" i="1"/>
  <c r="F2525" i="1"/>
  <c r="D2517" i="1"/>
  <c r="F2517" i="1"/>
  <c r="D2509" i="1"/>
  <c r="F2509" i="1"/>
  <c r="D2501" i="1"/>
  <c r="F2501" i="1"/>
  <c r="D2493" i="1"/>
  <c r="F2493" i="1"/>
  <c r="D2485" i="1"/>
  <c r="F2485" i="1"/>
  <c r="D2477" i="1"/>
  <c r="F2477" i="1"/>
  <c r="D2469" i="1"/>
  <c r="F2469" i="1"/>
  <c r="D2461" i="1"/>
  <c r="F2461" i="1"/>
  <c r="D2453" i="1"/>
  <c r="F2453" i="1"/>
  <c r="D2445" i="1"/>
  <c r="F2445" i="1"/>
  <c r="D2437" i="1"/>
  <c r="F2437" i="1"/>
  <c r="D2429" i="1"/>
  <c r="F2429" i="1"/>
  <c r="D2421" i="1"/>
  <c r="F2421" i="1"/>
  <c r="D2413" i="1"/>
  <c r="F2413" i="1"/>
  <c r="D2405" i="1"/>
  <c r="F2405" i="1"/>
  <c r="D2397" i="1"/>
  <c r="F2397" i="1"/>
  <c r="D2389" i="1"/>
  <c r="F2389" i="1"/>
  <c r="D2381" i="1"/>
  <c r="F2381" i="1"/>
  <c r="D2373" i="1"/>
  <c r="F2373" i="1"/>
  <c r="D2365" i="1"/>
  <c r="F2365" i="1"/>
  <c r="D2357" i="1"/>
  <c r="F2357" i="1"/>
  <c r="D2349" i="1"/>
  <c r="F2349" i="1"/>
  <c r="D2341" i="1"/>
  <c r="F2341" i="1"/>
  <c r="D2333" i="1"/>
  <c r="F2333" i="1"/>
  <c r="D2325" i="1"/>
  <c r="F2325" i="1"/>
  <c r="D2317" i="1"/>
  <c r="F2317" i="1"/>
  <c r="D2309" i="1"/>
  <c r="F2309" i="1"/>
  <c r="D2301" i="1"/>
  <c r="F2301" i="1"/>
  <c r="D2293" i="1"/>
  <c r="F2293" i="1"/>
  <c r="D2285" i="1"/>
  <c r="F2285" i="1"/>
  <c r="D2277" i="1"/>
  <c r="F2277" i="1"/>
  <c r="D2269" i="1"/>
  <c r="F2269" i="1"/>
  <c r="D2261" i="1"/>
  <c r="F2261" i="1"/>
  <c r="D2253" i="1"/>
  <c r="F2253" i="1"/>
  <c r="D2245" i="1"/>
  <c r="F2245" i="1"/>
  <c r="D2237" i="1"/>
  <c r="F2237" i="1"/>
  <c r="D2229" i="1"/>
  <c r="F2229" i="1"/>
  <c r="D2221" i="1"/>
  <c r="F2221" i="1"/>
  <c r="D2213" i="1"/>
  <c r="F2213" i="1"/>
  <c r="D2205" i="1"/>
  <c r="F2205" i="1"/>
  <c r="D2197" i="1"/>
  <c r="F2197" i="1"/>
  <c r="D2189" i="1"/>
  <c r="F2189" i="1"/>
  <c r="D2181" i="1"/>
  <c r="F2181" i="1"/>
  <c r="D2173" i="1"/>
  <c r="F2173" i="1"/>
  <c r="D2165" i="1"/>
  <c r="F2165" i="1"/>
  <c r="D2157" i="1"/>
  <c r="F2157" i="1"/>
  <c r="D2149" i="1"/>
  <c r="F2149" i="1"/>
  <c r="D2141" i="1"/>
  <c r="F2141" i="1"/>
  <c r="D2133" i="1"/>
  <c r="F2133" i="1"/>
  <c r="D2125" i="1"/>
  <c r="F2125" i="1"/>
  <c r="D2117" i="1"/>
  <c r="F2117" i="1"/>
  <c r="D2109" i="1"/>
  <c r="F2109" i="1"/>
  <c r="D2101" i="1"/>
  <c r="F2101" i="1"/>
  <c r="D2093" i="1"/>
  <c r="F2093" i="1"/>
  <c r="D2085" i="1"/>
  <c r="F2085" i="1"/>
  <c r="D2077" i="1"/>
  <c r="F2077" i="1"/>
  <c r="D2069" i="1"/>
  <c r="F2069" i="1"/>
  <c r="D2061" i="1"/>
  <c r="F2061" i="1"/>
  <c r="D2053" i="1"/>
  <c r="F2053" i="1"/>
  <c r="D2045" i="1"/>
  <c r="F2045" i="1"/>
  <c r="D2037" i="1"/>
  <c r="F2037" i="1"/>
  <c r="D2029" i="1"/>
  <c r="F2029" i="1"/>
  <c r="D2021" i="1"/>
  <c r="F2021" i="1"/>
  <c r="D2013" i="1"/>
  <c r="F2013" i="1"/>
  <c r="D2005" i="1"/>
  <c r="F2005" i="1"/>
  <c r="D1997" i="1"/>
  <c r="F1997" i="1"/>
  <c r="D1989" i="1"/>
  <c r="F1989" i="1"/>
  <c r="D1981" i="1"/>
  <c r="F1981" i="1"/>
  <c r="D1973" i="1"/>
  <c r="F1973" i="1"/>
  <c r="D1965" i="1"/>
  <c r="F1965" i="1"/>
  <c r="D1957" i="1"/>
  <c r="F1957" i="1"/>
  <c r="D1949" i="1"/>
  <c r="F1949" i="1"/>
  <c r="D1941" i="1"/>
  <c r="F1941" i="1"/>
  <c r="D1933" i="1"/>
  <c r="F1933" i="1"/>
  <c r="D1925" i="1"/>
  <c r="F1925" i="1"/>
  <c r="D1917" i="1"/>
  <c r="F1917" i="1"/>
  <c r="D1909" i="1"/>
  <c r="F1909" i="1"/>
  <c r="D1901" i="1"/>
  <c r="F1901" i="1"/>
  <c r="D1893" i="1"/>
  <c r="F1893" i="1"/>
  <c r="D1885" i="1"/>
  <c r="F1885" i="1"/>
  <c r="D1877" i="1"/>
  <c r="F1877" i="1"/>
  <c r="D1869" i="1"/>
  <c r="F1869" i="1"/>
  <c r="D1861" i="1"/>
  <c r="F1861" i="1"/>
  <c r="D1853" i="1"/>
  <c r="F1853" i="1"/>
  <c r="D1845" i="1"/>
  <c r="F1845" i="1"/>
  <c r="D1837" i="1"/>
  <c r="F1837" i="1"/>
  <c r="D1829" i="1"/>
  <c r="F1829" i="1"/>
  <c r="D1821" i="1"/>
  <c r="F1821" i="1"/>
  <c r="D1813" i="1"/>
  <c r="F1813" i="1"/>
  <c r="D1805" i="1"/>
  <c r="F1805" i="1"/>
  <c r="D1797" i="1"/>
  <c r="F1797" i="1"/>
  <c r="D1789" i="1"/>
  <c r="F1789" i="1"/>
  <c r="D1781" i="1"/>
  <c r="F1781" i="1"/>
  <c r="D1773" i="1"/>
  <c r="F1773" i="1"/>
  <c r="D1765" i="1"/>
  <c r="F1765" i="1"/>
  <c r="D1757" i="1"/>
  <c r="F1757" i="1"/>
  <c r="D1749" i="1"/>
  <c r="F1749" i="1"/>
  <c r="D1741" i="1"/>
  <c r="F1741" i="1"/>
  <c r="D1733" i="1"/>
  <c r="F1733" i="1"/>
  <c r="D1725" i="1"/>
  <c r="F1725" i="1"/>
  <c r="D1717" i="1"/>
  <c r="F1717" i="1"/>
  <c r="D1709" i="1"/>
  <c r="F1709" i="1"/>
  <c r="D1701" i="1"/>
  <c r="F1701" i="1"/>
  <c r="D1693" i="1"/>
  <c r="F1693" i="1"/>
  <c r="D1685" i="1"/>
  <c r="F1685" i="1"/>
  <c r="D1677" i="1"/>
  <c r="F1677" i="1"/>
  <c r="D1669" i="1"/>
  <c r="F1669" i="1"/>
  <c r="D1661" i="1"/>
  <c r="F1661" i="1"/>
  <c r="D1653" i="1"/>
  <c r="F1653" i="1"/>
  <c r="D1645" i="1"/>
  <c r="F1645" i="1"/>
  <c r="D1637" i="1"/>
  <c r="F1637" i="1"/>
  <c r="D1629" i="1"/>
  <c r="F1629" i="1"/>
  <c r="D1621" i="1"/>
  <c r="F1621" i="1"/>
  <c r="D1613" i="1"/>
  <c r="F1613" i="1"/>
  <c r="D1605" i="1"/>
  <c r="F1605" i="1"/>
  <c r="D1597" i="1"/>
  <c r="F1597" i="1"/>
  <c r="D1589" i="1"/>
  <c r="F1589" i="1"/>
  <c r="D1581" i="1"/>
  <c r="F1581" i="1"/>
  <c r="D1573" i="1"/>
  <c r="F1573" i="1"/>
  <c r="D1565" i="1"/>
  <c r="F1565" i="1"/>
  <c r="D1557" i="1"/>
  <c r="F1557" i="1"/>
  <c r="D1549" i="1"/>
  <c r="F1549" i="1"/>
  <c r="D1541" i="1"/>
  <c r="F1541" i="1"/>
  <c r="D1533" i="1"/>
  <c r="F1533" i="1"/>
  <c r="D1525" i="1"/>
  <c r="F1525" i="1"/>
  <c r="D4316" i="1"/>
  <c r="F4316" i="1"/>
  <c r="D4308" i="1"/>
  <c r="F4308" i="1"/>
  <c r="D4300" i="1"/>
  <c r="F4300" i="1"/>
  <c r="D4292" i="1"/>
  <c r="F4292" i="1"/>
  <c r="D4284" i="1"/>
  <c r="F4284" i="1"/>
  <c r="D4276" i="1"/>
  <c r="F4276" i="1"/>
  <c r="D4268" i="1"/>
  <c r="F4268" i="1"/>
  <c r="D4260" i="1"/>
  <c r="F4260" i="1"/>
  <c r="D4252" i="1"/>
  <c r="F4252" i="1"/>
  <c r="D4244" i="1"/>
  <c r="F4244" i="1"/>
  <c r="D4236" i="1"/>
  <c r="F4236" i="1"/>
  <c r="D4228" i="1"/>
  <c r="F4228" i="1"/>
  <c r="D4220" i="1"/>
  <c r="F4220" i="1"/>
  <c r="D4212" i="1"/>
  <c r="F4212" i="1"/>
  <c r="D4204" i="1"/>
  <c r="F4204" i="1"/>
  <c r="D4196" i="1"/>
  <c r="F4196" i="1"/>
  <c r="D4188" i="1"/>
  <c r="F4188" i="1"/>
  <c r="D4180" i="1"/>
  <c r="F4180" i="1"/>
  <c r="D4172" i="1"/>
  <c r="F4172" i="1"/>
  <c r="D4164" i="1"/>
  <c r="F4164" i="1"/>
  <c r="D4156" i="1"/>
  <c r="F4156" i="1"/>
  <c r="D4148" i="1"/>
  <c r="F4148" i="1"/>
  <c r="D4140" i="1"/>
  <c r="F4140" i="1"/>
  <c r="D4132" i="1"/>
  <c r="F4132" i="1"/>
  <c r="D4124" i="1"/>
  <c r="F4124" i="1"/>
  <c r="D4116" i="1"/>
  <c r="F4116" i="1"/>
  <c r="D4108" i="1"/>
  <c r="F4108" i="1"/>
  <c r="D4100" i="1"/>
  <c r="F4100" i="1"/>
  <c r="D4092" i="1"/>
  <c r="F4092" i="1"/>
  <c r="D4084" i="1"/>
  <c r="F4084" i="1"/>
  <c r="D4076" i="1"/>
  <c r="F4076" i="1"/>
  <c r="D4068" i="1"/>
  <c r="F4068" i="1"/>
  <c r="D4060" i="1"/>
  <c r="F4060" i="1"/>
  <c r="D4052" i="1"/>
  <c r="F4052" i="1"/>
  <c r="D4044" i="1"/>
  <c r="F4044" i="1"/>
  <c r="D4036" i="1"/>
  <c r="F4036" i="1"/>
  <c r="D4028" i="1"/>
  <c r="F4028" i="1"/>
  <c r="D4020" i="1"/>
  <c r="F4020" i="1"/>
  <c r="D4012" i="1"/>
  <c r="F4012" i="1"/>
  <c r="D4004" i="1"/>
  <c r="F4004" i="1"/>
  <c r="D3996" i="1"/>
  <c r="F3996" i="1"/>
  <c r="D3988" i="1"/>
  <c r="F3988" i="1"/>
  <c r="D3980" i="1"/>
  <c r="F3980" i="1"/>
  <c r="D3972" i="1"/>
  <c r="F3972" i="1"/>
  <c r="D3964" i="1"/>
  <c r="F3964" i="1"/>
  <c r="D3956" i="1"/>
  <c r="F3956" i="1"/>
  <c r="D3948" i="1"/>
  <c r="F3948" i="1"/>
  <c r="D3940" i="1"/>
  <c r="F3940" i="1"/>
  <c r="D3932" i="1"/>
  <c r="F3932" i="1"/>
  <c r="D3924" i="1"/>
  <c r="F3924" i="1"/>
  <c r="D3916" i="1"/>
  <c r="F3916" i="1"/>
  <c r="D3908" i="1"/>
  <c r="F3908" i="1"/>
  <c r="D3900" i="1"/>
  <c r="F3900" i="1"/>
  <c r="D3892" i="1"/>
  <c r="F3892" i="1"/>
  <c r="D3884" i="1"/>
  <c r="F3884" i="1"/>
  <c r="D3876" i="1"/>
  <c r="F3876" i="1"/>
  <c r="D3868" i="1"/>
  <c r="F3868" i="1"/>
  <c r="D3860" i="1"/>
  <c r="F3860" i="1"/>
  <c r="D3852" i="1"/>
  <c r="F3852" i="1"/>
  <c r="D3844" i="1"/>
  <c r="F3844" i="1"/>
  <c r="D3836" i="1"/>
  <c r="F3836" i="1"/>
  <c r="D3828" i="1"/>
  <c r="F3828" i="1"/>
  <c r="D3820" i="1"/>
  <c r="F3820" i="1"/>
  <c r="D3812" i="1"/>
  <c r="F3812" i="1"/>
  <c r="D3804" i="1"/>
  <c r="F3804" i="1"/>
  <c r="D3796" i="1"/>
  <c r="F3796" i="1"/>
  <c r="D3788" i="1"/>
  <c r="F3788" i="1"/>
  <c r="D3780" i="1"/>
  <c r="F3780" i="1"/>
  <c r="D3772" i="1"/>
  <c r="F3772" i="1"/>
  <c r="D3764" i="1"/>
  <c r="F3764" i="1"/>
  <c r="D3756" i="1"/>
  <c r="F3756" i="1"/>
  <c r="D3748" i="1"/>
  <c r="F3748" i="1"/>
  <c r="D3740" i="1"/>
  <c r="F3740" i="1"/>
  <c r="D3732" i="1"/>
  <c r="F3732" i="1"/>
  <c r="D3724" i="1"/>
  <c r="F3724" i="1"/>
  <c r="D3716" i="1"/>
  <c r="F3716" i="1"/>
  <c r="D3708" i="1"/>
  <c r="F3708" i="1"/>
  <c r="D3700" i="1"/>
  <c r="F3700" i="1"/>
  <c r="D3692" i="1"/>
  <c r="F3692" i="1"/>
  <c r="D3684" i="1"/>
  <c r="F3684" i="1"/>
  <c r="D3676" i="1"/>
  <c r="F3676" i="1"/>
  <c r="D3668" i="1"/>
  <c r="F3668" i="1"/>
  <c r="D3660" i="1"/>
  <c r="F3660" i="1"/>
  <c r="D3652" i="1"/>
  <c r="F3652" i="1"/>
  <c r="D3644" i="1"/>
  <c r="F3644" i="1"/>
  <c r="D3636" i="1"/>
  <c r="F3636" i="1"/>
  <c r="D3628" i="1"/>
  <c r="F3628" i="1"/>
  <c r="D3620" i="1"/>
  <c r="F3620" i="1"/>
  <c r="D3612" i="1"/>
  <c r="F3612" i="1"/>
  <c r="D3604" i="1"/>
  <c r="F3604" i="1"/>
  <c r="D3596" i="1"/>
  <c r="F3596" i="1"/>
  <c r="D3588" i="1"/>
  <c r="F3588" i="1"/>
  <c r="D3580" i="1"/>
  <c r="F3580" i="1"/>
  <c r="D3572" i="1"/>
  <c r="F3572" i="1"/>
  <c r="D3564" i="1"/>
  <c r="F3564" i="1"/>
  <c r="D3556" i="1"/>
  <c r="F3556" i="1"/>
  <c r="D3548" i="1"/>
  <c r="F3548" i="1"/>
  <c r="D3540" i="1"/>
  <c r="F3540" i="1"/>
  <c r="D3532" i="1"/>
  <c r="F3532" i="1"/>
  <c r="D4315" i="1"/>
  <c r="F4315" i="1"/>
  <c r="D4307" i="1"/>
  <c r="F4307" i="1"/>
  <c r="D4299" i="1"/>
  <c r="F4299" i="1"/>
  <c r="D4291" i="1"/>
  <c r="F4291" i="1"/>
  <c r="D4283" i="1"/>
  <c r="F4283" i="1"/>
  <c r="D4275" i="1"/>
  <c r="F4275" i="1"/>
  <c r="D4267" i="1"/>
  <c r="F4267" i="1"/>
  <c r="D4259" i="1"/>
  <c r="F4259" i="1"/>
  <c r="D4251" i="1"/>
  <c r="F4251" i="1"/>
  <c r="D4243" i="1"/>
  <c r="F4243" i="1"/>
  <c r="D4235" i="1"/>
  <c r="F4235" i="1"/>
  <c r="D4227" i="1"/>
  <c r="F4227" i="1"/>
  <c r="D4219" i="1"/>
  <c r="F4219" i="1"/>
  <c r="D4211" i="1"/>
  <c r="F4211" i="1"/>
  <c r="D4203" i="1"/>
  <c r="F4203" i="1"/>
  <c r="D4195" i="1"/>
  <c r="F4195" i="1"/>
  <c r="D4187" i="1"/>
  <c r="F4187" i="1"/>
  <c r="D4179" i="1"/>
  <c r="F4179" i="1"/>
  <c r="D4171" i="1"/>
  <c r="F4171" i="1"/>
  <c r="D4163" i="1"/>
  <c r="F4163" i="1"/>
  <c r="D4155" i="1"/>
  <c r="F4155" i="1"/>
  <c r="D4147" i="1"/>
  <c r="F4147" i="1"/>
  <c r="D4139" i="1"/>
  <c r="F4139" i="1"/>
  <c r="D4131" i="1"/>
  <c r="F4131" i="1"/>
  <c r="D4123" i="1"/>
  <c r="F4123" i="1"/>
  <c r="D4115" i="1"/>
  <c r="F4115" i="1"/>
  <c r="D4107" i="1"/>
  <c r="F4107" i="1"/>
  <c r="D4099" i="1"/>
  <c r="F4099" i="1"/>
  <c r="D4091" i="1"/>
  <c r="F4091" i="1"/>
  <c r="D4083" i="1"/>
  <c r="F4083" i="1"/>
  <c r="D4075" i="1"/>
  <c r="F4075" i="1"/>
  <c r="D4067" i="1"/>
  <c r="F4067" i="1"/>
  <c r="D4059" i="1"/>
  <c r="F4059" i="1"/>
  <c r="D4051" i="1"/>
  <c r="F4051" i="1"/>
  <c r="D4043" i="1"/>
  <c r="F4043" i="1"/>
  <c r="D4035" i="1"/>
  <c r="F4035" i="1"/>
  <c r="D4027" i="1"/>
  <c r="F4027" i="1"/>
  <c r="D4019" i="1"/>
  <c r="F4019" i="1"/>
  <c r="D4011" i="1"/>
  <c r="F4011" i="1"/>
  <c r="D4003" i="1"/>
  <c r="F4003" i="1"/>
  <c r="D3995" i="1"/>
  <c r="F3995" i="1"/>
  <c r="D3987" i="1"/>
  <c r="F3987" i="1"/>
  <c r="D3979" i="1"/>
  <c r="F3979" i="1"/>
  <c r="D3971" i="1"/>
  <c r="F3971" i="1"/>
  <c r="D3963" i="1"/>
  <c r="F3963" i="1"/>
  <c r="D3955" i="1"/>
  <c r="F3955" i="1"/>
  <c r="D3947" i="1"/>
  <c r="F3947" i="1"/>
  <c r="D3939" i="1"/>
  <c r="F3939" i="1"/>
  <c r="D3931" i="1"/>
  <c r="F3931" i="1"/>
  <c r="D3923" i="1"/>
  <c r="F3923" i="1"/>
  <c r="D3915" i="1"/>
  <c r="F3915" i="1"/>
  <c r="D3907" i="1"/>
  <c r="F3907" i="1"/>
  <c r="D3899" i="1"/>
  <c r="F3899" i="1"/>
  <c r="D3891" i="1"/>
  <c r="F3891" i="1"/>
  <c r="D3883" i="1"/>
  <c r="F3883" i="1"/>
  <c r="D3875" i="1"/>
  <c r="F3875" i="1"/>
  <c r="D3867" i="1"/>
  <c r="F3867" i="1"/>
  <c r="D3859" i="1"/>
  <c r="F3859" i="1"/>
  <c r="D3851" i="1"/>
  <c r="F3851" i="1"/>
  <c r="D3843" i="1"/>
  <c r="F3843" i="1"/>
  <c r="D3835" i="1"/>
  <c r="F3835" i="1"/>
  <c r="D3827" i="1"/>
  <c r="F3827" i="1"/>
  <c r="D3819" i="1"/>
  <c r="F3819" i="1"/>
  <c r="D3811" i="1"/>
  <c r="F3811" i="1"/>
  <c r="D3803" i="1"/>
  <c r="F3803" i="1"/>
  <c r="D3795" i="1"/>
  <c r="F3795" i="1"/>
  <c r="D3787" i="1"/>
  <c r="F3787" i="1"/>
  <c r="D3779" i="1"/>
  <c r="F3779" i="1"/>
  <c r="D3771" i="1"/>
  <c r="F3771" i="1"/>
  <c r="D3763" i="1"/>
  <c r="F3763" i="1"/>
  <c r="D3755" i="1"/>
  <c r="F3755" i="1"/>
  <c r="D3747" i="1"/>
  <c r="F3747" i="1"/>
  <c r="D3739" i="1"/>
  <c r="F3739" i="1"/>
  <c r="D3731" i="1"/>
  <c r="F3731" i="1"/>
  <c r="D3723" i="1"/>
  <c r="F3723" i="1"/>
  <c r="D3715" i="1"/>
  <c r="F3715" i="1"/>
  <c r="D3707" i="1"/>
  <c r="F3707" i="1"/>
  <c r="D3699" i="1"/>
  <c r="F3699" i="1"/>
  <c r="D3691" i="1"/>
  <c r="F3691" i="1"/>
  <c r="D3683" i="1"/>
  <c r="F3683" i="1"/>
  <c r="D3675" i="1"/>
  <c r="F3675" i="1"/>
  <c r="D3667" i="1"/>
  <c r="F3667" i="1"/>
  <c r="D3659" i="1"/>
  <c r="F3659" i="1"/>
  <c r="D3651" i="1"/>
  <c r="F3651" i="1"/>
  <c r="D3643" i="1"/>
  <c r="F3643" i="1"/>
  <c r="D3635" i="1"/>
  <c r="F3635" i="1"/>
  <c r="D3627" i="1"/>
  <c r="F3627" i="1"/>
  <c r="D3619" i="1"/>
  <c r="F3619" i="1"/>
  <c r="D3611" i="1"/>
  <c r="F3611" i="1"/>
  <c r="D3603" i="1"/>
  <c r="F3603" i="1"/>
  <c r="D3595" i="1"/>
  <c r="F3595" i="1"/>
  <c r="D3587" i="1"/>
  <c r="F3587" i="1"/>
  <c r="D3579" i="1"/>
  <c r="F3579" i="1"/>
  <c r="D3571" i="1"/>
  <c r="F3571" i="1"/>
  <c r="D3563" i="1"/>
  <c r="F3563" i="1"/>
  <c r="D3555" i="1"/>
  <c r="F3555" i="1"/>
  <c r="D3547" i="1"/>
  <c r="F3547" i="1"/>
  <c r="D3539" i="1"/>
  <c r="F3539" i="1"/>
  <c r="D3531" i="1"/>
  <c r="F3531" i="1"/>
  <c r="D3523" i="1"/>
  <c r="F3523" i="1"/>
  <c r="D3515" i="1"/>
  <c r="F3515" i="1"/>
  <c r="D3507" i="1"/>
  <c r="F3507" i="1"/>
  <c r="D3499" i="1"/>
  <c r="F3499" i="1"/>
  <c r="D3491" i="1"/>
  <c r="F3491" i="1"/>
  <c r="D3483" i="1"/>
  <c r="F3483" i="1"/>
  <c r="D3475" i="1"/>
  <c r="F3475" i="1"/>
  <c r="D3467" i="1"/>
  <c r="F3467" i="1"/>
  <c r="D3459" i="1"/>
  <c r="F3459" i="1"/>
  <c r="D3451" i="1"/>
  <c r="F3451" i="1"/>
  <c r="D3443" i="1"/>
  <c r="F3443" i="1"/>
  <c r="D3435" i="1"/>
  <c r="F3435" i="1"/>
  <c r="D3427" i="1"/>
  <c r="F3427" i="1"/>
  <c r="D3419" i="1"/>
  <c r="F3419" i="1"/>
  <c r="D3411" i="1"/>
  <c r="F3411" i="1"/>
  <c r="D3403" i="1"/>
  <c r="F3403" i="1"/>
  <c r="D3395" i="1"/>
  <c r="F3395" i="1"/>
  <c r="D3387" i="1"/>
  <c r="F3387" i="1"/>
  <c r="D3379" i="1"/>
  <c r="F3379" i="1"/>
  <c r="D3371" i="1"/>
  <c r="F3371" i="1"/>
  <c r="D3524" i="1"/>
  <c r="F3524" i="1"/>
  <c r="D3516" i="1"/>
  <c r="F3516" i="1"/>
  <c r="D3508" i="1"/>
  <c r="F3508" i="1"/>
  <c r="D3500" i="1"/>
  <c r="F3500" i="1"/>
  <c r="D3492" i="1"/>
  <c r="F3492" i="1"/>
  <c r="D3484" i="1"/>
  <c r="F3484" i="1"/>
  <c r="D3476" i="1"/>
  <c r="F3476" i="1"/>
  <c r="D3468" i="1"/>
  <c r="F3468" i="1"/>
  <c r="D3460" i="1"/>
  <c r="F3460" i="1"/>
  <c r="D3452" i="1"/>
  <c r="F3452" i="1"/>
  <c r="D3444" i="1"/>
  <c r="F3444" i="1"/>
  <c r="D3436" i="1"/>
  <c r="F3436" i="1"/>
  <c r="D3428" i="1"/>
  <c r="F3428" i="1"/>
  <c r="D3420" i="1"/>
  <c r="F3420" i="1"/>
  <c r="D3412" i="1"/>
  <c r="F3412" i="1"/>
  <c r="D3404" i="1"/>
  <c r="F3404" i="1"/>
  <c r="D3396" i="1"/>
  <c r="F3396" i="1"/>
  <c r="D3388" i="1"/>
  <c r="F3388" i="1"/>
  <c r="D3380" i="1"/>
  <c r="F3380" i="1"/>
  <c r="D3372" i="1"/>
  <c r="F3372" i="1"/>
  <c r="D3364" i="1"/>
  <c r="F3364" i="1"/>
  <c r="D3356" i="1"/>
  <c r="F3356" i="1"/>
  <c r="D3348" i="1"/>
  <c r="F3348" i="1"/>
  <c r="D3340" i="1"/>
  <c r="F3340" i="1"/>
  <c r="D3332" i="1"/>
  <c r="F3332" i="1"/>
  <c r="D3324" i="1"/>
  <c r="F3324" i="1"/>
  <c r="D3316" i="1"/>
  <c r="F3316" i="1"/>
  <c r="D3308" i="1"/>
  <c r="F3308" i="1"/>
  <c r="D3300" i="1"/>
  <c r="F3300" i="1"/>
  <c r="D3292" i="1"/>
  <c r="F3292" i="1"/>
  <c r="D3284" i="1"/>
  <c r="F3284" i="1"/>
  <c r="D3276" i="1"/>
  <c r="F3276" i="1"/>
  <c r="D3268" i="1"/>
  <c r="F3268" i="1"/>
  <c r="D3260" i="1"/>
  <c r="F3260" i="1"/>
  <c r="D3252" i="1"/>
  <c r="F3252" i="1"/>
  <c r="D3244" i="1"/>
  <c r="F3244" i="1"/>
  <c r="D3236" i="1"/>
  <c r="F3236" i="1"/>
  <c r="D3228" i="1"/>
  <c r="F3228" i="1"/>
  <c r="D3220" i="1"/>
  <c r="F3220" i="1"/>
  <c r="D3212" i="1"/>
  <c r="F3212" i="1"/>
  <c r="D3204" i="1"/>
  <c r="F3204" i="1"/>
  <c r="D3196" i="1"/>
  <c r="F3196" i="1"/>
  <c r="D3188" i="1"/>
  <c r="F3188" i="1"/>
  <c r="D3180" i="1"/>
  <c r="F3180" i="1"/>
  <c r="D3172" i="1"/>
  <c r="F3172" i="1"/>
  <c r="D3164" i="1"/>
  <c r="F3164" i="1"/>
  <c r="D3156" i="1"/>
  <c r="F3156" i="1"/>
  <c r="D3148" i="1"/>
  <c r="F3148" i="1"/>
  <c r="D3140" i="1"/>
  <c r="F3140" i="1"/>
  <c r="D3132" i="1"/>
  <c r="F3132" i="1"/>
  <c r="D3124" i="1"/>
  <c r="F3124" i="1"/>
  <c r="D3116" i="1"/>
  <c r="F3116" i="1"/>
  <c r="D3108" i="1"/>
  <c r="F3108" i="1"/>
  <c r="D3100" i="1"/>
  <c r="F3100" i="1"/>
  <c r="D3092" i="1"/>
  <c r="F3092" i="1"/>
  <c r="D3084" i="1"/>
  <c r="F3084" i="1"/>
  <c r="D3076" i="1"/>
  <c r="F3076" i="1"/>
  <c r="D3068" i="1"/>
  <c r="F3068" i="1"/>
  <c r="D3060" i="1"/>
  <c r="F3060" i="1"/>
  <c r="D3052" i="1"/>
  <c r="F3052" i="1"/>
  <c r="D3044" i="1"/>
  <c r="F3044" i="1"/>
  <c r="D3036" i="1"/>
  <c r="F3036" i="1"/>
  <c r="D3028" i="1"/>
  <c r="F3028" i="1"/>
  <c r="D3020" i="1"/>
  <c r="F3020" i="1"/>
  <c r="D3012" i="1"/>
  <c r="F3012" i="1"/>
  <c r="D3004" i="1"/>
  <c r="F3004" i="1"/>
  <c r="D2996" i="1"/>
  <c r="F2996" i="1"/>
  <c r="D2988" i="1"/>
  <c r="F2988" i="1"/>
  <c r="D2980" i="1"/>
  <c r="F2980" i="1"/>
  <c r="D2972" i="1"/>
  <c r="F2972" i="1"/>
  <c r="D2964" i="1"/>
  <c r="F2964" i="1"/>
  <c r="D2956" i="1"/>
  <c r="F2956" i="1"/>
  <c r="D2948" i="1"/>
  <c r="F2948" i="1"/>
  <c r="D2940" i="1"/>
  <c r="F2940" i="1"/>
  <c r="D2932" i="1"/>
  <c r="F2932" i="1"/>
  <c r="D2924" i="1"/>
  <c r="F2924" i="1"/>
  <c r="D2916" i="1"/>
  <c r="F2916" i="1"/>
  <c r="D2908" i="1"/>
  <c r="F2908" i="1"/>
  <c r="D2900" i="1"/>
  <c r="F2900" i="1"/>
  <c r="D2892" i="1"/>
  <c r="F2892" i="1"/>
  <c r="D2884" i="1"/>
  <c r="F2884" i="1"/>
  <c r="D2876" i="1"/>
  <c r="F2876" i="1"/>
  <c r="D2868" i="1"/>
  <c r="F2868" i="1"/>
  <c r="D2860" i="1"/>
  <c r="F2860" i="1"/>
  <c r="D2852" i="1"/>
  <c r="F2852" i="1"/>
  <c r="D2844" i="1"/>
  <c r="F2844" i="1"/>
  <c r="D2836" i="1"/>
  <c r="F2836" i="1"/>
  <c r="D2828" i="1"/>
  <c r="F2828" i="1"/>
  <c r="D2820" i="1"/>
  <c r="F2820" i="1"/>
  <c r="D2812" i="1"/>
  <c r="F2812" i="1"/>
  <c r="D2804" i="1"/>
  <c r="F2804" i="1"/>
  <c r="D2796" i="1"/>
  <c r="F2796" i="1"/>
  <c r="D2788" i="1"/>
  <c r="F2788" i="1"/>
  <c r="D2780" i="1"/>
  <c r="F2780" i="1"/>
  <c r="D2772" i="1"/>
  <c r="F2772" i="1"/>
  <c r="D2764" i="1"/>
  <c r="F2764" i="1"/>
  <c r="D2756" i="1"/>
  <c r="F2756" i="1"/>
  <c r="D2748" i="1"/>
  <c r="F2748" i="1"/>
  <c r="D2740" i="1"/>
  <c r="F2740" i="1"/>
  <c r="D2732" i="1"/>
  <c r="F2732" i="1"/>
  <c r="D2724" i="1"/>
  <c r="F2724" i="1"/>
  <c r="D2716" i="1"/>
  <c r="F2716" i="1"/>
  <c r="D2708" i="1"/>
  <c r="F2708" i="1"/>
  <c r="D2700" i="1"/>
  <c r="F2700" i="1"/>
  <c r="D2692" i="1"/>
  <c r="F2692" i="1"/>
  <c r="D2684" i="1"/>
  <c r="F2684" i="1"/>
  <c r="D2676" i="1"/>
  <c r="F2676" i="1"/>
  <c r="D2668" i="1"/>
  <c r="F2668" i="1"/>
  <c r="D2660" i="1"/>
  <c r="F2660" i="1"/>
  <c r="D2652" i="1"/>
  <c r="F2652" i="1"/>
  <c r="D2644" i="1"/>
  <c r="F2644" i="1"/>
  <c r="D2636" i="1"/>
  <c r="F2636" i="1"/>
  <c r="D2628" i="1"/>
  <c r="F2628" i="1"/>
  <c r="D2620" i="1"/>
  <c r="F2620" i="1"/>
  <c r="D2612" i="1"/>
  <c r="F2612" i="1"/>
  <c r="D2604" i="1"/>
  <c r="F2604" i="1"/>
  <c r="D2596" i="1"/>
  <c r="F2596" i="1"/>
  <c r="D2588" i="1"/>
  <c r="F2588" i="1"/>
  <c r="D2580" i="1"/>
  <c r="F2580" i="1"/>
  <c r="D2572" i="1"/>
  <c r="F2572" i="1"/>
  <c r="D2564" i="1"/>
  <c r="F2564" i="1"/>
  <c r="D2556" i="1"/>
  <c r="F2556" i="1"/>
  <c r="D2548" i="1"/>
  <c r="F2548" i="1"/>
  <c r="D2540" i="1"/>
  <c r="F2540" i="1"/>
  <c r="D2532" i="1"/>
  <c r="F2532" i="1"/>
  <c r="D2524" i="1"/>
  <c r="F2524" i="1"/>
  <c r="D2516" i="1"/>
  <c r="F2516" i="1"/>
  <c r="D2508" i="1"/>
  <c r="F2508" i="1"/>
  <c r="D2500" i="1"/>
  <c r="F2500" i="1"/>
  <c r="D2492" i="1"/>
  <c r="F2492" i="1"/>
  <c r="D2484" i="1"/>
  <c r="F2484" i="1"/>
  <c r="D2476" i="1"/>
  <c r="F2476" i="1"/>
  <c r="D2468" i="1"/>
  <c r="F2468" i="1"/>
  <c r="D2460" i="1"/>
  <c r="F2460" i="1"/>
  <c r="D2452" i="1"/>
  <c r="F2452" i="1"/>
  <c r="D2444" i="1"/>
  <c r="F2444" i="1"/>
  <c r="D2436" i="1"/>
  <c r="F2436" i="1"/>
  <c r="D2428" i="1"/>
  <c r="F2428" i="1"/>
  <c r="D2420" i="1"/>
  <c r="F2420" i="1"/>
  <c r="D2412" i="1"/>
  <c r="F2412" i="1"/>
  <c r="D2404" i="1"/>
  <c r="F2404" i="1"/>
  <c r="D2396" i="1"/>
  <c r="F2396" i="1"/>
  <c r="D2388" i="1"/>
  <c r="F2388" i="1"/>
  <c r="D2380" i="1"/>
  <c r="F2380" i="1"/>
  <c r="D2372" i="1"/>
  <c r="F2372" i="1"/>
  <c r="D2364" i="1"/>
  <c r="F2364" i="1"/>
  <c r="D2356" i="1"/>
  <c r="F2356" i="1"/>
  <c r="D2348" i="1"/>
  <c r="F2348" i="1"/>
  <c r="D2340" i="1"/>
  <c r="F2340" i="1"/>
  <c r="D2332" i="1"/>
  <c r="F2332" i="1"/>
  <c r="D2324" i="1"/>
  <c r="F2324" i="1"/>
  <c r="D2316" i="1"/>
  <c r="F2316" i="1"/>
  <c r="D2308" i="1"/>
  <c r="F2308" i="1"/>
  <c r="D2300" i="1"/>
  <c r="F2300" i="1"/>
  <c r="D2292" i="1"/>
  <c r="F2292" i="1"/>
  <c r="D2284" i="1"/>
  <c r="F2284" i="1"/>
  <c r="D2276" i="1"/>
  <c r="F2276" i="1"/>
  <c r="D2268" i="1"/>
  <c r="F2268" i="1"/>
  <c r="D2260" i="1"/>
  <c r="F2260" i="1"/>
  <c r="D2252" i="1"/>
  <c r="F2252" i="1"/>
  <c r="D2244" i="1"/>
  <c r="F2244" i="1"/>
  <c r="D2236" i="1"/>
  <c r="F2236" i="1"/>
  <c r="D2228" i="1"/>
  <c r="F2228" i="1"/>
  <c r="D2220" i="1"/>
  <c r="F2220" i="1"/>
  <c r="D2212" i="1"/>
  <c r="F2212" i="1"/>
  <c r="D2204" i="1"/>
  <c r="F2204" i="1"/>
  <c r="D2196" i="1"/>
  <c r="F2196" i="1"/>
  <c r="D2188" i="1"/>
  <c r="F2188" i="1"/>
  <c r="D2180" i="1"/>
  <c r="F2180" i="1"/>
  <c r="D2172" i="1"/>
  <c r="F2172" i="1"/>
  <c r="D2164" i="1"/>
  <c r="F2164" i="1"/>
  <c r="D2156" i="1"/>
  <c r="F2156" i="1"/>
  <c r="D2148" i="1"/>
  <c r="F2148" i="1"/>
  <c r="D2140" i="1"/>
  <c r="F2140" i="1"/>
  <c r="D2132" i="1"/>
  <c r="F2132" i="1"/>
  <c r="D2124" i="1"/>
  <c r="F2124" i="1"/>
  <c r="D2116" i="1"/>
  <c r="F2116" i="1"/>
  <c r="D2108" i="1"/>
  <c r="F2108" i="1"/>
  <c r="D2100" i="1"/>
  <c r="F2100" i="1"/>
  <c r="D2092" i="1"/>
  <c r="F2092" i="1"/>
  <c r="D2084" i="1"/>
  <c r="F2084" i="1"/>
  <c r="D2076" i="1"/>
  <c r="F2076" i="1"/>
  <c r="D2068" i="1"/>
  <c r="F2068" i="1"/>
  <c r="D2060" i="1"/>
  <c r="F2060" i="1"/>
  <c r="D2052" i="1"/>
  <c r="F2052" i="1"/>
  <c r="D2044" i="1"/>
  <c r="F2044" i="1"/>
  <c r="D2036" i="1"/>
  <c r="F2036" i="1"/>
  <c r="D2028" i="1"/>
  <c r="F2028" i="1"/>
  <c r="D2020" i="1"/>
  <c r="F2020" i="1"/>
  <c r="D2012" i="1"/>
  <c r="F2012" i="1"/>
  <c r="D2004" i="1"/>
  <c r="F2004" i="1"/>
  <c r="D1996" i="1"/>
  <c r="F1996" i="1"/>
  <c r="D1988" i="1"/>
  <c r="F1988" i="1"/>
  <c r="D1980" i="1"/>
  <c r="F1980" i="1"/>
  <c r="D1972" i="1"/>
  <c r="F1972" i="1"/>
  <c r="D1964" i="1"/>
  <c r="F1964" i="1"/>
  <c r="D1956" i="1"/>
  <c r="F1956" i="1"/>
  <c r="D1948" i="1"/>
  <c r="F1948" i="1"/>
  <c r="D1940" i="1"/>
  <c r="F1940" i="1"/>
  <c r="D1932" i="1"/>
  <c r="F1932" i="1"/>
  <c r="D1924" i="1"/>
  <c r="F1924" i="1"/>
  <c r="D1916" i="1"/>
  <c r="F1916" i="1"/>
  <c r="D1908" i="1"/>
  <c r="F1908" i="1"/>
  <c r="D1900" i="1"/>
  <c r="F1900" i="1"/>
  <c r="D1892" i="1"/>
  <c r="F1892" i="1"/>
  <c r="D1884" i="1"/>
  <c r="F1884" i="1"/>
  <c r="D1876" i="1"/>
  <c r="F1876" i="1"/>
  <c r="D1868" i="1"/>
  <c r="F1868" i="1"/>
  <c r="D1860" i="1"/>
  <c r="F1860" i="1"/>
  <c r="D1852" i="1"/>
  <c r="F1852" i="1"/>
  <c r="D1844" i="1"/>
  <c r="F1844" i="1"/>
  <c r="D1836" i="1"/>
  <c r="F1836" i="1"/>
  <c r="D1828" i="1"/>
  <c r="F1828" i="1"/>
  <c r="D1820" i="1"/>
  <c r="F1820" i="1"/>
  <c r="D1812" i="1"/>
  <c r="F1812" i="1"/>
  <c r="D1804" i="1"/>
  <c r="F1804" i="1"/>
  <c r="D1796" i="1"/>
  <c r="F1796" i="1"/>
  <c r="D1788" i="1"/>
  <c r="F1788" i="1"/>
  <c r="D1780" i="1"/>
  <c r="F1780" i="1"/>
  <c r="D1772" i="1"/>
  <c r="F1772" i="1"/>
  <c r="D1764" i="1"/>
  <c r="F1764" i="1"/>
  <c r="F3360" i="1"/>
  <c r="D3363" i="1"/>
  <c r="F3363" i="1"/>
  <c r="D3355" i="1"/>
  <c r="F3355" i="1"/>
  <c r="D3347" i="1"/>
  <c r="F3347" i="1"/>
  <c r="D3339" i="1"/>
  <c r="F3339" i="1"/>
  <c r="D3331" i="1"/>
  <c r="F3331" i="1"/>
  <c r="D3323" i="1"/>
  <c r="F3323" i="1"/>
  <c r="D3315" i="1"/>
  <c r="F3315" i="1"/>
  <c r="D3307" i="1"/>
  <c r="F3307" i="1"/>
  <c r="D3299" i="1"/>
  <c r="F3299" i="1"/>
  <c r="D3291" i="1"/>
  <c r="F3291" i="1"/>
  <c r="D3283" i="1"/>
  <c r="F3283" i="1"/>
  <c r="D3275" i="1"/>
  <c r="F3275" i="1"/>
  <c r="D3267" i="1"/>
  <c r="F3267" i="1"/>
  <c r="D3259" i="1"/>
  <c r="F3259" i="1"/>
  <c r="D3251" i="1"/>
  <c r="F3251" i="1"/>
  <c r="D3243" i="1"/>
  <c r="F3243" i="1"/>
  <c r="D3235" i="1"/>
  <c r="F3235" i="1"/>
  <c r="D3227" i="1"/>
  <c r="F3227" i="1"/>
  <c r="D3219" i="1"/>
  <c r="F3219" i="1"/>
  <c r="D3211" i="1"/>
  <c r="F3211" i="1"/>
  <c r="D3203" i="1"/>
  <c r="F3203" i="1"/>
  <c r="D3195" i="1"/>
  <c r="F3195" i="1"/>
  <c r="D3187" i="1"/>
  <c r="F3187" i="1"/>
  <c r="D3179" i="1"/>
  <c r="F3179" i="1"/>
  <c r="D3171" i="1"/>
  <c r="F3171" i="1"/>
  <c r="D3163" i="1"/>
  <c r="F3163" i="1"/>
  <c r="D3155" i="1"/>
  <c r="F3155" i="1"/>
  <c r="D3147" i="1"/>
  <c r="F3147" i="1"/>
  <c r="D3139" i="1"/>
  <c r="F3139" i="1"/>
  <c r="D3131" i="1"/>
  <c r="F3131" i="1"/>
  <c r="D3123" i="1"/>
  <c r="F3123" i="1"/>
  <c r="D3115" i="1"/>
  <c r="F3115" i="1"/>
  <c r="D3107" i="1"/>
  <c r="F3107" i="1"/>
  <c r="D3099" i="1"/>
  <c r="F3099" i="1"/>
  <c r="D3091" i="1"/>
  <c r="F3091" i="1"/>
  <c r="D3083" i="1"/>
  <c r="F3083" i="1"/>
  <c r="D3075" i="1"/>
  <c r="F3075" i="1"/>
  <c r="D3067" i="1"/>
  <c r="F3067" i="1"/>
  <c r="D3059" i="1"/>
  <c r="F3059" i="1"/>
  <c r="D3051" i="1"/>
  <c r="F3051" i="1"/>
  <c r="D3043" i="1"/>
  <c r="F3043" i="1"/>
  <c r="D3035" i="1"/>
  <c r="F3035" i="1"/>
  <c r="D3027" i="1"/>
  <c r="F3027" i="1"/>
  <c r="D3019" i="1"/>
  <c r="F3019" i="1"/>
  <c r="D3011" i="1"/>
  <c r="F3011" i="1"/>
  <c r="D3003" i="1"/>
  <c r="F3003" i="1"/>
  <c r="D2995" i="1"/>
  <c r="F2995" i="1"/>
  <c r="D2987" i="1"/>
  <c r="F2987" i="1"/>
  <c r="D2979" i="1"/>
  <c r="F2979" i="1"/>
  <c r="D2971" i="1"/>
  <c r="F2971" i="1"/>
  <c r="D2963" i="1"/>
  <c r="F2963" i="1"/>
  <c r="D2955" i="1"/>
  <c r="F2955" i="1"/>
  <c r="D2947" i="1"/>
  <c r="F2947" i="1"/>
  <c r="D2939" i="1"/>
  <c r="F2939" i="1"/>
  <c r="D2931" i="1"/>
  <c r="F2931" i="1"/>
  <c r="D2923" i="1"/>
  <c r="F2923" i="1"/>
  <c r="D2915" i="1"/>
  <c r="F2915" i="1"/>
  <c r="D2899" i="1"/>
  <c r="F2899" i="1"/>
  <c r="D2891" i="1"/>
  <c r="F2891" i="1"/>
  <c r="D2883" i="1"/>
  <c r="F2883" i="1"/>
  <c r="D2875" i="1"/>
  <c r="F2875" i="1"/>
  <c r="D2867" i="1"/>
  <c r="F2867" i="1"/>
  <c r="D2859" i="1"/>
  <c r="F2859" i="1"/>
  <c r="D2851" i="1"/>
  <c r="F2851" i="1"/>
  <c r="D2843" i="1"/>
  <c r="F2843" i="1"/>
  <c r="D2835" i="1"/>
  <c r="F2835" i="1"/>
  <c r="D2827" i="1"/>
  <c r="F2827" i="1"/>
  <c r="D2819" i="1"/>
  <c r="F2819" i="1"/>
  <c r="D2811" i="1"/>
  <c r="F2811" i="1"/>
  <c r="D2803" i="1"/>
  <c r="F2803" i="1"/>
  <c r="D2795" i="1"/>
  <c r="F2795" i="1"/>
  <c r="D2787" i="1"/>
  <c r="F2787" i="1"/>
  <c r="D2779" i="1"/>
  <c r="F2779" i="1"/>
  <c r="D2771" i="1"/>
  <c r="F2771" i="1"/>
  <c r="D2763" i="1"/>
  <c r="F2763" i="1"/>
  <c r="D2755" i="1"/>
  <c r="F2755" i="1"/>
  <c r="D2747" i="1"/>
  <c r="F2747" i="1"/>
  <c r="D2739" i="1"/>
  <c r="F2739" i="1"/>
  <c r="D2731" i="1"/>
  <c r="F2731" i="1"/>
  <c r="D2723" i="1"/>
  <c r="F2723" i="1"/>
  <c r="D2715" i="1"/>
  <c r="F2715" i="1"/>
  <c r="D2707" i="1"/>
  <c r="F2707" i="1"/>
  <c r="D2699" i="1"/>
  <c r="F2699" i="1"/>
  <c r="D2691" i="1"/>
  <c r="F2691" i="1"/>
  <c r="D2683" i="1"/>
  <c r="F2683" i="1"/>
  <c r="D2675" i="1"/>
  <c r="F2675" i="1"/>
  <c r="D2667" i="1"/>
  <c r="F2667" i="1"/>
  <c r="D2659" i="1"/>
  <c r="F2659" i="1"/>
  <c r="D2651" i="1"/>
  <c r="F2651" i="1"/>
  <c r="D2643" i="1"/>
  <c r="F2643" i="1"/>
  <c r="D2635" i="1"/>
  <c r="F2635" i="1"/>
  <c r="D2627" i="1"/>
  <c r="F2627" i="1"/>
  <c r="D2619" i="1"/>
  <c r="F2619" i="1"/>
  <c r="D2611" i="1"/>
  <c r="F2611" i="1"/>
  <c r="D2603" i="1"/>
  <c r="F2603" i="1"/>
  <c r="D2595" i="1"/>
  <c r="F2595" i="1"/>
  <c r="D2587" i="1"/>
  <c r="F2587" i="1"/>
  <c r="D2579" i="1"/>
  <c r="F2579" i="1"/>
  <c r="D2571" i="1"/>
  <c r="F2571" i="1"/>
  <c r="D2563" i="1"/>
  <c r="F2563" i="1"/>
  <c r="D2555" i="1"/>
  <c r="F2555" i="1"/>
  <c r="D2547" i="1"/>
  <c r="F2547" i="1"/>
  <c r="D2539" i="1"/>
  <c r="F2539" i="1"/>
  <c r="D2531" i="1"/>
  <c r="F2531" i="1"/>
  <c r="D2523" i="1"/>
  <c r="F2523" i="1"/>
  <c r="D2515" i="1"/>
  <c r="F2515" i="1"/>
  <c r="D2507" i="1"/>
  <c r="F2507" i="1"/>
  <c r="D2499" i="1"/>
  <c r="F2499" i="1"/>
  <c r="D2491" i="1"/>
  <c r="F2491" i="1"/>
  <c r="D2483" i="1"/>
  <c r="F2483" i="1"/>
  <c r="D2475" i="1"/>
  <c r="F2475" i="1"/>
  <c r="D2467" i="1"/>
  <c r="F2467" i="1"/>
  <c r="D2459" i="1"/>
  <c r="F2459" i="1"/>
  <c r="D2451" i="1"/>
  <c r="F2451" i="1"/>
  <c r="D2443" i="1"/>
  <c r="F2443" i="1"/>
  <c r="D2435" i="1"/>
  <c r="F2435" i="1"/>
  <c r="D2427" i="1"/>
  <c r="F2427" i="1"/>
  <c r="D2419" i="1"/>
  <c r="F2419" i="1"/>
  <c r="D2411" i="1"/>
  <c r="F2411" i="1"/>
  <c r="D2403" i="1"/>
  <c r="F2403" i="1"/>
  <c r="D2395" i="1"/>
  <c r="F2395" i="1"/>
  <c r="D2387" i="1"/>
  <c r="F2387" i="1"/>
  <c r="D2379" i="1"/>
  <c r="F2379" i="1"/>
  <c r="D2371" i="1"/>
  <c r="F2371" i="1"/>
  <c r="D2363" i="1"/>
  <c r="F2363" i="1"/>
  <c r="D2355" i="1"/>
  <c r="F2355" i="1"/>
  <c r="D2347" i="1"/>
  <c r="F2347" i="1"/>
  <c r="D2339" i="1"/>
  <c r="F2339" i="1"/>
  <c r="D2331" i="1"/>
  <c r="F2331" i="1"/>
  <c r="D2323" i="1"/>
  <c r="F2323" i="1"/>
  <c r="D2315" i="1"/>
  <c r="F2315" i="1"/>
  <c r="D2307" i="1"/>
  <c r="F2307" i="1"/>
  <c r="D2299" i="1"/>
  <c r="F2299" i="1"/>
  <c r="D2291" i="1"/>
  <c r="F2291" i="1"/>
  <c r="D2283" i="1"/>
  <c r="F2283" i="1"/>
  <c r="D2275" i="1"/>
  <c r="F2275" i="1"/>
  <c r="D2267" i="1"/>
  <c r="F2267" i="1"/>
  <c r="D2259" i="1"/>
  <c r="F2259" i="1"/>
  <c r="D2251" i="1"/>
  <c r="F2251" i="1"/>
  <c r="D2243" i="1"/>
  <c r="F2243" i="1"/>
  <c r="D2235" i="1"/>
  <c r="F2235" i="1"/>
  <c r="D2227" i="1"/>
  <c r="F2227" i="1"/>
  <c r="D2219" i="1"/>
  <c r="F2219" i="1"/>
  <c r="D2211" i="1"/>
  <c r="F2211" i="1"/>
  <c r="D2203" i="1"/>
  <c r="F2203" i="1"/>
  <c r="D2195" i="1"/>
  <c r="F2195" i="1"/>
  <c r="D2187" i="1"/>
  <c r="F2187" i="1"/>
  <c r="D2179" i="1"/>
  <c r="F2179" i="1"/>
  <c r="D2171" i="1"/>
  <c r="F2171" i="1"/>
  <c r="D2163" i="1"/>
  <c r="F2163" i="1"/>
  <c r="D2155" i="1"/>
  <c r="F2155" i="1"/>
  <c r="D2147" i="1"/>
  <c r="F2147" i="1"/>
  <c r="D2139" i="1"/>
  <c r="F2139" i="1"/>
  <c r="D2131" i="1"/>
  <c r="F2131" i="1"/>
  <c r="D2123" i="1"/>
  <c r="F2123" i="1"/>
  <c r="D2115" i="1"/>
  <c r="F2115" i="1"/>
  <c r="D2107" i="1"/>
  <c r="F2107" i="1"/>
  <c r="D2099" i="1"/>
  <c r="F2099" i="1"/>
  <c r="D2091" i="1"/>
  <c r="F2091" i="1"/>
  <c r="D2083" i="1"/>
  <c r="F2083" i="1"/>
  <c r="D2075" i="1"/>
  <c r="F2075" i="1"/>
  <c r="D2067" i="1"/>
  <c r="F2067" i="1"/>
  <c r="D2059" i="1"/>
  <c r="F2059" i="1"/>
  <c r="D2051" i="1"/>
  <c r="F2051" i="1"/>
  <c r="D2043" i="1"/>
  <c r="F2043" i="1"/>
  <c r="D2035" i="1"/>
  <c r="F2035" i="1"/>
  <c r="D2027" i="1"/>
  <c r="F2027" i="1"/>
  <c r="D2019" i="1"/>
  <c r="F2019" i="1"/>
  <c r="D2011" i="1"/>
  <c r="F2011" i="1"/>
  <c r="D2003" i="1"/>
  <c r="F2003" i="1"/>
  <c r="D1995" i="1"/>
  <c r="F1995" i="1"/>
  <c r="D1987" i="1"/>
  <c r="F1987" i="1"/>
  <c r="D1979" i="1"/>
  <c r="F1979" i="1"/>
  <c r="D1971" i="1"/>
  <c r="F1971" i="1"/>
  <c r="D1963" i="1"/>
  <c r="F1963" i="1"/>
  <c r="D1955" i="1"/>
  <c r="F1955" i="1"/>
  <c r="D1947" i="1"/>
  <c r="F1947" i="1"/>
  <c r="D1939" i="1"/>
  <c r="F1939" i="1"/>
  <c r="D1931" i="1"/>
  <c r="F1931" i="1"/>
  <c r="D1923" i="1"/>
  <c r="F1923" i="1"/>
  <c r="D1915" i="1"/>
  <c r="F1915" i="1"/>
  <c r="D1907" i="1"/>
  <c r="F1907" i="1"/>
  <c r="D1899" i="1"/>
  <c r="F1899" i="1"/>
  <c r="D1891" i="1"/>
  <c r="F1891" i="1"/>
  <c r="D1883" i="1"/>
  <c r="F1883" i="1"/>
  <c r="D1875" i="1"/>
  <c r="F1875" i="1"/>
  <c r="D1867" i="1"/>
  <c r="F1867" i="1"/>
  <c r="D1859" i="1"/>
  <c r="F1859" i="1"/>
  <c r="D1851" i="1"/>
  <c r="F1851" i="1"/>
  <c r="D1843" i="1"/>
  <c r="F1843" i="1"/>
  <c r="D1835" i="1"/>
  <c r="F1835" i="1"/>
  <c r="D1827" i="1"/>
  <c r="F1827" i="1"/>
  <c r="D1819" i="1"/>
  <c r="F1819" i="1"/>
  <c r="D1811" i="1"/>
  <c r="F1811" i="1"/>
  <c r="D1803" i="1"/>
  <c r="F1803" i="1"/>
  <c r="D1795" i="1"/>
  <c r="F1795" i="1"/>
  <c r="D1787" i="1"/>
  <c r="F1787" i="1"/>
  <c r="D1779" i="1"/>
  <c r="F1779" i="1"/>
  <c r="D1771" i="1"/>
  <c r="F1771" i="1"/>
  <c r="D1763" i="1"/>
  <c r="F1763" i="1"/>
  <c r="D1755" i="1"/>
  <c r="F1755" i="1"/>
  <c r="D1747" i="1"/>
  <c r="F1747" i="1"/>
  <c r="D1739" i="1"/>
  <c r="F1739" i="1"/>
  <c r="F3296" i="1"/>
  <c r="D3482" i="1"/>
  <c r="F3482" i="1"/>
  <c r="D3474" i="1"/>
  <c r="F3474" i="1"/>
  <c r="D3466" i="1"/>
  <c r="F3466" i="1"/>
  <c r="D3458" i="1"/>
  <c r="F3458" i="1"/>
  <c r="D3450" i="1"/>
  <c r="F3450" i="1"/>
  <c r="D3442" i="1"/>
  <c r="F3442" i="1"/>
  <c r="D3434" i="1"/>
  <c r="F3434" i="1"/>
  <c r="D3426" i="1"/>
  <c r="F3426" i="1"/>
  <c r="D3418" i="1"/>
  <c r="F3418" i="1"/>
  <c r="D3410" i="1"/>
  <c r="F3410" i="1"/>
  <c r="D3402" i="1"/>
  <c r="F3402" i="1"/>
  <c r="D3394" i="1"/>
  <c r="F3394" i="1"/>
  <c r="D3386" i="1"/>
  <c r="F3386" i="1"/>
  <c r="D3378" i="1"/>
  <c r="F3378" i="1"/>
  <c r="D3370" i="1"/>
  <c r="F3370" i="1"/>
  <c r="D3362" i="1"/>
  <c r="F3362" i="1"/>
  <c r="D3354" i="1"/>
  <c r="F3354" i="1"/>
  <c r="D3346" i="1"/>
  <c r="F3346" i="1"/>
  <c r="D3338" i="1"/>
  <c r="F3338" i="1"/>
  <c r="D3330" i="1"/>
  <c r="F3330" i="1"/>
  <c r="D3322" i="1"/>
  <c r="F3322" i="1"/>
  <c r="D3314" i="1"/>
  <c r="F3314" i="1"/>
  <c r="D3306" i="1"/>
  <c r="F3306" i="1"/>
  <c r="D3298" i="1"/>
  <c r="F3298" i="1"/>
  <c r="D3290" i="1"/>
  <c r="F3290" i="1"/>
  <c r="D3282" i="1"/>
  <c r="F3282" i="1"/>
  <c r="D3274" i="1"/>
  <c r="F3274" i="1"/>
  <c r="D3266" i="1"/>
  <c r="F3266" i="1"/>
  <c r="D3258" i="1"/>
  <c r="F3258" i="1"/>
  <c r="D3250" i="1"/>
  <c r="F3250" i="1"/>
  <c r="D3242" i="1"/>
  <c r="F3242" i="1"/>
  <c r="D3234" i="1"/>
  <c r="F3234" i="1"/>
  <c r="D3226" i="1"/>
  <c r="F3226" i="1"/>
  <c r="D3218" i="1"/>
  <c r="F3218" i="1"/>
  <c r="D3210" i="1"/>
  <c r="F3210" i="1"/>
  <c r="D3202" i="1"/>
  <c r="F3202" i="1"/>
  <c r="D3194" i="1"/>
  <c r="F3194" i="1"/>
  <c r="D3186" i="1"/>
  <c r="F3186" i="1"/>
  <c r="D3178" i="1"/>
  <c r="F3178" i="1"/>
  <c r="D3170" i="1"/>
  <c r="F3170" i="1"/>
  <c r="D3162" i="1"/>
  <c r="F3162" i="1"/>
  <c r="D3154" i="1"/>
  <c r="F3154" i="1"/>
  <c r="D3146" i="1"/>
  <c r="F3146" i="1"/>
  <c r="D3138" i="1"/>
  <c r="F3138" i="1"/>
  <c r="D3130" i="1"/>
  <c r="F3130" i="1"/>
  <c r="D3122" i="1"/>
  <c r="F3122" i="1"/>
  <c r="D3114" i="1"/>
  <c r="F3114" i="1"/>
  <c r="D3106" i="1"/>
  <c r="F3106" i="1"/>
  <c r="D3098" i="1"/>
  <c r="F3098" i="1"/>
  <c r="D3090" i="1"/>
  <c r="F3090" i="1"/>
  <c r="D3082" i="1"/>
  <c r="F3082" i="1"/>
  <c r="D3074" i="1"/>
  <c r="F3074" i="1"/>
  <c r="D3066" i="1"/>
  <c r="F3066" i="1"/>
  <c r="D3050" i="1"/>
  <c r="F3050" i="1"/>
  <c r="D3042" i="1"/>
  <c r="F3042" i="1"/>
  <c r="D3034" i="1"/>
  <c r="F3034" i="1"/>
  <c r="D3026" i="1"/>
  <c r="F3026" i="1"/>
  <c r="D3018" i="1"/>
  <c r="F3018" i="1"/>
  <c r="D3010" i="1"/>
  <c r="F3010" i="1"/>
  <c r="D3002" i="1"/>
  <c r="F3002" i="1"/>
  <c r="D2994" i="1"/>
  <c r="F2994" i="1"/>
  <c r="D2986" i="1"/>
  <c r="F2986" i="1"/>
  <c r="D2978" i="1"/>
  <c r="F2978" i="1"/>
  <c r="D2970" i="1"/>
  <c r="F2970" i="1"/>
  <c r="D2962" i="1"/>
  <c r="F2962" i="1"/>
  <c r="D2954" i="1"/>
  <c r="F2954" i="1"/>
  <c r="D2946" i="1"/>
  <c r="F2946" i="1"/>
  <c r="D2938" i="1"/>
  <c r="F2938" i="1"/>
  <c r="D2930" i="1"/>
  <c r="F2930" i="1"/>
  <c r="D2922" i="1"/>
  <c r="F2922" i="1"/>
  <c r="D2914" i="1"/>
  <c r="F2914" i="1"/>
  <c r="D2906" i="1"/>
  <c r="F2906" i="1"/>
  <c r="D2898" i="1"/>
  <c r="F2898" i="1"/>
  <c r="D2890" i="1"/>
  <c r="F2890" i="1"/>
  <c r="D2882" i="1"/>
  <c r="F2882" i="1"/>
  <c r="D2874" i="1"/>
  <c r="F2874" i="1"/>
  <c r="D2866" i="1"/>
  <c r="F2866" i="1"/>
  <c r="D2858" i="1"/>
  <c r="F2858" i="1"/>
  <c r="D2850" i="1"/>
  <c r="F2850" i="1"/>
  <c r="D2842" i="1"/>
  <c r="F2842" i="1"/>
  <c r="D2834" i="1"/>
  <c r="F2834" i="1"/>
  <c r="D2826" i="1"/>
  <c r="F2826" i="1"/>
  <c r="D2818" i="1"/>
  <c r="F2818" i="1"/>
  <c r="D2810" i="1"/>
  <c r="F2810" i="1"/>
  <c r="D2802" i="1"/>
  <c r="F2802" i="1"/>
  <c r="D2794" i="1"/>
  <c r="F2794" i="1"/>
  <c r="D2786" i="1"/>
  <c r="F2786" i="1"/>
  <c r="D2778" i="1"/>
  <c r="F2778" i="1"/>
  <c r="D2770" i="1"/>
  <c r="F2770" i="1"/>
  <c r="D2762" i="1"/>
  <c r="F2762" i="1"/>
  <c r="D2754" i="1"/>
  <c r="F2754" i="1"/>
  <c r="D2746" i="1"/>
  <c r="F2746" i="1"/>
  <c r="D2730" i="1"/>
  <c r="F2730" i="1"/>
  <c r="D2722" i="1"/>
  <c r="F2722" i="1"/>
  <c r="D2714" i="1"/>
  <c r="F2714" i="1"/>
  <c r="D2706" i="1"/>
  <c r="F2706" i="1"/>
  <c r="D2698" i="1"/>
  <c r="F2698" i="1"/>
  <c r="D2690" i="1"/>
  <c r="F2690" i="1"/>
  <c r="D2682" i="1"/>
  <c r="F2682" i="1"/>
  <c r="D2674" i="1"/>
  <c r="F2674" i="1"/>
  <c r="D2666" i="1"/>
  <c r="F2666" i="1"/>
  <c r="D2658" i="1"/>
  <c r="F2658" i="1"/>
  <c r="D2650" i="1"/>
  <c r="F2650" i="1"/>
  <c r="D2642" i="1"/>
  <c r="F2642" i="1"/>
  <c r="D2634" i="1"/>
  <c r="F2634" i="1"/>
  <c r="D2626" i="1"/>
  <c r="F2626" i="1"/>
  <c r="D2618" i="1"/>
  <c r="F2618" i="1"/>
  <c r="D2610" i="1"/>
  <c r="F2610" i="1"/>
  <c r="D2602" i="1"/>
  <c r="F2602" i="1"/>
  <c r="D2594" i="1"/>
  <c r="F2594" i="1"/>
  <c r="D2586" i="1"/>
  <c r="F2586" i="1"/>
  <c r="D2578" i="1"/>
  <c r="F2578" i="1"/>
  <c r="D2570" i="1"/>
  <c r="F2570" i="1"/>
  <c r="D2562" i="1"/>
  <c r="F2562" i="1"/>
  <c r="D2554" i="1"/>
  <c r="F2554" i="1"/>
  <c r="D2546" i="1"/>
  <c r="F2546" i="1"/>
  <c r="D2538" i="1"/>
  <c r="F2538" i="1"/>
  <c r="D2530" i="1"/>
  <c r="F2530" i="1"/>
  <c r="D2522" i="1"/>
  <c r="F2522" i="1"/>
  <c r="D2514" i="1"/>
  <c r="F2514" i="1"/>
  <c r="D2506" i="1"/>
  <c r="F2506" i="1"/>
  <c r="D2498" i="1"/>
  <c r="F2498" i="1"/>
  <c r="D2490" i="1"/>
  <c r="F2490" i="1"/>
  <c r="D2482" i="1"/>
  <c r="F2482" i="1"/>
  <c r="D2474" i="1"/>
  <c r="F2474" i="1"/>
  <c r="D2466" i="1"/>
  <c r="F2466" i="1"/>
  <c r="D2458" i="1"/>
  <c r="F2458" i="1"/>
  <c r="D2450" i="1"/>
  <c r="F2450" i="1"/>
  <c r="D2442" i="1"/>
  <c r="F2442" i="1"/>
  <c r="D2434" i="1"/>
  <c r="F2434" i="1"/>
  <c r="D2426" i="1"/>
  <c r="F2426" i="1"/>
  <c r="D2418" i="1"/>
  <c r="F2418" i="1"/>
  <c r="D2410" i="1"/>
  <c r="F2410" i="1"/>
  <c r="D2402" i="1"/>
  <c r="F2402" i="1"/>
  <c r="D2394" i="1"/>
  <c r="F2394" i="1"/>
  <c r="D2386" i="1"/>
  <c r="F2386" i="1"/>
  <c r="D2378" i="1"/>
  <c r="F2378" i="1"/>
  <c r="D2370" i="1"/>
  <c r="F2370" i="1"/>
  <c r="D2362" i="1"/>
  <c r="F2362" i="1"/>
  <c r="D2354" i="1"/>
  <c r="F2354" i="1"/>
  <c r="D2346" i="1"/>
  <c r="F2346" i="1"/>
  <c r="D2338" i="1"/>
  <c r="F2338" i="1"/>
  <c r="D2330" i="1"/>
  <c r="F2330" i="1"/>
  <c r="D2322" i="1"/>
  <c r="F2322" i="1"/>
  <c r="D2314" i="1"/>
  <c r="F2314" i="1"/>
  <c r="D2306" i="1"/>
  <c r="F2306" i="1"/>
  <c r="D2298" i="1"/>
  <c r="F2298" i="1"/>
  <c r="D2290" i="1"/>
  <c r="F2290" i="1"/>
  <c r="D2282" i="1"/>
  <c r="F2282" i="1"/>
  <c r="D2274" i="1"/>
  <c r="F2274" i="1"/>
  <c r="D2266" i="1"/>
  <c r="F2266" i="1"/>
  <c r="D2258" i="1"/>
  <c r="F2258" i="1"/>
  <c r="D2250" i="1"/>
  <c r="F2250" i="1"/>
  <c r="D2242" i="1"/>
  <c r="F2242" i="1"/>
  <c r="D2234" i="1"/>
  <c r="F2234" i="1"/>
  <c r="D2226" i="1"/>
  <c r="F2226" i="1"/>
  <c r="D2218" i="1"/>
  <c r="F2218" i="1"/>
  <c r="D2210" i="1"/>
  <c r="F2210" i="1"/>
  <c r="D2202" i="1"/>
  <c r="F2202" i="1"/>
  <c r="D2194" i="1"/>
  <c r="F2194" i="1"/>
  <c r="D2186" i="1"/>
  <c r="F2186" i="1"/>
  <c r="D2178" i="1"/>
  <c r="F2178" i="1"/>
  <c r="D2170" i="1"/>
  <c r="F2170" i="1"/>
  <c r="D2162" i="1"/>
  <c r="F2162" i="1"/>
  <c r="D2154" i="1"/>
  <c r="F2154" i="1"/>
  <c r="D2146" i="1"/>
  <c r="F2146" i="1"/>
  <c r="D2138" i="1"/>
  <c r="F2138" i="1"/>
  <c r="D2130" i="1"/>
  <c r="F2130" i="1"/>
  <c r="D2122" i="1"/>
  <c r="F2122" i="1"/>
  <c r="D2114" i="1"/>
  <c r="F2114" i="1"/>
  <c r="D2106" i="1"/>
  <c r="F2106" i="1"/>
  <c r="D2098" i="1"/>
  <c r="F2098" i="1"/>
  <c r="D2090" i="1"/>
  <c r="F2090" i="1"/>
  <c r="D2082" i="1"/>
  <c r="F2082" i="1"/>
  <c r="D2074" i="1"/>
  <c r="F2074" i="1"/>
  <c r="D2066" i="1"/>
  <c r="F2066" i="1"/>
  <c r="D2058" i="1"/>
  <c r="F2058" i="1"/>
  <c r="D2050" i="1"/>
  <c r="F2050" i="1"/>
  <c r="D2042" i="1"/>
  <c r="F2042" i="1"/>
  <c r="D2034" i="1"/>
  <c r="F2034" i="1"/>
  <c r="D2026" i="1"/>
  <c r="F2026" i="1"/>
  <c r="D2018" i="1"/>
  <c r="F2018" i="1"/>
  <c r="D2010" i="1"/>
  <c r="F2010" i="1"/>
  <c r="D2002" i="1"/>
  <c r="F2002" i="1"/>
  <c r="D1994" i="1"/>
  <c r="F1994" i="1"/>
  <c r="D1986" i="1"/>
  <c r="F1986" i="1"/>
  <c r="D1978" i="1"/>
  <c r="F1978" i="1"/>
  <c r="D1970" i="1"/>
  <c r="F1970" i="1"/>
  <c r="D1962" i="1"/>
  <c r="F1962" i="1"/>
  <c r="D1954" i="1"/>
  <c r="F1954" i="1"/>
  <c r="D1946" i="1"/>
  <c r="F1946" i="1"/>
  <c r="D1938" i="1"/>
  <c r="F1938" i="1"/>
  <c r="D1930" i="1"/>
  <c r="F1930" i="1"/>
  <c r="D1922" i="1"/>
  <c r="F1922" i="1"/>
  <c r="D1914" i="1"/>
  <c r="F1914" i="1"/>
  <c r="D1906" i="1"/>
  <c r="F1906" i="1"/>
  <c r="D1898" i="1"/>
  <c r="F1898" i="1"/>
  <c r="D1890" i="1"/>
  <c r="F1890" i="1"/>
  <c r="D1882" i="1"/>
  <c r="F1882" i="1"/>
  <c r="D1874" i="1"/>
  <c r="F1874" i="1"/>
  <c r="D1866" i="1"/>
  <c r="F1866" i="1"/>
  <c r="D1858" i="1"/>
  <c r="F1858" i="1"/>
  <c r="D1850" i="1"/>
  <c r="F1850" i="1"/>
  <c r="D1842" i="1"/>
  <c r="F1842" i="1"/>
  <c r="D1834" i="1"/>
  <c r="F1834" i="1"/>
  <c r="D1826" i="1"/>
  <c r="F1826" i="1"/>
  <c r="D1818" i="1"/>
  <c r="F1818" i="1"/>
  <c r="D1810" i="1"/>
  <c r="F1810" i="1"/>
  <c r="D1802" i="1"/>
  <c r="F1802" i="1"/>
  <c r="F3230" i="1"/>
  <c r="D2849" i="1"/>
  <c r="F2849" i="1"/>
  <c r="D2841" i="1"/>
  <c r="F2841" i="1"/>
  <c r="D2833" i="1"/>
  <c r="F2833" i="1"/>
  <c r="D2825" i="1"/>
  <c r="F2825" i="1"/>
  <c r="D2817" i="1"/>
  <c r="F2817" i="1"/>
  <c r="D2809" i="1"/>
  <c r="F2809" i="1"/>
  <c r="D2801" i="1"/>
  <c r="F2801" i="1"/>
  <c r="D2793" i="1"/>
  <c r="F2793" i="1"/>
  <c r="D2785" i="1"/>
  <c r="F2785" i="1"/>
  <c r="D2777" i="1"/>
  <c r="F2777" i="1"/>
  <c r="D2769" i="1"/>
  <c r="F2769" i="1"/>
  <c r="D2761" i="1"/>
  <c r="F2761" i="1"/>
  <c r="D2753" i="1"/>
  <c r="F2753" i="1"/>
  <c r="D2745" i="1"/>
  <c r="F2745" i="1"/>
  <c r="D2737" i="1"/>
  <c r="F2737" i="1"/>
  <c r="D2729" i="1"/>
  <c r="F2729" i="1"/>
  <c r="D2721" i="1"/>
  <c r="F2721" i="1"/>
  <c r="D2713" i="1"/>
  <c r="F2713" i="1"/>
  <c r="D2705" i="1"/>
  <c r="F2705" i="1"/>
  <c r="D2697" i="1"/>
  <c r="F2697" i="1"/>
  <c r="D2689" i="1"/>
  <c r="F2689" i="1"/>
  <c r="D2681" i="1"/>
  <c r="F2681" i="1"/>
  <c r="D2673" i="1"/>
  <c r="F2673" i="1"/>
  <c r="D2665" i="1"/>
  <c r="F2665" i="1"/>
  <c r="D2657" i="1"/>
  <c r="F2657" i="1"/>
  <c r="D2649" i="1"/>
  <c r="F2649" i="1"/>
  <c r="D2641" i="1"/>
  <c r="F2641" i="1"/>
  <c r="D2633" i="1"/>
  <c r="F2633" i="1"/>
  <c r="D2625" i="1"/>
  <c r="F2625" i="1"/>
  <c r="D2617" i="1"/>
  <c r="F2617" i="1"/>
  <c r="D2609" i="1"/>
  <c r="F2609" i="1"/>
  <c r="D2601" i="1"/>
  <c r="F2601" i="1"/>
  <c r="D2593" i="1"/>
  <c r="F2593" i="1"/>
  <c r="D2585" i="1"/>
  <c r="F2585" i="1"/>
  <c r="D2577" i="1"/>
  <c r="F2577" i="1"/>
  <c r="D2569" i="1"/>
  <c r="F2569" i="1"/>
  <c r="D2561" i="1"/>
  <c r="F2561" i="1"/>
  <c r="D2553" i="1"/>
  <c r="F2553" i="1"/>
  <c r="D2545" i="1"/>
  <c r="F2545" i="1"/>
  <c r="D2537" i="1"/>
  <c r="F2537" i="1"/>
  <c r="D2529" i="1"/>
  <c r="F2529" i="1"/>
  <c r="D2521" i="1"/>
  <c r="F2521" i="1"/>
  <c r="D2513" i="1"/>
  <c r="F2513" i="1"/>
  <c r="D2505" i="1"/>
  <c r="F2505" i="1"/>
  <c r="D2497" i="1"/>
  <c r="F2497" i="1"/>
  <c r="D2489" i="1"/>
  <c r="F2489" i="1"/>
  <c r="D2481" i="1"/>
  <c r="F2481" i="1"/>
  <c r="D2473" i="1"/>
  <c r="F2473" i="1"/>
  <c r="D2465" i="1"/>
  <c r="F2465" i="1"/>
  <c r="D2457" i="1"/>
  <c r="F2457" i="1"/>
  <c r="D2449" i="1"/>
  <c r="F2449" i="1"/>
  <c r="D2441" i="1"/>
  <c r="F2441" i="1"/>
  <c r="D2433" i="1"/>
  <c r="F2433" i="1"/>
  <c r="D2425" i="1"/>
  <c r="F2425" i="1"/>
  <c r="D2417" i="1"/>
  <c r="F2417" i="1"/>
  <c r="D2409" i="1"/>
  <c r="F2409" i="1"/>
  <c r="D2401" i="1"/>
  <c r="F2401" i="1"/>
  <c r="D2393" i="1"/>
  <c r="F2393" i="1"/>
  <c r="D2385" i="1"/>
  <c r="F2385" i="1"/>
  <c r="D2377" i="1"/>
  <c r="F2377" i="1"/>
  <c r="D2369" i="1"/>
  <c r="F2369" i="1"/>
  <c r="D2361" i="1"/>
  <c r="F2361" i="1"/>
  <c r="D2353" i="1"/>
  <c r="F2353" i="1"/>
  <c r="D2345" i="1"/>
  <c r="F2345" i="1"/>
  <c r="D2337" i="1"/>
  <c r="F2337" i="1"/>
  <c r="D2329" i="1"/>
  <c r="F2329" i="1"/>
  <c r="D2321" i="1"/>
  <c r="F2321" i="1"/>
  <c r="D2313" i="1"/>
  <c r="F2313" i="1"/>
  <c r="D2305" i="1"/>
  <c r="F2305" i="1"/>
  <c r="D2297" i="1"/>
  <c r="F2297" i="1"/>
  <c r="D2289" i="1"/>
  <c r="F2289" i="1"/>
  <c r="D2281" i="1"/>
  <c r="F2281" i="1"/>
  <c r="D2273" i="1"/>
  <c r="F2273" i="1"/>
  <c r="D2265" i="1"/>
  <c r="F2265" i="1"/>
  <c r="D2257" i="1"/>
  <c r="F2257" i="1"/>
  <c r="D2249" i="1"/>
  <c r="F2249" i="1"/>
  <c r="D2241" i="1"/>
  <c r="F2241" i="1"/>
  <c r="D2233" i="1"/>
  <c r="F2233" i="1"/>
  <c r="D2225" i="1"/>
  <c r="F2225" i="1"/>
  <c r="D2217" i="1"/>
  <c r="F2217" i="1"/>
  <c r="D2209" i="1"/>
  <c r="F2209" i="1"/>
  <c r="D2201" i="1"/>
  <c r="F2201" i="1"/>
  <c r="D2193" i="1"/>
  <c r="F2193" i="1"/>
  <c r="D2185" i="1"/>
  <c r="F2185" i="1"/>
  <c r="D2177" i="1"/>
  <c r="F2177" i="1"/>
  <c r="D2169" i="1"/>
  <c r="F2169" i="1"/>
  <c r="D2161" i="1"/>
  <c r="F2161" i="1"/>
  <c r="D2153" i="1"/>
  <c r="F2153" i="1"/>
  <c r="D2145" i="1"/>
  <c r="F2145" i="1"/>
  <c r="D2137" i="1"/>
  <c r="F2137" i="1"/>
  <c r="D2129" i="1"/>
  <c r="F2129" i="1"/>
  <c r="D2121" i="1"/>
  <c r="F2121" i="1"/>
  <c r="D2113" i="1"/>
  <c r="F2113" i="1"/>
  <c r="D2105" i="1"/>
  <c r="F2105" i="1"/>
  <c r="D2097" i="1"/>
  <c r="F2097" i="1"/>
  <c r="D2089" i="1"/>
  <c r="F2089" i="1"/>
  <c r="D2081" i="1"/>
  <c r="F2081" i="1"/>
  <c r="D2073" i="1"/>
  <c r="F2073" i="1"/>
  <c r="D2065" i="1"/>
  <c r="F2065" i="1"/>
  <c r="D2057" i="1"/>
  <c r="F2057" i="1"/>
  <c r="D2049" i="1"/>
  <c r="F2049" i="1"/>
  <c r="D2041" i="1"/>
  <c r="F2041" i="1"/>
  <c r="D2033" i="1"/>
  <c r="F2033" i="1"/>
  <c r="D2025" i="1"/>
  <c r="F2025" i="1"/>
  <c r="D2017" i="1"/>
  <c r="F2017" i="1"/>
  <c r="D2009" i="1"/>
  <c r="F2009" i="1"/>
  <c r="D2001" i="1"/>
  <c r="F2001" i="1"/>
  <c r="D1993" i="1"/>
  <c r="F1993" i="1"/>
  <c r="D1985" i="1"/>
  <c r="F1985" i="1"/>
  <c r="D1977" i="1"/>
  <c r="F1977" i="1"/>
  <c r="D1969" i="1"/>
  <c r="F1969" i="1"/>
  <c r="D1961" i="1"/>
  <c r="F1961" i="1"/>
  <c r="D1953" i="1"/>
  <c r="F1953" i="1"/>
  <c r="D1945" i="1"/>
  <c r="F1945" i="1"/>
  <c r="D1937" i="1"/>
  <c r="F1937" i="1"/>
  <c r="D1929" i="1"/>
  <c r="F1929" i="1"/>
  <c r="D1921" i="1"/>
  <c r="F1921" i="1"/>
  <c r="D1913" i="1"/>
  <c r="F1913" i="1"/>
  <c r="D1905" i="1"/>
  <c r="F1905" i="1"/>
  <c r="D1897" i="1"/>
  <c r="F1897" i="1"/>
  <c r="D1889" i="1"/>
  <c r="F1889" i="1"/>
  <c r="D1881" i="1"/>
  <c r="F1881" i="1"/>
  <c r="D1873" i="1"/>
  <c r="F1873" i="1"/>
  <c r="D1865" i="1"/>
  <c r="F1865" i="1"/>
  <c r="D1857" i="1"/>
  <c r="F1857" i="1"/>
  <c r="D1849" i="1"/>
  <c r="F1849" i="1"/>
  <c r="D1841" i="1"/>
  <c r="F1841" i="1"/>
  <c r="D1833" i="1"/>
  <c r="F1833" i="1"/>
  <c r="D1825" i="1"/>
  <c r="F1825" i="1"/>
  <c r="D1817" i="1"/>
  <c r="F1817" i="1"/>
  <c r="D1809" i="1"/>
  <c r="F1809" i="1"/>
  <c r="D1801" i="1"/>
  <c r="F1801" i="1"/>
  <c r="D1793" i="1"/>
  <c r="F1793" i="1"/>
  <c r="D1785" i="1"/>
  <c r="F1785" i="1"/>
  <c r="D1777" i="1"/>
  <c r="F1777" i="1"/>
  <c r="D1769" i="1"/>
  <c r="F1769" i="1"/>
  <c r="D1761" i="1"/>
  <c r="F1761" i="1"/>
  <c r="D1753" i="1"/>
  <c r="F1753" i="1"/>
  <c r="D1745" i="1"/>
  <c r="F1745" i="1"/>
  <c r="D1737" i="1"/>
  <c r="F1737" i="1"/>
  <c r="D1729" i="1"/>
  <c r="F1729" i="1"/>
  <c r="D1721" i="1"/>
  <c r="F1721" i="1"/>
  <c r="D1713" i="1"/>
  <c r="F1713" i="1"/>
  <c r="D1705" i="1"/>
  <c r="F1705" i="1"/>
  <c r="D1697" i="1"/>
  <c r="F1697" i="1"/>
  <c r="D1689" i="1"/>
  <c r="F1689" i="1"/>
  <c r="D1681" i="1"/>
  <c r="F1681" i="1"/>
  <c r="D1673" i="1"/>
  <c r="F1673" i="1"/>
  <c r="D1665" i="1"/>
  <c r="F1665" i="1"/>
  <c r="D1657" i="1"/>
  <c r="F1657" i="1"/>
  <c r="D1649" i="1"/>
  <c r="F1649" i="1"/>
  <c r="D1641" i="1"/>
  <c r="F1641" i="1"/>
  <c r="D1633" i="1"/>
  <c r="F1633" i="1"/>
  <c r="D1625" i="1"/>
  <c r="F1625" i="1"/>
  <c r="D1617" i="1"/>
  <c r="F1617" i="1"/>
  <c r="D1609" i="1"/>
  <c r="F1609" i="1"/>
  <c r="D1601" i="1"/>
  <c r="F1601" i="1"/>
  <c r="D1593" i="1"/>
  <c r="F1593" i="1"/>
  <c r="D1585" i="1"/>
  <c r="F1585" i="1"/>
  <c r="D1577" i="1"/>
  <c r="F1577" i="1"/>
  <c r="D1569" i="1"/>
  <c r="F1569" i="1"/>
  <c r="D1561" i="1"/>
  <c r="F1561" i="1"/>
  <c r="D1553" i="1"/>
  <c r="F1553" i="1"/>
  <c r="D1545" i="1"/>
  <c r="F1545" i="1"/>
  <c r="D1537" i="1"/>
  <c r="F1537" i="1"/>
  <c r="D1529" i="1"/>
  <c r="F1529" i="1"/>
  <c r="D1521" i="1"/>
  <c r="F1521" i="1"/>
  <c r="D1513" i="1"/>
  <c r="F1513" i="1"/>
  <c r="D1505" i="1"/>
  <c r="F1505" i="1"/>
  <c r="D1497" i="1"/>
  <c r="F1497" i="1"/>
  <c r="D1489" i="1"/>
  <c r="F1489" i="1"/>
  <c r="D1481" i="1"/>
  <c r="F1481" i="1"/>
  <c r="D1473" i="1"/>
  <c r="F1473" i="1"/>
  <c r="D1465" i="1"/>
  <c r="F1465" i="1"/>
  <c r="D1457" i="1"/>
  <c r="F1457" i="1"/>
  <c r="D1449" i="1"/>
  <c r="F1449" i="1"/>
  <c r="D1441" i="1"/>
  <c r="F1441" i="1"/>
  <c r="D1433" i="1"/>
  <c r="F1433" i="1"/>
  <c r="D1425" i="1"/>
  <c r="F1425" i="1"/>
  <c r="D1417" i="1"/>
  <c r="F1417" i="1"/>
  <c r="D1409" i="1"/>
  <c r="F1409" i="1"/>
  <c r="D1401" i="1"/>
  <c r="F1401" i="1"/>
  <c r="D1393" i="1"/>
  <c r="F1393" i="1"/>
  <c r="D1385" i="1"/>
  <c r="F1385" i="1"/>
  <c r="D1377" i="1"/>
  <c r="F1377" i="1"/>
  <c r="D1369" i="1"/>
  <c r="F1369" i="1"/>
  <c r="D1361" i="1"/>
  <c r="F1361" i="1"/>
  <c r="D1353" i="1"/>
  <c r="F1353" i="1"/>
  <c r="D1345" i="1"/>
  <c r="F1345" i="1"/>
  <c r="D1337" i="1"/>
  <c r="F1337" i="1"/>
  <c r="D1329" i="1"/>
  <c r="F1329" i="1"/>
  <c r="D1321" i="1"/>
  <c r="F1321" i="1"/>
  <c r="D1313" i="1"/>
  <c r="F1313" i="1"/>
  <c r="D1305" i="1"/>
  <c r="F1305" i="1"/>
  <c r="D1297" i="1"/>
  <c r="F1297" i="1"/>
  <c r="D1289" i="1"/>
  <c r="F1289" i="1"/>
  <c r="D1281" i="1"/>
  <c r="F1281" i="1"/>
  <c r="D1273" i="1"/>
  <c r="F1273" i="1"/>
  <c r="D1265" i="1"/>
  <c r="F1265" i="1"/>
  <c r="D1257" i="1"/>
  <c r="F1257" i="1"/>
  <c r="D1249" i="1"/>
  <c r="F1249" i="1"/>
  <c r="D1241" i="1"/>
  <c r="F1241" i="1"/>
  <c r="D1233" i="1"/>
  <c r="F1233" i="1"/>
  <c r="D1225" i="1"/>
  <c r="F1225" i="1"/>
  <c r="D1217" i="1"/>
  <c r="F1217" i="1"/>
  <c r="F3144" i="1"/>
  <c r="D3480" i="1"/>
  <c r="F3480" i="1"/>
  <c r="D3472" i="1"/>
  <c r="F3472" i="1"/>
  <c r="D3464" i="1"/>
  <c r="F3464" i="1"/>
  <c r="D3456" i="1"/>
  <c r="F3456" i="1"/>
  <c r="D3448" i="1"/>
  <c r="F3448" i="1"/>
  <c r="D3440" i="1"/>
  <c r="F3440" i="1"/>
  <c r="D3432" i="1"/>
  <c r="F3432" i="1"/>
  <c r="D3416" i="1"/>
  <c r="F3416" i="1"/>
  <c r="D3408" i="1"/>
  <c r="F3408" i="1"/>
  <c r="D3400" i="1"/>
  <c r="F3400" i="1"/>
  <c r="D3392" i="1"/>
  <c r="F3392" i="1"/>
  <c r="D3384" i="1"/>
  <c r="F3384" i="1"/>
  <c r="D3376" i="1"/>
  <c r="F3376" i="1"/>
  <c r="D3368" i="1"/>
  <c r="F3368" i="1"/>
  <c r="D3352" i="1"/>
  <c r="F3352" i="1"/>
  <c r="D3344" i="1"/>
  <c r="F3344" i="1"/>
  <c r="D3336" i="1"/>
  <c r="F3336" i="1"/>
  <c r="D3328" i="1"/>
  <c r="F3328" i="1"/>
  <c r="D3320" i="1"/>
  <c r="F3320" i="1"/>
  <c r="D3312" i="1"/>
  <c r="F3312" i="1"/>
  <c r="D3304" i="1"/>
  <c r="F3304" i="1"/>
  <c r="D3288" i="1"/>
  <c r="F3288" i="1"/>
  <c r="D3280" i="1"/>
  <c r="F3280" i="1"/>
  <c r="D3272" i="1"/>
  <c r="F3272" i="1"/>
  <c r="D3264" i="1"/>
  <c r="F3264" i="1"/>
  <c r="D3256" i="1"/>
  <c r="F3256" i="1"/>
  <c r="D3248" i="1"/>
  <c r="F3248" i="1"/>
  <c r="D3240" i="1"/>
  <c r="F3240" i="1"/>
  <c r="D3232" i="1"/>
  <c r="F3232" i="1"/>
  <c r="D3224" i="1"/>
  <c r="F3224" i="1"/>
  <c r="D3216" i="1"/>
  <c r="F3216" i="1"/>
  <c r="D3208" i="1"/>
  <c r="F3208" i="1"/>
  <c r="D3200" i="1"/>
  <c r="F3200" i="1"/>
  <c r="D3192" i="1"/>
  <c r="F3192" i="1"/>
  <c r="D3184" i="1"/>
  <c r="F3184" i="1"/>
  <c r="D3176" i="1"/>
  <c r="F3176" i="1"/>
  <c r="D3168" i="1"/>
  <c r="F3168" i="1"/>
  <c r="D3160" i="1"/>
  <c r="F3160" i="1"/>
  <c r="D3152" i="1"/>
  <c r="F3152" i="1"/>
  <c r="D3136" i="1"/>
  <c r="F3136" i="1"/>
  <c r="D3128" i="1"/>
  <c r="F3128" i="1"/>
  <c r="D3120" i="1"/>
  <c r="F3120" i="1"/>
  <c r="D3112" i="1"/>
  <c r="F3112" i="1"/>
  <c r="D3104" i="1"/>
  <c r="F3104" i="1"/>
  <c r="D3096" i="1"/>
  <c r="F3096" i="1"/>
  <c r="D3088" i="1"/>
  <c r="F3088" i="1"/>
  <c r="D3080" i="1"/>
  <c r="F3080" i="1"/>
  <c r="D3072" i="1"/>
  <c r="F3072" i="1"/>
  <c r="D3064" i="1"/>
  <c r="F3064" i="1"/>
  <c r="D3056" i="1"/>
  <c r="F3056" i="1"/>
  <c r="D3048" i="1"/>
  <c r="F3048" i="1"/>
  <c r="D3040" i="1"/>
  <c r="F3040" i="1"/>
  <c r="D3032" i="1"/>
  <c r="F3032" i="1"/>
  <c r="D3024" i="1"/>
  <c r="F3024" i="1"/>
  <c r="D3016" i="1"/>
  <c r="F3016" i="1"/>
  <c r="D3008" i="1"/>
  <c r="F3008" i="1"/>
  <c r="D3000" i="1"/>
  <c r="F3000" i="1"/>
  <c r="D2992" i="1"/>
  <c r="F2992" i="1"/>
  <c r="D2984" i="1"/>
  <c r="F2984" i="1"/>
  <c r="D2976" i="1"/>
  <c r="F2976" i="1"/>
  <c r="D2968" i="1"/>
  <c r="F2968" i="1"/>
  <c r="D2960" i="1"/>
  <c r="F2960" i="1"/>
  <c r="D2952" i="1"/>
  <c r="F2952" i="1"/>
  <c r="D2944" i="1"/>
  <c r="F2944" i="1"/>
  <c r="D2936" i="1"/>
  <c r="F2936" i="1"/>
  <c r="D2928" i="1"/>
  <c r="F2928" i="1"/>
  <c r="D2920" i="1"/>
  <c r="F2920" i="1"/>
  <c r="D2912" i="1"/>
  <c r="F2912" i="1"/>
  <c r="D2904" i="1"/>
  <c r="F2904" i="1"/>
  <c r="D2896" i="1"/>
  <c r="F2896" i="1"/>
  <c r="D2888" i="1"/>
  <c r="F2888" i="1"/>
  <c r="D2880" i="1"/>
  <c r="F2880" i="1"/>
  <c r="D2872" i="1"/>
  <c r="F2872" i="1"/>
  <c r="D2864" i="1"/>
  <c r="F2864" i="1"/>
  <c r="D2856" i="1"/>
  <c r="F2856" i="1"/>
  <c r="D2848" i="1"/>
  <c r="F2848" i="1"/>
  <c r="D2840" i="1"/>
  <c r="F2840" i="1"/>
  <c r="D2832" i="1"/>
  <c r="F2832" i="1"/>
  <c r="D2824" i="1"/>
  <c r="F2824" i="1"/>
  <c r="D2816" i="1"/>
  <c r="F2816" i="1"/>
  <c r="D2808" i="1"/>
  <c r="F2808" i="1"/>
  <c r="D2800" i="1"/>
  <c r="F2800" i="1"/>
  <c r="D2792" i="1"/>
  <c r="F2792" i="1"/>
  <c r="D2784" i="1"/>
  <c r="F2784" i="1"/>
  <c r="D2776" i="1"/>
  <c r="F2776" i="1"/>
  <c r="D2768" i="1"/>
  <c r="F2768" i="1"/>
  <c r="D2760" i="1"/>
  <c r="F2760" i="1"/>
  <c r="D2752" i="1"/>
  <c r="F2752" i="1"/>
  <c r="D2744" i="1"/>
  <c r="F2744" i="1"/>
  <c r="D2736" i="1"/>
  <c r="F2736" i="1"/>
  <c r="D2728" i="1"/>
  <c r="F2728" i="1"/>
  <c r="D2720" i="1"/>
  <c r="F2720" i="1"/>
  <c r="D2712" i="1"/>
  <c r="F2712" i="1"/>
  <c r="D2704" i="1"/>
  <c r="F2704" i="1"/>
  <c r="D2696" i="1"/>
  <c r="F2696" i="1"/>
  <c r="D2688" i="1"/>
  <c r="F2688" i="1"/>
  <c r="D2680" i="1"/>
  <c r="F2680" i="1"/>
  <c r="D2672" i="1"/>
  <c r="F2672" i="1"/>
  <c r="D2664" i="1"/>
  <c r="F2664" i="1"/>
  <c r="D2656" i="1"/>
  <c r="F2656" i="1"/>
  <c r="D2648" i="1"/>
  <c r="F2648" i="1"/>
  <c r="D2640" i="1"/>
  <c r="F2640" i="1"/>
  <c r="D2632" i="1"/>
  <c r="F2632" i="1"/>
  <c r="D2624" i="1"/>
  <c r="F2624" i="1"/>
  <c r="D2616" i="1"/>
  <c r="F2616" i="1"/>
  <c r="D2608" i="1"/>
  <c r="F2608" i="1"/>
  <c r="D2600" i="1"/>
  <c r="F2600" i="1"/>
  <c r="D2592" i="1"/>
  <c r="F2592" i="1"/>
  <c r="D2584" i="1"/>
  <c r="F2584" i="1"/>
  <c r="D2576" i="1"/>
  <c r="F2576" i="1"/>
  <c r="D2560" i="1"/>
  <c r="F2560" i="1"/>
  <c r="D2552" i="1"/>
  <c r="F2552" i="1"/>
  <c r="D2544" i="1"/>
  <c r="F2544" i="1"/>
  <c r="D2536" i="1"/>
  <c r="F2536" i="1"/>
  <c r="D2528" i="1"/>
  <c r="F2528" i="1"/>
  <c r="D2520" i="1"/>
  <c r="F2520" i="1"/>
  <c r="D2512" i="1"/>
  <c r="F2512" i="1"/>
  <c r="D2504" i="1"/>
  <c r="F2504" i="1"/>
  <c r="D2496" i="1"/>
  <c r="F2496" i="1"/>
  <c r="D2488" i="1"/>
  <c r="F2488" i="1"/>
  <c r="D2480" i="1"/>
  <c r="F2480" i="1"/>
  <c r="D2472" i="1"/>
  <c r="F2472" i="1"/>
  <c r="D2464" i="1"/>
  <c r="F2464" i="1"/>
  <c r="D2456" i="1"/>
  <c r="F2456" i="1"/>
  <c r="D2448" i="1"/>
  <c r="F2448" i="1"/>
  <c r="D2440" i="1"/>
  <c r="F2440" i="1"/>
  <c r="D2432" i="1"/>
  <c r="F2432" i="1"/>
  <c r="D2424" i="1"/>
  <c r="F2424" i="1"/>
  <c r="D2416" i="1"/>
  <c r="F2416" i="1"/>
  <c r="D2408" i="1"/>
  <c r="F2408" i="1"/>
  <c r="D2400" i="1"/>
  <c r="F2400" i="1"/>
  <c r="D2392" i="1"/>
  <c r="F2392" i="1"/>
  <c r="D2384" i="1"/>
  <c r="F2384" i="1"/>
  <c r="D2376" i="1"/>
  <c r="F2376" i="1"/>
  <c r="D2368" i="1"/>
  <c r="F2368" i="1"/>
  <c r="D2360" i="1"/>
  <c r="F2360" i="1"/>
  <c r="D2352" i="1"/>
  <c r="F2352" i="1"/>
  <c r="D2344" i="1"/>
  <c r="F2344" i="1"/>
  <c r="D2336" i="1"/>
  <c r="F2336" i="1"/>
  <c r="D2328" i="1"/>
  <c r="F2328" i="1"/>
  <c r="D2320" i="1"/>
  <c r="F2320" i="1"/>
  <c r="D2312" i="1"/>
  <c r="F2312" i="1"/>
  <c r="D2304" i="1"/>
  <c r="F2304" i="1"/>
  <c r="D2296" i="1"/>
  <c r="F2296" i="1"/>
  <c r="D2288" i="1"/>
  <c r="F2288" i="1"/>
  <c r="D2280" i="1"/>
  <c r="F2280" i="1"/>
  <c r="D2272" i="1"/>
  <c r="F2272" i="1"/>
  <c r="D2264" i="1"/>
  <c r="F2264" i="1"/>
  <c r="D2256" i="1"/>
  <c r="F2256" i="1"/>
  <c r="D2248" i="1"/>
  <c r="F2248" i="1"/>
  <c r="D2240" i="1"/>
  <c r="F2240" i="1"/>
  <c r="D2232" i="1"/>
  <c r="F2232" i="1"/>
  <c r="D2224" i="1"/>
  <c r="F2224" i="1"/>
  <c r="D2216" i="1"/>
  <c r="F2216" i="1"/>
  <c r="D2208" i="1"/>
  <c r="F2208" i="1"/>
  <c r="D2200" i="1"/>
  <c r="F2200" i="1"/>
  <c r="D2192" i="1"/>
  <c r="F2192" i="1"/>
  <c r="D2184" i="1"/>
  <c r="F2184" i="1"/>
  <c r="D2176" i="1"/>
  <c r="F2176" i="1"/>
  <c r="D2168" i="1"/>
  <c r="F2168" i="1"/>
  <c r="D2160" i="1"/>
  <c r="F2160" i="1"/>
  <c r="D2152" i="1"/>
  <c r="F2152" i="1"/>
  <c r="D2144" i="1"/>
  <c r="F2144" i="1"/>
  <c r="D2136" i="1"/>
  <c r="F2136" i="1"/>
  <c r="D2128" i="1"/>
  <c r="F2128" i="1"/>
  <c r="D2120" i="1"/>
  <c r="F2120" i="1"/>
  <c r="D2112" i="1"/>
  <c r="F2112" i="1"/>
  <c r="D2104" i="1"/>
  <c r="F2104" i="1"/>
  <c r="D2096" i="1"/>
  <c r="F2096" i="1"/>
  <c r="D2088" i="1"/>
  <c r="F2088" i="1"/>
  <c r="D2080" i="1"/>
  <c r="F2080" i="1"/>
  <c r="D2072" i="1"/>
  <c r="F2072" i="1"/>
  <c r="D2064" i="1"/>
  <c r="F2064" i="1"/>
  <c r="D2056" i="1"/>
  <c r="F2056" i="1"/>
  <c r="D2048" i="1"/>
  <c r="F2048" i="1"/>
  <c r="D2040" i="1"/>
  <c r="F2040" i="1"/>
  <c r="D2032" i="1"/>
  <c r="F2032" i="1"/>
  <c r="D2024" i="1"/>
  <c r="F2024" i="1"/>
  <c r="D2016" i="1"/>
  <c r="F2016" i="1"/>
  <c r="D2008" i="1"/>
  <c r="F2008" i="1"/>
  <c r="D2000" i="1"/>
  <c r="F2000" i="1"/>
  <c r="D1992" i="1"/>
  <c r="F1992" i="1"/>
  <c r="D1984" i="1"/>
  <c r="F1984" i="1"/>
  <c r="D1976" i="1"/>
  <c r="F1976" i="1"/>
  <c r="D1968" i="1"/>
  <c r="F1968" i="1"/>
  <c r="D1960" i="1"/>
  <c r="F1960" i="1"/>
  <c r="D1952" i="1"/>
  <c r="F1952" i="1"/>
  <c r="D1944" i="1"/>
  <c r="F1944" i="1"/>
  <c r="D1936" i="1"/>
  <c r="F1936" i="1"/>
  <c r="D1928" i="1"/>
  <c r="F1928" i="1"/>
  <c r="D1920" i="1"/>
  <c r="F1920" i="1"/>
  <c r="D1912" i="1"/>
  <c r="F1912" i="1"/>
  <c r="D1904" i="1"/>
  <c r="F1904" i="1"/>
  <c r="D1896" i="1"/>
  <c r="F1896" i="1"/>
  <c r="D1888" i="1"/>
  <c r="F1888" i="1"/>
  <c r="D1880" i="1"/>
  <c r="F1880" i="1"/>
  <c r="D1872" i="1"/>
  <c r="F1872" i="1"/>
  <c r="D1864" i="1"/>
  <c r="F1864" i="1"/>
  <c r="D1856" i="1"/>
  <c r="F1856" i="1"/>
  <c r="D1848" i="1"/>
  <c r="F1848" i="1"/>
  <c r="D1840" i="1"/>
  <c r="F1840" i="1"/>
  <c r="D1832" i="1"/>
  <c r="F1832" i="1"/>
  <c r="D1824" i="1"/>
  <c r="F1824" i="1"/>
  <c r="D1816" i="1"/>
  <c r="F1816" i="1"/>
  <c r="D1808" i="1"/>
  <c r="F1808" i="1"/>
  <c r="D1800" i="1"/>
  <c r="F1800" i="1"/>
  <c r="D1792" i="1"/>
  <c r="F1792" i="1"/>
  <c r="D1784" i="1"/>
  <c r="F1784" i="1"/>
  <c r="D1776" i="1"/>
  <c r="F1776" i="1"/>
  <c r="D1768" i="1"/>
  <c r="F1768" i="1"/>
  <c r="D1760" i="1"/>
  <c r="F1760" i="1"/>
  <c r="D1752" i="1"/>
  <c r="F1752" i="1"/>
  <c r="F3058" i="1"/>
  <c r="D3479" i="1"/>
  <c r="F3479" i="1"/>
  <c r="D3471" i="1"/>
  <c r="F3471" i="1"/>
  <c r="D3463" i="1"/>
  <c r="F3463" i="1"/>
  <c r="D3455" i="1"/>
  <c r="F3455" i="1"/>
  <c r="D3447" i="1"/>
  <c r="F3447" i="1"/>
  <c r="D3439" i="1"/>
  <c r="F3439" i="1"/>
  <c r="D3431" i="1"/>
  <c r="F3431" i="1"/>
  <c r="D3423" i="1"/>
  <c r="F3423" i="1"/>
  <c r="D3415" i="1"/>
  <c r="F3415" i="1"/>
  <c r="D3407" i="1"/>
  <c r="F3407" i="1"/>
  <c r="D3399" i="1"/>
  <c r="F3399" i="1"/>
  <c r="D3391" i="1"/>
  <c r="F3391" i="1"/>
  <c r="D3383" i="1"/>
  <c r="F3383" i="1"/>
  <c r="D3375" i="1"/>
  <c r="F3375" i="1"/>
  <c r="D3367" i="1"/>
  <c r="F3367" i="1"/>
  <c r="D3359" i="1"/>
  <c r="F3359" i="1"/>
  <c r="D3351" i="1"/>
  <c r="F3351" i="1"/>
  <c r="D3343" i="1"/>
  <c r="F3343" i="1"/>
  <c r="D3335" i="1"/>
  <c r="F3335" i="1"/>
  <c r="D3327" i="1"/>
  <c r="F3327" i="1"/>
  <c r="D3319" i="1"/>
  <c r="F3319" i="1"/>
  <c r="D3311" i="1"/>
  <c r="F3311" i="1"/>
  <c r="D3303" i="1"/>
  <c r="F3303" i="1"/>
  <c r="D3295" i="1"/>
  <c r="F3295" i="1"/>
  <c r="D3287" i="1"/>
  <c r="F3287" i="1"/>
  <c r="D3279" i="1"/>
  <c r="F3279" i="1"/>
  <c r="D3271" i="1"/>
  <c r="F3271" i="1"/>
  <c r="D3263" i="1"/>
  <c r="F3263" i="1"/>
  <c r="D3255" i="1"/>
  <c r="F3255" i="1"/>
  <c r="D3247" i="1"/>
  <c r="F3247" i="1"/>
  <c r="D3239" i="1"/>
  <c r="F3239" i="1"/>
  <c r="D3231" i="1"/>
  <c r="F3231" i="1"/>
  <c r="D3223" i="1"/>
  <c r="F3223" i="1"/>
  <c r="D3215" i="1"/>
  <c r="F3215" i="1"/>
  <c r="D3207" i="1"/>
  <c r="F3207" i="1"/>
  <c r="D3199" i="1"/>
  <c r="F3199" i="1"/>
  <c r="D3191" i="1"/>
  <c r="F3191" i="1"/>
  <c r="D3183" i="1"/>
  <c r="F3183" i="1"/>
  <c r="D3175" i="1"/>
  <c r="F3175" i="1"/>
  <c r="D3167" i="1"/>
  <c r="F3167" i="1"/>
  <c r="D3159" i="1"/>
  <c r="F3159" i="1"/>
  <c r="D3151" i="1"/>
  <c r="F3151" i="1"/>
  <c r="D3143" i="1"/>
  <c r="F3143" i="1"/>
  <c r="D3135" i="1"/>
  <c r="F3135" i="1"/>
  <c r="D3127" i="1"/>
  <c r="F3127" i="1"/>
  <c r="D3119" i="1"/>
  <c r="F3119" i="1"/>
  <c r="D3111" i="1"/>
  <c r="F3111" i="1"/>
  <c r="D3103" i="1"/>
  <c r="F3103" i="1"/>
  <c r="D3095" i="1"/>
  <c r="F3095" i="1"/>
  <c r="D3087" i="1"/>
  <c r="F3087" i="1"/>
  <c r="D3079" i="1"/>
  <c r="F3079" i="1"/>
  <c r="D3071" i="1"/>
  <c r="F3071" i="1"/>
  <c r="D3063" i="1"/>
  <c r="F3063" i="1"/>
  <c r="D3055" i="1"/>
  <c r="F3055" i="1"/>
  <c r="D3047" i="1"/>
  <c r="F3047" i="1"/>
  <c r="D3039" i="1"/>
  <c r="F3039" i="1"/>
  <c r="D3031" i="1"/>
  <c r="F3031" i="1"/>
  <c r="D3023" i="1"/>
  <c r="F3023" i="1"/>
  <c r="D3015" i="1"/>
  <c r="F3015" i="1"/>
  <c r="D3007" i="1"/>
  <c r="F3007" i="1"/>
  <c r="D2999" i="1"/>
  <c r="F2999" i="1"/>
  <c r="D2991" i="1"/>
  <c r="F2991" i="1"/>
  <c r="D2983" i="1"/>
  <c r="F2983" i="1"/>
  <c r="D2975" i="1"/>
  <c r="F2975" i="1"/>
  <c r="D2967" i="1"/>
  <c r="F2967" i="1"/>
  <c r="D2959" i="1"/>
  <c r="F2959" i="1"/>
  <c r="D2951" i="1"/>
  <c r="F2951" i="1"/>
  <c r="D2943" i="1"/>
  <c r="F2943" i="1"/>
  <c r="D2935" i="1"/>
  <c r="F2935" i="1"/>
  <c r="D2927" i="1"/>
  <c r="F2927" i="1"/>
  <c r="D2919" i="1"/>
  <c r="F2919" i="1"/>
  <c r="D2911" i="1"/>
  <c r="F2911" i="1"/>
  <c r="D2903" i="1"/>
  <c r="F2903" i="1"/>
  <c r="D2895" i="1"/>
  <c r="F2895" i="1"/>
  <c r="D2887" i="1"/>
  <c r="F2887" i="1"/>
  <c r="D2879" i="1"/>
  <c r="F2879" i="1"/>
  <c r="D2871" i="1"/>
  <c r="F2871" i="1"/>
  <c r="D2863" i="1"/>
  <c r="F2863" i="1"/>
  <c r="D2855" i="1"/>
  <c r="F2855" i="1"/>
  <c r="D2847" i="1"/>
  <c r="F2847" i="1"/>
  <c r="D2839" i="1"/>
  <c r="F2839" i="1"/>
  <c r="D2831" i="1"/>
  <c r="F2831" i="1"/>
  <c r="D2823" i="1"/>
  <c r="F2823" i="1"/>
  <c r="D2815" i="1"/>
  <c r="F2815" i="1"/>
  <c r="D2807" i="1"/>
  <c r="F2807" i="1"/>
  <c r="D2799" i="1"/>
  <c r="F2799" i="1"/>
  <c r="D2791" i="1"/>
  <c r="F2791" i="1"/>
  <c r="D2783" i="1"/>
  <c r="F2783" i="1"/>
  <c r="D2775" i="1"/>
  <c r="F2775" i="1"/>
  <c r="D2767" i="1"/>
  <c r="F2767" i="1"/>
  <c r="D2759" i="1"/>
  <c r="F2759" i="1"/>
  <c r="D2751" i="1"/>
  <c r="F2751" i="1"/>
  <c r="D2743" i="1"/>
  <c r="F2743" i="1"/>
  <c r="D2735" i="1"/>
  <c r="F2735" i="1"/>
  <c r="D2727" i="1"/>
  <c r="F2727" i="1"/>
  <c r="D2719" i="1"/>
  <c r="F2719" i="1"/>
  <c r="D2711" i="1"/>
  <c r="F2711" i="1"/>
  <c r="D2703" i="1"/>
  <c r="F2703" i="1"/>
  <c r="D2695" i="1"/>
  <c r="F2695" i="1"/>
  <c r="D2687" i="1"/>
  <c r="F2687" i="1"/>
  <c r="D2679" i="1"/>
  <c r="F2679" i="1"/>
  <c r="D2671" i="1"/>
  <c r="F2671" i="1"/>
  <c r="D2663" i="1"/>
  <c r="F2663" i="1"/>
  <c r="D2655" i="1"/>
  <c r="F2655" i="1"/>
  <c r="D2647" i="1"/>
  <c r="F2647" i="1"/>
  <c r="D2639" i="1"/>
  <c r="F2639" i="1"/>
  <c r="D2631" i="1"/>
  <c r="F2631" i="1"/>
  <c r="D2623" i="1"/>
  <c r="F2623" i="1"/>
  <c r="D2615" i="1"/>
  <c r="F2615" i="1"/>
  <c r="D2607" i="1"/>
  <c r="F2607" i="1"/>
  <c r="D2599" i="1"/>
  <c r="F2599" i="1"/>
  <c r="D2591" i="1"/>
  <c r="F2591" i="1"/>
  <c r="D2583" i="1"/>
  <c r="F2583" i="1"/>
  <c r="D2575" i="1"/>
  <c r="F2575" i="1"/>
  <c r="D2567" i="1"/>
  <c r="F2567" i="1"/>
  <c r="D2559" i="1"/>
  <c r="F2559" i="1"/>
  <c r="D2551" i="1"/>
  <c r="F2551" i="1"/>
  <c r="D2543" i="1"/>
  <c r="F2543" i="1"/>
  <c r="D2535" i="1"/>
  <c r="F2535" i="1"/>
  <c r="D2527" i="1"/>
  <c r="F2527" i="1"/>
  <c r="D2519" i="1"/>
  <c r="F2519" i="1"/>
  <c r="D2511" i="1"/>
  <c r="F2511" i="1"/>
  <c r="D2503" i="1"/>
  <c r="F2503" i="1"/>
  <c r="D2495" i="1"/>
  <c r="F2495" i="1"/>
  <c r="D2487" i="1"/>
  <c r="F2487" i="1"/>
  <c r="D2479" i="1"/>
  <c r="F2479" i="1"/>
  <c r="D2471" i="1"/>
  <c r="F2471" i="1"/>
  <c r="D2463" i="1"/>
  <c r="F2463" i="1"/>
  <c r="D2455" i="1"/>
  <c r="F2455" i="1"/>
  <c r="D2447" i="1"/>
  <c r="F2447" i="1"/>
  <c r="D2439" i="1"/>
  <c r="F2439" i="1"/>
  <c r="D2431" i="1"/>
  <c r="F2431" i="1"/>
  <c r="D2423" i="1"/>
  <c r="F2423" i="1"/>
  <c r="D2415" i="1"/>
  <c r="F2415" i="1"/>
  <c r="D2407" i="1"/>
  <c r="F2407" i="1"/>
  <c r="D2399" i="1"/>
  <c r="F2399" i="1"/>
  <c r="D2391" i="1"/>
  <c r="F2391" i="1"/>
  <c r="D2383" i="1"/>
  <c r="F2383" i="1"/>
  <c r="D2375" i="1"/>
  <c r="F2375" i="1"/>
  <c r="D2367" i="1"/>
  <c r="F2367" i="1"/>
  <c r="D2359" i="1"/>
  <c r="F2359" i="1"/>
  <c r="D2351" i="1"/>
  <c r="F2351" i="1"/>
  <c r="D2343" i="1"/>
  <c r="F2343" i="1"/>
  <c r="D2335" i="1"/>
  <c r="F2335" i="1"/>
  <c r="D2327" i="1"/>
  <c r="F2327" i="1"/>
  <c r="D2319" i="1"/>
  <c r="F2319" i="1"/>
  <c r="D2311" i="1"/>
  <c r="F2311" i="1"/>
  <c r="D2303" i="1"/>
  <c r="F2303" i="1"/>
  <c r="D2295" i="1"/>
  <c r="F2295" i="1"/>
  <c r="D2287" i="1"/>
  <c r="F2287" i="1"/>
  <c r="D2279" i="1"/>
  <c r="F2279" i="1"/>
  <c r="D2271" i="1"/>
  <c r="F2271" i="1"/>
  <c r="D2263" i="1"/>
  <c r="F2263" i="1"/>
  <c r="D2255" i="1"/>
  <c r="F2255" i="1"/>
  <c r="D2247" i="1"/>
  <c r="F2247" i="1"/>
  <c r="D2239" i="1"/>
  <c r="F2239" i="1"/>
  <c r="D2231" i="1"/>
  <c r="F2231" i="1"/>
  <c r="D2223" i="1"/>
  <c r="F2223" i="1"/>
  <c r="D2215" i="1"/>
  <c r="F2215" i="1"/>
  <c r="D2207" i="1"/>
  <c r="F2207" i="1"/>
  <c r="D2199" i="1"/>
  <c r="F2199" i="1"/>
  <c r="D2191" i="1"/>
  <c r="F2191" i="1"/>
  <c r="D2183" i="1"/>
  <c r="F2183" i="1"/>
  <c r="D2175" i="1"/>
  <c r="F2175" i="1"/>
  <c r="D2167" i="1"/>
  <c r="F2167" i="1"/>
  <c r="D2159" i="1"/>
  <c r="F2159" i="1"/>
  <c r="D2151" i="1"/>
  <c r="F2151" i="1"/>
  <c r="D2143" i="1"/>
  <c r="F2143" i="1"/>
  <c r="D2135" i="1"/>
  <c r="F2135" i="1"/>
  <c r="D2127" i="1"/>
  <c r="F2127" i="1"/>
  <c r="D2119" i="1"/>
  <c r="F2119" i="1"/>
  <c r="D2111" i="1"/>
  <c r="F2111" i="1"/>
  <c r="D2103" i="1"/>
  <c r="F2103" i="1"/>
  <c r="D2095" i="1"/>
  <c r="F2095" i="1"/>
  <c r="D2087" i="1"/>
  <c r="F2087" i="1"/>
  <c r="D2079" i="1"/>
  <c r="F2079" i="1"/>
  <c r="D2071" i="1"/>
  <c r="F2071" i="1"/>
  <c r="D2063" i="1"/>
  <c r="F2063" i="1"/>
  <c r="D2055" i="1"/>
  <c r="F2055" i="1"/>
  <c r="D2047" i="1"/>
  <c r="F2047" i="1"/>
  <c r="D2039" i="1"/>
  <c r="F2039" i="1"/>
  <c r="D2031" i="1"/>
  <c r="F2031" i="1"/>
  <c r="D2023" i="1"/>
  <c r="F2023" i="1"/>
  <c r="D2015" i="1"/>
  <c r="F2015" i="1"/>
  <c r="D2007" i="1"/>
  <c r="F2007" i="1"/>
  <c r="D1999" i="1"/>
  <c r="F1999" i="1"/>
  <c r="D1991" i="1"/>
  <c r="F1991" i="1"/>
  <c r="D1983" i="1"/>
  <c r="F1983" i="1"/>
  <c r="D1975" i="1"/>
  <c r="F1975" i="1"/>
  <c r="D1967" i="1"/>
  <c r="F1967" i="1"/>
  <c r="D1959" i="1"/>
  <c r="F1959" i="1"/>
  <c r="D1951" i="1"/>
  <c r="F1951" i="1"/>
  <c r="D1943" i="1"/>
  <c r="F1943" i="1"/>
  <c r="D1935" i="1"/>
  <c r="F1935" i="1"/>
  <c r="D1927" i="1"/>
  <c r="F1927" i="1"/>
  <c r="D1919" i="1"/>
  <c r="F1919" i="1"/>
  <c r="D1911" i="1"/>
  <c r="F1911" i="1"/>
  <c r="D1903" i="1"/>
  <c r="F1903" i="1"/>
  <c r="D1895" i="1"/>
  <c r="F1895" i="1"/>
  <c r="D1887" i="1"/>
  <c r="F1887" i="1"/>
  <c r="D1879" i="1"/>
  <c r="F1879" i="1"/>
  <c r="D1871" i="1"/>
  <c r="F1871" i="1"/>
  <c r="D1863" i="1"/>
  <c r="F1863" i="1"/>
  <c r="D1855" i="1"/>
  <c r="F1855" i="1"/>
  <c r="D1847" i="1"/>
  <c r="F1847" i="1"/>
  <c r="D1839" i="1"/>
  <c r="F1839" i="1"/>
  <c r="D1831" i="1"/>
  <c r="F1831" i="1"/>
  <c r="D1823" i="1"/>
  <c r="F1823" i="1"/>
  <c r="D1815" i="1"/>
  <c r="F1815" i="1"/>
  <c r="D1807" i="1"/>
  <c r="F1807" i="1"/>
  <c r="D1799" i="1"/>
  <c r="F1799" i="1"/>
  <c r="D1791" i="1"/>
  <c r="F1791" i="1"/>
  <c r="D1783" i="1"/>
  <c r="F1783" i="1"/>
  <c r="D1775" i="1"/>
  <c r="F1775" i="1"/>
  <c r="D1767" i="1"/>
  <c r="F1767" i="1"/>
  <c r="F2907" i="1"/>
  <c r="D3398" i="1"/>
  <c r="F3398" i="1"/>
  <c r="D3390" i="1"/>
  <c r="F3390" i="1"/>
  <c r="D3382" i="1"/>
  <c r="F3382" i="1"/>
  <c r="D3374" i="1"/>
  <c r="F3374" i="1"/>
  <c r="D3366" i="1"/>
  <c r="F3366" i="1"/>
  <c r="D3358" i="1"/>
  <c r="F3358" i="1"/>
  <c r="D3350" i="1"/>
  <c r="F3350" i="1"/>
  <c r="D3342" i="1"/>
  <c r="F3342" i="1"/>
  <c r="D3334" i="1"/>
  <c r="F3334" i="1"/>
  <c r="D3326" i="1"/>
  <c r="F3326" i="1"/>
  <c r="D3318" i="1"/>
  <c r="F3318" i="1"/>
  <c r="D3310" i="1"/>
  <c r="F3310" i="1"/>
  <c r="D3302" i="1"/>
  <c r="F3302" i="1"/>
  <c r="D3294" i="1"/>
  <c r="F3294" i="1"/>
  <c r="D3286" i="1"/>
  <c r="F3286" i="1"/>
  <c r="D3278" i="1"/>
  <c r="F3278" i="1"/>
  <c r="D3270" i="1"/>
  <c r="F3270" i="1"/>
  <c r="D3262" i="1"/>
  <c r="F3262" i="1"/>
  <c r="D3254" i="1"/>
  <c r="F3254" i="1"/>
  <c r="D3246" i="1"/>
  <c r="F3246" i="1"/>
  <c r="D3238" i="1"/>
  <c r="F3238" i="1"/>
  <c r="D3222" i="1"/>
  <c r="F3222" i="1"/>
  <c r="D3214" i="1"/>
  <c r="F3214" i="1"/>
  <c r="D3206" i="1"/>
  <c r="F3206" i="1"/>
  <c r="D3198" i="1"/>
  <c r="F3198" i="1"/>
  <c r="D3190" i="1"/>
  <c r="F3190" i="1"/>
  <c r="D3182" i="1"/>
  <c r="F3182" i="1"/>
  <c r="D3174" i="1"/>
  <c r="F3174" i="1"/>
  <c r="D3166" i="1"/>
  <c r="F3166" i="1"/>
  <c r="D3158" i="1"/>
  <c r="F3158" i="1"/>
  <c r="D3150" i="1"/>
  <c r="F3150" i="1"/>
  <c r="D3142" i="1"/>
  <c r="F3142" i="1"/>
  <c r="D3134" i="1"/>
  <c r="F3134" i="1"/>
  <c r="D3126" i="1"/>
  <c r="F3126" i="1"/>
  <c r="D3118" i="1"/>
  <c r="F3118" i="1"/>
  <c r="D3110" i="1"/>
  <c r="F3110" i="1"/>
  <c r="D3102" i="1"/>
  <c r="F3102" i="1"/>
  <c r="D3094" i="1"/>
  <c r="F3094" i="1"/>
  <c r="D3086" i="1"/>
  <c r="F3086" i="1"/>
  <c r="D3078" i="1"/>
  <c r="F3078" i="1"/>
  <c r="D3070" i="1"/>
  <c r="F3070" i="1"/>
  <c r="D3062" i="1"/>
  <c r="F3062" i="1"/>
  <c r="D3054" i="1"/>
  <c r="F3054" i="1"/>
  <c r="D3046" i="1"/>
  <c r="F3046" i="1"/>
  <c r="D3038" i="1"/>
  <c r="F3038" i="1"/>
  <c r="D3030" i="1"/>
  <c r="F3030" i="1"/>
  <c r="D3022" i="1"/>
  <c r="F3022" i="1"/>
  <c r="D3014" i="1"/>
  <c r="F3014" i="1"/>
  <c r="D3006" i="1"/>
  <c r="F3006" i="1"/>
  <c r="D2998" i="1"/>
  <c r="F2998" i="1"/>
  <c r="D2990" i="1"/>
  <c r="F2990" i="1"/>
  <c r="D2982" i="1"/>
  <c r="F2982" i="1"/>
  <c r="D2974" i="1"/>
  <c r="F2974" i="1"/>
  <c r="D2966" i="1"/>
  <c r="F2966" i="1"/>
  <c r="D2958" i="1"/>
  <c r="F2958" i="1"/>
  <c r="D2950" i="1"/>
  <c r="F2950" i="1"/>
  <c r="D2942" i="1"/>
  <c r="F2942" i="1"/>
  <c r="D2934" i="1"/>
  <c r="F2934" i="1"/>
  <c r="D2926" i="1"/>
  <c r="F2926" i="1"/>
  <c r="D2918" i="1"/>
  <c r="F2918" i="1"/>
  <c r="D2910" i="1"/>
  <c r="F2910" i="1"/>
  <c r="D2902" i="1"/>
  <c r="F2902" i="1"/>
  <c r="D2894" i="1"/>
  <c r="F2894" i="1"/>
  <c r="D2886" i="1"/>
  <c r="F2886" i="1"/>
  <c r="D2878" i="1"/>
  <c r="F2878" i="1"/>
  <c r="D2870" i="1"/>
  <c r="F2870" i="1"/>
  <c r="D2862" i="1"/>
  <c r="F2862" i="1"/>
  <c r="D2854" i="1"/>
  <c r="F2854" i="1"/>
  <c r="D2846" i="1"/>
  <c r="F2846" i="1"/>
  <c r="D2838" i="1"/>
  <c r="F2838" i="1"/>
  <c r="D2830" i="1"/>
  <c r="F2830" i="1"/>
  <c r="D2822" i="1"/>
  <c r="F2822" i="1"/>
  <c r="D2814" i="1"/>
  <c r="F2814" i="1"/>
  <c r="D2806" i="1"/>
  <c r="F2806" i="1"/>
  <c r="D2798" i="1"/>
  <c r="F2798" i="1"/>
  <c r="D2790" i="1"/>
  <c r="F2790" i="1"/>
  <c r="D2782" i="1"/>
  <c r="F2782" i="1"/>
  <c r="D2774" i="1"/>
  <c r="F2774" i="1"/>
  <c r="D2766" i="1"/>
  <c r="F2766" i="1"/>
  <c r="D2758" i="1"/>
  <c r="F2758" i="1"/>
  <c r="D2750" i="1"/>
  <c r="F2750" i="1"/>
  <c r="D2742" i="1"/>
  <c r="F2742" i="1"/>
  <c r="D2734" i="1"/>
  <c r="F2734" i="1"/>
  <c r="D2726" i="1"/>
  <c r="F2726" i="1"/>
  <c r="D2718" i="1"/>
  <c r="F2718" i="1"/>
  <c r="D2710" i="1"/>
  <c r="F2710" i="1"/>
  <c r="D2702" i="1"/>
  <c r="F2702" i="1"/>
  <c r="D2694" i="1"/>
  <c r="F2694" i="1"/>
  <c r="D2686" i="1"/>
  <c r="F2686" i="1"/>
  <c r="D2678" i="1"/>
  <c r="F2678" i="1"/>
  <c r="D2670" i="1"/>
  <c r="F2670" i="1"/>
  <c r="D2662" i="1"/>
  <c r="F2662" i="1"/>
  <c r="D2654" i="1"/>
  <c r="F2654" i="1"/>
  <c r="D2646" i="1"/>
  <c r="F2646" i="1"/>
  <c r="D2638" i="1"/>
  <c r="F2638" i="1"/>
  <c r="D2630" i="1"/>
  <c r="F2630" i="1"/>
  <c r="D2622" i="1"/>
  <c r="F2622" i="1"/>
  <c r="D2614" i="1"/>
  <c r="F2614" i="1"/>
  <c r="D2606" i="1"/>
  <c r="F2606" i="1"/>
  <c r="D2598" i="1"/>
  <c r="F2598" i="1"/>
  <c r="D2590" i="1"/>
  <c r="F2590" i="1"/>
  <c r="D2582" i="1"/>
  <c r="F2582" i="1"/>
  <c r="D2574" i="1"/>
  <c r="F2574" i="1"/>
  <c r="D2566" i="1"/>
  <c r="F2566" i="1"/>
  <c r="D2558" i="1"/>
  <c r="F2558" i="1"/>
  <c r="D2550" i="1"/>
  <c r="F2550" i="1"/>
  <c r="D2542" i="1"/>
  <c r="F2542" i="1"/>
  <c r="D2534" i="1"/>
  <c r="F2534" i="1"/>
  <c r="D2526" i="1"/>
  <c r="F2526" i="1"/>
  <c r="D2518" i="1"/>
  <c r="F2518" i="1"/>
  <c r="D2510" i="1"/>
  <c r="F2510" i="1"/>
  <c r="D2502" i="1"/>
  <c r="F2502" i="1"/>
  <c r="D2494" i="1"/>
  <c r="F2494" i="1"/>
  <c r="D2486" i="1"/>
  <c r="F2486" i="1"/>
  <c r="D2478" i="1"/>
  <c r="F2478" i="1"/>
  <c r="D2470" i="1"/>
  <c r="F2470" i="1"/>
  <c r="D2462" i="1"/>
  <c r="F2462" i="1"/>
  <c r="D2454" i="1"/>
  <c r="F2454" i="1"/>
  <c r="D2446" i="1"/>
  <c r="F2446" i="1"/>
  <c r="D2438" i="1"/>
  <c r="F2438" i="1"/>
  <c r="D2430" i="1"/>
  <c r="F2430" i="1"/>
  <c r="D2422" i="1"/>
  <c r="F2422" i="1"/>
  <c r="D2414" i="1"/>
  <c r="F2414" i="1"/>
  <c r="D2406" i="1"/>
  <c r="F2406" i="1"/>
  <c r="D2398" i="1"/>
  <c r="F2398" i="1"/>
  <c r="D2390" i="1"/>
  <c r="F2390" i="1"/>
  <c r="D2382" i="1"/>
  <c r="F2382" i="1"/>
  <c r="D2374" i="1"/>
  <c r="F2374" i="1"/>
  <c r="D2366" i="1"/>
  <c r="F2366" i="1"/>
  <c r="D2358" i="1"/>
  <c r="F2358" i="1"/>
  <c r="D2350" i="1"/>
  <c r="F2350" i="1"/>
  <c r="D2342" i="1"/>
  <c r="F2342" i="1"/>
  <c r="D2334" i="1"/>
  <c r="F2334" i="1"/>
  <c r="D2326" i="1"/>
  <c r="F2326" i="1"/>
  <c r="D2318" i="1"/>
  <c r="F2318" i="1"/>
  <c r="D2310" i="1"/>
  <c r="F2310" i="1"/>
  <c r="D2302" i="1"/>
  <c r="F2302" i="1"/>
  <c r="D2294" i="1"/>
  <c r="F2294" i="1"/>
  <c r="D2286" i="1"/>
  <c r="F2286" i="1"/>
  <c r="D2278" i="1"/>
  <c r="F2278" i="1"/>
  <c r="D2270" i="1"/>
  <c r="F2270" i="1"/>
  <c r="D2262" i="1"/>
  <c r="F2262" i="1"/>
  <c r="D2254" i="1"/>
  <c r="F2254" i="1"/>
  <c r="D2246" i="1"/>
  <c r="F2246" i="1"/>
  <c r="D2238" i="1"/>
  <c r="F2238" i="1"/>
  <c r="D2230" i="1"/>
  <c r="F2230" i="1"/>
  <c r="D2222" i="1"/>
  <c r="F2222" i="1"/>
  <c r="D2214" i="1"/>
  <c r="F2214" i="1"/>
  <c r="D2206" i="1"/>
  <c r="F2206" i="1"/>
  <c r="D2198" i="1"/>
  <c r="F2198" i="1"/>
  <c r="D2190" i="1"/>
  <c r="F2190" i="1"/>
  <c r="D2182" i="1"/>
  <c r="F2182" i="1"/>
  <c r="D2174" i="1"/>
  <c r="F2174" i="1"/>
  <c r="D2166" i="1"/>
  <c r="F2166" i="1"/>
  <c r="D2158" i="1"/>
  <c r="F2158" i="1"/>
  <c r="D2150" i="1"/>
  <c r="F2150" i="1"/>
  <c r="D2142" i="1"/>
  <c r="F2142" i="1"/>
  <c r="D2134" i="1"/>
  <c r="F2134" i="1"/>
  <c r="D2126" i="1"/>
  <c r="F2126" i="1"/>
  <c r="D2118" i="1"/>
  <c r="F2118" i="1"/>
  <c r="D2110" i="1"/>
  <c r="F2110" i="1"/>
  <c r="D2102" i="1"/>
  <c r="F2102" i="1"/>
  <c r="D2094" i="1"/>
  <c r="F2094" i="1"/>
  <c r="D2086" i="1"/>
  <c r="F2086" i="1"/>
  <c r="D2078" i="1"/>
  <c r="F2078" i="1"/>
  <c r="D2070" i="1"/>
  <c r="F2070" i="1"/>
  <c r="D2062" i="1"/>
  <c r="F2062" i="1"/>
  <c r="D2054" i="1"/>
  <c r="F2054" i="1"/>
  <c r="D2046" i="1"/>
  <c r="F2046" i="1"/>
  <c r="D2038" i="1"/>
  <c r="F2038" i="1"/>
  <c r="D2030" i="1"/>
  <c r="F2030" i="1"/>
  <c r="D2022" i="1"/>
  <c r="F2022" i="1"/>
  <c r="D2014" i="1"/>
  <c r="F2014" i="1"/>
  <c r="D2006" i="1"/>
  <c r="F2006" i="1"/>
  <c r="D1998" i="1"/>
  <c r="F1998" i="1"/>
  <c r="D1990" i="1"/>
  <c r="F1990" i="1"/>
  <c r="D1982" i="1"/>
  <c r="F1982" i="1"/>
  <c r="D1974" i="1"/>
  <c r="F1974" i="1"/>
  <c r="D1966" i="1"/>
  <c r="F1966" i="1"/>
  <c r="D1958" i="1"/>
  <c r="F1958" i="1"/>
  <c r="D1950" i="1"/>
  <c r="F1950" i="1"/>
  <c r="D1942" i="1"/>
  <c r="F1942" i="1"/>
  <c r="D1934" i="1"/>
  <c r="F1934" i="1"/>
  <c r="D1926" i="1"/>
  <c r="F1926" i="1"/>
  <c r="D1918" i="1"/>
  <c r="F1918" i="1"/>
  <c r="D1910" i="1"/>
  <c r="F1910" i="1"/>
  <c r="D1902" i="1"/>
  <c r="F1902" i="1"/>
  <c r="D1894" i="1"/>
  <c r="F1894" i="1"/>
  <c r="D1886" i="1"/>
  <c r="F1886" i="1"/>
  <c r="D1878" i="1"/>
  <c r="F1878" i="1"/>
  <c r="D1870" i="1"/>
  <c r="F1870" i="1"/>
  <c r="D1862" i="1"/>
  <c r="F1862" i="1"/>
  <c r="D1854" i="1"/>
  <c r="F1854" i="1"/>
  <c r="D1846" i="1"/>
  <c r="F1846" i="1"/>
  <c r="D1838" i="1"/>
  <c r="F1838" i="1"/>
  <c r="D1830" i="1"/>
  <c r="F1830" i="1"/>
  <c r="D1822" i="1"/>
  <c r="F1822" i="1"/>
  <c r="D1814" i="1"/>
  <c r="F1814" i="1"/>
  <c r="D1806" i="1"/>
  <c r="F1806" i="1"/>
  <c r="F2738" i="1"/>
  <c r="D1517" i="1"/>
  <c r="F1517" i="1"/>
  <c r="D1509" i="1"/>
  <c r="F1509" i="1"/>
  <c r="D1501" i="1"/>
  <c r="F1501" i="1"/>
  <c r="D1493" i="1"/>
  <c r="F1493" i="1"/>
  <c r="D1485" i="1"/>
  <c r="F1485" i="1"/>
  <c r="D1477" i="1"/>
  <c r="F1477" i="1"/>
  <c r="D1469" i="1"/>
  <c r="F1469" i="1"/>
  <c r="D1461" i="1"/>
  <c r="F1461" i="1"/>
  <c r="D1453" i="1"/>
  <c r="F1453" i="1"/>
  <c r="D1445" i="1"/>
  <c r="F1445" i="1"/>
  <c r="D1437" i="1"/>
  <c r="F1437" i="1"/>
  <c r="D1429" i="1"/>
  <c r="F1429" i="1"/>
  <c r="D1421" i="1"/>
  <c r="F1421" i="1"/>
  <c r="D1413" i="1"/>
  <c r="F1413" i="1"/>
  <c r="D1405" i="1"/>
  <c r="F1405" i="1"/>
  <c r="D1397" i="1"/>
  <c r="F1397" i="1"/>
  <c r="D1389" i="1"/>
  <c r="F1389" i="1"/>
  <c r="D1381" i="1"/>
  <c r="F1381" i="1"/>
  <c r="D1373" i="1"/>
  <c r="F1373" i="1"/>
  <c r="D1365" i="1"/>
  <c r="F1365" i="1"/>
  <c r="D1357" i="1"/>
  <c r="F1357" i="1"/>
  <c r="D1349" i="1"/>
  <c r="F1349" i="1"/>
  <c r="D1341" i="1"/>
  <c r="F1341" i="1"/>
  <c r="D1333" i="1"/>
  <c r="F1333" i="1"/>
  <c r="D1325" i="1"/>
  <c r="F1325" i="1"/>
  <c r="D1317" i="1"/>
  <c r="F1317" i="1"/>
  <c r="D1309" i="1"/>
  <c r="F1309" i="1"/>
  <c r="D1301" i="1"/>
  <c r="F1301" i="1"/>
  <c r="D1293" i="1"/>
  <c r="F1293" i="1"/>
  <c r="D1285" i="1"/>
  <c r="F1285" i="1"/>
  <c r="D1277" i="1"/>
  <c r="F1277" i="1"/>
  <c r="D1269" i="1"/>
  <c r="F1269" i="1"/>
  <c r="D1261" i="1"/>
  <c r="F1261" i="1"/>
  <c r="D1253" i="1"/>
  <c r="F1253" i="1"/>
  <c r="D1245" i="1"/>
  <c r="F1245" i="1"/>
  <c r="D1237" i="1"/>
  <c r="F1237" i="1"/>
  <c r="D1229" i="1"/>
  <c r="F1229" i="1"/>
  <c r="D1221" i="1"/>
  <c r="F1221" i="1"/>
  <c r="D1213" i="1"/>
  <c r="F1213" i="1"/>
  <c r="D1205" i="1"/>
  <c r="F1205" i="1"/>
  <c r="D1197" i="1"/>
  <c r="F1197" i="1"/>
  <c r="D1189" i="1"/>
  <c r="F1189" i="1"/>
  <c r="D1181" i="1"/>
  <c r="F1181" i="1"/>
  <c r="D1173" i="1"/>
  <c r="F1173" i="1"/>
  <c r="D1165" i="1"/>
  <c r="F1165" i="1"/>
  <c r="D1157" i="1"/>
  <c r="F1157" i="1"/>
  <c r="D1149" i="1"/>
  <c r="F1149" i="1"/>
  <c r="D1141" i="1"/>
  <c r="F1141" i="1"/>
  <c r="D1133" i="1"/>
  <c r="F1133" i="1"/>
  <c r="D1125" i="1"/>
  <c r="F1125" i="1"/>
  <c r="D1117" i="1"/>
  <c r="F1117" i="1"/>
  <c r="D1109" i="1"/>
  <c r="F1109" i="1"/>
  <c r="D1101" i="1"/>
  <c r="F1101" i="1"/>
  <c r="D1093" i="1"/>
  <c r="F1093" i="1"/>
  <c r="D1085" i="1"/>
  <c r="F1085" i="1"/>
  <c r="D1077" i="1"/>
  <c r="F1077" i="1"/>
  <c r="D1069" i="1"/>
  <c r="F1069" i="1"/>
  <c r="D1061" i="1"/>
  <c r="F1061" i="1"/>
  <c r="D1053" i="1"/>
  <c r="F1053" i="1"/>
  <c r="D1045" i="1"/>
  <c r="F1045" i="1"/>
  <c r="D1037" i="1"/>
  <c r="F1037" i="1"/>
  <c r="D1029" i="1"/>
  <c r="F1029" i="1"/>
  <c r="D1021" i="1"/>
  <c r="F1021" i="1"/>
  <c r="D1013" i="1"/>
  <c r="F1013" i="1"/>
  <c r="D1005" i="1"/>
  <c r="F1005" i="1"/>
  <c r="D997" i="1"/>
  <c r="F997" i="1"/>
  <c r="D989" i="1"/>
  <c r="F989" i="1"/>
  <c r="D981" i="1"/>
  <c r="F981" i="1"/>
  <c r="D973" i="1"/>
  <c r="F973" i="1"/>
  <c r="D965" i="1"/>
  <c r="F965" i="1"/>
  <c r="D957" i="1"/>
  <c r="F957" i="1"/>
  <c r="D949" i="1"/>
  <c r="F949" i="1"/>
  <c r="D941" i="1"/>
  <c r="F941" i="1"/>
  <c r="D933" i="1"/>
  <c r="F933" i="1"/>
  <c r="D925" i="1"/>
  <c r="F925" i="1"/>
  <c r="D917" i="1"/>
  <c r="F917" i="1"/>
  <c r="D909" i="1"/>
  <c r="F909" i="1"/>
  <c r="D901" i="1"/>
  <c r="F901" i="1"/>
  <c r="D893" i="1"/>
  <c r="F893" i="1"/>
  <c r="D885" i="1"/>
  <c r="F885" i="1"/>
  <c r="D877" i="1"/>
  <c r="F877" i="1"/>
  <c r="D869" i="1"/>
  <c r="F869" i="1"/>
  <c r="D861" i="1"/>
  <c r="F861" i="1"/>
  <c r="D853" i="1"/>
  <c r="F853" i="1"/>
  <c r="D845" i="1"/>
  <c r="F845" i="1"/>
  <c r="D837" i="1"/>
  <c r="F837" i="1"/>
  <c r="D829" i="1"/>
  <c r="F829" i="1"/>
  <c r="D821" i="1"/>
  <c r="F821" i="1"/>
  <c r="D813" i="1"/>
  <c r="F813" i="1"/>
  <c r="D805" i="1"/>
  <c r="F805" i="1"/>
  <c r="D797" i="1"/>
  <c r="F797" i="1"/>
  <c r="D789" i="1"/>
  <c r="F789" i="1"/>
  <c r="D781" i="1"/>
  <c r="F781" i="1"/>
  <c r="D773" i="1"/>
  <c r="F773" i="1"/>
  <c r="D765" i="1"/>
  <c r="F765" i="1"/>
  <c r="D757" i="1"/>
  <c r="F757" i="1"/>
  <c r="D749" i="1"/>
  <c r="F749" i="1"/>
  <c r="D741" i="1"/>
  <c r="F741" i="1"/>
  <c r="D733" i="1"/>
  <c r="F733" i="1"/>
  <c r="D725" i="1"/>
  <c r="F725" i="1"/>
  <c r="D717" i="1"/>
  <c r="F717" i="1"/>
  <c r="D709" i="1"/>
  <c r="F709" i="1"/>
  <c r="D701" i="1"/>
  <c r="F701" i="1"/>
  <c r="D693" i="1"/>
  <c r="F693" i="1"/>
  <c r="D685" i="1"/>
  <c r="F685" i="1"/>
  <c r="D677" i="1"/>
  <c r="F677" i="1"/>
  <c r="D669" i="1"/>
  <c r="F669" i="1"/>
  <c r="D661" i="1"/>
  <c r="F661" i="1"/>
  <c r="D653" i="1"/>
  <c r="F653" i="1"/>
  <c r="D645" i="1"/>
  <c r="F645" i="1"/>
  <c r="D637" i="1"/>
  <c r="F637" i="1"/>
  <c r="D629" i="1"/>
  <c r="F629" i="1"/>
  <c r="D621" i="1"/>
  <c r="F621" i="1"/>
  <c r="D613" i="1"/>
  <c r="F613" i="1"/>
  <c r="D605" i="1"/>
  <c r="F605" i="1"/>
  <c r="D597" i="1"/>
  <c r="F597" i="1"/>
  <c r="D589" i="1"/>
  <c r="F589" i="1"/>
  <c r="D581" i="1"/>
  <c r="F581" i="1"/>
  <c r="D573" i="1"/>
  <c r="F573" i="1"/>
  <c r="D565" i="1"/>
  <c r="F565" i="1"/>
  <c r="D557" i="1"/>
  <c r="F557" i="1"/>
  <c r="D549" i="1"/>
  <c r="F549" i="1"/>
  <c r="D541" i="1"/>
  <c r="F541" i="1"/>
  <c r="D533" i="1"/>
  <c r="F533" i="1"/>
  <c r="D525" i="1"/>
  <c r="F525" i="1"/>
  <c r="D517" i="1"/>
  <c r="F517" i="1"/>
  <c r="D509" i="1"/>
  <c r="F509" i="1"/>
  <c r="D501" i="1"/>
  <c r="F501" i="1"/>
  <c r="D493" i="1"/>
  <c r="F493" i="1"/>
  <c r="D485" i="1"/>
  <c r="F485" i="1"/>
  <c r="D477" i="1"/>
  <c r="F477" i="1"/>
  <c r="D469" i="1"/>
  <c r="F469" i="1"/>
  <c r="D461" i="1"/>
  <c r="F461" i="1"/>
  <c r="D453" i="1"/>
  <c r="F453" i="1"/>
  <c r="D445" i="1"/>
  <c r="F445" i="1"/>
  <c r="D437" i="1"/>
  <c r="F437" i="1"/>
  <c r="D429" i="1"/>
  <c r="F429" i="1"/>
  <c r="D421" i="1"/>
  <c r="F421" i="1"/>
  <c r="D413" i="1"/>
  <c r="F413" i="1"/>
  <c r="D405" i="1"/>
  <c r="F405" i="1"/>
  <c r="D397" i="1"/>
  <c r="F397" i="1"/>
  <c r="D389" i="1"/>
  <c r="F389" i="1"/>
  <c r="D381" i="1"/>
  <c r="F381" i="1"/>
  <c r="D373" i="1"/>
  <c r="F373" i="1"/>
  <c r="D365" i="1"/>
  <c r="F365" i="1"/>
  <c r="D357" i="1"/>
  <c r="F357" i="1"/>
  <c r="D349" i="1"/>
  <c r="F349" i="1"/>
  <c r="D341" i="1"/>
  <c r="F341" i="1"/>
  <c r="D333" i="1"/>
  <c r="F333" i="1"/>
  <c r="D325" i="1"/>
  <c r="F325" i="1"/>
  <c r="D317" i="1"/>
  <c r="F317" i="1"/>
  <c r="D309" i="1"/>
  <c r="F309" i="1"/>
  <c r="D301" i="1"/>
  <c r="F301" i="1"/>
  <c r="D293" i="1"/>
  <c r="F293" i="1"/>
  <c r="D285" i="1"/>
  <c r="F285" i="1"/>
  <c r="D277" i="1"/>
  <c r="F277" i="1"/>
  <c r="D269" i="1"/>
  <c r="F269" i="1"/>
  <c r="D261" i="1"/>
  <c r="F261" i="1"/>
  <c r="D253" i="1"/>
  <c r="F253" i="1"/>
  <c r="D245" i="1"/>
  <c r="F245" i="1"/>
  <c r="D237" i="1"/>
  <c r="F237" i="1"/>
  <c r="D229" i="1"/>
  <c r="F229" i="1"/>
  <c r="D221" i="1"/>
  <c r="F221" i="1"/>
  <c r="D213" i="1"/>
  <c r="F213" i="1"/>
  <c r="D205" i="1"/>
  <c r="F205" i="1"/>
  <c r="D197" i="1"/>
  <c r="F197" i="1"/>
  <c r="D189" i="1"/>
  <c r="F189" i="1"/>
  <c r="D181" i="1"/>
  <c r="F181" i="1"/>
  <c r="D173" i="1"/>
  <c r="F173" i="1"/>
  <c r="D165" i="1"/>
  <c r="F165" i="1"/>
  <c r="D157" i="1"/>
  <c r="F157" i="1"/>
  <c r="D149" i="1"/>
  <c r="F149" i="1"/>
  <c r="D141" i="1"/>
  <c r="F141" i="1"/>
  <c r="D133" i="1"/>
  <c r="F133" i="1"/>
  <c r="D125" i="1"/>
  <c r="F125" i="1"/>
  <c r="D117" i="1"/>
  <c r="F117" i="1"/>
  <c r="D109" i="1"/>
  <c r="F109" i="1"/>
  <c r="D101" i="1"/>
  <c r="F101" i="1"/>
  <c r="D93" i="1"/>
  <c r="F93" i="1"/>
  <c r="D85" i="1"/>
  <c r="F85" i="1"/>
  <c r="D77" i="1"/>
  <c r="F77" i="1"/>
  <c r="D69" i="1"/>
  <c r="F69" i="1"/>
  <c r="D61" i="1"/>
  <c r="F61" i="1"/>
  <c r="D53" i="1"/>
  <c r="F53" i="1"/>
  <c r="D45" i="1"/>
  <c r="F45" i="1"/>
  <c r="D37" i="1"/>
  <c r="F37" i="1"/>
  <c r="D29" i="1"/>
  <c r="F29" i="1"/>
  <c r="D21" i="1"/>
  <c r="F21" i="1"/>
  <c r="D13" i="1"/>
  <c r="F13" i="1"/>
  <c r="D5" i="1"/>
  <c r="F5" i="1"/>
  <c r="F3424" i="1"/>
  <c r="F2568" i="1"/>
  <c r="D1756" i="1"/>
  <c r="F1756" i="1"/>
  <c r="D1748" i="1"/>
  <c r="F1748" i="1"/>
  <c r="D1740" i="1"/>
  <c r="F1740" i="1"/>
  <c r="D1732" i="1"/>
  <c r="F1732" i="1"/>
  <c r="D1724" i="1"/>
  <c r="F1724" i="1"/>
  <c r="D1716" i="1"/>
  <c r="F1716" i="1"/>
  <c r="D1708" i="1"/>
  <c r="F1708" i="1"/>
  <c r="D1700" i="1"/>
  <c r="F1700" i="1"/>
  <c r="D1692" i="1"/>
  <c r="F1692" i="1"/>
  <c r="D1684" i="1"/>
  <c r="F1684" i="1"/>
  <c r="D1676" i="1"/>
  <c r="F1676" i="1"/>
  <c r="D1668" i="1"/>
  <c r="F1668" i="1"/>
  <c r="D1660" i="1"/>
  <c r="F1660" i="1"/>
  <c r="D1652" i="1"/>
  <c r="F1652" i="1"/>
  <c r="D1644" i="1"/>
  <c r="F1644" i="1"/>
  <c r="D1636" i="1"/>
  <c r="F1636" i="1"/>
  <c r="D1628" i="1"/>
  <c r="F1628" i="1"/>
  <c r="D1620" i="1"/>
  <c r="F1620" i="1"/>
  <c r="D1612" i="1"/>
  <c r="F1612" i="1"/>
  <c r="D1604" i="1"/>
  <c r="F1604" i="1"/>
  <c r="D1596" i="1"/>
  <c r="F1596" i="1"/>
  <c r="D1588" i="1"/>
  <c r="F1588" i="1"/>
  <c r="D1580" i="1"/>
  <c r="F1580" i="1"/>
  <c r="D1572" i="1"/>
  <c r="F1572" i="1"/>
  <c r="D1564" i="1"/>
  <c r="F1564" i="1"/>
  <c r="D1556" i="1"/>
  <c r="F1556" i="1"/>
  <c r="D1548" i="1"/>
  <c r="F1548" i="1"/>
  <c r="D1540" i="1"/>
  <c r="F1540" i="1"/>
  <c r="D1532" i="1"/>
  <c r="F1532" i="1"/>
  <c r="D1524" i="1"/>
  <c r="F1524" i="1"/>
  <c r="D1516" i="1"/>
  <c r="F1516" i="1"/>
  <c r="D1508" i="1"/>
  <c r="F1508" i="1"/>
  <c r="D1500" i="1"/>
  <c r="F1500" i="1"/>
  <c r="D1492" i="1"/>
  <c r="F1492" i="1"/>
  <c r="D1484" i="1"/>
  <c r="F1484" i="1"/>
  <c r="D1476" i="1"/>
  <c r="F1476" i="1"/>
  <c r="D1468" i="1"/>
  <c r="F1468" i="1"/>
  <c r="D1460" i="1"/>
  <c r="F1460" i="1"/>
  <c r="D1452" i="1"/>
  <c r="F1452" i="1"/>
  <c r="D1444" i="1"/>
  <c r="F1444" i="1"/>
  <c r="D1436" i="1"/>
  <c r="F1436" i="1"/>
  <c r="D1428" i="1"/>
  <c r="F1428" i="1"/>
  <c r="D1420" i="1"/>
  <c r="F1420" i="1"/>
  <c r="D1412" i="1"/>
  <c r="F1412" i="1"/>
  <c r="D1404" i="1"/>
  <c r="F1404" i="1"/>
  <c r="D1396" i="1"/>
  <c r="F1396" i="1"/>
  <c r="D1388" i="1"/>
  <c r="F1388" i="1"/>
  <c r="D1380" i="1"/>
  <c r="F1380" i="1"/>
  <c r="D1372" i="1"/>
  <c r="F1372" i="1"/>
  <c r="D1364" i="1"/>
  <c r="F1364" i="1"/>
  <c r="D1356" i="1"/>
  <c r="F1356" i="1"/>
  <c r="D1348" i="1"/>
  <c r="F1348" i="1"/>
  <c r="D1340" i="1"/>
  <c r="F1340" i="1"/>
  <c r="D1332" i="1"/>
  <c r="F1332" i="1"/>
  <c r="D1324" i="1"/>
  <c r="F1324" i="1"/>
  <c r="D1316" i="1"/>
  <c r="F1316" i="1"/>
  <c r="D1308" i="1"/>
  <c r="F1308" i="1"/>
  <c r="D1300" i="1"/>
  <c r="F1300" i="1"/>
  <c r="D1292" i="1"/>
  <c r="F1292" i="1"/>
  <c r="D1284" i="1"/>
  <c r="F1284" i="1"/>
  <c r="D1276" i="1"/>
  <c r="F1276" i="1"/>
  <c r="D1268" i="1"/>
  <c r="F1268" i="1"/>
  <c r="D1260" i="1"/>
  <c r="F1260" i="1"/>
  <c r="D1252" i="1"/>
  <c r="F1252" i="1"/>
  <c r="D1244" i="1"/>
  <c r="F1244" i="1"/>
  <c r="D1236" i="1"/>
  <c r="F1236" i="1"/>
  <c r="D1228" i="1"/>
  <c r="F1228" i="1"/>
  <c r="D1220" i="1"/>
  <c r="F1220" i="1"/>
  <c r="D1212" i="1"/>
  <c r="F1212" i="1"/>
  <c r="D1204" i="1"/>
  <c r="F1204" i="1"/>
  <c r="D1196" i="1"/>
  <c r="F1196" i="1"/>
  <c r="D1188" i="1"/>
  <c r="F1188" i="1"/>
  <c r="D1180" i="1"/>
  <c r="F1180" i="1"/>
  <c r="D1172" i="1"/>
  <c r="F1172" i="1"/>
  <c r="D1164" i="1"/>
  <c r="F1164" i="1"/>
  <c r="D1156" i="1"/>
  <c r="F1156" i="1"/>
  <c r="D1148" i="1"/>
  <c r="F1148" i="1"/>
  <c r="D1140" i="1"/>
  <c r="F1140" i="1"/>
  <c r="D1132" i="1"/>
  <c r="F1132" i="1"/>
  <c r="D1124" i="1"/>
  <c r="F1124" i="1"/>
  <c r="D1116" i="1"/>
  <c r="F1116" i="1"/>
  <c r="D1108" i="1"/>
  <c r="F1108" i="1"/>
  <c r="D1100" i="1"/>
  <c r="F1100" i="1"/>
  <c r="D1092" i="1"/>
  <c r="F1092" i="1"/>
  <c r="D1084" i="1"/>
  <c r="F1084" i="1"/>
  <c r="D1076" i="1"/>
  <c r="F1076" i="1"/>
  <c r="D1068" i="1"/>
  <c r="F1068" i="1"/>
  <c r="D1060" i="1"/>
  <c r="F1060" i="1"/>
  <c r="D1052" i="1"/>
  <c r="F1052" i="1"/>
  <c r="D1044" i="1"/>
  <c r="F1044" i="1"/>
  <c r="D1036" i="1"/>
  <c r="F1036" i="1"/>
  <c r="D1028" i="1"/>
  <c r="F1028" i="1"/>
  <c r="D1020" i="1"/>
  <c r="F1020" i="1"/>
  <c r="D1012" i="1"/>
  <c r="F1012" i="1"/>
  <c r="D1004" i="1"/>
  <c r="F1004" i="1"/>
  <c r="D996" i="1"/>
  <c r="F996" i="1"/>
  <c r="D988" i="1"/>
  <c r="F988" i="1"/>
  <c r="D980" i="1"/>
  <c r="F980" i="1"/>
  <c r="D972" i="1"/>
  <c r="F972" i="1"/>
  <c r="D964" i="1"/>
  <c r="F964" i="1"/>
  <c r="D956" i="1"/>
  <c r="F956" i="1"/>
  <c r="D948" i="1"/>
  <c r="F948" i="1"/>
  <c r="D940" i="1"/>
  <c r="F940" i="1"/>
  <c r="D932" i="1"/>
  <c r="F932" i="1"/>
  <c r="D924" i="1"/>
  <c r="F924" i="1"/>
  <c r="D916" i="1"/>
  <c r="F916" i="1"/>
  <c r="D908" i="1"/>
  <c r="F908" i="1"/>
  <c r="D900" i="1"/>
  <c r="F900" i="1"/>
  <c r="D892" i="1"/>
  <c r="F892" i="1"/>
  <c r="D884" i="1"/>
  <c r="F884" i="1"/>
  <c r="D876" i="1"/>
  <c r="F876" i="1"/>
  <c r="D868" i="1"/>
  <c r="F868" i="1"/>
  <c r="D860" i="1"/>
  <c r="F860" i="1"/>
  <c r="D852" i="1"/>
  <c r="F852" i="1"/>
  <c r="D844" i="1"/>
  <c r="F844" i="1"/>
  <c r="D836" i="1"/>
  <c r="F836" i="1"/>
  <c r="D828" i="1"/>
  <c r="F828" i="1"/>
  <c r="D820" i="1"/>
  <c r="F820" i="1"/>
  <c r="D812" i="1"/>
  <c r="F812" i="1"/>
  <c r="D804" i="1"/>
  <c r="F804" i="1"/>
  <c r="D796" i="1"/>
  <c r="F796" i="1"/>
  <c r="D788" i="1"/>
  <c r="F788" i="1"/>
  <c r="D780" i="1"/>
  <c r="F780" i="1"/>
  <c r="D772" i="1"/>
  <c r="F772" i="1"/>
  <c r="D764" i="1"/>
  <c r="F764" i="1"/>
  <c r="D756" i="1"/>
  <c r="F756" i="1"/>
  <c r="D748" i="1"/>
  <c r="F748" i="1"/>
  <c r="D740" i="1"/>
  <c r="F740" i="1"/>
  <c r="D732" i="1"/>
  <c r="F732" i="1"/>
  <c r="D724" i="1"/>
  <c r="F724" i="1"/>
  <c r="D716" i="1"/>
  <c r="F716" i="1"/>
  <c r="D708" i="1"/>
  <c r="F708" i="1"/>
  <c r="D700" i="1"/>
  <c r="F700" i="1"/>
  <c r="D692" i="1"/>
  <c r="F692" i="1"/>
  <c r="D684" i="1"/>
  <c r="F684" i="1"/>
  <c r="D676" i="1"/>
  <c r="F676" i="1"/>
  <c r="D668" i="1"/>
  <c r="F668" i="1"/>
  <c r="D660" i="1"/>
  <c r="F660" i="1"/>
  <c r="D652" i="1"/>
  <c r="F652" i="1"/>
  <c r="D644" i="1"/>
  <c r="F644" i="1"/>
  <c r="D636" i="1"/>
  <c r="F636" i="1"/>
  <c r="D628" i="1"/>
  <c r="F628" i="1"/>
  <c r="D620" i="1"/>
  <c r="F620" i="1"/>
  <c r="D612" i="1"/>
  <c r="F612" i="1"/>
  <c r="D604" i="1"/>
  <c r="F604" i="1"/>
  <c r="D596" i="1"/>
  <c r="F596" i="1"/>
  <c r="D588" i="1"/>
  <c r="F588" i="1"/>
  <c r="D580" i="1"/>
  <c r="F580" i="1"/>
  <c r="D572" i="1"/>
  <c r="F572" i="1"/>
  <c r="D564" i="1"/>
  <c r="F564" i="1"/>
  <c r="D556" i="1"/>
  <c r="F556" i="1"/>
  <c r="D548" i="1"/>
  <c r="F548" i="1"/>
  <c r="D540" i="1"/>
  <c r="F540" i="1"/>
  <c r="D532" i="1"/>
  <c r="F532" i="1"/>
  <c r="D524" i="1"/>
  <c r="F524" i="1"/>
  <c r="D516" i="1"/>
  <c r="F516" i="1"/>
  <c r="D508" i="1"/>
  <c r="F508" i="1"/>
  <c r="D500" i="1"/>
  <c r="F500" i="1"/>
  <c r="D492" i="1"/>
  <c r="F492" i="1"/>
  <c r="D484" i="1"/>
  <c r="F484" i="1"/>
  <c r="D476" i="1"/>
  <c r="F476" i="1"/>
  <c r="D468" i="1"/>
  <c r="F468" i="1"/>
  <c r="D460" i="1"/>
  <c r="F460" i="1"/>
  <c r="D452" i="1"/>
  <c r="F452" i="1"/>
  <c r="D444" i="1"/>
  <c r="F444" i="1"/>
  <c r="D436" i="1"/>
  <c r="F436" i="1"/>
  <c r="D428" i="1"/>
  <c r="F428" i="1"/>
  <c r="D420" i="1"/>
  <c r="F420" i="1"/>
  <c r="D412" i="1"/>
  <c r="F412" i="1"/>
  <c r="D404" i="1"/>
  <c r="F404" i="1"/>
  <c r="D396" i="1"/>
  <c r="F396" i="1"/>
  <c r="D388" i="1"/>
  <c r="F388" i="1"/>
  <c r="D380" i="1"/>
  <c r="F380" i="1"/>
  <c r="D372" i="1"/>
  <c r="F372" i="1"/>
  <c r="D364" i="1"/>
  <c r="F364" i="1"/>
  <c r="D356" i="1"/>
  <c r="F356" i="1"/>
  <c r="D348" i="1"/>
  <c r="F348" i="1"/>
  <c r="D340" i="1"/>
  <c r="F340" i="1"/>
  <c r="D332" i="1"/>
  <c r="F332" i="1"/>
  <c r="D324" i="1"/>
  <c r="F324" i="1"/>
  <c r="D316" i="1"/>
  <c r="F316" i="1"/>
  <c r="D308" i="1"/>
  <c r="F308" i="1"/>
  <c r="D300" i="1"/>
  <c r="F300" i="1"/>
  <c r="D292" i="1"/>
  <c r="F292" i="1"/>
  <c r="D284" i="1"/>
  <c r="F284" i="1"/>
  <c r="D276" i="1"/>
  <c r="F276" i="1"/>
  <c r="D268" i="1"/>
  <c r="F268" i="1"/>
  <c r="D260" i="1"/>
  <c r="F260" i="1"/>
  <c r="D252" i="1"/>
  <c r="F252" i="1"/>
  <c r="D244" i="1"/>
  <c r="F244" i="1"/>
  <c r="D236" i="1"/>
  <c r="F236" i="1"/>
  <c r="D228" i="1"/>
  <c r="F228" i="1"/>
  <c r="D220" i="1"/>
  <c r="F220" i="1"/>
  <c r="D212" i="1"/>
  <c r="F212" i="1"/>
  <c r="D204" i="1"/>
  <c r="F204" i="1"/>
  <c r="D196" i="1"/>
  <c r="F196" i="1"/>
  <c r="D188" i="1"/>
  <c r="F188" i="1"/>
  <c r="D180" i="1"/>
  <c r="F180" i="1"/>
  <c r="D172" i="1"/>
  <c r="F172" i="1"/>
  <c r="D164" i="1"/>
  <c r="F164" i="1"/>
  <c r="D156" i="1"/>
  <c r="F156" i="1"/>
  <c r="D148" i="1"/>
  <c r="F148" i="1"/>
  <c r="D140" i="1"/>
  <c r="F140" i="1"/>
  <c r="D132" i="1"/>
  <c r="F132" i="1"/>
  <c r="D124" i="1"/>
  <c r="F124" i="1"/>
  <c r="D116" i="1"/>
  <c r="F116" i="1"/>
  <c r="D108" i="1"/>
  <c r="F108" i="1"/>
  <c r="D100" i="1"/>
  <c r="F100" i="1"/>
  <c r="D92" i="1"/>
  <c r="F92" i="1"/>
  <c r="D84" i="1"/>
  <c r="F84" i="1"/>
  <c r="D76" i="1"/>
  <c r="F76" i="1"/>
  <c r="D68" i="1"/>
  <c r="F68" i="1"/>
  <c r="D60" i="1"/>
  <c r="F60" i="1"/>
  <c r="D52" i="1"/>
  <c r="F52" i="1"/>
  <c r="D44" i="1"/>
  <c r="F44" i="1"/>
  <c r="D36" i="1"/>
  <c r="F36" i="1"/>
  <c r="D28" i="1"/>
  <c r="F28" i="1"/>
  <c r="D20" i="1"/>
  <c r="F20" i="1"/>
  <c r="D12" i="1"/>
  <c r="F12" i="1"/>
  <c r="D4" i="1"/>
  <c r="F4" i="1"/>
  <c r="D1731" i="1"/>
  <c r="F1731" i="1"/>
  <c r="D1723" i="1"/>
  <c r="F1723" i="1"/>
  <c r="D1715" i="1"/>
  <c r="F1715" i="1"/>
  <c r="D1707" i="1"/>
  <c r="F1707" i="1"/>
  <c r="D1699" i="1"/>
  <c r="F1699" i="1"/>
  <c r="D1691" i="1"/>
  <c r="F1691" i="1"/>
  <c r="D1683" i="1"/>
  <c r="F1683" i="1"/>
  <c r="D1675" i="1"/>
  <c r="F1675" i="1"/>
  <c r="D1667" i="1"/>
  <c r="F1667" i="1"/>
  <c r="D1659" i="1"/>
  <c r="F1659" i="1"/>
  <c r="D1651" i="1"/>
  <c r="F1651" i="1"/>
  <c r="D1643" i="1"/>
  <c r="F1643" i="1"/>
  <c r="D1635" i="1"/>
  <c r="F1635" i="1"/>
  <c r="D1627" i="1"/>
  <c r="F1627" i="1"/>
  <c r="D1619" i="1"/>
  <c r="F1619" i="1"/>
  <c r="D1611" i="1"/>
  <c r="F1611" i="1"/>
  <c r="D1603" i="1"/>
  <c r="F1603" i="1"/>
  <c r="D1595" i="1"/>
  <c r="F1595" i="1"/>
  <c r="D1587" i="1"/>
  <c r="F1587" i="1"/>
  <c r="D1579" i="1"/>
  <c r="F1579" i="1"/>
  <c r="D1571" i="1"/>
  <c r="F1571" i="1"/>
  <c r="D1563" i="1"/>
  <c r="F1563" i="1"/>
  <c r="D1555" i="1"/>
  <c r="F1555" i="1"/>
  <c r="D1547" i="1"/>
  <c r="F1547" i="1"/>
  <c r="D1539" i="1"/>
  <c r="F1539" i="1"/>
  <c r="D1531" i="1"/>
  <c r="F1531" i="1"/>
  <c r="D1523" i="1"/>
  <c r="F1523" i="1"/>
  <c r="D1515" i="1"/>
  <c r="F1515" i="1"/>
  <c r="D1507" i="1"/>
  <c r="F1507" i="1"/>
  <c r="D1499" i="1"/>
  <c r="F1499" i="1"/>
  <c r="D1491" i="1"/>
  <c r="F1491" i="1"/>
  <c r="D1483" i="1"/>
  <c r="F1483" i="1"/>
  <c r="D1475" i="1"/>
  <c r="F1475" i="1"/>
  <c r="D1467" i="1"/>
  <c r="F1467" i="1"/>
  <c r="D1459" i="1"/>
  <c r="F1459" i="1"/>
  <c r="D1451" i="1"/>
  <c r="F1451" i="1"/>
  <c r="D1443" i="1"/>
  <c r="F1443" i="1"/>
  <c r="D1435" i="1"/>
  <c r="F1435" i="1"/>
  <c r="D1427" i="1"/>
  <c r="F1427" i="1"/>
  <c r="D1419" i="1"/>
  <c r="F1419" i="1"/>
  <c r="D1411" i="1"/>
  <c r="F1411" i="1"/>
  <c r="D1403" i="1"/>
  <c r="F1403" i="1"/>
  <c r="D1395" i="1"/>
  <c r="F1395" i="1"/>
  <c r="D1387" i="1"/>
  <c r="F1387" i="1"/>
  <c r="D1379" i="1"/>
  <c r="F1379" i="1"/>
  <c r="D1371" i="1"/>
  <c r="F1371" i="1"/>
  <c r="D1363" i="1"/>
  <c r="F1363" i="1"/>
  <c r="D1355" i="1"/>
  <c r="F1355" i="1"/>
  <c r="D1347" i="1"/>
  <c r="F1347" i="1"/>
  <c r="D1339" i="1"/>
  <c r="F1339" i="1"/>
  <c r="D1331" i="1"/>
  <c r="F1331" i="1"/>
  <c r="D1323" i="1"/>
  <c r="F1323" i="1"/>
  <c r="D1315" i="1"/>
  <c r="F1315" i="1"/>
  <c r="D1307" i="1"/>
  <c r="F1307" i="1"/>
  <c r="D1299" i="1"/>
  <c r="F1299" i="1"/>
  <c r="D1291" i="1"/>
  <c r="F1291" i="1"/>
  <c r="D1283" i="1"/>
  <c r="F1283" i="1"/>
  <c r="D1275" i="1"/>
  <c r="F1275" i="1"/>
  <c r="D1267" i="1"/>
  <c r="F1267" i="1"/>
  <c r="D1259" i="1"/>
  <c r="F1259" i="1"/>
  <c r="D1251" i="1"/>
  <c r="F1251" i="1"/>
  <c r="D1243" i="1"/>
  <c r="F1243" i="1"/>
  <c r="D1235" i="1"/>
  <c r="F1235" i="1"/>
  <c r="D1227" i="1"/>
  <c r="F1227" i="1"/>
  <c r="D1219" i="1"/>
  <c r="F1219" i="1"/>
  <c r="D1211" i="1"/>
  <c r="F1211" i="1"/>
  <c r="D1203" i="1"/>
  <c r="F1203" i="1"/>
  <c r="D1195" i="1"/>
  <c r="F1195" i="1"/>
  <c r="D1187" i="1"/>
  <c r="F1187" i="1"/>
  <c r="D1179" i="1"/>
  <c r="F1179" i="1"/>
  <c r="D1171" i="1"/>
  <c r="F1171" i="1"/>
  <c r="D1163" i="1"/>
  <c r="F1163" i="1"/>
  <c r="D1155" i="1"/>
  <c r="F1155" i="1"/>
  <c r="D1147" i="1"/>
  <c r="F1147" i="1"/>
  <c r="D1139" i="1"/>
  <c r="F1139" i="1"/>
  <c r="D1131" i="1"/>
  <c r="F1131" i="1"/>
  <c r="D1123" i="1"/>
  <c r="F1123" i="1"/>
  <c r="D1115" i="1"/>
  <c r="F1115" i="1"/>
  <c r="D1107" i="1"/>
  <c r="F1107" i="1"/>
  <c r="D1099" i="1"/>
  <c r="F1099" i="1"/>
  <c r="D1091" i="1"/>
  <c r="F1091" i="1"/>
  <c r="D1083" i="1"/>
  <c r="F1083" i="1"/>
  <c r="D1075" i="1"/>
  <c r="F1075" i="1"/>
  <c r="D1067" i="1"/>
  <c r="F1067" i="1"/>
  <c r="D1059" i="1"/>
  <c r="F1059" i="1"/>
  <c r="D1051" i="1"/>
  <c r="F1051" i="1"/>
  <c r="D1043" i="1"/>
  <c r="F1043" i="1"/>
  <c r="D1035" i="1"/>
  <c r="F1035" i="1"/>
  <c r="D1027" i="1"/>
  <c r="F1027" i="1"/>
  <c r="D1019" i="1"/>
  <c r="F1019" i="1"/>
  <c r="D1011" i="1"/>
  <c r="F1011" i="1"/>
  <c r="D1003" i="1"/>
  <c r="F1003" i="1"/>
  <c r="D995" i="1"/>
  <c r="F995" i="1"/>
  <c r="D987" i="1"/>
  <c r="F987" i="1"/>
  <c r="D979" i="1"/>
  <c r="F979" i="1"/>
  <c r="D971" i="1"/>
  <c r="F971" i="1"/>
  <c r="D963" i="1"/>
  <c r="F963" i="1"/>
  <c r="D955" i="1"/>
  <c r="F955" i="1"/>
  <c r="D947" i="1"/>
  <c r="F947" i="1"/>
  <c r="D939" i="1"/>
  <c r="F939" i="1"/>
  <c r="D931" i="1"/>
  <c r="F931" i="1"/>
  <c r="D923" i="1"/>
  <c r="F923" i="1"/>
  <c r="D915" i="1"/>
  <c r="F915" i="1"/>
  <c r="D907" i="1"/>
  <c r="F907" i="1"/>
  <c r="D899" i="1"/>
  <c r="F899" i="1"/>
  <c r="D891" i="1"/>
  <c r="F891" i="1"/>
  <c r="D883" i="1"/>
  <c r="F883" i="1"/>
  <c r="D875" i="1"/>
  <c r="F875" i="1"/>
  <c r="D867" i="1"/>
  <c r="F867" i="1"/>
  <c r="D859" i="1"/>
  <c r="F859" i="1"/>
  <c r="D851" i="1"/>
  <c r="F851" i="1"/>
  <c r="D843" i="1"/>
  <c r="F843" i="1"/>
  <c r="D835" i="1"/>
  <c r="F835" i="1"/>
  <c r="D827" i="1"/>
  <c r="F827" i="1"/>
  <c r="D819" i="1"/>
  <c r="F819" i="1"/>
  <c r="D811" i="1"/>
  <c r="F811" i="1"/>
  <c r="D803" i="1"/>
  <c r="F803" i="1"/>
  <c r="D795" i="1"/>
  <c r="F795" i="1"/>
  <c r="D787" i="1"/>
  <c r="F787" i="1"/>
  <c r="D779" i="1"/>
  <c r="F779" i="1"/>
  <c r="D771" i="1"/>
  <c r="F771" i="1"/>
  <c r="D763" i="1"/>
  <c r="F763" i="1"/>
  <c r="D755" i="1"/>
  <c r="F755" i="1"/>
  <c r="D747" i="1"/>
  <c r="F747" i="1"/>
  <c r="D739" i="1"/>
  <c r="F739" i="1"/>
  <c r="D731" i="1"/>
  <c r="F731" i="1"/>
  <c r="D723" i="1"/>
  <c r="F723" i="1"/>
  <c r="D715" i="1"/>
  <c r="F715" i="1"/>
  <c r="D707" i="1"/>
  <c r="F707" i="1"/>
  <c r="D699" i="1"/>
  <c r="F699" i="1"/>
  <c r="D691" i="1"/>
  <c r="F691" i="1"/>
  <c r="D683" i="1"/>
  <c r="F683" i="1"/>
  <c r="D675" i="1"/>
  <c r="F675" i="1"/>
  <c r="D667" i="1"/>
  <c r="F667" i="1"/>
  <c r="D659" i="1"/>
  <c r="F659" i="1"/>
  <c r="D651" i="1"/>
  <c r="F651" i="1"/>
  <c r="D643" i="1"/>
  <c r="F643" i="1"/>
  <c r="D635" i="1"/>
  <c r="F635" i="1"/>
  <c r="D627" i="1"/>
  <c r="F627" i="1"/>
  <c r="D619" i="1"/>
  <c r="F619" i="1"/>
  <c r="D611" i="1"/>
  <c r="F611" i="1"/>
  <c r="D603" i="1"/>
  <c r="F603" i="1"/>
  <c r="D595" i="1"/>
  <c r="F595" i="1"/>
  <c r="D587" i="1"/>
  <c r="F587" i="1"/>
  <c r="D579" i="1"/>
  <c r="F579" i="1"/>
  <c r="D571" i="1"/>
  <c r="F571" i="1"/>
  <c r="D563" i="1"/>
  <c r="F563" i="1"/>
  <c r="D555" i="1"/>
  <c r="F555" i="1"/>
  <c r="D547" i="1"/>
  <c r="F547" i="1"/>
  <c r="D539" i="1"/>
  <c r="F539" i="1"/>
  <c r="D531" i="1"/>
  <c r="F531" i="1"/>
  <c r="D523" i="1"/>
  <c r="F523" i="1"/>
  <c r="D515" i="1"/>
  <c r="F515" i="1"/>
  <c r="D507" i="1"/>
  <c r="F507" i="1"/>
  <c r="D499" i="1"/>
  <c r="F499" i="1"/>
  <c r="D491" i="1"/>
  <c r="F491" i="1"/>
  <c r="D483" i="1"/>
  <c r="F483" i="1"/>
  <c r="D475" i="1"/>
  <c r="F475" i="1"/>
  <c r="D467" i="1"/>
  <c r="F467" i="1"/>
  <c r="D459" i="1"/>
  <c r="F459" i="1"/>
  <c r="D451" i="1"/>
  <c r="F451" i="1"/>
  <c r="D443" i="1"/>
  <c r="F443" i="1"/>
  <c r="D435" i="1"/>
  <c r="F435" i="1"/>
  <c r="D427" i="1"/>
  <c r="F427" i="1"/>
  <c r="D419" i="1"/>
  <c r="F419" i="1"/>
  <c r="D411" i="1"/>
  <c r="F411" i="1"/>
  <c r="D403" i="1"/>
  <c r="F403" i="1"/>
  <c r="D395" i="1"/>
  <c r="F395" i="1"/>
  <c r="D387" i="1"/>
  <c r="F387" i="1"/>
  <c r="D379" i="1"/>
  <c r="F379" i="1"/>
  <c r="D371" i="1"/>
  <c r="F371" i="1"/>
  <c r="D363" i="1"/>
  <c r="F363" i="1"/>
  <c r="D355" i="1"/>
  <c r="F355" i="1"/>
  <c r="D347" i="1"/>
  <c r="F347" i="1"/>
  <c r="D339" i="1"/>
  <c r="F339" i="1"/>
  <c r="D331" i="1"/>
  <c r="F331" i="1"/>
  <c r="D323" i="1"/>
  <c r="F323" i="1"/>
  <c r="D315" i="1"/>
  <c r="F315" i="1"/>
  <c r="D307" i="1"/>
  <c r="F307" i="1"/>
  <c r="D299" i="1"/>
  <c r="F299" i="1"/>
  <c r="D291" i="1"/>
  <c r="F291" i="1"/>
  <c r="D283" i="1"/>
  <c r="F283" i="1"/>
  <c r="D275" i="1"/>
  <c r="F275" i="1"/>
  <c r="D267" i="1"/>
  <c r="F267" i="1"/>
  <c r="D259" i="1"/>
  <c r="F259" i="1"/>
  <c r="D251" i="1"/>
  <c r="F251" i="1"/>
  <c r="D243" i="1"/>
  <c r="F243" i="1"/>
  <c r="D235" i="1"/>
  <c r="F235" i="1"/>
  <c r="D227" i="1"/>
  <c r="F227" i="1"/>
  <c r="D219" i="1"/>
  <c r="F219" i="1"/>
  <c r="D211" i="1"/>
  <c r="F211" i="1"/>
  <c r="D203" i="1"/>
  <c r="F203" i="1"/>
  <c r="D195" i="1"/>
  <c r="F195" i="1"/>
  <c r="D187" i="1"/>
  <c r="F187" i="1"/>
  <c r="D179" i="1"/>
  <c r="F179" i="1"/>
  <c r="D171" i="1"/>
  <c r="F171" i="1"/>
  <c r="D163" i="1"/>
  <c r="F163" i="1"/>
  <c r="D155" i="1"/>
  <c r="F155" i="1"/>
  <c r="D147" i="1"/>
  <c r="F147" i="1"/>
  <c r="D139" i="1"/>
  <c r="F139" i="1"/>
  <c r="D131" i="1"/>
  <c r="F131" i="1"/>
  <c r="D123" i="1"/>
  <c r="F123" i="1"/>
  <c r="D115" i="1"/>
  <c r="F115" i="1"/>
  <c r="D107" i="1"/>
  <c r="F107" i="1"/>
  <c r="D99" i="1"/>
  <c r="F99" i="1"/>
  <c r="D91" i="1"/>
  <c r="F91" i="1"/>
  <c r="D83" i="1"/>
  <c r="F83" i="1"/>
  <c r="D75" i="1"/>
  <c r="F75" i="1"/>
  <c r="D67" i="1"/>
  <c r="F67" i="1"/>
  <c r="D59" i="1"/>
  <c r="F59" i="1"/>
  <c r="D51" i="1"/>
  <c r="F51" i="1"/>
  <c r="D43" i="1"/>
  <c r="F43" i="1"/>
  <c r="D35" i="1"/>
  <c r="F35" i="1"/>
  <c r="D27" i="1"/>
  <c r="F27" i="1"/>
  <c r="D19" i="1"/>
  <c r="F19" i="1"/>
  <c r="D11" i="1"/>
  <c r="F11" i="1"/>
  <c r="D3" i="1"/>
  <c r="F3" i="1"/>
  <c r="D1794" i="1"/>
  <c r="F1794" i="1"/>
  <c r="D1786" i="1"/>
  <c r="F1786" i="1"/>
  <c r="D1778" i="1"/>
  <c r="F1778" i="1"/>
  <c r="D1770" i="1"/>
  <c r="F1770" i="1"/>
  <c r="D1762" i="1"/>
  <c r="F1762" i="1"/>
  <c r="D1754" i="1"/>
  <c r="F1754" i="1"/>
  <c r="D1746" i="1"/>
  <c r="F1746" i="1"/>
  <c r="D1738" i="1"/>
  <c r="F1738" i="1"/>
  <c r="D1730" i="1"/>
  <c r="F1730" i="1"/>
  <c r="D1722" i="1"/>
  <c r="F1722" i="1"/>
  <c r="D1714" i="1"/>
  <c r="F1714" i="1"/>
  <c r="D1706" i="1"/>
  <c r="F1706" i="1"/>
  <c r="D1698" i="1"/>
  <c r="F1698" i="1"/>
  <c r="D1690" i="1"/>
  <c r="F1690" i="1"/>
  <c r="D1682" i="1"/>
  <c r="F1682" i="1"/>
  <c r="D1674" i="1"/>
  <c r="F1674" i="1"/>
  <c r="D1666" i="1"/>
  <c r="F1666" i="1"/>
  <c r="D1658" i="1"/>
  <c r="F1658" i="1"/>
  <c r="D1650" i="1"/>
  <c r="F1650" i="1"/>
  <c r="D1642" i="1"/>
  <c r="F1642" i="1"/>
  <c r="D1634" i="1"/>
  <c r="F1634" i="1"/>
  <c r="D1626" i="1"/>
  <c r="F1626" i="1"/>
  <c r="D1618" i="1"/>
  <c r="F1618" i="1"/>
  <c r="D1610" i="1"/>
  <c r="F1610" i="1"/>
  <c r="D1602" i="1"/>
  <c r="F1602" i="1"/>
  <c r="D1594" i="1"/>
  <c r="F1594" i="1"/>
  <c r="D1586" i="1"/>
  <c r="F1586" i="1"/>
  <c r="D1578" i="1"/>
  <c r="F1578" i="1"/>
  <c r="D1570" i="1"/>
  <c r="F1570" i="1"/>
  <c r="D1562" i="1"/>
  <c r="F1562" i="1"/>
  <c r="D1554" i="1"/>
  <c r="F1554" i="1"/>
  <c r="D1546" i="1"/>
  <c r="F1546" i="1"/>
  <c r="D1538" i="1"/>
  <c r="F1538" i="1"/>
  <c r="D1530" i="1"/>
  <c r="F1530" i="1"/>
  <c r="D1522" i="1"/>
  <c r="F1522" i="1"/>
  <c r="D1514" i="1"/>
  <c r="F1514" i="1"/>
  <c r="D1506" i="1"/>
  <c r="F1506" i="1"/>
  <c r="D1498" i="1"/>
  <c r="F1498" i="1"/>
  <c r="D1490" i="1"/>
  <c r="F1490" i="1"/>
  <c r="D1482" i="1"/>
  <c r="F1482" i="1"/>
  <c r="D1474" i="1"/>
  <c r="F1474" i="1"/>
  <c r="D1466" i="1"/>
  <c r="F1466" i="1"/>
  <c r="D1458" i="1"/>
  <c r="F1458" i="1"/>
  <c r="D1450" i="1"/>
  <c r="F1450" i="1"/>
  <c r="D1442" i="1"/>
  <c r="F1442" i="1"/>
  <c r="D1434" i="1"/>
  <c r="F1434" i="1"/>
  <c r="D1426" i="1"/>
  <c r="F1426" i="1"/>
  <c r="D1418" i="1"/>
  <c r="F1418" i="1"/>
  <c r="D1410" i="1"/>
  <c r="F1410" i="1"/>
  <c r="D1402" i="1"/>
  <c r="F1402" i="1"/>
  <c r="D1394" i="1"/>
  <c r="F1394" i="1"/>
  <c r="D1386" i="1"/>
  <c r="F1386" i="1"/>
  <c r="D1378" i="1"/>
  <c r="F1378" i="1"/>
  <c r="D1370" i="1"/>
  <c r="F1370" i="1"/>
  <c r="D1362" i="1"/>
  <c r="F1362" i="1"/>
  <c r="D1354" i="1"/>
  <c r="F1354" i="1"/>
  <c r="D1346" i="1"/>
  <c r="F1346" i="1"/>
  <c r="D1338" i="1"/>
  <c r="F1338" i="1"/>
  <c r="D1330" i="1"/>
  <c r="F1330" i="1"/>
  <c r="D1322" i="1"/>
  <c r="F1322" i="1"/>
  <c r="D1314" i="1"/>
  <c r="F1314" i="1"/>
  <c r="D1306" i="1"/>
  <c r="F1306" i="1"/>
  <c r="D1298" i="1"/>
  <c r="F1298" i="1"/>
  <c r="D1290" i="1"/>
  <c r="F1290" i="1"/>
  <c r="D1282" i="1"/>
  <c r="F1282" i="1"/>
  <c r="D1274" i="1"/>
  <c r="F1274" i="1"/>
  <c r="D1266" i="1"/>
  <c r="F1266" i="1"/>
  <c r="D1258" i="1"/>
  <c r="F1258" i="1"/>
  <c r="D1250" i="1"/>
  <c r="F1250" i="1"/>
  <c r="D1242" i="1"/>
  <c r="F1242" i="1"/>
  <c r="D1234" i="1"/>
  <c r="F1234" i="1"/>
  <c r="D1226" i="1"/>
  <c r="F1226" i="1"/>
  <c r="D1218" i="1"/>
  <c r="F1218" i="1"/>
  <c r="D1210" i="1"/>
  <c r="F1210" i="1"/>
  <c r="D1202" i="1"/>
  <c r="F1202" i="1"/>
  <c r="D1194" i="1"/>
  <c r="F1194" i="1"/>
  <c r="D1186" i="1"/>
  <c r="F1186" i="1"/>
  <c r="D1178" i="1"/>
  <c r="F1178" i="1"/>
  <c r="D1170" i="1"/>
  <c r="F1170" i="1"/>
  <c r="D1162" i="1"/>
  <c r="F1162" i="1"/>
  <c r="D1154" i="1"/>
  <c r="F1154" i="1"/>
  <c r="D1146" i="1"/>
  <c r="F1146" i="1"/>
  <c r="D1138" i="1"/>
  <c r="F1138" i="1"/>
  <c r="D1130" i="1"/>
  <c r="F1130" i="1"/>
  <c r="D1122" i="1"/>
  <c r="F1122" i="1"/>
  <c r="D1114" i="1"/>
  <c r="F1114" i="1"/>
  <c r="D1106" i="1"/>
  <c r="F1106" i="1"/>
  <c r="D1098" i="1"/>
  <c r="F1098" i="1"/>
  <c r="D1090" i="1"/>
  <c r="F1090" i="1"/>
  <c r="D1082" i="1"/>
  <c r="F1082" i="1"/>
  <c r="D1074" i="1"/>
  <c r="F1074" i="1"/>
  <c r="D1066" i="1"/>
  <c r="F1066" i="1"/>
  <c r="D1058" i="1"/>
  <c r="F1058" i="1"/>
  <c r="D1050" i="1"/>
  <c r="F1050" i="1"/>
  <c r="D1042" i="1"/>
  <c r="F1042" i="1"/>
  <c r="D1034" i="1"/>
  <c r="F1034" i="1"/>
  <c r="D1026" i="1"/>
  <c r="F1026" i="1"/>
  <c r="D1018" i="1"/>
  <c r="F1018" i="1"/>
  <c r="D1010" i="1"/>
  <c r="F1010" i="1"/>
  <c r="D1002" i="1"/>
  <c r="F1002" i="1"/>
  <c r="D994" i="1"/>
  <c r="F994" i="1"/>
  <c r="D986" i="1"/>
  <c r="F986" i="1"/>
  <c r="D978" i="1"/>
  <c r="F978" i="1"/>
  <c r="D970" i="1"/>
  <c r="F970" i="1"/>
  <c r="D962" i="1"/>
  <c r="F962" i="1"/>
  <c r="D954" i="1"/>
  <c r="F954" i="1"/>
  <c r="D946" i="1"/>
  <c r="F946" i="1"/>
  <c r="D938" i="1"/>
  <c r="F938" i="1"/>
  <c r="D930" i="1"/>
  <c r="F930" i="1"/>
  <c r="D922" i="1"/>
  <c r="F922" i="1"/>
  <c r="D914" i="1"/>
  <c r="F914" i="1"/>
  <c r="D906" i="1"/>
  <c r="F906" i="1"/>
  <c r="D898" i="1"/>
  <c r="F898" i="1"/>
  <c r="D890" i="1"/>
  <c r="F890" i="1"/>
  <c r="D882" i="1"/>
  <c r="F882" i="1"/>
  <c r="D874" i="1"/>
  <c r="F874" i="1"/>
  <c r="D866" i="1"/>
  <c r="F866" i="1"/>
  <c r="D858" i="1"/>
  <c r="F858" i="1"/>
  <c r="D850" i="1"/>
  <c r="F850" i="1"/>
  <c r="D842" i="1"/>
  <c r="F842" i="1"/>
  <c r="D834" i="1"/>
  <c r="F834" i="1"/>
  <c r="D826" i="1"/>
  <c r="F826" i="1"/>
  <c r="D818" i="1"/>
  <c r="F818" i="1"/>
  <c r="D810" i="1"/>
  <c r="F810" i="1"/>
  <c r="D802" i="1"/>
  <c r="F802" i="1"/>
  <c r="D794" i="1"/>
  <c r="F794" i="1"/>
  <c r="D786" i="1"/>
  <c r="F786" i="1"/>
  <c r="D778" i="1"/>
  <c r="F778" i="1"/>
  <c r="D770" i="1"/>
  <c r="F770" i="1"/>
  <c r="D762" i="1"/>
  <c r="F762" i="1"/>
  <c r="D754" i="1"/>
  <c r="F754" i="1"/>
  <c r="D746" i="1"/>
  <c r="F746" i="1"/>
  <c r="D738" i="1"/>
  <c r="F738" i="1"/>
  <c r="D730" i="1"/>
  <c r="F730" i="1"/>
  <c r="D722" i="1"/>
  <c r="F722" i="1"/>
  <c r="D714" i="1"/>
  <c r="F714" i="1"/>
  <c r="D706" i="1"/>
  <c r="F706" i="1"/>
  <c r="D698" i="1"/>
  <c r="F698" i="1"/>
  <c r="D690" i="1"/>
  <c r="F690" i="1"/>
  <c r="D682" i="1"/>
  <c r="F682" i="1"/>
  <c r="D674" i="1"/>
  <c r="F674" i="1"/>
  <c r="D666" i="1"/>
  <c r="F666" i="1"/>
  <c r="D658" i="1"/>
  <c r="F658" i="1"/>
  <c r="D650" i="1"/>
  <c r="F650" i="1"/>
  <c r="D642" i="1"/>
  <c r="F642" i="1"/>
  <c r="D634" i="1"/>
  <c r="F634" i="1"/>
  <c r="D626" i="1"/>
  <c r="F626" i="1"/>
  <c r="D618" i="1"/>
  <c r="F618" i="1"/>
  <c r="D610" i="1"/>
  <c r="F610" i="1"/>
  <c r="D602" i="1"/>
  <c r="F602" i="1"/>
  <c r="D594" i="1"/>
  <c r="F594" i="1"/>
  <c r="D586" i="1"/>
  <c r="F586" i="1"/>
  <c r="D578" i="1"/>
  <c r="F578" i="1"/>
  <c r="D570" i="1"/>
  <c r="F570" i="1"/>
  <c r="D562" i="1"/>
  <c r="F562" i="1"/>
  <c r="D554" i="1"/>
  <c r="F554" i="1"/>
  <c r="D546" i="1"/>
  <c r="F546" i="1"/>
  <c r="D538" i="1"/>
  <c r="F538" i="1"/>
  <c r="D530" i="1"/>
  <c r="F530" i="1"/>
  <c r="D522" i="1"/>
  <c r="F522" i="1"/>
  <c r="D514" i="1"/>
  <c r="F514" i="1"/>
  <c r="D506" i="1"/>
  <c r="F506" i="1"/>
  <c r="D498" i="1"/>
  <c r="F498" i="1"/>
  <c r="D490" i="1"/>
  <c r="F490" i="1"/>
  <c r="D482" i="1"/>
  <c r="F482" i="1"/>
  <c r="D474" i="1"/>
  <c r="F474" i="1"/>
  <c r="D466" i="1"/>
  <c r="F466" i="1"/>
  <c r="D458" i="1"/>
  <c r="F458" i="1"/>
  <c r="D450" i="1"/>
  <c r="F450" i="1"/>
  <c r="D442" i="1"/>
  <c r="F442" i="1"/>
  <c r="D434" i="1"/>
  <c r="F434" i="1"/>
  <c r="D426" i="1"/>
  <c r="F426" i="1"/>
  <c r="D418" i="1"/>
  <c r="F418" i="1"/>
  <c r="D410" i="1"/>
  <c r="F410" i="1"/>
  <c r="D402" i="1"/>
  <c r="F402" i="1"/>
  <c r="D394" i="1"/>
  <c r="F394" i="1"/>
  <c r="D386" i="1"/>
  <c r="F386" i="1"/>
  <c r="D378" i="1"/>
  <c r="F378" i="1"/>
  <c r="D370" i="1"/>
  <c r="F370" i="1"/>
  <c r="D362" i="1"/>
  <c r="F362" i="1"/>
  <c r="D354" i="1"/>
  <c r="F354" i="1"/>
  <c r="D346" i="1"/>
  <c r="F346" i="1"/>
  <c r="D338" i="1"/>
  <c r="F338" i="1"/>
  <c r="D330" i="1"/>
  <c r="F330" i="1"/>
  <c r="D322" i="1"/>
  <c r="F322" i="1"/>
  <c r="D314" i="1"/>
  <c r="F314" i="1"/>
  <c r="D306" i="1"/>
  <c r="F306" i="1"/>
  <c r="D298" i="1"/>
  <c r="F298" i="1"/>
  <c r="D290" i="1"/>
  <c r="F290" i="1"/>
  <c r="D282" i="1"/>
  <c r="F282" i="1"/>
  <c r="D274" i="1"/>
  <c r="F274" i="1"/>
  <c r="D266" i="1"/>
  <c r="F266" i="1"/>
  <c r="D258" i="1"/>
  <c r="F258" i="1"/>
  <c r="D250" i="1"/>
  <c r="F250" i="1"/>
  <c r="D242" i="1"/>
  <c r="F242" i="1"/>
  <c r="D234" i="1"/>
  <c r="F234" i="1"/>
  <c r="D226" i="1"/>
  <c r="F226" i="1"/>
  <c r="D218" i="1"/>
  <c r="F218" i="1"/>
  <c r="D210" i="1"/>
  <c r="F210" i="1"/>
  <c r="D202" i="1"/>
  <c r="F202" i="1"/>
  <c r="D194" i="1"/>
  <c r="F194" i="1"/>
  <c r="D186" i="1"/>
  <c r="F186" i="1"/>
  <c r="D178" i="1"/>
  <c r="F178" i="1"/>
  <c r="D170" i="1"/>
  <c r="F170" i="1"/>
  <c r="D162" i="1"/>
  <c r="F162" i="1"/>
  <c r="D154" i="1"/>
  <c r="F154" i="1"/>
  <c r="D146" i="1"/>
  <c r="F146" i="1"/>
  <c r="D138" i="1"/>
  <c r="F138" i="1"/>
  <c r="D130" i="1"/>
  <c r="F130" i="1"/>
  <c r="D122" i="1"/>
  <c r="F122" i="1"/>
  <c r="D114" i="1"/>
  <c r="F114" i="1"/>
  <c r="D106" i="1"/>
  <c r="F106" i="1"/>
  <c r="D98" i="1"/>
  <c r="F98" i="1"/>
  <c r="D90" i="1"/>
  <c r="F90" i="1"/>
  <c r="D82" i="1"/>
  <c r="F82" i="1"/>
  <c r="D74" i="1"/>
  <c r="F74" i="1"/>
  <c r="D66" i="1"/>
  <c r="F66" i="1"/>
  <c r="D58" i="1"/>
  <c r="F58" i="1"/>
  <c r="D50" i="1"/>
  <c r="F50" i="1"/>
  <c r="D42" i="1"/>
  <c r="F42" i="1"/>
  <c r="D34" i="1"/>
  <c r="F34" i="1"/>
  <c r="D26" i="1"/>
  <c r="F26" i="1"/>
  <c r="D18" i="1"/>
  <c r="F18" i="1"/>
  <c r="D10" i="1"/>
  <c r="F10" i="1"/>
  <c r="D1209" i="1"/>
  <c r="F1209" i="1"/>
  <c r="D1201" i="1"/>
  <c r="F1201" i="1"/>
  <c r="D1193" i="1"/>
  <c r="F1193" i="1"/>
  <c r="D1185" i="1"/>
  <c r="F1185" i="1"/>
  <c r="D1177" i="1"/>
  <c r="F1177" i="1"/>
  <c r="D1169" i="1"/>
  <c r="F1169" i="1"/>
  <c r="D1161" i="1"/>
  <c r="F1161" i="1"/>
  <c r="D1153" i="1"/>
  <c r="F1153" i="1"/>
  <c r="D1145" i="1"/>
  <c r="F1145" i="1"/>
  <c r="D1137" i="1"/>
  <c r="F1137" i="1"/>
  <c r="D1129" i="1"/>
  <c r="F1129" i="1"/>
  <c r="D1121" i="1"/>
  <c r="F1121" i="1"/>
  <c r="D1113" i="1"/>
  <c r="F1113" i="1"/>
  <c r="D1105" i="1"/>
  <c r="F1105" i="1"/>
  <c r="D1097" i="1"/>
  <c r="F1097" i="1"/>
  <c r="D1089" i="1"/>
  <c r="F1089" i="1"/>
  <c r="D1081" i="1"/>
  <c r="F1081" i="1"/>
  <c r="D1073" i="1"/>
  <c r="F1073" i="1"/>
  <c r="D1065" i="1"/>
  <c r="F1065" i="1"/>
  <c r="D1057" i="1"/>
  <c r="F1057" i="1"/>
  <c r="D1049" i="1"/>
  <c r="F1049" i="1"/>
  <c r="D1041" i="1"/>
  <c r="F1041" i="1"/>
  <c r="D1033" i="1"/>
  <c r="F1033" i="1"/>
  <c r="D1025" i="1"/>
  <c r="F1025" i="1"/>
  <c r="D1017" i="1"/>
  <c r="F1017" i="1"/>
  <c r="D1009" i="1"/>
  <c r="F1009" i="1"/>
  <c r="D1001" i="1"/>
  <c r="F1001" i="1"/>
  <c r="D993" i="1"/>
  <c r="F993" i="1"/>
  <c r="D985" i="1"/>
  <c r="F985" i="1"/>
  <c r="D977" i="1"/>
  <c r="F977" i="1"/>
  <c r="D969" i="1"/>
  <c r="F969" i="1"/>
  <c r="D961" i="1"/>
  <c r="F961" i="1"/>
  <c r="D953" i="1"/>
  <c r="F953" i="1"/>
  <c r="D945" i="1"/>
  <c r="F945" i="1"/>
  <c r="D937" i="1"/>
  <c r="F937" i="1"/>
  <c r="D929" i="1"/>
  <c r="F929" i="1"/>
  <c r="D921" i="1"/>
  <c r="F921" i="1"/>
  <c r="D913" i="1"/>
  <c r="F913" i="1"/>
  <c r="D905" i="1"/>
  <c r="F905" i="1"/>
  <c r="D897" i="1"/>
  <c r="F897" i="1"/>
  <c r="D889" i="1"/>
  <c r="F889" i="1"/>
  <c r="D881" i="1"/>
  <c r="F881" i="1"/>
  <c r="D873" i="1"/>
  <c r="F873" i="1"/>
  <c r="D865" i="1"/>
  <c r="F865" i="1"/>
  <c r="D857" i="1"/>
  <c r="F857" i="1"/>
  <c r="D849" i="1"/>
  <c r="F849" i="1"/>
  <c r="D841" i="1"/>
  <c r="F841" i="1"/>
  <c r="D833" i="1"/>
  <c r="F833" i="1"/>
  <c r="D825" i="1"/>
  <c r="F825" i="1"/>
  <c r="D817" i="1"/>
  <c r="F817" i="1"/>
  <c r="D809" i="1"/>
  <c r="F809" i="1"/>
  <c r="D801" i="1"/>
  <c r="F801" i="1"/>
  <c r="D793" i="1"/>
  <c r="F793" i="1"/>
  <c r="D785" i="1"/>
  <c r="F785" i="1"/>
  <c r="D777" i="1"/>
  <c r="F777" i="1"/>
  <c r="D769" i="1"/>
  <c r="F769" i="1"/>
  <c r="D761" i="1"/>
  <c r="F761" i="1"/>
  <c r="D753" i="1"/>
  <c r="F753" i="1"/>
  <c r="D745" i="1"/>
  <c r="F745" i="1"/>
  <c r="D737" i="1"/>
  <c r="F737" i="1"/>
  <c r="D729" i="1"/>
  <c r="F729" i="1"/>
  <c r="D721" i="1"/>
  <c r="F721" i="1"/>
  <c r="D713" i="1"/>
  <c r="F713" i="1"/>
  <c r="D705" i="1"/>
  <c r="F705" i="1"/>
  <c r="D697" i="1"/>
  <c r="F697" i="1"/>
  <c r="D689" i="1"/>
  <c r="F689" i="1"/>
  <c r="D681" i="1"/>
  <c r="F681" i="1"/>
  <c r="D673" i="1"/>
  <c r="F673" i="1"/>
  <c r="D665" i="1"/>
  <c r="F665" i="1"/>
  <c r="D657" i="1"/>
  <c r="F657" i="1"/>
  <c r="D649" i="1"/>
  <c r="F649" i="1"/>
  <c r="D641" i="1"/>
  <c r="F641" i="1"/>
  <c r="D633" i="1"/>
  <c r="F633" i="1"/>
  <c r="D625" i="1"/>
  <c r="F625" i="1"/>
  <c r="D617" i="1"/>
  <c r="F617" i="1"/>
  <c r="D609" i="1"/>
  <c r="F609" i="1"/>
  <c r="D601" i="1"/>
  <c r="F601" i="1"/>
  <c r="D593" i="1"/>
  <c r="F593" i="1"/>
  <c r="D585" i="1"/>
  <c r="F585" i="1"/>
  <c r="D577" i="1"/>
  <c r="F577" i="1"/>
  <c r="D569" i="1"/>
  <c r="F569" i="1"/>
  <c r="D561" i="1"/>
  <c r="F561" i="1"/>
  <c r="D553" i="1"/>
  <c r="F553" i="1"/>
  <c r="D545" i="1"/>
  <c r="F545" i="1"/>
  <c r="D537" i="1"/>
  <c r="F537" i="1"/>
  <c r="D529" i="1"/>
  <c r="F529" i="1"/>
  <c r="D521" i="1"/>
  <c r="F521" i="1"/>
  <c r="D513" i="1"/>
  <c r="F513" i="1"/>
  <c r="D505" i="1"/>
  <c r="F505" i="1"/>
  <c r="D497" i="1"/>
  <c r="F497" i="1"/>
  <c r="D489" i="1"/>
  <c r="F489" i="1"/>
  <c r="D481" i="1"/>
  <c r="F481" i="1"/>
  <c r="D473" i="1"/>
  <c r="F473" i="1"/>
  <c r="D465" i="1"/>
  <c r="F465" i="1"/>
  <c r="D457" i="1"/>
  <c r="F457" i="1"/>
  <c r="D449" i="1"/>
  <c r="F449" i="1"/>
  <c r="D441" i="1"/>
  <c r="F441" i="1"/>
  <c r="D433" i="1"/>
  <c r="F433" i="1"/>
  <c r="D425" i="1"/>
  <c r="F425" i="1"/>
  <c r="D417" i="1"/>
  <c r="F417" i="1"/>
  <c r="D409" i="1"/>
  <c r="F409" i="1"/>
  <c r="D401" i="1"/>
  <c r="F401" i="1"/>
  <c r="D393" i="1"/>
  <c r="F393" i="1"/>
  <c r="D385" i="1"/>
  <c r="F385" i="1"/>
  <c r="D377" i="1"/>
  <c r="F377" i="1"/>
  <c r="D369" i="1"/>
  <c r="F369" i="1"/>
  <c r="D361" i="1"/>
  <c r="F361" i="1"/>
  <c r="D353" i="1"/>
  <c r="F353" i="1"/>
  <c r="D345" i="1"/>
  <c r="F345" i="1"/>
  <c r="D337" i="1"/>
  <c r="F337" i="1"/>
  <c r="D329" i="1"/>
  <c r="F329" i="1"/>
  <c r="D321" i="1"/>
  <c r="F321" i="1"/>
  <c r="D313" i="1"/>
  <c r="F313" i="1"/>
  <c r="D305" i="1"/>
  <c r="F305" i="1"/>
  <c r="D297" i="1"/>
  <c r="F297" i="1"/>
  <c r="D289" i="1"/>
  <c r="F289" i="1"/>
  <c r="D281" i="1"/>
  <c r="F281" i="1"/>
  <c r="D273" i="1"/>
  <c r="F273" i="1"/>
  <c r="D265" i="1"/>
  <c r="F265" i="1"/>
  <c r="D257" i="1"/>
  <c r="F257" i="1"/>
  <c r="D249" i="1"/>
  <c r="F249" i="1"/>
  <c r="D241" i="1"/>
  <c r="F241" i="1"/>
  <c r="D233" i="1"/>
  <c r="F233" i="1"/>
  <c r="D225" i="1"/>
  <c r="F225" i="1"/>
  <c r="D217" i="1"/>
  <c r="F217" i="1"/>
  <c r="D209" i="1"/>
  <c r="F209" i="1"/>
  <c r="D201" i="1"/>
  <c r="F201" i="1"/>
  <c r="D193" i="1"/>
  <c r="F193" i="1"/>
  <c r="D185" i="1"/>
  <c r="F185" i="1"/>
  <c r="D177" i="1"/>
  <c r="F177" i="1"/>
  <c r="D169" i="1"/>
  <c r="F169" i="1"/>
  <c r="D161" i="1"/>
  <c r="F161" i="1"/>
  <c r="D153" i="1"/>
  <c r="F153" i="1"/>
  <c r="D145" i="1"/>
  <c r="F145" i="1"/>
  <c r="D137" i="1"/>
  <c r="F137" i="1"/>
  <c r="D129" i="1"/>
  <c r="F129" i="1"/>
  <c r="D121" i="1"/>
  <c r="F121" i="1"/>
  <c r="D113" i="1"/>
  <c r="F113" i="1"/>
  <c r="D105" i="1"/>
  <c r="F105" i="1"/>
  <c r="D97" i="1"/>
  <c r="F97" i="1"/>
  <c r="D89" i="1"/>
  <c r="F89" i="1"/>
  <c r="D81" i="1"/>
  <c r="F81" i="1"/>
  <c r="D73" i="1"/>
  <c r="F73" i="1"/>
  <c r="D65" i="1"/>
  <c r="F65" i="1"/>
  <c r="D57" i="1"/>
  <c r="F57" i="1"/>
  <c r="D49" i="1"/>
  <c r="F49" i="1"/>
  <c r="D41" i="1"/>
  <c r="F41" i="1"/>
  <c r="D33" i="1"/>
  <c r="F33" i="1"/>
  <c r="D25" i="1"/>
  <c r="F25" i="1"/>
  <c r="D17" i="1"/>
  <c r="F17" i="1"/>
  <c r="D9" i="1"/>
  <c r="F9" i="1"/>
  <c r="D1744" i="1"/>
  <c r="F1744" i="1"/>
  <c r="D1736" i="1"/>
  <c r="F1736" i="1"/>
  <c r="D1728" i="1"/>
  <c r="F1728" i="1"/>
  <c r="D1720" i="1"/>
  <c r="F1720" i="1"/>
  <c r="D1712" i="1"/>
  <c r="F1712" i="1"/>
  <c r="D1704" i="1"/>
  <c r="F1704" i="1"/>
  <c r="D1696" i="1"/>
  <c r="F1696" i="1"/>
  <c r="D1688" i="1"/>
  <c r="F1688" i="1"/>
  <c r="D1680" i="1"/>
  <c r="F1680" i="1"/>
  <c r="D1672" i="1"/>
  <c r="F1672" i="1"/>
  <c r="D1664" i="1"/>
  <c r="F1664" i="1"/>
  <c r="D1656" i="1"/>
  <c r="F1656" i="1"/>
  <c r="D1648" i="1"/>
  <c r="F1648" i="1"/>
  <c r="D1640" i="1"/>
  <c r="F1640" i="1"/>
  <c r="D1632" i="1"/>
  <c r="F1632" i="1"/>
  <c r="D1624" i="1"/>
  <c r="F1624" i="1"/>
  <c r="D1616" i="1"/>
  <c r="F1616" i="1"/>
  <c r="D1608" i="1"/>
  <c r="F1608" i="1"/>
  <c r="D1600" i="1"/>
  <c r="F1600" i="1"/>
  <c r="D1592" i="1"/>
  <c r="F1592" i="1"/>
  <c r="D1584" i="1"/>
  <c r="F1584" i="1"/>
  <c r="D1576" i="1"/>
  <c r="F1576" i="1"/>
  <c r="D1568" i="1"/>
  <c r="F1568" i="1"/>
  <c r="D1560" i="1"/>
  <c r="F1560" i="1"/>
  <c r="D1552" i="1"/>
  <c r="F1552" i="1"/>
  <c r="D1544" i="1"/>
  <c r="F1544" i="1"/>
  <c r="D1536" i="1"/>
  <c r="F1536" i="1"/>
  <c r="D1528" i="1"/>
  <c r="F1528" i="1"/>
  <c r="D1520" i="1"/>
  <c r="F1520" i="1"/>
  <c r="D1512" i="1"/>
  <c r="F1512" i="1"/>
  <c r="D1504" i="1"/>
  <c r="F1504" i="1"/>
  <c r="D1496" i="1"/>
  <c r="F1496" i="1"/>
  <c r="D1488" i="1"/>
  <c r="F1488" i="1"/>
  <c r="D1480" i="1"/>
  <c r="F1480" i="1"/>
  <c r="D1472" i="1"/>
  <c r="F1472" i="1"/>
  <c r="D1464" i="1"/>
  <c r="F1464" i="1"/>
  <c r="D1456" i="1"/>
  <c r="F1456" i="1"/>
  <c r="D1448" i="1"/>
  <c r="F1448" i="1"/>
  <c r="D1440" i="1"/>
  <c r="F1440" i="1"/>
  <c r="D1432" i="1"/>
  <c r="F1432" i="1"/>
  <c r="D1424" i="1"/>
  <c r="F1424" i="1"/>
  <c r="D1416" i="1"/>
  <c r="F1416" i="1"/>
  <c r="D1408" i="1"/>
  <c r="F1408" i="1"/>
  <c r="D1400" i="1"/>
  <c r="F1400" i="1"/>
  <c r="D1392" i="1"/>
  <c r="F1392" i="1"/>
  <c r="D1384" i="1"/>
  <c r="F1384" i="1"/>
  <c r="D1376" i="1"/>
  <c r="F1376" i="1"/>
  <c r="D1368" i="1"/>
  <c r="F1368" i="1"/>
  <c r="D1360" i="1"/>
  <c r="F1360" i="1"/>
  <c r="D1352" i="1"/>
  <c r="F1352" i="1"/>
  <c r="D1344" i="1"/>
  <c r="F1344" i="1"/>
  <c r="D1336" i="1"/>
  <c r="F1336" i="1"/>
  <c r="D1328" i="1"/>
  <c r="F1328" i="1"/>
  <c r="D1320" i="1"/>
  <c r="F1320" i="1"/>
  <c r="D1312" i="1"/>
  <c r="F1312" i="1"/>
  <c r="D1304" i="1"/>
  <c r="F1304" i="1"/>
  <c r="D1296" i="1"/>
  <c r="F1296" i="1"/>
  <c r="D1288" i="1"/>
  <c r="F1288" i="1"/>
  <c r="D1280" i="1"/>
  <c r="F1280" i="1"/>
  <c r="D1272" i="1"/>
  <c r="F1272" i="1"/>
  <c r="D1264" i="1"/>
  <c r="F1264" i="1"/>
  <c r="D1256" i="1"/>
  <c r="F1256" i="1"/>
  <c r="D1248" i="1"/>
  <c r="F1248" i="1"/>
  <c r="D1240" i="1"/>
  <c r="F1240" i="1"/>
  <c r="D1232" i="1"/>
  <c r="F1232" i="1"/>
  <c r="D1224" i="1"/>
  <c r="F1224" i="1"/>
  <c r="D1216" i="1"/>
  <c r="F1216" i="1"/>
  <c r="D1208" i="1"/>
  <c r="F1208" i="1"/>
  <c r="D1200" i="1"/>
  <c r="F1200" i="1"/>
  <c r="D1192" i="1"/>
  <c r="F1192" i="1"/>
  <c r="D1184" i="1"/>
  <c r="F1184" i="1"/>
  <c r="D1176" i="1"/>
  <c r="F1176" i="1"/>
  <c r="D1168" i="1"/>
  <c r="F1168" i="1"/>
  <c r="D1160" i="1"/>
  <c r="F1160" i="1"/>
  <c r="D1152" i="1"/>
  <c r="F1152" i="1"/>
  <c r="D1144" i="1"/>
  <c r="F1144" i="1"/>
  <c r="D1136" i="1"/>
  <c r="F1136" i="1"/>
  <c r="D1128" i="1"/>
  <c r="F1128" i="1"/>
  <c r="D1120" i="1"/>
  <c r="F1120" i="1"/>
  <c r="D1112" i="1"/>
  <c r="F1112" i="1"/>
  <c r="D1104" i="1"/>
  <c r="F1104" i="1"/>
  <c r="D1096" i="1"/>
  <c r="F1096" i="1"/>
  <c r="D1088" i="1"/>
  <c r="F1088" i="1"/>
  <c r="D1080" i="1"/>
  <c r="F1080" i="1"/>
  <c r="D1072" i="1"/>
  <c r="F1072" i="1"/>
  <c r="D1064" i="1"/>
  <c r="F1064" i="1"/>
  <c r="D1056" i="1"/>
  <c r="F1056" i="1"/>
  <c r="D1048" i="1"/>
  <c r="F1048" i="1"/>
  <c r="D1040" i="1"/>
  <c r="F1040" i="1"/>
  <c r="D1032" i="1"/>
  <c r="F1032" i="1"/>
  <c r="D1024" i="1"/>
  <c r="F1024" i="1"/>
  <c r="D1016" i="1"/>
  <c r="F1016" i="1"/>
  <c r="D1008" i="1"/>
  <c r="F1008" i="1"/>
  <c r="D1000" i="1"/>
  <c r="F1000" i="1"/>
  <c r="D992" i="1"/>
  <c r="F992" i="1"/>
  <c r="D984" i="1"/>
  <c r="F984" i="1"/>
  <c r="D976" i="1"/>
  <c r="F976" i="1"/>
  <c r="D968" i="1"/>
  <c r="F968" i="1"/>
  <c r="D960" i="1"/>
  <c r="F960" i="1"/>
  <c r="D952" i="1"/>
  <c r="F952" i="1"/>
  <c r="D944" i="1"/>
  <c r="F944" i="1"/>
  <c r="D936" i="1"/>
  <c r="F936" i="1"/>
  <c r="D928" i="1"/>
  <c r="F928" i="1"/>
  <c r="D920" i="1"/>
  <c r="F920" i="1"/>
  <c r="D912" i="1"/>
  <c r="F912" i="1"/>
  <c r="D904" i="1"/>
  <c r="F904" i="1"/>
  <c r="D896" i="1"/>
  <c r="F896" i="1"/>
  <c r="D888" i="1"/>
  <c r="F888" i="1"/>
  <c r="D880" i="1"/>
  <c r="F880" i="1"/>
  <c r="D872" i="1"/>
  <c r="F872" i="1"/>
  <c r="D864" i="1"/>
  <c r="F864" i="1"/>
  <c r="D856" i="1"/>
  <c r="F856" i="1"/>
  <c r="D848" i="1"/>
  <c r="F848" i="1"/>
  <c r="D840" i="1"/>
  <c r="F840" i="1"/>
  <c r="D832" i="1"/>
  <c r="F832" i="1"/>
  <c r="D824" i="1"/>
  <c r="F824" i="1"/>
  <c r="D816" i="1"/>
  <c r="F816" i="1"/>
  <c r="D808" i="1"/>
  <c r="F808" i="1"/>
  <c r="D800" i="1"/>
  <c r="F800" i="1"/>
  <c r="D792" i="1"/>
  <c r="F792" i="1"/>
  <c r="D784" i="1"/>
  <c r="F784" i="1"/>
  <c r="D776" i="1"/>
  <c r="F776" i="1"/>
  <c r="D768" i="1"/>
  <c r="F768" i="1"/>
  <c r="D760" i="1"/>
  <c r="F760" i="1"/>
  <c r="D752" i="1"/>
  <c r="F752" i="1"/>
  <c r="D744" i="1"/>
  <c r="F744" i="1"/>
  <c r="D736" i="1"/>
  <c r="F736" i="1"/>
  <c r="D728" i="1"/>
  <c r="F728" i="1"/>
  <c r="D720" i="1"/>
  <c r="F720" i="1"/>
  <c r="D712" i="1"/>
  <c r="F712" i="1"/>
  <c r="D704" i="1"/>
  <c r="F704" i="1"/>
  <c r="D696" i="1"/>
  <c r="F696" i="1"/>
  <c r="D688" i="1"/>
  <c r="F688" i="1"/>
  <c r="D680" i="1"/>
  <c r="F680" i="1"/>
  <c r="D672" i="1"/>
  <c r="F672" i="1"/>
  <c r="D664" i="1"/>
  <c r="F664" i="1"/>
  <c r="D656" i="1"/>
  <c r="F656" i="1"/>
  <c r="D648" i="1"/>
  <c r="F648" i="1"/>
  <c r="D640" i="1"/>
  <c r="F640" i="1"/>
  <c r="D632" i="1"/>
  <c r="F632" i="1"/>
  <c r="D624" i="1"/>
  <c r="F624" i="1"/>
  <c r="D616" i="1"/>
  <c r="F616" i="1"/>
  <c r="D608" i="1"/>
  <c r="F608" i="1"/>
  <c r="D600" i="1"/>
  <c r="F600" i="1"/>
  <c r="D592" i="1"/>
  <c r="F592" i="1"/>
  <c r="D584" i="1"/>
  <c r="F584" i="1"/>
  <c r="D576" i="1"/>
  <c r="F576" i="1"/>
  <c r="D568" i="1"/>
  <c r="F568" i="1"/>
  <c r="D560" i="1"/>
  <c r="F560" i="1"/>
  <c r="D552" i="1"/>
  <c r="F552" i="1"/>
  <c r="D544" i="1"/>
  <c r="F544" i="1"/>
  <c r="D536" i="1"/>
  <c r="F536" i="1"/>
  <c r="D528" i="1"/>
  <c r="F528" i="1"/>
  <c r="D520" i="1"/>
  <c r="F520" i="1"/>
  <c r="D512" i="1"/>
  <c r="F512" i="1"/>
  <c r="D504" i="1"/>
  <c r="F504" i="1"/>
  <c r="D496" i="1"/>
  <c r="F496" i="1"/>
  <c r="D488" i="1"/>
  <c r="F488" i="1"/>
  <c r="D480" i="1"/>
  <c r="F480" i="1"/>
  <c r="D472" i="1"/>
  <c r="F472" i="1"/>
  <c r="D464" i="1"/>
  <c r="F464" i="1"/>
  <c r="D456" i="1"/>
  <c r="F456" i="1"/>
  <c r="D448" i="1"/>
  <c r="F448" i="1"/>
  <c r="D440" i="1"/>
  <c r="F440" i="1"/>
  <c r="D432" i="1"/>
  <c r="F432" i="1"/>
  <c r="D424" i="1"/>
  <c r="F424" i="1"/>
  <c r="D416" i="1"/>
  <c r="F416" i="1"/>
  <c r="D408" i="1"/>
  <c r="F408" i="1"/>
  <c r="D400" i="1"/>
  <c r="F400" i="1"/>
  <c r="D392" i="1"/>
  <c r="F392" i="1"/>
  <c r="D384" i="1"/>
  <c r="F384" i="1"/>
  <c r="D376" i="1"/>
  <c r="F376" i="1"/>
  <c r="D368" i="1"/>
  <c r="F368" i="1"/>
  <c r="D360" i="1"/>
  <c r="F360" i="1"/>
  <c r="D352" i="1"/>
  <c r="F352" i="1"/>
  <c r="D344" i="1"/>
  <c r="F344" i="1"/>
  <c r="D336" i="1"/>
  <c r="F336" i="1"/>
  <c r="D328" i="1"/>
  <c r="F328" i="1"/>
  <c r="D320" i="1"/>
  <c r="F320" i="1"/>
  <c r="D312" i="1"/>
  <c r="F312" i="1"/>
  <c r="D304" i="1"/>
  <c r="F304" i="1"/>
  <c r="D296" i="1"/>
  <c r="F296" i="1"/>
  <c r="D288" i="1"/>
  <c r="F288" i="1"/>
  <c r="D280" i="1"/>
  <c r="F280" i="1"/>
  <c r="D272" i="1"/>
  <c r="F272" i="1"/>
  <c r="D264" i="1"/>
  <c r="F264" i="1"/>
  <c r="D256" i="1"/>
  <c r="F256" i="1"/>
  <c r="D248" i="1"/>
  <c r="F248" i="1"/>
  <c r="D240" i="1"/>
  <c r="F240" i="1"/>
  <c r="D232" i="1"/>
  <c r="F232" i="1"/>
  <c r="D224" i="1"/>
  <c r="F224" i="1"/>
  <c r="D216" i="1"/>
  <c r="F216" i="1"/>
  <c r="D208" i="1"/>
  <c r="F208" i="1"/>
  <c r="D200" i="1"/>
  <c r="F200" i="1"/>
  <c r="D192" i="1"/>
  <c r="F192" i="1"/>
  <c r="D184" i="1"/>
  <c r="F184" i="1"/>
  <c r="D176" i="1"/>
  <c r="F176" i="1"/>
  <c r="D168" i="1"/>
  <c r="F168" i="1"/>
  <c r="D160" i="1"/>
  <c r="F160" i="1"/>
  <c r="D152" i="1"/>
  <c r="F152" i="1"/>
  <c r="D144" i="1"/>
  <c r="F144" i="1"/>
  <c r="D136" i="1"/>
  <c r="F136" i="1"/>
  <c r="D128" i="1"/>
  <c r="F128" i="1"/>
  <c r="D120" i="1"/>
  <c r="F120" i="1"/>
  <c r="D112" i="1"/>
  <c r="F112" i="1"/>
  <c r="D104" i="1"/>
  <c r="F104" i="1"/>
  <c r="D96" i="1"/>
  <c r="F96" i="1"/>
  <c r="D88" i="1"/>
  <c r="F88" i="1"/>
  <c r="D80" i="1"/>
  <c r="F80" i="1"/>
  <c r="D72" i="1"/>
  <c r="F72" i="1"/>
  <c r="D64" i="1"/>
  <c r="F64" i="1"/>
  <c r="D56" i="1"/>
  <c r="F56" i="1"/>
  <c r="D48" i="1"/>
  <c r="F48" i="1"/>
  <c r="D40" i="1"/>
  <c r="F40" i="1"/>
  <c r="D32" i="1"/>
  <c r="F32" i="1"/>
  <c r="D24" i="1"/>
  <c r="F24" i="1"/>
  <c r="D16" i="1"/>
  <c r="F16" i="1"/>
  <c r="D8" i="1"/>
  <c r="F8" i="1"/>
  <c r="D1759" i="1"/>
  <c r="F1759" i="1"/>
  <c r="D1751" i="1"/>
  <c r="F1751" i="1"/>
  <c r="D1743" i="1"/>
  <c r="F1743" i="1"/>
  <c r="D1735" i="1"/>
  <c r="F1735" i="1"/>
  <c r="D1727" i="1"/>
  <c r="F1727" i="1"/>
  <c r="D1719" i="1"/>
  <c r="F1719" i="1"/>
  <c r="D1711" i="1"/>
  <c r="F1711" i="1"/>
  <c r="D1703" i="1"/>
  <c r="F1703" i="1"/>
  <c r="D1695" i="1"/>
  <c r="F1695" i="1"/>
  <c r="D1687" i="1"/>
  <c r="F1687" i="1"/>
  <c r="D1679" i="1"/>
  <c r="F1679" i="1"/>
  <c r="D1671" i="1"/>
  <c r="F1671" i="1"/>
  <c r="D1663" i="1"/>
  <c r="F1663" i="1"/>
  <c r="D1655" i="1"/>
  <c r="F1655" i="1"/>
  <c r="D1647" i="1"/>
  <c r="F1647" i="1"/>
  <c r="D1639" i="1"/>
  <c r="F1639" i="1"/>
  <c r="D1631" i="1"/>
  <c r="F1631" i="1"/>
  <c r="D1623" i="1"/>
  <c r="F1623" i="1"/>
  <c r="D1615" i="1"/>
  <c r="F1615" i="1"/>
  <c r="D1607" i="1"/>
  <c r="F1607" i="1"/>
  <c r="D1599" i="1"/>
  <c r="F1599" i="1"/>
  <c r="D1591" i="1"/>
  <c r="F1591" i="1"/>
  <c r="D1583" i="1"/>
  <c r="F1583" i="1"/>
  <c r="D1575" i="1"/>
  <c r="F1575" i="1"/>
  <c r="D1567" i="1"/>
  <c r="F1567" i="1"/>
  <c r="D1559" i="1"/>
  <c r="F1559" i="1"/>
  <c r="D1551" i="1"/>
  <c r="F1551" i="1"/>
  <c r="D1543" i="1"/>
  <c r="F1543" i="1"/>
  <c r="D1535" i="1"/>
  <c r="F1535" i="1"/>
  <c r="D1527" i="1"/>
  <c r="F1527" i="1"/>
  <c r="D1519" i="1"/>
  <c r="F1519" i="1"/>
  <c r="D1511" i="1"/>
  <c r="F1511" i="1"/>
  <c r="D1503" i="1"/>
  <c r="F1503" i="1"/>
  <c r="D1495" i="1"/>
  <c r="F1495" i="1"/>
  <c r="D1487" i="1"/>
  <c r="F1487" i="1"/>
  <c r="D1479" i="1"/>
  <c r="F1479" i="1"/>
  <c r="D1471" i="1"/>
  <c r="F1471" i="1"/>
  <c r="D1463" i="1"/>
  <c r="F1463" i="1"/>
  <c r="D1455" i="1"/>
  <c r="F1455" i="1"/>
  <c r="D1447" i="1"/>
  <c r="F1447" i="1"/>
  <c r="D1439" i="1"/>
  <c r="F1439" i="1"/>
  <c r="D1431" i="1"/>
  <c r="F1431" i="1"/>
  <c r="D1423" i="1"/>
  <c r="F1423" i="1"/>
  <c r="D1415" i="1"/>
  <c r="F1415" i="1"/>
  <c r="D1407" i="1"/>
  <c r="F1407" i="1"/>
  <c r="D1399" i="1"/>
  <c r="F1399" i="1"/>
  <c r="D1391" i="1"/>
  <c r="F1391" i="1"/>
  <c r="D1383" i="1"/>
  <c r="F1383" i="1"/>
  <c r="D1375" i="1"/>
  <c r="F1375" i="1"/>
  <c r="D1367" i="1"/>
  <c r="F1367" i="1"/>
  <c r="D1359" i="1"/>
  <c r="F1359" i="1"/>
  <c r="D1351" i="1"/>
  <c r="F1351" i="1"/>
  <c r="D1343" i="1"/>
  <c r="F1343" i="1"/>
  <c r="D1335" i="1"/>
  <c r="F1335" i="1"/>
  <c r="D1327" i="1"/>
  <c r="F1327" i="1"/>
  <c r="D1319" i="1"/>
  <c r="F1319" i="1"/>
  <c r="D1311" i="1"/>
  <c r="F1311" i="1"/>
  <c r="D1303" i="1"/>
  <c r="F1303" i="1"/>
  <c r="D1295" i="1"/>
  <c r="F1295" i="1"/>
  <c r="D1287" i="1"/>
  <c r="F1287" i="1"/>
  <c r="D1279" i="1"/>
  <c r="F1279" i="1"/>
  <c r="D1271" i="1"/>
  <c r="F1271" i="1"/>
  <c r="D1263" i="1"/>
  <c r="F1263" i="1"/>
  <c r="D1255" i="1"/>
  <c r="F1255" i="1"/>
  <c r="D1247" i="1"/>
  <c r="F1247" i="1"/>
  <c r="D1239" i="1"/>
  <c r="F1239" i="1"/>
  <c r="D1231" i="1"/>
  <c r="F1231" i="1"/>
  <c r="D1223" i="1"/>
  <c r="F1223" i="1"/>
  <c r="D1215" i="1"/>
  <c r="F1215" i="1"/>
  <c r="D1207" i="1"/>
  <c r="F1207" i="1"/>
  <c r="D1199" i="1"/>
  <c r="F1199" i="1"/>
  <c r="D1191" i="1"/>
  <c r="F1191" i="1"/>
  <c r="D1183" i="1"/>
  <c r="F1183" i="1"/>
  <c r="D1175" i="1"/>
  <c r="F1175" i="1"/>
  <c r="D1167" i="1"/>
  <c r="F1167" i="1"/>
  <c r="D1159" i="1"/>
  <c r="F1159" i="1"/>
  <c r="D1151" i="1"/>
  <c r="F1151" i="1"/>
  <c r="D1143" i="1"/>
  <c r="F1143" i="1"/>
  <c r="D1135" i="1"/>
  <c r="F1135" i="1"/>
  <c r="D1127" i="1"/>
  <c r="F1127" i="1"/>
  <c r="D1119" i="1"/>
  <c r="F1119" i="1"/>
  <c r="D1111" i="1"/>
  <c r="F1111" i="1"/>
  <c r="D1103" i="1"/>
  <c r="F1103" i="1"/>
  <c r="D1095" i="1"/>
  <c r="F1095" i="1"/>
  <c r="D1087" i="1"/>
  <c r="F1087" i="1"/>
  <c r="D1079" i="1"/>
  <c r="F1079" i="1"/>
  <c r="D1071" i="1"/>
  <c r="F1071" i="1"/>
  <c r="D1063" i="1"/>
  <c r="F1063" i="1"/>
  <c r="D1055" i="1"/>
  <c r="F1055" i="1"/>
  <c r="D1047" i="1"/>
  <c r="F1047" i="1"/>
  <c r="D1039" i="1"/>
  <c r="F1039" i="1"/>
  <c r="D1031" i="1"/>
  <c r="F1031" i="1"/>
  <c r="D1023" i="1"/>
  <c r="F1023" i="1"/>
  <c r="D1015" i="1"/>
  <c r="F1015" i="1"/>
  <c r="D1007" i="1"/>
  <c r="F1007" i="1"/>
  <c r="D999" i="1"/>
  <c r="F999" i="1"/>
  <c r="D991" i="1"/>
  <c r="F991" i="1"/>
  <c r="D983" i="1"/>
  <c r="F983" i="1"/>
  <c r="D975" i="1"/>
  <c r="F975" i="1"/>
  <c r="D967" i="1"/>
  <c r="F967" i="1"/>
  <c r="D959" i="1"/>
  <c r="F959" i="1"/>
  <c r="D951" i="1"/>
  <c r="F951" i="1"/>
  <c r="D943" i="1"/>
  <c r="F943" i="1"/>
  <c r="D935" i="1"/>
  <c r="F935" i="1"/>
  <c r="D927" i="1"/>
  <c r="F927" i="1"/>
  <c r="D919" i="1"/>
  <c r="F919" i="1"/>
  <c r="D911" i="1"/>
  <c r="F911" i="1"/>
  <c r="D903" i="1"/>
  <c r="F903" i="1"/>
  <c r="D895" i="1"/>
  <c r="F895" i="1"/>
  <c r="D887" i="1"/>
  <c r="F887" i="1"/>
  <c r="D879" i="1"/>
  <c r="F879" i="1"/>
  <c r="D871" i="1"/>
  <c r="F871" i="1"/>
  <c r="D863" i="1"/>
  <c r="F863" i="1"/>
  <c r="D855" i="1"/>
  <c r="F855" i="1"/>
  <c r="D847" i="1"/>
  <c r="F847" i="1"/>
  <c r="D839" i="1"/>
  <c r="F839" i="1"/>
  <c r="D831" i="1"/>
  <c r="F831" i="1"/>
  <c r="D823" i="1"/>
  <c r="F823" i="1"/>
  <c r="D815" i="1"/>
  <c r="F815" i="1"/>
  <c r="D807" i="1"/>
  <c r="F807" i="1"/>
  <c r="D799" i="1"/>
  <c r="F799" i="1"/>
  <c r="D791" i="1"/>
  <c r="F791" i="1"/>
  <c r="D783" i="1"/>
  <c r="F783" i="1"/>
  <c r="D775" i="1"/>
  <c r="F775" i="1"/>
  <c r="D767" i="1"/>
  <c r="F767" i="1"/>
  <c r="D759" i="1"/>
  <c r="F759" i="1"/>
  <c r="D751" i="1"/>
  <c r="F751" i="1"/>
  <c r="D743" i="1"/>
  <c r="F743" i="1"/>
  <c r="D735" i="1"/>
  <c r="F735" i="1"/>
  <c r="D727" i="1"/>
  <c r="F727" i="1"/>
  <c r="D719" i="1"/>
  <c r="F719" i="1"/>
  <c r="D711" i="1"/>
  <c r="F711" i="1"/>
  <c r="D703" i="1"/>
  <c r="F703" i="1"/>
  <c r="D695" i="1"/>
  <c r="F695" i="1"/>
  <c r="D687" i="1"/>
  <c r="F687" i="1"/>
  <c r="D679" i="1"/>
  <c r="F679" i="1"/>
  <c r="D671" i="1"/>
  <c r="F671" i="1"/>
  <c r="D663" i="1"/>
  <c r="F663" i="1"/>
  <c r="D655" i="1"/>
  <c r="F655" i="1"/>
  <c r="D647" i="1"/>
  <c r="F647" i="1"/>
  <c r="D639" i="1"/>
  <c r="F639" i="1"/>
  <c r="D631" i="1"/>
  <c r="F631" i="1"/>
  <c r="D623" i="1"/>
  <c r="F623" i="1"/>
  <c r="D615" i="1"/>
  <c r="F615" i="1"/>
  <c r="D607" i="1"/>
  <c r="F607" i="1"/>
  <c r="D599" i="1"/>
  <c r="F599" i="1"/>
  <c r="D591" i="1"/>
  <c r="F591" i="1"/>
  <c r="D583" i="1"/>
  <c r="F583" i="1"/>
  <c r="D575" i="1"/>
  <c r="F575" i="1"/>
  <c r="D567" i="1"/>
  <c r="F567" i="1"/>
  <c r="D559" i="1"/>
  <c r="F559" i="1"/>
  <c r="D551" i="1"/>
  <c r="F551" i="1"/>
  <c r="D543" i="1"/>
  <c r="F543" i="1"/>
  <c r="D535" i="1"/>
  <c r="F535" i="1"/>
  <c r="D527" i="1"/>
  <c r="F527" i="1"/>
  <c r="D519" i="1"/>
  <c r="F519" i="1"/>
  <c r="D511" i="1"/>
  <c r="F511" i="1"/>
  <c r="D503" i="1"/>
  <c r="F503" i="1"/>
  <c r="D495" i="1"/>
  <c r="F495" i="1"/>
  <c r="D487" i="1"/>
  <c r="F487" i="1"/>
  <c r="D479" i="1"/>
  <c r="F479" i="1"/>
  <c r="D471" i="1"/>
  <c r="F471" i="1"/>
  <c r="D463" i="1"/>
  <c r="F463" i="1"/>
  <c r="D455" i="1"/>
  <c r="F455" i="1"/>
  <c r="D447" i="1"/>
  <c r="F447" i="1"/>
  <c r="D439" i="1"/>
  <c r="F439" i="1"/>
  <c r="D431" i="1"/>
  <c r="F431" i="1"/>
  <c r="D423" i="1"/>
  <c r="F423" i="1"/>
  <c r="D415" i="1"/>
  <c r="F415" i="1"/>
  <c r="D407" i="1"/>
  <c r="F407" i="1"/>
  <c r="D399" i="1"/>
  <c r="F399" i="1"/>
  <c r="D391" i="1"/>
  <c r="F391" i="1"/>
  <c r="D383" i="1"/>
  <c r="F383" i="1"/>
  <c r="D375" i="1"/>
  <c r="F375" i="1"/>
  <c r="D367" i="1"/>
  <c r="F367" i="1"/>
  <c r="D359" i="1"/>
  <c r="F359" i="1"/>
  <c r="D351" i="1"/>
  <c r="F351" i="1"/>
  <c r="D343" i="1"/>
  <c r="F343" i="1"/>
  <c r="D335" i="1"/>
  <c r="F335" i="1"/>
  <c r="D327" i="1"/>
  <c r="F327" i="1"/>
  <c r="D319" i="1"/>
  <c r="F319" i="1"/>
  <c r="D311" i="1"/>
  <c r="F311" i="1"/>
  <c r="D303" i="1"/>
  <c r="F303" i="1"/>
  <c r="D295" i="1"/>
  <c r="F295" i="1"/>
  <c r="D287" i="1"/>
  <c r="F287" i="1"/>
  <c r="D279" i="1"/>
  <c r="F279" i="1"/>
  <c r="D271" i="1"/>
  <c r="F271" i="1"/>
  <c r="D263" i="1"/>
  <c r="F263" i="1"/>
  <c r="D255" i="1"/>
  <c r="F255" i="1"/>
  <c r="D247" i="1"/>
  <c r="F247" i="1"/>
  <c r="D239" i="1"/>
  <c r="F239" i="1"/>
  <c r="D231" i="1"/>
  <c r="F231" i="1"/>
  <c r="D223" i="1"/>
  <c r="F223" i="1"/>
  <c r="D215" i="1"/>
  <c r="F215" i="1"/>
  <c r="D207" i="1"/>
  <c r="F207" i="1"/>
  <c r="D199" i="1"/>
  <c r="F199" i="1"/>
  <c r="D191" i="1"/>
  <c r="F191" i="1"/>
  <c r="D183" i="1"/>
  <c r="F183" i="1"/>
  <c r="D175" i="1"/>
  <c r="F175" i="1"/>
  <c r="D167" i="1"/>
  <c r="F167" i="1"/>
  <c r="D159" i="1"/>
  <c r="F159" i="1"/>
  <c r="D151" i="1"/>
  <c r="F151" i="1"/>
  <c r="D143" i="1"/>
  <c r="F143" i="1"/>
  <c r="D135" i="1"/>
  <c r="F135" i="1"/>
  <c r="D127" i="1"/>
  <c r="F127" i="1"/>
  <c r="D119" i="1"/>
  <c r="F119" i="1"/>
  <c r="D111" i="1"/>
  <c r="F111" i="1"/>
  <c r="D103" i="1"/>
  <c r="F103" i="1"/>
  <c r="D95" i="1"/>
  <c r="F95" i="1"/>
  <c r="D87" i="1"/>
  <c r="F87" i="1"/>
  <c r="D79" i="1"/>
  <c r="F79" i="1"/>
  <c r="D71" i="1"/>
  <c r="F71" i="1"/>
  <c r="D63" i="1"/>
  <c r="F63" i="1"/>
  <c r="D55" i="1"/>
  <c r="F55" i="1"/>
  <c r="D47" i="1"/>
  <c r="F47" i="1"/>
  <c r="D39" i="1"/>
  <c r="F39" i="1"/>
  <c r="D31" i="1"/>
  <c r="F31" i="1"/>
  <c r="D23" i="1"/>
  <c r="F23" i="1"/>
  <c r="D15" i="1"/>
  <c r="F15" i="1"/>
  <c r="D7" i="1"/>
  <c r="F7" i="1"/>
  <c r="D1798" i="1"/>
  <c r="F1798" i="1"/>
  <c r="D1790" i="1"/>
  <c r="F1790" i="1"/>
  <c r="D1782" i="1"/>
  <c r="F1782" i="1"/>
  <c r="D1774" i="1"/>
  <c r="F1774" i="1"/>
  <c r="D1766" i="1"/>
  <c r="F1766" i="1"/>
  <c r="D1758" i="1"/>
  <c r="F1758" i="1"/>
  <c r="D1750" i="1"/>
  <c r="F1750" i="1"/>
  <c r="D1742" i="1"/>
  <c r="F1742" i="1"/>
  <c r="D1734" i="1"/>
  <c r="F1734" i="1"/>
  <c r="D1726" i="1"/>
  <c r="F1726" i="1"/>
  <c r="D1718" i="1"/>
  <c r="F1718" i="1"/>
  <c r="D1710" i="1"/>
  <c r="F1710" i="1"/>
  <c r="D1702" i="1"/>
  <c r="F1702" i="1"/>
  <c r="D1694" i="1"/>
  <c r="F1694" i="1"/>
  <c r="D1686" i="1"/>
  <c r="F1686" i="1"/>
  <c r="D1678" i="1"/>
  <c r="F1678" i="1"/>
  <c r="D1670" i="1"/>
  <c r="F1670" i="1"/>
  <c r="D1662" i="1"/>
  <c r="F1662" i="1"/>
  <c r="D1654" i="1"/>
  <c r="F1654" i="1"/>
  <c r="D1646" i="1"/>
  <c r="F1646" i="1"/>
  <c r="D1638" i="1"/>
  <c r="F1638" i="1"/>
  <c r="D1630" i="1"/>
  <c r="F1630" i="1"/>
  <c r="D1622" i="1"/>
  <c r="F1622" i="1"/>
  <c r="D1614" i="1"/>
  <c r="F1614" i="1"/>
  <c r="D1606" i="1"/>
  <c r="F1606" i="1"/>
  <c r="D1598" i="1"/>
  <c r="F1598" i="1"/>
  <c r="D1590" i="1"/>
  <c r="F1590" i="1"/>
  <c r="D1582" i="1"/>
  <c r="F1582" i="1"/>
  <c r="D1574" i="1"/>
  <c r="F1574" i="1"/>
  <c r="D1566" i="1"/>
  <c r="F1566" i="1"/>
  <c r="D1558" i="1"/>
  <c r="F1558" i="1"/>
  <c r="D1550" i="1"/>
  <c r="F1550" i="1"/>
  <c r="D1542" i="1"/>
  <c r="F1542" i="1"/>
  <c r="D1534" i="1"/>
  <c r="F1534" i="1"/>
  <c r="D1526" i="1"/>
  <c r="F1526" i="1"/>
  <c r="D1518" i="1"/>
  <c r="F1518" i="1"/>
  <c r="D1510" i="1"/>
  <c r="F1510" i="1"/>
  <c r="D1502" i="1"/>
  <c r="F1502" i="1"/>
  <c r="D1494" i="1"/>
  <c r="F1494" i="1"/>
  <c r="D1486" i="1"/>
  <c r="F1486" i="1"/>
  <c r="D1478" i="1"/>
  <c r="F1478" i="1"/>
  <c r="D1470" i="1"/>
  <c r="F1470" i="1"/>
  <c r="D1462" i="1"/>
  <c r="F1462" i="1"/>
  <c r="D1454" i="1"/>
  <c r="F1454" i="1"/>
  <c r="D1446" i="1"/>
  <c r="F1446" i="1"/>
  <c r="D1438" i="1"/>
  <c r="F1438" i="1"/>
  <c r="D1430" i="1"/>
  <c r="F1430" i="1"/>
  <c r="D1422" i="1"/>
  <c r="F1422" i="1"/>
  <c r="D1414" i="1"/>
  <c r="F1414" i="1"/>
  <c r="D1406" i="1"/>
  <c r="F1406" i="1"/>
  <c r="D1398" i="1"/>
  <c r="F1398" i="1"/>
  <c r="D1390" i="1"/>
  <c r="F1390" i="1"/>
  <c r="D1382" i="1"/>
  <c r="F1382" i="1"/>
  <c r="D1374" i="1"/>
  <c r="F1374" i="1"/>
  <c r="D1366" i="1"/>
  <c r="F1366" i="1"/>
  <c r="D1358" i="1"/>
  <c r="F1358" i="1"/>
  <c r="D1350" i="1"/>
  <c r="F1350" i="1"/>
  <c r="D1342" i="1"/>
  <c r="F1342" i="1"/>
  <c r="D1334" i="1"/>
  <c r="F1334" i="1"/>
  <c r="D1326" i="1"/>
  <c r="F1326" i="1"/>
  <c r="D1318" i="1"/>
  <c r="F1318" i="1"/>
  <c r="D1310" i="1"/>
  <c r="F1310" i="1"/>
  <c r="D1302" i="1"/>
  <c r="F1302" i="1"/>
  <c r="D1294" i="1"/>
  <c r="F1294" i="1"/>
  <c r="D1286" i="1"/>
  <c r="F1286" i="1"/>
  <c r="D1278" i="1"/>
  <c r="F1278" i="1"/>
  <c r="D1270" i="1"/>
  <c r="F1270" i="1"/>
  <c r="D1262" i="1"/>
  <c r="F1262" i="1"/>
  <c r="D1254" i="1"/>
  <c r="F1254" i="1"/>
  <c r="D1246" i="1"/>
  <c r="F1246" i="1"/>
  <c r="D1238" i="1"/>
  <c r="F1238" i="1"/>
  <c r="D1230" i="1"/>
  <c r="F1230" i="1"/>
  <c r="D1222" i="1"/>
  <c r="F1222" i="1"/>
  <c r="D1214" i="1"/>
  <c r="F1214" i="1"/>
  <c r="D1206" i="1"/>
  <c r="F1206" i="1"/>
  <c r="D1198" i="1"/>
  <c r="F1198" i="1"/>
  <c r="D1190" i="1"/>
  <c r="F1190" i="1"/>
  <c r="D1182" i="1"/>
  <c r="F1182" i="1"/>
  <c r="D1174" i="1"/>
  <c r="F1174" i="1"/>
  <c r="D1166" i="1"/>
  <c r="F1166" i="1"/>
  <c r="D1158" i="1"/>
  <c r="F1158" i="1"/>
  <c r="D1150" i="1"/>
  <c r="F1150" i="1"/>
  <c r="D1142" i="1"/>
  <c r="F1142" i="1"/>
  <c r="D1134" i="1"/>
  <c r="F1134" i="1"/>
  <c r="D1126" i="1"/>
  <c r="F1126" i="1"/>
  <c r="D1118" i="1"/>
  <c r="F1118" i="1"/>
  <c r="D1110" i="1"/>
  <c r="F1110" i="1"/>
  <c r="D1102" i="1"/>
  <c r="F1102" i="1"/>
  <c r="D1094" i="1"/>
  <c r="F1094" i="1"/>
  <c r="D1086" i="1"/>
  <c r="F1086" i="1"/>
  <c r="D1078" i="1"/>
  <c r="F1078" i="1"/>
  <c r="D1070" i="1"/>
  <c r="F1070" i="1"/>
  <c r="D1062" i="1"/>
  <c r="F1062" i="1"/>
  <c r="D1054" i="1"/>
  <c r="F1054" i="1"/>
  <c r="D1046" i="1"/>
  <c r="F1046" i="1"/>
  <c r="D1038" i="1"/>
  <c r="F1038" i="1"/>
  <c r="D1030" i="1"/>
  <c r="F1030" i="1"/>
  <c r="D1022" i="1"/>
  <c r="F1022" i="1"/>
  <c r="D1014" i="1"/>
  <c r="F1014" i="1"/>
  <c r="D1006" i="1"/>
  <c r="F1006" i="1"/>
  <c r="D998" i="1"/>
  <c r="F998" i="1"/>
  <c r="D990" i="1"/>
  <c r="F990" i="1"/>
  <c r="D982" i="1"/>
  <c r="F982" i="1"/>
  <c r="D974" i="1"/>
  <c r="F974" i="1"/>
  <c r="D966" i="1"/>
  <c r="F966" i="1"/>
  <c r="D958" i="1"/>
  <c r="F958" i="1"/>
  <c r="D950" i="1"/>
  <c r="F950" i="1"/>
  <c r="D942" i="1"/>
  <c r="F942" i="1"/>
  <c r="D934" i="1"/>
  <c r="F934" i="1"/>
  <c r="D926" i="1"/>
  <c r="F926" i="1"/>
  <c r="D918" i="1"/>
  <c r="F918" i="1"/>
  <c r="D910" i="1"/>
  <c r="F910" i="1"/>
  <c r="D902" i="1"/>
  <c r="F902" i="1"/>
  <c r="D894" i="1"/>
  <c r="F894" i="1"/>
  <c r="D886" i="1"/>
  <c r="F886" i="1"/>
  <c r="D878" i="1"/>
  <c r="F878" i="1"/>
  <c r="D870" i="1"/>
  <c r="F870" i="1"/>
  <c r="D862" i="1"/>
  <c r="F862" i="1"/>
  <c r="D854" i="1"/>
  <c r="F854" i="1"/>
  <c r="D846" i="1"/>
  <c r="F846" i="1"/>
  <c r="D838" i="1"/>
  <c r="F838" i="1"/>
  <c r="D830" i="1"/>
  <c r="F830" i="1"/>
  <c r="D822" i="1"/>
  <c r="F822" i="1"/>
  <c r="D814" i="1"/>
  <c r="F814" i="1"/>
  <c r="D806" i="1"/>
  <c r="F806" i="1"/>
  <c r="D798" i="1"/>
  <c r="F798" i="1"/>
  <c r="D790" i="1"/>
  <c r="F790" i="1"/>
  <c r="D782" i="1"/>
  <c r="F782" i="1"/>
  <c r="D774" i="1"/>
  <c r="F774" i="1"/>
  <c r="D766" i="1"/>
  <c r="F766" i="1"/>
  <c r="D758" i="1"/>
  <c r="F758" i="1"/>
  <c r="D750" i="1"/>
  <c r="F750" i="1"/>
  <c r="D742" i="1"/>
  <c r="F742" i="1"/>
  <c r="D734" i="1"/>
  <c r="F734" i="1"/>
  <c r="D726" i="1"/>
  <c r="F726" i="1"/>
  <c r="D718" i="1"/>
  <c r="F718" i="1"/>
  <c r="D710" i="1"/>
  <c r="F710" i="1"/>
  <c r="D702" i="1"/>
  <c r="F702" i="1"/>
  <c r="D694" i="1"/>
  <c r="F694" i="1"/>
  <c r="D686" i="1"/>
  <c r="F686" i="1"/>
  <c r="D678" i="1"/>
  <c r="F678" i="1"/>
  <c r="D670" i="1"/>
  <c r="F670" i="1"/>
  <c r="D662" i="1"/>
  <c r="F662" i="1"/>
  <c r="D654" i="1"/>
  <c r="F654" i="1"/>
  <c r="D646" i="1"/>
  <c r="F646" i="1"/>
  <c r="D638" i="1"/>
  <c r="F638" i="1"/>
  <c r="D630" i="1"/>
  <c r="F630" i="1"/>
  <c r="D622" i="1"/>
  <c r="F622" i="1"/>
  <c r="D614" i="1"/>
  <c r="F614" i="1"/>
  <c r="D606" i="1"/>
  <c r="F606" i="1"/>
  <c r="D598" i="1"/>
  <c r="F598" i="1"/>
  <c r="D590" i="1"/>
  <c r="F590" i="1"/>
  <c r="D582" i="1"/>
  <c r="F582" i="1"/>
  <c r="D574" i="1"/>
  <c r="F574" i="1"/>
  <c r="D566" i="1"/>
  <c r="F566" i="1"/>
  <c r="D558" i="1"/>
  <c r="F558" i="1"/>
  <c r="D550" i="1"/>
  <c r="F550" i="1"/>
  <c r="D542" i="1"/>
  <c r="F542" i="1"/>
  <c r="D534" i="1"/>
  <c r="F534" i="1"/>
  <c r="D526" i="1"/>
  <c r="F526" i="1"/>
  <c r="D518" i="1"/>
  <c r="F518" i="1"/>
  <c r="D510" i="1"/>
  <c r="F510" i="1"/>
  <c r="D502" i="1"/>
  <c r="F502" i="1"/>
  <c r="D494" i="1"/>
  <c r="F494" i="1"/>
  <c r="D486" i="1"/>
  <c r="F486" i="1"/>
  <c r="D478" i="1"/>
  <c r="F478" i="1"/>
  <c r="D470" i="1"/>
  <c r="F470" i="1"/>
  <c r="D462" i="1"/>
  <c r="F462" i="1"/>
  <c r="D454" i="1"/>
  <c r="F454" i="1"/>
  <c r="D446" i="1"/>
  <c r="F446" i="1"/>
  <c r="D438" i="1"/>
  <c r="F438" i="1"/>
  <c r="D430" i="1"/>
  <c r="F430" i="1"/>
  <c r="D422" i="1"/>
  <c r="F422" i="1"/>
  <c r="D414" i="1"/>
  <c r="F414" i="1"/>
  <c r="D406" i="1"/>
  <c r="F406" i="1"/>
  <c r="D398" i="1"/>
  <c r="F398" i="1"/>
  <c r="D390" i="1"/>
  <c r="F390" i="1"/>
  <c r="D382" i="1"/>
  <c r="F382" i="1"/>
  <c r="D374" i="1"/>
  <c r="F374" i="1"/>
  <c r="D366" i="1"/>
  <c r="F366" i="1"/>
  <c r="D358" i="1"/>
  <c r="F358" i="1"/>
  <c r="D350" i="1"/>
  <c r="F350" i="1"/>
  <c r="D342" i="1"/>
  <c r="F342" i="1"/>
  <c r="D334" i="1"/>
  <c r="F334" i="1"/>
  <c r="D326" i="1"/>
  <c r="F326" i="1"/>
  <c r="D318" i="1"/>
  <c r="F318" i="1"/>
  <c r="D310" i="1"/>
  <c r="F310" i="1"/>
  <c r="D302" i="1"/>
  <c r="F302" i="1"/>
  <c r="D294" i="1"/>
  <c r="F294" i="1"/>
  <c r="D286" i="1"/>
  <c r="F286" i="1"/>
  <c r="D278" i="1"/>
  <c r="F278" i="1"/>
  <c r="D270" i="1"/>
  <c r="F270" i="1"/>
  <c r="D262" i="1"/>
  <c r="F262" i="1"/>
  <c r="D254" i="1"/>
  <c r="F254" i="1"/>
  <c r="D246" i="1"/>
  <c r="F246" i="1"/>
  <c r="D238" i="1"/>
  <c r="F238" i="1"/>
  <c r="D230" i="1"/>
  <c r="F230" i="1"/>
  <c r="D222" i="1"/>
  <c r="F222" i="1"/>
  <c r="D214" i="1"/>
  <c r="F214" i="1"/>
  <c r="D206" i="1"/>
  <c r="F206" i="1"/>
  <c r="D198" i="1"/>
  <c r="F198" i="1"/>
  <c r="D190" i="1"/>
  <c r="F190" i="1"/>
  <c r="D182" i="1"/>
  <c r="F182" i="1"/>
  <c r="D174" i="1"/>
  <c r="F174" i="1"/>
  <c r="D166" i="1"/>
  <c r="F166" i="1"/>
  <c r="D158" i="1"/>
  <c r="F158" i="1"/>
  <c r="D150" i="1"/>
  <c r="F150" i="1"/>
  <c r="D142" i="1"/>
  <c r="F142" i="1"/>
  <c r="D134" i="1"/>
  <c r="F134" i="1"/>
  <c r="D126" i="1"/>
  <c r="F126" i="1"/>
  <c r="D118" i="1"/>
  <c r="F118" i="1"/>
  <c r="D110" i="1"/>
  <c r="F110" i="1"/>
  <c r="D102" i="1"/>
  <c r="F102" i="1"/>
  <c r="D94" i="1"/>
  <c r="F94" i="1"/>
  <c r="D86" i="1"/>
  <c r="F86" i="1"/>
  <c r="D78" i="1"/>
  <c r="F78" i="1"/>
  <c r="D70" i="1"/>
  <c r="F70" i="1"/>
  <c r="D62" i="1"/>
  <c r="F62" i="1"/>
  <c r="D54" i="1"/>
  <c r="F54" i="1"/>
  <c r="D46" i="1"/>
  <c r="F46" i="1"/>
  <c r="D38" i="1"/>
  <c r="F38" i="1"/>
  <c r="D30" i="1"/>
  <c r="F30" i="1"/>
  <c r="D22" i="1"/>
  <c r="F22" i="1"/>
  <c r="D14" i="1"/>
  <c r="F14" i="1"/>
  <c r="D6" i="1"/>
  <c r="F6" i="1"/>
  <c r="K590" i="1" a="1"/>
  <c r="K414" i="1" a="1"/>
  <c r="K1155" i="1" a="1"/>
  <c r="K573" i="1" a="1"/>
  <c r="K1228" i="1" a="1"/>
  <c r="K346" i="1" a="1"/>
  <c r="K1123" i="1" a="1"/>
  <c r="K503" i="1" a="1"/>
  <c r="K694" i="1" a="1"/>
  <c r="K329" i="1" a="1"/>
  <c r="K782" i="1" a="1"/>
  <c r="K83" i="1" a="1"/>
  <c r="K1611" i="1" a="1"/>
  <c r="K471" i="1" a="1"/>
  <c r="K1354" i="1" a="1"/>
  <c r="K924" i="1" a="1"/>
  <c r="K178" i="1" a="1"/>
  <c r="K583" i="1" a="1"/>
  <c r="K24" i="1" a="1"/>
  <c r="K243" i="1" a="1"/>
  <c r="K162" i="1" a="1"/>
  <c r="K546" i="1" a="1"/>
  <c r="K8" i="1" a="1"/>
  <c r="K638" i="1" a="1"/>
  <c r="K686" i="1" a="1"/>
  <c r="K543" i="1" a="1"/>
  <c r="K917" i="1" a="1"/>
  <c r="K942" i="1" a="1"/>
  <c r="K1512" i="1" a="1"/>
  <c r="K584" i="1" a="1"/>
  <c r="K995" i="1" a="1"/>
  <c r="K1002" i="1" a="1"/>
  <c r="K20" i="1" a="1"/>
  <c r="K676" i="1" a="1"/>
  <c r="K56" i="1" a="1"/>
  <c r="K391" i="1" a="1"/>
  <c r="K4" i="1" a="1"/>
  <c r="K632" i="1" a="1"/>
  <c r="K40" i="1" a="1"/>
  <c r="K317" i="1" a="1"/>
  <c r="K1005" i="1" a="1"/>
  <c r="K360" i="1" a="1"/>
  <c r="K1103" i="1" a="1"/>
  <c r="K998" i="1" a="1"/>
  <c r="K1597" i="1" a="1"/>
  <c r="K780" i="1" a="1"/>
  <c r="K1127" i="1" a="1"/>
  <c r="K955" i="1" a="1"/>
  <c r="K65" i="1" a="1"/>
  <c r="K928" i="1" a="1"/>
  <c r="K101" i="1" a="1"/>
  <c r="K964" i="1" a="1"/>
  <c r="K49" i="1" a="1"/>
  <c r="K912" i="1" a="1"/>
  <c r="K85" i="1" a="1"/>
  <c r="K172" i="1" a="1"/>
  <c r="K1254" i="1" a="1"/>
  <c r="K153" i="1" a="1"/>
  <c r="K16" i="1" a="1"/>
  <c r="K1029" i="1" a="1"/>
  <c r="K92" i="1" a="1"/>
  <c r="K781" i="1" a="1"/>
  <c r="K1371" i="1" a="1"/>
  <c r="K1169" i="1" a="1"/>
  <c r="K207" i="1" a="1"/>
  <c r="K747" i="1" a="1"/>
  <c r="K281" i="1" a="1"/>
  <c r="K793" i="1" a="1"/>
  <c r="K175" i="1" a="1"/>
  <c r="K715" i="1" a="1"/>
  <c r="K249" i="1" a="1"/>
  <c r="K238" i="1" a="1"/>
  <c r="K73" i="1" a="1"/>
  <c r="K485" i="1" a="1"/>
  <c r="K202" i="1" a="1"/>
  <c r="K1193" i="1" a="1"/>
  <c r="K229" i="1" a="1"/>
  <c r="K858" i="1" a="1"/>
  <c r="K1327" i="1" a="1"/>
  <c r="K1197" i="1" a="1"/>
  <c r="K285" i="1" a="1"/>
  <c r="K289" i="1" a="1"/>
  <c r="K379" i="1" a="1"/>
  <c r="K532" i="1" a="1"/>
  <c r="K241" i="1" a="1"/>
  <c r="K761" i="1" a="1"/>
  <c r="K347" i="1" a="1"/>
  <c r="K620" i="1" a="1"/>
  <c r="K322" i="1" a="1"/>
  <c r="K394" i="1" a="1"/>
  <c r="K460" i="1" a="1"/>
  <c r="K615" i="1" a="1"/>
  <c r="K415" i="1" a="1"/>
  <c r="K1153" i="1" a="1"/>
  <c r="K707" i="1" a="1"/>
  <c r="K709" i="1" a="1"/>
  <c r="K465" i="1" a="1"/>
  <c r="K946" i="1" a="1"/>
  <c r="K269" i="1" a="1"/>
  <c r="K982" i="1" a="1"/>
  <c r="K433" i="1" a="1"/>
  <c r="K930" i="1" a="1"/>
  <c r="K219" i="1" a="1"/>
  <c r="K823" i="1" a="1"/>
  <c r="K524" i="1" a="1"/>
  <c r="K516" i="1" a="1"/>
  <c r="K400" i="1" a="1"/>
  <c r="K1442" i="1" a="1"/>
  <c r="K173" i="1" a="1"/>
  <c r="K873" i="1" a="1"/>
  <c r="K262" i="1" a="1"/>
  <c r="K1189" i="1" a="1"/>
  <c r="K355" i="1" a="1"/>
  <c r="K563" i="1" a="1"/>
  <c r="K1877" i="1" a="1"/>
  <c r="K1104" i="1" a="1"/>
  <c r="K1642" i="1" a="1"/>
  <c r="K1089" i="1" a="1"/>
  <c r="K1073" i="1" a="1"/>
  <c r="K801" i="1" a="1"/>
  <c r="K1400" i="1" a="1"/>
  <c r="K809" i="1" a="1"/>
  <c r="K1413" i="1" a="1"/>
  <c r="K1614" i="1" a="1"/>
  <c r="K2154" i="1" a="1"/>
  <c r="K1301" i="1" a="1"/>
  <c r="K2245" i="1" a="1"/>
  <c r="K1408" i="1" a="1"/>
  <c r="K146" i="1" a="1"/>
  <c r="K212" i="1" a="1"/>
  <c r="K832" i="1" a="1"/>
  <c r="K5" i="1" a="1"/>
  <c r="K868" i="1" a="1"/>
  <c r="K196" i="1" a="1"/>
  <c r="K816" i="1" a="1"/>
  <c r="K232" i="1" a="1"/>
  <c r="K170" i="1" a="1"/>
  <c r="K945" i="1" a="1"/>
  <c r="K204" i="1" a="1"/>
  <c r="K883" i="1" a="1"/>
  <c r="K1126" i="1" a="1"/>
  <c r="K90" i="1" a="1"/>
  <c r="K619" i="1" a="1"/>
  <c r="K1154" i="1" a="1"/>
  <c r="K1128" i="1" a="1"/>
  <c r="K15" i="1" a="1"/>
  <c r="K324" i="1" a="1"/>
  <c r="K87" i="1" a="1"/>
  <c r="K508" i="1" a="1"/>
  <c r="K325" i="1" a="1"/>
  <c r="K203" i="1" a="1"/>
  <c r="K55" i="1" a="1"/>
  <c r="K127" i="1" a="1"/>
  <c r="K124" i="1" a="1"/>
  <c r="K345" i="1" a="1"/>
  <c r="K157" i="1" a="1"/>
  <c r="K735" i="1" a="1"/>
  <c r="K307" i="1" a="1"/>
  <c r="K552" i="1" a="1"/>
  <c r="K1383" i="1" a="1"/>
  <c r="K1009" i="1" a="1"/>
  <c r="K79" i="1" a="1"/>
  <c r="K498" i="1" a="1"/>
  <c r="K151" i="1" a="1"/>
  <c r="K634" i="1" a="1"/>
  <c r="K47" i="1" a="1"/>
  <c r="K421" i="1" a="1"/>
  <c r="K119" i="1" a="1"/>
  <c r="K254" i="1" a="1"/>
  <c r="K188" i="1" a="1"/>
  <c r="K473" i="1" a="1"/>
  <c r="K284" i="1" a="1"/>
  <c r="K997" i="1" a="1"/>
  <c r="K95" i="1" a="1"/>
  <c r="K734" i="1" a="1"/>
  <c r="K1235" i="1" a="1"/>
  <c r="K491" i="1" a="1"/>
  <c r="K425" i="1" a="1"/>
  <c r="K678" i="1" a="1"/>
  <c r="K99" i="1" a="1"/>
  <c r="K738" i="1" a="1"/>
  <c r="K393" i="1" a="1"/>
  <c r="K621" i="1" a="1"/>
  <c r="K468" i="1" a="1"/>
  <c r="K231" i="1" a="1"/>
  <c r="K297" i="1" a="1"/>
  <c r="K376" i="1" a="1"/>
  <c r="K553" i="1" a="1"/>
  <c r="K877" i="1" a="1"/>
  <c r="K353" i="1" a="1"/>
  <c r="K662" i="1" a="1"/>
  <c r="K625" i="1" a="1"/>
  <c r="K1534" i="1" a="1"/>
  <c r="K336" i="1" a="1"/>
  <c r="K882" i="1" a="1"/>
  <c r="K412" i="1" a="1"/>
  <c r="K918" i="1" a="1"/>
  <c r="K287" i="1" a="1"/>
  <c r="K866" i="1" a="1"/>
  <c r="K380" i="1" a="1"/>
  <c r="K514" i="1" a="1"/>
  <c r="K637" i="1" a="1"/>
  <c r="K430" i="1" a="1"/>
  <c r="K596" i="1" a="1"/>
  <c r="K1378" i="1" a="1"/>
  <c r="K45" i="1" a="1"/>
  <c r="K1106" i="1" a="1"/>
  <c r="K7" i="1" a="1"/>
  <c r="K1312" i="1" a="1"/>
  <c r="K274" i="1" a="1"/>
  <c r="K1093" i="1" a="1"/>
  <c r="K410" i="1" a="1"/>
  <c r="K440" i="1" a="1"/>
  <c r="K179" i="1" a="1"/>
  <c r="K1061" i="1" a="1"/>
  <c r="K367" i="1" a="1"/>
  <c r="K888" i="1" a="1"/>
  <c r="K192" i="1" a="1"/>
  <c r="K548" i="1" a="1"/>
  <c r="K764" i="1" a="1"/>
  <c r="K1097" i="1" a="1"/>
  <c r="K215" i="1" a="1"/>
  <c r="K719" i="1" a="1"/>
  <c r="K908" i="1" a="1"/>
  <c r="K1501" i="1" a="1"/>
  <c r="K679" i="1" a="1"/>
  <c r="K1035" i="1" a="1"/>
  <c r="K193" i="1" a="1"/>
  <c r="K1100" i="1" a="1"/>
  <c r="K663" i="1" a="1"/>
  <c r="K1013" i="1" a="1"/>
  <c r="K699" i="1" a="1"/>
  <c r="K267" i="1" a="1"/>
  <c r="K305" i="1" a="1"/>
  <c r="K451" i="1" a="1"/>
  <c r="K769" i="1" a="1"/>
  <c r="K1360" i="1" a="1"/>
  <c r="K461" i="1" a="1"/>
  <c r="K1290" i="1" a="1"/>
  <c r="K576" i="1" a="1"/>
  <c r="K258" i="1" a="1"/>
  <c r="K351" i="1" a="1"/>
  <c r="K1875" i="1" a="1"/>
  <c r="K240" i="1" a="1"/>
  <c r="K1291" i="1" a="1"/>
  <c r="K1472" i="1" a="1"/>
  <c r="K189" i="1" a="1"/>
  <c r="K1130" i="1" a="1"/>
  <c r="K899" i="1" a="1"/>
  <c r="K1564" i="1" a="1"/>
  <c r="K991" i="1" a="1"/>
  <c r="K1643" i="1" a="1"/>
  <c r="K1647" i="1" a="1"/>
  <c r="K2366" i="1" a="1"/>
  <c r="K1748" i="1" a="1"/>
  <c r="K2439" i="1" a="1"/>
  <c r="K293" i="1" a="1"/>
  <c r="K640" i="1" a="1"/>
  <c r="K23" i="1" a="1"/>
  <c r="K354" i="1" a="1"/>
  <c r="K261" i="1" a="1"/>
  <c r="K568" i="1" a="1"/>
  <c r="K330" i="1" a="1"/>
  <c r="K339" i="1" a="1"/>
  <c r="K60" i="1" a="1"/>
  <c r="K332" i="1" a="1"/>
  <c r="K93" i="1" a="1"/>
  <c r="K1162" i="1" a="1"/>
  <c r="K169" i="1" a="1"/>
  <c r="K209" i="1" a="1"/>
  <c r="K1340" i="1" a="1"/>
  <c r="K581" i="1" a="1"/>
  <c r="K283" i="1" a="1"/>
  <c r="K423" i="1" a="1"/>
  <c r="K372" i="1" a="1"/>
  <c r="K551" i="1" a="1"/>
  <c r="K195" i="1" a="1"/>
  <c r="K306" i="1" a="1"/>
  <c r="K333" i="1" a="1"/>
  <c r="K199" i="1" a="1"/>
  <c r="K286" i="1" a="1"/>
  <c r="K554" i="1" a="1"/>
  <c r="K363" i="1" a="1"/>
  <c r="K979" i="1" a="1"/>
  <c r="K501" i="1" a="1"/>
  <c r="K993" i="1" a="1"/>
  <c r="K125" i="1" a="1"/>
  <c r="K1454" i="1" a="1"/>
  <c r="K361" i="1" a="1"/>
  <c r="K540" i="1" a="1"/>
  <c r="K436" i="1" a="1"/>
  <c r="K684" i="1" a="1"/>
  <c r="K312" i="1" a="1"/>
  <c r="K500" i="1" a="1"/>
  <c r="K404" i="1" a="1"/>
  <c r="K385" i="1" a="1"/>
  <c r="K300" i="1" a="1"/>
  <c r="K653" i="1" a="1"/>
  <c r="K489" i="1" a="1"/>
  <c r="K1087" i="1" a="1"/>
  <c r="K565" i="1" a="1"/>
  <c r="K1075" i="1" a="1"/>
  <c r="K271" i="1" a="1"/>
  <c r="K1494" i="1" a="1"/>
  <c r="K233" i="1" a="1"/>
  <c r="K850" i="1" a="1"/>
  <c r="K348" i="1" a="1"/>
  <c r="K886" i="1" a="1"/>
  <c r="K75" i="1" a="1"/>
  <c r="K834" i="1" a="1"/>
  <c r="K294" i="1" a="1"/>
  <c r="K703" i="1" a="1"/>
  <c r="K515" i="1" a="1"/>
  <c r="K855" i="1" a="1"/>
  <c r="K419" i="1" a="1"/>
  <c r="K1346" i="1" a="1"/>
  <c r="K224" i="1" a="1"/>
  <c r="K965" i="1" a="1"/>
  <c r="K174" i="1" a="1"/>
  <c r="K1241" i="1" a="1"/>
  <c r="K661" i="1" a="1"/>
  <c r="K1032" i="1" a="1"/>
  <c r="K27" i="1" a="1"/>
  <c r="K206" i="1" a="1"/>
  <c r="K290" i="1" a="1"/>
  <c r="K437" i="1" a="1"/>
  <c r="K314" i="1" a="1"/>
  <c r="K869" i="1" a="1"/>
  <c r="K230" i="1" a="1"/>
  <c r="K517" i="1" a="1"/>
  <c r="K159" i="1" a="1"/>
  <c r="K381" i="1" a="1"/>
  <c r="K59" i="1" a="1"/>
  <c r="K413" i="1" a="1"/>
  <c r="K390" i="1" a="1"/>
  <c r="K656" i="1" a="1"/>
  <c r="K46" i="1" a="1"/>
  <c r="K1406" i="1" a="1"/>
  <c r="K525" i="1" a="1"/>
  <c r="K786" i="1" a="1"/>
  <c r="K561" i="1" a="1"/>
  <c r="K822" i="1" a="1"/>
  <c r="K509" i="1" a="1"/>
  <c r="K770" i="1" a="1"/>
  <c r="K545" i="1" a="1"/>
  <c r="K506" i="1" a="1"/>
  <c r="K417" i="1" a="1"/>
  <c r="K616" i="1" a="1"/>
  <c r="K384" i="1" a="1"/>
  <c r="K1282" i="1" a="1"/>
  <c r="K96" i="1" a="1"/>
  <c r="K1146" i="1" a="1"/>
  <c r="K792" i="1" a="1"/>
  <c r="K744" i="1" a="1"/>
  <c r="K557" i="1" a="1"/>
  <c r="K818" i="1" a="1"/>
  <c r="K242" i="1" a="1"/>
  <c r="K854" i="1" a="1"/>
  <c r="K541" i="1" a="1"/>
  <c r="K802" i="1" a="1"/>
  <c r="K139" i="1" a="1"/>
  <c r="K639" i="1" a="1"/>
  <c r="K292" i="1" a="1"/>
  <c r="K791" i="1" a="1"/>
  <c r="K579" i="1" a="1"/>
  <c r="K1314" i="1" a="1"/>
  <c r="K160" i="1" a="1"/>
  <c r="K1250" i="1" a="1"/>
  <c r="K892" i="1" a="1"/>
  <c r="K1651" i="1" a="1"/>
  <c r="K629" i="1" a="1"/>
  <c r="K961" i="1" a="1"/>
  <c r="K665" i="1" a="1"/>
  <c r="K1037" i="1" a="1"/>
  <c r="K604" i="1" a="1"/>
  <c r="K897" i="1" a="1"/>
  <c r="K649" i="1" a="1"/>
  <c r="K788" i="1" a="1"/>
  <c r="K64" i="1" a="1"/>
  <c r="K968" i="1" a="1"/>
  <c r="K670" i="1" a="1"/>
  <c r="K1602" i="1" a="1"/>
  <c r="K171" i="1" a="1"/>
  <c r="K1108" i="1" a="1"/>
  <c r="K431" i="1" a="1"/>
  <c r="K1662" i="1" a="1"/>
  <c r="K601" i="1" a="1"/>
  <c r="K708" i="1" a="1"/>
  <c r="K651" i="1" a="1"/>
  <c r="K977" i="1" a="1"/>
  <c r="K569" i="1" a="1"/>
  <c r="K564" i="1" a="1"/>
  <c r="K635" i="1" a="1"/>
  <c r="K785" i="1" a="1"/>
  <c r="K295" i="1" a="1"/>
  <c r="K648" i="1" a="1"/>
  <c r="K366" i="1" a="1"/>
  <c r="K1275" i="1" a="1"/>
  <c r="K593" i="1" a="1"/>
  <c r="K1133" i="1" a="1"/>
  <c r="K807" i="1" a="1"/>
  <c r="K50" i="1" a="1"/>
  <c r="K831" i="1" a="1"/>
  <c r="K86" i="1" a="1"/>
  <c r="K867" i="1" a="1"/>
  <c r="K34" i="1" a="1"/>
  <c r="K815" i="1" a="1"/>
  <c r="K70" i="1" a="1"/>
  <c r="K851" i="1" a="1"/>
  <c r="K862" i="1" a="1"/>
  <c r="K328" i="1" a="1"/>
  <c r="K1038" i="1" a="1"/>
  <c r="K716" i="1" a="1"/>
  <c r="K1195" i="1" a="1"/>
  <c r="K811" i="1" a="1"/>
  <c r="K1514" i="1" a="1"/>
  <c r="K673" i="1" a="1"/>
  <c r="K148" i="1" a="1"/>
  <c r="K768" i="1" a="1"/>
  <c r="K184" i="1" a="1"/>
  <c r="K804" i="1" a="1"/>
  <c r="K132" i="1" a="1"/>
  <c r="K741" i="1" a="1"/>
  <c r="K168" i="1" a="1"/>
  <c r="K42" i="1" a="1"/>
  <c r="K1158" i="1" a="1"/>
  <c r="K76" i="1" a="1"/>
  <c r="K1114" i="1" a="1"/>
  <c r="K1148" i="1" a="1"/>
  <c r="K1524" i="1" a="1"/>
  <c r="K984" i="1" a="1"/>
  <c r="K1202" i="1" a="1"/>
  <c r="K1141" i="1" a="1"/>
  <c r="K407" i="1" a="1"/>
  <c r="K644" i="1" a="1"/>
  <c r="K1363" i="1" a="1"/>
  <c r="K726" i="1" a="1"/>
  <c r="K1731" i="1" a="1"/>
  <c r="K613" i="1" a="1"/>
  <c r="K1136" i="1" a="1"/>
  <c r="K1422" i="1" a="1"/>
  <c r="K1172" i="1" a="1"/>
  <c r="K2081" i="1" a="1"/>
  <c r="K1207" i="1" a="1"/>
  <c r="K2085" i="1" a="1"/>
  <c r="K2015" i="1" a="1"/>
  <c r="K2463" i="1" a="1"/>
  <c r="K2071" i="1" a="1"/>
  <c r="K2515" i="1" a="1"/>
  <c r="K493" i="1" a="1"/>
  <c r="K739" i="1" a="1"/>
  <c r="K529" i="1" a="1"/>
  <c r="K790" i="1" a="1"/>
  <c r="K470" i="1" a="1"/>
  <c r="K668" i="1" a="1"/>
  <c r="K513" i="1" a="1"/>
  <c r="K211" i="1" a="1"/>
  <c r="K257" i="1" a="1"/>
  <c r="K387" i="1" a="1"/>
  <c r="K657" i="1" a="1"/>
  <c r="K1221" i="1" a="1"/>
  <c r="K32" i="1" a="1"/>
  <c r="K1050" i="1" a="1"/>
  <c r="K349" i="1" a="1"/>
  <c r="K1214" i="1" a="1"/>
  <c r="K490" i="1" a="1"/>
  <c r="K1042" i="1" a="1"/>
  <c r="K577" i="1" a="1"/>
  <c r="K727" i="1" a="1"/>
  <c r="K432" i="1" a="1"/>
  <c r="K1026" i="1" a="1"/>
  <c r="K547" i="1" a="1"/>
  <c r="K335" i="1" a="1"/>
  <c r="K126" i="1" a="1"/>
  <c r="K860" i="1" a="1"/>
  <c r="K859" i="1" a="1"/>
  <c r="K1538" i="1" a="1"/>
  <c r="K234" i="1" a="1"/>
  <c r="K1218" i="1" a="1"/>
  <c r="K779" i="1" a="1"/>
  <c r="K1356" i="1" a="1"/>
  <c r="K572" i="1" a="1"/>
  <c r="K714" i="1" a="1"/>
  <c r="K633" i="1" a="1"/>
  <c r="K987" i="1" a="1"/>
  <c r="K528" i="1" a="1"/>
  <c r="K598" i="1" a="1"/>
  <c r="K609" i="1" a="1"/>
  <c r="K626" i="1" a="1"/>
  <c r="K190" i="1" a="1"/>
  <c r="K916" i="1" a="1"/>
  <c r="K472" i="1" a="1"/>
  <c r="K1570" i="1" a="1"/>
  <c r="K245" i="1" a="1"/>
  <c r="K957" i="1" a="1"/>
  <c r="K375" i="1" a="1"/>
  <c r="K1177" i="1" a="1"/>
  <c r="K531" i="1" a="1"/>
  <c r="K1240" i="1" a="1"/>
  <c r="K612" i="1" a="1"/>
  <c r="K721" i="1" a="1"/>
  <c r="K479" i="1" a="1"/>
  <c r="K1208" i="1" a="1"/>
  <c r="K580" i="1" a="1"/>
  <c r="K666" i="1" a="1"/>
  <c r="K167" i="1" a="1"/>
  <c r="K382" i="1" a="1"/>
  <c r="K586" i="1" a="1"/>
  <c r="K1117" i="1" a="1"/>
  <c r="K424" i="1" a="1"/>
  <c r="K1020" i="1" a="1"/>
  <c r="K442" i="1" a="1"/>
  <c r="K18" i="1" a="1"/>
  <c r="K799" i="1" a="1"/>
  <c r="K54" i="1" a="1"/>
  <c r="K835" i="1" a="1"/>
  <c r="K2" i="1" a="1"/>
  <c r="K783" i="1" a="1"/>
  <c r="K38" i="1" a="1"/>
  <c r="K819" i="1" a="1"/>
  <c r="K810" i="1" a="1"/>
  <c r="K428" i="1" a="1"/>
  <c r="K990" i="1" a="1"/>
  <c r="K466" i="1" a="1"/>
  <c r="K1372" i="1" a="1"/>
  <c r="K731" i="1" a="1"/>
  <c r="K1482" i="1" a="1"/>
  <c r="K115" i="1" a="1"/>
  <c r="K116" i="1" a="1"/>
  <c r="K658" i="1" a="1"/>
  <c r="K152" i="1" a="1"/>
  <c r="K772" i="1" a="1"/>
  <c r="K100" i="1" a="1"/>
  <c r="K602" i="1" a="1"/>
  <c r="K136" i="1" a="1"/>
  <c r="K750" i="1" a="1"/>
  <c r="K1062" i="1" a="1"/>
  <c r="K12" i="1" a="1"/>
  <c r="K1024" i="1" a="1"/>
  <c r="K1052" i="1" a="1"/>
  <c r="K1439" i="1" a="1"/>
  <c r="K936" i="1" a="1"/>
  <c r="K1613" i="1" a="1"/>
  <c r="K913" i="1" a="1"/>
  <c r="K161" i="1" a="1"/>
  <c r="K337" i="1" a="1"/>
  <c r="K221" i="1" a="1"/>
  <c r="K507" i="1" a="1"/>
  <c r="K145" i="1" a="1"/>
  <c r="K222" i="1" a="1"/>
  <c r="K181" i="1" a="1"/>
  <c r="K121" i="1" a="1"/>
  <c r="K122" i="1" a="1"/>
  <c r="K191" i="1" a="1"/>
  <c r="K208" i="1" a="1"/>
  <c r="K893" i="1" a="1"/>
  <c r="K41" i="1" a="1"/>
  <c r="K510" i="1" a="1"/>
  <c r="K1252" i="1" a="1"/>
  <c r="K1243" i="1" a="1"/>
  <c r="K1014" i="1" a="1"/>
  <c r="K1474" i="1" a="1"/>
  <c r="K1300" i="1" a="1"/>
  <c r="K829" i="1" a="1"/>
  <c r="K1379" i="1" a="1"/>
  <c r="K1099" i="1" a="1"/>
  <c r="K1294" i="1" a="1"/>
  <c r="K814" i="1" a="1"/>
  <c r="K1471" i="1" a="1"/>
  <c r="K2446" i="1" a="1"/>
  <c r="K1481" i="1" a="1"/>
  <c r="K2455" i="1" a="1"/>
  <c r="K1936" i="1" a="1"/>
  <c r="K2735" i="1" a="1"/>
  <c r="K2040" i="1" a="1"/>
  <c r="K2771" i="1" a="1"/>
  <c r="K496" i="1" a="1"/>
  <c r="K403" i="1" a="1"/>
  <c r="K434" i="1" a="1"/>
  <c r="K795" i="1" a="1"/>
  <c r="K280" i="1" a="1"/>
  <c r="K1405" i="1" a="1"/>
  <c r="K453" i="1" a="1"/>
  <c r="K848" i="1" a="1"/>
  <c r="K270" i="1" a="1"/>
  <c r="K972" i="1" a="1"/>
  <c r="K448" i="1" a="1"/>
  <c r="K10" i="1" a="1"/>
  <c r="K538" i="1" a="1"/>
  <c r="K880" i="1" a="1"/>
  <c r="K571" i="1" a="1"/>
  <c r="K319" i="1" a="1"/>
  <c r="K660" i="1" a="1"/>
  <c r="K52" i="1" a="1"/>
  <c r="K803" i="1" a="1"/>
  <c r="K559" i="1" a="1"/>
  <c r="K1084" i="1" a="1"/>
  <c r="K752" i="1" a="1"/>
  <c r="K806" i="1" a="1"/>
  <c r="K97" i="1" a="1"/>
  <c r="K310" i="1" a="1"/>
  <c r="K645" i="1" a="1"/>
  <c r="K210" i="1" a="1"/>
  <c r="K128" i="1" a="1"/>
  <c r="K536" i="1" a="1"/>
  <c r="K388" i="1" a="1"/>
  <c r="K808" i="1" a="1"/>
  <c r="K647" i="1" a="1"/>
  <c r="K683" i="1" a="1"/>
  <c r="K631" i="1" a="1"/>
  <c r="K667" i="1" a="1"/>
  <c r="K309" i="1" a="1"/>
  <c r="K578" i="1" a="1"/>
  <c r="K19" i="1" a="1"/>
  <c r="K526" i="1" a="1"/>
  <c r="K863" i="1" a="1"/>
  <c r="K334" i="1" a="1"/>
  <c r="K847" i="1" a="1"/>
  <c r="K194" i="1" a="1"/>
  <c r="K522" i="1" a="1"/>
  <c r="K794" i="1" a="1"/>
  <c r="K875" i="1" a="1"/>
  <c r="K542" i="1" a="1"/>
  <c r="K755" i="1" a="1"/>
  <c r="K732" i="1" a="1"/>
  <c r="K2064" i="1" a="1"/>
  <c r="K1188" i="1" a="1"/>
  <c r="K1846" i="1" a="1"/>
  <c r="K1854" i="1" a="1"/>
  <c r="K2380" i="1" a="1"/>
  <c r="K2449" i="1" a="1"/>
  <c r="K688" i="1" a="1"/>
  <c r="K455" i="1" a="1"/>
  <c r="K2219" i="1" a="1"/>
  <c r="K1041" i="1" a="1"/>
  <c r="K1733" i="1" a="1"/>
  <c r="K539" i="1" a="1"/>
  <c r="K1150" i="1" a="1"/>
  <c r="K1310" i="1" a="1"/>
  <c r="K1720" i="1" a="1"/>
  <c r="K1993" i="1" a="1"/>
  <c r="K1213" i="1" a="1"/>
  <c r="K2002" i="1" a="1"/>
  <c r="K2496" i="1" a="1"/>
  <c r="K3213" i="1" a="1"/>
  <c r="K1260" i="1" a="1"/>
  <c r="K1462" i="1" a="1"/>
  <c r="K373" i="1" a="1"/>
  <c r="K824" i="1" a="1"/>
  <c r="K2016" i="1" a="1"/>
  <c r="K1302" i="1" a="1"/>
  <c r="K1504" i="1" a="1"/>
  <c r="K1205" i="1" a="1"/>
  <c r="K1203" i="1" a="1"/>
  <c r="K439" i="1" a="1"/>
  <c r="K1624" i="1" a="1"/>
  <c r="K597" i="1" a="1"/>
  <c r="K1633" i="1" a="1"/>
  <c r="K1387" i="1" a="1"/>
  <c r="K2310" i="1" a="1"/>
  <c r="K1233" i="1" a="1"/>
  <c r="K2415" i="1" a="1"/>
  <c r="K1367" i="1" a="1"/>
  <c r="K416" i="1" a="1"/>
  <c r="K798" i="1" a="1"/>
  <c r="K2048" i="1" a="1"/>
  <c r="K1342" i="1" a="1"/>
  <c r="K1842" i="1" a="1"/>
  <c r="K1113" i="1" a="1"/>
  <c r="K1298" i="1" a="1"/>
  <c r="K826" i="1" a="1"/>
  <c r="K1703" i="1" a="1"/>
  <c r="K830" i="1" a="1"/>
  <c r="K1712" i="1" a="1"/>
  <c r="K1140" i="1" a="1"/>
  <c r="K2406" i="1" a="1"/>
  <c r="K1361" i="1" a="1"/>
  <c r="K2493" i="1" a="1"/>
  <c r="K180" i="1" a="1"/>
  <c r="K482" i="1" a="1"/>
  <c r="K1747" i="1" a="1"/>
  <c r="K575" i="1" a="1"/>
  <c r="K1081" i="1" a="1"/>
  <c r="K2171" i="1" a="1"/>
  <c r="K343" i="1" a="1"/>
  <c r="K994" i="1" a="1"/>
  <c r="K1018" i="1" a="1"/>
  <c r="K920" i="1" a="1"/>
  <c r="K1143" i="1" a="1"/>
  <c r="K244" i="1" a="1"/>
  <c r="K717" i="1" a="1"/>
  <c r="K1080" i="1" a="1"/>
  <c r="K1068" i="1" a="1"/>
  <c r="K464" i="1" a="1"/>
  <c r="K1095" i="1" a="1"/>
  <c r="K33" i="1" a="1"/>
  <c r="K771" i="1" a="1"/>
  <c r="K1144" i="1" a="1"/>
  <c r="K1173" i="1" a="1"/>
  <c r="K654" i="1" a="1"/>
  <c r="K706" i="1" a="1"/>
  <c r="K143" i="1" a="1"/>
  <c r="K567" i="1" a="1"/>
  <c r="K6" i="1" a="1"/>
  <c r="K9" i="1" a="1"/>
  <c r="K311" i="1" a="1"/>
  <c r="K1450" i="1" a="1"/>
  <c r="K35" i="1" a="1"/>
  <c r="K718" i="1" a="1"/>
  <c r="K446" i="1" a="1"/>
  <c r="K610" i="1" a="1"/>
  <c r="K138" i="1" a="1"/>
  <c r="K929" i="1" a="1"/>
  <c r="K884" i="1" a="1"/>
  <c r="K1135" i="1" a="1"/>
  <c r="K992" i="1" a="1"/>
  <c r="K352" i="1" a="1"/>
  <c r="K976" i="1" a="1"/>
  <c r="K57" i="1" a="1"/>
  <c r="K63" i="1" a="1"/>
  <c r="K1237" i="1" a="1"/>
  <c r="K147" i="1" a="1"/>
  <c r="K1115" i="1" a="1"/>
  <c r="K821" i="1" a="1"/>
  <c r="K857" i="1" a="1"/>
  <c r="K805" i="1" a="1"/>
  <c r="K264" i="1" a="1"/>
  <c r="K301" i="1" a="1"/>
  <c r="K1064" i="1" a="1"/>
  <c r="K958" i="1" a="1"/>
  <c r="K1326" i="1" a="1"/>
  <c r="K316" i="1" a="1"/>
  <c r="K975" i="1" a="1"/>
  <c r="K746" i="1" a="1"/>
  <c r="K935" i="1" a="1"/>
  <c r="K2465" i="1" a="1"/>
  <c r="K2474" i="1" a="1"/>
  <c r="K2630" i="1" a="1"/>
  <c r="K2728" i="1" a="1"/>
  <c r="K556" i="1" a="1"/>
  <c r="K135" i="1" a="1"/>
  <c r="K1949" i="1" a="1"/>
  <c r="K1256" i="1" a="1"/>
  <c r="K1698" i="1" a="1"/>
  <c r="K1003" i="1" a="1"/>
  <c r="K963" i="1" a="1"/>
  <c r="K530" i="1" a="1"/>
  <c r="K1509" i="1" a="1"/>
  <c r="K587" i="1" a="1"/>
  <c r="K1531" i="1" a="1"/>
  <c r="K1296" i="1" a="1"/>
  <c r="K2234" i="1" a="1"/>
  <c r="K1392" i="1" a="1"/>
  <c r="K2319" i="1" a="1"/>
  <c r="K1276" i="1" a="1"/>
  <c r="K520" i="1" a="1"/>
  <c r="K1599" i="1" a="1"/>
  <c r="K523" i="1" a="1"/>
  <c r="K1004" i="1" a="1"/>
  <c r="K2107" i="1" a="1"/>
  <c r="K1044" i="1" a="1"/>
  <c r="K742" i="1" a="1"/>
  <c r="K1223" i="1" a="1"/>
  <c r="K2119" i="1" a="1"/>
  <c r="K91" i="1" a="1"/>
  <c r="K2127" i="1" a="1"/>
  <c r="K1735" i="1" a="1"/>
  <c r="K2420" i="1" a="1"/>
  <c r="K1791" i="1" a="1"/>
  <c r="K2489" i="1" a="1"/>
  <c r="K114" i="1" a="1"/>
  <c r="K966" i="1" a="1"/>
  <c r="K1709" i="1" a="1"/>
  <c r="K827" i="1" a="1"/>
  <c r="K1149" i="1" a="1"/>
  <c r="K2139" i="1" a="1"/>
  <c r="K901" i="1" a="1"/>
  <c r="K340" i="1" a="1"/>
  <c r="K1007" i="1" a="1"/>
  <c r="K2163" i="1" a="1"/>
  <c r="K1070" i="1" a="1"/>
  <c r="K2167" i="1" a="1"/>
  <c r="K1787" i="1" a="1"/>
  <c r="K2484" i="1" a="1"/>
  <c r="K1847" i="1" a="1"/>
  <c r="K1953" i="1" a="1"/>
  <c r="K800" i="1" a="1"/>
  <c r="K140" i="1" a="1"/>
  <c r="K1431" i="1" a="1"/>
  <c r="K659" i="1" a="1"/>
  <c r="K1271" i="1" a="1"/>
  <c r="K1845" i="1" a="1"/>
  <c r="K724" i="1" a="1"/>
  <c r="K1156" i="1" a="1"/>
  <c r="K1318" i="1" a="1"/>
  <c r="K2056" i="1" a="1"/>
  <c r="K1330" i="1" a="1"/>
  <c r="K2060" i="1" a="1"/>
  <c r="K1539" i="1" a="1"/>
  <c r="K1762" i="1" a="1"/>
  <c r="K1711" i="1" a="1"/>
  <c r="K1976" i="1" a="1"/>
  <c r="K497" i="1" a="1"/>
  <c r="K560" i="1" a="1"/>
  <c r="K1706" i="1" a="1"/>
  <c r="K687" i="1" a="1"/>
  <c r="K1677" i="1" a="1"/>
  <c r="K845" i="1" a="1"/>
  <c r="K895" i="1" a="1"/>
  <c r="K1362" i="1" a="1"/>
  <c r="K1349" i="1" a="1"/>
  <c r="K592" i="1" a="1"/>
  <c r="K943" i="1" a="1"/>
  <c r="K62" i="1" a="1"/>
  <c r="K894" i="1" a="1"/>
  <c r="K919" i="1" a="1"/>
  <c r="K321" i="1" a="1"/>
  <c r="K900" i="1" a="1"/>
  <c r="K1187" i="1" a="1"/>
  <c r="K252" i="1" a="1"/>
  <c r="K1222" i="1" a="1"/>
  <c r="K1386" i="1" a="1"/>
  <c r="K445" i="1" a="1"/>
  <c r="K932" i="1" a="1"/>
  <c r="K1246" i="1" a="1"/>
  <c r="K39" i="1" a="1"/>
  <c r="K881" i="1" a="1"/>
  <c r="K1418" i="1" a="1"/>
  <c r="K767" i="1" a="1"/>
  <c r="K756" i="1" a="1"/>
  <c r="K72" i="1" a="1"/>
  <c r="K279" i="1" a="1"/>
  <c r="K1122" i="1" a="1"/>
  <c r="K1198" i="1" a="1"/>
  <c r="K558" i="1" a="1"/>
  <c r="K996" i="1" a="1"/>
  <c r="K944" i="1" a="1"/>
  <c r="K236" i="1" a="1"/>
  <c r="K275" i="1" a="1"/>
  <c r="K1132" i="1" a="1"/>
  <c r="K833" i="1" a="1"/>
  <c r="K927" i="1" a="1"/>
  <c r="K789" i="1" a="1"/>
  <c r="K825" i="1" a="1"/>
  <c r="K773" i="1" a="1"/>
  <c r="K409" i="1" a="1"/>
  <c r="K549" i="1" a="1"/>
  <c r="K937" i="1" a="1"/>
  <c r="K906" i="1" a="1"/>
  <c r="K1278" i="1" a="1"/>
  <c r="K480" i="1" a="1"/>
  <c r="K623" i="1" a="1"/>
  <c r="K397" i="1" a="1"/>
  <c r="K251" i="1" a="1"/>
  <c r="K585" i="1" a="1"/>
  <c r="K983" i="1" a="1"/>
  <c r="K371" i="1" a="1"/>
  <c r="K1083" i="1" a="1"/>
  <c r="K1015" i="1" a="1"/>
  <c r="K187" i="1" a="1"/>
  <c r="K447" i="1" a="1"/>
  <c r="K1234" i="1" a="1"/>
  <c r="K1676" i="1" a="1"/>
  <c r="K1746" i="1" a="1"/>
  <c r="K3149" i="1" a="1"/>
  <c r="K3222" i="1" a="1"/>
  <c r="K988" i="1" a="1"/>
  <c r="K1722" i="1" a="1"/>
  <c r="K643" i="1" a="1"/>
  <c r="K1598" i="1" a="1"/>
  <c r="K2075" i="1" a="1"/>
  <c r="K1079" i="1" a="1"/>
  <c r="K677" i="1" a="1"/>
  <c r="K1031" i="1" a="1"/>
  <c r="K2079" i="1" a="1"/>
  <c r="K1047" i="1" a="1"/>
  <c r="K2083" i="1" a="1"/>
  <c r="K1567" i="1" a="1"/>
  <c r="K2356" i="1" a="1"/>
  <c r="K1739" i="1" a="1"/>
  <c r="K2425" i="1" a="1"/>
  <c r="K711" i="1" a="1"/>
  <c r="K452" i="1" a="1"/>
  <c r="K1939" i="1" a="1"/>
  <c r="K483" i="1" a="1"/>
  <c r="K1397" i="1" a="1"/>
  <c r="K1436" i="1" a="1"/>
  <c r="K796" i="1" a="1"/>
  <c r="K1077" i="1" a="1"/>
  <c r="K1060" i="1" a="1"/>
  <c r="K1917" i="1" a="1"/>
  <c r="K1090" i="1" a="1"/>
  <c r="K1930" i="1" a="1"/>
  <c r="K1796" i="1" a="1"/>
  <c r="K2494" i="1" a="1"/>
  <c r="K1411" i="1" a="1"/>
  <c r="K2530" i="1" a="1"/>
  <c r="K296" i="1" a="1"/>
  <c r="K641" i="1" a="1"/>
  <c r="K1293" i="1" a="1"/>
  <c r="K226" i="1" a="1"/>
  <c r="K1638" i="1" a="1"/>
  <c r="K1738" i="1" a="1"/>
  <c r="K474" i="1" a="1"/>
  <c r="K712" i="1" a="1"/>
  <c r="K1266" i="1" a="1"/>
  <c r="K2012" i="1" a="1"/>
  <c r="K1270" i="1" a="1"/>
  <c r="K2020" i="1" a="1"/>
  <c r="K1396" i="1" a="1"/>
  <c r="K2526" i="1" a="1"/>
  <c r="K1549" i="1" a="1"/>
  <c r="K1825" i="1" a="1"/>
  <c r="K216" i="1" a="1"/>
  <c r="K1210" i="1" a="1"/>
  <c r="K1432" i="1" a="1"/>
  <c r="K420" i="1" a="1"/>
  <c r="K1331" i="1" a="1"/>
  <c r="K418" i="1" a="1"/>
  <c r="K1008" i="1" a="1"/>
  <c r="K1012" i="1" a="1"/>
  <c r="K1627" i="1" a="1"/>
  <c r="K1774" i="1" a="1"/>
  <c r="K1636" i="1" a="1"/>
  <c r="K1790" i="1" a="1"/>
  <c r="K1649" i="1" a="1"/>
  <c r="K2205" i="1" a="1"/>
  <c r="K1461" i="1" a="1"/>
  <c r="K2274" i="1" a="1"/>
  <c r="K748" i="1" a="1"/>
  <c r="K1111" i="1" a="1"/>
  <c r="K1813" i="1" a="1"/>
  <c r="K603" i="1" a="1"/>
  <c r="K398" i="1" a="1"/>
  <c r="K123" i="1" a="1"/>
  <c r="K166" i="1" a="1"/>
  <c r="K141" i="1" a="1"/>
  <c r="K1506" i="1" a="1"/>
  <c r="K502" i="1" a="1"/>
  <c r="K534" i="1" a="1"/>
  <c r="K1185" i="1" a="1"/>
  <c r="K21" i="1" a="1"/>
  <c r="K459" i="1" a="1"/>
  <c r="K1036" i="1" a="1"/>
  <c r="K1285" i="1" a="1"/>
  <c r="K650" i="1" a="1"/>
  <c r="K235" i="1" a="1"/>
  <c r="K53" i="1" a="1"/>
  <c r="K537" i="1" a="1"/>
  <c r="K1628" i="1" a="1"/>
  <c r="K1328" i="1" a="1"/>
  <c r="K378" i="1" a="1"/>
  <c r="K30" i="1" a="1"/>
  <c r="K183" i="1" a="1"/>
  <c r="K74" i="1" a="1"/>
  <c r="K1329" i="1" a="1"/>
  <c r="K1653" i="1" a="1"/>
  <c r="K960" i="1" a="1"/>
  <c r="K326" i="1" a="1"/>
  <c r="K700" i="1" a="1"/>
  <c r="K458" i="1" a="1"/>
  <c r="K574" i="1" a="1"/>
  <c r="K1065" i="1" a="1"/>
  <c r="K981" i="1" a="1"/>
  <c r="K1582" i="1" a="1"/>
  <c r="K914" i="1" a="1"/>
  <c r="K950" i="1" a="1"/>
  <c r="K898" i="1" a="1"/>
  <c r="K758" i="1" a="1"/>
  <c r="K664" i="1" a="1"/>
  <c r="K1410" i="1" a="1"/>
  <c r="K1180" i="1" a="1"/>
  <c r="K1376" i="1" a="1"/>
  <c r="K155" i="1" a="1"/>
  <c r="K885" i="1" a="1"/>
  <c r="K1125" i="1" a="1"/>
  <c r="K940" i="1" a="1"/>
  <c r="K303" i="1" a="1"/>
  <c r="K1186" i="1" a="1"/>
  <c r="K999" i="1" a="1"/>
  <c r="K1626" i="1" a="1"/>
  <c r="K1159" i="1" a="1"/>
  <c r="K1558" i="1" a="1"/>
  <c r="K697" i="1" a="1"/>
  <c r="K1109" i="1" a="1"/>
  <c r="K1178" i="1" a="1"/>
  <c r="K1391" i="1" a="1"/>
  <c r="K1577" i="1" a="1"/>
  <c r="K511" i="1" a="1"/>
  <c r="K77" i="1" a="1"/>
  <c r="K1907" i="1" a="1"/>
  <c r="K253" i="1" a="1"/>
  <c r="K1344" i="1" a="1"/>
  <c r="K1836" i="1" a="1"/>
  <c r="K276" i="1" a="1"/>
  <c r="K1190" i="1" a="1"/>
  <c r="K681" i="1" a="1"/>
  <c r="K1829" i="1" a="1"/>
  <c r="K682" i="1" a="1"/>
  <c r="K1837" i="1" a="1"/>
  <c r="K1740" i="1" a="1"/>
  <c r="K2430" i="1" a="1"/>
  <c r="K1800" i="1" a="1"/>
  <c r="K2498" i="1" a="1"/>
  <c r="K1091" i="1" a="1"/>
  <c r="K642" i="1" a="1"/>
  <c r="K1808" i="1" a="1"/>
  <c r="K956" i="1" a="1"/>
  <c r="K1565" i="1" a="1"/>
  <c r="K110" i="1" a="1"/>
  <c r="K1107" i="1" a="1"/>
  <c r="K698" i="1" a="1"/>
  <c r="K1076" i="1" a="1"/>
  <c r="K1972" i="1" a="1"/>
  <c r="K1105" i="1" a="1"/>
  <c r="K1982" i="1" a="1"/>
  <c r="K1279" i="1" a="1"/>
  <c r="K1832" i="1" a="1"/>
  <c r="K1499" i="1" a="1"/>
  <c r="K2133" i="1" a="1"/>
  <c r="K150" i="1" a="1"/>
  <c r="K1043" i="1" a="1"/>
  <c r="K1295" i="1" a="1"/>
  <c r="K61" i="1" a="1"/>
  <c r="K1681" i="1" a="1"/>
  <c r="K544" i="1" a="1"/>
  <c r="K1094" i="1" a="1"/>
  <c r="K467" i="1" a="1"/>
  <c r="K1257" i="1" a="1"/>
  <c r="K1489" i="1" a="1"/>
  <c r="K704" i="1" a="1"/>
  <c r="K1532" i="1" a="1"/>
  <c r="K1488" i="1" a="1"/>
  <c r="K1997" i="1" a="1"/>
  <c r="K1655" i="1" a="1"/>
  <c r="K2210" i="1" a="1"/>
  <c r="K836" i="1" a="1"/>
  <c r="K949" i="1" a="1"/>
  <c r="K1707" i="1" a="1"/>
  <c r="K876" i="1" a="1"/>
  <c r="K1859" i="1" a="1"/>
  <c r="K1021" i="1" a="1"/>
  <c r="K255" i="1" a="1"/>
  <c r="K484" i="1" a="1"/>
  <c r="K1121" i="1" a="1"/>
  <c r="K450" i="1" a="1"/>
  <c r="K350" i="1" a="1"/>
  <c r="K1247" i="1" a="1"/>
  <c r="K331" i="1" a="1"/>
  <c r="K864" i="1" a="1"/>
  <c r="K357" i="1" a="1"/>
  <c r="K386" i="1" a="1"/>
  <c r="K25" i="1" a="1"/>
  <c r="K1224" i="1" a="1"/>
  <c r="K435" i="1" a="1"/>
  <c r="K896" i="1" a="1"/>
  <c r="K26" i="1" a="1"/>
  <c r="K499" i="1" a="1"/>
  <c r="K89" i="1" a="1"/>
  <c r="K1287" i="1" a="1"/>
  <c r="K617" i="1" a="1"/>
  <c r="K628" i="1" a="1"/>
  <c r="K36" i="1" a="1"/>
  <c r="K787" i="1" a="1"/>
  <c r="K358" i="1" a="1"/>
  <c r="K1690" i="1" a="1"/>
  <c r="K777" i="1" a="1"/>
  <c r="K729" i="1" a="1"/>
  <c r="K1098" i="1" a="1"/>
  <c r="K1011" i="1" a="1"/>
  <c r="K840" i="1" a="1"/>
  <c r="K302" i="1" a="1"/>
  <c r="K953" i="1" a="1"/>
  <c r="K1194" i="1" a="1"/>
  <c r="K1389" i="1" a="1"/>
  <c r="K971" i="1" a="1"/>
  <c r="K1040" i="1" a="1"/>
  <c r="K907" i="1" a="1"/>
  <c r="K841" i="1" a="1"/>
  <c r="K743" i="1" a="1"/>
  <c r="K1317" i="1" a="1"/>
  <c r="K1251" i="1" a="1"/>
  <c r="K82" i="1" a="1"/>
  <c r="K118" i="1" a="1"/>
  <c r="K66" i="1" a="1"/>
  <c r="K102" i="1" a="1"/>
  <c r="K910" i="1" a="1"/>
  <c r="K923" i="1" a="1"/>
  <c r="K1635" i="1" a="1"/>
  <c r="K1546" i="1" a="1"/>
  <c r="K978" i="1" a="1"/>
  <c r="K1744" i="1" a="1"/>
  <c r="K1263" i="1" a="1"/>
  <c r="K878" i="1" a="1"/>
  <c r="K1550" i="1" a="1"/>
  <c r="K1554" i="1" a="1"/>
  <c r="K1725" i="1" a="1"/>
  <c r="K1793" i="1" a="1"/>
  <c r="K879" i="1" a="1"/>
  <c r="K570" i="1" a="1"/>
  <c r="K1776" i="1" a="1"/>
  <c r="K856" i="1" a="1"/>
  <c r="K1459" i="1" a="1"/>
  <c r="K2096" i="1" a="1"/>
  <c r="K1030" i="1" a="1"/>
  <c r="K959" i="1" a="1"/>
  <c r="K1606" i="1" a="1"/>
  <c r="K1910" i="1" a="1"/>
  <c r="K624" i="1" a="1"/>
  <c r="K1918" i="1" a="1"/>
  <c r="K1789" i="1" a="1"/>
  <c r="K2444" i="1" a="1"/>
  <c r="K1321" i="1" a="1"/>
  <c r="K1864" i="1" a="1"/>
  <c r="K429" i="1" a="1"/>
  <c r="K817" i="1" a="1"/>
  <c r="K1551" i="1" a="1"/>
  <c r="K260" i="1" a="1"/>
  <c r="K1795" i="1" a="1"/>
  <c r="K870" i="1" a="1"/>
  <c r="K1137" i="1" a="1"/>
  <c r="K839" i="1" a="1"/>
  <c r="K1335" i="1" a="1"/>
  <c r="K1872" i="1" a="1"/>
  <c r="K1345" i="1" a="1"/>
  <c r="K1890" i="1" a="1"/>
  <c r="K2131" i="1" a="1"/>
  <c r="K2543" i="1" a="1"/>
  <c r="K2191" i="1" a="1"/>
  <c r="K2579" i="1" a="1"/>
  <c r="K504" i="1" a="1"/>
  <c r="K842" i="1" a="1"/>
  <c r="K1641" i="1" a="1"/>
  <c r="K776" i="1" a="1"/>
  <c r="K1827" i="1" a="1"/>
  <c r="K986" i="1" a="1"/>
  <c r="K759" i="1" a="1"/>
  <c r="K952" i="1" a="1"/>
  <c r="K1160" i="1" a="1"/>
  <c r="K1998" i="1" a="1"/>
  <c r="K1225" i="1" a="1"/>
  <c r="K2134" i="1" a="1"/>
  <c r="K2183" i="1" a="1"/>
  <c r="K2575" i="1" a="1"/>
  <c r="K2243" i="1" a="1"/>
  <c r="K2611" i="1" a="1"/>
  <c r="K164" i="1" a="1"/>
  <c r="K1609" i="1" a="1"/>
  <c r="K1666" i="1" a="1"/>
  <c r="K846" i="1" a="1"/>
  <c r="K1728" i="1" a="1"/>
  <c r="K1086" i="1" a="1"/>
  <c r="K582" i="1" a="1"/>
  <c r="K1199" i="1" a="1"/>
  <c r="K1807" i="1" a="1"/>
  <c r="K1990" i="1" a="1"/>
  <c r="K1815" i="1" a="1"/>
  <c r="K1999" i="1" a="1"/>
  <c r="K1687" i="1" a="1"/>
  <c r="K2863" i="1" a="1"/>
  <c r="K1902" i="1" a="1"/>
  <c r="K2899" i="1" a="1"/>
  <c r="K562" i="1" a="1"/>
  <c r="K939" i="1" a="1"/>
  <c r="K2155" i="1" a="1"/>
  <c r="K1010" i="1" a="1"/>
  <c r="K130" i="1" a="1"/>
  <c r="K198" i="1" a="1"/>
  <c r="K812" i="1" a="1"/>
  <c r="K1427" i="1" a="1"/>
  <c r="K225" i="1" a="1"/>
  <c r="K1112" i="1" a="1"/>
  <c r="K228" i="1" a="1"/>
  <c r="K608" i="1" a="1"/>
  <c r="K813" i="1" a="1"/>
  <c r="K154" i="1" a="1"/>
  <c r="K365" i="1" a="1"/>
  <c r="K1176" i="1" a="1"/>
  <c r="K17" i="1" a="1"/>
  <c r="K749" i="1" a="1"/>
  <c r="K865" i="1" a="1"/>
  <c r="K28" i="1" a="1"/>
  <c r="K408" i="1" a="1"/>
  <c r="K22" i="1" a="1"/>
  <c r="K111" i="1" a="1"/>
  <c r="K495" i="1" a="1"/>
  <c r="K938" i="1" a="1"/>
  <c r="K223" i="1" a="1"/>
  <c r="K607" i="1" a="1"/>
  <c r="K120" i="1" a="1"/>
  <c r="K68" i="1" a="1"/>
  <c r="K104" i="1" a="1"/>
  <c r="K702" i="1" a="1"/>
  <c r="K745" i="1" a="1"/>
  <c r="K1309" i="1" a="1"/>
  <c r="K1147" i="1" a="1"/>
  <c r="K129" i="1" a="1"/>
  <c r="K165" i="1" a="1"/>
  <c r="K113" i="1" a="1"/>
  <c r="K149" i="1" a="1"/>
  <c r="K58" i="1" a="1"/>
  <c r="K144" i="1" a="1"/>
  <c r="K220" i="1" a="1"/>
  <c r="K1629" i="1" a="1"/>
  <c r="K197" i="1" a="1"/>
  <c r="K291" i="1" a="1"/>
  <c r="K304" i="1" a="1"/>
  <c r="K259" i="1" a="1"/>
  <c r="K237" i="1" a="1"/>
  <c r="K341" i="1" a="1"/>
  <c r="K377" i="1" a="1"/>
  <c r="K1533" i="1" a="1"/>
  <c r="K67" i="1" a="1"/>
  <c r="K1596" i="1" a="1"/>
  <c r="K1380" i="1" a="1"/>
  <c r="K288" i="1" a="1"/>
  <c r="K1336" i="1" a="1"/>
  <c r="K1357" i="1" a="1"/>
  <c r="K1944" i="1" a="1"/>
  <c r="K2029" i="1" a="1"/>
  <c r="K595" i="1" a="1"/>
  <c r="K872" i="1" a="1"/>
  <c r="K1465" i="1" a="1"/>
  <c r="K871" i="1" a="1"/>
  <c r="K1763" i="1" a="1"/>
  <c r="K605" i="1" a="1"/>
  <c r="K736" i="1" a="1"/>
  <c r="K246" i="1" a="1"/>
  <c r="K1259" i="1" a="1"/>
  <c r="K2113" i="1" a="1"/>
  <c r="K1265" i="1" a="1"/>
  <c r="K2117" i="1" a="1"/>
  <c r="K2067" i="1" a="1"/>
  <c r="K2511" i="1" a="1"/>
  <c r="K2135" i="1" a="1"/>
  <c r="K2547" i="1" a="1"/>
  <c r="K1164" i="1" a="1"/>
  <c r="K1403" i="1" a="1"/>
  <c r="K1520" i="1" a="1"/>
  <c r="K51" i="1" a="1"/>
  <c r="K1559" i="1" a="1"/>
  <c r="K1078" i="1" a="1"/>
  <c r="K1402" i="1" a="1"/>
  <c r="K751" i="1" a="1"/>
  <c r="K1723" i="1" a="1"/>
  <c r="K2536" i="1" a="1"/>
  <c r="K1727" i="1" a="1"/>
  <c r="K2540" i="1" a="1"/>
  <c r="K2088" i="1" a="1"/>
  <c r="K2799" i="1" a="1"/>
  <c r="K2144" i="1" a="1"/>
  <c r="K2835" i="1" a="1"/>
  <c r="K98" i="1" a="1"/>
  <c r="K1284" i="1" a="1"/>
  <c r="K1605" i="1" a="1"/>
  <c r="K725" i="1" a="1"/>
  <c r="K1669" i="1" a="1"/>
  <c r="K399" i="1" a="1"/>
  <c r="K277" i="1" a="1"/>
  <c r="K728" i="1" a="1"/>
  <c r="K1767" i="1" a="1"/>
  <c r="K1841" i="1" a="1"/>
  <c r="K1771" i="1" a="1"/>
  <c r="K1873" i="1" a="1"/>
  <c r="K2140" i="1" a="1"/>
  <c r="K2831" i="1" a="1"/>
  <c r="K1705" i="1" a="1"/>
  <c r="K2867" i="1" a="1"/>
  <c r="K784" i="1" a="1"/>
  <c r="K392" i="1" a="1"/>
  <c r="K2059" i="1" a="1"/>
  <c r="K1055" i="1" a="1"/>
  <c r="K1277" i="1" a="1"/>
  <c r="K1394" i="1" a="1"/>
  <c r="K1034" i="1" a="1"/>
  <c r="K989" i="1" a="1"/>
  <c r="K1764" i="1" a="1"/>
  <c r="K2266" i="1" a="1"/>
  <c r="K1768" i="1" a="1"/>
  <c r="K2277" i="1" a="1"/>
  <c r="K1906" i="1" a="1"/>
  <c r="K2900" i="1" a="1"/>
  <c r="K2169" i="1" a="1"/>
  <c r="K2966" i="1" a="1"/>
  <c r="K475" i="1" a="1"/>
  <c r="K278" i="1" a="1"/>
  <c r="K1802" i="1" a="1"/>
  <c r="K921" i="1" a="1"/>
  <c r="K1563" i="1" a="1"/>
  <c r="K1027" i="1" a="1"/>
  <c r="K674" i="1" a="1"/>
  <c r="K247" i="1" a="1"/>
  <c r="K550" i="1" a="1"/>
  <c r="K1303" i="1" a="1"/>
  <c r="K78" i="1" a="1"/>
  <c r="K599" i="1" a="1"/>
  <c r="K14" i="1" a="1"/>
  <c r="K71" i="1" a="1"/>
  <c r="K457" i="1" a="1"/>
  <c r="K481" i="1" a="1"/>
  <c r="K369" i="1" a="1"/>
  <c r="K109" i="1" a="1"/>
  <c r="K359" i="1" a="1"/>
  <c r="K395" i="1" a="1"/>
  <c r="K2043" i="1" a="1"/>
  <c r="K2292" i="1" a="1"/>
  <c r="K1798" i="1" a="1"/>
  <c r="K720" i="1" a="1"/>
  <c r="K1495" i="1" a="1"/>
  <c r="K2069" i="1" a="1"/>
  <c r="K2251" i="1" a="1"/>
  <c r="K905" i="1" a="1"/>
  <c r="K1444" i="1" a="1"/>
  <c r="K1960" i="1" a="1"/>
  <c r="K2283" i="1" a="1"/>
  <c r="K1151" i="1" a="1"/>
  <c r="K1561" i="1" a="1"/>
  <c r="K2244" i="1" a="1"/>
  <c r="K2080" i="1" a="1"/>
  <c r="K947" i="1" a="1"/>
  <c r="K1654" i="1" a="1"/>
  <c r="K1670" i="1" a="1"/>
  <c r="K2228" i="1" a="1"/>
  <c r="K2364" i="1" a="1"/>
  <c r="K486" i="1" a="1"/>
  <c r="K396" i="1" a="1"/>
  <c r="K1955" i="1" a="1"/>
  <c r="K723" i="1" a="1"/>
  <c r="K701" i="1" a="1"/>
  <c r="K1267" i="1" a="1"/>
  <c r="K2382" i="1" a="1"/>
  <c r="K1288" i="1" a="1"/>
  <c r="K2391" i="1" a="1"/>
  <c r="K1786" i="1" a="1"/>
  <c r="K2703" i="1" a="1"/>
  <c r="K1961" i="1" a="1"/>
  <c r="K2739" i="1" a="1"/>
  <c r="K1516" i="1" a="1"/>
  <c r="K861" i="1" a="1"/>
  <c r="K1382" i="1" a="1"/>
  <c r="K1476" i="1" a="1"/>
  <c r="K2044" i="1" a="1"/>
  <c r="K2775" i="1" a="1"/>
  <c r="K2112" i="1" a="1"/>
  <c r="K2811" i="1" a="1"/>
  <c r="K1393" i="1" a="1"/>
  <c r="K2847" i="1" a="1"/>
  <c r="K1870" i="1" a="1"/>
  <c r="K2883" i="1" a="1"/>
  <c r="K2661" i="1" a="1"/>
  <c r="K1652" i="1" a="1"/>
  <c r="K2123" i="1" a="1"/>
  <c r="K1167" i="1" a="1"/>
  <c r="K1359" i="1" a="1"/>
  <c r="K2341" i="1" a="1"/>
  <c r="K2073" i="1" a="1"/>
  <c r="K2824" i="1" a="1"/>
  <c r="K2125" i="1" a="1"/>
  <c r="K2873" i="1" a="1"/>
  <c r="K1970" i="1" a="1"/>
  <c r="K2925" i="1" a="1"/>
  <c r="K2217" i="1" a="1"/>
  <c r="K2998" i="1" a="1"/>
  <c r="K1574" i="1" a="1"/>
  <c r="K2323" i="1" a="1"/>
  <c r="K1054" i="1" a="1"/>
  <c r="K2428" i="1" a="1"/>
  <c r="K588" i="1" a="1"/>
  <c r="K1209" i="1" a="1"/>
  <c r="K1978" i="1" a="1"/>
  <c r="K2344" i="1" a="1"/>
  <c r="K1971" i="1" a="1"/>
  <c r="K1542" i="1" a="1"/>
  <c r="K2300" i="1" a="1"/>
  <c r="K933" i="1" a="1"/>
  <c r="K2387" i="1" a="1"/>
  <c r="K1216" i="1" a="1"/>
  <c r="K2492" i="1" a="1"/>
  <c r="K3026" i="1" a="1"/>
  <c r="K1369" i="1" a="1"/>
  <c r="K2042" i="1" a="1"/>
  <c r="K1587" i="1" a="1"/>
  <c r="K2137" i="1" a="1"/>
  <c r="K273" i="1" a="1"/>
  <c r="K1000" i="1" a="1"/>
  <c r="K1134" i="1" a="1"/>
  <c r="K762" i="1" a="1"/>
  <c r="K1347" i="1" a="1"/>
  <c r="K1088" i="1" a="1"/>
  <c r="K2018" i="1" a="1"/>
  <c r="K1544" i="1" a="1"/>
  <c r="K2106" i="1" a="1"/>
  <c r="K1236" i="1" a="1"/>
  <c r="K2240" i="1" a="1"/>
  <c r="K2990" i="1" a="1"/>
  <c r="K1420" i="1" a="1"/>
  <c r="K555" i="1" a="1"/>
  <c r="K1219" i="1" a="1"/>
  <c r="K364" i="1" a="1"/>
  <c r="K108" i="1" a="1"/>
  <c r="K88" i="1" a="1"/>
  <c r="K456" i="1" a="1"/>
  <c r="K117" i="1" a="1"/>
  <c r="K1101" i="1" a="1"/>
  <c r="K313" i="1" a="1"/>
  <c r="K1448" i="1" a="1"/>
  <c r="K411" i="1" a="1"/>
  <c r="K763" i="1" a="1"/>
  <c r="K690" i="1" a="1"/>
  <c r="K2500" i="1" a="1"/>
  <c r="K477" i="1" a="1"/>
  <c r="K934" i="1" a="1"/>
  <c r="K2508" i="1" a="1"/>
  <c r="K2803" i="1" a="1"/>
  <c r="K1045" i="1" a="1"/>
  <c r="K1033" i="1" a="1"/>
  <c r="K2149" i="1" a="1"/>
  <c r="K2862" i="1" a="1"/>
  <c r="K1242" i="1" a="1"/>
  <c r="K1200" i="1" a="1"/>
  <c r="K2213" i="1" a="1"/>
  <c r="K2905" i="1" a="1"/>
  <c r="K1058" i="1" a="1"/>
  <c r="K1358" i="1" a="1"/>
  <c r="K1658" i="1" a="1"/>
  <c r="K1714" i="1" a="1"/>
  <c r="K2488" i="1" a="1"/>
  <c r="K1952" i="1" a="1"/>
  <c r="K533" i="1" a="1"/>
  <c r="K948" i="1" a="1"/>
  <c r="K1824" i="1" a="1"/>
  <c r="K1129" i="1" a="1"/>
  <c r="K967" i="1" a="1"/>
  <c r="K1935" i="1" a="1"/>
  <c r="K2401" i="1" a="1"/>
  <c r="K1943" i="1" a="1"/>
  <c r="K2410" i="1" a="1"/>
  <c r="K1708" i="1" a="1"/>
  <c r="K2566" i="1" a="1"/>
  <c r="K1957" i="1" a="1"/>
  <c r="K2638" i="1" a="1"/>
  <c r="K2091" i="1" a="1"/>
  <c r="K1116" i="1" a="1"/>
  <c r="K1812" i="1" a="1"/>
  <c r="K2249" i="1" a="1"/>
  <c r="K2033" i="1" a="1"/>
  <c r="K2734" i="1" a="1"/>
  <c r="K2077" i="1" a="1"/>
  <c r="K2830" i="1" a="1"/>
  <c r="K2129" i="1" a="1"/>
  <c r="K2878" i="1" a="1"/>
  <c r="K1989" i="1" a="1"/>
  <c r="K2934" i="1" a="1"/>
  <c r="K1502" i="1" a="1"/>
  <c r="K2196" i="1" a="1"/>
  <c r="K843" i="1" a="1"/>
  <c r="K1163" i="1" a="1"/>
  <c r="K2136" i="1" a="1"/>
  <c r="K2321" i="1" a="1"/>
  <c r="K1500" i="1" a="1"/>
  <c r="K1466" i="1" a="1"/>
  <c r="K1981" i="1" a="1"/>
  <c r="K1562" i="1" a="1"/>
  <c r="K2305" i="1" a="1"/>
  <c r="K973" i="1" a="1"/>
  <c r="K2396" i="1" a="1"/>
  <c r="K2962" i="1" a="1"/>
  <c r="K1244" i="1" a="1"/>
  <c r="K1881" i="1" a="1"/>
  <c r="K1404" i="1" a="1"/>
  <c r="K2050" i="1" a="1"/>
  <c r="K760" i="1" a="1"/>
  <c r="K362" i="1" a="1"/>
  <c r="K1590" i="1" a="1"/>
  <c r="K1238" i="1" a="1"/>
  <c r="K2424" i="1" a="1"/>
  <c r="K1377" i="1" a="1"/>
  <c r="K1543" i="1" a="1"/>
  <c r="K1305" i="1" a="1"/>
  <c r="K2026" i="1" a="1"/>
  <c r="K1555" i="1" a="1"/>
  <c r="K2114" i="1" a="1"/>
  <c r="K2926" i="1" a="1"/>
  <c r="K1947" i="1" a="1"/>
  <c r="K2225" i="1" a="1"/>
  <c r="K1441" i="1" a="1"/>
  <c r="K43" i="1" a="1"/>
  <c r="K1556" i="1" a="1"/>
  <c r="K1269" i="1" a="1"/>
  <c r="K1866" i="1" a="1"/>
  <c r="K1863" i="1" a="1"/>
  <c r="K1964" i="1" a="1"/>
  <c r="K1919" i="1" a="1"/>
  <c r="K2198" i="1" a="1"/>
  <c r="K1395" i="1" a="1"/>
  <c r="K2273" i="1" a="1"/>
  <c r="K1548" i="1" a="1"/>
  <c r="K2343" i="1" a="1"/>
  <c r="K3449" i="1" a="1"/>
  <c r="K1572" i="1" a="1"/>
  <c r="K2298" i="1" a="1"/>
  <c r="K1716" i="1" a="1"/>
  <c r="K646" i="1" a="1"/>
  <c r="K1891" i="1" a="1"/>
  <c r="K1469" i="1" a="1"/>
  <c r="K1515" i="1" a="1"/>
  <c r="K1915" i="1" a="1"/>
  <c r="K2193" i="1" a="1"/>
  <c r="K1315" i="1" a="1"/>
  <c r="K2262" i="1" a="1"/>
  <c r="K1537" i="1" a="1"/>
  <c r="K2334" i="1" a="1"/>
  <c r="K1710" i="1" a="1"/>
  <c r="K2407" i="1" a="1"/>
  <c r="K3481" i="1" a="1"/>
  <c r="K1702" i="1" a="1"/>
  <c r="K2362" i="1" a="1"/>
  <c r="K1773" i="1" a="1"/>
  <c r="K422" i="1" a="1"/>
  <c r="K1941" i="1" a="1"/>
  <c r="K1750" i="1" a="1"/>
  <c r="K2074" i="1" a="1"/>
  <c r="K1487" i="1" a="1"/>
  <c r="K566" i="1" a="1"/>
  <c r="K37" i="1" a="1"/>
  <c r="K627" i="1" a="1"/>
  <c r="K463" i="1" a="1"/>
  <c r="K218" i="1" a="1"/>
  <c r="K828" i="1" a="1"/>
  <c r="K256" i="1" a="1"/>
  <c r="K512" i="1" a="1"/>
  <c r="K444" i="1" a="1"/>
  <c r="K521" i="1" a="1"/>
  <c r="K478" i="1" a="1"/>
  <c r="K48" i="1" a="1"/>
  <c r="K904" i="1" a="1"/>
  <c r="K2361" i="1" a="1"/>
  <c r="K1231" i="1" a="1"/>
  <c r="K1175" i="1" a="1"/>
  <c r="K1896" i="1" a="1"/>
  <c r="K2817" i="1" a="1"/>
  <c r="K1170" i="1" a="1"/>
  <c r="K1370" i="1" a="1"/>
  <c r="K2066" i="1" a="1"/>
  <c r="K1530" i="1" a="1"/>
  <c r="K737" i="1" a="1"/>
  <c r="K1426" i="1" a="1"/>
  <c r="K1446" i="1" a="1"/>
  <c r="K685" i="1" a="1"/>
  <c r="K1390" i="1" a="1"/>
  <c r="K344" i="1" a="1"/>
  <c r="K2207" i="1" a="1"/>
  <c r="K2211" i="1" a="1"/>
  <c r="K1940" i="1" a="1"/>
  <c r="K2182" i="1" a="1"/>
  <c r="K671" i="1" a="1"/>
  <c r="K618" i="1" a="1"/>
  <c r="K1593" i="1" a="1"/>
  <c r="K1398" i="1" a="1"/>
  <c r="K383" i="1" a="1"/>
  <c r="K1485" i="1" a="1"/>
  <c r="K2456" i="1" a="1"/>
  <c r="K1496" i="1" a="1"/>
  <c r="K2461" i="1" a="1"/>
  <c r="K2336" i="1" a="1"/>
  <c r="K3085" i="1" a="1"/>
  <c r="K2423" i="1" a="1"/>
  <c r="K3158" i="1" a="1"/>
  <c r="K591" i="1" a="1"/>
  <c r="K925" i="1" a="1"/>
  <c r="K2104" i="1" a="1"/>
  <c r="K2236" i="1" a="1"/>
  <c r="K2512" i="1" a="1"/>
  <c r="K1625" i="1" a="1"/>
  <c r="K1656" i="1" a="1"/>
  <c r="K1478" i="1" a="1"/>
  <c r="K2164" i="1" a="1"/>
  <c r="K1566" i="1" a="1"/>
  <c r="K2314" i="1" a="1"/>
  <c r="K2805" i="1" a="1"/>
  <c r="K1313" i="1" a="1"/>
  <c r="K2470" i="1" a="1"/>
  <c r="K915" i="1" a="1"/>
  <c r="K589" i="1" a="1"/>
  <c r="K2397" i="1" a="1"/>
  <c r="K3094" i="1" a="1"/>
  <c r="K2342" i="1" a="1"/>
  <c r="K1281" i="1" a="1"/>
  <c r="K2429" i="1" a="1"/>
  <c r="K1124" i="1" a="1"/>
  <c r="K1810" i="1" a="1"/>
  <c r="K1348" i="1" a="1"/>
  <c r="K2034" i="1" a="1"/>
  <c r="K2880" i="1" a="1"/>
  <c r="K1883" i="1" a="1"/>
  <c r="K2161" i="1" a="1"/>
  <c r="K1951" i="1" a="1"/>
  <c r="K298" i="1" a="1"/>
  <c r="K1460" i="1" a="1"/>
  <c r="K1637" i="1" a="1"/>
  <c r="K1419" i="1" a="1"/>
  <c r="K1799" i="1" a="1"/>
  <c r="K1407" i="1" a="1"/>
  <c r="K1867" i="1" a="1"/>
  <c r="K1975" i="1" a="1"/>
  <c r="K1927" i="1" a="1"/>
  <c r="K2209" i="1" a="1"/>
  <c r="K1409" i="1" a="1"/>
  <c r="K2278" i="1" a="1"/>
  <c r="K3417" i="1" a="1"/>
  <c r="K1399" i="1" a="1"/>
  <c r="K2188" i="1" a="1"/>
  <c r="K1583" i="1" a="1"/>
  <c r="K323" i="1" a="1"/>
  <c r="K1477" i="1" a="1"/>
  <c r="K1777" i="1" a="1"/>
  <c r="K2433" i="1" a="1"/>
  <c r="K1571" i="1" a="1"/>
  <c r="K1857" i="1" a="1"/>
  <c r="K1320" i="1" a="1"/>
  <c r="K2145" i="1" a="1"/>
  <c r="K1519" i="1" a="1"/>
  <c r="K2284" i="1" a="1"/>
  <c r="K1693" i="1" a="1"/>
  <c r="K2353" i="1" a="1"/>
  <c r="K2781" i="1" a="1"/>
  <c r="K1699" i="1" a="1"/>
  <c r="K765" i="1" a="1"/>
  <c r="K622" i="1" a="1"/>
  <c r="K713" i="1" a="1"/>
  <c r="K890" i="1" a="1"/>
  <c r="K740" i="1" a="1"/>
  <c r="K1046" i="1" a="1"/>
  <c r="K985" i="1" a="1"/>
  <c r="K272" i="1" a="1"/>
  <c r="K137" i="1" a="1"/>
  <c r="K374" i="1" a="1"/>
  <c r="K454" i="1" a="1"/>
  <c r="K962" i="1" a="1"/>
  <c r="K1592" i="1" a="1"/>
  <c r="K1057" i="1" a="1"/>
  <c r="K1473" i="1" a="1"/>
  <c r="K1588" i="1" a="1"/>
  <c r="K2036" i="1" a="1"/>
  <c r="K695" i="1" a="1"/>
  <c r="K1560" i="1" a="1"/>
  <c r="K1591" i="1" a="1"/>
  <c r="K2065" i="1" a="1"/>
  <c r="K131" i="1" a="1"/>
  <c r="K1674" i="1" a="1"/>
  <c r="K1715" i="1" a="1"/>
  <c r="K2105" i="1" a="1"/>
  <c r="K200" i="1" a="1"/>
  <c r="K1152" i="1" a="1"/>
  <c r="K227" i="1" a="1"/>
  <c r="K2190" i="1" a="1"/>
  <c r="K2201" i="1" a="1"/>
  <c r="K2607" i="1" a="1"/>
  <c r="K2643" i="1" a="1"/>
  <c r="K158" i="1" a="1"/>
  <c r="K1066" i="1" a="1"/>
  <c r="K2011" i="1" a="1"/>
  <c r="K766" i="1" a="1"/>
  <c r="K1168" i="1" a="1"/>
  <c r="K1821" i="1" a="1"/>
  <c r="K488" i="1" a="1"/>
  <c r="K1028" i="1" a="1"/>
  <c r="K1183" i="1" a="1"/>
  <c r="K1673" i="1" a="1"/>
  <c r="K1619" i="1" a="1"/>
  <c r="K2165" i="1" a="1"/>
  <c r="K1307" i="1" a="1"/>
  <c r="K1211" i="1" a="1"/>
  <c r="K722" i="1" a="1"/>
  <c r="K2333" i="1" a="1"/>
  <c r="K3030" i="1" a="1"/>
  <c r="K2250" i="1" a="1"/>
  <c r="K1118" i="1" a="1"/>
  <c r="K2351" i="1" a="1"/>
  <c r="K1292" i="1" a="1"/>
  <c r="K2438" i="1" a="1"/>
  <c r="K1145" i="1" a="1"/>
  <c r="K1849" i="1" a="1"/>
  <c r="K2837" i="1" a="1"/>
  <c r="K1831" i="1" a="1"/>
  <c r="K853" i="1" a="1"/>
  <c r="K1067" i="1" a="1"/>
  <c r="K1434" i="1" a="1"/>
  <c r="K1455" i="1" a="1"/>
  <c r="K1743" i="1" a="1"/>
  <c r="K2434" i="1" a="1"/>
  <c r="K1803" i="1" a="1"/>
  <c r="K1579" i="1" a="1"/>
  <c r="K1871" i="1" a="1"/>
  <c r="K1984" i="1" a="1"/>
  <c r="K1931" i="1" a="1"/>
  <c r="K2214" i="1" a="1"/>
  <c r="K3374" i="1" a="1"/>
  <c r="K1679" i="1" a="1"/>
  <c r="K1929" i="1" a="1"/>
  <c r="K1412" i="1" a="1"/>
  <c r="K266" i="1" a="1"/>
  <c r="K1385" i="1" a="1"/>
  <c r="K1737" i="1" a="1"/>
  <c r="K2355" i="1" a="1"/>
  <c r="K1421" i="1" a="1"/>
  <c r="K2534" i="1" a="1"/>
  <c r="K1581" i="1" a="1"/>
  <c r="K1884" i="1" a="1"/>
  <c r="K1341" i="1" a="1"/>
  <c r="K2156" i="1" a="1"/>
  <c r="K1529" i="1" a="1"/>
  <c r="K2289" i="1" a="1"/>
  <c r="K2692" i="1" a="1"/>
  <c r="K1850" i="1" a="1"/>
  <c r="K2317" i="1" a="1"/>
  <c r="K1717" i="1" a="1"/>
  <c r="K356" i="1" a="1"/>
  <c r="K519" i="1" a="1"/>
  <c r="K2017" i="1" a="1"/>
  <c r="K2335" i="1" a="1"/>
  <c r="K1661" i="1" a="1"/>
  <c r="K2221" i="1" a="1"/>
  <c r="K1589" i="1" a="1"/>
  <c r="K2294" i="1" a="1"/>
  <c r="K1553" i="1" a="1"/>
  <c r="K2367" i="1" a="1"/>
  <c r="K1965" i="1" a="1"/>
  <c r="K2440" i="1" a="1"/>
  <c r="K2038" i="1" a="1"/>
  <c r="K1754" i="1" a="1"/>
  <c r="K2695" i="1" a="1"/>
  <c r="K1901" i="1" a="1"/>
  <c r="K1069" i="1" a="1"/>
  <c r="K1071" i="1" a="1"/>
  <c r="K2254" i="1" a="1"/>
  <c r="K2639" i="1" a="1"/>
  <c r="K1547" i="1" a="1"/>
  <c r="K2285" i="1" a="1"/>
  <c r="K1511" i="1" a="1"/>
  <c r="K2358" i="1" a="1"/>
  <c r="K1954" i="1" a="1"/>
  <c r="K2431" i="1" a="1"/>
  <c r="K2051" i="1" a="1"/>
  <c r="K2499" i="1" a="1"/>
  <c r="K1139" i="1" a="1"/>
  <c r="K494" i="1" a="1"/>
  <c r="K1503" i="1" a="1"/>
  <c r="K142" i="1" a="1"/>
  <c r="K299" i="1" a="1"/>
  <c r="K84" i="1" a="1"/>
  <c r="K441" i="1" a="1"/>
  <c r="K401" i="1" a="1"/>
  <c r="K320" i="1" a="1"/>
  <c r="K402" i="1" a="1"/>
  <c r="K13" i="1" a="1"/>
  <c r="K217" i="1" a="1"/>
  <c r="K2035" i="1" a="1"/>
  <c r="K469" i="1" a="1"/>
  <c r="K1475" i="1" a="1"/>
  <c r="K1484" i="1" a="1"/>
  <c r="K2025" i="1" a="1"/>
  <c r="K1059" i="1" a="1"/>
  <c r="K1765" i="1" a="1"/>
  <c r="K1433" i="1" a="1"/>
  <c r="K2544" i="1" a="1"/>
  <c r="K134" i="1" a="1"/>
  <c r="K1797" i="1" a="1"/>
  <c r="K1540" i="1" a="1"/>
  <c r="K1948" i="1" a="1"/>
  <c r="K106" i="1" a="1"/>
  <c r="K1425" i="1" a="1"/>
  <c r="K669" i="1" a="1"/>
  <c r="K606" i="1" a="1"/>
  <c r="K1522" i="1" a="1"/>
  <c r="K1594" i="1" a="1"/>
  <c r="K1161" i="1" a="1"/>
  <c r="K1204" i="1" a="1"/>
  <c r="K1092" i="1" a="1"/>
  <c r="K2267" i="1" a="1"/>
  <c r="K1191" i="1" a="1"/>
  <c r="K1053" i="1" a="1"/>
  <c r="K1980" i="1" a="1"/>
  <c r="K680" i="1" a="1"/>
  <c r="K1994" i="1" a="1"/>
  <c r="K1663" i="1" a="1"/>
  <c r="K2160" i="1" a="1"/>
  <c r="K1417" i="1" a="1"/>
  <c r="K2297" i="1" a="1"/>
  <c r="K487" i="1" a="1"/>
  <c r="K1324" i="1" a="1"/>
  <c r="K1374" i="1" a="1"/>
  <c r="K1697" i="1" a="1"/>
  <c r="K1657" i="1" a="1"/>
  <c r="K2370" i="1" a="1"/>
  <c r="K1751" i="1" a="1"/>
  <c r="K2443" i="1" a="1"/>
  <c r="K1819" i="1" a="1"/>
  <c r="K1856" i="1" a="1"/>
  <c r="K1879" i="1" a="1"/>
  <c r="K2150" i="1" a="1"/>
  <c r="K3310" i="1" a="1"/>
  <c r="K1507" i="1" a="1"/>
  <c r="K837" i="1" a="1"/>
  <c r="K1508" i="1" a="1"/>
  <c r="K1337" i="1" a="1"/>
  <c r="K2238" i="1" a="1"/>
  <c r="K1816" i="1" a="1"/>
  <c r="K2502" i="1" a="1"/>
  <c r="K1443" i="1" a="1"/>
  <c r="K2538" i="1" a="1"/>
  <c r="K1640" i="1" a="1"/>
  <c r="K1900" i="1" a="1"/>
  <c r="K1384" i="1" a="1"/>
  <c r="K2172" i="1" a="1"/>
  <c r="K2609" i="1" a="1"/>
  <c r="K1721" i="1" a="1"/>
  <c r="K2253" i="1" a="1"/>
  <c r="K1858" i="1" a="1"/>
  <c r="K29" i="1" a="1"/>
  <c r="K265" i="1" a="1"/>
  <c r="K1973" i="1" a="1"/>
  <c r="K2269" i="1" a="1"/>
  <c r="K1541" i="1" a="1"/>
  <c r="K2157" i="1" a="1"/>
  <c r="K1671" i="1" a="1"/>
  <c r="K2226" i="1" a="1"/>
  <c r="K1826" i="1" a="1"/>
  <c r="K2303" i="1" a="1"/>
  <c r="K1634" i="1" a="1"/>
  <c r="K2376" i="1" a="1"/>
  <c r="K3320" i="1" a="1"/>
  <c r="K1860" i="1" a="1"/>
  <c r="K2663" i="1" a="1"/>
  <c r="K1770" i="1" a="1"/>
  <c r="K1617" i="1" a="1"/>
  <c r="K1022" i="1" a="1"/>
  <c r="K201" i="1" a="1"/>
  <c r="K1227" i="1" a="1"/>
  <c r="K2259" i="1" a="1"/>
  <c r="K2615" i="1" a="1"/>
  <c r="K1682" i="1" a="1"/>
  <c r="K2651" i="1" a="1"/>
  <c r="K1667" i="1" a="1"/>
  <c r="K2687" i="1" a="1"/>
  <c r="K1885" i="1" a="1"/>
  <c r="K2723" i="1" a="1"/>
  <c r="K3014" i="1" a="1"/>
  <c r="K1575" i="1" a="1"/>
  <c r="K2550" i="1" a="1"/>
  <c r="K1938" i="1" a="1"/>
  <c r="K969" i="1" a="1"/>
  <c r="K1085" i="1" a="1"/>
  <c r="K1016" i="1" a="1"/>
  <c r="K1437" i="1" a="1"/>
  <c r="K1600" i="1" a="1"/>
  <c r="K2647" i="1" a="1"/>
  <c r="K1521" i="1" a="1"/>
  <c r="K2683" i="1" a="1"/>
  <c r="K1869" i="1" a="1"/>
  <c r="K2719" i="1" a="1"/>
  <c r="K2008" i="1" a="1"/>
  <c r="K2755" i="1" a="1"/>
  <c r="K1048" i="1" a="1"/>
  <c r="K103" i="1" a="1"/>
  <c r="K44" i="1" a="1"/>
  <c r="K1262" i="1" a="1"/>
  <c r="K3" i="1" a="1"/>
  <c r="K268" i="1" a="1"/>
  <c r="K133" i="1" a="1"/>
  <c r="K80" i="1" a="1"/>
  <c r="K213" i="1" a="1"/>
  <c r="K327" i="1" a="1"/>
  <c r="K443" i="1" a="1"/>
  <c r="K389" i="1" a="1"/>
  <c r="K2187" i="1" a="1"/>
  <c r="K1631" i="1" a="1"/>
  <c r="K1110" i="1" a="1"/>
  <c r="K692" i="1" a="1"/>
  <c r="K2504" i="1" a="1"/>
  <c r="K2767" i="1" a="1"/>
  <c r="K611" i="1" a="1"/>
  <c r="K1274" i="1" a="1"/>
  <c r="K2142" i="1" a="1"/>
  <c r="K2798" i="1" a="1"/>
  <c r="K535" i="1" a="1"/>
  <c r="K1334" i="1" a="1"/>
  <c r="K2202" i="1" a="1"/>
  <c r="K2857" i="1" a="1"/>
  <c r="K1646" i="1" a="1"/>
  <c r="K636" i="1" a="1"/>
  <c r="K970" i="1" a="1"/>
  <c r="K974" i="1" a="1"/>
  <c r="K1351" i="1" a="1"/>
  <c r="K1630" i="1" a="1"/>
  <c r="K438" i="1" a="1"/>
  <c r="K1843" i="1" a="1"/>
  <c r="K1518" i="1" a="1"/>
  <c r="K2032" i="1" a="1"/>
  <c r="K733" i="1" a="1"/>
  <c r="K630" i="1" a="1"/>
  <c r="K1844" i="1" a="1"/>
  <c r="K1025" i="1" a="1"/>
  <c r="K1852" i="1" a="1"/>
  <c r="K1452" i="1" a="1"/>
  <c r="K2302" i="1" a="1"/>
  <c r="K1659" i="1" a="1"/>
  <c r="K2375" i="1" a="1"/>
  <c r="K405" i="1" a="1"/>
  <c r="K1423" i="1" a="1"/>
  <c r="K1804" i="1" a="1"/>
  <c r="K2158" i="1" a="1"/>
  <c r="K1752" i="1" a="1"/>
  <c r="K2448" i="1" a="1"/>
  <c r="K1820" i="1" a="1"/>
  <c r="K2506" i="1" a="1"/>
  <c r="K1453" i="1" a="1"/>
  <c r="K2542" i="1" a="1"/>
  <c r="K1665" i="1" a="1"/>
  <c r="K1916" i="1" a="1"/>
  <c r="K2545" i="1" a="1"/>
  <c r="K1595" i="1" a="1"/>
  <c r="K449" i="1" a="1"/>
  <c r="K1995" i="1" a="1"/>
  <c r="K2132" i="1" a="1"/>
  <c r="K2220" i="1" a="1"/>
  <c r="K1343" i="1" a="1"/>
  <c r="K1888" i="1" a="1"/>
  <c r="K1552" i="1" a="1"/>
  <c r="K2162" i="1" a="1"/>
  <c r="K1680" i="1" a="1"/>
  <c r="K2237" i="1" a="1"/>
  <c r="K1834" i="1" a="1"/>
  <c r="K2312" i="1" a="1"/>
  <c r="K3256" i="1" a="1"/>
  <c r="K2279" i="1" a="1"/>
  <c r="K2631" i="1" a="1"/>
  <c r="K1876" i="1" a="1"/>
  <c r="K1297" i="1" a="1"/>
  <c r="K874" i="1" a="1"/>
  <c r="K600" i="1" a="1"/>
  <c r="K1142" i="1" a="1"/>
  <c r="K2195" i="1" a="1"/>
  <c r="K2583" i="1" a="1"/>
  <c r="K2263" i="1" a="1"/>
  <c r="K2619" i="1" a="1"/>
  <c r="K1719" i="1" a="1"/>
  <c r="K2655" i="1" a="1"/>
  <c r="K1685" i="1" a="1"/>
  <c r="K2691" i="1" a="1"/>
  <c r="K2950" i="1" a="1"/>
  <c r="K1962" i="1" a="1"/>
  <c r="K1457" i="1" a="1"/>
  <c r="K1616" i="1" a="1"/>
  <c r="K1603" i="1" a="1"/>
  <c r="K1120" i="1" a="1"/>
  <c r="K1280" i="1" a="1"/>
  <c r="K1814" i="1" a="1"/>
  <c r="K1830" i="1" a="1"/>
  <c r="K2871" i="1" a="1"/>
  <c r="K1937" i="1" a="1"/>
  <c r="K2907" i="1" a="1"/>
  <c r="K1401" i="1" a="1"/>
  <c r="K2377" i="1" a="1"/>
  <c r="K1822" i="1" a="1"/>
  <c r="K2606" i="1" a="1"/>
  <c r="K2978" i="1" a="1"/>
  <c r="K2304" i="1" a="1"/>
  <c r="K3067" i="1" a="1"/>
  <c r="K2405" i="1" a="1"/>
  <c r="K1749" i="1" a="1"/>
  <c r="K1051" i="1" a="1"/>
  <c r="K1480" i="1" a="1"/>
  <c r="K1388" i="1" a="1"/>
  <c r="K1924" i="1" a="1"/>
  <c r="K2903" i="1" a="1"/>
  <c r="K1325" i="1" a="1"/>
  <c r="K2340" i="1" a="1"/>
  <c r="K1806" i="1" a="1"/>
  <c r="K2598" i="1" a="1"/>
  <c r="K2005" i="1" a="1"/>
  <c r="K2689" i="1" a="1"/>
  <c r="K3042" i="1" a="1"/>
  <c r="K2400" i="1" a="1"/>
  <c r="K3131" i="1" a="1"/>
  <c r="K2487" i="1" a="1"/>
  <c r="K263" i="1" a="1"/>
  <c r="K427" i="1" a="1"/>
  <c r="K1766" i="1" a="1"/>
  <c r="K2176" i="1" a="1"/>
  <c r="K2270" i="1" a="1"/>
  <c r="K338" i="1" a="1"/>
  <c r="K1063" i="1" a="1"/>
  <c r="K239" i="1" a="1"/>
  <c r="K1675" i="1" a="1"/>
  <c r="K1618" i="1" a="1"/>
  <c r="K1639" i="1" a="1"/>
  <c r="K1724" i="1" a="1"/>
  <c r="K1166" i="1" a="1"/>
  <c r="K406" i="1" a="1"/>
  <c r="K775" i="1" a="1"/>
  <c r="K2053" i="1" a="1"/>
  <c r="K2472" i="1" a="1"/>
  <c r="K2957" i="1" a="1"/>
  <c r="K2555" i="1" a="1"/>
  <c r="K2627" i="1" a="1"/>
  <c r="K710" i="1" a="1"/>
  <c r="K2807" i="1" a="1"/>
  <c r="K2879" i="1" a="1"/>
  <c r="K2141" i="1" a="1"/>
  <c r="K1157" i="1" a="1"/>
  <c r="K2868" i="1" a="1"/>
  <c r="K2989" i="1" a="1"/>
  <c r="K2419" i="1" a="1"/>
  <c r="K1306" i="1" a="1"/>
  <c r="K730" i="1" a="1"/>
  <c r="K1184" i="1" a="1"/>
  <c r="K2130" i="1" a="1"/>
  <c r="K2272" i="1" a="1"/>
  <c r="K797" i="1" a="1"/>
  <c r="K2675" i="1" a="1"/>
  <c r="K1174" i="1" a="1"/>
  <c r="K1645" i="1" a="1"/>
  <c r="K1171" i="1" a="1"/>
  <c r="K2386" i="1" a="1"/>
  <c r="K2003" i="1" a="1"/>
  <c r="K2614" i="1" a="1"/>
  <c r="K2347" i="1" a="1"/>
  <c r="K693" i="1" a="1"/>
  <c r="K1650" i="1" a="1"/>
  <c r="K1491" i="1" a="1"/>
  <c r="K2252" i="1" a="1"/>
  <c r="K1648" i="1" a="1"/>
  <c r="K282" i="1" a="1"/>
  <c r="K1428" i="1" a="1"/>
  <c r="K3172" i="1" a="1"/>
  <c r="K2223" i="1" a="1"/>
  <c r="K1769" i="1" a="1"/>
  <c r="K1268" i="1" a="1"/>
  <c r="K1742" i="1" a="1"/>
  <c r="K1772" i="1" a="1"/>
  <c r="K2180" i="1" a="1"/>
  <c r="K2009" i="1" a="1"/>
  <c r="K2153" i="1" a="1"/>
  <c r="K2616" i="1" a="1"/>
  <c r="K3219" i="1" a="1"/>
  <c r="K2993" i="1" a="1"/>
  <c r="K3228" i="1" a="1"/>
  <c r="K3066" i="1" a="1"/>
  <c r="K3237" i="1" a="1"/>
  <c r="K3113" i="1" a="1"/>
  <c r="K3342" i="1" a="1"/>
  <c r="K3245" i="1" a="1"/>
  <c r="K3413" i="1" a="1"/>
  <c r="K1792" i="1" a="1"/>
  <c r="K2384" i="1" a="1"/>
  <c r="K2068" i="1" a="1"/>
  <c r="K1415" i="1" a="1"/>
  <c r="K2338" i="1" a="1"/>
  <c r="K2411" i="1" a="1"/>
  <c r="K3196" i="1" a="1"/>
  <c r="K2749" i="1" a="1"/>
  <c r="K3721" i="1" a="1"/>
  <c r="K2756" i="1" a="1"/>
  <c r="K2203" i="1" a="1"/>
  <c r="K2330" i="1" a="1"/>
  <c r="K2116" i="1" a="1"/>
  <c r="K2481" i="1" a="1"/>
  <c r="K2402" i="1" a="1"/>
  <c r="K2475" i="1" a="1"/>
  <c r="K3260" i="1" a="1"/>
  <c r="K2927" i="1" a="1"/>
  <c r="K3753" i="1" a="1"/>
  <c r="K2945" i="1" a="1"/>
  <c r="K214" i="1" a="1"/>
  <c r="K2413" i="1" a="1"/>
  <c r="K2041" i="1" a="1"/>
  <c r="K2178" i="1" a="1"/>
  <c r="K1898" i="1" a="1"/>
  <c r="K2166" i="1" a="1"/>
  <c r="K3388" i="1" a="1"/>
  <c r="K3105" i="1" a="1"/>
  <c r="K3817" i="1" a="1"/>
  <c r="K3114" i="1" a="1"/>
  <c r="K3821" i="1" a="1"/>
  <c r="K3119" i="1" a="1"/>
  <c r="K3825" i="1" a="1"/>
  <c r="K3224" i="1" a="1"/>
  <c r="K3861" i="1" a="1"/>
  <c r="K3311" i="1" a="1"/>
  <c r="K2170" i="1" a="1"/>
  <c r="K1220" i="1" a="1"/>
  <c r="K1946" i="1" a="1"/>
  <c r="K3430" i="1" a="1"/>
  <c r="K3025" i="1" a="1"/>
  <c r="K2673" i="1" a="1"/>
  <c r="K4002" i="1" a="1"/>
  <c r="K3273" i="1" a="1"/>
  <c r="K2881" i="1" a="1"/>
  <c r="K3626" i="1" a="1"/>
  <c r="K3010" i="1" a="1"/>
  <c r="K3662" i="1" a="1"/>
  <c r="K4202" i="1" a="1"/>
  <c r="K2872" i="1" a="1"/>
  <c r="K3858" i="1" a="1"/>
  <c r="K2924" i="1" a="1"/>
  <c r="K2095" i="1" a="1"/>
  <c r="K2218" i="1" a="1"/>
  <c r="K3489" i="1" a="1"/>
  <c r="K3913" i="1" a="1"/>
  <c r="K3661" i="1" a="1"/>
  <c r="K2331" i="1" a="1"/>
  <c r="K2509" i="1" a="1"/>
  <c r="K3701" i="1" a="1"/>
  <c r="K2720" i="1" a="1"/>
  <c r="K3914" i="1" a="1"/>
  <c r="K3038" i="1" a="1"/>
  <c r="K11" i="1" a="1"/>
  <c r="K757" i="1" a="1"/>
  <c r="K675" i="1" a="1"/>
  <c r="K2039" i="1" a="1"/>
  <c r="K2721" i="1" a="1"/>
  <c r="K1458" i="1" a="1"/>
  <c r="K1526" i="1" a="1"/>
  <c r="K1206" i="1" a="1"/>
  <c r="K1701" i="1" a="1"/>
  <c r="K1017" i="1" a="1"/>
  <c r="K1604" i="1" a="1"/>
  <c r="K318" i="1" a="1"/>
  <c r="K1801" i="1" a="1"/>
  <c r="K1573" i="1" a="1"/>
  <c r="K3192" i="1" a="1"/>
  <c r="K2392" i="1" a="1"/>
  <c r="K2199" i="1" a="1"/>
  <c r="K1828" i="1" a="1"/>
  <c r="K2887" i="1" a="1"/>
  <c r="K1660" i="1" a="1"/>
  <c r="K1838" i="1" a="1"/>
  <c r="K1447" i="1" a="1"/>
  <c r="K3003" i="1" a="1"/>
  <c r="K1785" i="1" a="1"/>
  <c r="K2185" i="1" a="1"/>
  <c r="K2373" i="1" a="1"/>
  <c r="K2288" i="1" a="1"/>
  <c r="K2357" i="1" a="1"/>
  <c r="K891" i="1" a="1"/>
  <c r="K1644" i="1" a="1"/>
  <c r="K1523" i="1" a="1"/>
  <c r="K1713" i="1" a="1"/>
  <c r="K1513" i="1" a="1"/>
  <c r="K3054" i="1" a="1"/>
  <c r="K1893" i="1" a="1"/>
  <c r="K1264" i="1" a="1"/>
  <c r="K248" i="1" a="1"/>
  <c r="K696" i="1" a="1"/>
  <c r="K2327" i="1" a="1"/>
  <c r="K1272" i="1" a="1"/>
  <c r="K2349" i="1" a="1"/>
  <c r="K1928" i="1" a="1"/>
  <c r="K1811" i="1" a="1"/>
  <c r="K1977" i="1" a="1"/>
  <c r="K1692" i="1" a="1"/>
  <c r="K1794" i="1" a="1"/>
  <c r="K2124" i="1" a="1"/>
  <c r="K1760" i="1" a="1"/>
  <c r="K2320" i="1" a="1"/>
  <c r="K2004" i="1" a="1"/>
  <c r="K2514" i="1" a="1"/>
  <c r="K2374" i="1" a="1"/>
  <c r="K1897" i="1" a="1"/>
  <c r="K3132" i="1" a="1"/>
  <c r="K2633" i="1" a="1"/>
  <c r="K3689" i="1" a="1"/>
  <c r="K2653" i="1" a="1"/>
  <c r="K3693" i="1" a="1"/>
  <c r="K2660" i="1" a="1"/>
  <c r="K3697" i="1" a="1"/>
  <c r="K2788" i="1" a="1"/>
  <c r="K3733" i="1" a="1"/>
  <c r="K2977" i="1" a="1"/>
  <c r="K527" i="1" a="1"/>
  <c r="K2657" i="1" a="1"/>
  <c r="K2186" i="1" a="1"/>
  <c r="K2819" i="1" a="1"/>
  <c r="K2426" i="1" a="1"/>
  <c r="K2522" i="1" a="1"/>
  <c r="K3553" i="1" a="1"/>
  <c r="K2648" i="1" a="1"/>
  <c r="K3200" i="1" a="1"/>
  <c r="K2654" i="1" a="1"/>
  <c r="K778" i="1" a="1"/>
  <c r="K3099" i="1" a="1"/>
  <c r="K2282" i="1" a="1"/>
  <c r="K2851" i="1" a="1"/>
  <c r="K2490" i="1" a="1"/>
  <c r="K1694" i="1" a="1"/>
  <c r="K2280" i="1" a="1"/>
  <c r="K2750" i="1" a="1"/>
  <c r="K3327" i="1" a="1"/>
  <c r="K2769" i="1" a="1"/>
  <c r="K1082" i="1" a="1"/>
  <c r="K889" i="1" a="1"/>
  <c r="K2324" i="1" a="1"/>
  <c r="K2841" i="1" a="1"/>
  <c r="K2189" i="1" a="1"/>
  <c r="K2204" i="1" a="1"/>
  <c r="K2625" i="1" a="1"/>
  <c r="K2913" i="1" a="1"/>
  <c r="K2644" i="1" a="1"/>
  <c r="K2918" i="1" a="1"/>
  <c r="K2746" i="1" a="1"/>
  <c r="K2923" i="1" a="1"/>
  <c r="K2797" i="1" a="1"/>
  <c r="K3019" i="1" a="1"/>
  <c r="K3225" i="1" a="1"/>
  <c r="K3115" i="1" a="1"/>
  <c r="K1805" i="1" a="1"/>
  <c r="K1892" i="1" a="1"/>
  <c r="K3457" i="1" a="1"/>
  <c r="K3881" i="1" a="1"/>
  <c r="K3629" i="1" a="1"/>
  <c r="K2969" i="1" a="1"/>
  <c r="K3540" i="1" a="1"/>
  <c r="K3669" i="1" a="1"/>
  <c r="K2441" i="1" a="1"/>
  <c r="K3882" i="1" a="1"/>
  <c r="K2974" i="1" a="1"/>
  <c r="K3918" i="1" a="1"/>
  <c r="K3323" i="1" a="1"/>
  <c r="K3363" i="1" a="1"/>
  <c r="K3226" i="1" a="1"/>
  <c r="K3415" i="1" a="1"/>
  <c r="K2590" i="1" a="1"/>
  <c r="K2696" i="1" a="1"/>
  <c r="K2578" i="1" a="1"/>
  <c r="K3770" i="1" a="1"/>
  <c r="K3334" i="1" a="1"/>
  <c r="K3203" i="1" a="1"/>
  <c r="K3086" i="1" a="1"/>
  <c r="K3522" i="1" a="1"/>
  <c r="K3349" i="1" a="1"/>
  <c r="K3389" i="1" a="1"/>
  <c r="K2235" i="1" a="1"/>
  <c r="K2103" i="1" a="1"/>
  <c r="K1942" i="1" a="1"/>
  <c r="K902" i="1" a="1"/>
  <c r="K1217" i="1" a="1"/>
  <c r="K107" i="1" a="1"/>
  <c r="K2414" i="1" a="1"/>
  <c r="K2092" i="1" a="1"/>
  <c r="K2109" i="1" a="1"/>
  <c r="K1921" i="1" a="1"/>
  <c r="K1229" i="1" a="1"/>
  <c r="K1874" i="1" a="1"/>
  <c r="K1490" i="1" a="1"/>
  <c r="K1782" i="1" a="1"/>
  <c r="K689" i="1" a="1"/>
  <c r="K2087" i="1" a="1"/>
  <c r="K2215" i="1" a="1"/>
  <c r="K2854" i="1" a="1"/>
  <c r="K1438" i="1" a="1"/>
  <c r="K1311" i="1" a="1"/>
  <c r="K1956" i="1" a="1"/>
  <c r="K2939" i="1" a="1"/>
  <c r="K1741" i="1" a="1"/>
  <c r="K1959" i="1" a="1"/>
  <c r="K2295" i="1" a="1"/>
  <c r="K1165" i="1" a="1"/>
  <c r="K2021" i="1" a="1"/>
  <c r="K2378" i="1" a="1"/>
  <c r="K1974" i="1" a="1"/>
  <c r="K2381" i="1" a="1"/>
  <c r="K185" i="1" a="1"/>
  <c r="K1283" i="1" a="1"/>
  <c r="K1299" i="1" a="1"/>
  <c r="K1497" i="1" a="1"/>
  <c r="K1684" i="1" a="1"/>
  <c r="K1761" i="1" a="1"/>
  <c r="K2936" i="1" a="1"/>
  <c r="K1925" i="1" a="1"/>
  <c r="K1545" i="1" a="1"/>
  <c r="K1182" i="1" a="1"/>
  <c r="K941" i="1" a="1"/>
  <c r="K1416" i="1" a="1"/>
  <c r="K1468" i="1" a="1"/>
  <c r="K2679" i="1" a="1"/>
  <c r="K1861" i="1" a="1"/>
  <c r="K1249" i="1" a="1"/>
  <c r="K2306" i="1" a="1"/>
  <c r="K2151" i="1" a="1"/>
  <c r="K2471" i="1" a="1"/>
  <c r="K2296" i="1" a="1"/>
  <c r="K852" i="1" a="1"/>
  <c r="K2582" i="1" a="1"/>
  <c r="K1730" i="1" a="1"/>
  <c r="K2787" i="1" a="1"/>
  <c r="K1585" i="1" a="1"/>
  <c r="K2485" i="1" a="1"/>
  <c r="K3521" i="1" a="1"/>
  <c r="K2554" i="1" a="1"/>
  <c r="K2740" i="1" a="1"/>
  <c r="K2570" i="1" a="1"/>
  <c r="K2961" i="1" a="1"/>
  <c r="K2586" i="1" a="1"/>
  <c r="K3034" i="1" a="1"/>
  <c r="K2680" i="1" a="1"/>
  <c r="K3268" i="1" a="1"/>
  <c r="K2814" i="1" a="1"/>
  <c r="K1895" i="1" a="1"/>
  <c r="K1756" i="1" a="1"/>
  <c r="K2510" i="1" a="1"/>
  <c r="K2600" i="1" a="1"/>
  <c r="K2759" i="1" a="1"/>
  <c r="K1968" i="1" a="1"/>
  <c r="K3082" i="1" a="1"/>
  <c r="K2642" i="1" a="1"/>
  <c r="K3578" i="1" a="1"/>
  <c r="K2668" i="1" a="1"/>
  <c r="K2247" i="1" a="1"/>
  <c r="K1753" i="1" a="1"/>
  <c r="K2412" i="1" a="1"/>
  <c r="K2672" i="1" a="1"/>
  <c r="K2791" i="1" a="1"/>
  <c r="K2194" i="1" a="1"/>
  <c r="K3146" i="1" a="1"/>
  <c r="K2770" i="1" a="1"/>
  <c r="K3610" i="1" a="1"/>
  <c r="K2789" i="1" a="1"/>
  <c r="K2260" i="1" a="1"/>
  <c r="K2031" i="1" a="1"/>
  <c r="K1932" i="1" a="1"/>
  <c r="K3118" i="1" a="1"/>
  <c r="K2855" i="1" a="1"/>
  <c r="K2326" i="1" a="1"/>
  <c r="K3274" i="1" a="1"/>
  <c r="K3033" i="1" a="1"/>
  <c r="K3674" i="1" a="1"/>
  <c r="K3047" i="1" a="1"/>
  <c r="K3678" i="1" a="1"/>
  <c r="K3065" i="1" a="1"/>
  <c r="K3682" i="1" a="1"/>
  <c r="K2404" i="1" a="1"/>
  <c r="K3718" i="1" a="1"/>
  <c r="K2636" i="1" a="1"/>
  <c r="K2486" i="1" a="1"/>
  <c r="K672" i="1" a="1"/>
  <c r="K315" i="1" a="1"/>
  <c r="K518" i="1" a="1"/>
  <c r="K505" i="1" a="1"/>
  <c r="K1322" i="1" a="1"/>
  <c r="K1578" i="1" a="1"/>
  <c r="K903" i="1" a="1"/>
  <c r="K1839" i="1" a="1"/>
  <c r="K1096" i="1" a="1"/>
  <c r="K1483" i="1" a="1"/>
  <c r="K2316" i="1" a="1"/>
  <c r="K1909" i="1" a="1"/>
  <c r="K2458" i="1" a="1"/>
  <c r="K2173" i="1" a="1"/>
  <c r="K2227" i="1" a="1"/>
  <c r="K3021" i="1" a="1"/>
  <c r="K2587" i="1" a="1"/>
  <c r="K2659" i="1" a="1"/>
  <c r="K1967" i="1" a="1"/>
  <c r="K1074" i="1" a="1"/>
  <c r="K2875" i="1" a="1"/>
  <c r="K2450" i="1" a="1"/>
  <c r="K2309" i="1" a="1"/>
  <c r="K1848" i="1" a="1"/>
  <c r="K2980" i="1" a="1"/>
  <c r="K3126" i="1" a="1"/>
  <c r="K1239" i="1" a="1"/>
  <c r="K112" i="1" a="1"/>
  <c r="K1368" i="1" a="1"/>
  <c r="K2174" i="1" a="1"/>
  <c r="K2281" i="1" a="1"/>
  <c r="K2368" i="1" a="1"/>
  <c r="K2469" i="1" a="1"/>
  <c r="K2562" i="1" a="1"/>
  <c r="K1983" i="1" a="1"/>
  <c r="K1736" i="1" a="1"/>
  <c r="K1366" i="1" a="1"/>
  <c r="K370" i="1" a="1"/>
  <c r="K1304" i="1" a="1"/>
  <c r="K1479" i="1" a="1"/>
  <c r="K2264" i="1" a="1"/>
  <c r="K1758" i="1" a="1"/>
  <c r="K1338" i="1" a="1"/>
  <c r="K2743" i="1" a="1"/>
  <c r="K2520" i="1" a="1"/>
  <c r="K2595" i="1" a="1"/>
  <c r="K2518" i="1" a="1"/>
  <c r="K1851" i="1" a="1"/>
  <c r="K1683" i="1" a="1"/>
  <c r="K2462" i="1" a="1"/>
  <c r="K2716" i="1" a="1"/>
  <c r="K2599" i="1" a="1"/>
  <c r="K1451" i="1" a="1"/>
  <c r="K3018" i="1" a="1"/>
  <c r="K2046" i="1" a="1"/>
  <c r="K3480" i="1" a="1"/>
  <c r="K2110" i="1" a="1"/>
  <c r="K3496" i="1" a="1"/>
  <c r="K2248" i="1" a="1"/>
  <c r="K3512" i="1" a="1"/>
  <c r="K2700" i="1" a="1"/>
  <c r="K3590" i="1" a="1"/>
  <c r="K2821" i="1" a="1"/>
  <c r="K1899" i="1" a="1"/>
  <c r="K2037" i="1" a="1"/>
  <c r="K2783" i="1" a="1"/>
  <c r="K2094" i="1" a="1"/>
  <c r="K3195" i="1" a="1"/>
  <c r="K2571" i="1" a="1"/>
  <c r="K2718" i="1" a="1"/>
  <c r="K2840" i="1" a="1"/>
  <c r="K3834" i="1" a="1"/>
  <c r="K2845" i="1" a="1"/>
  <c r="K2255" i="1" a="1"/>
  <c r="K2437" i="1" a="1"/>
  <c r="K2815" i="1" a="1"/>
  <c r="K3000" i="1" a="1"/>
  <c r="K2184" i="1" a="1"/>
  <c r="K2603" i="1" a="1"/>
  <c r="K2808" i="1" a="1"/>
  <c r="K2882" i="1" a="1"/>
  <c r="K3866" i="1" a="1"/>
  <c r="K2888" i="1" a="1"/>
  <c r="K2276" i="1" a="1"/>
  <c r="K2181" i="1" a="1"/>
  <c r="K2760" i="1" a="1"/>
  <c r="K3128" i="1" a="1"/>
  <c r="K1586" i="1" a="1"/>
  <c r="K2667" i="1" a="1"/>
  <c r="K2908" i="1" a="1"/>
  <c r="K2997" i="1" a="1"/>
  <c r="K3930" i="1" a="1"/>
  <c r="K3006" i="1" a="1"/>
  <c r="K3934" i="1" a="1"/>
  <c r="K3011" i="1" a="1"/>
  <c r="K3938" i="1" a="1"/>
  <c r="K3084" i="1" a="1"/>
  <c r="K3974" i="1" a="1"/>
  <c r="K3157" i="1" a="1"/>
  <c r="K2047" i="1" a="1"/>
  <c r="K1316" i="1" a="1"/>
  <c r="K2992" i="1" a="1"/>
  <c r="K3144" i="1" a="1"/>
  <c r="K3646" i="1" a="1"/>
  <c r="K3208" i="1" a="1"/>
  <c r="K2577" i="1" a="1"/>
  <c r="K3686" i="1" a="1"/>
  <c r="K3339" i="1" a="1"/>
  <c r="K2645" i="1" a="1"/>
  <c r="K3456" i="1" a="1"/>
  <c r="K3639" i="1" a="1"/>
  <c r="K2704" i="1" a="1"/>
  <c r="K3736" i="1" a="1"/>
  <c r="K2825" i="1" a="1"/>
  <c r="K2829" i="1" a="1"/>
  <c r="K2495" i="1" a="1"/>
  <c r="K1840" i="1" a="1"/>
  <c r="K3141" i="1" a="1"/>
  <c r="K3150" i="1" a="1"/>
  <c r="K4030" i="1" a="1"/>
  <c r="K3368" i="1" a="1"/>
  <c r="K2876" i="1" a="1"/>
  <c r="K2804" i="1" a="1"/>
  <c r="K3136" i="1" a="1"/>
  <c r="K2931" i="1" a="1"/>
  <c r="K2574" i="1" a="1"/>
  <c r="K3246" i="1" a="1"/>
  <c r="K2948" i="1" a="1"/>
  <c r="K838" i="1" a="1"/>
  <c r="K81" i="1" a="1"/>
  <c r="K342" i="1" a="1"/>
  <c r="K1435" i="1" a="1"/>
  <c r="K1985" i="1" a="1"/>
  <c r="K2027" i="1" a="1"/>
  <c r="K1664" i="1" a="1"/>
  <c r="K2239" i="1" a="1"/>
  <c r="K1612" i="1" a="1"/>
  <c r="K2049" i="1" a="1"/>
  <c r="K2399" i="1" a="1"/>
  <c r="K176" i="1" a="1"/>
  <c r="K2519" i="1" a="1"/>
  <c r="K2591" i="1" a="1"/>
  <c r="K1568" i="1" a="1"/>
  <c r="K1623" i="1" a="1"/>
  <c r="K2843" i="1" a="1"/>
  <c r="K2915" i="1" a="1"/>
  <c r="K2233" i="1" a="1"/>
  <c r="K2442" i="1" a="1"/>
  <c r="K2916" i="1" a="1"/>
  <c r="K3062" i="1" a="1"/>
  <c r="K1536" i="1" a="1"/>
  <c r="K2408" i="1" a="1"/>
  <c r="K1192" i="1" a="1"/>
  <c r="K3090" i="1" a="1"/>
  <c r="K1373" i="1" a="1"/>
  <c r="K980" i="1" a="1"/>
  <c r="K2265" i="1" a="1"/>
  <c r="K2369" i="1" a="1"/>
  <c r="K2460" i="1" a="1"/>
  <c r="K1963" i="1" a="1"/>
  <c r="K2197" i="1" a="1"/>
  <c r="K3078" i="1" a="1"/>
  <c r="K2256" i="1" a="1"/>
  <c r="K2063" i="1" a="1"/>
  <c r="K1781" i="1" a="1"/>
  <c r="K753" i="1" a="1"/>
  <c r="K2671" i="1" a="1"/>
  <c r="K1226" i="1" a="1"/>
  <c r="K3035" i="1" a="1"/>
  <c r="K2359" i="1" a="1"/>
  <c r="K1212" i="1" a="1"/>
  <c r="K1668" i="1" a="1"/>
  <c r="K2398" i="1" a="1"/>
  <c r="K2541" i="1" a="1"/>
  <c r="K2567" i="1" a="1"/>
  <c r="K1855" i="1" a="1"/>
  <c r="K1996" i="1" a="1"/>
  <c r="K2751" i="1" a="1"/>
  <c r="K3545" i="1" a="1"/>
  <c r="K2889" i="1" a="1"/>
  <c r="K2539" i="1" a="1"/>
  <c r="K2641" i="1" a="1"/>
  <c r="K2758" i="1" a="1"/>
  <c r="K3802" i="1" a="1"/>
  <c r="K2777" i="1" a="1"/>
  <c r="K3806" i="1" a="1"/>
  <c r="K2784" i="1" a="1"/>
  <c r="K3810" i="1" a="1"/>
  <c r="K2856" i="1" a="1"/>
  <c r="K3846" i="1" a="1"/>
  <c r="K2904" i="1" a="1"/>
  <c r="K1991" i="1" a="1"/>
  <c r="K2453" i="1" a="1"/>
  <c r="K1339" i="1" a="1"/>
  <c r="K3206" i="1" a="1"/>
  <c r="K1718" i="1" a="1"/>
  <c r="K2827" i="1" a="1"/>
  <c r="K3220" i="1" a="1"/>
  <c r="K3317" i="1" a="1"/>
  <c r="K3130" i="1" a="1"/>
  <c r="K3326" i="1" a="1"/>
  <c r="K2177" i="1" a="1"/>
  <c r="K2339" i="1" a="1"/>
  <c r="K1620" i="1" a="1"/>
  <c r="K2290" i="1" a="1"/>
  <c r="K1783" i="1" a="1"/>
  <c r="K2859" i="1" a="1"/>
  <c r="K2436" i="1" a="1"/>
  <c r="K3381" i="1" a="1"/>
  <c r="K3255" i="1" a="1"/>
  <c r="K3390" i="1" a="1"/>
  <c r="K2895" i="1" a="1"/>
  <c r="K2467" i="1" a="1"/>
  <c r="K1691" i="1" a="1"/>
  <c r="K2548" i="1" a="1"/>
  <c r="K1887" i="1" a="1"/>
  <c r="K1920" i="1" a="1"/>
  <c r="K2764" i="1" a="1"/>
  <c r="K3451" i="1" a="1"/>
  <c r="K3454" i="1" a="1"/>
  <c r="K3455" i="1" a="1"/>
  <c r="K3470" i="1" a="1"/>
  <c r="K3459" i="1" a="1"/>
  <c r="K3486" i="1" a="1"/>
  <c r="K3495" i="1" a="1"/>
  <c r="K2810" i="1" a="1"/>
  <c r="K3531" i="1" a="1"/>
  <c r="K2476" i="1" a="1"/>
  <c r="K2101" i="1" a="1"/>
  <c r="K3045" i="1" a="1"/>
  <c r="K3059" i="1" a="1"/>
  <c r="K3998" i="1" a="1"/>
  <c r="K3098" i="1" a="1"/>
  <c r="K2801" i="1" a="1"/>
  <c r="K4038" i="1" a="1"/>
  <c r="K2621" i="1" a="1"/>
  <c r="K2869" i="1" a="1"/>
  <c r="K3161" i="1" a="1"/>
  <c r="K3895" i="1" a="1"/>
  <c r="K3365" i="1" a="1"/>
  <c r="K3296" i="1" a="1"/>
  <c r="K3433" i="1" a="1"/>
  <c r="K1622" i="1" a="1"/>
  <c r="K1445" i="1" a="1"/>
  <c r="K2421" i="1" a="1"/>
  <c r="K3361" i="1" a="1"/>
  <c r="K1833" i="1" a="1"/>
  <c r="K3591" i="1" a="1"/>
  <c r="K3665" i="1" a="1"/>
  <c r="K2620" i="1" a="1"/>
  <c r="K2748" i="1" a="1"/>
  <c r="K3484" i="1" a="1"/>
  <c r="K3505" i="1" a="1"/>
  <c r="K2394" i="1" a="1"/>
  <c r="K1784" i="1" a="1"/>
  <c r="K69" i="1" a="1"/>
  <c r="K308" i="1" a="1"/>
  <c r="K820" i="1" a="1"/>
  <c r="K1119" i="1" a="1"/>
  <c r="K849" i="1" a="1"/>
  <c r="K705" i="1" a="1"/>
  <c r="K754" i="1" a="1"/>
  <c r="K1911" i="1" a="1"/>
  <c r="K1196" i="1" a="1"/>
  <c r="K1498" i="1" a="1"/>
  <c r="K1729" i="1" a="1"/>
  <c r="K2100" i="1" a="1"/>
  <c r="K1364" i="1" a="1"/>
  <c r="K1689" i="1" a="1"/>
  <c r="K1006" i="1" a="1"/>
  <c r="K2143" i="1" a="1"/>
  <c r="K2271" i="1" a="1"/>
  <c r="K2897" i="1" a="1"/>
  <c r="K1517" i="1" a="1"/>
  <c r="K2148" i="1" a="1"/>
  <c r="K1950" i="1" a="1"/>
  <c r="K2828" i="1" a="1"/>
  <c r="K1607" i="1" a="1"/>
  <c r="K1934" i="1" a="1"/>
  <c r="K2286" i="1" a="1"/>
  <c r="K1131" i="1" a="1"/>
  <c r="K1580" i="1" a="1"/>
  <c r="K1430" i="1" a="1"/>
  <c r="K1621" i="1" a="1"/>
  <c r="K2010" i="1" a="1"/>
  <c r="K2098" i="1" a="1"/>
  <c r="K2224" i="1" a="1"/>
  <c r="K2329" i="1" a="1"/>
  <c r="K1230" i="1" a="1"/>
  <c r="K2352" i="1" a="1"/>
  <c r="K2028" i="1" a="1"/>
  <c r="K594" i="1" a="1"/>
  <c r="K1608" i="1" a="1"/>
  <c r="K1672" i="1" a="1"/>
  <c r="K2451" i="1" a="1"/>
  <c r="K1261" i="1" a="1"/>
  <c r="K1926" i="1" a="1"/>
  <c r="K1248" i="1" a="1"/>
  <c r="K2052" i="1" a="1"/>
  <c r="K2559" i="1" a="1"/>
  <c r="K3513" i="1" a="1"/>
  <c r="K2846" i="1" a="1"/>
  <c r="K1894" i="1" a="1"/>
  <c r="K2389" i="1" a="1"/>
  <c r="K1486" i="1" a="1"/>
  <c r="K3142" i="1" a="1"/>
  <c r="K1253" i="1" a="1"/>
  <c r="K2795" i="1" a="1"/>
  <c r="K3156" i="1" a="1"/>
  <c r="K3253" i="1" a="1"/>
  <c r="K2589" i="1" a="1"/>
  <c r="K3262" i="1" a="1"/>
  <c r="K2650" i="1" a="1"/>
  <c r="K3267" i="1" a="1"/>
  <c r="K2701" i="1" a="1"/>
  <c r="K3340" i="1" a="1"/>
  <c r="K3167" i="1" a="1"/>
  <c r="K3403" i="1" a="1"/>
  <c r="K1726" i="1" a="1"/>
  <c r="K2747" i="1" a="1"/>
  <c r="K1464" i="1" a="1"/>
  <c r="K1535" i="1" a="1"/>
  <c r="K1255" i="1" a="1"/>
  <c r="K2852" i="1" a="1"/>
  <c r="K2564" i="1" a="1"/>
  <c r="K3159" i="1" a="1"/>
  <c r="K3508" i="1" a="1"/>
  <c r="K3184" i="1" a="1"/>
  <c r="K2246" i="1" a="1"/>
  <c r="K2779" i="1" a="1"/>
  <c r="K1817" i="1" a="1"/>
  <c r="K1700" i="1" a="1"/>
  <c r="K1467" i="1" a="1"/>
  <c r="K2894" i="1" a="1"/>
  <c r="K2628" i="1" a="1"/>
  <c r="K3287" i="1" a="1"/>
  <c r="K3587" i="1" a="1"/>
  <c r="K3295" i="1" a="1"/>
  <c r="K2070" i="1" a="1"/>
  <c r="K2664" i="1" a="1"/>
  <c r="K1584" i="1" a="1"/>
  <c r="K1732" i="1" a="1"/>
  <c r="K1353" i="1" a="1"/>
  <c r="K3012" i="1" a="1"/>
  <c r="K2684" i="1" a="1"/>
  <c r="K3504" i="1" a="1"/>
  <c r="K2690" i="1" a="1"/>
  <c r="K3520" i="1" a="1"/>
  <c r="K2709" i="1" a="1"/>
  <c r="K3536" i="1" a="1"/>
  <c r="K2930" i="1" a="1"/>
  <c r="K3596" i="1" a="1"/>
  <c r="K3017" i="1" a="1"/>
  <c r="K426" i="1" a="1"/>
  <c r="K1823" i="1" a="1"/>
  <c r="K2293" i="1" a="1"/>
  <c r="K3279" i="1" a="1"/>
  <c r="K3288" i="1" a="1"/>
  <c r="K3524" i="1" a="1"/>
  <c r="K3633" i="1" a="1"/>
  <c r="K3074" i="1" a="1"/>
  <c r="K2525" i="1" a="1"/>
  <c r="K3375" i="1" a="1"/>
  <c r="K3465" i="1" a="1"/>
  <c r="K3500" i="1" a="1"/>
  <c r="K4216" i="1" a="1"/>
  <c r="K2826" i="1" a="1"/>
  <c r="K3745" i="1" a="1"/>
  <c r="K3009" i="1" a="1"/>
  <c r="K2337" i="1" a="1"/>
  <c r="K1882" i="1" a="1"/>
  <c r="K2507" i="1" a="1"/>
  <c r="K2681" i="1" a="1"/>
  <c r="K2688" i="1" a="1"/>
  <c r="K2981" i="1" a="1"/>
  <c r="K3341" i="1" a="1"/>
  <c r="K3276" i="1" a="1"/>
  <c r="K3173" i="1" a="1"/>
  <c r="K3801" i="1" a="1"/>
  <c r="K3160" i="1" a="1"/>
  <c r="K1986" i="1" a="1"/>
  <c r="K2466" i="1" a="1"/>
  <c r="K2561" i="1" a="1"/>
  <c r="K1350" i="1" a="1"/>
  <c r="K1557" i="1" a="1"/>
  <c r="K2328" i="1" a="1"/>
  <c r="K2108" i="1" a="1"/>
  <c r="K2121" i="1" a="1"/>
  <c r="K2291" i="1" a="1"/>
  <c r="K1734" i="1" a="1"/>
  <c r="K2348" i="1" a="1"/>
  <c r="K2013" i="1" a="1"/>
  <c r="K2090" i="1" a="1"/>
  <c r="K2379" i="1" a="1"/>
  <c r="K2000" i="1" a="1"/>
  <c r="K1688" i="1" a="1"/>
  <c r="K3384" i="1" a="1"/>
  <c r="K3412" i="1" a="1"/>
  <c r="K1678" i="1" a="1"/>
  <c r="K2084" i="1" a="1"/>
  <c r="K2632" i="1" a="1"/>
  <c r="K1440" i="1" a="1"/>
  <c r="K2729" i="1" a="1"/>
  <c r="K1922" i="1" a="1"/>
  <c r="K1886" i="1" a="1"/>
  <c r="K2901" i="1" a="1"/>
  <c r="K2995" i="1" a="1"/>
  <c r="K2457" i="1" a="1"/>
  <c r="K3738" i="1" a="1"/>
  <c r="K3650" i="1" a="1"/>
  <c r="K3769" i="1" a="1"/>
  <c r="K3406" i="1" a="1"/>
  <c r="K3602" i="1" a="1"/>
  <c r="K3182" i="1" a="1"/>
  <c r="K3271" i="1" a="1"/>
  <c r="K4034" i="1" a="1"/>
  <c r="K3538" i="1" a="1"/>
  <c r="K2527" i="1" a="1"/>
  <c r="K2345" i="1" a="1"/>
  <c r="K2418" i="1" a="1"/>
  <c r="K3742" i="1" a="1"/>
  <c r="K3408" i="1" a="1"/>
  <c r="K2968" i="1" a="1"/>
  <c r="K3782" i="1" a="1"/>
  <c r="K3568" i="1" a="1"/>
  <c r="K2944" i="1" a="1"/>
  <c r="K3604" i="1" a="1"/>
  <c r="K3703" i="1" a="1"/>
  <c r="K2874" i="1" a="1"/>
  <c r="K3185" i="1" a="1"/>
  <c r="K2958" i="1" a="1"/>
  <c r="K3332" i="1" a="1"/>
  <c r="K2360" i="1" a="1"/>
  <c r="K2231" i="1" a="1"/>
  <c r="K3063" i="1" a="1"/>
  <c r="K3072" i="1" a="1"/>
  <c r="K3870" i="1" a="1"/>
  <c r="K3656" i="1" a="1"/>
  <c r="K3306" i="1" a="1"/>
  <c r="K1323" i="1" a="1"/>
  <c r="K2076" i="1" a="1"/>
  <c r="K3324" i="1" a="1"/>
  <c r="K3785" i="1" a="1"/>
  <c r="K3436" i="1" a="1"/>
  <c r="K2693" i="1" a="1"/>
  <c r="K3193" i="1" a="1"/>
  <c r="K3573" i="1" a="1"/>
  <c r="K3001" i="1" a="1"/>
  <c r="K3818" i="1" a="1"/>
  <c r="K1695" i="1" a="1"/>
  <c r="K3565" i="1" a="1"/>
  <c r="K3075" i="1" a="1"/>
  <c r="K2022" i="1" a="1"/>
  <c r="K2427" i="1" a="1"/>
  <c r="K3886" i="1" a="1"/>
  <c r="K3109" i="1" a="1"/>
  <c r="K3104" i="1" a="1"/>
  <c r="K3372" i="1" a="1"/>
  <c r="K3359" i="1" a="1"/>
  <c r="K4072" i="1" a="1"/>
  <c r="K4079" i="1" a="1"/>
  <c r="K3667" i="1" a="1"/>
  <c r="K4136" i="1" a="1"/>
  <c r="K4050" i="1" a="1"/>
  <c r="K4260" i="1" a="1"/>
  <c r="K4199" i="1" a="1"/>
  <c r="K844" i="1" a="1"/>
  <c r="K2964" i="1" a="1"/>
  <c r="K3041" i="1" a="1"/>
  <c r="K3878" i="1" a="1"/>
  <c r="K2086" i="1" a="1"/>
  <c r="K3598" i="1" a="1"/>
  <c r="K2953" i="1" a="1"/>
  <c r="K3777" i="1" a="1"/>
  <c r="K2834" i="1" a="1"/>
  <c r="K3106" i="1" a="1"/>
  <c r="K4139" i="1" a="1"/>
  <c r="K4262" i="1" a="1"/>
  <c r="K3752" i="1" a="1"/>
  <c r="K4110" i="1" a="1"/>
  <c r="K4183" i="1" a="1"/>
  <c r="K3562" i="1" a="1"/>
  <c r="K3824" i="1" a="1"/>
  <c r="K4159" i="1" a="1"/>
  <c r="K3832" i="1" a="1"/>
  <c r="K4278" i="1" a="1"/>
  <c r="K3795" i="1" a="1"/>
  <c r="K4305" i="1" a="1"/>
  <c r="K3483" i="1" a="1"/>
  <c r="K2585" i="1" a="1"/>
  <c r="K3767" i="1" a="1"/>
  <c r="K3123" i="1" a="1"/>
  <c r="K4309" i="1" a="1"/>
  <c r="K4080" i="1" a="1"/>
  <c r="K4095" i="1" a="1"/>
  <c r="K1072" i="1" a="1"/>
  <c r="K3028" i="1" a="1"/>
  <c r="K1969" i="1" a="1"/>
  <c r="K3910" i="1" a="1"/>
  <c r="K2584" i="1" a="1"/>
  <c r="K3630" i="1" a="1"/>
  <c r="K3049" i="1" a="1"/>
  <c r="K3841" i="1" a="1"/>
  <c r="K2877" i="1" a="1"/>
  <c r="K3248" i="1" a="1"/>
  <c r="K4078" i="1" a="1"/>
  <c r="K4132" i="1" a="1"/>
  <c r="K4165" i="1" a="1"/>
  <c r="K4071" i="1" a="1"/>
  <c r="K4209" i="1" a="1"/>
  <c r="K182" i="1" a="1"/>
  <c r="K1880" i="1" a="1"/>
  <c r="K614" i="1" a="1"/>
  <c r="K1966" i="1" a="1"/>
  <c r="K2551" i="1" a="1"/>
  <c r="K2839" i="1" a="1"/>
  <c r="K2910" i="1" a="1"/>
  <c r="K1414" i="1" a="1"/>
  <c r="K3117" i="1" a="1"/>
  <c r="K2229" i="1" a="1"/>
  <c r="K2257" i="1" a="1"/>
  <c r="K2523" i="1" a="1"/>
  <c r="K1505" i="1" a="1"/>
  <c r="K1289" i="1" a="1"/>
  <c r="K2459" i="1" a="1"/>
  <c r="K2646" i="1" a="1"/>
  <c r="K1987" i="1" a="1"/>
  <c r="K2532" i="1" a="1"/>
  <c r="K3315" i="1" a="1"/>
  <c r="K2365" i="1" a="1"/>
  <c r="K3397" i="1" a="1"/>
  <c r="K1912" i="1" a="1"/>
  <c r="K2332" i="1" a="1"/>
  <c r="K3485" i="1" a="1"/>
  <c r="K3537" i="1" a="1"/>
  <c r="K2761" i="1" a="1"/>
  <c r="K2596" i="1" a="1"/>
  <c r="K2912" i="1" a="1"/>
  <c r="K3410" i="1" a="1"/>
  <c r="K4205" i="1" a="1"/>
  <c r="K3579" i="1" a="1"/>
  <c r="K1775" i="1" a="1"/>
  <c r="K3551" i="1" a="1"/>
  <c r="K2666" i="1" a="1"/>
  <c r="K3658" i="1" a="1"/>
  <c r="K1945" i="1" a="1"/>
  <c r="K3437" i="1" a="1"/>
  <c r="K3441" i="1" a="1"/>
  <c r="K3143" i="1" a="1"/>
  <c r="K3462" i="1" a="1"/>
  <c r="K2932" i="1" a="1"/>
  <c r="K3277" i="1" a="1"/>
  <c r="K3281" i="1" a="1"/>
  <c r="K3022" i="1" a="1"/>
  <c r="K3392" i="1" a="1"/>
  <c r="K3959" i="1" a="1"/>
  <c r="K3469" i="1" a="1"/>
  <c r="K3516" i="1" a="1"/>
  <c r="K3517" i="1" a="1"/>
  <c r="K163" i="1" a="1"/>
  <c r="K3181" i="1" a="1"/>
  <c r="K2479" i="1" a="1"/>
  <c r="K2529" i="1" a="1"/>
  <c r="K2553" i="1" a="1"/>
  <c r="K2597" i="1" a="1"/>
  <c r="K3355" i="1" a="1"/>
  <c r="K2363" i="1" a="1"/>
  <c r="K2403" i="1" a="1"/>
  <c r="K2503" i="1" a="1"/>
  <c r="K3210" i="1" a="1"/>
  <c r="K3642" i="1" a="1"/>
  <c r="K3885" i="1" a="1"/>
  <c r="K2947" i="1" a="1"/>
  <c r="K2768" i="1" a="1"/>
  <c r="K3925" i="1" a="1"/>
  <c r="K3093" i="1" a="1"/>
  <c r="K2970" i="1" a="1"/>
  <c r="K2422" i="1" a="1"/>
  <c r="K3584" i="1" a="1"/>
  <c r="K3238" i="1" a="1"/>
  <c r="K3151" i="1" a="1"/>
  <c r="K3124" i="1" a="1"/>
  <c r="K3234" i="1" a="1"/>
  <c r="K2724" i="1" a="1"/>
  <c r="K3762" i="1" a="1"/>
  <c r="K3612" i="1" a="1"/>
  <c r="K3775" i="1" a="1"/>
  <c r="K3819" i="1" a="1"/>
  <c r="K4300" i="1" a="1"/>
  <c r="K2299" i="1" a="1"/>
  <c r="K4263" i="1" a="1"/>
  <c r="K3899" i="1" a="1"/>
  <c r="K4255" i="1" a="1"/>
  <c r="K4147" i="1" a="1"/>
  <c r="K1745" i="1" a="1"/>
  <c r="K3183" i="1" a="1"/>
  <c r="K3395" i="1" a="1"/>
  <c r="K2576" i="1" a="1"/>
  <c r="K2593" i="1" a="1"/>
  <c r="K3950" i="1" a="1"/>
  <c r="K3205" i="1" a="1"/>
  <c r="K3254" i="1" a="1"/>
  <c r="K368" i="1" a="1"/>
  <c r="K774" i="1" a="1"/>
  <c r="K1001" i="1" a="1"/>
  <c r="K2147" i="1" a="1"/>
  <c r="K1862" i="1" a="1"/>
  <c r="K2206" i="1" a="1"/>
  <c r="K2483" i="1" a="1"/>
  <c r="K1913" i="1" a="1"/>
  <c r="K2417" i="1" a="1"/>
  <c r="K1470" i="1" a="1"/>
  <c r="K1704" i="1" a="1"/>
  <c r="K2014" i="1" a="1"/>
  <c r="K2715" i="1" a="1"/>
  <c r="K2792" i="1" a="1"/>
  <c r="K2669" i="1" a="1"/>
  <c r="K3229" i="1" a="1"/>
  <c r="K1138" i="1" a="1"/>
  <c r="K2652" i="1" a="1"/>
  <c r="K186" i="1" a="1"/>
  <c r="K2055" i="1" a="1"/>
  <c r="K3744" i="1" a="1"/>
  <c r="K1492" i="1" a="1"/>
  <c r="K2976" i="1" a="1"/>
  <c r="K3259" i="1" a="1"/>
  <c r="K3380" i="1" a="1"/>
  <c r="K2823" i="1" a="1"/>
  <c r="K3519" i="1" a="1"/>
  <c r="K3212" i="1" a="1"/>
  <c r="K3307" i="1" a="1"/>
  <c r="K4196" i="1" a="1"/>
  <c r="K2844" i="1" a="1"/>
  <c r="K1528" i="1" a="1"/>
  <c r="K3354" i="1" a="1"/>
  <c r="K3424" i="1" a="1"/>
  <c r="K2754" i="1" a="1"/>
  <c r="K2785" i="1" a="1"/>
  <c r="K2849" i="1" a="1"/>
  <c r="K2860" i="1" a="1"/>
  <c r="K2491" i="1" a="1"/>
  <c r="K3729" i="1" a="1"/>
  <c r="K2713" i="1" a="1"/>
  <c r="K2935" i="1" a="1"/>
  <c r="K3577" i="1" a="1"/>
  <c r="K3549" i="1" a="1"/>
  <c r="K3613" i="1" a="1"/>
  <c r="K3852" i="1" a="1"/>
  <c r="K3087" i="1" a="1"/>
  <c r="K3809" i="1" a="1"/>
  <c r="K3178" i="1" a="1"/>
  <c r="K926" i="1" a="1"/>
  <c r="K1493" i="1" a="1"/>
  <c r="K2435" i="1" a="1"/>
  <c r="K3165" i="1" a="1"/>
  <c r="K3174" i="1" a="1"/>
  <c r="K3081" i="1" a="1"/>
  <c r="K3857" i="1" a="1"/>
  <c r="K2956" i="1" a="1"/>
  <c r="K1755" i="1" a="1"/>
  <c r="K1835" i="1" a="1"/>
  <c r="K2674" i="1" a="1"/>
  <c r="K3350" i="1" a="1"/>
  <c r="K3582" i="1" a="1"/>
  <c r="K3523" i="1" a="1"/>
  <c r="K3497" i="1" a="1"/>
  <c r="K3622" i="1" a="1"/>
  <c r="K3057" i="1" a="1"/>
  <c r="K3444" i="1" a="1"/>
  <c r="K2836" i="1" a="1"/>
  <c r="K3706" i="1" a="1"/>
  <c r="K3778" i="1" a="1"/>
  <c r="K2861" i="1" a="1"/>
  <c r="K2866" i="1" a="1"/>
  <c r="K3799" i="1" a="1"/>
  <c r="K2973" i="1" a="1"/>
  <c r="K3080" i="1" a="1"/>
  <c r="K2920" i="1" a="1"/>
  <c r="K4031" i="1" a="1"/>
  <c r="K3695" i="1" a="1"/>
  <c r="K3791" i="1" a="1"/>
  <c r="K4233" i="1" a="1"/>
  <c r="K3635" i="1" a="1"/>
  <c r="K3953" i="1" a="1"/>
  <c r="K4111" i="1" a="1"/>
  <c r="K4261" i="1" a="1"/>
  <c r="K3108" i="1" a="1"/>
  <c r="K3616" i="1" a="1"/>
  <c r="K3601" i="1" a="1"/>
  <c r="K3233" i="1" a="1"/>
  <c r="K3211" i="1" a="1"/>
  <c r="K3344" i="1" a="1"/>
  <c r="K2991" i="1" a="1"/>
  <c r="K3794" i="1" a="1"/>
  <c r="K3644" i="1" a="1"/>
  <c r="K3807" i="1" a="1"/>
  <c r="K3859" i="1" a="1"/>
  <c r="K4005" i="1" a="1"/>
  <c r="K4051" i="1" a="1"/>
  <c r="K4299" i="1" a="1"/>
  <c r="K3943" i="1" a="1"/>
  <c r="K3848" i="1" a="1"/>
  <c r="K4307" i="1" a="1"/>
  <c r="K3868" i="1" a="1"/>
  <c r="K3928" i="1" a="1"/>
  <c r="K4230" i="1" a="1"/>
  <c r="K4194" i="1" a="1"/>
  <c r="K4089" i="1" a="1"/>
  <c r="K3263" i="1" a="1"/>
  <c r="K3282" i="1" a="1"/>
  <c r="K4259" i="1" a="1"/>
  <c r="K3308" i="1" a="1"/>
  <c r="K4125" i="1" a="1"/>
  <c r="K4193" i="1" a="1"/>
  <c r="K4028" i="1" a="1"/>
  <c r="K1232" i="1" a="1"/>
  <c r="K3346" i="1" a="1"/>
  <c r="K3761" i="1" a="1"/>
  <c r="K2322" i="1" a="1"/>
  <c r="K2501" i="1" a="1"/>
  <c r="K3460" i="1" a="1"/>
  <c r="K3169" i="1" a="1"/>
  <c r="K3826" i="1" a="1"/>
  <c r="K3676" i="1" a="1"/>
  <c r="K4045" i="1" a="1"/>
  <c r="K3659" i="1" a="1"/>
  <c r="K3530" i="1" a="1"/>
  <c r="K3800" i="1" a="1"/>
  <c r="K3207" i="1" a="1"/>
  <c r="K691" i="1" a="1"/>
  <c r="K2058" i="1" a="1"/>
  <c r="K1019" i="1" a="1"/>
  <c r="K1904" i="1" a="1"/>
  <c r="K2623" i="1" a="1"/>
  <c r="K2911" i="1" a="1"/>
  <c r="K3053" i="1" a="1"/>
  <c r="K2082" i="1" a="1"/>
  <c r="K3190" i="1" a="1"/>
  <c r="K1923" i="1" a="1"/>
  <c r="K1527" i="1" a="1"/>
  <c r="K1780" i="1" a="1"/>
  <c r="K1933" i="1" a="1"/>
  <c r="K2308" i="1" a="1"/>
  <c r="K3684" i="1" a="1"/>
  <c r="K3724" i="1" a="1"/>
  <c r="K951" i="1" a="1"/>
  <c r="K2697" i="1" a="1"/>
  <c r="K652" i="1" a="1"/>
  <c r="K2097" i="1" a="1"/>
  <c r="K3318" i="1" a="1"/>
  <c r="K1424" i="1" a="1"/>
  <c r="K2890" i="1" a="1"/>
  <c r="K3564" i="1" a="1"/>
  <c r="K3605" i="1" a="1"/>
  <c r="K2454" i="1" a="1"/>
  <c r="K3239" i="1" a="1"/>
  <c r="K3309" i="1" a="1"/>
  <c r="K3073" i="1" a="1"/>
  <c r="K4227" i="1" a="1"/>
  <c r="K2946" i="1" a="1"/>
  <c r="K2702" i="1" a="1"/>
  <c r="K3710" i="1" a="1"/>
  <c r="K3478" i="1" a="1"/>
  <c r="K2955" i="1" a="1"/>
  <c r="K1615" i="1" a="1"/>
  <c r="K2933" i="1" a="1"/>
  <c r="K2942" i="1" a="1"/>
  <c r="K3077" i="1" a="1"/>
  <c r="K3506" i="1" a="1"/>
  <c r="K3399" i="1" a="1"/>
  <c r="K3269" i="1" a="1"/>
  <c r="K3833" i="1" a="1"/>
  <c r="K3242" i="1" a="1"/>
  <c r="K3869" i="1" a="1"/>
  <c r="K4269" i="1" a="1"/>
  <c r="K2892" i="1" a="1"/>
  <c r="K2482" i="1" a="1"/>
  <c r="K2982" i="1" a="1"/>
  <c r="K1903" i="1" a="1"/>
  <c r="K2766" i="1" a="1"/>
  <c r="K2763" i="1" a="1"/>
  <c r="K3189" i="1" a="1"/>
  <c r="K3198" i="1" a="1"/>
  <c r="K3405" i="1" a="1"/>
  <c r="K3394" i="1" a="1"/>
  <c r="K3527" i="1" a="1"/>
  <c r="K2388" i="1" a="1"/>
  <c r="K1610" i="1" a="1"/>
  <c r="K2832" i="1" a="1"/>
  <c r="K2842" i="1" a="1"/>
  <c r="K3902" i="1" a="1"/>
  <c r="K3720" i="1" a="1"/>
  <c r="K2102" i="1" a="1"/>
  <c r="K3942" i="1" a="1"/>
  <c r="K3696" i="1" a="1"/>
  <c r="K2678" i="1" a="1"/>
  <c r="K3064" i="1" a="1"/>
  <c r="K1778" i="1" a="1"/>
  <c r="K2858" i="1" a="1"/>
  <c r="K3600" i="1" a="1"/>
  <c r="K3535" i="1" a="1"/>
  <c r="K3940" i="1" a="1"/>
  <c r="K2656" i="1" a="1"/>
  <c r="K2967" i="1" a="1"/>
  <c r="K3685" i="1" a="1"/>
  <c r="K4085" i="1" a="1"/>
  <c r="K4039" i="1" a="1"/>
  <c r="K4108" i="1" a="1"/>
  <c r="K3843" i="1" a="1"/>
  <c r="K3979" i="1" a="1"/>
  <c r="K3792" i="1" a="1"/>
  <c r="K4243" i="1" a="1"/>
  <c r="K3854" i="1" a="1"/>
  <c r="K1759" i="1" a="1"/>
  <c r="K3962" i="1" a="1"/>
  <c r="K3842" i="1" a="1"/>
  <c r="K2965" i="1" a="1"/>
  <c r="K2909" i="1" a="1"/>
  <c r="K3831" i="1" a="1"/>
  <c r="K3051" i="1" a="1"/>
  <c r="K3328" i="1" a="1"/>
  <c r="K3199" i="1" a="1"/>
  <c r="K3482" i="1" a="1"/>
  <c r="K3739" i="1" a="1"/>
  <c r="K3835" i="1" a="1"/>
  <c r="K4281" i="1" a="1"/>
  <c r="K3683" i="1" a="1"/>
  <c r="K4081" i="1" a="1"/>
  <c r="K4279" i="1" a="1"/>
  <c r="K4218" i="1" a="1"/>
  <c r="K4186" i="1" a="1"/>
  <c r="K3941" i="1" a="1"/>
  <c r="K3960" i="1" a="1"/>
  <c r="K3763" i="1" a="1"/>
  <c r="K205" i="1" a="1"/>
  <c r="K2850" i="1" a="1"/>
  <c r="K3571" i="1" a="1"/>
  <c r="K2838" i="1" a="1"/>
  <c r="K3542" i="1" a="1"/>
  <c r="K3655" i="1" a="1"/>
  <c r="K3719" i="1" a="1"/>
  <c r="K4063" i="1" a="1"/>
  <c r="K2159" i="1" a="1"/>
  <c r="K3994" i="1" a="1"/>
  <c r="K3970" i="1" a="1"/>
  <c r="K3029" i="1" a="1"/>
  <c r="K3166" i="1" a="1"/>
  <c r="K3863" i="1" a="1"/>
  <c r="K3133" i="1" a="1"/>
  <c r="K3550" i="1" a="1"/>
  <c r="K3304" i="1" a="1"/>
  <c r="K156" i="1" a="1"/>
  <c r="K922" i="1" a="1"/>
  <c r="K1355" i="1" a="1"/>
  <c r="K2275" i="1" a="1"/>
  <c r="K2738" i="1" a="1"/>
  <c r="K1039" i="1" a="1"/>
  <c r="K1576" i="1" a="1"/>
  <c r="K2138" i="1" a="1"/>
  <c r="K1352" i="1" a="1"/>
  <c r="K2318" i="1" a="1"/>
  <c r="K2208" i="1" a="1"/>
  <c r="K2782" i="1" a="1"/>
  <c r="K1201" i="1" a="1"/>
  <c r="K2054" i="1" a="1"/>
  <c r="K3396" i="1" a="1"/>
  <c r="K3556" i="1" a="1"/>
  <c r="K2120" i="1" a="1"/>
  <c r="K2624" i="1" a="1"/>
  <c r="K1632" i="1" a="1"/>
  <c r="K2128" i="1" a="1"/>
  <c r="K2736" i="1" a="1"/>
  <c r="K2093" i="1" a="1"/>
  <c r="K2896" i="1" a="1"/>
  <c r="K2906" i="1" a="1"/>
  <c r="K3091" i="1" a="1"/>
  <c r="K2622" i="1" a="1"/>
  <c r="K2853" i="1" a="1"/>
  <c r="K3369" i="1" a="1"/>
  <c r="K2886" i="1" a="1"/>
  <c r="K2737" i="1" a="1"/>
  <c r="K3367" i="1" a="1"/>
  <c r="K2552" i="1" a="1"/>
  <c r="K2569" i="1" a="1"/>
  <c r="K3750" i="1" a="1"/>
  <c r="K3088" i="1" a="1"/>
  <c r="K2212" i="1" a="1"/>
  <c r="K3373" i="1" a="1"/>
  <c r="K3385" i="1" a="1"/>
  <c r="K2762" i="1" a="1"/>
  <c r="K3746" i="1" a="1"/>
  <c r="K3552" i="1" a="1"/>
  <c r="K3055" i="1" a="1"/>
  <c r="K3002" i="1" a="1"/>
  <c r="K3046" i="1" a="1"/>
  <c r="K3240" i="1" a="1"/>
  <c r="K3856" i="1" a="1"/>
  <c r="K3015" i="1" a="1"/>
  <c r="K3666" i="1" a="1"/>
  <c r="K1988" i="1" a="1"/>
  <c r="K2023" i="1" a="1"/>
  <c r="K2705" i="1" a="1"/>
  <c r="K3204" i="1" a="1"/>
  <c r="K3648" i="1" a="1"/>
  <c r="K3652" i="1" a="1"/>
  <c r="K3215" i="1" a="1"/>
  <c r="K3874" i="1" a="1"/>
  <c r="K1779" i="1" a="1"/>
  <c r="K1308" i="1" a="1"/>
  <c r="K1914" i="1" a="1"/>
  <c r="K3023" i="1" a="1"/>
  <c r="K3032" i="1" a="1"/>
  <c r="K3168" i="1" a="1"/>
  <c r="K3452" i="1" a="1"/>
  <c r="K2802" i="1" a="1"/>
  <c r="K3314" i="1" a="1"/>
  <c r="K3162" i="1" a="1"/>
  <c r="K3356" i="1" a="1"/>
  <c r="K2535" i="1" a="1"/>
  <c r="K3588" i="1" a="1"/>
  <c r="K3188" i="1" a="1"/>
  <c r="K3609" i="1" a="1"/>
  <c r="K3700" i="1" a="1"/>
  <c r="K4301" i="1" a="1"/>
  <c r="K3299" i="1" a="1"/>
  <c r="K3214" i="1" a="1"/>
  <c r="K2637" i="1" a="1"/>
  <c r="K4100" i="1" a="1"/>
  <c r="K3915" i="1" a="1"/>
  <c r="K4273" i="1" a="1"/>
  <c r="K3759" i="1" a="1"/>
  <c r="K4121" i="1" a="1"/>
  <c r="K3984" i="1" a="1"/>
  <c r="K4192" i="1" a="1"/>
  <c r="K3836" i="1" a="1"/>
  <c r="K2626" i="1" a="1"/>
  <c r="K3201" i="1" a="1"/>
  <c r="K3251" i="1" a="1"/>
  <c r="K3632" i="1" a="1"/>
  <c r="K3567" i="1" a="1"/>
  <c r="K3402" i="1" a="1"/>
  <c r="K2745" i="1" a="1"/>
  <c r="K3058" i="1" a="1"/>
  <c r="K3717" i="1" a="1"/>
  <c r="K4117" i="1" a="1"/>
  <c r="K3619" i="1" a="1"/>
  <c r="K2943" i="1" a="1"/>
  <c r="K4153" i="1" a="1"/>
  <c r="K4019" i="1" a="1"/>
  <c r="K3956" i="1" a="1"/>
  <c r="K4312" i="1" a="1"/>
  <c r="K3583" i="1" a="1"/>
  <c r="K4148" i="1" a="1"/>
  <c r="K3945" i="1" a="1"/>
  <c r="K4166" i="1" a="1"/>
  <c r="K4070" i="1" a="1"/>
  <c r="K2261" i="1" a="1"/>
  <c r="K3618" i="1" a="1"/>
  <c r="K2833" i="1" a="1"/>
  <c r="K3235" i="1" a="1"/>
  <c r="K3909" i="1" a="1"/>
  <c r="K4164" i="1" a="1"/>
  <c r="K4197" i="1" a="1"/>
  <c r="K4175" i="1" a="1"/>
  <c r="K2612" i="1" a="1"/>
  <c r="K2996" i="1" a="1"/>
  <c r="K3409" i="1" a="1"/>
  <c r="K3664" i="1" a="1"/>
  <c r="K3111" i="1" a="1"/>
  <c r="K4001" i="1" a="1"/>
  <c r="K2822" i="1" a="1"/>
  <c r="K2232" i="1" a="1"/>
  <c r="K3749" i="1" a="1"/>
  <c r="K476" i="1" a="1"/>
  <c r="K2122" i="1" a="1"/>
  <c r="K1525" i="1" a="1"/>
  <c r="K2242" i="1" a="1"/>
  <c r="K1878" i="1" a="1"/>
  <c r="K2222" i="1" a="1"/>
  <c r="K1332" i="1" a="1"/>
  <c r="K2971" i="1" a="1"/>
  <c r="K1569" i="1" a="1"/>
  <c r="K911" i="1" a="1"/>
  <c r="K2325" i="1" a="1"/>
  <c r="K1365" i="1" a="1"/>
  <c r="K2072" i="1" a="1"/>
  <c r="K2313" i="1" a="1"/>
  <c r="K2560" i="1" a="1"/>
  <c r="K2793" i="1" a="1"/>
  <c r="K2287" i="1" a="1"/>
  <c r="K3301" i="1" a="1"/>
  <c r="K2350" i="1" a="1"/>
  <c r="K1908" i="1" a="1"/>
  <c r="K3401" i="1" a="1"/>
  <c r="K2393" i="1" a="1"/>
  <c r="K3477" i="1" a="1"/>
  <c r="K3493" i="1" a="1"/>
  <c r="K2354" i="1" a="1"/>
  <c r="K2200" i="1" a="1"/>
  <c r="K2030" i="1" a="1"/>
  <c r="K3013" i="1" a="1"/>
  <c r="K3439" i="1" a="1"/>
  <c r="K2732" i="1" a="1"/>
  <c r="K2311" i="1" a="1"/>
  <c r="K3056" i="1" a="1"/>
  <c r="K2776" i="1" a="1"/>
  <c r="K2813" i="1" a="1"/>
  <c r="K1056" i="1" a="1"/>
  <c r="K2635" i="1" a="1"/>
  <c r="K3420" i="1" a="1"/>
  <c r="K3446" i="1" a="1"/>
  <c r="K2870" i="1" a="1"/>
  <c r="K3154" i="1" a="1"/>
  <c r="K2565" i="1" a="1"/>
  <c r="K3037" i="1" a="1"/>
  <c r="K3690" i="1" a="1"/>
  <c r="K2556" i="1" a="1"/>
  <c r="K3726" i="1" a="1"/>
  <c r="K4266" i="1" a="1"/>
  <c r="K2979" i="1" a="1"/>
  <c r="K3922" i="1" a="1"/>
  <c r="K3052" i="1" a="1"/>
  <c r="K3163" i="1" a="1"/>
  <c r="K2024" i="1" a="1"/>
  <c r="K3068" i="1" a="1"/>
  <c r="K3657" i="1" a="1"/>
  <c r="K3348" i="1" a="1"/>
  <c r="K3179" i="1" a="1"/>
  <c r="K2708" i="1" a="1"/>
  <c r="K1023" i="1" a="1"/>
  <c r="K2524" i="1" a="1"/>
  <c r="K2258" i="1" a="1"/>
  <c r="K2951" i="1" a="1"/>
  <c r="K2960" i="1" a="1"/>
  <c r="K2640" i="1" a="1"/>
  <c r="K3889" i="1" a="1"/>
  <c r="K3020" i="1" a="1"/>
  <c r="K2864" i="1" a="1"/>
  <c r="K3705" i="1" a="1"/>
  <c r="K2820" i="1" a="1"/>
  <c r="K2383" i="1" a="1"/>
  <c r="K3917" i="1" a="1"/>
  <c r="K3628" i="1" a="1"/>
  <c r="K3232" i="1" a="1"/>
  <c r="K3387" i="1" a="1"/>
  <c r="K4106" i="1" a="1"/>
  <c r="K3576" i="1" a="1"/>
  <c r="K2922" i="1" a="1"/>
  <c r="K3464" i="1" a="1"/>
  <c r="K4082" i="1" a="1"/>
  <c r="K4040" i="1" a="1"/>
  <c r="K4098" i="1" a="1"/>
  <c r="K4060" i="1" a="1"/>
  <c r="K2385" i="1" a="1"/>
  <c r="K1992" i="1" a="1"/>
  <c r="K1463" i="1" a="1"/>
  <c r="K3688" i="1" a="1"/>
  <c r="K1757" i="1" a="1"/>
  <c r="K3548" i="1" a="1"/>
  <c r="K3261" i="1" a="1"/>
  <c r="K2099" i="1" a="1"/>
  <c r="K2001" i="1" a="1"/>
  <c r="K3331" i="1" a="1"/>
  <c r="K3518" i="1" a="1"/>
  <c r="K3472" i="1" a="1"/>
  <c r="K1102" i="1" a="1"/>
  <c r="K3491" i="1" a="1"/>
  <c r="K2818" i="1" a="1"/>
  <c r="K3906" i="1" a="1"/>
  <c r="K31" i="1" a="1"/>
  <c r="K3031" i="1" a="1"/>
  <c r="K2752" i="1" a="1"/>
  <c r="K4291" i="1" a="1"/>
  <c r="K3784" i="1" a="1"/>
  <c r="K2230" i="1" a="1"/>
  <c r="K3641" i="1" a="1"/>
  <c r="K3844" i="1" a="1"/>
  <c r="K3176" i="1" a="1"/>
  <c r="K3955" i="1" a="1"/>
  <c r="K3803" i="1" a="1"/>
  <c r="K4190" i="1" a="1"/>
  <c r="K3907" i="1" a="1"/>
  <c r="K4223" i="1" a="1"/>
  <c r="K3643" i="1" a="1"/>
  <c r="K3110" i="1" a="1"/>
  <c r="K3398" i="1" a="1"/>
  <c r="K3948" i="1" a="1"/>
  <c r="K4302" i="1" a="1"/>
  <c r="K3748" i="1" a="1"/>
  <c r="K3673" i="1" a="1"/>
  <c r="K4232" i="1" a="1"/>
  <c r="K3379" i="1" a="1"/>
  <c r="K4149" i="1" a="1"/>
  <c r="K4055" i="1" a="1"/>
  <c r="K3599" i="1" a="1"/>
  <c r="K3170" i="1" a="1"/>
  <c r="K3936" i="1" a="1"/>
  <c r="K1788" i="1" a="1"/>
  <c r="K2062" i="1" a="1"/>
  <c r="K2898" i="1" a="1"/>
  <c r="K3737" i="1" a="1"/>
  <c r="K3303" i="1" a="1"/>
  <c r="K3944" i="1" a="1"/>
  <c r="K3507" i="1" a="1"/>
  <c r="K3473" i="1" a="1"/>
  <c r="K3458" i="1" a="1"/>
  <c r="K3880" i="1" a="1"/>
  <c r="K4043" i="1" a="1"/>
  <c r="K4083" i="1" a="1"/>
  <c r="K3997" i="1" a="1"/>
  <c r="K4219" i="1" a="1"/>
  <c r="K2111" i="1" a="1"/>
  <c r="K2168" i="1" a="1"/>
  <c r="K3050" i="1" a="1"/>
  <c r="K3386" i="1" a="1"/>
  <c r="K3353" i="1" a="1"/>
  <c r="K4109" i="1" a="1"/>
  <c r="K3043" i="1" a="1"/>
  <c r="K2710" i="1" a="1"/>
  <c r="K3813" i="1" a="1"/>
  <c r="K4213" i="1" a="1"/>
  <c r="K3747" i="1" a="1"/>
  <c r="K4101" i="1" a="1"/>
  <c r="K4102" i="1" a="1"/>
  <c r="K4188" i="1" a="1"/>
  <c r="K3973" i="1" a="1"/>
  <c r="K4284" i="1" a="1"/>
  <c r="K3972" i="1" a="1"/>
  <c r="K4191" i="1" a="1"/>
  <c r="K2558" i="1" a="1"/>
  <c r="K3637" i="1" a="1"/>
  <c r="K3837" i="1" a="1"/>
  <c r="K3730" i="1" a="1"/>
  <c r="K3743" i="1" a="1"/>
  <c r="K4020" i="1" a="1"/>
  <c r="K4246" i="1" a="1"/>
  <c r="K1429" i="1" a="1"/>
  <c r="K2985" i="1" a="1"/>
  <c r="K2796" i="1" a="1"/>
  <c r="K3502" i="1" a="1"/>
  <c r="K3187" i="1" a="1"/>
  <c r="K3790" i="1" a="1"/>
  <c r="K2806" i="1" a="1"/>
  <c r="K2573" i="1" a="1"/>
  <c r="K3180" i="1" a="1"/>
  <c r="K3566" i="1" a="1"/>
  <c r="K4267" i="1" a="1"/>
  <c r="K4316" i="1" a="1"/>
  <c r="K4084" i="1" a="1"/>
  <c r="K4282" i="1" a="1"/>
  <c r="K4293" i="1" a="1"/>
  <c r="K4151" i="1" a="1"/>
  <c r="K2717" i="1" a="1"/>
  <c r="K3333" i="1" a="1"/>
  <c r="K3528" i="1" a="1"/>
  <c r="K3322" i="1" a="1"/>
  <c r="K3357" i="1" a="1"/>
  <c r="K4195" i="1" a="1"/>
  <c r="K3649" i="1" a="1"/>
  <c r="K2580" i="1" a="1"/>
  <c r="K3990" i="1" a="1"/>
  <c r="K3992" i="1" a="1"/>
  <c r="K4134" i="1" a="1"/>
  <c r="K4211" i="1" a="1"/>
  <c r="K3498" i="1" a="1"/>
  <c r="K4049" i="1" a="1"/>
  <c r="K4214" i="1" a="1"/>
  <c r="K3964" i="1" a="1"/>
  <c r="K4251" i="1" a="1"/>
  <c r="K3849" i="1" a="1"/>
  <c r="K2649" i="1" a="1"/>
  <c r="K3209" i="1" a="1"/>
  <c r="K3663" i="1" a="1"/>
  <c r="K4044" i="1" a="1"/>
  <c r="K3125" i="1" a="1"/>
  <c r="K3321" i="1" a="1"/>
  <c r="K3711" i="1" a="1"/>
  <c r="K3971" i="1" a="1"/>
  <c r="K2727" i="1" a="1"/>
  <c r="K3714" i="1" a="1"/>
  <c r="K1601" i="1" a="1"/>
  <c r="K2268" i="1" a="1"/>
  <c r="K1319" i="1" a="1"/>
  <c r="K250" i="1" a="1"/>
  <c r="K2741" i="1" a="1"/>
  <c r="K3266" i="1" a="1"/>
  <c r="K2685" i="1" a="1"/>
  <c r="K3547" i="1" a="1"/>
  <c r="K2848" i="1" a="1"/>
  <c r="K2722" i="1" a="1"/>
  <c r="K3102" i="1" a="1"/>
  <c r="K3422" i="1" a="1"/>
  <c r="K2954" i="1" a="1"/>
  <c r="K2568" i="1" a="1"/>
  <c r="K3419" i="1" a="1"/>
  <c r="K3559" i="1" a="1"/>
  <c r="K3076" i="1" a="1"/>
  <c r="K3901" i="1" a="1"/>
  <c r="K3798" i="1" a="1"/>
  <c r="K4241" i="1" a="1"/>
  <c r="K4169" i="1" a="1"/>
  <c r="K3140" i="1" a="1"/>
  <c r="K3335" i="1" a="1"/>
  <c r="K3411" i="1" a="1"/>
  <c r="K3574" i="1" a="1"/>
  <c r="K4097" i="1" a="1"/>
  <c r="K4156" i="1" a="1"/>
  <c r="K4168" i="1" a="1"/>
  <c r="K4003" i="1" a="1"/>
  <c r="K3983" i="1" a="1"/>
  <c r="K4162" i="1" a="1"/>
  <c r="K2984" i="1" a="1"/>
  <c r="K3442" i="1" a="1"/>
  <c r="K3751" i="1" a="1"/>
  <c r="K4220" i="1" a="1"/>
  <c r="K3298" i="1" a="1"/>
  <c r="K3416" i="1" a="1"/>
  <c r="K4170" i="1" a="1"/>
  <c r="K3265" i="1" a="1"/>
  <c r="K3976" i="1" a="1"/>
  <c r="K4184" i="1" a="1"/>
  <c r="K4037" i="1" a="1"/>
  <c r="K4252" i="1" a="1"/>
  <c r="K3980" i="1" a="1"/>
  <c r="K2371" i="1" a="1"/>
  <c r="K3614" i="1" a="1"/>
  <c r="K3112" i="1" a="1"/>
  <c r="K3594" i="1" a="1"/>
  <c r="K3677" i="1" a="1"/>
  <c r="K4234" i="1" a="1"/>
  <c r="K3672" i="1" a="1"/>
  <c r="K3352" i="1" a="1"/>
  <c r="K3638" i="1" a="1"/>
  <c r="K4178" i="1" a="1"/>
  <c r="K4185" i="1" a="1"/>
  <c r="K3145" i="1" a="1"/>
  <c r="K4155" i="1" a="1"/>
  <c r="K3243" i="1" a="1"/>
  <c r="K2115" i="1" a="1"/>
  <c r="K3231" i="1" a="1"/>
  <c r="K3148" i="1" a="1"/>
  <c r="K3865" i="1" a="1"/>
  <c r="K3510" i="1" a="1"/>
  <c r="K4061" i="1" a="1"/>
  <c r="K3539" i="1" a="1"/>
  <c r="K3561" i="1" a="1"/>
  <c r="K2581" i="1" a="1"/>
  <c r="K4236" i="1" a="1"/>
  <c r="K3988" i="1" a="1"/>
  <c r="K4088" i="1" a="1"/>
  <c r="K3931" i="1" a="1"/>
  <c r="K4289" i="1" a="1"/>
  <c r="K3089" i="1" a="1"/>
  <c r="K4275" i="1" a="1"/>
  <c r="K3816" i="1" a="1"/>
  <c r="K4272" i="1" a="1"/>
  <c r="K3525" i="1" a="1"/>
  <c r="K3428" i="1" a="1"/>
  <c r="K3534" i="1" a="1"/>
  <c r="K2677" i="1" a="1"/>
  <c r="K4033" i="1" a="1"/>
  <c r="K4057" i="1" a="1"/>
  <c r="K3514" i="1" a="1"/>
  <c r="K1449" i="1" a="1"/>
  <c r="K3061" i="1" a="1"/>
  <c r="K3624" i="1" a="1"/>
  <c r="K3461" i="1" a="1"/>
  <c r="K2395" i="1" a="1"/>
  <c r="K3216" i="1" a="1"/>
  <c r="K3557" i="1" a="1"/>
  <c r="K3634" i="1" a="1"/>
  <c r="K3135" i="1" a="1"/>
  <c r="K3679" i="1" a="1"/>
  <c r="K3691" i="1" a="1"/>
  <c r="K4287" i="1" a="1"/>
  <c r="K3923" i="1" a="1"/>
  <c r="K4135" i="1" a="1"/>
  <c r="K4017" i="1" a="1"/>
  <c r="K2346" i="1" a="1"/>
  <c r="K2963" i="1" a="1"/>
  <c r="K2694" i="1" a="1"/>
  <c r="K3217" i="1" a="1"/>
  <c r="K3278" i="1" a="1"/>
  <c r="K3822" i="1" a="1"/>
  <c r="K2949" i="1" a="1"/>
  <c r="K3152" i="1" a="1"/>
  <c r="K3244" i="1" a="1"/>
  <c r="K3120" i="1" a="1"/>
  <c r="K3815" i="1" a="1"/>
  <c r="K3796" i="1" a="1"/>
  <c r="K4296" i="1" a="1"/>
  <c r="K2714" i="1" a="1"/>
  <c r="K4204" i="1" a="1"/>
  <c r="K4129" i="1" a="1"/>
  <c r="K3924" i="1" a="1"/>
  <c r="K3788" i="1" a="1"/>
  <c r="K3202" i="1" a="1"/>
  <c r="K3671" i="1" a="1"/>
  <c r="K3986" i="1" a="1"/>
  <c r="K3935" i="1" a="1"/>
  <c r="K4065" i="1" a="1"/>
  <c r="K2516" i="1" a="1"/>
  <c r="K2372" i="1" a="1"/>
  <c r="K2610" i="1" a="1"/>
  <c r="K2497" i="1" a="1"/>
  <c r="K3280" i="1" a="1"/>
  <c r="K3731" i="1" a="1"/>
  <c r="K4179" i="1" a="1"/>
  <c r="K4087" i="1" a="1"/>
  <c r="K655" i="1" a="1"/>
  <c r="K3044" i="1" a="1"/>
  <c r="K177" i="1" a="1"/>
  <c r="K1696" i="1" a="1"/>
  <c r="K2774" i="1" a="1"/>
  <c r="K3569" i="1" a="1"/>
  <c r="K3285" i="1" a="1"/>
  <c r="K3558" i="1" a="1"/>
  <c r="K2865" i="1" a="1"/>
  <c r="K3164" i="1" a="1"/>
  <c r="K3503" i="1" a="1"/>
  <c r="K2780" i="1" a="1"/>
  <c r="K3092" i="1" a="1"/>
  <c r="K3453" i="1" a="1"/>
  <c r="K2952" i="1" a="1"/>
  <c r="K2557" i="1" a="1"/>
  <c r="K3338" i="1" a="1"/>
  <c r="K3560" i="1" a="1"/>
  <c r="K2505" i="1" a="1"/>
  <c r="K4066" i="1" a="1"/>
  <c r="K3121" i="1" a="1"/>
  <c r="K3620" i="1" a="1"/>
  <c r="K4010" i="1" a="1"/>
  <c r="K3608" i="1" a="1"/>
  <c r="K3830" i="1" a="1"/>
  <c r="K4064" i="1" a="1"/>
  <c r="K4285" i="1" a="1"/>
  <c r="K4054" i="1" a="1"/>
  <c r="K4308" i="1" a="1"/>
  <c r="K4122" i="1" a="1"/>
  <c r="K4228" i="1" a="1"/>
  <c r="K3654" i="1" a="1"/>
  <c r="K2216" i="1" a="1"/>
  <c r="K4229" i="1" a="1"/>
  <c r="K4115" i="1" a="1"/>
  <c r="K2921" i="1" a="1"/>
  <c r="K4042" i="1" a="1"/>
  <c r="K4067" i="1" a="1"/>
  <c r="K1979" i="1" a="1"/>
  <c r="K4146" i="1" a="1"/>
  <c r="K3985" i="1" a="1"/>
  <c r="K3272" i="1" a="1"/>
  <c r="K4180" i="1" a="1"/>
  <c r="K3027" i="1" a="1"/>
  <c r="K2940" i="1" a="1"/>
  <c r="K2999" i="1" a="1"/>
  <c r="K3071" i="1" a="1"/>
  <c r="K3191" i="1" a="1"/>
  <c r="K3290" i="1" a="1"/>
  <c r="K4099" i="1" a="1"/>
  <c r="K3393" i="1" a="1"/>
  <c r="K2533" i="1" a="1"/>
  <c r="K3894" i="1" a="1"/>
  <c r="K4292" i="1" a="1"/>
  <c r="K3840" i="1" a="1"/>
  <c r="K3989" i="1" a="1"/>
  <c r="K4116" i="1" a="1"/>
  <c r="K3418" i="1" a="1"/>
  <c r="K2390" i="1" a="1"/>
  <c r="K3774" i="1" a="1"/>
  <c r="K3138" i="1" a="1"/>
  <c r="K3722" i="1" a="1"/>
  <c r="K3709" i="1" a="1"/>
  <c r="K4298" i="1" a="1"/>
  <c r="K3704" i="1" a="1"/>
  <c r="K2546" i="1" a="1"/>
  <c r="K3670" i="1" a="1"/>
  <c r="K4210" i="1" a="1"/>
  <c r="K4225" i="1" a="1"/>
  <c r="K4270" i="1" a="1"/>
  <c r="K4069" i="1" a="1"/>
  <c r="K4118" i="1" a="1"/>
  <c r="K4008" i="1" a="1"/>
  <c r="K3450" i="1" a="1"/>
  <c r="K3291" i="1" a="1"/>
  <c r="K3079" i="1" a="1"/>
  <c r="K4237" i="1" a="1"/>
  <c r="K2730" i="1" a="1"/>
  <c r="K4041" i="1" a="1"/>
  <c r="K2464" i="1" a="1"/>
  <c r="K2473" i="1" a="1"/>
  <c r="K2468" i="1" a="1"/>
  <c r="K4035" i="1" a="1"/>
  <c r="K4288" i="1" a="1"/>
  <c r="K3501" i="1" a="1"/>
  <c r="K3698" i="1" a="1"/>
  <c r="K3218" i="1" a="1"/>
  <c r="K3771" i="1" a="1"/>
  <c r="K94" i="1" a="1"/>
  <c r="K1868" i="1" a="1"/>
  <c r="K2445" i="1" a="1"/>
  <c r="K909" i="1" a="1"/>
  <c r="K1456" i="1" a="1"/>
  <c r="K105" i="1" a="1"/>
  <c r="K1375" i="1" a="1"/>
  <c r="K3805" i="1" a="1"/>
  <c r="K3302" i="1" a="1"/>
  <c r="K3474" i="1" a="1"/>
  <c r="K3765" i="1" a="1"/>
  <c r="K3982" i="1" a="1"/>
  <c r="K3479" i="1" a="1"/>
  <c r="K3376" i="1" a="1"/>
  <c r="K2241" i="1" a="1"/>
  <c r="K3423" i="1" a="1"/>
  <c r="K3541" i="1" a="1"/>
  <c r="K3371" i="1" a="1"/>
  <c r="K4248" i="1" a="1"/>
  <c r="K3546" i="1" a="1"/>
  <c r="K4176" i="1" a="1"/>
  <c r="K4152" i="1" a="1"/>
  <c r="K3177" i="1" a="1"/>
  <c r="K3732" i="1" a="1"/>
  <c r="K2733" i="1" a="1"/>
  <c r="K3492" i="1" a="1"/>
  <c r="K4119" i="1" a="1"/>
  <c r="K3194" i="1" a="1"/>
  <c r="K4126" i="1" a="1"/>
  <c r="K3879" i="1" a="1"/>
  <c r="K4231" i="1" a="1"/>
  <c r="K4090" i="1" a="1"/>
  <c r="K3236" i="1" a="1"/>
  <c r="K2902" i="1" a="1"/>
  <c r="K3627" i="1" a="1"/>
  <c r="K2432" i="1" a="1"/>
  <c r="K3427" i="1" a="1"/>
  <c r="K2698" i="1" a="1"/>
  <c r="K3283" i="1" a="1"/>
  <c r="K3511" i="1" a="1"/>
  <c r="K4096" i="1" a="1"/>
  <c r="K4208" i="1" a="1"/>
  <c r="K4133" i="1" a="1"/>
  <c r="K4249" i="1" a="1"/>
  <c r="K1286" i="1" a="1"/>
  <c r="K2928" i="1" a="1"/>
  <c r="K3005" i="1" a="1"/>
  <c r="K4006" i="1" a="1"/>
  <c r="K2800" i="1" a="1"/>
  <c r="K3694" i="1" a="1"/>
  <c r="K2146" i="1" a="1"/>
  <c r="K3873" i="1" a="1"/>
  <c r="K2988" i="1" a="1"/>
  <c r="K3336" i="1" a="1"/>
  <c r="K4203" i="1" a="1"/>
  <c r="K4268" i="1" a="1"/>
  <c r="K3916" i="1" a="1"/>
  <c r="K4187" i="1" a="1"/>
  <c r="K4311" i="1" a="1"/>
  <c r="K3004" i="1" a="1"/>
  <c r="K2742" i="1" a="1"/>
  <c r="K3313" i="1" a="1"/>
  <c r="K2938" i="1" a="1"/>
  <c r="K3426" i="1" a="1"/>
  <c r="K4131" i="1" a="1"/>
  <c r="K3585" i="1" a="1"/>
  <c r="K2757" i="1" a="1"/>
  <c r="K3926" i="1" a="1"/>
  <c r="K3466" i="1" a="1"/>
  <c r="K4048" i="1" a="1"/>
  <c r="K4123" i="1" a="1"/>
  <c r="K3996" i="1" a="1"/>
  <c r="K3264" i="1" a="1"/>
  <c r="K3864" i="1" a="1"/>
  <c r="K3780" i="1" a="1"/>
  <c r="K4221" i="1" a="1"/>
  <c r="K4068" i="1" a="1"/>
  <c r="K3529" i="1" a="1"/>
  <c r="K3275" i="1" a="1"/>
  <c r="K3961" i="1" a="1"/>
  <c r="K2662" i="1" a="1"/>
  <c r="K4075" i="1" a="1"/>
  <c r="K4011" i="1" a="1"/>
  <c r="K4215" i="1" a="1"/>
  <c r="K2531" i="1" a="1"/>
  <c r="K2994" i="1" a="1"/>
  <c r="K3300" i="1" a="1"/>
  <c r="K3499" i="1" a="1"/>
  <c r="K3358" i="1" a="1"/>
  <c r="K4023" i="1" a="1"/>
  <c r="K2937" i="1" a="1"/>
  <c r="K3351" i="1" a="1"/>
  <c r="K3589" i="1" a="1"/>
  <c r="K3756" i="1" a="1"/>
  <c r="K3911" i="1" a="1"/>
  <c r="K4007" i="1" a="1"/>
  <c r="K3904" i="1" a="1"/>
  <c r="K3772" i="1" a="1"/>
  <c r="K3808" i="1" a="1"/>
  <c r="K2452" i="1" a="1"/>
  <c r="K3153" i="1" a="1"/>
  <c r="K3305" i="1" a="1"/>
  <c r="K2706" i="1" a="1"/>
  <c r="K2726" i="1" a="1"/>
  <c r="K3735" i="1" a="1"/>
  <c r="K2618" i="1" a="1"/>
  <c r="K4018" i="1" a="1"/>
  <c r="K3414" i="1" a="1"/>
  <c r="K3967" i="1" a="1"/>
  <c r="K3611" i="1" a="1"/>
  <c r="K3707" i="1" a="1"/>
  <c r="K4105" i="1" a="1"/>
  <c r="K4140" i="1" a="1"/>
  <c r="K4240" i="1" a="1"/>
  <c r="K4254" i="1" a="1"/>
  <c r="K492" i="1" a="1"/>
  <c r="K1258" i="1" a="1"/>
  <c r="K1215" i="1" a="1"/>
  <c r="K2057" i="1" a="1"/>
  <c r="K954" i="1" a="1"/>
  <c r="K1245" i="1" a="1"/>
  <c r="K3554" i="1" a="1"/>
  <c r="K3898" i="1" a="1"/>
  <c r="K3580" i="1" a="1"/>
  <c r="K1179" i="1" a="1"/>
  <c r="K462" i="1" a="1"/>
  <c r="K1818" i="1" a="1"/>
  <c r="K2613" i="1" a="1"/>
  <c r="K3712" i="1" a="1"/>
  <c r="K2175" i="1" a="1"/>
  <c r="K2588" i="1" a="1"/>
  <c r="K3258" i="1" a="1"/>
  <c r="K2941" i="1" a="1"/>
  <c r="K3725" i="1" a="1"/>
  <c r="K2809" i="1" a="1"/>
  <c r="K3969" i="1" a="1"/>
  <c r="K2315" i="1" a="1"/>
  <c r="K3853" i="1" a="1"/>
  <c r="K2884" i="1" a="1"/>
  <c r="K3445" i="1" a="1"/>
  <c r="K3103" i="1" a="1"/>
  <c r="K3797" i="1" a="1"/>
  <c r="K3526" i="1" a="1"/>
  <c r="K3933" i="1" a="1"/>
  <c r="K4143" i="1" a="1"/>
  <c r="K4206" i="1" a="1"/>
  <c r="K2983" i="1" a="1"/>
  <c r="K2126" i="1" a="1"/>
  <c r="K3096" i="1" a="1"/>
  <c r="K4114" i="1" a="1"/>
  <c r="K4142" i="1" a="1"/>
  <c r="K3776" i="1" a="1"/>
  <c r="K4124" i="1" a="1"/>
  <c r="K3768" i="1" a="1"/>
  <c r="K4059" i="1" a="1"/>
  <c r="K2301" i="1" a="1"/>
  <c r="K3289" i="1" a="1"/>
  <c r="K3249" i="1" a="1"/>
  <c r="K4073" i="1" a="1"/>
  <c r="K2307" i="1" a="1"/>
  <c r="K3692" i="1" a="1"/>
  <c r="K3645" i="1" a="1"/>
  <c r="K3640" i="1" a="1"/>
  <c r="K3606" i="1" a="1"/>
  <c r="K3783" i="1" a="1"/>
  <c r="K3723" i="1" a="1"/>
  <c r="K4000" i="1" a="1"/>
  <c r="K3981" i="1" a="1"/>
  <c r="K1809" i="1" a="1"/>
  <c r="K3593" i="1" a="1"/>
  <c r="K3793" i="1" a="1"/>
  <c r="K2686" i="1" a="1"/>
  <c r="K2725" i="1" a="1"/>
  <c r="K3575" i="1" a="1"/>
  <c r="K3247" i="1" a="1"/>
  <c r="K3890" i="1" a="1"/>
  <c r="K3708" i="1" a="1"/>
  <c r="K3871" i="1" a="1"/>
  <c r="K3947" i="1" a="1"/>
  <c r="K4056" i="1" a="1"/>
  <c r="K3337" i="1" a="1"/>
  <c r="K3993" i="1" a="1"/>
  <c r="K2711" i="1" a="1"/>
  <c r="K2118" i="1" a="1"/>
  <c r="K3592" i="1" a="1"/>
  <c r="K3347" i="1" a="1"/>
  <c r="K3329" i="1" a="1"/>
  <c r="K3007" i="1" a="1"/>
  <c r="K3509" i="1" a="1"/>
  <c r="K3570" i="1" a="1"/>
  <c r="K2549" i="1" a="1"/>
  <c r="K3647" i="1" a="1"/>
  <c r="K3651" i="1" a="1"/>
  <c r="K4247" i="1" a="1"/>
  <c r="K3883" i="1" a="1"/>
  <c r="K4091" i="1" a="1"/>
  <c r="K3687" i="1" a="1"/>
  <c r="K4112" i="1" a="1"/>
  <c r="K4244" i="1" a="1"/>
  <c r="K3828" i="1" a="1"/>
  <c r="K2006" i="1" a="1"/>
  <c r="K3533" i="1" a="1"/>
  <c r="K3421" i="1" a="1"/>
  <c r="K2572" i="1" a="1"/>
  <c r="K3653" i="1" a="1"/>
  <c r="K3995" i="1" a="1"/>
  <c r="K3345" i="1" a="1"/>
  <c r="K4224" i="1" a="1"/>
  <c r="K2179" i="1" a="1"/>
  <c r="K3597" i="1" a="1"/>
  <c r="K3431" i="1" a="1"/>
  <c r="K3897" i="1" a="1"/>
  <c r="K2682" i="1" a="1"/>
  <c r="K3366" i="1" a="1"/>
  <c r="K1905" i="1" a="1"/>
  <c r="K2513" i="1" a="1"/>
  <c r="K3129" i="1" a="1"/>
  <c r="K3760" i="1" a="1"/>
  <c r="K4092" i="1" a="1"/>
  <c r="K3016" i="1" a="1"/>
  <c r="K3975" i="1" a="1"/>
  <c r="K4158" i="1" a="1"/>
  <c r="K4315" i="1" a="1"/>
  <c r="K2416" i="1" a="1"/>
  <c r="K3134" i="1" a="1"/>
  <c r="K2594" i="1" a="1"/>
  <c r="K2629" i="1" a="1"/>
  <c r="K3636" i="1" a="1"/>
  <c r="K4173" i="1" a="1"/>
  <c r="K3171" i="1" a="1"/>
  <c r="K3036" i="1" a="1"/>
  <c r="K3877" i="1" a="1"/>
  <c r="K4277" i="1" a="1"/>
  <c r="K3827" i="1" a="1"/>
  <c r="K4189" i="1" a="1"/>
  <c r="K3675" i="1" a="1"/>
  <c r="K3932" i="1" a="1"/>
  <c r="K4217" i="1" a="1"/>
  <c r="K4250" i="1" a="1"/>
  <c r="K3954" i="1" a="1"/>
  <c r="K4052" i="1" a="1"/>
  <c r="K2409" i="1" a="1"/>
  <c r="K3360" i="1" a="1"/>
  <c r="K3370" i="1" a="1"/>
  <c r="K3920" i="1" a="1"/>
  <c r="K2699" i="1" a="1"/>
  <c r="K3362" i="1" a="1"/>
  <c r="K3741" i="1" a="1"/>
  <c r="K3316" i="1" a="1"/>
  <c r="K2634" i="1" a="1"/>
  <c r="K4242" i="1" a="1"/>
  <c r="K4265" i="1" a="1"/>
  <c r="K4113" i="1" a="1"/>
  <c r="K4294" i="1" a="1"/>
  <c r="K3757" i="1" a="1"/>
  <c r="K3463" i="1" a="1"/>
  <c r="K3175" i="1" a="1"/>
  <c r="K3122" i="1" a="1"/>
  <c r="K3284" i="1" a="1"/>
  <c r="K2537" i="1" a="1"/>
  <c r="K4015" i="1" a="1"/>
  <c r="K4127" i="1" a="1"/>
  <c r="K3949" i="1" a="1"/>
  <c r="K1181" i="1" a="1"/>
  <c r="K887" i="1" a="1"/>
  <c r="K2707" i="1" a="1"/>
  <c r="K3680" i="1" a="1"/>
  <c r="K3223" i="1" a="1"/>
  <c r="K2528" i="1" a="1"/>
  <c r="K3515" i="1" a="1"/>
  <c r="K3312" i="1" a="1"/>
  <c r="K3440" i="1" a="1"/>
  <c r="K3490" i="1" a="1"/>
  <c r="K3435" i="1" a="1"/>
  <c r="K2658" i="1" a="1"/>
  <c r="K1686" i="1" a="1"/>
  <c r="K3382" i="1" a="1"/>
  <c r="K1889" i="1" a="1"/>
  <c r="K3297" i="1" a="1"/>
  <c r="K3544" i="1" a="1"/>
  <c r="K3814" i="1" a="1"/>
  <c r="K3713" i="1" a="1"/>
  <c r="K4222" i="1" a="1"/>
  <c r="K4295" i="1" a="1"/>
  <c r="K4200" i="1" a="1"/>
  <c r="K3660" i="1" a="1"/>
  <c r="K4032" i="1" a="1"/>
  <c r="K3147" i="1" a="1"/>
  <c r="K4036" i="1" a="1"/>
  <c r="K3812" i="1" a="1"/>
  <c r="K3257" i="1" a="1"/>
  <c r="K4239" i="1" a="1"/>
  <c r="K3847" i="1" a="1"/>
  <c r="K3968" i="1" a="1"/>
  <c r="K2794" i="1" a="1"/>
  <c r="K3432" i="1" a="1"/>
  <c r="K3999" i="1" a="1"/>
  <c r="K4021" i="1" a="1"/>
  <c r="K3040" i="1" a="1"/>
  <c r="K3893" i="1" a="1"/>
  <c r="K3127" i="1" a="1"/>
  <c r="K3186" i="1" a="1"/>
  <c r="K3862" i="1" a="1"/>
  <c r="K4137" i="1" a="1"/>
  <c r="K4201" i="1" a="1"/>
  <c r="K4104" i="1" a="1"/>
  <c r="K3434" i="1" a="1"/>
  <c r="K2045" i="1" a="1"/>
  <c r="K2521" i="1" a="1"/>
  <c r="K3270" i="1" a="1"/>
  <c r="K3221" i="1" a="1"/>
  <c r="K3230" i="1" a="1"/>
  <c r="K3927" i="1" a="1"/>
  <c r="K1865" i="1" a="1"/>
  <c r="K3048" i="1" a="1"/>
  <c r="K3404" i="1" a="1"/>
  <c r="K4076" i="1" a="1"/>
  <c r="K3823" i="1" a="1"/>
  <c r="K3965" i="1" a="1"/>
  <c r="K4160" i="1" a="1"/>
  <c r="K4013" i="1" a="1"/>
  <c r="K2089" i="1" a="1"/>
  <c r="K3625" i="1" a="1"/>
  <c r="K3921" i="1" a="1"/>
  <c r="K3197" i="1" a="1"/>
  <c r="K2919" i="1" a="1"/>
  <c r="K3607" i="1" a="1"/>
  <c r="K3343" i="1" a="1"/>
  <c r="K3740" i="1" a="1"/>
  <c r="K3903" i="1" a="1"/>
  <c r="K3987" i="1" a="1"/>
  <c r="K3623" i="1" a="1"/>
  <c r="K3900" i="1" a="1"/>
  <c r="K3330" i="1" a="1"/>
  <c r="K3952" i="1" a="1"/>
  <c r="K3804" i="1" a="1"/>
  <c r="K4256" i="1" a="1"/>
  <c r="K2670" i="1" a="1"/>
  <c r="K2816" i="1" a="1"/>
  <c r="K4182" i="1" a="1"/>
  <c r="K4177" i="1" a="1"/>
  <c r="K3838" i="1" a="1"/>
  <c r="K3754" i="1" a="1"/>
  <c r="K2778" i="1" a="1"/>
  <c r="K3702" i="1" a="1"/>
  <c r="K4314" i="1" a="1"/>
  <c r="K3892" i="1" a="1"/>
  <c r="K2061" i="1" a="1"/>
  <c r="K3929" i="1" a="1"/>
  <c r="K4009" i="1" a="1"/>
  <c r="K2617" i="1" a="1"/>
  <c r="K3888" i="1" a="1"/>
  <c r="K3872" i="1" a="1"/>
  <c r="K4304" i="1" a="1"/>
  <c r="K1333" i="1" a="1"/>
  <c r="K2975" i="1" a="1"/>
  <c r="K3586" i="1" a="1"/>
  <c r="K2765" i="1" a="1"/>
  <c r="K4138" i="1" a="1"/>
  <c r="K4172" i="1" a="1"/>
  <c r="K3487" i="1" a="1"/>
  <c r="K2987" i="1" a="1"/>
  <c r="K3839" i="1" a="1"/>
  <c r="K4086" i="1" a="1"/>
  <c r="K3728" i="1" a="1"/>
  <c r="K2608" i="1" a="1"/>
  <c r="K4226" i="1" a="1"/>
  <c r="K2812" i="1" a="1"/>
  <c r="K3991" i="1" a="1"/>
  <c r="K4264" i="1" a="1"/>
  <c r="K3811" i="1" a="1"/>
  <c r="K4130" i="1" a="1"/>
  <c r="K3681" i="1" a="1"/>
  <c r="K3378" i="1" a="1"/>
  <c r="K3227" i="1" a="1"/>
  <c r="K3024" i="1" a="1"/>
  <c r="K4167" i="1" a="1"/>
  <c r="K2731" i="1" a="1"/>
  <c r="K3773" i="1" a="1"/>
  <c r="K3734" i="1" a="1"/>
  <c r="K4157" i="1" a="1"/>
  <c r="K2712" i="1" a="1"/>
  <c r="K2665" i="1" a="1"/>
  <c r="K1273" i="1" a="1"/>
  <c r="K4027" i="1" a="1"/>
  <c r="K3867" i="1" a="1"/>
  <c r="K2480" i="1" a="1"/>
  <c r="K3425" i="1" a="1"/>
  <c r="K3958" i="1" a="1"/>
  <c r="K4004" i="1" a="1"/>
  <c r="K4198" i="1" a="1"/>
  <c r="K3069" i="1" a="1"/>
  <c r="K3896" i="1" a="1"/>
  <c r="K4141" i="1" a="1"/>
  <c r="K3951" i="1" a="1"/>
  <c r="K4207" i="1" a="1"/>
  <c r="K3937" i="1" a="1"/>
  <c r="K3252" i="1" a="1"/>
  <c r="K3443" i="1" a="1"/>
  <c r="K2602" i="1" a="1"/>
  <c r="K4286" i="1" a="1"/>
  <c r="K3292" i="1" a="1"/>
  <c r="K3908" i="1" a="1"/>
  <c r="K3471" i="1" a="1"/>
  <c r="K2790" i="1" a="1"/>
  <c r="K4171" i="1" a="1"/>
  <c r="K2477" i="1" a="1"/>
  <c r="K2986" i="1" a="1"/>
  <c r="K3543" i="1" a="1"/>
  <c r="K4024" i="1" a="1"/>
  <c r="K3101" i="1" a="1"/>
  <c r="K2592" i="1" a="1"/>
  <c r="K4235" i="1" a="1"/>
  <c r="K4303" i="1" a="1"/>
  <c r="K4290" i="1" a="1"/>
  <c r="K3488" i="1" a="1"/>
  <c r="K2478" i="1" a="1"/>
  <c r="K3572" i="1" a="1"/>
  <c r="K3845" i="1" a="1"/>
  <c r="K3631" i="1" a="1"/>
  <c r="K2972" i="1" a="1"/>
  <c r="K3286" i="1" a="1"/>
  <c r="K3884" i="1" a="1"/>
  <c r="K3891" i="1" a="1"/>
  <c r="K1958" i="1" a="1"/>
  <c r="K4058" i="1" a="1"/>
  <c r="K3447" i="1" a="1"/>
  <c r="K4074" i="1" a="1"/>
  <c r="K4310" i="1" a="1"/>
  <c r="K3781" i="1" a="1"/>
  <c r="K3377" i="1" a="1"/>
  <c r="K4253" i="1" a="1"/>
  <c r="K3039" i="1" a="1"/>
  <c r="K3966" i="1" a="1"/>
  <c r="K3860" i="1" a="1"/>
  <c r="K3905" i="1" a="1"/>
  <c r="K3070" i="1" a="1"/>
  <c r="K3008" i="1" a="1"/>
  <c r="K2929" i="1" a="1"/>
  <c r="K2891" i="1" a="1"/>
  <c r="K3829" i="1" a="1"/>
  <c r="K3855" i="1" a="1"/>
  <c r="K2152" i="1" a="1"/>
  <c r="K2447" i="1" a="1"/>
  <c r="K3532" i="1" a="1"/>
  <c r="K3851" i="1" a="1"/>
  <c r="K3939" i="1" a="1"/>
  <c r="K3617" i="1" a="1"/>
  <c r="K3786" i="1" a="1"/>
  <c r="K3820" i="1" a="1"/>
  <c r="K3139" i="1" a="1"/>
  <c r="K4283" i="1" a="1"/>
  <c r="K3250" i="1" a="1"/>
  <c r="K2517" i="1" a="1"/>
  <c r="K4022" i="1" a="1"/>
  <c r="K4144" i="1" a="1"/>
  <c r="K4274" i="1" a="1"/>
  <c r="K4046" i="1" a="1"/>
  <c r="K3383" i="1" a="1"/>
  <c r="K3789" i="1" a="1"/>
  <c r="K3779" i="1" a="1"/>
  <c r="K4245" i="1" a="1"/>
  <c r="K3097" i="1" a="1"/>
  <c r="K2605" i="1" a="1"/>
  <c r="K3887" i="1" a="1"/>
  <c r="K2192" i="1" a="1"/>
  <c r="K4026" i="1" a="1"/>
  <c r="K2959" i="1" a="1"/>
  <c r="K3595" i="1" a="1"/>
  <c r="K4280" i="1" a="1"/>
  <c r="K3755" i="1" a="1"/>
  <c r="K3766" i="1" a="1"/>
  <c r="K2676" i="1" a="1"/>
  <c r="K3615" i="1" a="1"/>
  <c r="K4258" i="1" a="1"/>
  <c r="K4276" i="1" a="1"/>
  <c r="K3912" i="1" a="1"/>
  <c r="K2019" i="1" a="1"/>
  <c r="K2753" i="1" a="1"/>
  <c r="K2893" i="1" a="1"/>
  <c r="K3978" i="1" a="1"/>
  <c r="K1510" i="1" a="1"/>
  <c r="K4212" i="1" a="1"/>
  <c r="K4154" i="1" a="1"/>
  <c r="K4306" i="1" a="1"/>
  <c r="K4014" i="1" a="1"/>
  <c r="K4053" i="1" a="1"/>
  <c r="K3083" i="1" a="1"/>
  <c r="K4077" i="1" a="1"/>
  <c r="K4181" i="1" a="1"/>
  <c r="K3875" i="1" a="1"/>
  <c r="K3467" i="1" a="1"/>
  <c r="K3241" i="1" a="1"/>
  <c r="K3963" i="1" a="1"/>
  <c r="K3764" i="1" a="1"/>
  <c r="K3095" i="1" a="1"/>
  <c r="K4128" i="1" a="1"/>
  <c r="K3155" i="1" a="1"/>
  <c r="K4163" i="1" a="1"/>
  <c r="K3876" i="1" a="1"/>
  <c r="K3727" i="1" a="1"/>
  <c r="K3468" i="1" a="1"/>
  <c r="K3325" i="1" a="1"/>
  <c r="K4313" i="1" a="1"/>
  <c r="K4016" i="1" a="1"/>
  <c r="K3699" i="1" a="1"/>
  <c r="K3977" i="1" a="1"/>
  <c r="K2007" i="1" a="1"/>
  <c r="K2604" i="1" a="1"/>
  <c r="K1853" i="1" a="1"/>
  <c r="K2773" i="1" a="1"/>
  <c r="K3293" i="1" a="1"/>
  <c r="K3391" i="1" a="1"/>
  <c r="K4174" i="1" a="1"/>
  <c r="K4029" i="1" a="1"/>
  <c r="K3475" i="1" a="1"/>
  <c r="K4103" i="1" a="1"/>
  <c r="K3555" i="1" a="1"/>
  <c r="K3429" i="1" a="1"/>
  <c r="K3603" i="1" a="1"/>
  <c r="K1049" i="1" a="1"/>
  <c r="K3100" i="1" a="1"/>
  <c r="K3116" i="1" a="1"/>
  <c r="K4012" i="1" a="1"/>
  <c r="K3957" i="1" a="1"/>
  <c r="K3850" i="1" a="1"/>
  <c r="K4150" i="1" a="1"/>
  <c r="K3137" i="1" a="1"/>
  <c r="K3107" i="1" a="1"/>
  <c r="K3787" i="1" a="1"/>
  <c r="K4025" i="1" a="1"/>
  <c r="K3563" i="1" a="1"/>
  <c r="K3476" i="1" a="1"/>
  <c r="K4047" i="1" a="1"/>
  <c r="K4093" i="1" a="1"/>
  <c r="K931" i="1" a="1"/>
  <c r="K3060" i="1" a="1"/>
  <c r="K3715" i="1" a="1"/>
  <c r="K3364" i="1" a="1"/>
  <c r="K2914" i="1" a="1"/>
  <c r="K3294" i="1" a="1"/>
  <c r="K4120" i="1" a="1"/>
  <c r="K3668" i="1" a="1"/>
  <c r="K3400" i="1" a="1"/>
  <c r="K4094" i="1" a="1"/>
  <c r="K2744" i="1" a="1"/>
  <c r="K2772" i="1" a="1"/>
  <c r="K3946" i="1" a="1"/>
  <c r="K3716" i="1" a="1"/>
  <c r="K4107" i="1" a="1"/>
  <c r="K3581" i="1" a="1"/>
  <c r="K4161" i="1" a="1"/>
  <c r="K2078" i="1" a="1"/>
  <c r="K1381" i="1" a="1"/>
  <c r="K3319" i="1" a="1"/>
  <c r="K4271" i="1" a="1"/>
  <c r="K2917" i="1" a="1"/>
  <c r="K3448" i="1" a="1"/>
  <c r="K3919" i="1" a="1"/>
  <c r="K2786" i="1" a="1"/>
  <c r="K3758" i="1" a="1"/>
  <c r="K3438" i="1" a="1"/>
  <c r="K4238" i="1" a="1"/>
  <c r="K4257" i="1" a="1"/>
  <c r="K2601" i="1" a="1"/>
  <c r="K4297" i="1" a="1"/>
  <c r="K3494" i="1" a="1"/>
  <c r="K2885" i="1" a="1"/>
  <c r="K4145" i="1" a="1"/>
  <c r="K2563" i="1" a="1"/>
  <c r="K3407" i="1" a="1"/>
  <c r="K3621" i="1" a="1"/>
  <c r="K4062" i="1" a="1"/>
  <c r="K3993" i="1" l="1"/>
  <c r="K4071" i="1"/>
  <c r="K4218" i="1"/>
  <c r="K4261" i="1"/>
  <c r="K4311" i="1"/>
  <c r="K4151" i="1"/>
  <c r="K4294" i="1"/>
  <c r="K4052" i="1"/>
  <c r="K4089" i="1"/>
  <c r="K4059" i="1"/>
  <c r="K4307" i="1"/>
  <c r="K4147" i="1"/>
  <c r="K3378" i="1"/>
  <c r="K4290" i="1"/>
  <c r="K3450" i="1"/>
  <c r="K4244" i="1"/>
  <c r="K3980" i="1"/>
  <c r="K4104" i="1"/>
  <c r="K4283" i="1"/>
  <c r="K4199" i="1"/>
  <c r="K4115" i="1"/>
  <c r="K3937" i="1"/>
  <c r="K4272" i="1"/>
  <c r="K3957" i="1"/>
  <c r="K4258" i="1"/>
  <c r="K4174" i="1"/>
  <c r="K3824" i="1"/>
  <c r="K4152" i="1"/>
  <c r="K4177" i="1"/>
  <c r="K3820" i="1"/>
  <c r="K4315" i="1"/>
  <c r="K3780" i="1"/>
  <c r="K4090" i="1"/>
  <c r="K4000" i="1"/>
  <c r="K4239" i="1"/>
  <c r="K3121" i="1"/>
  <c r="K4220" i="1"/>
  <c r="K4068" i="1"/>
  <c r="K4191" i="1"/>
  <c r="K3924" i="1"/>
  <c r="K3936" i="1"/>
  <c r="K4166" i="1"/>
  <c r="K4124" i="1"/>
  <c r="K4169" i="1"/>
  <c r="K4200" i="1"/>
  <c r="K3949" i="1"/>
  <c r="K4025" i="1"/>
  <c r="K4275" i="1"/>
  <c r="K4187" i="1"/>
  <c r="K4103" i="1"/>
  <c r="K3908" i="1"/>
  <c r="K4192" i="1"/>
  <c r="K3418" i="1"/>
  <c r="K4250" i="1"/>
  <c r="K4130" i="1"/>
  <c r="K4284" i="1"/>
  <c r="K4305" i="1"/>
  <c r="K4133" i="1"/>
  <c r="K4312" i="1"/>
  <c r="K4243" i="1"/>
  <c r="K4302" i="1"/>
  <c r="K4093" i="1"/>
  <c r="K4256" i="1"/>
  <c r="K3764" i="1"/>
  <c r="K4086" i="1"/>
  <c r="K3960" i="1"/>
  <c r="K4279" i="1"/>
  <c r="K4111" i="1"/>
  <c r="K4224" i="1"/>
  <c r="K4254" i="1"/>
  <c r="K3808" i="1"/>
  <c r="K3804" i="1"/>
  <c r="K4116" i="1"/>
  <c r="K3272" i="1"/>
  <c r="K3848" i="1"/>
  <c r="K4255" i="1"/>
  <c r="K4175" i="1"/>
  <c r="K4087" i="1"/>
  <c r="K3828" i="1"/>
  <c r="K4112" i="1"/>
  <c r="K3434" i="1"/>
  <c r="K4230" i="1"/>
  <c r="K4126" i="1"/>
  <c r="K4260" i="1"/>
  <c r="K4297" i="1"/>
  <c r="K4129" i="1"/>
  <c r="K4288" i="1"/>
  <c r="K4276" i="1"/>
  <c r="K4155" i="1"/>
  <c r="K3800" i="1"/>
  <c r="K3562" i="1"/>
  <c r="K3784" i="1"/>
  <c r="K4063" i="1"/>
  <c r="K4214" i="1"/>
  <c r="K4257" i="1"/>
  <c r="K3864" i="1"/>
  <c r="K4228" i="1"/>
  <c r="K4231" i="1"/>
  <c r="K4054" i="1"/>
  <c r="K4058" i="1"/>
  <c r="K4206" i="1"/>
  <c r="K4016" i="1"/>
  <c r="K4221" i="1"/>
  <c r="K4008" i="1"/>
  <c r="K3981" i="1"/>
  <c r="K4037" i="1"/>
  <c r="K4168" i="1"/>
  <c r="K4295" i="1"/>
  <c r="K4215" i="1"/>
  <c r="K4127" i="1"/>
  <c r="K4017" i="1"/>
  <c r="K3089" i="1"/>
  <c r="K3997" i="1"/>
  <c r="K4278" i="1"/>
  <c r="K4190" i="1"/>
  <c r="K3984" i="1"/>
  <c r="K3243" i="1"/>
  <c r="K4217" i="1"/>
  <c r="K3964" i="1"/>
  <c r="K3973" i="1"/>
  <c r="K4162" i="1"/>
  <c r="K4122" i="1"/>
  <c r="K3956" i="1"/>
  <c r="K3792" i="1"/>
  <c r="K4028" i="1"/>
  <c r="K2605" i="1"/>
  <c r="K4293" i="1"/>
  <c r="K4253" i="1"/>
  <c r="K4209" i="1"/>
  <c r="K4165" i="1"/>
  <c r="K4081" i="1"/>
  <c r="K3953" i="1"/>
  <c r="K3788" i="1"/>
  <c r="K4240" i="1"/>
  <c r="K3816" i="1"/>
  <c r="K3952" i="1"/>
  <c r="K4027" i="1"/>
  <c r="K3983" i="1"/>
  <c r="K3943" i="1"/>
  <c r="K3899" i="1"/>
  <c r="K3855" i="1"/>
  <c r="K3771" i="1"/>
  <c r="K3727" i="1"/>
  <c r="K3687" i="1"/>
  <c r="K3643" i="1"/>
  <c r="K3599" i="1"/>
  <c r="K4172" i="1"/>
  <c r="K4050" i="1"/>
  <c r="K3514" i="1"/>
  <c r="K4204" i="1"/>
  <c r="K3972" i="1"/>
  <c r="K4303" i="1"/>
  <c r="K4271" i="1"/>
  <c r="K4223" i="1"/>
  <c r="K4183" i="1"/>
  <c r="K4143" i="1"/>
  <c r="K4095" i="1"/>
  <c r="K4049" i="1"/>
  <c r="K3892" i="1"/>
  <c r="K3264" i="1"/>
  <c r="K4160" i="1"/>
  <c r="K4053" i="1"/>
  <c r="K3257" i="1"/>
  <c r="K4286" i="1"/>
  <c r="K4246" i="1"/>
  <c r="K4198" i="1"/>
  <c r="K4158" i="1"/>
  <c r="K4118" i="1"/>
  <c r="K4070" i="1"/>
  <c r="K3945" i="1"/>
  <c r="K3776" i="1"/>
  <c r="K4176" i="1"/>
  <c r="K4021" i="1"/>
  <c r="K4304" i="1"/>
  <c r="K3912" i="1"/>
  <c r="K4289" i="1"/>
  <c r="K4249" i="1"/>
  <c r="K4201" i="1"/>
  <c r="K4161" i="1"/>
  <c r="K4121" i="1"/>
  <c r="K4073" i="1"/>
  <c r="K3932" i="1"/>
  <c r="K3772" i="1"/>
  <c r="K4188" i="1"/>
  <c r="K3337" i="1"/>
  <c r="K3941" i="1"/>
  <c r="K4019" i="1"/>
  <c r="K3979" i="1"/>
  <c r="K3939" i="1"/>
  <c r="K3891" i="1"/>
  <c r="K3851" i="1"/>
  <c r="K3811" i="1"/>
  <c r="K3763" i="1"/>
  <c r="K3723" i="1"/>
  <c r="K3683" i="1"/>
  <c r="K3635" i="1"/>
  <c r="K3595" i="1"/>
  <c r="K4140" i="1"/>
  <c r="K4044" i="1"/>
  <c r="K3330" i="1"/>
  <c r="K4180" i="1"/>
  <c r="K3928" i="1"/>
  <c r="K4299" i="1"/>
  <c r="K4263" i="1"/>
  <c r="K4219" i="1"/>
  <c r="K4179" i="1"/>
  <c r="K4135" i="1"/>
  <c r="K4091" i="1"/>
  <c r="K4024" i="1"/>
  <c r="K3860" i="1"/>
  <c r="K3194" i="1"/>
  <c r="K4136" i="1"/>
  <c r="K4029" i="1"/>
  <c r="K2714" i="1"/>
  <c r="K4282" i="1"/>
  <c r="K4238" i="1"/>
  <c r="K4194" i="1"/>
  <c r="K4154" i="1"/>
  <c r="K4110" i="1"/>
  <c r="K4066" i="1"/>
  <c r="K3920" i="1"/>
  <c r="K3498" i="1"/>
  <c r="K4144" i="1"/>
  <c r="K3996" i="1"/>
  <c r="K4252" i="1"/>
  <c r="K3832" i="1"/>
  <c r="K4285" i="1"/>
  <c r="K4241" i="1"/>
  <c r="K4197" i="1"/>
  <c r="K4157" i="1"/>
  <c r="K4113" i="1"/>
  <c r="K4069" i="1"/>
  <c r="K3916" i="1"/>
  <c r="K3530" i="1"/>
  <c r="K4156" i="1"/>
  <c r="K4060" i="1"/>
  <c r="K3345" i="1"/>
  <c r="K4015" i="1"/>
  <c r="K3975" i="1"/>
  <c r="K3931" i="1"/>
  <c r="K3887" i="1"/>
  <c r="K3847" i="1"/>
  <c r="K3803" i="1"/>
  <c r="K3759" i="1"/>
  <c r="K3719" i="1"/>
  <c r="K3675" i="1"/>
  <c r="K3631" i="1"/>
  <c r="K4102" i="1"/>
  <c r="K3170" i="1"/>
  <c r="K4208" i="1"/>
  <c r="K4153" i="1"/>
  <c r="K3843" i="1"/>
  <c r="K4150" i="1"/>
  <c r="K4062" i="1"/>
  <c r="K3904" i="1"/>
  <c r="K4120" i="1"/>
  <c r="K3989" i="1"/>
  <c r="K3768" i="1"/>
  <c r="K4281" i="1"/>
  <c r="K4233" i="1"/>
  <c r="K4193" i="1"/>
  <c r="K4105" i="1"/>
  <c r="K4065" i="1"/>
  <c r="K3900" i="1"/>
  <c r="K3145" i="1"/>
  <c r="K4132" i="1"/>
  <c r="K4051" i="1"/>
  <c r="K2299" i="1"/>
  <c r="K4011" i="1"/>
  <c r="K3971" i="1"/>
  <c r="K3923" i="1"/>
  <c r="K3883" i="1"/>
  <c r="K3795" i="1"/>
  <c r="K3755" i="1"/>
  <c r="K3715" i="1"/>
  <c r="K3667" i="1"/>
  <c r="K3627" i="1"/>
  <c r="K4296" i="1"/>
  <c r="K4084" i="1"/>
  <c r="K4012" i="1"/>
  <c r="K3207" i="1"/>
  <c r="K4148" i="1"/>
  <c r="K3752" i="1"/>
  <c r="K4291" i="1"/>
  <c r="K4251" i="1"/>
  <c r="K4211" i="1"/>
  <c r="K4167" i="1"/>
  <c r="K4123" i="1"/>
  <c r="K4083" i="1"/>
  <c r="K3985" i="1"/>
  <c r="K3812" i="1"/>
  <c r="K2765" i="1"/>
  <c r="K4080" i="1"/>
  <c r="K3977" i="1"/>
  <c r="K4314" i="1"/>
  <c r="K4270" i="1"/>
  <c r="K4226" i="1"/>
  <c r="K4186" i="1"/>
  <c r="K4142" i="1"/>
  <c r="K4098" i="1"/>
  <c r="K4057" i="1"/>
  <c r="K3872" i="1"/>
  <c r="K3016" i="1"/>
  <c r="K4088" i="1"/>
  <c r="K3965" i="1"/>
  <c r="K4184" i="1"/>
  <c r="K3391" i="1"/>
  <c r="K4273" i="1"/>
  <c r="K4229" i="1"/>
  <c r="K4189" i="1"/>
  <c r="K4145" i="1"/>
  <c r="K4101" i="1"/>
  <c r="K4056" i="1"/>
  <c r="K3868" i="1"/>
  <c r="K2943" i="1"/>
  <c r="K4108" i="1"/>
  <c r="K4020" i="1"/>
  <c r="K4047" i="1"/>
  <c r="K4007" i="1"/>
  <c r="K3963" i="1"/>
  <c r="K3919" i="1"/>
  <c r="K3879" i="1"/>
  <c r="K3835" i="1"/>
  <c r="K3791" i="1"/>
  <c r="K3751" i="1"/>
  <c r="K3707" i="1"/>
  <c r="K3663" i="1"/>
  <c r="K3623" i="1"/>
  <c r="K4268" i="1"/>
  <c r="K4055" i="1"/>
  <c r="K4005" i="1"/>
  <c r="K4300" i="1"/>
  <c r="K4128" i="1"/>
  <c r="K3218" i="1"/>
  <c r="K4287" i="1"/>
  <c r="K4247" i="1"/>
  <c r="K4207" i="1"/>
  <c r="K4159" i="1"/>
  <c r="K4119" i="1"/>
  <c r="K4079" i="1"/>
  <c r="K3948" i="1"/>
  <c r="K3796" i="1"/>
  <c r="K4316" i="1"/>
  <c r="K3896" i="1"/>
  <c r="K3968" i="1"/>
  <c r="K4310" i="1"/>
  <c r="K4262" i="1"/>
  <c r="K4222" i="1"/>
  <c r="K4182" i="1"/>
  <c r="K4134" i="1"/>
  <c r="K4094" i="1"/>
  <c r="K4048" i="1"/>
  <c r="K3840" i="1"/>
  <c r="K4308" i="1"/>
  <c r="K4064" i="1"/>
  <c r="K3933" i="1"/>
  <c r="K4164" i="1"/>
  <c r="K4313" i="1"/>
  <c r="K4265" i="1"/>
  <c r="K4225" i="1"/>
  <c r="K4185" i="1"/>
  <c r="K4137" i="1"/>
  <c r="K4097" i="1"/>
  <c r="K4040" i="1"/>
  <c r="K3836" i="1"/>
  <c r="K2537" i="1"/>
  <c r="K4092" i="1"/>
  <c r="K3988" i="1"/>
  <c r="K4043" i="1"/>
  <c r="K4003" i="1"/>
  <c r="K3955" i="1"/>
  <c r="K3915" i="1"/>
  <c r="K3875" i="1"/>
  <c r="K3827" i="1"/>
  <c r="K3787" i="1"/>
  <c r="K3747" i="1"/>
  <c r="K3699" i="1"/>
  <c r="K3659" i="1"/>
  <c r="K3619" i="1"/>
  <c r="K4039" i="1"/>
  <c r="K3995" i="1"/>
  <c r="K3951" i="1"/>
  <c r="K3911" i="1"/>
  <c r="K3867" i="1"/>
  <c r="K3823" i="1"/>
  <c r="K3783" i="1"/>
  <c r="K3739" i="1"/>
  <c r="K3695" i="1"/>
  <c r="K3655" i="1"/>
  <c r="K3611" i="1"/>
  <c r="K4035" i="1"/>
  <c r="K3987" i="1"/>
  <c r="K3947" i="1"/>
  <c r="K3907" i="1"/>
  <c r="K3859" i="1"/>
  <c r="K3819" i="1"/>
  <c r="K3779" i="1"/>
  <c r="K3731" i="1"/>
  <c r="K3691" i="1"/>
  <c r="K3651" i="1"/>
  <c r="K3603" i="1"/>
  <c r="K4078" i="1"/>
  <c r="K4212" i="1"/>
  <c r="K4072" i="1"/>
  <c r="K4125" i="1"/>
  <c r="K3815" i="1"/>
  <c r="K4267" i="1"/>
  <c r="K4235" i="1"/>
  <c r="K4203" i="1"/>
  <c r="K4171" i="1"/>
  <c r="K4139" i="1"/>
  <c r="K4107" i="1"/>
  <c r="K4075" i="1"/>
  <c r="K3992" i="1"/>
  <c r="K3876" i="1"/>
  <c r="K3466" i="1"/>
  <c r="K4292" i="1"/>
  <c r="K4096" i="1"/>
  <c r="K4036" i="1"/>
  <c r="K3546" i="1"/>
  <c r="K4306" i="1"/>
  <c r="K4274" i="1"/>
  <c r="K4242" i="1"/>
  <c r="K4210" i="1"/>
  <c r="K4178" i="1"/>
  <c r="K4146" i="1"/>
  <c r="K4114" i="1"/>
  <c r="K4082" i="1"/>
  <c r="K4041" i="1"/>
  <c r="K3888" i="1"/>
  <c r="K3760" i="1"/>
  <c r="K4236" i="1"/>
  <c r="K3880" i="1"/>
  <c r="K3976" i="1"/>
  <c r="K4280" i="1"/>
  <c r="K4100" i="1"/>
  <c r="K4309" i="1"/>
  <c r="K4277" i="1"/>
  <c r="K4245" i="1"/>
  <c r="K4213" i="1"/>
  <c r="K4181" i="1"/>
  <c r="K4149" i="1"/>
  <c r="K4117" i="1"/>
  <c r="K4085" i="1"/>
  <c r="K4033" i="1"/>
  <c r="K3884" i="1"/>
  <c r="K3756" i="1"/>
  <c r="K4264" i="1"/>
  <c r="K4076" i="1"/>
  <c r="K4045" i="1"/>
  <c r="K3482" i="1"/>
  <c r="K4031" i="1"/>
  <c r="K3999" i="1"/>
  <c r="K3967" i="1"/>
  <c r="K3935" i="1"/>
  <c r="K3903" i="1"/>
  <c r="K3871" i="1"/>
  <c r="K3839" i="1"/>
  <c r="K3807" i="1"/>
  <c r="K3775" i="1"/>
  <c r="K3743" i="1"/>
  <c r="K3711" i="1"/>
  <c r="K3679" i="1"/>
  <c r="K3647" i="1"/>
  <c r="K3615" i="1"/>
  <c r="K3583" i="1"/>
  <c r="K3492" i="1"/>
  <c r="K3359" i="1"/>
  <c r="K3249" i="1"/>
  <c r="K3120" i="1"/>
  <c r="K3566" i="1"/>
  <c r="K3438" i="1"/>
  <c r="K3336" i="1"/>
  <c r="K3248" i="1"/>
  <c r="K3106" i="1"/>
  <c r="K2505" i="1"/>
  <c r="K4022" i="1"/>
  <c r="K3990" i="1"/>
  <c r="K3958" i="1"/>
  <c r="K3926" i="1"/>
  <c r="K3894" i="1"/>
  <c r="K3862" i="1"/>
  <c r="K3830" i="1"/>
  <c r="K3798" i="1"/>
  <c r="K3766" i="1"/>
  <c r="K3734" i="1"/>
  <c r="K3702" i="1"/>
  <c r="K3670" i="1"/>
  <c r="K3638" i="1"/>
  <c r="K3606" i="1"/>
  <c r="K3574" i="1"/>
  <c r="K3464" i="1"/>
  <c r="K3370" i="1"/>
  <c r="K3284" i="1"/>
  <c r="K3129" i="1"/>
  <c r="K2581" i="1"/>
  <c r="K3458" i="1"/>
  <c r="K3319" i="1"/>
  <c r="K3176" i="1"/>
  <c r="K2637" i="1"/>
  <c r="K3909" i="1"/>
  <c r="K3877" i="1"/>
  <c r="K3845" i="1"/>
  <c r="K3813" i="1"/>
  <c r="K3781" i="1"/>
  <c r="K3749" i="1"/>
  <c r="K3717" i="1"/>
  <c r="K3685" i="1"/>
  <c r="K3653" i="1"/>
  <c r="K3621" i="1"/>
  <c r="K3589" i="1"/>
  <c r="K3532" i="1"/>
  <c r="K3404" i="1"/>
  <c r="K3304" i="1"/>
  <c r="K3199" i="1"/>
  <c r="K2920" i="1"/>
  <c r="K3542" i="1"/>
  <c r="K3414" i="1"/>
  <c r="K3332" i="1"/>
  <c r="K3209" i="1"/>
  <c r="K2829" i="1"/>
  <c r="K3740" i="1"/>
  <c r="K3708" i="1"/>
  <c r="K3676" i="1"/>
  <c r="K3644" i="1"/>
  <c r="K3612" i="1"/>
  <c r="K3580" i="1"/>
  <c r="K3488" i="1"/>
  <c r="K3367" i="1"/>
  <c r="K3280" i="1"/>
  <c r="K3135" i="1"/>
  <c r="K2549" i="1"/>
  <c r="K3543" i="1"/>
  <c r="K3511" i="1"/>
  <c r="K3479" i="1"/>
  <c r="K3447" i="1"/>
  <c r="K3415" i="1"/>
  <c r="K3372" i="1"/>
  <c r="K3308" i="1"/>
  <c r="K3244" i="1"/>
  <c r="K3180" i="1"/>
  <c r="K3116" i="1"/>
  <c r="K3052" i="1"/>
  <c r="K2988" i="1"/>
  <c r="K2924" i="1"/>
  <c r="K2877" i="1"/>
  <c r="K2834" i="1"/>
  <c r="K2752" i="1"/>
  <c r="K2662" i="1"/>
  <c r="K2580" i="1"/>
  <c r="K1988" i="1"/>
  <c r="K3024" i="1"/>
  <c r="K2946" i="1"/>
  <c r="K2757" i="1"/>
  <c r="K2533" i="1"/>
  <c r="K1979" i="1"/>
  <c r="K3147" i="1"/>
  <c r="K3060" i="1"/>
  <c r="K2982" i="1"/>
  <c r="K2902" i="1"/>
  <c r="K2844" i="1"/>
  <c r="K2744" i="1"/>
  <c r="K2634" i="1"/>
  <c r="K2546" i="1"/>
  <c r="K3352" i="1"/>
  <c r="K3265" i="1"/>
  <c r="K3178" i="1"/>
  <c r="K3096" i="1"/>
  <c r="K3009" i="1"/>
  <c r="K2922" i="1"/>
  <c r="K2730" i="1"/>
  <c r="K2617" i="1"/>
  <c r="K2513" i="1"/>
  <c r="K3561" i="1"/>
  <c r="K3517" i="1"/>
  <c r="K3473" i="1"/>
  <c r="K3433" i="1"/>
  <c r="K3379" i="1"/>
  <c r="K3292" i="1"/>
  <c r="K3214" i="1"/>
  <c r="K3123" i="1"/>
  <c r="K3036" i="1"/>
  <c r="K2958" i="1"/>
  <c r="K2885" i="1"/>
  <c r="K2825" i="1"/>
  <c r="K2710" i="1"/>
  <c r="K2608" i="1"/>
  <c r="K2232" i="1"/>
  <c r="K3058" i="1"/>
  <c r="K2967" i="1"/>
  <c r="K2780" i="1"/>
  <c r="K2677" i="1"/>
  <c r="K3579" i="1"/>
  <c r="K3476" i="1"/>
  <c r="K3351" i="1"/>
  <c r="K3241" i="1"/>
  <c r="K3048" i="1"/>
  <c r="K3550" i="1"/>
  <c r="K3422" i="1"/>
  <c r="K3328" i="1"/>
  <c r="K3226" i="1"/>
  <c r="K3080" i="1"/>
  <c r="K2216" i="1"/>
  <c r="K4018" i="1"/>
  <c r="K3986" i="1"/>
  <c r="K3954" i="1"/>
  <c r="K3922" i="1"/>
  <c r="K3890" i="1"/>
  <c r="K3858" i="1"/>
  <c r="K3826" i="1"/>
  <c r="K3794" i="1"/>
  <c r="K3762" i="1"/>
  <c r="K3730" i="1"/>
  <c r="K3698" i="1"/>
  <c r="K3666" i="1"/>
  <c r="K3634" i="1"/>
  <c r="K3602" i="1"/>
  <c r="K3570" i="1"/>
  <c r="K3448" i="1"/>
  <c r="K3364" i="1"/>
  <c r="K3254" i="1"/>
  <c r="K3104" i="1"/>
  <c r="K2482" i="1"/>
  <c r="K3442" i="1"/>
  <c r="K3312" i="1"/>
  <c r="K3152" i="1"/>
  <c r="K2573" i="1"/>
  <c r="K3905" i="1"/>
  <c r="K3873" i="1"/>
  <c r="K3841" i="1"/>
  <c r="K3809" i="1"/>
  <c r="K3777" i="1"/>
  <c r="K3745" i="1"/>
  <c r="K3713" i="1"/>
  <c r="K3681" i="1"/>
  <c r="K3649" i="1"/>
  <c r="K3617" i="1"/>
  <c r="K3585" i="1"/>
  <c r="K3516" i="1"/>
  <c r="K3393" i="1"/>
  <c r="K3296" i="1"/>
  <c r="K3186" i="1"/>
  <c r="K2733" i="1"/>
  <c r="K3526" i="1"/>
  <c r="K3398" i="1"/>
  <c r="K3325" i="1"/>
  <c r="K3185" i="1"/>
  <c r="K2778" i="1"/>
  <c r="K3736" i="1"/>
  <c r="K3704" i="1"/>
  <c r="K3672" i="1"/>
  <c r="K3640" i="1"/>
  <c r="K3608" i="1"/>
  <c r="K3576" i="1"/>
  <c r="K3472" i="1"/>
  <c r="K3360" i="1"/>
  <c r="K3258" i="1"/>
  <c r="K3122" i="1"/>
  <c r="K1905" i="1"/>
  <c r="K3539" i="1"/>
  <c r="K3507" i="1"/>
  <c r="K3475" i="1"/>
  <c r="K3443" i="1"/>
  <c r="K3411" i="1"/>
  <c r="K3363" i="1"/>
  <c r="K3299" i="1"/>
  <c r="K3235" i="1"/>
  <c r="K3171" i="1"/>
  <c r="K3107" i="1"/>
  <c r="K3043" i="1"/>
  <c r="K2979" i="1"/>
  <c r="K2914" i="1"/>
  <c r="K2872" i="1"/>
  <c r="K2822" i="1"/>
  <c r="K2745" i="1"/>
  <c r="K2656" i="1"/>
  <c r="K2572" i="1"/>
  <c r="K3097" i="1"/>
  <c r="K3015" i="1"/>
  <c r="K2937" i="1"/>
  <c r="K2732" i="1"/>
  <c r="K2517" i="1"/>
  <c r="K1865" i="1"/>
  <c r="K3133" i="1"/>
  <c r="K3051" i="1"/>
  <c r="K2973" i="1"/>
  <c r="K2892" i="1"/>
  <c r="K2838" i="1"/>
  <c r="K2737" i="1"/>
  <c r="K2618" i="1"/>
  <c r="K2468" i="1"/>
  <c r="K3343" i="1"/>
  <c r="K3247" i="1"/>
  <c r="K3169" i="1"/>
  <c r="K3087" i="1"/>
  <c r="K2991" i="1"/>
  <c r="K2826" i="1"/>
  <c r="K2724" i="1"/>
  <c r="K2601" i="1"/>
  <c r="K2497" i="1"/>
  <c r="K3557" i="1"/>
  <c r="K3509" i="1"/>
  <c r="K3469" i="1"/>
  <c r="K3429" i="1"/>
  <c r="K3365" i="1"/>
  <c r="K3283" i="1"/>
  <c r="K3205" i="1"/>
  <c r="K3109" i="1"/>
  <c r="K3027" i="1"/>
  <c r="K2949" i="1"/>
  <c r="K2874" i="1"/>
  <c r="K2806" i="1"/>
  <c r="K2704" i="1"/>
  <c r="K2592" i="1"/>
  <c r="K2146" i="1"/>
  <c r="K3049" i="1"/>
  <c r="K2953" i="1"/>
  <c r="K2773" i="1"/>
  <c r="K2658" i="1"/>
  <c r="K4259" i="1"/>
  <c r="K4227" i="1"/>
  <c r="K4195" i="1"/>
  <c r="K4163" i="1"/>
  <c r="K4131" i="1"/>
  <c r="K4099" i="1"/>
  <c r="K4067" i="1"/>
  <c r="K3969" i="1"/>
  <c r="K3844" i="1"/>
  <c r="K3323" i="1"/>
  <c r="K4248" i="1"/>
  <c r="K3961" i="1"/>
  <c r="K4004" i="1"/>
  <c r="K3316" i="1"/>
  <c r="K4298" i="1"/>
  <c r="K4266" i="1"/>
  <c r="K4234" i="1"/>
  <c r="K4202" i="1"/>
  <c r="K4170" i="1"/>
  <c r="K4138" i="1"/>
  <c r="K4106" i="1"/>
  <c r="K4074" i="1"/>
  <c r="K4009" i="1"/>
  <c r="K3856" i="1"/>
  <c r="K3366" i="1"/>
  <c r="K4196" i="1"/>
  <c r="K4061" i="1"/>
  <c r="K3944" i="1"/>
  <c r="K4232" i="1"/>
  <c r="K4032" i="1"/>
  <c r="K4301" i="1"/>
  <c r="K4269" i="1"/>
  <c r="K4237" i="1"/>
  <c r="K4205" i="1"/>
  <c r="K4173" i="1"/>
  <c r="K4141" i="1"/>
  <c r="K4109" i="1"/>
  <c r="K4077" i="1"/>
  <c r="K4001" i="1"/>
  <c r="K3852" i="1"/>
  <c r="K3402" i="1"/>
  <c r="K4216" i="1"/>
  <c r="K3940" i="1"/>
  <c r="K4013" i="1"/>
  <c r="K3286" i="1"/>
  <c r="K4023" i="1"/>
  <c r="K3991" i="1"/>
  <c r="K3959" i="1"/>
  <c r="K3927" i="1"/>
  <c r="K3895" i="1"/>
  <c r="K3863" i="1"/>
  <c r="K3831" i="1"/>
  <c r="K3799" i="1"/>
  <c r="K3767" i="1"/>
  <c r="K3735" i="1"/>
  <c r="K3703" i="1"/>
  <c r="K3671" i="1"/>
  <c r="K3639" i="1"/>
  <c r="K3607" i="1"/>
  <c r="K3575" i="1"/>
  <c r="K3460" i="1"/>
  <c r="K3344" i="1"/>
  <c r="K3234" i="1"/>
  <c r="K2975" i="1"/>
  <c r="K3534" i="1"/>
  <c r="K3406" i="1"/>
  <c r="K3321" i="1"/>
  <c r="K3216" i="1"/>
  <c r="K3007" i="1"/>
  <c r="K4046" i="1"/>
  <c r="K4014" i="1"/>
  <c r="K3982" i="1"/>
  <c r="K3950" i="1"/>
  <c r="K3918" i="1"/>
  <c r="K3886" i="1"/>
  <c r="K3854" i="1"/>
  <c r="K3822" i="1"/>
  <c r="K3790" i="1"/>
  <c r="K3758" i="1"/>
  <c r="K3726" i="1"/>
  <c r="K3694" i="1"/>
  <c r="K3662" i="1"/>
  <c r="K3630" i="1"/>
  <c r="K3598" i="1"/>
  <c r="K3560" i="1"/>
  <c r="K3432" i="1"/>
  <c r="K3357" i="1"/>
  <c r="K3240" i="1"/>
  <c r="K3039" i="1"/>
  <c r="K3554" i="1"/>
  <c r="K3426" i="1"/>
  <c r="K3290" i="1"/>
  <c r="K3127" i="1"/>
  <c r="K2126" i="1"/>
  <c r="K3901" i="1"/>
  <c r="K3869" i="1"/>
  <c r="K3837" i="1"/>
  <c r="K3805" i="1"/>
  <c r="K3773" i="1"/>
  <c r="K3741" i="1"/>
  <c r="K3709" i="1"/>
  <c r="K3677" i="1"/>
  <c r="K3645" i="1"/>
  <c r="K3613" i="1"/>
  <c r="K3581" i="1"/>
  <c r="K3500" i="1"/>
  <c r="K3387" i="1"/>
  <c r="K3289" i="1"/>
  <c r="K3175" i="1"/>
  <c r="K2682" i="1"/>
  <c r="K3510" i="1"/>
  <c r="K3392" i="1"/>
  <c r="K3303" i="1"/>
  <c r="K3161" i="1"/>
  <c r="K2676" i="1"/>
  <c r="K3732" i="1"/>
  <c r="K3700" i="1"/>
  <c r="K3668" i="1"/>
  <c r="K3636" i="1"/>
  <c r="K3604" i="1"/>
  <c r="K3572" i="1"/>
  <c r="K3456" i="1"/>
  <c r="K3353" i="1"/>
  <c r="K3250" i="1"/>
  <c r="K3111" i="1"/>
  <c r="K3567" i="1"/>
  <c r="K3535" i="1"/>
  <c r="K3503" i="1"/>
  <c r="K3471" i="1"/>
  <c r="K3439" i="1"/>
  <c r="K3407" i="1"/>
  <c r="K3358" i="1"/>
  <c r="K3294" i="1"/>
  <c r="K3230" i="1"/>
  <c r="K3166" i="1"/>
  <c r="K3102" i="1"/>
  <c r="K3038" i="1"/>
  <c r="K2974" i="1"/>
  <c r="K2909" i="1"/>
  <c r="K2866" i="1"/>
  <c r="K2816" i="1"/>
  <c r="K2726" i="1"/>
  <c r="K2649" i="1"/>
  <c r="K2556" i="1"/>
  <c r="K3088" i="1"/>
  <c r="K3010" i="1"/>
  <c r="K2919" i="1"/>
  <c r="K2725" i="1"/>
  <c r="K2501" i="1"/>
  <c r="K3211" i="1"/>
  <c r="K3124" i="1"/>
  <c r="K3046" i="1"/>
  <c r="K2955" i="1"/>
  <c r="K2886" i="1"/>
  <c r="K2833" i="1"/>
  <c r="K2712" i="1"/>
  <c r="K2610" i="1"/>
  <c r="K2395" i="1"/>
  <c r="K3329" i="1"/>
  <c r="K3242" i="1"/>
  <c r="K3160" i="1"/>
  <c r="K3073" i="1"/>
  <c r="K2986" i="1"/>
  <c r="K2820" i="1"/>
  <c r="K2698" i="1"/>
  <c r="K2593" i="1"/>
  <c r="K2427" i="1"/>
  <c r="K3549" i="1"/>
  <c r="K3505" i="1"/>
  <c r="K3465" i="1"/>
  <c r="K3421" i="1"/>
  <c r="K3356" i="1"/>
  <c r="K3278" i="1"/>
  <c r="K3187" i="1"/>
  <c r="K3100" i="1"/>
  <c r="K3022" i="1"/>
  <c r="K2931" i="1"/>
  <c r="K2869" i="1"/>
  <c r="K2800" i="1"/>
  <c r="K2678" i="1"/>
  <c r="K2584" i="1"/>
  <c r="K2086" i="1"/>
  <c r="K3031" i="1"/>
  <c r="K2944" i="1"/>
  <c r="K2754" i="1"/>
  <c r="K2645" i="1"/>
  <c r="K3571" i="1"/>
  <c r="K3444" i="1"/>
  <c r="K3322" i="1"/>
  <c r="K3227" i="1"/>
  <c r="K2938" i="1"/>
  <c r="K3518" i="1"/>
  <c r="K3389" i="1"/>
  <c r="K3307" i="1"/>
  <c r="K3191" i="1"/>
  <c r="K2970" i="1"/>
  <c r="K4042" i="1"/>
  <c r="K4010" i="1"/>
  <c r="K3978" i="1"/>
  <c r="K3946" i="1"/>
  <c r="K3914" i="1"/>
  <c r="K3882" i="1"/>
  <c r="K3850" i="1"/>
  <c r="K3818" i="1"/>
  <c r="K3786" i="1"/>
  <c r="K3754" i="1"/>
  <c r="K3722" i="1"/>
  <c r="K3690" i="1"/>
  <c r="K3658" i="1"/>
  <c r="K3626" i="1"/>
  <c r="K3594" i="1"/>
  <c r="K3544" i="1"/>
  <c r="K3416" i="1"/>
  <c r="K3335" i="1"/>
  <c r="K3232" i="1"/>
  <c r="K3002" i="1"/>
  <c r="K3538" i="1"/>
  <c r="K3410" i="1"/>
  <c r="K3282" i="1"/>
  <c r="K3103" i="1"/>
  <c r="K3929" i="1"/>
  <c r="K3897" i="1"/>
  <c r="K3865" i="1"/>
  <c r="K3833" i="1"/>
  <c r="K3801" i="1"/>
  <c r="K3769" i="1"/>
  <c r="K3737" i="1"/>
  <c r="K3705" i="1"/>
  <c r="K3673" i="1"/>
  <c r="K3641" i="1"/>
  <c r="K3609" i="1"/>
  <c r="K3577" i="1"/>
  <c r="K3484" i="1"/>
  <c r="K3375" i="1"/>
  <c r="K3275" i="1"/>
  <c r="K3162" i="1"/>
  <c r="K2629" i="1"/>
  <c r="K3494" i="1"/>
  <c r="K3386" i="1"/>
  <c r="K3281" i="1"/>
  <c r="K3136" i="1"/>
  <c r="K2621" i="1"/>
  <c r="K3728" i="1"/>
  <c r="K3696" i="1"/>
  <c r="K3664" i="1"/>
  <c r="K3632" i="1"/>
  <c r="K3600" i="1"/>
  <c r="K3568" i="1"/>
  <c r="K3440" i="1"/>
  <c r="K3339" i="1"/>
  <c r="K3236" i="1"/>
  <c r="K3057" i="1"/>
  <c r="K3563" i="1"/>
  <c r="K3531" i="1"/>
  <c r="K3499" i="1"/>
  <c r="K3467" i="1"/>
  <c r="K3435" i="1"/>
  <c r="K3403" i="1"/>
  <c r="K3349" i="1"/>
  <c r="K3285" i="1"/>
  <c r="K3221" i="1"/>
  <c r="K3157" i="1"/>
  <c r="K3093" i="1"/>
  <c r="K3029" i="1"/>
  <c r="K2965" i="1"/>
  <c r="K2904" i="1"/>
  <c r="K2861" i="1"/>
  <c r="K2809" i="1"/>
  <c r="K2720" i="1"/>
  <c r="K2636" i="1"/>
  <c r="K2441" i="1"/>
  <c r="K3079" i="1"/>
  <c r="K3001" i="1"/>
  <c r="K2821" i="1"/>
  <c r="K2706" i="1"/>
  <c r="K2473" i="1"/>
  <c r="K3197" i="1"/>
  <c r="K3115" i="1"/>
  <c r="K3037" i="1"/>
  <c r="K2941" i="1"/>
  <c r="K2881" i="1"/>
  <c r="K2814" i="1"/>
  <c r="K2686" i="1"/>
  <c r="K2602" i="1"/>
  <c r="K2322" i="1"/>
  <c r="K3311" i="1"/>
  <c r="K3233" i="1"/>
  <c r="K3151" i="1"/>
  <c r="K3055" i="1"/>
  <c r="K2977" i="1"/>
  <c r="K2813" i="1"/>
  <c r="K2685" i="1"/>
  <c r="K2585" i="1"/>
  <c r="K2354" i="1"/>
  <c r="K3541" i="1"/>
  <c r="K3501" i="1"/>
  <c r="K3461" i="1"/>
  <c r="K3413" i="1"/>
  <c r="K3347" i="1"/>
  <c r="K3269" i="1"/>
  <c r="K3173" i="1"/>
  <c r="K3091" i="1"/>
  <c r="K3013" i="1"/>
  <c r="K2917" i="1"/>
  <c r="K2864" i="1"/>
  <c r="K2793" i="1"/>
  <c r="K2665" i="1"/>
  <c r="K2576" i="1"/>
  <c r="K2022" i="1"/>
  <c r="K3017" i="1"/>
  <c r="K2935" i="1"/>
  <c r="K2748" i="1"/>
  <c r="K2525" i="1"/>
  <c r="K3556" i="1"/>
  <c r="K3428" i="1"/>
  <c r="K3314" i="1"/>
  <c r="K3217" i="1"/>
  <c r="K2810" i="1"/>
  <c r="K3502" i="1"/>
  <c r="K3383" i="1"/>
  <c r="K3277" i="1"/>
  <c r="K3167" i="1"/>
  <c r="K2804" i="1"/>
  <c r="K4038" i="1"/>
  <c r="K4006" i="1"/>
  <c r="K3974" i="1"/>
  <c r="K3942" i="1"/>
  <c r="K3910" i="1"/>
  <c r="K3878" i="1"/>
  <c r="K3846" i="1"/>
  <c r="K3814" i="1"/>
  <c r="K3782" i="1"/>
  <c r="K3750" i="1"/>
  <c r="K3718" i="1"/>
  <c r="K3686" i="1"/>
  <c r="K3654" i="1"/>
  <c r="K3622" i="1"/>
  <c r="K3590" i="1"/>
  <c r="K3528" i="1"/>
  <c r="K3400" i="1"/>
  <c r="K3313" i="1"/>
  <c r="K3225" i="1"/>
  <c r="K2929" i="1"/>
  <c r="K3522" i="1"/>
  <c r="K3369" i="1"/>
  <c r="K3268" i="1"/>
  <c r="K3071" i="1"/>
  <c r="K3925" i="1"/>
  <c r="K3893" i="1"/>
  <c r="K3861" i="1"/>
  <c r="K3829" i="1"/>
  <c r="K3797" i="1"/>
  <c r="K3765" i="1"/>
  <c r="K3733" i="1"/>
  <c r="K3701" i="1"/>
  <c r="K3669" i="1"/>
  <c r="K3637" i="1"/>
  <c r="K3605" i="1"/>
  <c r="K3573" i="1"/>
  <c r="K3468" i="1"/>
  <c r="K3362" i="1"/>
  <c r="K3245" i="1"/>
  <c r="K3138" i="1"/>
  <c r="K2565" i="1"/>
  <c r="K3478" i="1"/>
  <c r="K3380" i="1"/>
  <c r="K3273" i="1"/>
  <c r="K3112" i="1"/>
  <c r="K2557" i="1"/>
  <c r="K3724" i="1"/>
  <c r="K3692" i="1"/>
  <c r="K3660" i="1"/>
  <c r="K3628" i="1"/>
  <c r="K3596" i="1"/>
  <c r="K3552" i="1"/>
  <c r="K3424" i="1"/>
  <c r="K3309" i="1"/>
  <c r="K3229" i="1"/>
  <c r="K2984" i="1"/>
  <c r="K3559" i="1"/>
  <c r="K3527" i="1"/>
  <c r="K3495" i="1"/>
  <c r="K3463" i="1"/>
  <c r="K3431" i="1"/>
  <c r="K3399" i="1"/>
  <c r="K3340" i="1"/>
  <c r="K3276" i="1"/>
  <c r="K3212" i="1"/>
  <c r="K3148" i="1"/>
  <c r="K3084" i="1"/>
  <c r="K3020" i="1"/>
  <c r="K2956" i="1"/>
  <c r="K2898" i="1"/>
  <c r="K2856" i="1"/>
  <c r="K2790" i="1"/>
  <c r="K2713" i="1"/>
  <c r="K2620" i="1"/>
  <c r="K2404" i="1"/>
  <c r="K3074" i="1"/>
  <c r="K2983" i="1"/>
  <c r="K2802" i="1"/>
  <c r="K2700" i="1"/>
  <c r="K2363" i="1"/>
  <c r="K3188" i="1"/>
  <c r="K3110" i="1"/>
  <c r="K3019" i="1"/>
  <c r="K2932" i="1"/>
  <c r="K2876" i="1"/>
  <c r="K2801" i="1"/>
  <c r="K2680" i="1"/>
  <c r="K2594" i="1"/>
  <c r="K2102" i="1"/>
  <c r="K3306" i="1"/>
  <c r="K3224" i="1"/>
  <c r="K3137" i="1"/>
  <c r="K3050" i="1"/>
  <c r="K2968" i="1"/>
  <c r="K2788" i="1"/>
  <c r="K2666" i="1"/>
  <c r="K2577" i="1"/>
  <c r="K2152" i="1"/>
  <c r="K3537" i="1"/>
  <c r="K3497" i="1"/>
  <c r="K3453" i="1"/>
  <c r="K3409" i="1"/>
  <c r="K3342" i="1"/>
  <c r="K3251" i="1"/>
  <c r="K3164" i="1"/>
  <c r="K3086" i="1"/>
  <c r="K2995" i="1"/>
  <c r="K2912" i="1"/>
  <c r="K2858" i="1"/>
  <c r="K2768" i="1"/>
  <c r="K2646" i="1"/>
  <c r="K2568" i="1"/>
  <c r="K3095" i="1"/>
  <c r="K3008" i="1"/>
  <c r="K2930" i="1"/>
  <c r="K2722" i="1"/>
  <c r="K2509" i="1"/>
  <c r="K3540" i="1"/>
  <c r="K3412" i="1"/>
  <c r="K3300" i="1"/>
  <c r="K3193" i="1"/>
  <c r="K2708" i="1"/>
  <c r="K3486" i="1"/>
  <c r="K3377" i="1"/>
  <c r="K3270" i="1"/>
  <c r="K3154" i="1"/>
  <c r="K2701" i="1"/>
  <c r="K4034" i="1"/>
  <c r="K4002" i="1"/>
  <c r="K3970" i="1"/>
  <c r="K3938" i="1"/>
  <c r="K3906" i="1"/>
  <c r="K3874" i="1"/>
  <c r="K3842" i="1"/>
  <c r="K3810" i="1"/>
  <c r="K3778" i="1"/>
  <c r="K3746" i="1"/>
  <c r="K3714" i="1"/>
  <c r="K3682" i="1"/>
  <c r="K3650" i="1"/>
  <c r="K3618" i="1"/>
  <c r="K3586" i="1"/>
  <c r="K3512" i="1"/>
  <c r="K3394" i="1"/>
  <c r="K3305" i="1"/>
  <c r="K3202" i="1"/>
  <c r="K2797" i="1"/>
  <c r="K3506" i="1"/>
  <c r="K3341" i="1"/>
  <c r="K3261" i="1"/>
  <c r="K3034" i="1"/>
  <c r="K3921" i="1"/>
  <c r="K3889" i="1"/>
  <c r="K3857" i="1"/>
  <c r="K3825" i="1"/>
  <c r="K3793" i="1"/>
  <c r="K3761" i="1"/>
  <c r="K3729" i="1"/>
  <c r="K3697" i="1"/>
  <c r="K3665" i="1"/>
  <c r="K3633" i="1"/>
  <c r="K3601" i="1"/>
  <c r="K3569" i="1"/>
  <c r="K3452" i="1"/>
  <c r="K3355" i="1"/>
  <c r="K3238" i="1"/>
  <c r="K3113" i="1"/>
  <c r="K2409" i="1"/>
  <c r="K3462" i="1"/>
  <c r="K3368" i="1"/>
  <c r="K3266" i="1"/>
  <c r="K3098" i="1"/>
  <c r="K2372" i="1"/>
  <c r="K3720" i="1"/>
  <c r="K3688" i="1"/>
  <c r="K3656" i="1"/>
  <c r="K3624" i="1"/>
  <c r="K3592" i="1"/>
  <c r="K3536" i="1"/>
  <c r="K3408" i="1"/>
  <c r="K3302" i="1"/>
  <c r="K3208" i="1"/>
  <c r="K2772" i="1"/>
  <c r="K3555" i="1"/>
  <c r="K3523" i="1"/>
  <c r="K3491" i="1"/>
  <c r="K3459" i="1"/>
  <c r="K3427" i="1"/>
  <c r="K3395" i="1"/>
  <c r="K3331" i="1"/>
  <c r="K3267" i="1"/>
  <c r="K3203" i="1"/>
  <c r="K3139" i="1"/>
  <c r="K3075" i="1"/>
  <c r="K3011" i="1"/>
  <c r="K2947" i="1"/>
  <c r="K2893" i="1"/>
  <c r="K2850" i="1"/>
  <c r="K2784" i="1"/>
  <c r="K2694" i="1"/>
  <c r="K2604" i="1"/>
  <c r="K2331" i="1"/>
  <c r="K3065" i="1"/>
  <c r="K2969" i="1"/>
  <c r="K2796" i="1"/>
  <c r="K2693" i="1"/>
  <c r="K2248" i="1"/>
  <c r="K3179" i="1"/>
  <c r="K3101" i="1"/>
  <c r="K3005" i="1"/>
  <c r="K2923" i="1"/>
  <c r="K2870" i="1"/>
  <c r="K2776" i="1"/>
  <c r="K2673" i="1"/>
  <c r="K2586" i="1"/>
  <c r="K1969" i="1"/>
  <c r="K3297" i="1"/>
  <c r="K3215" i="1"/>
  <c r="K3119" i="1"/>
  <c r="K3041" i="1"/>
  <c r="K2959" i="1"/>
  <c r="K2762" i="1"/>
  <c r="K2660" i="1"/>
  <c r="K2569" i="1"/>
  <c r="K2030" i="1"/>
  <c r="K3533" i="1"/>
  <c r="K3493" i="1"/>
  <c r="K3445" i="1"/>
  <c r="K3405" i="1"/>
  <c r="K3333" i="1"/>
  <c r="K3237" i="1"/>
  <c r="K3155" i="1"/>
  <c r="K3077" i="1"/>
  <c r="K2981" i="1"/>
  <c r="K2906" i="1"/>
  <c r="K2853" i="1"/>
  <c r="K2742" i="1"/>
  <c r="K2640" i="1"/>
  <c r="K2560" i="1"/>
  <c r="K3081" i="1"/>
  <c r="K2999" i="1"/>
  <c r="K2921" i="1"/>
  <c r="K2709" i="1"/>
  <c r="K2491" i="1"/>
  <c r="K3591" i="1"/>
  <c r="K3524" i="1"/>
  <c r="K3396" i="1"/>
  <c r="K3293" i="1"/>
  <c r="K3168" i="1"/>
  <c r="K2597" i="1"/>
  <c r="K3470" i="1"/>
  <c r="K3371" i="1"/>
  <c r="K3263" i="1"/>
  <c r="K3143" i="1"/>
  <c r="K2650" i="1"/>
  <c r="K4030" i="1"/>
  <c r="K3998" i="1"/>
  <c r="K3966" i="1"/>
  <c r="K3934" i="1"/>
  <c r="K3902" i="1"/>
  <c r="K3870" i="1"/>
  <c r="K3838" i="1"/>
  <c r="K3806" i="1"/>
  <c r="K3774" i="1"/>
  <c r="K3742" i="1"/>
  <c r="K3710" i="1"/>
  <c r="K3678" i="1"/>
  <c r="K3646" i="1"/>
  <c r="K3614" i="1"/>
  <c r="K3582" i="1"/>
  <c r="K3496" i="1"/>
  <c r="K3382" i="1"/>
  <c r="K3298" i="1"/>
  <c r="K3177" i="1"/>
  <c r="K2746" i="1"/>
  <c r="K3490" i="1"/>
  <c r="K3334" i="1"/>
  <c r="K3239" i="1"/>
  <c r="K2961" i="1"/>
  <c r="K3917" i="1"/>
  <c r="K3885" i="1"/>
  <c r="K3853" i="1"/>
  <c r="K3821" i="1"/>
  <c r="K3789" i="1"/>
  <c r="K3757" i="1"/>
  <c r="K3725" i="1"/>
  <c r="K3693" i="1"/>
  <c r="K3661" i="1"/>
  <c r="K3629" i="1"/>
  <c r="K3597" i="1"/>
  <c r="K3564" i="1"/>
  <c r="K3436" i="1"/>
  <c r="K3348" i="1"/>
  <c r="K3231" i="1"/>
  <c r="K3066" i="1"/>
  <c r="K2062" i="1"/>
  <c r="K3446" i="1"/>
  <c r="K3354" i="1"/>
  <c r="K3259" i="1"/>
  <c r="K3025" i="1"/>
  <c r="K3748" i="1"/>
  <c r="K3716" i="1"/>
  <c r="K3684" i="1"/>
  <c r="K3652" i="1"/>
  <c r="K3620" i="1"/>
  <c r="K3588" i="1"/>
  <c r="K3520" i="1"/>
  <c r="K3385" i="1"/>
  <c r="K3295" i="1"/>
  <c r="K3184" i="1"/>
  <c r="K2669" i="1"/>
  <c r="K3551" i="1"/>
  <c r="K3519" i="1"/>
  <c r="K3487" i="1"/>
  <c r="K3455" i="1"/>
  <c r="K3423" i="1"/>
  <c r="K3390" i="1"/>
  <c r="K3326" i="1"/>
  <c r="K3262" i="1"/>
  <c r="K3198" i="1"/>
  <c r="K3134" i="1"/>
  <c r="K3070" i="1"/>
  <c r="K3006" i="1"/>
  <c r="K2942" i="1"/>
  <c r="K2888" i="1"/>
  <c r="K2845" i="1"/>
  <c r="K2777" i="1"/>
  <c r="K2688" i="1"/>
  <c r="K2596" i="1"/>
  <c r="K2168" i="1"/>
  <c r="K3047" i="1"/>
  <c r="K2960" i="1"/>
  <c r="K2789" i="1"/>
  <c r="K2668" i="1"/>
  <c r="K2110" i="1"/>
  <c r="K3174" i="1"/>
  <c r="K3083" i="1"/>
  <c r="K2996" i="1"/>
  <c r="K2918" i="1"/>
  <c r="K2860" i="1"/>
  <c r="K2769" i="1"/>
  <c r="K2654" i="1"/>
  <c r="K2570" i="1"/>
  <c r="K1833" i="1"/>
  <c r="K3288" i="1"/>
  <c r="K3201" i="1"/>
  <c r="K3114" i="1"/>
  <c r="K3032" i="1"/>
  <c r="K2945" i="1"/>
  <c r="K2756" i="1"/>
  <c r="K2653" i="1"/>
  <c r="K2553" i="1"/>
  <c r="K1778" i="1"/>
  <c r="K3529" i="1"/>
  <c r="K3485" i="1"/>
  <c r="K3441" i="1"/>
  <c r="K3401" i="1"/>
  <c r="K3315" i="1"/>
  <c r="K3228" i="1"/>
  <c r="K3150" i="1"/>
  <c r="K3059" i="1"/>
  <c r="K2972" i="1"/>
  <c r="K2901" i="1"/>
  <c r="K2842" i="1"/>
  <c r="K2736" i="1"/>
  <c r="K2632" i="1"/>
  <c r="K2459" i="1"/>
  <c r="K3072" i="1"/>
  <c r="K2994" i="1"/>
  <c r="K2812" i="1"/>
  <c r="K2690" i="1"/>
  <c r="K2418" i="1"/>
  <c r="K3587" i="1"/>
  <c r="K3508" i="1"/>
  <c r="K3384" i="1"/>
  <c r="K3271" i="1"/>
  <c r="K3144" i="1"/>
  <c r="K2521" i="1"/>
  <c r="K3454" i="1"/>
  <c r="K3350" i="1"/>
  <c r="K3255" i="1"/>
  <c r="K3130" i="1"/>
  <c r="K2589" i="1"/>
  <c r="K4026" i="1"/>
  <c r="K3994" i="1"/>
  <c r="K3962" i="1"/>
  <c r="K3930" i="1"/>
  <c r="K3898" i="1"/>
  <c r="K3866" i="1"/>
  <c r="K3834" i="1"/>
  <c r="K3802" i="1"/>
  <c r="K3770" i="1"/>
  <c r="K3738" i="1"/>
  <c r="K3706" i="1"/>
  <c r="K3674" i="1"/>
  <c r="K3642" i="1"/>
  <c r="K3610" i="1"/>
  <c r="K3578" i="1"/>
  <c r="K3480" i="1"/>
  <c r="K3376" i="1"/>
  <c r="K3291" i="1"/>
  <c r="K3153" i="1"/>
  <c r="K2644" i="1"/>
  <c r="K3474" i="1"/>
  <c r="K3327" i="1"/>
  <c r="K3200" i="1"/>
  <c r="K2740" i="1"/>
  <c r="K3913" i="1"/>
  <c r="K3881" i="1"/>
  <c r="K3849" i="1"/>
  <c r="K3817" i="1"/>
  <c r="K3785" i="1"/>
  <c r="K3753" i="1"/>
  <c r="K3721" i="1"/>
  <c r="K3689" i="1"/>
  <c r="K3657" i="1"/>
  <c r="K3625" i="1"/>
  <c r="K3593" i="1"/>
  <c r="K3548" i="1"/>
  <c r="K3420" i="1"/>
  <c r="K3318" i="1"/>
  <c r="K3223" i="1"/>
  <c r="K2993" i="1"/>
  <c r="K3558" i="1"/>
  <c r="K3430" i="1"/>
  <c r="K3346" i="1"/>
  <c r="K3252" i="1"/>
  <c r="K2952" i="1"/>
  <c r="K3744" i="1"/>
  <c r="K3712" i="1"/>
  <c r="K3680" i="1"/>
  <c r="K3648" i="1"/>
  <c r="K3616" i="1"/>
  <c r="K3584" i="1"/>
  <c r="K3504" i="1"/>
  <c r="K3373" i="1"/>
  <c r="K3287" i="1"/>
  <c r="K3159" i="1"/>
  <c r="K2613" i="1"/>
  <c r="K3547" i="1"/>
  <c r="K3515" i="1"/>
  <c r="K3483" i="1"/>
  <c r="K3451" i="1"/>
  <c r="K3419" i="1"/>
  <c r="K3381" i="1"/>
  <c r="K3317" i="1"/>
  <c r="K3253" i="1"/>
  <c r="K3189" i="1"/>
  <c r="K3125" i="1"/>
  <c r="K3061" i="1"/>
  <c r="K2997" i="1"/>
  <c r="K2933" i="1"/>
  <c r="K2882" i="1"/>
  <c r="K2840" i="1"/>
  <c r="K2758" i="1"/>
  <c r="K2681" i="1"/>
  <c r="K2588" i="1"/>
  <c r="K2118" i="1"/>
  <c r="K3033" i="1"/>
  <c r="K2951" i="1"/>
  <c r="K2770" i="1"/>
  <c r="K2642" i="1"/>
  <c r="K2046" i="1"/>
  <c r="K3165" i="1"/>
  <c r="K3069" i="1"/>
  <c r="K2987" i="1"/>
  <c r="K2913" i="1"/>
  <c r="K2849" i="1"/>
  <c r="K2750" i="1"/>
  <c r="K2648" i="1"/>
  <c r="K2554" i="1"/>
  <c r="K3361" i="1"/>
  <c r="K3279" i="1"/>
  <c r="K3183" i="1"/>
  <c r="K3105" i="1"/>
  <c r="K3023" i="1"/>
  <c r="K2927" i="1"/>
  <c r="K2749" i="1"/>
  <c r="K2633" i="1"/>
  <c r="K2529" i="1"/>
  <c r="K3565" i="1"/>
  <c r="K3525" i="1"/>
  <c r="K3477" i="1"/>
  <c r="K3437" i="1"/>
  <c r="K3397" i="1"/>
  <c r="K3301" i="1"/>
  <c r="K3219" i="1"/>
  <c r="K3141" i="1"/>
  <c r="K3045" i="1"/>
  <c r="K2963" i="1"/>
  <c r="K2896" i="1"/>
  <c r="K2832" i="1"/>
  <c r="K2729" i="1"/>
  <c r="K2624" i="1"/>
  <c r="K2313" i="1"/>
  <c r="K3063" i="1"/>
  <c r="K2985" i="1"/>
  <c r="K2786" i="1"/>
  <c r="K2684" i="1"/>
  <c r="K2345" i="1"/>
  <c r="K2628" i="1"/>
  <c r="K2564" i="1"/>
  <c r="K2054" i="1"/>
  <c r="K3056" i="1"/>
  <c r="K2992" i="1"/>
  <c r="K2928" i="1"/>
  <c r="K2764" i="1"/>
  <c r="K2674" i="1"/>
  <c r="K2436" i="1"/>
  <c r="K3220" i="1"/>
  <c r="K3156" i="1"/>
  <c r="K3092" i="1"/>
  <c r="K3028" i="1"/>
  <c r="K2964" i="1"/>
  <c r="K2908" i="1"/>
  <c r="K2865" i="1"/>
  <c r="K2808" i="1"/>
  <c r="K2718" i="1"/>
  <c r="K2641" i="1"/>
  <c r="K2578" i="1"/>
  <c r="K2200" i="1"/>
  <c r="K3338" i="1"/>
  <c r="K3274" i="1"/>
  <c r="K3210" i="1"/>
  <c r="K3146" i="1"/>
  <c r="K3082" i="1"/>
  <c r="K3018" i="1"/>
  <c r="K2954" i="1"/>
  <c r="K2794" i="1"/>
  <c r="K2717" i="1"/>
  <c r="K2625" i="1"/>
  <c r="K2561" i="1"/>
  <c r="K2280" i="1"/>
  <c r="K3553" i="1"/>
  <c r="K3521" i="1"/>
  <c r="K3489" i="1"/>
  <c r="K3457" i="1"/>
  <c r="K3425" i="1"/>
  <c r="K3388" i="1"/>
  <c r="K3324" i="1"/>
  <c r="K3260" i="1"/>
  <c r="K3196" i="1"/>
  <c r="K3132" i="1"/>
  <c r="K3068" i="1"/>
  <c r="K3004" i="1"/>
  <c r="K2940" i="1"/>
  <c r="K2890" i="1"/>
  <c r="K2848" i="1"/>
  <c r="K2774" i="1"/>
  <c r="K2697" i="1"/>
  <c r="K2616" i="1"/>
  <c r="K2552" i="1"/>
  <c r="K1946" i="1"/>
  <c r="K3040" i="1"/>
  <c r="K2976" i="1"/>
  <c r="K2818" i="1"/>
  <c r="K2741" i="1"/>
  <c r="K2652" i="1"/>
  <c r="K2308" i="1"/>
  <c r="K3204" i="1"/>
  <c r="K3140" i="1"/>
  <c r="K3076" i="1"/>
  <c r="K3012" i="1"/>
  <c r="K2948" i="1"/>
  <c r="K2894" i="1"/>
  <c r="K2852" i="1"/>
  <c r="K2792" i="1"/>
  <c r="K2702" i="1"/>
  <c r="K2622" i="1"/>
  <c r="K2558" i="1"/>
  <c r="K1920" i="1"/>
  <c r="K2891" i="1"/>
  <c r="K2859" i="1"/>
  <c r="K2827" i="1"/>
  <c r="K2795" i="1"/>
  <c r="K2763" i="1"/>
  <c r="K2731" i="1"/>
  <c r="K2699" i="1"/>
  <c r="K2667" i="1"/>
  <c r="K2635" i="1"/>
  <c r="K2603" i="1"/>
  <c r="K2571" i="1"/>
  <c r="K2539" i="1"/>
  <c r="K2507" i="1"/>
  <c r="K2454" i="1"/>
  <c r="K2390" i="1"/>
  <c r="K2326" i="1"/>
  <c r="K2258" i="1"/>
  <c r="K2194" i="1"/>
  <c r="K1968" i="1"/>
  <c r="K1451" i="1"/>
  <c r="K2435" i="1"/>
  <c r="K2371" i="1"/>
  <c r="K2307" i="1"/>
  <c r="K2204" i="1"/>
  <c r="K1942" i="1"/>
  <c r="K1694" i="1"/>
  <c r="K2522" i="1"/>
  <c r="K2485" i="1"/>
  <c r="K2421" i="1"/>
  <c r="K2357" i="1"/>
  <c r="K2293" i="1"/>
  <c r="K2230" i="1"/>
  <c r="K2166" i="1"/>
  <c r="K1914" i="1"/>
  <c r="K2475" i="1"/>
  <c r="K2411" i="1"/>
  <c r="K2347" i="1"/>
  <c r="K2272" i="1"/>
  <c r="K2137" i="1"/>
  <c r="K2050" i="1"/>
  <c r="K1897" i="1"/>
  <c r="K2479" i="1"/>
  <c r="K2383" i="1"/>
  <c r="K2301" i="1"/>
  <c r="K2229" i="1"/>
  <c r="K1992" i="1"/>
  <c r="K1536" i="1"/>
  <c r="K2428" i="1"/>
  <c r="K2332" i="1"/>
  <c r="K2212" i="1"/>
  <c r="K1908" i="1"/>
  <c r="K2532" i="1"/>
  <c r="K2487" i="1"/>
  <c r="K2405" i="1"/>
  <c r="K2309" i="1"/>
  <c r="K2233" i="1"/>
  <c r="K2153" i="1"/>
  <c r="K1840" i="1"/>
  <c r="K2101" i="1"/>
  <c r="K2061" i="1"/>
  <c r="K2013" i="1"/>
  <c r="K1938" i="1"/>
  <c r="K1616" i="1"/>
  <c r="K1967" i="1"/>
  <c r="K1886" i="1"/>
  <c r="K1610" i="1"/>
  <c r="K2128" i="1"/>
  <c r="K2084" i="1"/>
  <c r="K2028" i="1"/>
  <c r="K1901" i="1"/>
  <c r="K1770" i="1"/>
  <c r="K1876" i="1"/>
  <c r="K1289" i="1"/>
  <c r="K2231" i="1"/>
  <c r="K2179" i="1"/>
  <c r="K2115" i="1"/>
  <c r="K2063" i="1"/>
  <c r="K2007" i="1"/>
  <c r="K1717" i="1"/>
  <c r="K1858" i="1"/>
  <c r="K1353" i="1"/>
  <c r="K1615" i="1"/>
  <c r="K1467" i="1"/>
  <c r="K1255" i="1"/>
  <c r="K1773" i="1"/>
  <c r="K1716" i="1"/>
  <c r="K1583" i="1"/>
  <c r="K1412" i="1"/>
  <c r="K1688" i="1"/>
  <c r="K1528" i="1"/>
  <c r="K1316" i="1"/>
  <c r="K1788" i="1"/>
  <c r="K1736" i="1"/>
  <c r="K1580" i="1"/>
  <c r="K1441" i="1"/>
  <c r="K1951" i="1"/>
  <c r="K1887" i="1"/>
  <c r="K1835" i="1"/>
  <c r="K1783" i="1"/>
  <c r="K1718" i="1"/>
  <c r="K1545" i="1"/>
  <c r="K1373" i="1"/>
  <c r="K1587" i="1"/>
  <c r="K1404" i="1"/>
  <c r="K1253" i="1"/>
  <c r="K1319" i="1"/>
  <c r="K1102" i="1"/>
  <c r="K1381" i="1"/>
  <c r="K1264" i="1"/>
  <c r="K1239" i="1"/>
  <c r="K1165" i="1"/>
  <c r="K1054" i="1"/>
  <c r="K1586" i="1"/>
  <c r="K1510" i="1"/>
  <c r="K2184" i="1"/>
  <c r="K3195" i="1"/>
  <c r="K3131" i="1"/>
  <c r="K3067" i="1"/>
  <c r="K3003" i="1"/>
  <c r="K2939" i="1"/>
  <c r="K2889" i="1"/>
  <c r="K2846" i="1"/>
  <c r="K2785" i="1"/>
  <c r="K2696" i="1"/>
  <c r="K2614" i="1"/>
  <c r="K2550" i="1"/>
  <c r="K1457" i="1"/>
  <c r="K2887" i="1"/>
  <c r="K2855" i="1"/>
  <c r="K2823" i="1"/>
  <c r="K2791" i="1"/>
  <c r="K2759" i="1"/>
  <c r="K2727" i="1"/>
  <c r="K2695" i="1"/>
  <c r="K2663" i="1"/>
  <c r="K2631" i="1"/>
  <c r="K2599" i="1"/>
  <c r="K2567" i="1"/>
  <c r="K2535" i="1"/>
  <c r="K2503" i="1"/>
  <c r="K2445" i="1"/>
  <c r="K2381" i="1"/>
  <c r="K2317" i="1"/>
  <c r="K2253" i="1"/>
  <c r="K2189" i="1"/>
  <c r="K1958" i="1"/>
  <c r="K2490" i="1"/>
  <c r="K2426" i="1"/>
  <c r="K2362" i="1"/>
  <c r="K2298" i="1"/>
  <c r="K2188" i="1"/>
  <c r="K1929" i="1"/>
  <c r="K1585" i="1"/>
  <c r="K2518" i="1"/>
  <c r="K2480" i="1"/>
  <c r="K2416" i="1"/>
  <c r="K2352" i="1"/>
  <c r="K2288" i="1"/>
  <c r="K2225" i="1"/>
  <c r="K2161" i="1"/>
  <c r="K1898" i="1"/>
  <c r="K2466" i="1"/>
  <c r="K2402" i="1"/>
  <c r="K2338" i="1"/>
  <c r="K2256" i="1"/>
  <c r="K2130" i="1"/>
  <c r="K2042" i="1"/>
  <c r="K1881" i="1"/>
  <c r="K2470" i="1"/>
  <c r="K2374" i="1"/>
  <c r="K2296" i="1"/>
  <c r="K2218" i="1"/>
  <c r="K1983" i="1"/>
  <c r="K1332" i="1"/>
  <c r="K2419" i="1"/>
  <c r="K2323" i="1"/>
  <c r="K2196" i="1"/>
  <c r="K1892" i="1"/>
  <c r="K2528" i="1"/>
  <c r="K2478" i="1"/>
  <c r="K2400" i="1"/>
  <c r="K2304" i="1"/>
  <c r="K2222" i="1"/>
  <c r="K2141" i="1"/>
  <c r="K1652" i="1"/>
  <c r="K2097" i="1"/>
  <c r="K2057" i="1"/>
  <c r="K2009" i="1"/>
  <c r="K1925" i="1"/>
  <c r="K1575" i="1"/>
  <c r="K1962" i="1"/>
  <c r="K1878" i="1"/>
  <c r="K1568" i="1"/>
  <c r="K2124" i="1"/>
  <c r="K2076" i="1"/>
  <c r="K2024" i="1"/>
  <c r="K1893" i="1"/>
  <c r="K1754" i="1"/>
  <c r="K1860" i="1"/>
  <c r="K2279" i="1"/>
  <c r="K2227" i="1"/>
  <c r="K2175" i="1"/>
  <c r="K2111" i="1"/>
  <c r="K2055" i="1"/>
  <c r="K2003" i="1"/>
  <c r="K1699" i="1"/>
  <c r="K1850" i="1"/>
  <c r="K1721" i="1"/>
  <c r="K1595" i="1"/>
  <c r="K1456" i="1"/>
  <c r="K1215" i="1"/>
  <c r="K1769" i="1"/>
  <c r="K1702" i="1"/>
  <c r="K1572" i="1"/>
  <c r="K1399" i="1"/>
  <c r="K1679" i="1"/>
  <c r="K1507" i="1"/>
  <c r="K1273" i="1"/>
  <c r="K1784" i="1"/>
  <c r="K1732" i="1"/>
  <c r="K1569" i="1"/>
  <c r="K1420" i="1"/>
  <c r="K1947" i="1"/>
  <c r="K1883" i="1"/>
  <c r="K1831" i="1"/>
  <c r="K1775" i="1"/>
  <c r="K1700" i="1"/>
  <c r="K1535" i="1"/>
  <c r="K1352" i="1"/>
  <c r="K1576" i="1"/>
  <c r="K1369" i="1"/>
  <c r="K1244" i="1"/>
  <c r="K1313" i="1"/>
  <c r="K909" i="1"/>
  <c r="K1365" i="1"/>
  <c r="K1220" i="1"/>
  <c r="K1230" i="1"/>
  <c r="K1131" i="1"/>
  <c r="K1039" i="1"/>
  <c r="K1574" i="1"/>
  <c r="K1502" i="1"/>
  <c r="K2612" i="1"/>
  <c r="K2548" i="1"/>
  <c r="K1889" i="1"/>
  <c r="K3042" i="1"/>
  <c r="K2978" i="1"/>
  <c r="K2828" i="1"/>
  <c r="K2738" i="1"/>
  <c r="K2661" i="1"/>
  <c r="K2290" i="1"/>
  <c r="K3206" i="1"/>
  <c r="K3142" i="1"/>
  <c r="K3078" i="1"/>
  <c r="K3014" i="1"/>
  <c r="K2950" i="1"/>
  <c r="K2897" i="1"/>
  <c r="K2854" i="1"/>
  <c r="K2782" i="1"/>
  <c r="K2705" i="1"/>
  <c r="K2626" i="1"/>
  <c r="K2562" i="1"/>
  <c r="K2038" i="1"/>
  <c r="K3320" i="1"/>
  <c r="K3256" i="1"/>
  <c r="K3192" i="1"/>
  <c r="K3128" i="1"/>
  <c r="K3064" i="1"/>
  <c r="K3000" i="1"/>
  <c r="K2936" i="1"/>
  <c r="K2781" i="1"/>
  <c r="K2692" i="1"/>
  <c r="K2609" i="1"/>
  <c r="K2545" i="1"/>
  <c r="K2094" i="1"/>
  <c r="K3545" i="1"/>
  <c r="K3513" i="1"/>
  <c r="K3481" i="1"/>
  <c r="K3449" i="1"/>
  <c r="K3417" i="1"/>
  <c r="K3374" i="1"/>
  <c r="K3310" i="1"/>
  <c r="K3246" i="1"/>
  <c r="K3182" i="1"/>
  <c r="K3118" i="1"/>
  <c r="K3054" i="1"/>
  <c r="K2990" i="1"/>
  <c r="K2926" i="1"/>
  <c r="K2880" i="1"/>
  <c r="K2837" i="1"/>
  <c r="K2761" i="1"/>
  <c r="K2672" i="1"/>
  <c r="K2600" i="1"/>
  <c r="K2386" i="1"/>
  <c r="K3090" i="1"/>
  <c r="K3026" i="1"/>
  <c r="K2962" i="1"/>
  <c r="K2805" i="1"/>
  <c r="K2716" i="1"/>
  <c r="K2541" i="1"/>
  <c r="K2078" i="1"/>
  <c r="K3190" i="1"/>
  <c r="K3126" i="1"/>
  <c r="K3062" i="1"/>
  <c r="K2998" i="1"/>
  <c r="K2934" i="1"/>
  <c r="K2884" i="1"/>
  <c r="K2841" i="1"/>
  <c r="K2766" i="1"/>
  <c r="K2689" i="1"/>
  <c r="K2606" i="1"/>
  <c r="K2450" i="1"/>
  <c r="K2915" i="1"/>
  <c r="K2883" i="1"/>
  <c r="K2851" i="1"/>
  <c r="K2819" i="1"/>
  <c r="K2787" i="1"/>
  <c r="K2755" i="1"/>
  <c r="K2723" i="1"/>
  <c r="K2691" i="1"/>
  <c r="K2659" i="1"/>
  <c r="K2627" i="1"/>
  <c r="K2595" i="1"/>
  <c r="K2563" i="1"/>
  <c r="K2531" i="1"/>
  <c r="K2499" i="1"/>
  <c r="K2440" i="1"/>
  <c r="K2376" i="1"/>
  <c r="K2312" i="1"/>
  <c r="K2242" i="1"/>
  <c r="K2178" i="1"/>
  <c r="K1945" i="1"/>
  <c r="K2481" i="1"/>
  <c r="K2417" i="1"/>
  <c r="K2353" i="1"/>
  <c r="K2289" i="1"/>
  <c r="K2172" i="1"/>
  <c r="K1916" i="1"/>
  <c r="K1415" i="1"/>
  <c r="K2514" i="1"/>
  <c r="K2471" i="1"/>
  <c r="K2407" i="1"/>
  <c r="K2343" i="1"/>
  <c r="K2278" i="1"/>
  <c r="K2214" i="1"/>
  <c r="K2150" i="1"/>
  <c r="K1882" i="1"/>
  <c r="K2457" i="1"/>
  <c r="K2393" i="1"/>
  <c r="K2329" i="1"/>
  <c r="K2240" i="1"/>
  <c r="K2114" i="1"/>
  <c r="K2034" i="1"/>
  <c r="K1849" i="1"/>
  <c r="K2447" i="1"/>
  <c r="K2365" i="1"/>
  <c r="K2287" i="1"/>
  <c r="K2197" i="1"/>
  <c r="K1974" i="1"/>
  <c r="K2492" i="1"/>
  <c r="K2396" i="1"/>
  <c r="K2314" i="1"/>
  <c r="K2180" i="1"/>
  <c r="K1794" i="1"/>
  <c r="K2524" i="1"/>
  <c r="K2469" i="1"/>
  <c r="K2373" i="1"/>
  <c r="K2295" i="1"/>
  <c r="K2217" i="1"/>
  <c r="K1989" i="1"/>
  <c r="K1493" i="1"/>
  <c r="K2093" i="1"/>
  <c r="K2045" i="1"/>
  <c r="K2005" i="1"/>
  <c r="K1822" i="1"/>
  <c r="K1447" i="1"/>
  <c r="K1956" i="1"/>
  <c r="K1870" i="1"/>
  <c r="K1440" i="1"/>
  <c r="K2120" i="1"/>
  <c r="K2072" i="1"/>
  <c r="K2008" i="1"/>
  <c r="K1885" i="1"/>
  <c r="K1685" i="1"/>
  <c r="K1828" i="1"/>
  <c r="K2275" i="1"/>
  <c r="K2223" i="1"/>
  <c r="K2159" i="1"/>
  <c r="K2103" i="1"/>
  <c r="K2051" i="1"/>
  <c r="K1965" i="1"/>
  <c r="K1634" i="1"/>
  <c r="K1834" i="1"/>
  <c r="K1689" i="1"/>
  <c r="K1584" i="1"/>
  <c r="K1445" i="1"/>
  <c r="K1817" i="1"/>
  <c r="K1761" i="1"/>
  <c r="K1693" i="1"/>
  <c r="K1529" i="1"/>
  <c r="K1384" i="1"/>
  <c r="K1665" i="1"/>
  <c r="K1464" i="1"/>
  <c r="K1201" i="1"/>
  <c r="K1780" i="1"/>
  <c r="K1710" i="1"/>
  <c r="K1548" i="1"/>
  <c r="K1409" i="1"/>
  <c r="K1931" i="1"/>
  <c r="K1879" i="1"/>
  <c r="K1823" i="1"/>
  <c r="K1759" i="1"/>
  <c r="K1691" i="1"/>
  <c r="K1513" i="1"/>
  <c r="K1236" i="1"/>
  <c r="K1555" i="1"/>
  <c r="K1348" i="1"/>
  <c r="K1145" i="1"/>
  <c r="K1308" i="1"/>
  <c r="K1620" i="1"/>
  <c r="K1339" i="1"/>
  <c r="K1171" i="1"/>
  <c r="K1184" i="1"/>
  <c r="K1216" i="1"/>
  <c r="K973" i="1"/>
  <c r="K1566" i="1"/>
  <c r="K1486" i="1"/>
  <c r="K2014" i="1"/>
  <c r="K3181" i="1"/>
  <c r="K3117" i="1"/>
  <c r="K3053" i="1"/>
  <c r="K2989" i="1"/>
  <c r="K2925" i="1"/>
  <c r="K2878" i="1"/>
  <c r="K2836" i="1"/>
  <c r="K2760" i="1"/>
  <c r="K2670" i="1"/>
  <c r="K2598" i="1"/>
  <c r="K2377" i="1"/>
  <c r="K2911" i="1"/>
  <c r="K2879" i="1"/>
  <c r="K2847" i="1"/>
  <c r="K2815" i="1"/>
  <c r="K2783" i="1"/>
  <c r="K2751" i="1"/>
  <c r="K2719" i="1"/>
  <c r="K2687" i="1"/>
  <c r="K2655" i="1"/>
  <c r="K2623" i="1"/>
  <c r="K2591" i="1"/>
  <c r="K2559" i="1"/>
  <c r="K2527" i="1"/>
  <c r="K2495" i="1"/>
  <c r="K2431" i="1"/>
  <c r="K2367" i="1"/>
  <c r="K2303" i="1"/>
  <c r="K2237" i="1"/>
  <c r="K2173" i="1"/>
  <c r="K1932" i="1"/>
  <c r="K2476" i="1"/>
  <c r="K2412" i="1"/>
  <c r="K2348" i="1"/>
  <c r="K2284" i="1"/>
  <c r="K2156" i="1"/>
  <c r="K1900" i="1"/>
  <c r="K2542" i="1"/>
  <c r="K2510" i="1"/>
  <c r="K2462" i="1"/>
  <c r="K2398" i="1"/>
  <c r="K2334" i="1"/>
  <c r="K2273" i="1"/>
  <c r="K2209" i="1"/>
  <c r="K1984" i="1"/>
  <c r="K1856" i="1"/>
  <c r="K2452" i="1"/>
  <c r="K2388" i="1"/>
  <c r="K2324" i="1"/>
  <c r="K2224" i="1"/>
  <c r="K2106" i="1"/>
  <c r="K2026" i="1"/>
  <c r="K1810" i="1"/>
  <c r="K2438" i="1"/>
  <c r="K2360" i="1"/>
  <c r="K2282" i="1"/>
  <c r="K2186" i="1"/>
  <c r="K1963" i="1"/>
  <c r="K2483" i="1"/>
  <c r="K2387" i="1"/>
  <c r="K2305" i="1"/>
  <c r="K2164" i="1"/>
  <c r="K1730" i="1"/>
  <c r="K2520" i="1"/>
  <c r="K2464" i="1"/>
  <c r="K2368" i="1"/>
  <c r="K2286" i="1"/>
  <c r="K2206" i="1"/>
  <c r="K1970" i="1"/>
  <c r="K2129" i="1"/>
  <c r="K2089" i="1"/>
  <c r="K2041" i="1"/>
  <c r="K2001" i="1"/>
  <c r="K1806" i="1"/>
  <c r="K1401" i="1"/>
  <c r="K1950" i="1"/>
  <c r="K1862" i="1"/>
  <c r="K1393" i="1"/>
  <c r="K2116" i="1"/>
  <c r="K2068" i="1"/>
  <c r="K2004" i="1"/>
  <c r="K1869" i="1"/>
  <c r="K1667" i="1"/>
  <c r="K1719" i="1"/>
  <c r="K2271" i="1"/>
  <c r="K2215" i="1"/>
  <c r="K2151" i="1"/>
  <c r="K2099" i="1"/>
  <c r="K2047" i="1"/>
  <c r="K1954" i="1"/>
  <c r="K1553" i="1"/>
  <c r="K1826" i="1"/>
  <c r="K1680" i="1"/>
  <c r="K1573" i="1"/>
  <c r="K1424" i="1"/>
  <c r="K1809" i="1"/>
  <c r="K1757" i="1"/>
  <c r="K1684" i="1"/>
  <c r="K1519" i="1"/>
  <c r="K1341" i="1"/>
  <c r="K1640" i="1"/>
  <c r="K1453" i="1"/>
  <c r="K951" i="1"/>
  <c r="K1772" i="1"/>
  <c r="K1692" i="1"/>
  <c r="K1537" i="1"/>
  <c r="K1395" i="1"/>
  <c r="K1927" i="1"/>
  <c r="K1871" i="1"/>
  <c r="K1819" i="1"/>
  <c r="K1755" i="1"/>
  <c r="K1686" i="1"/>
  <c r="K1492" i="1"/>
  <c r="K1713" i="1"/>
  <c r="K1544" i="1"/>
  <c r="K1305" i="1"/>
  <c r="K1124" i="1"/>
  <c r="K1292" i="1"/>
  <c r="K1232" i="1"/>
  <c r="K1333" i="1"/>
  <c r="K1138" i="1"/>
  <c r="K1645" i="1"/>
  <c r="K1192" i="1"/>
  <c r="K933" i="1"/>
  <c r="K1562" i="1"/>
  <c r="K1478" i="1"/>
  <c r="K1933" i="1"/>
  <c r="K3172" i="1"/>
  <c r="K3108" i="1"/>
  <c r="K3044" i="1"/>
  <c r="K2980" i="1"/>
  <c r="K2916" i="1"/>
  <c r="K2873" i="1"/>
  <c r="K2830" i="1"/>
  <c r="K2753" i="1"/>
  <c r="K2664" i="1"/>
  <c r="K2590" i="1"/>
  <c r="K2340" i="1"/>
  <c r="K2907" i="1"/>
  <c r="K2875" i="1"/>
  <c r="K2843" i="1"/>
  <c r="K2811" i="1"/>
  <c r="K2779" i="1"/>
  <c r="K2747" i="1"/>
  <c r="K2715" i="1"/>
  <c r="K2683" i="1"/>
  <c r="K2651" i="1"/>
  <c r="K2619" i="1"/>
  <c r="K2587" i="1"/>
  <c r="K2555" i="1"/>
  <c r="K2523" i="1"/>
  <c r="K2486" i="1"/>
  <c r="K2422" i="1"/>
  <c r="K2358" i="1"/>
  <c r="K2294" i="1"/>
  <c r="K2226" i="1"/>
  <c r="K2162" i="1"/>
  <c r="K1904" i="1"/>
  <c r="K2467" i="1"/>
  <c r="K2403" i="1"/>
  <c r="K2339" i="1"/>
  <c r="K2268" i="1"/>
  <c r="K2145" i="1"/>
  <c r="K1884" i="1"/>
  <c r="K2538" i="1"/>
  <c r="K2506" i="1"/>
  <c r="K2453" i="1"/>
  <c r="K2389" i="1"/>
  <c r="K2325" i="1"/>
  <c r="K2262" i="1"/>
  <c r="K2198" i="1"/>
  <c r="K1975" i="1"/>
  <c r="K1579" i="1"/>
  <c r="K2443" i="1"/>
  <c r="K2379" i="1"/>
  <c r="K2315" i="1"/>
  <c r="K2208" i="1"/>
  <c r="K2098" i="1"/>
  <c r="K2018" i="1"/>
  <c r="K1543" i="1"/>
  <c r="K2429" i="1"/>
  <c r="K2351" i="1"/>
  <c r="K2261" i="1"/>
  <c r="K2181" i="1"/>
  <c r="K1926" i="1"/>
  <c r="K2460" i="1"/>
  <c r="K2378" i="1"/>
  <c r="K2300" i="1"/>
  <c r="K1981" i="1"/>
  <c r="K1656" i="1"/>
  <c r="K2516" i="1"/>
  <c r="K2437" i="1"/>
  <c r="K2359" i="1"/>
  <c r="K2281" i="1"/>
  <c r="K2185" i="1"/>
  <c r="K1959" i="1"/>
  <c r="K2125" i="1"/>
  <c r="K2077" i="1"/>
  <c r="K2037" i="1"/>
  <c r="K1996" i="1"/>
  <c r="K1758" i="1"/>
  <c r="K1325" i="1"/>
  <c r="K1937" i="1"/>
  <c r="K1838" i="1"/>
  <c r="K1311" i="1"/>
  <c r="K2112" i="1"/>
  <c r="K2052" i="1"/>
  <c r="K1986" i="1"/>
  <c r="K1861" i="1"/>
  <c r="K1521" i="1"/>
  <c r="K1682" i="1"/>
  <c r="K2263" i="1"/>
  <c r="K2199" i="1"/>
  <c r="K2147" i="1"/>
  <c r="K2095" i="1"/>
  <c r="K2031" i="1"/>
  <c r="K1928" i="1"/>
  <c r="K1511" i="1"/>
  <c r="K1589" i="1"/>
  <c r="K1671" i="1"/>
  <c r="K1552" i="1"/>
  <c r="K1364" i="1"/>
  <c r="K1805" i="1"/>
  <c r="K1753" i="1"/>
  <c r="K1648" i="1"/>
  <c r="K1497" i="1"/>
  <c r="K1320" i="1"/>
  <c r="K1581" i="1"/>
  <c r="K1443" i="1"/>
  <c r="K1820" i="1"/>
  <c r="K1756" i="1"/>
  <c r="K1683" i="1"/>
  <c r="K1527" i="1"/>
  <c r="K1315" i="1"/>
  <c r="K1919" i="1"/>
  <c r="K1867" i="1"/>
  <c r="K1803" i="1"/>
  <c r="K1751" i="1"/>
  <c r="K1668" i="1"/>
  <c r="K1449" i="1"/>
  <c r="K1704" i="1"/>
  <c r="K1523" i="1"/>
  <c r="K1088" i="1"/>
  <c r="K1377" i="1"/>
  <c r="K1281" i="1"/>
  <c r="K1118" i="1"/>
  <c r="K1323" i="1"/>
  <c r="K889" i="1"/>
  <c r="K1261" i="1"/>
  <c r="K1174" i="1"/>
  <c r="K730" i="1"/>
  <c r="K1542" i="1"/>
  <c r="K1466" i="1"/>
  <c r="K1625" i="1"/>
  <c r="K3163" i="1"/>
  <c r="K3099" i="1"/>
  <c r="K3035" i="1"/>
  <c r="K2971" i="1"/>
  <c r="K2910" i="1"/>
  <c r="K2868" i="1"/>
  <c r="K2824" i="1"/>
  <c r="K2734" i="1"/>
  <c r="K2657" i="1"/>
  <c r="K2582" i="1"/>
  <c r="K2264" i="1"/>
  <c r="K2903" i="1"/>
  <c r="K2871" i="1"/>
  <c r="K2839" i="1"/>
  <c r="K2807" i="1"/>
  <c r="K2775" i="1"/>
  <c r="K2743" i="1"/>
  <c r="K2711" i="1"/>
  <c r="K2679" i="1"/>
  <c r="K2647" i="1"/>
  <c r="K2615" i="1"/>
  <c r="K2583" i="1"/>
  <c r="K2551" i="1"/>
  <c r="K2519" i="1"/>
  <c r="K2477" i="1"/>
  <c r="K2413" i="1"/>
  <c r="K2349" i="1"/>
  <c r="K2285" i="1"/>
  <c r="K2221" i="1"/>
  <c r="K2157" i="1"/>
  <c r="K1888" i="1"/>
  <c r="K2458" i="1"/>
  <c r="K2394" i="1"/>
  <c r="K2330" i="1"/>
  <c r="K2252" i="1"/>
  <c r="K2138" i="1"/>
  <c r="K1857" i="1"/>
  <c r="K2534" i="1"/>
  <c r="K2502" i="1"/>
  <c r="K2448" i="1"/>
  <c r="K2384" i="1"/>
  <c r="K2320" i="1"/>
  <c r="K2257" i="1"/>
  <c r="K2193" i="1"/>
  <c r="K1964" i="1"/>
  <c r="K1407" i="1"/>
  <c r="K2434" i="1"/>
  <c r="K2370" i="1"/>
  <c r="K2306" i="1"/>
  <c r="K2192" i="1"/>
  <c r="K2090" i="1"/>
  <c r="K2010" i="1"/>
  <c r="K1347" i="1"/>
  <c r="K2424" i="1"/>
  <c r="K2342" i="1"/>
  <c r="K2250" i="1"/>
  <c r="K2170" i="1"/>
  <c r="K1912" i="1"/>
  <c r="K2451" i="1"/>
  <c r="K2369" i="1"/>
  <c r="K2291" i="1"/>
  <c r="K1971" i="1"/>
  <c r="K1500" i="1"/>
  <c r="K2512" i="1"/>
  <c r="K2432" i="1"/>
  <c r="K2350" i="1"/>
  <c r="K2270" i="1"/>
  <c r="K2174" i="1"/>
  <c r="K1934" i="1"/>
  <c r="K2121" i="1"/>
  <c r="K2073" i="1"/>
  <c r="K2033" i="1"/>
  <c r="K1987" i="1"/>
  <c r="K1742" i="1"/>
  <c r="K1226" i="1"/>
  <c r="K1924" i="1"/>
  <c r="K1830" i="1"/>
  <c r="K2148" i="1"/>
  <c r="K2108" i="1"/>
  <c r="K2044" i="1"/>
  <c r="K1977" i="1"/>
  <c r="K1853" i="1"/>
  <c r="K1479" i="1"/>
  <c r="K1600" i="1"/>
  <c r="K2259" i="1"/>
  <c r="K2195" i="1"/>
  <c r="K2143" i="1"/>
  <c r="K2087" i="1"/>
  <c r="K2023" i="1"/>
  <c r="K1922" i="1"/>
  <c r="K1468" i="1"/>
  <c r="K1547" i="1"/>
  <c r="K1661" i="1"/>
  <c r="K1541" i="1"/>
  <c r="K1343" i="1"/>
  <c r="K1801" i="1"/>
  <c r="K1745" i="1"/>
  <c r="K1632" i="1"/>
  <c r="K1487" i="1"/>
  <c r="K1299" i="1"/>
  <c r="K1571" i="1"/>
  <c r="K1421" i="1"/>
  <c r="K1816" i="1"/>
  <c r="K1752" i="1"/>
  <c r="K1678" i="1"/>
  <c r="K1505" i="1"/>
  <c r="K1272" i="1"/>
  <c r="K1915" i="1"/>
  <c r="K1863" i="1"/>
  <c r="K1799" i="1"/>
  <c r="K1743" i="1"/>
  <c r="K1657" i="1"/>
  <c r="K1428" i="1"/>
  <c r="K1695" i="1"/>
  <c r="K1491" i="1"/>
  <c r="K1644" i="1"/>
  <c r="K1367" i="1"/>
  <c r="K1276" i="1"/>
  <c r="K1408" i="1"/>
  <c r="K1307" i="1"/>
  <c r="K762" i="1"/>
  <c r="K1238" i="1"/>
  <c r="K1161" i="1"/>
  <c r="K685" i="1"/>
  <c r="K1530" i="1"/>
  <c r="K1462" i="1"/>
  <c r="K3222" i="1"/>
  <c r="K3158" i="1"/>
  <c r="K3094" i="1"/>
  <c r="K3030" i="1"/>
  <c r="K2966" i="1"/>
  <c r="K2905" i="1"/>
  <c r="K2862" i="1"/>
  <c r="K2817" i="1"/>
  <c r="K2728" i="1"/>
  <c r="K2638" i="1"/>
  <c r="K2574" i="1"/>
  <c r="K2070" i="1"/>
  <c r="K2899" i="1"/>
  <c r="K2867" i="1"/>
  <c r="K2835" i="1"/>
  <c r="K2803" i="1"/>
  <c r="K2771" i="1"/>
  <c r="K2739" i="1"/>
  <c r="K2707" i="1"/>
  <c r="K2675" i="1"/>
  <c r="K2643" i="1"/>
  <c r="K2611" i="1"/>
  <c r="K2579" i="1"/>
  <c r="K2547" i="1"/>
  <c r="K2515" i="1"/>
  <c r="K2472" i="1"/>
  <c r="K2408" i="1"/>
  <c r="K2344" i="1"/>
  <c r="K2274" i="1"/>
  <c r="K2210" i="1"/>
  <c r="K2133" i="1"/>
  <c r="K1864" i="1"/>
  <c r="K2449" i="1"/>
  <c r="K2385" i="1"/>
  <c r="K2321" i="1"/>
  <c r="K2236" i="1"/>
  <c r="K1976" i="1"/>
  <c r="K1825" i="1"/>
  <c r="K2530" i="1"/>
  <c r="K2498" i="1"/>
  <c r="K2439" i="1"/>
  <c r="K2375" i="1"/>
  <c r="K2311" i="1"/>
  <c r="K2246" i="1"/>
  <c r="K2182" i="1"/>
  <c r="K1953" i="1"/>
  <c r="K2489" i="1"/>
  <c r="K2425" i="1"/>
  <c r="K2361" i="1"/>
  <c r="K2297" i="1"/>
  <c r="K2176" i="1"/>
  <c r="K2082" i="1"/>
  <c r="K1952" i="1"/>
  <c r="K2493" i="1"/>
  <c r="K2415" i="1"/>
  <c r="K2319" i="1"/>
  <c r="K2245" i="1"/>
  <c r="K2165" i="1"/>
  <c r="K1848" i="1"/>
  <c r="K2442" i="1"/>
  <c r="K2364" i="1"/>
  <c r="K2244" i="1"/>
  <c r="K1960" i="1"/>
  <c r="K1260" i="1"/>
  <c r="K2500" i="1"/>
  <c r="K2423" i="1"/>
  <c r="K2341" i="1"/>
  <c r="K2249" i="1"/>
  <c r="K2169" i="1"/>
  <c r="K1921" i="1"/>
  <c r="K2109" i="1"/>
  <c r="K2069" i="1"/>
  <c r="K2029" i="1"/>
  <c r="K1957" i="1"/>
  <c r="K1726" i="1"/>
  <c r="K2000" i="1"/>
  <c r="K1902" i="1"/>
  <c r="K1705" i="1"/>
  <c r="K2144" i="1"/>
  <c r="K2092" i="1"/>
  <c r="K2040" i="1"/>
  <c r="K1961" i="1"/>
  <c r="K1818" i="1"/>
  <c r="K1388" i="1"/>
  <c r="K1557" i="1"/>
  <c r="K2243" i="1"/>
  <c r="K2191" i="1"/>
  <c r="K2135" i="1"/>
  <c r="K2071" i="1"/>
  <c r="K2019" i="1"/>
  <c r="K1814" i="1"/>
  <c r="K1074" i="1"/>
  <c r="K1461" i="1"/>
  <c r="K1655" i="1"/>
  <c r="K1499" i="1"/>
  <c r="K1321" i="1"/>
  <c r="K1793" i="1"/>
  <c r="K1729" i="1"/>
  <c r="K1623" i="1"/>
  <c r="K1476" i="1"/>
  <c r="K1711" i="1"/>
  <c r="K1549" i="1"/>
  <c r="K1411" i="1"/>
  <c r="K1800" i="1"/>
  <c r="K1748" i="1"/>
  <c r="K1659" i="1"/>
  <c r="K1463" i="1"/>
  <c r="K1245" i="1"/>
  <c r="K1911" i="1"/>
  <c r="K1847" i="1"/>
  <c r="K1791" i="1"/>
  <c r="K1739" i="1"/>
  <c r="K1577" i="1"/>
  <c r="K1417" i="1"/>
  <c r="K1672" i="1"/>
  <c r="K1437" i="1"/>
  <c r="K1630" i="1"/>
  <c r="K1361" i="1"/>
  <c r="K1233" i="1"/>
  <c r="K1392" i="1"/>
  <c r="K1301" i="1"/>
  <c r="K1619" i="1"/>
  <c r="K1227" i="1"/>
  <c r="K1142" i="1"/>
  <c r="K1594" i="1"/>
  <c r="K1526" i="1"/>
  <c r="K1458" i="1"/>
  <c r="K3213" i="1"/>
  <c r="K3149" i="1"/>
  <c r="K3085" i="1"/>
  <c r="K3021" i="1"/>
  <c r="K2957" i="1"/>
  <c r="K2900" i="1"/>
  <c r="K2857" i="1"/>
  <c r="K2798" i="1"/>
  <c r="K2721" i="1"/>
  <c r="K2630" i="1"/>
  <c r="K2566" i="1"/>
  <c r="K2006" i="1"/>
  <c r="K2895" i="1"/>
  <c r="K2863" i="1"/>
  <c r="K2831" i="1"/>
  <c r="K2799" i="1"/>
  <c r="K2767" i="1"/>
  <c r="K2735" i="1"/>
  <c r="K2703" i="1"/>
  <c r="K2671" i="1"/>
  <c r="K2639" i="1"/>
  <c r="K2607" i="1"/>
  <c r="K2575" i="1"/>
  <c r="K2543" i="1"/>
  <c r="K2511" i="1"/>
  <c r="K2463" i="1"/>
  <c r="K2399" i="1"/>
  <c r="K2335" i="1"/>
  <c r="K2269" i="1"/>
  <c r="K2205" i="1"/>
  <c r="K1997" i="1"/>
  <c r="K1832" i="1"/>
  <c r="K2444" i="1"/>
  <c r="K2380" i="1"/>
  <c r="K2316" i="1"/>
  <c r="K2220" i="1"/>
  <c r="K1966" i="1"/>
  <c r="K1762" i="1"/>
  <c r="K2526" i="1"/>
  <c r="K2494" i="1"/>
  <c r="K2430" i="1"/>
  <c r="K2366" i="1"/>
  <c r="K2302" i="1"/>
  <c r="K2241" i="1"/>
  <c r="K2177" i="1"/>
  <c r="K1940" i="1"/>
  <c r="K2484" i="1"/>
  <c r="K2420" i="1"/>
  <c r="K2356" i="1"/>
  <c r="K2292" i="1"/>
  <c r="K2160" i="1"/>
  <c r="K2074" i="1"/>
  <c r="K1913" i="1"/>
  <c r="K2488" i="1"/>
  <c r="K2406" i="1"/>
  <c r="K2310" i="1"/>
  <c r="K2234" i="1"/>
  <c r="K2154" i="1"/>
  <c r="K1673" i="1"/>
  <c r="K2433" i="1"/>
  <c r="K2355" i="1"/>
  <c r="K2228" i="1"/>
  <c r="K1948" i="1"/>
  <c r="K2544" i="1"/>
  <c r="K2496" i="1"/>
  <c r="K2414" i="1"/>
  <c r="K2336" i="1"/>
  <c r="K2238" i="1"/>
  <c r="K2158" i="1"/>
  <c r="K1906" i="1"/>
  <c r="K2105" i="1"/>
  <c r="K2065" i="1"/>
  <c r="K2025" i="1"/>
  <c r="K1944" i="1"/>
  <c r="K1708" i="1"/>
  <c r="K1991" i="1"/>
  <c r="K1894" i="1"/>
  <c r="K1687" i="1"/>
  <c r="K2140" i="1"/>
  <c r="K2088" i="1"/>
  <c r="K2036" i="1"/>
  <c r="K1936" i="1"/>
  <c r="K1786" i="1"/>
  <c r="K1304" i="1"/>
  <c r="K1515" i="1"/>
  <c r="K2239" i="1"/>
  <c r="K2183" i="1"/>
  <c r="K2131" i="1"/>
  <c r="K2067" i="1"/>
  <c r="K2015" i="1"/>
  <c r="K1782" i="1"/>
  <c r="K1866" i="1"/>
  <c r="K1419" i="1"/>
  <c r="K1649" i="1"/>
  <c r="K1488" i="1"/>
  <c r="K1279" i="1"/>
  <c r="K1789" i="1"/>
  <c r="K1725" i="1"/>
  <c r="K1604" i="1"/>
  <c r="K1455" i="1"/>
  <c r="K1697" i="1"/>
  <c r="K1539" i="1"/>
  <c r="K1396" i="1"/>
  <c r="K1796" i="1"/>
  <c r="K1740" i="1"/>
  <c r="K1647" i="1"/>
  <c r="K1452" i="1"/>
  <c r="K931" i="1"/>
  <c r="K1903" i="1"/>
  <c r="K1839" i="1"/>
  <c r="K1787" i="1"/>
  <c r="K1735" i="1"/>
  <c r="K1567" i="1"/>
  <c r="K1391" i="1"/>
  <c r="K1663" i="1"/>
  <c r="K1416" i="1"/>
  <c r="K1621" i="1"/>
  <c r="K1351" i="1"/>
  <c r="K1140" i="1"/>
  <c r="K1387" i="1"/>
  <c r="K1296" i="1"/>
  <c r="K1614" i="1"/>
  <c r="K1183" i="1"/>
  <c r="K1134" i="1"/>
  <c r="K1590" i="1"/>
  <c r="K1522" i="1"/>
  <c r="K1446" i="1"/>
  <c r="K2066" i="1"/>
  <c r="K2002" i="1"/>
  <c r="K1746" i="1"/>
  <c r="K2461" i="1"/>
  <c r="K2397" i="1"/>
  <c r="K2333" i="1"/>
  <c r="K2277" i="1"/>
  <c r="K2213" i="1"/>
  <c r="K2149" i="1"/>
  <c r="K1896" i="1"/>
  <c r="K2474" i="1"/>
  <c r="K2410" i="1"/>
  <c r="K2346" i="1"/>
  <c r="K2276" i="1"/>
  <c r="K1999" i="1"/>
  <c r="K1873" i="1"/>
  <c r="K2540" i="1"/>
  <c r="K2508" i="1"/>
  <c r="K2455" i="1"/>
  <c r="K2391" i="1"/>
  <c r="K2327" i="1"/>
  <c r="K2265" i="1"/>
  <c r="K2201" i="1"/>
  <c r="K2134" i="1"/>
  <c r="K1890" i="1"/>
  <c r="K2117" i="1"/>
  <c r="K2085" i="1"/>
  <c r="K2053" i="1"/>
  <c r="K2021" i="1"/>
  <c r="K1978" i="1"/>
  <c r="K1790" i="1"/>
  <c r="K1532" i="1"/>
  <c r="K1982" i="1"/>
  <c r="K1918" i="1"/>
  <c r="K1854" i="1"/>
  <c r="K1525" i="1"/>
  <c r="K2136" i="1"/>
  <c r="K2104" i="1"/>
  <c r="K2060" i="1"/>
  <c r="K2020" i="1"/>
  <c r="K1930" i="1"/>
  <c r="K1837" i="1"/>
  <c r="K1643" i="1"/>
  <c r="K1852" i="1"/>
  <c r="K1429" i="1"/>
  <c r="K2255" i="1"/>
  <c r="K2211" i="1"/>
  <c r="K2167" i="1"/>
  <c r="K2127" i="1"/>
  <c r="K2083" i="1"/>
  <c r="K2039" i="1"/>
  <c r="K1994" i="1"/>
  <c r="K1766" i="1"/>
  <c r="K1368" i="1"/>
  <c r="K1714" i="1"/>
  <c r="K1712" i="1"/>
  <c r="K1633" i="1"/>
  <c r="K1531" i="1"/>
  <c r="K1413" i="1"/>
  <c r="K1028" i="1"/>
  <c r="K1785" i="1"/>
  <c r="K1741" i="1"/>
  <c r="K1670" i="1"/>
  <c r="K1561" i="1"/>
  <c r="K1444" i="1"/>
  <c r="K1213" i="1"/>
  <c r="K1631" i="1"/>
  <c r="K1496" i="1"/>
  <c r="K1359" i="1"/>
  <c r="K1812" i="1"/>
  <c r="K1768" i="1"/>
  <c r="K1724" i="1"/>
  <c r="K1639" i="1"/>
  <c r="K1495" i="1"/>
  <c r="K1357" i="1"/>
  <c r="K1943" i="1"/>
  <c r="K1899" i="1"/>
  <c r="K1855" i="1"/>
  <c r="K1815" i="1"/>
  <c r="K1771" i="1"/>
  <c r="K1727" i="1"/>
  <c r="K1618" i="1"/>
  <c r="K1481" i="1"/>
  <c r="K1288" i="1"/>
  <c r="K1650" i="1"/>
  <c r="K1480" i="1"/>
  <c r="K1229" i="1"/>
  <c r="K1225" i="1"/>
  <c r="K1345" i="1"/>
  <c r="K1265" i="1"/>
  <c r="K1207" i="1"/>
  <c r="K1355" i="1"/>
  <c r="K1280" i="1"/>
  <c r="K1660" i="1"/>
  <c r="K1636" i="1"/>
  <c r="K704" i="1"/>
  <c r="K1105" i="1"/>
  <c r="K624" i="1"/>
  <c r="K1554" i="1"/>
  <c r="K1498" i="1"/>
  <c r="K1438" i="1"/>
  <c r="K1382" i="1"/>
  <c r="K1330" i="1"/>
  <c r="K1270" i="1"/>
  <c r="K1090" i="1"/>
  <c r="K682" i="1"/>
  <c r="K991" i="1"/>
  <c r="K1025" i="1"/>
  <c r="K1248" i="1"/>
  <c r="K1056" i="1"/>
  <c r="K1206" i="1"/>
  <c r="K1070" i="1"/>
  <c r="K91" i="1"/>
  <c r="K1047" i="1"/>
  <c r="K1178" i="1"/>
  <c r="K680" i="1"/>
  <c r="K911" i="1"/>
  <c r="K1016" i="1"/>
  <c r="K974" i="1"/>
  <c r="K830" i="1"/>
  <c r="K597" i="1"/>
  <c r="K587" i="1"/>
  <c r="K809" i="1"/>
  <c r="K488" i="1"/>
  <c r="K201" i="1"/>
  <c r="K600" i="1"/>
  <c r="K606" i="1"/>
  <c r="K2122" i="1"/>
  <c r="K2058" i="1"/>
  <c r="K1993" i="1"/>
  <c r="K1676" i="1"/>
  <c r="K2456" i="1"/>
  <c r="K2392" i="1"/>
  <c r="K2328" i="1"/>
  <c r="K2266" i="1"/>
  <c r="K2202" i="1"/>
  <c r="K2142" i="1"/>
  <c r="K1880" i="1"/>
  <c r="K2465" i="1"/>
  <c r="K2401" i="1"/>
  <c r="K2337" i="1"/>
  <c r="K2260" i="1"/>
  <c r="K1990" i="1"/>
  <c r="K1841" i="1"/>
  <c r="K2536" i="1"/>
  <c r="K2504" i="1"/>
  <c r="K2446" i="1"/>
  <c r="K2382" i="1"/>
  <c r="K2318" i="1"/>
  <c r="K2254" i="1"/>
  <c r="K2190" i="1"/>
  <c r="K1998" i="1"/>
  <c r="K1872" i="1"/>
  <c r="K2113" i="1"/>
  <c r="K2081" i="1"/>
  <c r="K2049" i="1"/>
  <c r="K2017" i="1"/>
  <c r="K1973" i="1"/>
  <c r="K1774" i="1"/>
  <c r="K1489" i="1"/>
  <c r="K1972" i="1"/>
  <c r="K1910" i="1"/>
  <c r="K1846" i="1"/>
  <c r="K1483" i="1"/>
  <c r="K2132" i="1"/>
  <c r="K2100" i="1"/>
  <c r="K2056" i="1"/>
  <c r="K2012" i="1"/>
  <c r="K1917" i="1"/>
  <c r="K1829" i="1"/>
  <c r="K1564" i="1"/>
  <c r="K1844" i="1"/>
  <c r="K1375" i="1"/>
  <c r="K2247" i="1"/>
  <c r="K2207" i="1"/>
  <c r="K2163" i="1"/>
  <c r="K2119" i="1"/>
  <c r="K2079" i="1"/>
  <c r="K2035" i="1"/>
  <c r="K1980" i="1"/>
  <c r="K1750" i="1"/>
  <c r="K1283" i="1"/>
  <c r="K1658" i="1"/>
  <c r="K1703" i="1"/>
  <c r="K1624" i="1"/>
  <c r="K1509" i="1"/>
  <c r="K1400" i="1"/>
  <c r="K1821" i="1"/>
  <c r="K1777" i="1"/>
  <c r="K1737" i="1"/>
  <c r="K1654" i="1"/>
  <c r="K1540" i="1"/>
  <c r="K1433" i="1"/>
  <c r="K1720" i="1"/>
  <c r="K1592" i="1"/>
  <c r="K1485" i="1"/>
  <c r="K1337" i="1"/>
  <c r="K1804" i="1"/>
  <c r="K1764" i="1"/>
  <c r="K1715" i="1"/>
  <c r="K1591" i="1"/>
  <c r="K1484" i="1"/>
  <c r="K1336" i="1"/>
  <c r="K1935" i="1"/>
  <c r="K1895" i="1"/>
  <c r="K1851" i="1"/>
  <c r="K1807" i="1"/>
  <c r="K1767" i="1"/>
  <c r="K1723" i="1"/>
  <c r="K1588" i="1"/>
  <c r="K1471" i="1"/>
  <c r="K1267" i="1"/>
  <c r="K1608" i="1"/>
  <c r="K1469" i="1"/>
  <c r="K1166" i="1"/>
  <c r="K1160" i="1"/>
  <c r="K1335" i="1"/>
  <c r="K1259" i="1"/>
  <c r="K1172" i="1"/>
  <c r="K1349" i="1"/>
  <c r="K1269" i="1"/>
  <c r="K1637" i="1"/>
  <c r="K1627" i="1"/>
  <c r="K1257" i="1"/>
  <c r="K1076" i="1"/>
  <c r="K1606" i="1"/>
  <c r="K1550" i="1"/>
  <c r="K1490" i="1"/>
  <c r="K1434" i="1"/>
  <c r="K1374" i="1"/>
  <c r="K1318" i="1"/>
  <c r="K1266" i="1"/>
  <c r="K1060" i="1"/>
  <c r="K681" i="1"/>
  <c r="K899" i="1"/>
  <c r="K1017" i="1"/>
  <c r="K1212" i="1"/>
  <c r="K1049" i="1"/>
  <c r="K1181" i="1"/>
  <c r="K1007" i="1"/>
  <c r="K1223" i="1"/>
  <c r="K1031" i="1"/>
  <c r="K1109" i="1"/>
  <c r="K630" i="1"/>
  <c r="K753" i="1"/>
  <c r="K891" i="1"/>
  <c r="K970" i="1"/>
  <c r="K826" i="1"/>
  <c r="K439" i="1"/>
  <c r="K530" i="1"/>
  <c r="K801" i="1"/>
  <c r="K247" i="1"/>
  <c r="K1000" i="1"/>
  <c r="K362" i="1"/>
  <c r="K669" i="1"/>
  <c r="K1426" i="1"/>
  <c r="K1370" i="1"/>
  <c r="K1310" i="1"/>
  <c r="K1234" i="1"/>
  <c r="K1053" i="1"/>
  <c r="K589" i="1"/>
  <c r="K722" i="1"/>
  <c r="K989" i="1"/>
  <c r="K1200" i="1"/>
  <c r="K1033" i="1"/>
  <c r="K1175" i="1"/>
  <c r="K935" i="1"/>
  <c r="K1168" i="1"/>
  <c r="K1023" i="1"/>
  <c r="K1082" i="1"/>
  <c r="K1199" i="1"/>
  <c r="K728" i="1"/>
  <c r="K751" i="1"/>
  <c r="K934" i="1"/>
  <c r="K814" i="1"/>
  <c r="K383" i="1"/>
  <c r="K370" i="1"/>
  <c r="K797" i="1"/>
  <c r="K227" i="1"/>
  <c r="K952" i="1"/>
  <c r="K839" i="1"/>
  <c r="K246" i="1"/>
  <c r="K1422" i="1"/>
  <c r="K1362" i="1"/>
  <c r="K1306" i="1"/>
  <c r="K1209" i="1"/>
  <c r="K1012" i="1"/>
  <c r="K467" i="1"/>
  <c r="K698" i="1"/>
  <c r="K959" i="1"/>
  <c r="K1188" i="1"/>
  <c r="K967" i="1"/>
  <c r="K1163" i="1"/>
  <c r="K925" i="1"/>
  <c r="K1156" i="1"/>
  <c r="K712" i="1"/>
  <c r="K1077" i="1"/>
  <c r="K1190" i="1"/>
  <c r="K1130" i="1"/>
  <c r="K701" i="1"/>
  <c r="K926" i="1"/>
  <c r="K778" i="1"/>
  <c r="K344" i="1"/>
  <c r="K340" i="1"/>
  <c r="K742" i="1"/>
  <c r="K677" i="1"/>
  <c r="K904" i="1"/>
  <c r="K775" i="1"/>
  <c r="K427" i="1"/>
  <c r="K1414" i="1"/>
  <c r="K1358" i="1"/>
  <c r="K1298" i="1"/>
  <c r="K1203" i="1"/>
  <c r="K963" i="1"/>
  <c r="K1073" i="1"/>
  <c r="K674" i="1"/>
  <c r="K887" i="1"/>
  <c r="K1157" i="1"/>
  <c r="K947" i="1"/>
  <c r="K1151" i="1"/>
  <c r="K905" i="1"/>
  <c r="K1150" i="1"/>
  <c r="K690" i="1"/>
  <c r="K1019" i="1"/>
  <c r="K1167" i="1"/>
  <c r="K1116" i="1"/>
  <c r="K1034" i="1"/>
  <c r="K922" i="1"/>
  <c r="K774" i="1"/>
  <c r="K720" i="1"/>
  <c r="K288" i="1"/>
  <c r="K733" i="1"/>
  <c r="K527" i="1"/>
  <c r="K852" i="1"/>
  <c r="K582" i="1"/>
  <c r="K277" i="1"/>
  <c r="K1402" i="1"/>
  <c r="K1350" i="1"/>
  <c r="K1294" i="1"/>
  <c r="K1191" i="1"/>
  <c r="K941" i="1"/>
  <c r="K1051" i="1"/>
  <c r="K255" i="1"/>
  <c r="K759" i="1"/>
  <c r="K1137" i="1"/>
  <c r="K736" i="1"/>
  <c r="K1136" i="1"/>
  <c r="K895" i="1"/>
  <c r="K1120" i="1"/>
  <c r="K1258" i="1"/>
  <c r="K1008" i="1"/>
  <c r="K1094" i="1"/>
  <c r="K1107" i="1"/>
  <c r="K1030" i="1"/>
  <c r="K878" i="1"/>
  <c r="K766" i="1"/>
  <c r="K710" i="1"/>
  <c r="K861" i="1"/>
  <c r="K724" i="1"/>
  <c r="K474" i="1"/>
  <c r="K796" i="1"/>
  <c r="K276" i="1"/>
  <c r="K189" i="1"/>
  <c r="K1398" i="1"/>
  <c r="K1338" i="1"/>
  <c r="K1286" i="1"/>
  <c r="K1179" i="1"/>
  <c r="K901" i="1"/>
  <c r="K1044" i="1"/>
  <c r="K1079" i="1"/>
  <c r="K697" i="1"/>
  <c r="K1129" i="1"/>
  <c r="K696" i="1"/>
  <c r="K1085" i="1"/>
  <c r="K754" i="1"/>
  <c r="K1113" i="1"/>
  <c r="K1205" i="1"/>
  <c r="K1003" i="1"/>
  <c r="K1089" i="1"/>
  <c r="K1027" i="1"/>
  <c r="K1022" i="1"/>
  <c r="K874" i="1"/>
  <c r="K636" i="1"/>
  <c r="K705" i="1"/>
  <c r="K849" i="1"/>
  <c r="K539" i="1"/>
  <c r="K447" i="1"/>
  <c r="K723" i="1"/>
  <c r="K655" i="1"/>
  <c r="K176" i="1"/>
  <c r="K1394" i="1"/>
  <c r="K1334" i="1"/>
  <c r="K1274" i="1"/>
  <c r="K1119" i="1"/>
  <c r="K746" i="1"/>
  <c r="K1001" i="1"/>
  <c r="K1072" i="1"/>
  <c r="K214" i="1"/>
  <c r="K1086" i="1"/>
  <c r="K399" i="1"/>
  <c r="K1078" i="1"/>
  <c r="K692" i="1"/>
  <c r="K1099" i="1"/>
  <c r="K1196" i="1"/>
  <c r="K693" i="1"/>
  <c r="K1071" i="1"/>
  <c r="K1021" i="1"/>
  <c r="K986" i="1"/>
  <c r="K870" i="1"/>
  <c r="K605" i="1"/>
  <c r="K613" i="1"/>
  <c r="K845" i="1"/>
  <c r="K519" i="1"/>
  <c r="K265" i="1"/>
  <c r="K418" i="1"/>
  <c r="K544" i="1"/>
  <c r="K110" i="1"/>
  <c r="K2096" i="1"/>
  <c r="K2064" i="1"/>
  <c r="K2032" i="1"/>
  <c r="K1995" i="1"/>
  <c r="K1909" i="1"/>
  <c r="K1845" i="1"/>
  <c r="K1738" i="1"/>
  <c r="K1436" i="1"/>
  <c r="K1836" i="1"/>
  <c r="K1472" i="1"/>
  <c r="K2267" i="1"/>
  <c r="K2235" i="1"/>
  <c r="K2203" i="1"/>
  <c r="K2171" i="1"/>
  <c r="K2139" i="1"/>
  <c r="K2107" i="1"/>
  <c r="K2075" i="1"/>
  <c r="K2043" i="1"/>
  <c r="K2011" i="1"/>
  <c r="K1941" i="1"/>
  <c r="K1734" i="1"/>
  <c r="K1425" i="1"/>
  <c r="K1842" i="1"/>
  <c r="K1504" i="1"/>
  <c r="K1698" i="1"/>
  <c r="K1642" i="1"/>
  <c r="K1563" i="1"/>
  <c r="K1477" i="1"/>
  <c r="K1385" i="1"/>
  <c r="K1152" i="1"/>
  <c r="K1797" i="1"/>
  <c r="K1765" i="1"/>
  <c r="K1733" i="1"/>
  <c r="K1675" i="1"/>
  <c r="K1593" i="1"/>
  <c r="K1508" i="1"/>
  <c r="K1423" i="1"/>
  <c r="K1277" i="1"/>
  <c r="K1674" i="1"/>
  <c r="K1560" i="1"/>
  <c r="K1475" i="1"/>
  <c r="K1380" i="1"/>
  <c r="K1824" i="1"/>
  <c r="K1792" i="1"/>
  <c r="K1760" i="1"/>
  <c r="K1728" i="1"/>
  <c r="K1669" i="1"/>
  <c r="K1559" i="1"/>
  <c r="K1473" i="1"/>
  <c r="K1379" i="1"/>
  <c r="K1955" i="1"/>
  <c r="K1923" i="1"/>
  <c r="K1891" i="1"/>
  <c r="K1859" i="1"/>
  <c r="K1827" i="1"/>
  <c r="K1795" i="1"/>
  <c r="K1763" i="1"/>
  <c r="K1731" i="1"/>
  <c r="K1677" i="1"/>
  <c r="K1556" i="1"/>
  <c r="K1460" i="1"/>
  <c r="K1331" i="1"/>
  <c r="K1681" i="1"/>
  <c r="K1565" i="1"/>
  <c r="K1459" i="1"/>
  <c r="K1263" i="1"/>
  <c r="K1612" i="1"/>
  <c r="K1067" i="1"/>
  <c r="K1324" i="1"/>
  <c r="K1271" i="1"/>
  <c r="K1638" i="1"/>
  <c r="K1397" i="1"/>
  <c r="K1344" i="1"/>
  <c r="K1291" i="1"/>
  <c r="K1096" i="1"/>
  <c r="K1249" i="1"/>
  <c r="K1622" i="1"/>
  <c r="K1081" i="1"/>
  <c r="K1149" i="1"/>
  <c r="K1004" i="1"/>
  <c r="K1598" i="1"/>
  <c r="K1558" i="1"/>
  <c r="K1518" i="1"/>
  <c r="K1470" i="1"/>
  <c r="K1430" i="1"/>
  <c r="K1390" i="1"/>
  <c r="K1342" i="1"/>
  <c r="K1302" i="1"/>
  <c r="K1256" i="1"/>
  <c r="K1104" i="1"/>
  <c r="K921" i="1"/>
  <c r="K273" i="1"/>
  <c r="K760" i="1"/>
  <c r="K1058" i="1"/>
  <c r="K737" i="1"/>
  <c r="K1170" i="1"/>
  <c r="K1041" i="1"/>
  <c r="K187" i="1"/>
  <c r="K1092" i="1"/>
  <c r="K915" i="1"/>
  <c r="K1211" i="1"/>
  <c r="K1055" i="1"/>
  <c r="K1242" i="1"/>
  <c r="K1045" i="1"/>
  <c r="K1231" i="1"/>
  <c r="K975" i="1"/>
  <c r="K1066" i="1"/>
  <c r="K426" i="1"/>
  <c r="K954" i="1"/>
  <c r="K846" i="1"/>
  <c r="K725" i="1"/>
  <c r="K51" i="1"/>
  <c r="K477" i="1"/>
  <c r="K829" i="1"/>
  <c r="K603" i="1"/>
  <c r="K594" i="1"/>
  <c r="K980" i="1"/>
  <c r="K876" i="1"/>
  <c r="K776" i="1"/>
  <c r="K260" i="1"/>
  <c r="K871" i="1"/>
  <c r="K726" i="1"/>
  <c r="K687" i="1"/>
  <c r="K462" i="1"/>
  <c r="K588" i="1"/>
  <c r="K420" i="1"/>
  <c r="K61" i="1"/>
  <c r="K956" i="1"/>
  <c r="K856" i="1"/>
  <c r="K732" i="1"/>
  <c r="K618" i="1"/>
  <c r="K843" i="1"/>
  <c r="K591" i="1"/>
  <c r="K659" i="1"/>
  <c r="K226" i="1"/>
  <c r="K483" i="1"/>
  <c r="K253" i="1"/>
  <c r="K240" i="1"/>
  <c r="K948" i="1"/>
  <c r="K844" i="1"/>
  <c r="K652" i="1"/>
  <c r="K575" i="1"/>
  <c r="K827" i="1"/>
  <c r="K523" i="1"/>
  <c r="K643" i="1"/>
  <c r="K492" i="1"/>
  <c r="K396" i="1"/>
  <c r="K263" i="1"/>
  <c r="K112" i="1"/>
  <c r="K2080" i="1"/>
  <c r="K2048" i="1"/>
  <c r="K2016" i="1"/>
  <c r="K1949" i="1"/>
  <c r="K1877" i="1"/>
  <c r="K1802" i="1"/>
  <c r="K1607" i="1"/>
  <c r="K1868" i="1"/>
  <c r="K1664" i="1"/>
  <c r="K2283" i="1"/>
  <c r="K2251" i="1"/>
  <c r="K2219" i="1"/>
  <c r="K2187" i="1"/>
  <c r="K2155" i="1"/>
  <c r="K2123" i="1"/>
  <c r="K2091" i="1"/>
  <c r="K2059" i="1"/>
  <c r="K2027" i="1"/>
  <c r="K1985" i="1"/>
  <c r="K1798" i="1"/>
  <c r="K1596" i="1"/>
  <c r="K1874" i="1"/>
  <c r="K1696" i="1"/>
  <c r="K1268" i="1"/>
  <c r="K1666" i="1"/>
  <c r="K1605" i="1"/>
  <c r="K1520" i="1"/>
  <c r="K1435" i="1"/>
  <c r="K1300" i="1"/>
  <c r="K1813" i="1"/>
  <c r="K1781" i="1"/>
  <c r="K1749" i="1"/>
  <c r="K1707" i="1"/>
  <c r="K1641" i="1"/>
  <c r="K1551" i="1"/>
  <c r="K1465" i="1"/>
  <c r="K1363" i="1"/>
  <c r="K1706" i="1"/>
  <c r="K1603" i="1"/>
  <c r="K1517" i="1"/>
  <c r="K1432" i="1"/>
  <c r="K1295" i="1"/>
  <c r="K1808" i="1"/>
  <c r="K1776" i="1"/>
  <c r="K1744" i="1"/>
  <c r="K1701" i="1"/>
  <c r="K1601" i="1"/>
  <c r="K1516" i="1"/>
  <c r="K1431" i="1"/>
  <c r="K1293" i="1"/>
  <c r="K1939" i="1"/>
  <c r="K1907" i="1"/>
  <c r="K1875" i="1"/>
  <c r="K1843" i="1"/>
  <c r="K1811" i="1"/>
  <c r="K1779" i="1"/>
  <c r="K1747" i="1"/>
  <c r="K1709" i="1"/>
  <c r="K1599" i="1"/>
  <c r="K1503" i="1"/>
  <c r="K1405" i="1"/>
  <c r="K1722" i="1"/>
  <c r="K1626" i="1"/>
  <c r="K1501" i="1"/>
  <c r="K1389" i="1"/>
  <c r="K1662" i="1"/>
  <c r="K1177" i="1"/>
  <c r="K1356" i="1"/>
  <c r="K1303" i="1"/>
  <c r="K1159" i="1"/>
  <c r="K1189" i="1"/>
  <c r="K1376" i="1"/>
  <c r="K1312" i="1"/>
  <c r="K1241" i="1"/>
  <c r="K1651" i="1"/>
  <c r="K744" i="1"/>
  <c r="K1214" i="1"/>
  <c r="K1204" i="1"/>
  <c r="K1083" i="1"/>
  <c r="K709" i="1"/>
  <c r="K1582" i="1"/>
  <c r="K1534" i="1"/>
  <c r="K1494" i="1"/>
  <c r="K1454" i="1"/>
  <c r="K1406" i="1"/>
  <c r="K1366" i="1"/>
  <c r="K1326" i="1"/>
  <c r="K1278" i="1"/>
  <c r="K1197" i="1"/>
  <c r="K1046" i="1"/>
  <c r="K491" i="1"/>
  <c r="K1009" i="1"/>
  <c r="K581" i="1"/>
  <c r="K969" i="1"/>
  <c r="K1243" i="1"/>
  <c r="K1115" i="1"/>
  <c r="K927" i="1"/>
  <c r="K1169" i="1"/>
  <c r="K1063" i="1"/>
  <c r="K713" i="1"/>
  <c r="K1128" i="1"/>
  <c r="K903" i="1"/>
  <c r="K1141" i="1"/>
  <c r="K913" i="1"/>
  <c r="K1135" i="1"/>
  <c r="K607" i="1"/>
  <c r="K955" i="1"/>
  <c r="K1002" i="1"/>
  <c r="K902" i="1"/>
  <c r="K798" i="1"/>
  <c r="K542" i="1"/>
  <c r="K673" i="1"/>
  <c r="K115" i="1"/>
  <c r="K777" i="1"/>
  <c r="K408" i="1"/>
  <c r="K365" i="1"/>
  <c r="K924" i="1"/>
  <c r="K824" i="1"/>
  <c r="K576" i="1"/>
  <c r="K526" i="1"/>
  <c r="K807" i="1"/>
  <c r="K442" i="1"/>
  <c r="K617" i="1"/>
  <c r="K435" i="1"/>
  <c r="K225" i="1"/>
  <c r="K135" i="1"/>
  <c r="K48" i="1"/>
  <c r="K908" i="1"/>
  <c r="K808" i="1"/>
  <c r="K431" i="1"/>
  <c r="K375" i="1"/>
  <c r="K779" i="1"/>
  <c r="K331" i="1"/>
  <c r="K563" i="1"/>
  <c r="K262" i="1"/>
  <c r="K521" i="1"/>
  <c r="K7" i="1"/>
  <c r="K174" i="1"/>
  <c r="K892" i="1"/>
  <c r="K792" i="1"/>
  <c r="K349" i="1"/>
  <c r="K278" i="1"/>
  <c r="K763" i="1"/>
  <c r="K707" i="1"/>
  <c r="K512" i="1"/>
  <c r="K625" i="1"/>
  <c r="K271" i="1"/>
  <c r="K125" i="1"/>
  <c r="K46" i="1"/>
  <c r="K1617" i="1"/>
  <c r="K1533" i="1"/>
  <c r="K1448" i="1"/>
  <c r="K1327" i="1"/>
  <c r="K1653" i="1"/>
  <c r="K1235" i="1"/>
  <c r="K1383" i="1"/>
  <c r="K1340" i="1"/>
  <c r="K1297" i="1"/>
  <c r="K1252" i="1"/>
  <c r="K1629" i="1"/>
  <c r="K1101" i="1"/>
  <c r="K1371" i="1"/>
  <c r="K1328" i="1"/>
  <c r="K1285" i="1"/>
  <c r="K1154" i="1"/>
  <c r="K1646" i="1"/>
  <c r="K1202" i="1"/>
  <c r="K1613" i="1"/>
  <c r="K1147" i="1"/>
  <c r="K1198" i="1"/>
  <c r="K1127" i="1"/>
  <c r="K995" i="1"/>
  <c r="K502" i="1"/>
  <c r="K1578" i="1"/>
  <c r="K1546" i="1"/>
  <c r="K1514" i="1"/>
  <c r="K1482" i="1"/>
  <c r="K1450" i="1"/>
  <c r="K1418" i="1"/>
  <c r="K1386" i="1"/>
  <c r="K1354" i="1"/>
  <c r="K1322" i="1"/>
  <c r="K1290" i="1"/>
  <c r="K1251" i="1"/>
  <c r="K1133" i="1"/>
  <c r="K1020" i="1"/>
  <c r="K706" i="1"/>
  <c r="K1095" i="1"/>
  <c r="K919" i="1"/>
  <c r="K455" i="1"/>
  <c r="K999" i="1"/>
  <c r="K719" i="1"/>
  <c r="K1194" i="1"/>
  <c r="K1108" i="1"/>
  <c r="K957" i="1"/>
  <c r="K1218" i="1"/>
  <c r="K1143" i="1"/>
  <c r="K1015" i="1"/>
  <c r="K873" i="1"/>
  <c r="K1180" i="1"/>
  <c r="K1106" i="1"/>
  <c r="K965" i="1"/>
  <c r="K1250" i="1"/>
  <c r="K1146" i="1"/>
  <c r="K1050" i="1"/>
  <c r="K939" i="1"/>
  <c r="K371" i="1"/>
  <c r="K1153" i="1"/>
  <c r="K981" i="1"/>
  <c r="K662" i="1"/>
  <c r="K1075" i="1"/>
  <c r="K993" i="1"/>
  <c r="K656" i="1"/>
  <c r="K1006" i="1"/>
  <c r="K958" i="1"/>
  <c r="K906" i="1"/>
  <c r="K858" i="1"/>
  <c r="K806" i="1"/>
  <c r="K734" i="1"/>
  <c r="K552" i="1"/>
  <c r="K209" i="1"/>
  <c r="K689" i="1"/>
  <c r="K510" i="1"/>
  <c r="K147" i="1"/>
  <c r="K833" i="1"/>
  <c r="K781" i="1"/>
  <c r="K660" i="1"/>
  <c r="K448" i="1"/>
  <c r="K619" i="1"/>
  <c r="K392" i="1"/>
  <c r="K984" i="1"/>
  <c r="K936" i="1"/>
  <c r="K884" i="1"/>
  <c r="K828" i="1"/>
  <c r="K780" i="1"/>
  <c r="K584" i="1"/>
  <c r="K280" i="1"/>
  <c r="K535" i="1"/>
  <c r="K875" i="1"/>
  <c r="K811" i="1"/>
  <c r="K731" i="1"/>
  <c r="K456" i="1"/>
  <c r="K691" i="1"/>
  <c r="K627" i="1"/>
  <c r="K471" i="1"/>
  <c r="K611" i="1"/>
  <c r="K461" i="1"/>
  <c r="K19" i="1"/>
  <c r="K593" i="1"/>
  <c r="K424" i="1"/>
  <c r="K3" i="1"/>
  <c r="K364" i="1"/>
  <c r="K11" i="1"/>
  <c r="K505" i="1"/>
  <c r="K395" i="1"/>
  <c r="K215" i="1"/>
  <c r="K388" i="1"/>
  <c r="K171" i="1"/>
  <c r="K245" i="1"/>
  <c r="K234" i="1"/>
  <c r="K103" i="1"/>
  <c r="K316" i="1"/>
  <c r="K173" i="1"/>
  <c r="K109" i="1"/>
  <c r="K45" i="1"/>
  <c r="K224" i="1"/>
  <c r="K160" i="1"/>
  <c r="K96" i="1"/>
  <c r="K32" i="1"/>
  <c r="K158" i="1"/>
  <c r="K94" i="1"/>
  <c r="K415" i="1"/>
  <c r="K481" i="1"/>
  <c r="K353" i="1"/>
  <c r="K565" i="1"/>
  <c r="K501" i="1"/>
  <c r="K390" i="1"/>
  <c r="K163" i="1"/>
  <c r="K377" i="1"/>
  <c r="K107" i="1"/>
  <c r="K229" i="1"/>
  <c r="K223" i="1"/>
  <c r="K95" i="1"/>
  <c r="K307" i="1"/>
  <c r="K169" i="1"/>
  <c r="K105" i="1"/>
  <c r="K41" i="1"/>
  <c r="K220" i="1"/>
  <c r="K156" i="1"/>
  <c r="K92" i="1"/>
  <c r="K28" i="1"/>
  <c r="K154" i="1"/>
  <c r="K90" i="1"/>
  <c r="K1609" i="1"/>
  <c r="K1524" i="1"/>
  <c r="K1439" i="1"/>
  <c r="K1309" i="1"/>
  <c r="K1690" i="1"/>
  <c r="K1597" i="1"/>
  <c r="K1512" i="1"/>
  <c r="K1427" i="1"/>
  <c r="K1284" i="1"/>
  <c r="K1635" i="1"/>
  <c r="K1195" i="1"/>
  <c r="K1372" i="1"/>
  <c r="K1329" i="1"/>
  <c r="K1287" i="1"/>
  <c r="K1224" i="1"/>
  <c r="K1611" i="1"/>
  <c r="K1403" i="1"/>
  <c r="K1360" i="1"/>
  <c r="K1317" i="1"/>
  <c r="K1275" i="1"/>
  <c r="K1117" i="1"/>
  <c r="K1628" i="1"/>
  <c r="K1036" i="1"/>
  <c r="K1247" i="1"/>
  <c r="K1110" i="1"/>
  <c r="K1186" i="1"/>
  <c r="K1097" i="1"/>
  <c r="K953" i="1"/>
  <c r="K1602" i="1"/>
  <c r="K1570" i="1"/>
  <c r="K1538" i="1"/>
  <c r="K1506" i="1"/>
  <c r="K1474" i="1"/>
  <c r="K1442" i="1"/>
  <c r="K1410" i="1"/>
  <c r="K1378" i="1"/>
  <c r="K1346" i="1"/>
  <c r="K1314" i="1"/>
  <c r="K1282" i="1"/>
  <c r="K1221" i="1"/>
  <c r="K1111" i="1"/>
  <c r="K983" i="1"/>
  <c r="K615" i="1"/>
  <c r="K1065" i="1"/>
  <c r="K877" i="1"/>
  <c r="K1087" i="1"/>
  <c r="K979" i="1"/>
  <c r="K413" i="1"/>
  <c r="K1182" i="1"/>
  <c r="K1064" i="1"/>
  <c r="K937" i="1"/>
  <c r="K1193" i="1"/>
  <c r="K1122" i="1"/>
  <c r="K997" i="1"/>
  <c r="K735" i="1"/>
  <c r="K1162" i="1"/>
  <c r="K1069" i="1"/>
  <c r="K893" i="1"/>
  <c r="K1237" i="1"/>
  <c r="K1132" i="1"/>
  <c r="K1029" i="1"/>
  <c r="K881" i="1"/>
  <c r="K1222" i="1"/>
  <c r="K1126" i="1"/>
  <c r="K949" i="1"/>
  <c r="K1148" i="1"/>
  <c r="K1052" i="1"/>
  <c r="K929" i="1"/>
  <c r="K311" i="1"/>
  <c r="K998" i="1"/>
  <c r="K942" i="1"/>
  <c r="K894" i="1"/>
  <c r="K842" i="1"/>
  <c r="K794" i="1"/>
  <c r="K716" i="1"/>
  <c r="K466" i="1"/>
  <c r="K752" i="1"/>
  <c r="K654" i="1"/>
  <c r="K464" i="1"/>
  <c r="K83" i="1"/>
  <c r="K817" i="1"/>
  <c r="K769" i="1"/>
  <c r="K578" i="1"/>
  <c r="K366" i="1"/>
  <c r="K586" i="1"/>
  <c r="K319" i="1"/>
  <c r="K972" i="1"/>
  <c r="K920" i="1"/>
  <c r="K872" i="1"/>
  <c r="K820" i="1"/>
  <c r="K764" i="1"/>
  <c r="K536" i="1"/>
  <c r="K670" i="1"/>
  <c r="K472" i="1"/>
  <c r="K859" i="1"/>
  <c r="K795" i="1"/>
  <c r="K644" i="1"/>
  <c r="K400" i="1"/>
  <c r="K675" i="1"/>
  <c r="K596" i="1"/>
  <c r="K419" i="1"/>
  <c r="K579" i="1"/>
  <c r="K384" i="1"/>
  <c r="K657" i="1"/>
  <c r="K560" i="1"/>
  <c r="K389" i="1"/>
  <c r="K460" i="1"/>
  <c r="K308" i="1"/>
  <c r="K553" i="1"/>
  <c r="K489" i="1"/>
  <c r="K363" i="1"/>
  <c r="K59" i="1"/>
  <c r="K356" i="1"/>
  <c r="K341" i="1"/>
  <c r="K327" i="1"/>
  <c r="K202" i="1"/>
  <c r="K71" i="1"/>
  <c r="K284" i="1"/>
  <c r="K157" i="1"/>
  <c r="K93" i="1"/>
  <c r="K29" i="1"/>
  <c r="K208" i="1"/>
  <c r="K144" i="1"/>
  <c r="K80" i="1"/>
  <c r="K16" i="1"/>
  <c r="K142" i="1"/>
  <c r="K78" i="1"/>
  <c r="K883" i="1"/>
  <c r="K1210" i="1"/>
  <c r="K1114" i="1"/>
  <c r="K1024" i="1"/>
  <c r="K745" i="1"/>
  <c r="K1217" i="1"/>
  <c r="K1103" i="1"/>
  <c r="K917" i="1"/>
  <c r="K1139" i="1"/>
  <c r="K1043" i="1"/>
  <c r="K923" i="1"/>
  <c r="K1038" i="1"/>
  <c r="K990" i="1"/>
  <c r="K938" i="1"/>
  <c r="K890" i="1"/>
  <c r="K838" i="1"/>
  <c r="K782" i="1"/>
  <c r="K642" i="1"/>
  <c r="K451" i="1"/>
  <c r="K743" i="1"/>
  <c r="K648" i="1"/>
  <c r="K382" i="1"/>
  <c r="K865" i="1"/>
  <c r="K813" i="1"/>
  <c r="K765" i="1"/>
  <c r="K570" i="1"/>
  <c r="K303" i="1"/>
  <c r="K548" i="1"/>
  <c r="K302" i="1"/>
  <c r="K968" i="1"/>
  <c r="K916" i="1"/>
  <c r="K860" i="1"/>
  <c r="K812" i="1"/>
  <c r="K755" i="1"/>
  <c r="K516" i="1"/>
  <c r="K664" i="1"/>
  <c r="K430" i="1"/>
  <c r="K855" i="1"/>
  <c r="K791" i="1"/>
  <c r="K616" i="1"/>
  <c r="K387" i="1"/>
  <c r="K671" i="1"/>
  <c r="K585" i="1"/>
  <c r="K394" i="1"/>
  <c r="K574" i="1"/>
  <c r="K376" i="1"/>
  <c r="K653" i="1"/>
  <c r="K554" i="1"/>
  <c r="K381" i="1"/>
  <c r="K449" i="1"/>
  <c r="K301" i="1"/>
  <c r="K549" i="1"/>
  <c r="K485" i="1"/>
  <c r="K358" i="1"/>
  <c r="K473" i="1"/>
  <c r="K345" i="1"/>
  <c r="K332" i="1"/>
  <c r="K318" i="1"/>
  <c r="K191" i="1"/>
  <c r="K63" i="1"/>
  <c r="K275" i="1"/>
  <c r="K153" i="1"/>
  <c r="K89" i="1"/>
  <c r="K25" i="1"/>
  <c r="K204" i="1"/>
  <c r="K140" i="1"/>
  <c r="K76" i="1"/>
  <c r="K12" i="1"/>
  <c r="K138" i="1"/>
  <c r="K74" i="1"/>
  <c r="K360" i="1"/>
  <c r="K543" i="1"/>
  <c r="K350" i="1"/>
  <c r="K641" i="1"/>
  <c r="K522" i="1"/>
  <c r="K328" i="1"/>
  <c r="K428" i="1"/>
  <c r="K279" i="1"/>
  <c r="K537" i="1"/>
  <c r="K459" i="1"/>
  <c r="K329" i="1"/>
  <c r="K452" i="1"/>
  <c r="K305" i="1"/>
  <c r="K309" i="1"/>
  <c r="K295" i="1"/>
  <c r="K167" i="1"/>
  <c r="K39" i="1"/>
  <c r="K252" i="1"/>
  <c r="K141" i="1"/>
  <c r="K77" i="1"/>
  <c r="K13" i="1"/>
  <c r="K192" i="1"/>
  <c r="K128" i="1"/>
  <c r="K64" i="1"/>
  <c r="K190" i="1"/>
  <c r="K126" i="1"/>
  <c r="K62" i="1"/>
  <c r="K351" i="1"/>
  <c r="K524" i="1"/>
  <c r="K320" i="1"/>
  <c r="K637" i="1"/>
  <c r="K515" i="1"/>
  <c r="K292" i="1"/>
  <c r="K417" i="1"/>
  <c r="K257" i="1"/>
  <c r="K533" i="1"/>
  <c r="K454" i="1"/>
  <c r="K322" i="1"/>
  <c r="K441" i="1"/>
  <c r="K297" i="1"/>
  <c r="K300" i="1"/>
  <c r="K286" i="1"/>
  <c r="K159" i="1"/>
  <c r="K31" i="1"/>
  <c r="K237" i="1"/>
  <c r="K137" i="1"/>
  <c r="K73" i="1"/>
  <c r="K9" i="1"/>
  <c r="K188" i="1"/>
  <c r="K124" i="1"/>
  <c r="K60" i="1"/>
  <c r="K186" i="1"/>
  <c r="K122" i="1"/>
  <c r="K58" i="1"/>
  <c r="K985" i="1"/>
  <c r="K1254" i="1"/>
  <c r="K1173" i="1"/>
  <c r="K1068" i="1"/>
  <c r="K945" i="1"/>
  <c r="K482" i="1"/>
  <c r="K1158" i="1"/>
  <c r="K1062" i="1"/>
  <c r="K702" i="1"/>
  <c r="K1084" i="1"/>
  <c r="K1005" i="1"/>
  <c r="K686" i="1"/>
  <c r="K1018" i="1"/>
  <c r="K966" i="1"/>
  <c r="K910" i="1"/>
  <c r="K862" i="1"/>
  <c r="K810" i="1"/>
  <c r="K757" i="1"/>
  <c r="K571" i="1"/>
  <c r="K270" i="1"/>
  <c r="K694" i="1"/>
  <c r="K520" i="1"/>
  <c r="K267" i="1"/>
  <c r="K841" i="1"/>
  <c r="K785" i="1"/>
  <c r="K666" i="1"/>
  <c r="K463" i="1"/>
  <c r="K672" i="1"/>
  <c r="K434" i="1"/>
  <c r="K988" i="1"/>
  <c r="K940" i="1"/>
  <c r="K888" i="1"/>
  <c r="K840" i="1"/>
  <c r="K788" i="1"/>
  <c r="K626" i="1"/>
  <c r="K335" i="1"/>
  <c r="K566" i="1"/>
  <c r="K217" i="1"/>
  <c r="K823" i="1"/>
  <c r="K758" i="1"/>
  <c r="K514" i="1"/>
  <c r="K703" i="1"/>
  <c r="K639" i="1"/>
  <c r="K506" i="1"/>
  <c r="K211" i="1"/>
  <c r="K486" i="1"/>
  <c r="K251" i="1"/>
  <c r="K620" i="1"/>
  <c r="K458" i="1"/>
  <c r="K231" i="1"/>
  <c r="K385" i="1"/>
  <c r="K199" i="1"/>
  <c r="K517" i="1"/>
  <c r="K422" i="1"/>
  <c r="K264" i="1"/>
  <c r="K409" i="1"/>
  <c r="K238" i="1"/>
  <c r="K268" i="1"/>
  <c r="K254" i="1"/>
  <c r="K127" i="1"/>
  <c r="K339" i="1"/>
  <c r="K185" i="1"/>
  <c r="K121" i="1"/>
  <c r="K57" i="1"/>
  <c r="K236" i="1"/>
  <c r="K172" i="1"/>
  <c r="K108" i="1"/>
  <c r="K44" i="1"/>
  <c r="K170" i="1"/>
  <c r="K106" i="1"/>
  <c r="K42" i="1"/>
  <c r="K750" i="1"/>
  <c r="K610" i="1"/>
  <c r="K495" i="1"/>
  <c r="K317" i="1"/>
  <c r="K638" i="1"/>
  <c r="K555" i="1"/>
  <c r="K416" i="1"/>
  <c r="K194" i="1"/>
  <c r="K851" i="1"/>
  <c r="K819" i="1"/>
  <c r="K787" i="1"/>
  <c r="K749" i="1"/>
  <c r="K608" i="1"/>
  <c r="K503" i="1"/>
  <c r="K373" i="1"/>
  <c r="K699" i="1"/>
  <c r="K667" i="1"/>
  <c r="K635" i="1"/>
  <c r="K580" i="1"/>
  <c r="K499" i="1"/>
  <c r="K386" i="1"/>
  <c r="K198" i="1"/>
  <c r="K556" i="1"/>
  <c r="K478" i="1"/>
  <c r="K367" i="1"/>
  <c r="K210" i="1"/>
  <c r="K649" i="1"/>
  <c r="K609" i="1"/>
  <c r="K547" i="1"/>
  <c r="K450" i="1"/>
  <c r="K355" i="1"/>
  <c r="K219" i="1"/>
  <c r="K444" i="1"/>
  <c r="K380" i="1"/>
  <c r="K294" i="1"/>
  <c r="K139" i="1"/>
  <c r="K545" i="1"/>
  <c r="K513" i="1"/>
  <c r="K475" i="1"/>
  <c r="K411" i="1"/>
  <c r="K347" i="1"/>
  <c r="K256" i="1"/>
  <c r="K468" i="1"/>
  <c r="K404" i="1"/>
  <c r="K333" i="1"/>
  <c r="K230" i="1"/>
  <c r="K323" i="1"/>
  <c r="K259" i="1"/>
  <c r="K313" i="1"/>
  <c r="K249" i="1"/>
  <c r="K183" i="1"/>
  <c r="K119" i="1"/>
  <c r="K55" i="1"/>
  <c r="K330" i="1"/>
  <c r="K266" i="1"/>
  <c r="K181" i="1"/>
  <c r="K149" i="1"/>
  <c r="K117" i="1"/>
  <c r="K85" i="1"/>
  <c r="K53" i="1"/>
  <c r="K21" i="1"/>
  <c r="K232" i="1"/>
  <c r="K200" i="1"/>
  <c r="K168" i="1"/>
  <c r="K136" i="1"/>
  <c r="K104" i="1"/>
  <c r="K72" i="1"/>
  <c r="K40" i="1"/>
  <c r="K8" i="1"/>
  <c r="K166" i="1"/>
  <c r="K134" i="1"/>
  <c r="K102" i="1"/>
  <c r="K70" i="1"/>
  <c r="K38" i="1"/>
  <c r="K6" i="1"/>
  <c r="K1246" i="1"/>
  <c r="K1187" i="1"/>
  <c r="K1123" i="1"/>
  <c r="K1059" i="1"/>
  <c r="K1013" i="1"/>
  <c r="K907" i="1"/>
  <c r="K564" i="1"/>
  <c r="K1208" i="1"/>
  <c r="K1144" i="1"/>
  <c r="K1080" i="1"/>
  <c r="K943" i="1"/>
  <c r="K688" i="1"/>
  <c r="K1125" i="1"/>
  <c r="K1061" i="1"/>
  <c r="K1011" i="1"/>
  <c r="K897" i="1"/>
  <c r="K598" i="1"/>
  <c r="K1026" i="1"/>
  <c r="K994" i="1"/>
  <c r="K962" i="1"/>
  <c r="K930" i="1"/>
  <c r="K898" i="1"/>
  <c r="K866" i="1"/>
  <c r="K834" i="1"/>
  <c r="K802" i="1"/>
  <c r="K770" i="1"/>
  <c r="K668" i="1"/>
  <c r="K562" i="1"/>
  <c r="K397" i="1"/>
  <c r="K761" i="1"/>
  <c r="K700" i="1"/>
  <c r="K621" i="1"/>
  <c r="K500" i="1"/>
  <c r="K306" i="1"/>
  <c r="K869" i="1"/>
  <c r="K837" i="1"/>
  <c r="K805" i="1"/>
  <c r="K773" i="1"/>
  <c r="K715" i="1"/>
  <c r="K559" i="1"/>
  <c r="K421" i="1"/>
  <c r="K203" i="1"/>
  <c r="K568" i="1"/>
  <c r="K405" i="1"/>
  <c r="K222" i="1"/>
  <c r="K976" i="1"/>
  <c r="K944" i="1"/>
  <c r="K912" i="1"/>
  <c r="K880" i="1"/>
  <c r="K848" i="1"/>
  <c r="K816" i="1"/>
  <c r="K784" i="1"/>
  <c r="K741" i="1"/>
  <c r="K602" i="1"/>
  <c r="K446" i="1"/>
  <c r="K299" i="1"/>
  <c r="K632" i="1"/>
  <c r="K546" i="1"/>
  <c r="K403" i="1"/>
  <c r="K131" i="1"/>
  <c r="K847" i="1"/>
  <c r="K815" i="1"/>
  <c r="K783" i="1"/>
  <c r="K740" i="1"/>
  <c r="K599" i="1"/>
  <c r="K494" i="1"/>
  <c r="K346" i="1"/>
  <c r="K695" i="1"/>
  <c r="K663" i="1"/>
  <c r="K631" i="1"/>
  <c r="K569" i="1"/>
  <c r="K479" i="1"/>
  <c r="K368" i="1"/>
  <c r="K622" i="1"/>
  <c r="K550" i="1"/>
  <c r="K469" i="1"/>
  <c r="K359" i="1"/>
  <c r="K179" i="1"/>
  <c r="K645" i="1"/>
  <c r="K604" i="1"/>
  <c r="K528" i="1"/>
  <c r="K432" i="1"/>
  <c r="K338" i="1"/>
  <c r="K67" i="1"/>
  <c r="K433" i="1"/>
  <c r="K369" i="1"/>
  <c r="K287" i="1"/>
  <c r="K75" i="1"/>
  <c r="K541" i="1"/>
  <c r="K509" i="1"/>
  <c r="K470" i="1"/>
  <c r="K406" i="1"/>
  <c r="K342" i="1"/>
  <c r="K241" i="1"/>
  <c r="K457" i="1"/>
  <c r="K393" i="1"/>
  <c r="K312" i="1"/>
  <c r="K195" i="1"/>
  <c r="K314" i="1"/>
  <c r="K250" i="1"/>
  <c r="K304" i="1"/>
  <c r="K239" i="1"/>
  <c r="K175" i="1"/>
  <c r="K111" i="1"/>
  <c r="K47" i="1"/>
  <c r="K325" i="1"/>
  <c r="K261" i="1"/>
  <c r="K177" i="1"/>
  <c r="K145" i="1"/>
  <c r="K113" i="1"/>
  <c r="K81" i="1"/>
  <c r="K49" i="1"/>
  <c r="K17" i="1"/>
  <c r="K228" i="1"/>
  <c r="K196" i="1"/>
  <c r="K164" i="1"/>
  <c r="K132" i="1"/>
  <c r="K100" i="1"/>
  <c r="K68" i="1"/>
  <c r="K36" i="1"/>
  <c r="K4" i="1"/>
  <c r="K162" i="1"/>
  <c r="K130" i="1"/>
  <c r="K98" i="1"/>
  <c r="K66" i="1"/>
  <c r="K34" i="1"/>
  <c r="K2" i="1"/>
  <c r="K30" i="1"/>
  <c r="K26" i="1"/>
  <c r="K357" i="1"/>
  <c r="K1228" i="1"/>
  <c r="K1164" i="1"/>
  <c r="K1100" i="1"/>
  <c r="K1040" i="1"/>
  <c r="K977" i="1"/>
  <c r="K721" i="1"/>
  <c r="K235" i="1"/>
  <c r="K1185" i="1"/>
  <c r="K1121" i="1"/>
  <c r="K1057" i="1"/>
  <c r="K885" i="1"/>
  <c r="K440" i="1"/>
  <c r="K1098" i="1"/>
  <c r="K1037" i="1"/>
  <c r="K987" i="1"/>
  <c r="K727" i="1"/>
  <c r="K123" i="1"/>
  <c r="K1014" i="1"/>
  <c r="K982" i="1"/>
  <c r="K950" i="1"/>
  <c r="K918" i="1"/>
  <c r="K886" i="1"/>
  <c r="K854" i="1"/>
  <c r="K822" i="1"/>
  <c r="K790" i="1"/>
  <c r="K748" i="1"/>
  <c r="K623" i="1"/>
  <c r="K532" i="1"/>
  <c r="K326" i="1"/>
  <c r="K738" i="1"/>
  <c r="K684" i="1"/>
  <c r="K551" i="1"/>
  <c r="K437" i="1"/>
  <c r="K248" i="1"/>
  <c r="K857" i="1"/>
  <c r="K825" i="1"/>
  <c r="K793" i="1"/>
  <c r="K756" i="1"/>
  <c r="K634" i="1"/>
  <c r="K508" i="1"/>
  <c r="K354" i="1"/>
  <c r="K646" i="1"/>
  <c r="K507" i="1"/>
  <c r="K352" i="1"/>
  <c r="K996" i="1"/>
  <c r="K964" i="1"/>
  <c r="K932" i="1"/>
  <c r="K900" i="1"/>
  <c r="K868" i="1"/>
  <c r="K836" i="1"/>
  <c r="K804" i="1"/>
  <c r="K772" i="1"/>
  <c r="K718" i="1"/>
  <c r="K567" i="1"/>
  <c r="K391" i="1"/>
  <c r="K243" i="1"/>
  <c r="K592" i="1"/>
  <c r="K504" i="1"/>
  <c r="K334" i="1"/>
  <c r="K867" i="1"/>
  <c r="K835" i="1"/>
  <c r="K803" i="1"/>
  <c r="K771" i="1"/>
  <c r="K717" i="1"/>
  <c r="K573" i="1"/>
  <c r="K429" i="1"/>
  <c r="K193" i="1"/>
  <c r="K683" i="1"/>
  <c r="K651" i="1"/>
  <c r="K612" i="1"/>
  <c r="K538" i="1"/>
  <c r="K453" i="1"/>
  <c r="K343" i="1"/>
  <c r="K595" i="1"/>
  <c r="K518" i="1"/>
  <c r="K410" i="1"/>
  <c r="K310" i="1"/>
  <c r="K665" i="1"/>
  <c r="K633" i="1"/>
  <c r="K577" i="1"/>
  <c r="K496" i="1"/>
  <c r="K407" i="1"/>
  <c r="K269" i="1"/>
  <c r="K476" i="1"/>
  <c r="K412" i="1"/>
  <c r="K348" i="1"/>
  <c r="K242" i="1"/>
  <c r="K561" i="1"/>
  <c r="K529" i="1"/>
  <c r="K497" i="1"/>
  <c r="K443" i="1"/>
  <c r="K379" i="1"/>
  <c r="K315" i="1"/>
  <c r="K99" i="1"/>
  <c r="K436" i="1"/>
  <c r="K372" i="1"/>
  <c r="K290" i="1"/>
  <c r="K43" i="1"/>
  <c r="K291" i="1"/>
  <c r="K213" i="1"/>
  <c r="K281" i="1"/>
  <c r="K218" i="1"/>
  <c r="K151" i="1"/>
  <c r="K87" i="1"/>
  <c r="K23" i="1"/>
  <c r="K298" i="1"/>
  <c r="K221" i="1"/>
  <c r="K165" i="1"/>
  <c r="K133" i="1"/>
  <c r="K101" i="1"/>
  <c r="K69" i="1"/>
  <c r="K37" i="1"/>
  <c r="K5" i="1"/>
  <c r="K216" i="1"/>
  <c r="K184" i="1"/>
  <c r="K152" i="1"/>
  <c r="K120" i="1"/>
  <c r="K88" i="1"/>
  <c r="K56" i="1"/>
  <c r="K24" i="1"/>
  <c r="K182" i="1"/>
  <c r="K150" i="1"/>
  <c r="K118" i="1"/>
  <c r="K86" i="1"/>
  <c r="K54" i="1"/>
  <c r="K22" i="1"/>
  <c r="K1262" i="1"/>
  <c r="K1219" i="1"/>
  <c r="K1155" i="1"/>
  <c r="K1091" i="1"/>
  <c r="K1035" i="1"/>
  <c r="K971" i="1"/>
  <c r="K708" i="1"/>
  <c r="K1240" i="1"/>
  <c r="K1176" i="1"/>
  <c r="K1112" i="1"/>
  <c r="K1048" i="1"/>
  <c r="K879" i="1"/>
  <c r="K155" i="1"/>
  <c r="K1093" i="1"/>
  <c r="K1032" i="1"/>
  <c r="K961" i="1"/>
  <c r="K714" i="1"/>
  <c r="K1042" i="1"/>
  <c r="K1010" i="1"/>
  <c r="K978" i="1"/>
  <c r="K946" i="1"/>
  <c r="K914" i="1"/>
  <c r="K882" i="1"/>
  <c r="K850" i="1"/>
  <c r="K818" i="1"/>
  <c r="K786" i="1"/>
  <c r="K739" i="1"/>
  <c r="K614" i="1"/>
  <c r="K480" i="1"/>
  <c r="K289" i="1"/>
  <c r="K729" i="1"/>
  <c r="K678" i="1"/>
  <c r="K540" i="1"/>
  <c r="K423" i="1"/>
  <c r="K206" i="1"/>
  <c r="K853" i="1"/>
  <c r="K821" i="1"/>
  <c r="K789" i="1"/>
  <c r="K747" i="1"/>
  <c r="K628" i="1"/>
  <c r="K498" i="1"/>
  <c r="K324" i="1"/>
  <c r="K640" i="1"/>
  <c r="K487" i="1"/>
  <c r="K337" i="1"/>
  <c r="K992" i="1"/>
  <c r="K960" i="1"/>
  <c r="K928" i="1"/>
  <c r="K896" i="1"/>
  <c r="K864" i="1"/>
  <c r="K832" i="1"/>
  <c r="K800" i="1"/>
  <c r="K768" i="1"/>
  <c r="K658" i="1"/>
  <c r="K558" i="1"/>
  <c r="K378" i="1"/>
  <c r="K676" i="1"/>
  <c r="K583" i="1"/>
  <c r="K484" i="1"/>
  <c r="K296" i="1"/>
  <c r="K863" i="1"/>
  <c r="K831" i="1"/>
  <c r="K799" i="1"/>
  <c r="K767" i="1"/>
  <c r="K650" i="1"/>
  <c r="K534" i="1"/>
  <c r="K414" i="1"/>
  <c r="K711" i="1"/>
  <c r="K679" i="1"/>
  <c r="K647" i="1"/>
  <c r="K601" i="1"/>
  <c r="K531" i="1"/>
  <c r="K445" i="1"/>
  <c r="K321" i="1"/>
  <c r="K590" i="1"/>
  <c r="K511" i="1"/>
  <c r="K402" i="1"/>
  <c r="K274" i="1"/>
  <c r="K661" i="1"/>
  <c r="K629" i="1"/>
  <c r="K572" i="1"/>
  <c r="K490" i="1"/>
  <c r="K398" i="1"/>
  <c r="K258" i="1"/>
  <c r="K465" i="1"/>
  <c r="K401" i="1"/>
  <c r="K336" i="1"/>
  <c r="K233" i="1"/>
  <c r="K557" i="1"/>
  <c r="K525" i="1"/>
  <c r="K493" i="1"/>
  <c r="K438" i="1"/>
  <c r="K374" i="1"/>
  <c r="K285" i="1"/>
  <c r="K35" i="1"/>
  <c r="K425" i="1"/>
  <c r="K361" i="1"/>
  <c r="K283" i="1"/>
  <c r="K27" i="1"/>
  <c r="K282" i="1"/>
  <c r="K197" i="1"/>
  <c r="K272" i="1"/>
  <c r="K207" i="1"/>
  <c r="K143" i="1"/>
  <c r="K79" i="1"/>
  <c r="K15" i="1"/>
  <c r="K293" i="1"/>
  <c r="K205" i="1"/>
  <c r="K161" i="1"/>
  <c r="K129" i="1"/>
  <c r="K97" i="1"/>
  <c r="K65" i="1"/>
  <c r="K33" i="1"/>
  <c r="K244" i="1"/>
  <c r="K212" i="1"/>
  <c r="K180" i="1"/>
  <c r="K148" i="1"/>
  <c r="K116" i="1"/>
  <c r="K84" i="1"/>
  <c r="K52" i="1"/>
  <c r="K20" i="1"/>
  <c r="K178" i="1"/>
  <c r="K146" i="1"/>
  <c r="K114" i="1"/>
  <c r="K82" i="1"/>
  <c r="K50" i="1"/>
  <c r="K18" i="1"/>
  <c r="K14" i="1"/>
  <c r="K10" i="1"/>
  <c r="J2568" i="1"/>
  <c r="I2568" i="1"/>
  <c r="J3144" i="1"/>
  <c r="I3144" i="1"/>
  <c r="J3296" i="1"/>
  <c r="I3296" i="1"/>
  <c r="J3360" i="1"/>
  <c r="I3360" i="1"/>
  <c r="J3424" i="1"/>
  <c r="I3424" i="1"/>
  <c r="J2738" i="1"/>
  <c r="I2738" i="1"/>
  <c r="J3058" i="1"/>
  <c r="I3058" i="1"/>
  <c r="J2907" i="1"/>
  <c r="I2907" i="1"/>
  <c r="J3230" i="1"/>
  <c r="I323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<sst xmlns="http://schemas.openxmlformats.org/spreadsheetml/2006/main" count="9461" uniqueCount="5142">
  <si>
    <t># group: Smileys &amp; Emotion</t>
  </si>
  <si>
    <t># subgroup: face-smiling</t>
  </si>
  <si>
    <t>1F600                                                  ; fully-qualified     # 😀 E1.0 grinning face</t>
  </si>
  <si>
    <t>1F603                                                  ; fully-qualified     # 😃 E0.6 grinning face with big eyes</t>
  </si>
  <si>
    <t>1F604                                                  ; fully-qualified     # 😄 E0.6 grinning face with smiling eyes</t>
  </si>
  <si>
    <t>1F601                                                  ; fully-qualified     # 😁 E0.6 beaming face with smiling eyes</t>
  </si>
  <si>
    <t>1F606                                                  ; fully-qualified     # 😆 E0.6 grinning squinting face</t>
  </si>
  <si>
    <t>1F605                                                  ; fully-qualified     # 😅 E0.6 grinning face with sweat</t>
  </si>
  <si>
    <t>1F923                                                  ; fully-qualified     # 🤣 E3.0 rolling on the floor laughing</t>
  </si>
  <si>
    <t>1F602                                                  ; fully-qualified     # 😂 E0.6 face with tears of joy</t>
  </si>
  <si>
    <t>1F642                                                  ; fully-qualified     # 🙂 E1.0 slightly smiling face</t>
  </si>
  <si>
    <t>1F643                                                  ; fully-qualified     # 🙃 E1.0 upside-down face</t>
  </si>
  <si>
    <t>1F609                                                  ; fully-qualified     # 😉 E0.6 winking face</t>
  </si>
  <si>
    <t>1F60A                                                  ; fully-qualified     # 😊 E0.6 smiling face with smiling eyes</t>
  </si>
  <si>
    <t>1F607                                                  ; fully-qualified     # 😇 E1.0 smiling face with halo</t>
  </si>
  <si>
    <t># subgroup: face-affection</t>
  </si>
  <si>
    <t>1F970                                                  ; fully-qualified     # 🥰 E11.0 smiling face with hearts</t>
  </si>
  <si>
    <t>1F60D                                                  ; fully-qualified     # 😍 E0.6 smiling face with heart-eyes</t>
  </si>
  <si>
    <t>1F929                                                  ; fully-qualified     # 🤩 E5.0 star-struck</t>
  </si>
  <si>
    <t>1F618                                                  ; fully-qualified     # 😘 E0.6 face blowing a kiss</t>
  </si>
  <si>
    <t>1F617                                                  ; fully-qualified     # 😗 E1.0 kissing face</t>
  </si>
  <si>
    <t>263A FE0F                                              ; fully-qualified     # ☺️ E0.6 smiling face</t>
  </si>
  <si>
    <t>263A                                                   ; unqualified         # ☺ E0.6 smiling face</t>
  </si>
  <si>
    <t>1F61A                                                  ; fully-qualified     # 😚 E0.6 kissing face with closed eyes</t>
  </si>
  <si>
    <t>1F619                                                  ; fully-qualified     # 😙 E1.0 kissing face with smiling eyes</t>
  </si>
  <si>
    <t>1F972                                                  ; fully-qualified     # 🥲 E13.0 smiling face with tear</t>
  </si>
  <si>
    <t># subgroup: face-tongue</t>
  </si>
  <si>
    <t>1F60B                                                  ; fully-qualified     # 😋 E0.6 face savoring food</t>
  </si>
  <si>
    <t>1F61B                                                  ; fully-qualified     # 😛 E1.0 face with tongue</t>
  </si>
  <si>
    <t>1F61C                                                  ; fully-qualified     # 😜 E0.6 winking face with tongue</t>
  </si>
  <si>
    <t>1F92A                                                  ; fully-qualified     # 🤪 E5.0 zany face</t>
  </si>
  <si>
    <t>1F61D                                                  ; fully-qualified     # 😝 E0.6 squinting face with tongue</t>
  </si>
  <si>
    <t>1F911                                                  ; fully-qualified     # 🤑 E1.0 money-mouth face</t>
  </si>
  <si>
    <t># subgroup: face-hand</t>
  </si>
  <si>
    <t>1F917                                                  ; fully-qualified     # 🤗 E1.0 hugging face</t>
  </si>
  <si>
    <t>1F92D                                                  ; fully-qualified     # 🤭 E5.0 face with hand over mouth</t>
  </si>
  <si>
    <t>1F92B                                                  ; fully-qualified     # 🤫 E5.0 shushing face</t>
  </si>
  <si>
    <t>1F914                                                  ; fully-qualified     # 🤔 E1.0 thinking face</t>
  </si>
  <si>
    <t># subgroup: face-neutral-skeptical</t>
  </si>
  <si>
    <t>1F910                                                  ; fully-qualified     # 🤐 E1.0 zipper-mouth face</t>
  </si>
  <si>
    <t>1F928                                                  ; fully-qualified     # 🤨 E5.0 face with raised eyebrow</t>
  </si>
  <si>
    <t>1F610                                                  ; fully-qualified     # 😐 E0.7 neutral face</t>
  </si>
  <si>
    <t>1F611                                                  ; fully-qualified     # 😑 E1.0 expressionless face</t>
  </si>
  <si>
    <t>1F636                                                  ; fully-qualified     # 😶 E1.0 face without mouth</t>
  </si>
  <si>
    <t>1F636 200D 1F32B FE0F                                  ; fully-qualified     # 😶‍🌫️ E13.1 face in clouds</t>
  </si>
  <si>
    <t>1F636 200D 1F32B                                       ; minimally-qualified # 😶‍🌫 E13.1 face in clouds</t>
  </si>
  <si>
    <t>1F60F                                                  ; fully-qualified     # 😏 E0.6 smirking face</t>
  </si>
  <si>
    <t>1F612                                                  ; fully-qualified     # 😒 E0.6 unamused face</t>
  </si>
  <si>
    <t>1F644                                                  ; fully-qualified     # 🙄 E1.0 face with rolling eyes</t>
  </si>
  <si>
    <t>1F62C                                                  ; fully-qualified     # 😬 E1.0 grimacing face</t>
  </si>
  <si>
    <t>1F62E 200D 1F4A8                                       ; fully-qualified     # 😮‍💨 E13.1 face exhaling</t>
  </si>
  <si>
    <t>1F925                                                  ; fully-qualified     # 🤥 E3.0 lying face</t>
  </si>
  <si>
    <t># subgroup: face-sleepy</t>
  </si>
  <si>
    <t>1F60C                                                  ; fully-qualified     # 😌 E0.6 relieved face</t>
  </si>
  <si>
    <t>1F614                                                  ; fully-qualified     # 😔 E0.6 pensive face</t>
  </si>
  <si>
    <t>1F62A                                                  ; fully-qualified     # 😪 E0.6 sleepy face</t>
  </si>
  <si>
    <t>1F924                                                  ; fully-qualified     # 🤤 E3.0 drooling face</t>
  </si>
  <si>
    <t>1F634                                                  ; fully-qualified     # 😴 E1.0 sleeping face</t>
  </si>
  <si>
    <t># subgroup: face-unwell</t>
  </si>
  <si>
    <t>1F637                                                  ; fully-qualified     # 😷 E0.6 face with medical mask</t>
  </si>
  <si>
    <t>1F912                                                  ; fully-qualified     # 🤒 E1.0 face with thermometer</t>
  </si>
  <si>
    <t>1F915                                                  ; fully-qualified     # 🤕 E1.0 face with head-bandage</t>
  </si>
  <si>
    <t>1F922                                                  ; fully-qualified     # 🤢 E3.0 nauseated face</t>
  </si>
  <si>
    <t>1F92E                                                  ; fully-qualified     # 🤮 E5.0 face vomiting</t>
  </si>
  <si>
    <t>1F927                                                  ; fully-qualified     # 🤧 E3.0 sneezing face</t>
  </si>
  <si>
    <t>1F975                                                  ; fully-qualified     # 🥵 E11.0 hot face</t>
  </si>
  <si>
    <t>1F976                                                  ; fully-qualified     # 🥶 E11.0 cold face</t>
  </si>
  <si>
    <t>1F974                                                  ; fully-qualified     # 🥴 E11.0 woozy face</t>
  </si>
  <si>
    <t>1F635                                                  ; fully-qualified     # 😵 E0.6 knocked-out face</t>
  </si>
  <si>
    <t>1F635 200D 1F4AB                                       ; fully-qualified     # 😵‍💫 E13.1 face with spiral eyes</t>
  </si>
  <si>
    <t>1F92F                                                  ; fully-qualified     # 🤯 E5.0 exploding head</t>
  </si>
  <si>
    <t># subgroup: face-hat</t>
  </si>
  <si>
    <t>1F920                                                  ; fully-qualified     # 🤠 E3.0 cowboy hat face</t>
  </si>
  <si>
    <t>1F973                                                  ; fully-qualified     # 🥳 E11.0 partying face</t>
  </si>
  <si>
    <t>1F978                                                  ; fully-qualified     # 🥸 E13.0 disguised face</t>
  </si>
  <si>
    <t># subgroup: face-glasses</t>
  </si>
  <si>
    <t>1F60E                                                  ; fully-qualified     # 😎 E1.0 smiling face with sunglasses</t>
  </si>
  <si>
    <t>1F913                                                  ; fully-qualified     # 🤓 E1.0 nerd face</t>
  </si>
  <si>
    <t>1F9D0                                                  ; fully-qualified     # 🧐 E5.0 face with monocle</t>
  </si>
  <si>
    <t># subgroup: face-concerned</t>
  </si>
  <si>
    <t>1F615                                                  ; fully-qualified     # 😕 E1.0 confused face</t>
  </si>
  <si>
    <t>1F61F                                                  ; fully-qualified     # 😟 E1.0 worried face</t>
  </si>
  <si>
    <t>1F641                                                  ; fully-qualified     # 🙁 E1.0 slightly frowning face</t>
  </si>
  <si>
    <t>2639 FE0F                                              ; fully-qualified     # ☹️ E0.7 frowning face</t>
  </si>
  <si>
    <t>2639                                                   ; unqualified         # ☹ E0.7 frowning face</t>
  </si>
  <si>
    <t>1F62E                                                  ; fully-qualified     # 😮 E1.0 face with open mouth</t>
  </si>
  <si>
    <t>1F62F                                                  ; fully-qualified     # 😯 E1.0 hushed face</t>
  </si>
  <si>
    <t>1F632                                                  ; fully-qualified     # 😲 E0.6 astonished face</t>
  </si>
  <si>
    <t>1F633                                                  ; fully-qualified     # 😳 E0.6 flushed face</t>
  </si>
  <si>
    <t>1F97A                                                  ; fully-qualified     # 🥺 E11.0 pleading face</t>
  </si>
  <si>
    <t>1F626                                                  ; fully-qualified     # 😦 E1.0 frowning face with open mouth</t>
  </si>
  <si>
    <t>1F627                                                  ; fully-qualified     # 😧 E1.0 anguished face</t>
  </si>
  <si>
    <t>1F628                                                  ; fully-qualified     # 😨 E0.6 fearful face</t>
  </si>
  <si>
    <t>1F630                                                  ; fully-qualified     # 😰 E0.6 anxious face with sweat</t>
  </si>
  <si>
    <t>1F625                                                  ; fully-qualified     # 😥 E0.6 sad but relieved face</t>
  </si>
  <si>
    <t>1F622                                                  ; fully-qualified     # 😢 E0.6 crying face</t>
  </si>
  <si>
    <t>1F62D                                                  ; fully-qualified     # 😭 E0.6 loudly crying face</t>
  </si>
  <si>
    <t>1F631                                                  ; fully-qualified     # 😱 E0.6 face screaming in fear</t>
  </si>
  <si>
    <t>1F616                                                  ; fully-qualified     # 😖 E0.6 confounded face</t>
  </si>
  <si>
    <t>1F623                                                  ; fully-qualified     # 😣 E0.6 persevering face</t>
  </si>
  <si>
    <t>1F61E                                                  ; fully-qualified     # 😞 E0.6 disappointed face</t>
  </si>
  <si>
    <t>1F613                                                  ; fully-qualified     # 😓 E0.6 downcast face with sweat</t>
  </si>
  <si>
    <t>1F629                                                  ; fully-qualified     # 😩 E0.6 weary face</t>
  </si>
  <si>
    <t>1F62B                                                  ; fully-qualified     # 😫 E0.6 tired face</t>
  </si>
  <si>
    <t>1F971                                                  ; fully-qualified     # 🥱 E12.0 yawning face</t>
  </si>
  <si>
    <t># subgroup: face-negative</t>
  </si>
  <si>
    <t>1F624                                                  ; fully-qualified     # 😤 E0.6 face with steam from nose</t>
  </si>
  <si>
    <t>1F621                                                  ; fully-qualified     # 😡 E0.6 pouting face</t>
  </si>
  <si>
    <t>1F620                                                  ; fully-qualified     # 😠 E0.6 angry face</t>
  </si>
  <si>
    <t>1F92C                                                  ; fully-qualified     # 🤬 E5.0 face with symbols on mouth</t>
  </si>
  <si>
    <t>1F608                                                  ; fully-qualified     # 😈 E1.0 smiling face with horns</t>
  </si>
  <si>
    <t>1F47F                                                  ; fully-qualified     # 👿 E0.6 angry face with horns</t>
  </si>
  <si>
    <t>1F480                                                  ; fully-qualified     # 💀 E0.6 skull</t>
  </si>
  <si>
    <t>2620 FE0F                                              ; fully-qualified     # ☠️ E1.0 skull and crossbones</t>
  </si>
  <si>
    <t>2620                                                   ; unqualified         # ☠ E1.0 skull and crossbones</t>
  </si>
  <si>
    <t># subgroup: face-costume</t>
  </si>
  <si>
    <t>1F4A9                                                  ; fully-qualified     # 💩 E0.6 pile of poo</t>
  </si>
  <si>
    <t>1F921                                                  ; fully-qualified     # 🤡 E3.0 clown face</t>
  </si>
  <si>
    <t>1F479                                                  ; fully-qualified     # 👹 E0.6 ogre</t>
  </si>
  <si>
    <t>1F47A                                                  ; fully-qualified     # 👺 E0.6 goblin</t>
  </si>
  <si>
    <t>1F47B                                                  ; fully-qualified     # 👻 E0.6 ghost</t>
  </si>
  <si>
    <t>1F47D                                                  ; fully-qualified     # 👽 E0.6 alien</t>
  </si>
  <si>
    <t>1F47E                                                  ; fully-qualified     # 👾 E0.6 alien monster</t>
  </si>
  <si>
    <t>1F916                                                  ; fully-qualified     # 🤖 E1.0 robot</t>
  </si>
  <si>
    <t># subgroup: cat-face</t>
  </si>
  <si>
    <t>1F63A                                                  ; fully-qualified     # 😺 E0.6 grinning cat</t>
  </si>
  <si>
    <t>1F638                                                  ; fully-qualified     # 😸 E0.6 grinning cat with smiling eyes</t>
  </si>
  <si>
    <t>1F639                                                  ; fully-qualified     # 😹 E0.6 cat with tears of joy</t>
  </si>
  <si>
    <t>1F63B                                                  ; fully-qualified     # 😻 E0.6 smiling cat with heart-eyes</t>
  </si>
  <si>
    <t>1F63C                                                  ; fully-qualified     # 😼 E0.6 cat with wry smile</t>
  </si>
  <si>
    <t>1F63D                                                  ; fully-qualified     # 😽 E0.6 kissing cat</t>
  </si>
  <si>
    <t>1F640                                                  ; fully-qualified     # 🙀 E0.6 weary cat</t>
  </si>
  <si>
    <t>1F63F                                                  ; fully-qualified     # 😿 E0.6 crying cat</t>
  </si>
  <si>
    <t>1F63E                                                  ; fully-qualified     # 😾 E0.6 pouting cat</t>
  </si>
  <si>
    <t># subgroup: monkey-face</t>
  </si>
  <si>
    <t>1F648                                                  ; fully-qualified     # 🙈 E0.6 see-no-evil monkey</t>
  </si>
  <si>
    <t>1F649                                                  ; fully-qualified     # 🙉 E0.6 hear-no-evil monkey</t>
  </si>
  <si>
    <t>1F64A                                                  ; fully-qualified     # 🙊 E0.6 speak-no-evil monkey</t>
  </si>
  <si>
    <t># subgroup: emotion</t>
  </si>
  <si>
    <t>1F48B                                                  ; fully-qualified     # 💋 E0.6 kiss mark</t>
  </si>
  <si>
    <t>1F48C                                                  ; fully-qualified     # 💌 E0.6 love letter</t>
  </si>
  <si>
    <t>1F498                                                  ; fully-qualified     # 💘 E0.6 heart with arrow</t>
  </si>
  <si>
    <t>1F49D                                                  ; fully-qualified     # 💝 E0.6 heart with ribbon</t>
  </si>
  <si>
    <t>1F496                                                  ; fully-qualified     # 💖 E0.6 sparkling heart</t>
  </si>
  <si>
    <t>1F497                                                  ; fully-qualified     # 💗 E0.6 growing heart</t>
  </si>
  <si>
    <t>1F493                                                  ; fully-qualified     # 💓 E0.6 beating heart</t>
  </si>
  <si>
    <t>1F49E                                                  ; fully-qualified     # 💞 E0.6 revolving hearts</t>
  </si>
  <si>
    <t>1F495                                                  ; fully-qualified     # 💕 E0.6 two hearts</t>
  </si>
  <si>
    <t>1F49F                                                  ; fully-qualified     # 💟 E0.6 heart decoration</t>
  </si>
  <si>
    <t>2763 FE0F                                              ; fully-qualified     # ❣️ E1.0 heart exclamation</t>
  </si>
  <si>
    <t>2763                                                   ; unqualified         # ❣ E1.0 heart exclamation</t>
  </si>
  <si>
    <t>1F494                                                  ; fully-qualified     # 💔 E0.6 broken heart</t>
  </si>
  <si>
    <t>2764 FE0F 200D 1F525                                   ; fully-qualified     # ❤️‍🔥 E13.1 heart on fire</t>
  </si>
  <si>
    <t>2764 200D 1F525                                        ; unqualified         # ❤‍🔥 E13.1 heart on fire</t>
  </si>
  <si>
    <t>2764 FE0F 200D 1FA79                                   ; fully-qualified     # ❤️‍🩹 E13.1 mending heart</t>
  </si>
  <si>
    <t>2764 200D 1FA79                                        ; unqualified         # ❤‍🩹 E13.1 mending heart</t>
  </si>
  <si>
    <t>2764 FE0F                                              ; fully-qualified     # ❤️ E0.6 red heart</t>
  </si>
  <si>
    <t>2764                                                   ; unqualified         # ❤ E0.6 red heart</t>
  </si>
  <si>
    <t>1F9E1                                                  ; fully-qualified     # 🧡 E5.0 orange heart</t>
  </si>
  <si>
    <t>1F49B                                                  ; fully-qualified     # 💛 E0.6 yellow heart</t>
  </si>
  <si>
    <t>1F49A                                                  ; fully-qualified     # 💚 E0.6 green heart</t>
  </si>
  <si>
    <t>1F499                                                  ; fully-qualified     # 💙 E0.6 blue heart</t>
  </si>
  <si>
    <t>1F49C                                                  ; fully-qualified     # 💜 E0.6 purple heart</t>
  </si>
  <si>
    <t>1F90E                                                  ; fully-qualified     # 🤎 E12.0 brown heart</t>
  </si>
  <si>
    <t>1F5A4                                                  ; fully-qualified     # 🖤 E3.0 black heart</t>
  </si>
  <si>
    <t>1F90D                                                  ; fully-qualified     # 🤍 E12.0 white heart</t>
  </si>
  <si>
    <t>1F4AF                                                  ; fully-qualified     # 💯 E0.6 hundred points</t>
  </si>
  <si>
    <t>1F4A2                                                  ; fully-qualified     # 💢 E0.6 anger symbol</t>
  </si>
  <si>
    <t>1F4A5                                                  ; fully-qualified     # 💥 E0.6 collision</t>
  </si>
  <si>
    <t>1F4AB                                                  ; fully-qualified     # 💫 E0.6 dizzy</t>
  </si>
  <si>
    <t>1F4A6                                                  ; fully-qualified     # 💦 E0.6 sweat droplets</t>
  </si>
  <si>
    <t>1F4A8                                                  ; fully-qualified     # 💨 E0.6 dashing away</t>
  </si>
  <si>
    <t>1F573 FE0F                                             ; fully-qualified     # 🕳️ E0.7 hole</t>
  </si>
  <si>
    <t>1F573                                                  ; unqualified         # 🕳 E0.7 hole</t>
  </si>
  <si>
    <t>1F4A3                                                  ; fully-qualified     # 💣 E0.6 bomb</t>
  </si>
  <si>
    <t>1F4AC                                                  ; fully-qualified     # 💬 E0.6 speech balloon</t>
  </si>
  <si>
    <t>1F441 FE0F 200D 1F5E8 FE0F                             ; fully-qualified     # 👁️‍🗨️ E2.0 eye in speech bubble</t>
  </si>
  <si>
    <t>1F441 200D 1F5E8 FE0F                                  ; unqualified         # 👁‍🗨️ E2.0 eye in speech bubble</t>
  </si>
  <si>
    <t>1F441 FE0F 200D 1F5E8                                  ; unqualified         # 👁️‍🗨 E2.0 eye in speech bubble</t>
  </si>
  <si>
    <t>1F441 200D 1F5E8                                       ; unqualified         # 👁‍🗨 E2.0 eye in speech bubble</t>
  </si>
  <si>
    <t>1F5E8 FE0F                                             ; fully-qualified     # 🗨️ E2.0 left speech bubble</t>
  </si>
  <si>
    <t>1F5E8                                                  ; unqualified         # 🗨 E2.0 left speech bubble</t>
  </si>
  <si>
    <t>1F5EF FE0F                                             ; fully-qualified     # 🗯️ E0.7 right anger bubble</t>
  </si>
  <si>
    <t>1F5EF                                                  ; unqualified         # 🗯 E0.7 right anger bubble</t>
  </si>
  <si>
    <t>1F4AD                                                  ; fully-qualified     # 💭 E1.0 thought balloon</t>
  </si>
  <si>
    <t>1F4A4                                                  ; fully-qualified     # 💤 E0.6 zzz</t>
  </si>
  <si>
    <t># Smileys &amp; Emotion subtotal:           170</t>
  </si>
  <si>
    <t># Smileys &amp; Emotion subtotal:           170     w/o modifiers</t>
  </si>
  <si>
    <t># group: People &amp; Body</t>
  </si>
  <si>
    <t># subgroup: hand-fingers-open</t>
  </si>
  <si>
    <t>1F44B                                                  ; fully-qualified     # 👋 E0.6 waving hand</t>
  </si>
  <si>
    <t>1F44B 1F3FB                                            ; fully-qualified     # 👋🏻 E1.0 waving hand: light skin tone</t>
  </si>
  <si>
    <t>1F44B 1F3FC                                            ; fully-qualified     # 👋🏼 E1.0 waving hand: medium-light skin tone</t>
  </si>
  <si>
    <t>1F44B 1F3FD                                            ; fully-qualified     # 👋🏽 E1.0 waving hand: medium skin tone</t>
  </si>
  <si>
    <t>1F44B 1F3FE                                            ; fully-qualified     # 👋🏾 E1.0 waving hand: medium-dark skin tone</t>
  </si>
  <si>
    <t>1F44B 1F3FF                                            ; fully-qualified     # 👋🏿 E1.0 waving hand: dark skin tone</t>
  </si>
  <si>
    <t>1F91A                                                  ; fully-qualified     # 🤚 E3.0 raised back of hand</t>
  </si>
  <si>
    <t>1F91A 1F3FB                                            ; fully-qualified     # 🤚🏻 E3.0 raised back of hand: light skin tone</t>
  </si>
  <si>
    <t>1F91A 1F3FC                                            ; fully-qualified     # 🤚🏼 E3.0 raised back of hand: medium-light skin tone</t>
  </si>
  <si>
    <t>1F91A 1F3FD                                            ; fully-qualified     # 🤚🏽 E3.0 raised back of hand: medium skin tone</t>
  </si>
  <si>
    <t>1F91A 1F3FE                                            ; fully-qualified     # 🤚🏾 E3.0 raised back of hand: medium-dark skin tone</t>
  </si>
  <si>
    <t>1F91A 1F3FF                                            ; fully-qualified     # 🤚🏿 E3.0 raised back of hand: dark skin tone</t>
  </si>
  <si>
    <t>1F590 FE0F                                             ; fully-qualified     # 🖐️ E0.7 hand with fingers splayed</t>
  </si>
  <si>
    <t>1F590                                                  ; unqualified         # 🖐 E0.7 hand with fingers splayed</t>
  </si>
  <si>
    <t>1F590 1F3FB                                            ; fully-qualified     # 🖐🏻 E1.0 hand with fingers splayed: light skin tone</t>
  </si>
  <si>
    <t>1F590 1F3FC                                            ; fully-qualified     # 🖐🏼 E1.0 hand with fingers splayed: medium-light skin tone</t>
  </si>
  <si>
    <t>1F590 1F3FD                                            ; fully-qualified     # 🖐🏽 E1.0 hand with fingers splayed: medium skin tone</t>
  </si>
  <si>
    <t>1F590 1F3FE                                            ; fully-qualified     # 🖐🏾 E1.0 hand with fingers splayed: medium-dark skin tone</t>
  </si>
  <si>
    <t>1F590 1F3FF                                            ; fully-qualified     # 🖐🏿 E1.0 hand with fingers splayed: dark skin tone</t>
  </si>
  <si>
    <t>270B                                                   ; fully-qualified     # ✋ E0.6 raised hand</t>
  </si>
  <si>
    <t>270B 1F3FB                                             ; fully-qualified     # ✋🏻 E1.0 raised hand: light skin tone</t>
  </si>
  <si>
    <t>270B 1F3FC                                             ; fully-qualified     # ✋🏼 E1.0 raised hand: medium-light skin tone</t>
  </si>
  <si>
    <t>270B 1F3FD                                             ; fully-qualified     # ✋🏽 E1.0 raised hand: medium skin tone</t>
  </si>
  <si>
    <t>270B 1F3FE                                             ; fully-qualified     # ✋🏾 E1.0 raised hand: medium-dark skin tone</t>
  </si>
  <si>
    <t>270B 1F3FF                                             ; fully-qualified     # ✋🏿 E1.0 raised hand: dark skin tone</t>
  </si>
  <si>
    <t>1F596                                                  ; fully-qualified     # 🖖 E1.0 vulcan salute</t>
  </si>
  <si>
    <t>1F596 1F3FB                                            ; fully-qualified     # 🖖🏻 E1.0 vulcan salute: light skin tone</t>
  </si>
  <si>
    <t>1F596 1F3FC                                            ; fully-qualified     # 🖖🏼 E1.0 vulcan salute: medium-light skin tone</t>
  </si>
  <si>
    <t>1F596 1F3FD                                            ; fully-qualified     # 🖖🏽 E1.0 vulcan salute: medium skin tone</t>
  </si>
  <si>
    <t>1F596 1F3FE                                            ; fully-qualified     # 🖖🏾 E1.0 vulcan salute: medium-dark skin tone</t>
  </si>
  <si>
    <t>1F596 1F3FF                                            ; fully-qualified     # 🖖🏿 E1.0 vulcan salute: dark skin tone</t>
  </si>
  <si>
    <t># subgroup: hand-fingers-partial</t>
  </si>
  <si>
    <t>1F44C                                                  ; fully-qualified     # 👌 E0.6 OK hand</t>
  </si>
  <si>
    <t>1F44C 1F3FB                                            ; fully-qualified     # 👌🏻 E1.0 OK hand: light skin tone</t>
  </si>
  <si>
    <t>1F44C 1F3FC                                            ; fully-qualified     # 👌🏼 E1.0 OK hand: medium-light skin tone</t>
  </si>
  <si>
    <t>1F44C 1F3FD                                            ; fully-qualified     # 👌🏽 E1.0 OK hand: medium skin tone</t>
  </si>
  <si>
    <t>1F44C 1F3FE                                            ; fully-qualified     # 👌🏾 E1.0 OK hand: medium-dark skin tone</t>
  </si>
  <si>
    <t>1F44C 1F3FF                                            ; fully-qualified     # 👌🏿 E1.0 OK hand: dark skin tone</t>
  </si>
  <si>
    <t>1F90C                                                  ; fully-qualified     # 🤌 E13.0 pinched fingers</t>
  </si>
  <si>
    <t>1F90C 1F3FB                                            ; fully-qualified     # 🤌🏻 E13.0 pinched fingers: light skin tone</t>
  </si>
  <si>
    <t>1F90C 1F3FC                                            ; fully-qualified     # 🤌🏼 E13.0 pinched fingers: medium-light skin tone</t>
  </si>
  <si>
    <t>1F90C 1F3FD                                            ; fully-qualified     # 🤌🏽 E13.0 pinched fingers: medium skin tone</t>
  </si>
  <si>
    <t>1F90C 1F3FE                                            ; fully-qualified     # 🤌🏾 E13.0 pinched fingers: medium-dark skin tone</t>
  </si>
  <si>
    <t>1F90C 1F3FF                                            ; fully-qualified     # 🤌🏿 E13.0 pinched fingers: dark skin tone</t>
  </si>
  <si>
    <t>1F90F                                                  ; fully-qualified     # 🤏 E12.0 pinching hand</t>
  </si>
  <si>
    <t>1F90F 1F3FB                                            ; fully-qualified     # 🤏🏻 E12.0 pinching hand: light skin tone</t>
  </si>
  <si>
    <t>1F90F 1F3FC                                            ; fully-qualified     # 🤏🏼 E12.0 pinching hand: medium-light skin tone</t>
  </si>
  <si>
    <t>1F90F 1F3FD                                            ; fully-qualified     # 🤏🏽 E12.0 pinching hand: medium skin tone</t>
  </si>
  <si>
    <t>1F90F 1F3FE                                            ; fully-qualified     # 🤏🏾 E12.0 pinching hand: medium-dark skin tone</t>
  </si>
  <si>
    <t>1F90F 1F3FF                                            ; fully-qualified     # 🤏🏿 E12.0 pinching hand: dark skin tone</t>
  </si>
  <si>
    <t>270C FE0F                                              ; fully-qualified     # ✌️ E0.6 victory hand</t>
  </si>
  <si>
    <t>270C                                                   ; unqualified         # ✌ E0.6 victory hand</t>
  </si>
  <si>
    <t>270C 1F3FB                                             ; fully-qualified     # ✌🏻 E1.0 victory hand: light skin tone</t>
  </si>
  <si>
    <t>270C 1F3FC                                             ; fully-qualified     # ✌🏼 E1.0 victory hand: medium-light skin tone</t>
  </si>
  <si>
    <t>270C 1F3FD                                             ; fully-qualified     # ✌🏽 E1.0 victory hand: medium skin tone</t>
  </si>
  <si>
    <t>270C 1F3FE                                             ; fully-qualified     # ✌🏾 E1.0 victory hand: medium-dark skin tone</t>
  </si>
  <si>
    <t>270C 1F3FF                                             ; fully-qualified     # ✌🏿 E1.0 victory hand: dark skin tone</t>
  </si>
  <si>
    <t>1F91E                                                  ; fully-qualified     # 🤞 E3.0 crossed fingers</t>
  </si>
  <si>
    <t>1F91E 1F3FB                                            ; fully-qualified     # 🤞🏻 E3.0 crossed fingers: light skin tone</t>
  </si>
  <si>
    <t>1F91E 1F3FC                                            ; fully-qualified     # 🤞🏼 E3.0 crossed fingers: medium-light skin tone</t>
  </si>
  <si>
    <t>1F91E 1F3FD                                            ; fully-qualified     # 🤞🏽 E3.0 crossed fingers: medium skin tone</t>
  </si>
  <si>
    <t>1F91E 1F3FE                                            ; fully-qualified     # 🤞🏾 E3.0 crossed fingers: medium-dark skin tone</t>
  </si>
  <si>
    <t>1F91E 1F3FF                                            ; fully-qualified     # 🤞🏿 E3.0 crossed fingers: dark skin tone</t>
  </si>
  <si>
    <t>1F91F                                                  ; fully-qualified     # 🤟 E5.0 love-you gesture</t>
  </si>
  <si>
    <t>1F91F 1F3FB                                            ; fully-qualified     # 🤟🏻 E5.0 love-you gesture: light skin tone</t>
  </si>
  <si>
    <t>1F91F 1F3FC                                            ; fully-qualified     # 🤟🏼 E5.0 love-you gesture: medium-light skin tone</t>
  </si>
  <si>
    <t>1F91F 1F3FD                                            ; fully-qualified     # 🤟🏽 E5.0 love-you gesture: medium skin tone</t>
  </si>
  <si>
    <t>1F91F 1F3FE                                            ; fully-qualified     # 🤟🏾 E5.0 love-you gesture: medium-dark skin tone</t>
  </si>
  <si>
    <t>1F91F 1F3FF                                            ; fully-qualified     # 🤟🏿 E5.0 love-you gesture: dark skin tone</t>
  </si>
  <si>
    <t>1F918                                                  ; fully-qualified     # 🤘 E1.0 sign of the horns</t>
  </si>
  <si>
    <t>1F918 1F3FB                                            ; fully-qualified     # 🤘🏻 E1.0 sign of the horns: light skin tone</t>
  </si>
  <si>
    <t>1F918 1F3FC                                            ; fully-qualified     # 🤘🏼 E1.0 sign of the horns: medium-light skin tone</t>
  </si>
  <si>
    <t>1F918 1F3FD                                            ; fully-qualified     # 🤘🏽 E1.0 sign of the horns: medium skin tone</t>
  </si>
  <si>
    <t>1F918 1F3FE                                            ; fully-qualified     # 🤘🏾 E1.0 sign of the horns: medium-dark skin tone</t>
  </si>
  <si>
    <t>1F918 1F3FF                                            ; fully-qualified     # 🤘🏿 E1.0 sign of the horns: dark skin tone</t>
  </si>
  <si>
    <t>1F919                                                  ; fully-qualified     # 🤙 E3.0 call me hand</t>
  </si>
  <si>
    <t>1F919 1F3FB                                            ; fully-qualified     # 🤙🏻 E3.0 call me hand: light skin tone</t>
  </si>
  <si>
    <t>1F919 1F3FC                                            ; fully-qualified     # 🤙🏼 E3.0 call me hand: medium-light skin tone</t>
  </si>
  <si>
    <t>1F919 1F3FD                                            ; fully-qualified     # 🤙🏽 E3.0 call me hand: medium skin tone</t>
  </si>
  <si>
    <t>1F919 1F3FE                                            ; fully-qualified     # 🤙🏾 E3.0 call me hand: medium-dark skin tone</t>
  </si>
  <si>
    <t>1F919 1F3FF                                            ; fully-qualified     # 🤙🏿 E3.0 call me hand: dark skin tone</t>
  </si>
  <si>
    <t># subgroup: hand-single-finger</t>
  </si>
  <si>
    <t>1F448                                                  ; fully-qualified     # 👈 E0.6 backhand index pointing left</t>
  </si>
  <si>
    <t>1F448 1F3FB                                            ; fully-qualified     # 👈🏻 E1.0 backhand index pointing left: light skin tone</t>
  </si>
  <si>
    <t>1F448 1F3FC                                            ; fully-qualified     # 👈🏼 E1.0 backhand index pointing left: medium-light skin tone</t>
  </si>
  <si>
    <t>1F448 1F3FD                                            ; fully-qualified     # 👈🏽 E1.0 backhand index pointing left: medium skin tone</t>
  </si>
  <si>
    <t>1F448 1F3FE                                            ; fully-qualified     # 👈🏾 E1.0 backhand index pointing left: medium-dark skin tone</t>
  </si>
  <si>
    <t>1F448 1F3FF                                            ; fully-qualified     # 👈🏿 E1.0 backhand index pointing left: dark skin tone</t>
  </si>
  <si>
    <t>1F449                                                  ; fully-qualified     # 👉 E0.6 backhand index pointing right</t>
  </si>
  <si>
    <t>1F449 1F3FB                                            ; fully-qualified     # 👉🏻 E1.0 backhand index pointing right: light skin tone</t>
  </si>
  <si>
    <t>1F449 1F3FC                                            ; fully-qualified     # 👉🏼 E1.0 backhand index pointing right: medium-light skin tone</t>
  </si>
  <si>
    <t>1F449 1F3FD                                            ; fully-qualified     # 👉🏽 E1.0 backhand index pointing right: medium skin tone</t>
  </si>
  <si>
    <t>1F449 1F3FE                                            ; fully-qualified     # 👉🏾 E1.0 backhand index pointing right: medium-dark skin tone</t>
  </si>
  <si>
    <t>1F449 1F3FF                                            ; fully-qualified     # 👉🏿 E1.0 backhand index pointing right: dark skin tone</t>
  </si>
  <si>
    <t>1F446                                                  ; fully-qualified     # 👆 E0.6 backhand index pointing up</t>
  </si>
  <si>
    <t>1F446 1F3FB                                            ; fully-qualified     # 👆🏻 E1.0 backhand index pointing up: light skin tone</t>
  </si>
  <si>
    <t>1F446 1F3FC                                            ; fully-qualified     # 👆🏼 E1.0 backhand index pointing up: medium-light skin tone</t>
  </si>
  <si>
    <t>1F446 1F3FD                                            ; fully-qualified     # 👆🏽 E1.0 backhand index pointing up: medium skin tone</t>
  </si>
  <si>
    <t>1F446 1F3FE                                            ; fully-qualified     # 👆🏾 E1.0 backhand index pointing up: medium-dark skin tone</t>
  </si>
  <si>
    <t>1F446 1F3FF                                            ; fully-qualified     # 👆🏿 E1.0 backhand index pointing up: dark skin tone</t>
  </si>
  <si>
    <t>1F595                                                  ; fully-qualified     # 🖕 E1.0 middle finger</t>
  </si>
  <si>
    <t>1F595 1F3FB                                            ; fully-qualified     # 🖕🏻 E1.0 middle finger: light skin tone</t>
  </si>
  <si>
    <t>1F595 1F3FC                                            ; fully-qualified     # 🖕🏼 E1.0 middle finger: medium-light skin tone</t>
  </si>
  <si>
    <t>1F595 1F3FD                                            ; fully-qualified     # 🖕🏽 E1.0 middle finger: medium skin tone</t>
  </si>
  <si>
    <t>1F595 1F3FE                                            ; fully-qualified     # 🖕🏾 E1.0 middle finger: medium-dark skin tone</t>
  </si>
  <si>
    <t>1F595 1F3FF                                            ; fully-qualified     # 🖕🏿 E1.0 middle finger: dark skin tone</t>
  </si>
  <si>
    <t>1F447                                                  ; fully-qualified     # 👇 E0.6 backhand index pointing down</t>
  </si>
  <si>
    <t>1F447 1F3FB                                            ; fully-qualified     # 👇🏻 E1.0 backhand index pointing down: light skin tone</t>
  </si>
  <si>
    <t>1F447 1F3FC                                            ; fully-qualified     # 👇🏼 E1.0 backhand index pointing down: medium-light skin tone</t>
  </si>
  <si>
    <t>1F447 1F3FD                                            ; fully-qualified     # 👇🏽 E1.0 backhand index pointing down: medium skin tone</t>
  </si>
  <si>
    <t>1F447 1F3FE                                            ; fully-qualified     # 👇🏾 E1.0 backhand index pointing down: medium-dark skin tone</t>
  </si>
  <si>
    <t>1F447 1F3FF                                            ; fully-qualified     # 👇🏿 E1.0 backhand index pointing down: dark skin tone</t>
  </si>
  <si>
    <t>261D FE0F                                              ; fully-qualified     # ☝️ E0.6 index pointing up</t>
  </si>
  <si>
    <t>261D                                                   ; unqualified         # ☝ E0.6 index pointing up</t>
  </si>
  <si>
    <t>261D 1F3FB                                             ; fully-qualified     # ☝🏻 E1.0 index pointing up: light skin tone</t>
  </si>
  <si>
    <t>261D 1F3FC                                             ; fully-qualified     # ☝🏼 E1.0 index pointing up: medium-light skin tone</t>
  </si>
  <si>
    <t>261D 1F3FD                                             ; fully-qualified     # ☝🏽 E1.0 index pointing up: medium skin tone</t>
  </si>
  <si>
    <t>261D 1F3FE                                             ; fully-qualified     # ☝🏾 E1.0 index pointing up: medium-dark skin tone</t>
  </si>
  <si>
    <t>261D 1F3FF                                             ; fully-qualified     # ☝🏿 E1.0 index pointing up: dark skin tone</t>
  </si>
  <si>
    <t># subgroup: hand-fingers-closed</t>
  </si>
  <si>
    <t>1F44D                                                  ; fully-qualified     # 👍 E0.6 thumbs up</t>
  </si>
  <si>
    <t>1F44D 1F3FB                                            ; fully-qualified     # 👍🏻 E1.0 thumbs up: light skin tone</t>
  </si>
  <si>
    <t>1F44D 1F3FC                                            ; fully-qualified     # 👍🏼 E1.0 thumbs up: medium-light skin tone</t>
  </si>
  <si>
    <t>1F44D 1F3FD                                            ; fully-qualified     # 👍🏽 E1.0 thumbs up: medium skin tone</t>
  </si>
  <si>
    <t>1F44D 1F3FE                                            ; fully-qualified     # 👍🏾 E1.0 thumbs up: medium-dark skin tone</t>
  </si>
  <si>
    <t>1F44D 1F3FF                                            ; fully-qualified     # 👍🏿 E1.0 thumbs up: dark skin tone</t>
  </si>
  <si>
    <t>1F44E                                                  ; fully-qualified     # 👎 E0.6 thumbs down</t>
  </si>
  <si>
    <t>1F44E 1F3FB                                            ; fully-qualified     # 👎🏻 E1.0 thumbs down: light skin tone</t>
  </si>
  <si>
    <t>1F44E 1F3FC                                            ; fully-qualified     # 👎🏼 E1.0 thumbs down: medium-light skin tone</t>
  </si>
  <si>
    <t>1F44E 1F3FD                                            ; fully-qualified     # 👎🏽 E1.0 thumbs down: medium skin tone</t>
  </si>
  <si>
    <t>1F44E 1F3FE                                            ; fully-qualified     # 👎🏾 E1.0 thumbs down: medium-dark skin tone</t>
  </si>
  <si>
    <t>1F44E 1F3FF                                            ; fully-qualified     # 👎🏿 E1.0 thumbs down: dark skin tone</t>
  </si>
  <si>
    <t>270A                                                   ; fully-qualified     # ✊ E0.6 raised fist</t>
  </si>
  <si>
    <t>270A 1F3FB                                             ; fully-qualified     # ✊🏻 E1.0 raised fist: light skin tone</t>
  </si>
  <si>
    <t>270A 1F3FC                                             ; fully-qualified     # ✊🏼 E1.0 raised fist: medium-light skin tone</t>
  </si>
  <si>
    <t>270A 1F3FD                                             ; fully-qualified     # ✊🏽 E1.0 raised fist: medium skin tone</t>
  </si>
  <si>
    <t>270A 1F3FE                                             ; fully-qualified     # ✊🏾 E1.0 raised fist: medium-dark skin tone</t>
  </si>
  <si>
    <t>270A 1F3FF                                             ; fully-qualified     # ✊🏿 E1.0 raised fist: dark skin tone</t>
  </si>
  <si>
    <t>1F44A                                                  ; fully-qualified     # 👊 E0.6 oncoming fist</t>
  </si>
  <si>
    <t>1F44A 1F3FB                                            ; fully-qualified     # 👊🏻 E1.0 oncoming fist: light skin tone</t>
  </si>
  <si>
    <t>1F44A 1F3FC                                            ; fully-qualified     # 👊🏼 E1.0 oncoming fist: medium-light skin tone</t>
  </si>
  <si>
    <t>1F44A 1F3FD                                            ; fully-qualified     # 👊🏽 E1.0 oncoming fist: medium skin tone</t>
  </si>
  <si>
    <t>1F44A 1F3FE                                            ; fully-qualified     # 👊🏾 E1.0 oncoming fist: medium-dark skin tone</t>
  </si>
  <si>
    <t>1F44A 1F3FF                                            ; fully-qualified     # 👊🏿 E1.0 oncoming fist: dark skin tone</t>
  </si>
  <si>
    <t>1F91B                                                  ; fully-qualified     # 🤛 E3.0 left-facing fist</t>
  </si>
  <si>
    <t>1F91B 1F3FB                                            ; fully-qualified     # 🤛🏻 E3.0 left-facing fist: light skin tone</t>
  </si>
  <si>
    <t>1F91B 1F3FC                                            ; fully-qualified     # 🤛🏼 E3.0 left-facing fist: medium-light skin tone</t>
  </si>
  <si>
    <t>1F91B 1F3FD                                            ; fully-qualified     # 🤛🏽 E3.0 left-facing fist: medium skin tone</t>
  </si>
  <si>
    <t>1F91B 1F3FE                                            ; fully-qualified     # 🤛🏾 E3.0 left-facing fist: medium-dark skin tone</t>
  </si>
  <si>
    <t>1F91B 1F3FF                                            ; fully-qualified     # 🤛🏿 E3.0 left-facing fist: dark skin tone</t>
  </si>
  <si>
    <t>1F91C                                                  ; fully-qualified     # 🤜 E3.0 right-facing fist</t>
  </si>
  <si>
    <t>1F91C 1F3FB                                            ; fully-qualified     # 🤜🏻 E3.0 right-facing fist: light skin tone</t>
  </si>
  <si>
    <t>1F91C 1F3FC                                            ; fully-qualified     # 🤜🏼 E3.0 right-facing fist: medium-light skin tone</t>
  </si>
  <si>
    <t>1F91C 1F3FD                                            ; fully-qualified     # 🤜🏽 E3.0 right-facing fist: medium skin tone</t>
  </si>
  <si>
    <t>1F91C 1F3FE                                            ; fully-qualified     # 🤜🏾 E3.0 right-facing fist: medium-dark skin tone</t>
  </si>
  <si>
    <t>1F91C 1F3FF                                            ; fully-qualified     # 🤜🏿 E3.0 right-facing fist: dark skin tone</t>
  </si>
  <si>
    <t># subgroup: hands</t>
  </si>
  <si>
    <t>1F44F                                                  ; fully-qualified     # 👏 E0.6 clapping hands</t>
  </si>
  <si>
    <t>1F44F 1F3FB                                            ; fully-qualified     # 👏🏻 E1.0 clapping hands: light skin tone</t>
  </si>
  <si>
    <t>1F44F 1F3FC                                            ; fully-qualified     # 👏🏼 E1.0 clapping hands: medium-light skin tone</t>
  </si>
  <si>
    <t>1F44F 1F3FD                                            ; fully-qualified     # 👏🏽 E1.0 clapping hands: medium skin tone</t>
  </si>
  <si>
    <t>1F44F 1F3FE                                            ; fully-qualified     # 👏🏾 E1.0 clapping hands: medium-dark skin tone</t>
  </si>
  <si>
    <t>1F44F 1F3FF                                            ; fully-qualified     # 👏🏿 E1.0 clapping hands: dark skin tone</t>
  </si>
  <si>
    <t>1F64C                                                  ; fully-qualified     # 🙌 E0.6 raising hands</t>
  </si>
  <si>
    <t>1F64C 1F3FB                                            ; fully-qualified     # 🙌🏻 E1.0 raising hands: light skin tone</t>
  </si>
  <si>
    <t>1F64C 1F3FC                                            ; fully-qualified     # 🙌🏼 E1.0 raising hands: medium-light skin tone</t>
  </si>
  <si>
    <t>1F64C 1F3FD                                            ; fully-qualified     # 🙌🏽 E1.0 raising hands: medium skin tone</t>
  </si>
  <si>
    <t>1F64C 1F3FE                                            ; fully-qualified     # 🙌🏾 E1.0 raising hands: medium-dark skin tone</t>
  </si>
  <si>
    <t>1F64C 1F3FF                                            ; fully-qualified     # 🙌🏿 E1.0 raising hands: dark skin tone</t>
  </si>
  <si>
    <t>1F450                                                  ; fully-qualified     # 👐 E0.6 open hands</t>
  </si>
  <si>
    <t>1F450 1F3FB                                            ; fully-qualified     # 👐🏻 E1.0 open hands: light skin tone</t>
  </si>
  <si>
    <t>1F450 1F3FC                                            ; fully-qualified     # 👐🏼 E1.0 open hands: medium-light skin tone</t>
  </si>
  <si>
    <t>1F450 1F3FD                                            ; fully-qualified     # 👐🏽 E1.0 open hands: medium skin tone</t>
  </si>
  <si>
    <t>1F450 1F3FE                                            ; fully-qualified     # 👐🏾 E1.0 open hands: medium-dark skin tone</t>
  </si>
  <si>
    <t>1F450 1F3FF                                            ; fully-qualified     # 👐🏿 E1.0 open hands: dark skin tone</t>
  </si>
  <si>
    <t>1F932                                                  ; fully-qualified     # 🤲 E5.0 palms up together</t>
  </si>
  <si>
    <t>1F932 1F3FB                                            ; fully-qualified     # 🤲🏻 E5.0 palms up together: light skin tone</t>
  </si>
  <si>
    <t>1F932 1F3FC                                            ; fully-qualified     # 🤲🏼 E5.0 palms up together: medium-light skin tone</t>
  </si>
  <si>
    <t>1F932 1F3FD                                            ; fully-qualified     # 🤲🏽 E5.0 palms up together: medium skin tone</t>
  </si>
  <si>
    <t>1F932 1F3FE                                            ; fully-qualified     # 🤲🏾 E5.0 palms up together: medium-dark skin tone</t>
  </si>
  <si>
    <t>1F932 1F3FF                                            ; fully-qualified     # 🤲🏿 E5.0 palms up together: dark skin tone</t>
  </si>
  <si>
    <t>1F91D                                                  ; fully-qualified     # 🤝 E3.0 handshake</t>
  </si>
  <si>
    <t>1F64F                                                  ; fully-qualified     # 🙏 E0.6 folded hands</t>
  </si>
  <si>
    <t>1F64F 1F3FB                                            ; fully-qualified     # 🙏🏻 E1.0 folded hands: light skin tone</t>
  </si>
  <si>
    <t>1F64F 1F3FC                                            ; fully-qualified     # 🙏🏼 E1.0 folded hands: medium-light skin tone</t>
  </si>
  <si>
    <t>1F64F 1F3FD                                            ; fully-qualified     # 🙏🏽 E1.0 folded hands: medium skin tone</t>
  </si>
  <si>
    <t>1F64F 1F3FE                                            ; fully-qualified     # 🙏🏾 E1.0 folded hands: medium-dark skin tone</t>
  </si>
  <si>
    <t>1F64F 1F3FF                                            ; fully-qualified     # 🙏🏿 E1.0 folded hands: dark skin tone</t>
  </si>
  <si>
    <t># subgroup: hand-prop</t>
  </si>
  <si>
    <t>270D FE0F                                              ; fully-qualified     # ✍️ E0.7 writing hand</t>
  </si>
  <si>
    <t>270D                                                   ; unqualified         # ✍ E0.7 writing hand</t>
  </si>
  <si>
    <t>270D 1F3FB                                             ; fully-qualified     # ✍🏻 E1.0 writing hand: light skin tone</t>
  </si>
  <si>
    <t>270D 1F3FC                                             ; fully-qualified     # ✍🏼 E1.0 writing hand: medium-light skin tone</t>
  </si>
  <si>
    <t>270D 1F3FD                                             ; fully-qualified     # ✍🏽 E1.0 writing hand: medium skin tone</t>
  </si>
  <si>
    <t>270D 1F3FE                                             ; fully-qualified     # ✍🏾 E1.0 writing hand: medium-dark skin tone</t>
  </si>
  <si>
    <t>270D 1F3FF                                             ; fully-qualified     # ✍🏿 E1.0 writing hand: dark skin tone</t>
  </si>
  <si>
    <t>1F485                                                  ; fully-qualified     # 💅 E0.6 nail polish</t>
  </si>
  <si>
    <t>1F485 1F3FB                                            ; fully-qualified     # 💅🏻 E1.0 nail polish: light skin tone</t>
  </si>
  <si>
    <t>1F485 1F3FC                                            ; fully-qualified     # 💅🏼 E1.0 nail polish: medium-light skin tone</t>
  </si>
  <si>
    <t>1F485 1F3FD                                            ; fully-qualified     # 💅🏽 E1.0 nail polish: medium skin tone</t>
  </si>
  <si>
    <t>1F485 1F3FE                                            ; fully-qualified     # 💅🏾 E1.0 nail polish: medium-dark skin tone</t>
  </si>
  <si>
    <t>1F485 1F3FF                                            ; fully-qualified     # 💅🏿 E1.0 nail polish: dark skin tone</t>
  </si>
  <si>
    <t>1F933                                                  ; fully-qualified     # 🤳 E3.0 selfie</t>
  </si>
  <si>
    <t>1F933 1F3FB                                            ; fully-qualified     # 🤳🏻 E3.0 selfie: light skin tone</t>
  </si>
  <si>
    <t>1F933 1F3FC                                            ; fully-qualified     # 🤳🏼 E3.0 selfie: medium-light skin tone</t>
  </si>
  <si>
    <t>1F933 1F3FD                                            ; fully-qualified     # 🤳🏽 E3.0 selfie: medium skin tone</t>
  </si>
  <si>
    <t>1F933 1F3FE                                            ; fully-qualified     # 🤳🏾 E3.0 selfie: medium-dark skin tone</t>
  </si>
  <si>
    <t>1F933 1F3FF                                            ; fully-qualified     # 🤳🏿 E3.0 selfie: dark skin tone</t>
  </si>
  <si>
    <t># subgroup: body-parts</t>
  </si>
  <si>
    <t>1F4AA                                                  ; fully-qualified     # 💪 E0.6 flexed biceps</t>
  </si>
  <si>
    <t>1F4AA 1F3FB                                            ; fully-qualified     # 💪🏻 E1.0 flexed biceps: light skin tone</t>
  </si>
  <si>
    <t>1F4AA 1F3FC                                            ; fully-qualified     # 💪🏼 E1.0 flexed biceps: medium-light skin tone</t>
  </si>
  <si>
    <t>1F4AA 1F3FD                                            ; fully-qualified     # 💪🏽 E1.0 flexed biceps: medium skin tone</t>
  </si>
  <si>
    <t>1F4AA 1F3FE                                            ; fully-qualified     # 💪🏾 E1.0 flexed biceps: medium-dark skin tone</t>
  </si>
  <si>
    <t>1F4AA 1F3FF                                            ; fully-qualified     # 💪🏿 E1.0 flexed biceps: dark skin tone</t>
  </si>
  <si>
    <t>1F9BE                                                  ; fully-qualified     # 🦾 E12.0 mechanical arm</t>
  </si>
  <si>
    <t>1F9BF                                                  ; fully-qualified     # 🦿 E12.0 mechanical leg</t>
  </si>
  <si>
    <t>1F9B5                                                  ; fully-qualified     # 🦵 E11.0 leg</t>
  </si>
  <si>
    <t>1F9B5 1F3FB                                            ; fully-qualified     # 🦵🏻 E11.0 leg: light skin tone</t>
  </si>
  <si>
    <t>1F9B5 1F3FC                                            ; fully-qualified     # 🦵🏼 E11.0 leg: medium-light skin tone</t>
  </si>
  <si>
    <t>1F9B5 1F3FD                                            ; fully-qualified     # 🦵🏽 E11.0 leg: medium skin tone</t>
  </si>
  <si>
    <t>1F9B5 1F3FE                                            ; fully-qualified     # 🦵🏾 E11.0 leg: medium-dark skin tone</t>
  </si>
  <si>
    <t>1F9B5 1F3FF                                            ; fully-qualified     # 🦵🏿 E11.0 leg: dark skin tone</t>
  </si>
  <si>
    <t>1F9B6                                                  ; fully-qualified     # 🦶 E11.0 foot</t>
  </si>
  <si>
    <t>1F9B6 1F3FB                                            ; fully-qualified     # 🦶🏻 E11.0 foot: light skin tone</t>
  </si>
  <si>
    <t>1F9B6 1F3FC                                            ; fully-qualified     # 🦶🏼 E11.0 foot: medium-light skin tone</t>
  </si>
  <si>
    <t>1F9B6 1F3FD                                            ; fully-qualified     # 🦶🏽 E11.0 foot: medium skin tone</t>
  </si>
  <si>
    <t>1F9B6 1F3FE                                            ; fully-qualified     # 🦶🏾 E11.0 foot: medium-dark skin tone</t>
  </si>
  <si>
    <t>1F9B6 1F3FF                                            ; fully-qualified     # 🦶🏿 E11.0 foot: dark skin tone</t>
  </si>
  <si>
    <t>1F442                                                  ; fully-qualified     # 👂 E0.6 ear</t>
  </si>
  <si>
    <t>1F442 1F3FB                                            ; fully-qualified     # 👂🏻 E1.0 ear: light skin tone</t>
  </si>
  <si>
    <t>1F442 1F3FC                                            ; fully-qualified     # 👂🏼 E1.0 ear: medium-light skin tone</t>
  </si>
  <si>
    <t>1F442 1F3FD                                            ; fully-qualified     # 👂🏽 E1.0 ear: medium skin tone</t>
  </si>
  <si>
    <t>1F442 1F3FE                                            ; fully-qualified     # 👂🏾 E1.0 ear: medium-dark skin tone</t>
  </si>
  <si>
    <t>1F442 1F3FF                                            ; fully-qualified     # 👂🏿 E1.0 ear: dark skin tone</t>
  </si>
  <si>
    <t>1F9BB                                                  ; fully-qualified     # 🦻 E12.0 ear with hearing aid</t>
  </si>
  <si>
    <t>1F9BB 1F3FB                                            ; fully-qualified     # 🦻🏻 E12.0 ear with hearing aid: light skin tone</t>
  </si>
  <si>
    <t>1F9BB 1F3FC                                            ; fully-qualified     # 🦻🏼 E12.0 ear with hearing aid: medium-light skin tone</t>
  </si>
  <si>
    <t>1F9BB 1F3FD                                            ; fully-qualified     # 🦻🏽 E12.0 ear with hearing aid: medium skin tone</t>
  </si>
  <si>
    <t>1F9BB 1F3FE                                            ; fully-qualified     # 🦻🏾 E12.0 ear with hearing aid: medium-dark skin tone</t>
  </si>
  <si>
    <t>1F9BB 1F3FF                                            ; fully-qualified     # 🦻🏿 E12.0 ear with hearing aid: dark skin tone</t>
  </si>
  <si>
    <t>1F443                                                  ; fully-qualified     # 👃 E0.6 nose</t>
  </si>
  <si>
    <t>1F443 1F3FB                                            ; fully-qualified     # 👃🏻 E1.0 nose: light skin tone</t>
  </si>
  <si>
    <t>1F443 1F3FC                                            ; fully-qualified     # 👃🏼 E1.0 nose: medium-light skin tone</t>
  </si>
  <si>
    <t>1F443 1F3FD                                            ; fully-qualified     # 👃🏽 E1.0 nose: medium skin tone</t>
  </si>
  <si>
    <t>1F443 1F3FE                                            ; fully-qualified     # 👃🏾 E1.0 nose: medium-dark skin tone</t>
  </si>
  <si>
    <t>1F443 1F3FF                                            ; fully-qualified     # 👃🏿 E1.0 nose: dark skin tone</t>
  </si>
  <si>
    <t>1F9E0                                                  ; fully-qualified     # 🧠 E5.0 brain</t>
  </si>
  <si>
    <t>1FAC0                                                  ; fully-qualified     # 🫀 E13.0 anatomical heart</t>
  </si>
  <si>
    <t>1FAC1                                                  ; fully-qualified     # 🫁 E13.0 lungs</t>
  </si>
  <si>
    <t>1F9B7                                                  ; fully-qualified     # 🦷 E11.0 tooth</t>
  </si>
  <si>
    <t>1F9B4                                                  ; fully-qualified     # 🦴 E11.0 bone</t>
  </si>
  <si>
    <t>1F440                                                  ; fully-qualified     # 👀 E0.6 eyes</t>
  </si>
  <si>
    <t>1F441 FE0F                                             ; fully-qualified     # 👁️ E0.7 eye</t>
  </si>
  <si>
    <t>1F441                                                  ; unqualified         # 👁 E0.7 eye</t>
  </si>
  <si>
    <t>1F445                                                  ; fully-qualified     # 👅 E0.6 tongue</t>
  </si>
  <si>
    <t>1F444                                                  ; fully-qualified     # 👄 E0.6 mouth</t>
  </si>
  <si>
    <t># subgroup: person</t>
  </si>
  <si>
    <t>1F476                                                  ; fully-qualified     # 👶 E0.6 baby</t>
  </si>
  <si>
    <t>1F476 1F3FB                                            ; fully-qualified     # 👶🏻 E1.0 baby: light skin tone</t>
  </si>
  <si>
    <t>1F476 1F3FC                                            ; fully-qualified     # 👶🏼 E1.0 baby: medium-light skin tone</t>
  </si>
  <si>
    <t>1F476 1F3FD                                            ; fully-qualified     # 👶🏽 E1.0 baby: medium skin tone</t>
  </si>
  <si>
    <t>1F476 1F3FE                                            ; fully-qualified     # 👶🏾 E1.0 baby: medium-dark skin tone</t>
  </si>
  <si>
    <t>1F476 1F3FF                                            ; fully-qualified     # 👶🏿 E1.0 baby: dark skin tone</t>
  </si>
  <si>
    <t>1F9D2                                                  ; fully-qualified     # 🧒 E5.0 child</t>
  </si>
  <si>
    <t>1F9D2 1F3FB                                            ; fully-qualified     # 🧒🏻 E5.0 child: light skin tone</t>
  </si>
  <si>
    <t>1F9D2 1F3FC                                            ; fully-qualified     # 🧒🏼 E5.0 child: medium-light skin tone</t>
  </si>
  <si>
    <t>1F9D2 1F3FD                                            ; fully-qualified     # 🧒🏽 E5.0 child: medium skin tone</t>
  </si>
  <si>
    <t>1F9D2 1F3FE                                            ; fully-qualified     # 🧒🏾 E5.0 child: medium-dark skin tone</t>
  </si>
  <si>
    <t>1F9D2 1F3FF                                            ; fully-qualified     # 🧒🏿 E5.0 child: dark skin tone</t>
  </si>
  <si>
    <t>1F466                                                  ; fully-qualified     # 👦 E0.6 boy</t>
  </si>
  <si>
    <t>1F466 1F3FB                                            ; fully-qualified     # 👦🏻 E1.0 boy: light skin tone</t>
  </si>
  <si>
    <t>1F466 1F3FC                                            ; fully-qualified     # 👦🏼 E1.0 boy: medium-light skin tone</t>
  </si>
  <si>
    <t>1F466 1F3FD                                            ; fully-qualified     # 👦🏽 E1.0 boy: medium skin tone</t>
  </si>
  <si>
    <t>1F466 1F3FE                                            ; fully-qualified     # 👦🏾 E1.0 boy: medium-dark skin tone</t>
  </si>
  <si>
    <t>1F466 1F3FF                                            ; fully-qualified     # 👦🏿 E1.0 boy: dark skin tone</t>
  </si>
  <si>
    <t>1F467                                                  ; fully-qualified     # 👧 E0.6 girl</t>
  </si>
  <si>
    <t>1F467 1F3FB                                            ; fully-qualified     # 👧🏻 E1.0 girl: light skin tone</t>
  </si>
  <si>
    <t>1F467 1F3FC                                            ; fully-qualified     # 👧🏼 E1.0 girl: medium-light skin tone</t>
  </si>
  <si>
    <t>1F467 1F3FD                                            ; fully-qualified     # 👧🏽 E1.0 girl: medium skin tone</t>
  </si>
  <si>
    <t>1F467 1F3FE                                            ; fully-qualified     # 👧🏾 E1.0 girl: medium-dark skin tone</t>
  </si>
  <si>
    <t>1F467 1F3FF                                            ; fully-qualified     # 👧🏿 E1.0 girl: dark skin tone</t>
  </si>
  <si>
    <t>1F9D1                                                  ; fully-qualified     # 🧑 E5.0 person</t>
  </si>
  <si>
    <t>1F9D1 1F3FB                                            ; fully-qualified     # 🧑🏻 E5.0 person: light skin tone</t>
  </si>
  <si>
    <t>1F9D1 1F3FC                                            ; fully-qualified     # 🧑🏼 E5.0 person: medium-light skin tone</t>
  </si>
  <si>
    <t>1F9D1 1F3FD                                            ; fully-qualified     # 🧑🏽 E5.0 person: medium skin tone</t>
  </si>
  <si>
    <t>1F9D1 1F3FE                                            ; fully-qualified     # 🧑🏾 E5.0 person: medium-dark skin tone</t>
  </si>
  <si>
    <t>1F9D1 1F3FF                                            ; fully-qualified     # 🧑🏿 E5.0 person: dark skin tone</t>
  </si>
  <si>
    <t>1F471                                                  ; fully-qualified     # 👱 E0.6 person: blond hair</t>
  </si>
  <si>
    <t>1F471 1F3FB                                            ; fully-qualified     # 👱🏻 E1.0 person: light skin tone, blond hair</t>
  </si>
  <si>
    <t>1F471 1F3FC                                            ; fully-qualified     # 👱🏼 E1.0 person: medium-light skin tone, blond hair</t>
  </si>
  <si>
    <t>1F471 1F3FD                                            ; fully-qualified     # 👱🏽 E1.0 person: medium skin tone, blond hair</t>
  </si>
  <si>
    <t>1F471 1F3FE                                            ; fully-qualified     # 👱🏾 E1.0 person: medium-dark skin tone, blond hair</t>
  </si>
  <si>
    <t>1F471 1F3FF                                            ; fully-qualified     # 👱🏿 E1.0 person: dark skin tone, blond hair</t>
  </si>
  <si>
    <t>1F468                                                  ; fully-qualified     # 👨 E0.6 man</t>
  </si>
  <si>
    <t>1F468 1F3FB                                            ; fully-qualified     # 👨🏻 E1.0 man: light skin tone</t>
  </si>
  <si>
    <t>1F468 1F3FC                                            ; fully-qualified     # 👨🏼 E1.0 man: medium-light skin tone</t>
  </si>
  <si>
    <t>1F468 1F3FD                                            ; fully-qualified     # 👨🏽 E1.0 man: medium skin tone</t>
  </si>
  <si>
    <t>1F468 1F3FE                                            ; fully-qualified     # 👨🏾 E1.0 man: medium-dark skin tone</t>
  </si>
  <si>
    <t>1F468 1F3FF                                            ; fully-qualified     # 👨🏿 E1.0 man: dark skin tone</t>
  </si>
  <si>
    <t>1F9D4                                                  ; fully-qualified     # 🧔 E5.0 person: beard</t>
  </si>
  <si>
    <t>1F9D4 1F3FB                                            ; fully-qualified     # 🧔🏻 E5.0 person: light skin tone, beard</t>
  </si>
  <si>
    <t>1F9D4 1F3FC                                            ; fully-qualified     # 🧔🏼 E5.0 person: medium-light skin tone, beard</t>
  </si>
  <si>
    <t>1F9D4 1F3FD                                            ; fully-qualified     # 🧔🏽 E5.0 person: medium skin tone, beard</t>
  </si>
  <si>
    <t>1F9D4 1F3FE                                            ; fully-qualified     # 🧔🏾 E5.0 person: medium-dark skin tone, beard</t>
  </si>
  <si>
    <t>1F9D4 1F3FF                                            ; fully-qualified     # 🧔🏿 E5.0 person: dark skin tone, beard</t>
  </si>
  <si>
    <t>1F9D4 200D 2642 FE0F                                   ; fully-qualified     # 🧔‍♂️ E13.1 man: beard</t>
  </si>
  <si>
    <t>1F9D4 200D 2642                                        ; minimally-qualified # 🧔‍♂ E13.1 man: beard</t>
  </si>
  <si>
    <t>1F9D4 1F3FB 200D 2642 FE0F                             ; fully-qualified     # 🧔🏻‍♂️ E13.1 man: light skin tone, beard</t>
  </si>
  <si>
    <t>1F9D4 1F3FB 200D 2642                                  ; minimally-qualified # 🧔🏻‍♂ E13.1 man: light skin tone, beard</t>
  </si>
  <si>
    <t>1F9D4 1F3FC 200D 2642 FE0F                             ; fully-qualified     # 🧔🏼‍♂️ E13.1 man: medium-light skin tone, beard</t>
  </si>
  <si>
    <t>1F9D4 1F3FC 200D 2642                                  ; minimally-qualified # 🧔🏼‍♂ E13.1 man: medium-light skin tone, beard</t>
  </si>
  <si>
    <t>1F9D4 1F3FD 200D 2642 FE0F                             ; fully-qualified     # 🧔🏽‍♂️ E13.1 man: medium skin tone, beard</t>
  </si>
  <si>
    <t>1F9D4 1F3FD 200D 2642                                  ; minimally-qualified # 🧔🏽‍♂ E13.1 man: medium skin tone, beard</t>
  </si>
  <si>
    <t>1F9D4 1F3FE 200D 2642 FE0F                             ; fully-qualified     # 🧔🏾‍♂️ E13.1 man: medium-dark skin tone, beard</t>
  </si>
  <si>
    <t>1F9D4 1F3FE 200D 2642                                  ; minimally-qualified # 🧔🏾‍♂ E13.1 man: medium-dark skin tone, beard</t>
  </si>
  <si>
    <t>1F9D4 1F3FF 200D 2642 FE0F                             ; fully-qualified     # 🧔🏿‍♂️ E13.1 man: dark skin tone, beard</t>
  </si>
  <si>
    <t>1F9D4 1F3FF 200D 2642                                  ; minimally-qualified # 🧔🏿‍♂ E13.1 man: dark skin tone, beard</t>
  </si>
  <si>
    <t>1F9D4 200D 2640 FE0F                                   ; fully-qualified     # 🧔‍♀️ E13.1 woman: beard</t>
  </si>
  <si>
    <t>1F9D4 200D 2640                                        ; minimally-qualified # 🧔‍♀ E13.1 woman: beard</t>
  </si>
  <si>
    <t>1F9D4 1F3FB 200D 2640 FE0F                             ; fully-qualified     # 🧔🏻‍♀️ E13.1 woman: light skin tone, beard</t>
  </si>
  <si>
    <t>1F9D4 1F3FB 200D 2640                                  ; minimally-qualified # 🧔🏻‍♀ E13.1 woman: light skin tone, beard</t>
  </si>
  <si>
    <t>1F9D4 1F3FC 200D 2640 FE0F                             ; fully-qualified     # 🧔🏼‍♀️ E13.1 woman: medium-light skin tone, beard</t>
  </si>
  <si>
    <t>1F9D4 1F3FC 200D 2640                                  ; minimally-qualified # 🧔🏼‍♀ E13.1 woman: medium-light skin tone, beard</t>
  </si>
  <si>
    <t>1F9D4 1F3FD 200D 2640 FE0F                             ; fully-qualified     # 🧔🏽‍♀️ E13.1 woman: medium skin tone, beard</t>
  </si>
  <si>
    <t>1F9D4 1F3FD 200D 2640                                  ; minimally-qualified # 🧔🏽‍♀ E13.1 woman: medium skin tone, beard</t>
  </si>
  <si>
    <t>1F9D4 1F3FE 200D 2640 FE0F                             ; fully-qualified     # 🧔🏾‍♀️ E13.1 woman: medium-dark skin tone, beard</t>
  </si>
  <si>
    <t>1F9D4 1F3FE 200D 2640                                  ; minimally-qualified # 🧔🏾‍♀ E13.1 woman: medium-dark skin tone, beard</t>
  </si>
  <si>
    <t>1F9D4 1F3FF 200D 2640 FE0F                             ; fully-qualified     # 🧔🏿‍♀️ E13.1 woman: dark skin tone, beard</t>
  </si>
  <si>
    <t>1F9D4 1F3FF 200D 2640                                  ; minimally-qualified # 🧔🏿‍♀ E13.1 woman: dark skin tone, beard</t>
  </si>
  <si>
    <t>1F468 200D 1F9B0                                       ; fully-qualified     # 👨‍🦰 E11.0 man: red hair</t>
  </si>
  <si>
    <t>1F468 1F3FB 200D 1F9B0                                 ; fully-qualified     # 👨🏻‍🦰 E11.0 man: light skin tone, red hair</t>
  </si>
  <si>
    <t>1F468 1F3FC 200D 1F9B0                                 ; fully-qualified     # 👨🏼‍🦰 E11.0 man: medium-light skin tone, red hair</t>
  </si>
  <si>
    <t>1F468 1F3FD 200D 1F9B0                                 ; fully-qualified     # 👨🏽‍🦰 E11.0 man: medium skin tone, red hair</t>
  </si>
  <si>
    <t>1F468 1F3FE 200D 1F9B0                                 ; fully-qualified     # 👨🏾‍🦰 E11.0 man: medium-dark skin tone, red hair</t>
  </si>
  <si>
    <t>1F468 1F3FF 200D 1F9B0                                 ; fully-qualified     # 👨🏿‍🦰 E11.0 man: dark skin tone, red hair</t>
  </si>
  <si>
    <t>1F468 200D 1F9B1                                       ; fully-qualified     # 👨‍🦱 E11.0 man: curly hair</t>
  </si>
  <si>
    <t>1F468 1F3FB 200D 1F9B1                                 ; fully-qualified     # 👨🏻‍🦱 E11.0 man: light skin tone, curly hair</t>
  </si>
  <si>
    <t>1F468 1F3FC 200D 1F9B1                                 ; fully-qualified     # 👨🏼‍🦱 E11.0 man: medium-light skin tone, curly hair</t>
  </si>
  <si>
    <t>1F468 1F3FD 200D 1F9B1                                 ; fully-qualified     # 👨🏽‍🦱 E11.0 man: medium skin tone, curly hair</t>
  </si>
  <si>
    <t>1F468 1F3FE 200D 1F9B1                                 ; fully-qualified     # 👨🏾‍🦱 E11.0 man: medium-dark skin tone, curly hair</t>
  </si>
  <si>
    <t>1F468 1F3FF 200D 1F9B1                                 ; fully-qualified     # 👨🏿‍🦱 E11.0 man: dark skin tone, curly hair</t>
  </si>
  <si>
    <t>1F468 200D 1F9B3                                       ; fully-qualified     # 👨‍🦳 E11.0 man: white hair</t>
  </si>
  <si>
    <t>1F468 1F3FB 200D 1F9B3                                 ; fully-qualified     # 👨🏻‍🦳 E11.0 man: light skin tone, white hair</t>
  </si>
  <si>
    <t>1F468 1F3FC 200D 1F9B3                                 ; fully-qualified     # 👨🏼‍🦳 E11.0 man: medium-light skin tone, white hair</t>
  </si>
  <si>
    <t>1F468 1F3FD 200D 1F9B3                                 ; fully-qualified     # 👨🏽‍🦳 E11.0 man: medium skin tone, white hair</t>
  </si>
  <si>
    <t>1F468 1F3FE 200D 1F9B3                                 ; fully-qualified     # 👨🏾‍🦳 E11.0 man: medium-dark skin tone, white hair</t>
  </si>
  <si>
    <t>1F468 1F3FF 200D 1F9B3                                 ; fully-qualified     # 👨🏿‍🦳 E11.0 man: dark skin tone, white hair</t>
  </si>
  <si>
    <t>1F468 200D 1F9B2                                       ; fully-qualified     # 👨‍🦲 E11.0 man: bald</t>
  </si>
  <si>
    <t>1F468 1F3FB 200D 1F9B2                                 ; fully-qualified     # 👨🏻‍🦲 E11.0 man: light skin tone, bald</t>
  </si>
  <si>
    <t>1F468 1F3FC 200D 1F9B2                                 ; fully-qualified     # 👨🏼‍🦲 E11.0 man: medium-light skin tone, bald</t>
  </si>
  <si>
    <t>1F468 1F3FD 200D 1F9B2                                 ; fully-qualified     # 👨🏽‍🦲 E11.0 man: medium skin tone, bald</t>
  </si>
  <si>
    <t>1F468 1F3FE 200D 1F9B2                                 ; fully-qualified     # 👨🏾‍🦲 E11.0 man: medium-dark skin tone, bald</t>
  </si>
  <si>
    <t>1F468 1F3FF 200D 1F9B2                                 ; fully-qualified     # 👨🏿‍🦲 E11.0 man: dark skin tone, bald</t>
  </si>
  <si>
    <t>1F469                                                  ; fully-qualified     # 👩 E0.6 woman</t>
  </si>
  <si>
    <t>1F469 1F3FB                                            ; fully-qualified     # 👩🏻 E1.0 woman: light skin tone</t>
  </si>
  <si>
    <t>1F469 1F3FC                                            ; fully-qualified     # 👩🏼 E1.0 woman: medium-light skin tone</t>
  </si>
  <si>
    <t>1F469 1F3FD                                            ; fully-qualified     # 👩🏽 E1.0 woman: medium skin tone</t>
  </si>
  <si>
    <t>1F469 1F3FE                                            ; fully-qualified     # 👩🏾 E1.0 woman: medium-dark skin tone</t>
  </si>
  <si>
    <t>1F469 1F3FF                                            ; fully-qualified     # 👩🏿 E1.0 woman: dark skin tone</t>
  </si>
  <si>
    <t>1F469 200D 1F9B0                                       ; fully-qualified     # 👩‍🦰 E11.0 woman: red hair</t>
  </si>
  <si>
    <t>1F469 1F3FB 200D 1F9B0                                 ; fully-qualified     # 👩🏻‍🦰 E11.0 woman: light skin tone, red hair</t>
  </si>
  <si>
    <t>1F469 1F3FC 200D 1F9B0                                 ; fully-qualified     # 👩🏼‍🦰 E11.0 woman: medium-light skin tone, red hair</t>
  </si>
  <si>
    <t>1F469 1F3FD 200D 1F9B0                                 ; fully-qualified     # 👩🏽‍🦰 E11.0 woman: medium skin tone, red hair</t>
  </si>
  <si>
    <t>1F469 1F3FE 200D 1F9B0                                 ; fully-qualified     # 👩🏾‍🦰 E11.0 woman: medium-dark skin tone, red hair</t>
  </si>
  <si>
    <t>1F469 1F3FF 200D 1F9B0                                 ; fully-qualified     # 👩🏿‍🦰 E11.0 woman: dark skin tone, red hair</t>
  </si>
  <si>
    <t>1F9D1 200D 1F9B0                                       ; fully-qualified     # 🧑‍🦰 E12.1 person: red hair</t>
  </si>
  <si>
    <t>1F9D1 1F3FB 200D 1F9B0                                 ; fully-qualified     # 🧑🏻‍🦰 E12.1 person: light skin tone, red hair</t>
  </si>
  <si>
    <t>1F9D1 1F3FC 200D 1F9B0                                 ; fully-qualified     # 🧑🏼‍🦰 E12.1 person: medium-light skin tone, red hair</t>
  </si>
  <si>
    <t>1F9D1 1F3FD 200D 1F9B0                                 ; fully-qualified     # 🧑🏽‍🦰 E12.1 person: medium skin tone, red hair</t>
  </si>
  <si>
    <t>1F9D1 1F3FE 200D 1F9B0                                 ; fully-qualified     # 🧑🏾‍🦰 E12.1 person: medium-dark skin tone, red hair</t>
  </si>
  <si>
    <t>1F9D1 1F3FF 200D 1F9B0                                 ; fully-qualified     # 🧑🏿‍🦰 E12.1 person: dark skin tone, red hair</t>
  </si>
  <si>
    <t>1F469 200D 1F9B1                                       ; fully-qualified     # 👩‍🦱 E11.0 woman: curly hair</t>
  </si>
  <si>
    <t>1F469 1F3FB 200D 1F9B1                                 ; fully-qualified     # 👩🏻‍🦱 E11.0 woman: light skin tone, curly hair</t>
  </si>
  <si>
    <t>1F469 1F3FC 200D 1F9B1                                 ; fully-qualified     # 👩🏼‍🦱 E11.0 woman: medium-light skin tone, curly hair</t>
  </si>
  <si>
    <t>1F469 1F3FD 200D 1F9B1                                 ; fully-qualified     # 👩🏽‍🦱 E11.0 woman: medium skin tone, curly hair</t>
  </si>
  <si>
    <t>1F469 1F3FE 200D 1F9B1                                 ; fully-qualified     # 👩🏾‍🦱 E11.0 woman: medium-dark skin tone, curly hair</t>
  </si>
  <si>
    <t>1F469 1F3FF 200D 1F9B1                                 ; fully-qualified     # 👩🏿‍🦱 E11.0 woman: dark skin tone, curly hair</t>
  </si>
  <si>
    <t>1F9D1 200D 1F9B1                                       ; fully-qualified     # 🧑‍🦱 E12.1 person: curly hair</t>
  </si>
  <si>
    <t>1F9D1 1F3FB 200D 1F9B1                                 ; fully-qualified     # 🧑🏻‍🦱 E12.1 person: light skin tone, curly hair</t>
  </si>
  <si>
    <t>1F9D1 1F3FC 200D 1F9B1                                 ; fully-qualified     # 🧑🏼‍🦱 E12.1 person: medium-light skin tone, curly hair</t>
  </si>
  <si>
    <t>1F9D1 1F3FD 200D 1F9B1                                 ; fully-qualified     # 🧑🏽‍🦱 E12.1 person: medium skin tone, curly hair</t>
  </si>
  <si>
    <t>1F9D1 1F3FE 200D 1F9B1                                 ; fully-qualified     # 🧑🏾‍🦱 E12.1 person: medium-dark skin tone, curly hair</t>
  </si>
  <si>
    <t>1F9D1 1F3FF 200D 1F9B1                                 ; fully-qualified     # 🧑🏿‍🦱 E12.1 person: dark skin tone, curly hair</t>
  </si>
  <si>
    <t>1F469 200D 1F9B3                                       ; fully-qualified     # 👩‍🦳 E11.0 woman: white hair</t>
  </si>
  <si>
    <t>1F469 1F3FB 200D 1F9B3                                 ; fully-qualified     # 👩🏻‍🦳 E11.0 woman: light skin tone, white hair</t>
  </si>
  <si>
    <t>1F469 1F3FC 200D 1F9B3                                 ; fully-qualified     # 👩🏼‍🦳 E11.0 woman: medium-light skin tone, white hair</t>
  </si>
  <si>
    <t>1F469 1F3FD 200D 1F9B3                                 ; fully-qualified     # 👩🏽‍🦳 E11.0 woman: medium skin tone, white hair</t>
  </si>
  <si>
    <t>1F469 1F3FE 200D 1F9B3                                 ; fully-qualified     # 👩🏾‍🦳 E11.0 woman: medium-dark skin tone, white hair</t>
  </si>
  <si>
    <t>1F469 1F3FF 200D 1F9B3                                 ; fully-qualified     # 👩🏿‍🦳 E11.0 woman: dark skin tone, white hair</t>
  </si>
  <si>
    <t>1F9D1 200D 1F9B3                                       ; fully-qualified     # 🧑‍🦳 E12.1 person: white hair</t>
  </si>
  <si>
    <t>1F9D1 1F3FB 200D 1F9B3                                 ; fully-qualified     # 🧑🏻‍🦳 E12.1 person: light skin tone, white hair</t>
  </si>
  <si>
    <t>1F9D1 1F3FC 200D 1F9B3                                 ; fully-qualified     # 🧑🏼‍🦳 E12.1 person: medium-light skin tone, white hair</t>
  </si>
  <si>
    <t>1F9D1 1F3FD 200D 1F9B3                                 ; fully-qualified     # 🧑🏽‍🦳 E12.1 person: medium skin tone, white hair</t>
  </si>
  <si>
    <t>1F9D1 1F3FE 200D 1F9B3                                 ; fully-qualified     # 🧑🏾‍🦳 E12.1 person: medium-dark skin tone, white hair</t>
  </si>
  <si>
    <t>1F9D1 1F3FF 200D 1F9B3                                 ; fully-qualified     # 🧑🏿‍🦳 E12.1 person: dark skin tone, white hair</t>
  </si>
  <si>
    <t>1F469 200D 1F9B2                                       ; fully-qualified     # 👩‍🦲 E11.0 woman: bald</t>
  </si>
  <si>
    <t>1F469 1F3FB 200D 1F9B2                                 ; fully-qualified     # 👩🏻‍🦲 E11.0 woman: light skin tone, bald</t>
  </si>
  <si>
    <t>1F469 1F3FC 200D 1F9B2                                 ; fully-qualified     # 👩🏼‍🦲 E11.0 woman: medium-light skin tone, bald</t>
  </si>
  <si>
    <t>1F469 1F3FD 200D 1F9B2                                 ; fully-qualified     # 👩🏽‍🦲 E11.0 woman: medium skin tone, bald</t>
  </si>
  <si>
    <t>1F469 1F3FE 200D 1F9B2                                 ; fully-qualified     # 👩🏾‍🦲 E11.0 woman: medium-dark skin tone, bald</t>
  </si>
  <si>
    <t>1F469 1F3FF 200D 1F9B2                                 ; fully-qualified     # 👩🏿‍🦲 E11.0 woman: dark skin tone, bald</t>
  </si>
  <si>
    <t>1F9D1 200D 1F9B2                                       ; fully-qualified     # 🧑‍🦲 E12.1 person: bald</t>
  </si>
  <si>
    <t>1F9D1 1F3FB 200D 1F9B2                                 ; fully-qualified     # 🧑🏻‍🦲 E12.1 person: light skin tone, bald</t>
  </si>
  <si>
    <t>1F9D1 1F3FC 200D 1F9B2                                 ; fully-qualified     # 🧑🏼‍🦲 E12.1 person: medium-light skin tone, bald</t>
  </si>
  <si>
    <t>1F9D1 1F3FD 200D 1F9B2                                 ; fully-qualified     # 🧑🏽‍🦲 E12.1 person: medium skin tone, bald</t>
  </si>
  <si>
    <t>1F9D1 1F3FE 200D 1F9B2                                 ; fully-qualified     # 🧑🏾‍🦲 E12.1 person: medium-dark skin tone, bald</t>
  </si>
  <si>
    <t>1F9D1 1F3FF 200D 1F9B2                                 ; fully-qualified     # 🧑🏿‍🦲 E12.1 person: dark skin tone, bald</t>
  </si>
  <si>
    <t>1F471 200D 2640 FE0F                                   ; fully-qualified     # 👱‍♀️ E4.0 woman: blond hair</t>
  </si>
  <si>
    <t>1F471 200D 2640                                        ; minimally-qualified # 👱‍♀ E4.0 woman: blond hair</t>
  </si>
  <si>
    <t>1F471 1F3FB 200D 2640 FE0F                             ; fully-qualified     # 👱🏻‍♀️ E4.0 woman: light skin tone, blond hair</t>
  </si>
  <si>
    <t>1F471 1F3FB 200D 2640                                  ; minimally-qualified # 👱🏻‍♀ E4.0 woman: light skin tone, blond hair</t>
  </si>
  <si>
    <t>1F471 1F3FC 200D 2640 FE0F                             ; fully-qualified     # 👱🏼‍♀️ E4.0 woman: medium-light skin tone, blond hair</t>
  </si>
  <si>
    <t>1F471 1F3FC 200D 2640                                  ; minimally-qualified # 👱🏼‍♀ E4.0 woman: medium-light skin tone, blond hair</t>
  </si>
  <si>
    <t>1F471 1F3FD 200D 2640 FE0F                             ; fully-qualified     # 👱🏽‍♀️ E4.0 woman: medium skin tone, blond hair</t>
  </si>
  <si>
    <t>1F471 1F3FD 200D 2640                                  ; minimally-qualified # 👱🏽‍♀ E4.0 woman: medium skin tone, blond hair</t>
  </si>
  <si>
    <t>1F471 1F3FE 200D 2640 FE0F                             ; fully-qualified     # 👱🏾‍♀️ E4.0 woman: medium-dark skin tone, blond hair</t>
  </si>
  <si>
    <t>1F471 1F3FE 200D 2640                                  ; minimally-qualified # 👱🏾‍♀ E4.0 woman: medium-dark skin tone, blond hair</t>
  </si>
  <si>
    <t>1F471 1F3FF 200D 2640 FE0F                             ; fully-qualified     # 👱🏿‍♀️ E4.0 woman: dark skin tone, blond hair</t>
  </si>
  <si>
    <t>1F471 1F3FF 200D 2640                                  ; minimally-qualified # 👱🏿‍♀ E4.0 woman: dark skin tone, blond hair</t>
  </si>
  <si>
    <t>1F471 200D 2642 FE0F                                   ; fully-qualified     # 👱‍♂️ E4.0 man: blond hair</t>
  </si>
  <si>
    <t>1F471 200D 2642                                        ; minimally-qualified # 👱‍♂ E4.0 man: blond hair</t>
  </si>
  <si>
    <t>1F471 1F3FB 200D 2642 FE0F                             ; fully-qualified     # 👱🏻‍♂️ E4.0 man: light skin tone, blond hair</t>
  </si>
  <si>
    <t>1F471 1F3FB 200D 2642                                  ; minimally-qualified # 👱🏻‍♂ E4.0 man: light skin tone, blond hair</t>
  </si>
  <si>
    <t>1F471 1F3FC 200D 2642 FE0F                             ; fully-qualified     # 👱🏼‍♂️ E4.0 man: medium-light skin tone, blond hair</t>
  </si>
  <si>
    <t>1F471 1F3FC 200D 2642                                  ; minimally-qualified # 👱🏼‍♂ E4.0 man: medium-light skin tone, blond hair</t>
  </si>
  <si>
    <t>1F471 1F3FD 200D 2642 FE0F                             ; fully-qualified     # 👱🏽‍♂️ E4.0 man: medium skin tone, blond hair</t>
  </si>
  <si>
    <t>1F471 1F3FD 200D 2642                                  ; minimally-qualified # 👱🏽‍♂ E4.0 man: medium skin tone, blond hair</t>
  </si>
  <si>
    <t>1F471 1F3FE 200D 2642 FE0F                             ; fully-qualified     # 👱🏾‍♂️ E4.0 man: medium-dark skin tone, blond hair</t>
  </si>
  <si>
    <t>1F471 1F3FE 200D 2642                                  ; minimally-qualified # 👱🏾‍♂ E4.0 man: medium-dark skin tone, blond hair</t>
  </si>
  <si>
    <t>1F471 1F3FF 200D 2642 FE0F                             ; fully-qualified     # 👱🏿‍♂️ E4.0 man: dark skin tone, blond hair</t>
  </si>
  <si>
    <t>1F471 1F3FF 200D 2642                                  ; minimally-qualified # 👱🏿‍♂ E4.0 man: dark skin tone, blond hair</t>
  </si>
  <si>
    <t>1F9D3                                                  ; fully-qualified     # 🧓 E5.0 older person</t>
  </si>
  <si>
    <t>1F9D3 1F3FB                                            ; fully-qualified     # 🧓🏻 E5.0 older person: light skin tone</t>
  </si>
  <si>
    <t>1F9D3 1F3FC                                            ; fully-qualified     # 🧓🏼 E5.0 older person: medium-light skin tone</t>
  </si>
  <si>
    <t>1F9D3 1F3FD                                            ; fully-qualified     # 🧓🏽 E5.0 older person: medium skin tone</t>
  </si>
  <si>
    <t>1F9D3 1F3FE                                            ; fully-qualified     # 🧓🏾 E5.0 older person: medium-dark skin tone</t>
  </si>
  <si>
    <t>1F9D3 1F3FF                                            ; fully-qualified     # 🧓🏿 E5.0 older person: dark skin tone</t>
  </si>
  <si>
    <t>1F474                                                  ; fully-qualified     # 👴 E0.6 old man</t>
  </si>
  <si>
    <t>1F474 1F3FB                                            ; fully-qualified     # 👴🏻 E1.0 old man: light skin tone</t>
  </si>
  <si>
    <t>1F474 1F3FC                                            ; fully-qualified     # 👴🏼 E1.0 old man: medium-light skin tone</t>
  </si>
  <si>
    <t>1F474 1F3FD                                            ; fully-qualified     # 👴🏽 E1.0 old man: medium skin tone</t>
  </si>
  <si>
    <t>1F474 1F3FE                                            ; fully-qualified     # 👴🏾 E1.0 old man: medium-dark skin tone</t>
  </si>
  <si>
    <t>1F474 1F3FF                                            ; fully-qualified     # 👴🏿 E1.0 old man: dark skin tone</t>
  </si>
  <si>
    <t>1F475                                                  ; fully-qualified     # 👵 E0.6 old woman</t>
  </si>
  <si>
    <t>1F475 1F3FB                                            ; fully-qualified     # 👵🏻 E1.0 old woman: light skin tone</t>
  </si>
  <si>
    <t>1F475 1F3FC                                            ; fully-qualified     # 👵🏼 E1.0 old woman: medium-light skin tone</t>
  </si>
  <si>
    <t>1F475 1F3FD                                            ; fully-qualified     # 👵🏽 E1.0 old woman: medium skin tone</t>
  </si>
  <si>
    <t>1F475 1F3FE                                            ; fully-qualified     # 👵🏾 E1.0 old woman: medium-dark skin tone</t>
  </si>
  <si>
    <t>1F475 1F3FF                                            ; fully-qualified     # 👵🏿 E1.0 old woman: dark skin tone</t>
  </si>
  <si>
    <t># subgroup: person-gesture</t>
  </si>
  <si>
    <t>1F64D                                                  ; fully-qualified     # 🙍 E0.6 person frowning</t>
  </si>
  <si>
    <t>1F64D 1F3FB                                            ; fully-qualified     # 🙍🏻 E1.0 person frowning: light skin tone</t>
  </si>
  <si>
    <t>1F64D 1F3FC                                            ; fully-qualified     # 🙍🏼 E1.0 person frowning: medium-light skin tone</t>
  </si>
  <si>
    <t>1F64D 1F3FD                                            ; fully-qualified     # 🙍🏽 E1.0 person frowning: medium skin tone</t>
  </si>
  <si>
    <t>1F64D 1F3FE                                            ; fully-qualified     # 🙍🏾 E1.0 person frowning: medium-dark skin tone</t>
  </si>
  <si>
    <t>1F64D 1F3FF                                            ; fully-qualified     # 🙍🏿 E1.0 person frowning: dark skin tone</t>
  </si>
  <si>
    <t>1F64D 200D 2642 FE0F                                   ; fully-qualified     # 🙍‍♂️ E4.0 man frowning</t>
  </si>
  <si>
    <t>1F64D 200D 2642                                        ; minimally-qualified # 🙍‍♂ E4.0 man frowning</t>
  </si>
  <si>
    <t>1F64D 1F3FB 200D 2642 FE0F                             ; fully-qualified     # 🙍🏻‍♂️ E4.0 man frowning: light skin tone</t>
  </si>
  <si>
    <t>1F64D 1F3FB 200D 2642                                  ; minimally-qualified # 🙍🏻‍♂ E4.0 man frowning: light skin tone</t>
  </si>
  <si>
    <t>1F64D 1F3FC 200D 2642 FE0F                             ; fully-qualified     # 🙍🏼‍♂️ E4.0 man frowning: medium-light skin tone</t>
  </si>
  <si>
    <t>1F64D 1F3FC 200D 2642                                  ; minimally-qualified # 🙍🏼‍♂ E4.0 man frowning: medium-light skin tone</t>
  </si>
  <si>
    <t>1F64D 1F3FD 200D 2642 FE0F                             ; fully-qualified     # 🙍🏽‍♂️ E4.0 man frowning: medium skin tone</t>
  </si>
  <si>
    <t>1F64D 1F3FD 200D 2642                                  ; minimally-qualified # 🙍🏽‍♂ E4.0 man frowning: medium skin tone</t>
  </si>
  <si>
    <t>1F64D 1F3FE 200D 2642 FE0F                             ; fully-qualified     # 🙍🏾‍♂️ E4.0 man frowning: medium-dark skin tone</t>
  </si>
  <si>
    <t>1F64D 1F3FE 200D 2642                                  ; minimally-qualified # 🙍🏾‍♂ E4.0 man frowning: medium-dark skin tone</t>
  </si>
  <si>
    <t>1F64D 1F3FF 200D 2642 FE0F                             ; fully-qualified     # 🙍🏿‍♂️ E4.0 man frowning: dark skin tone</t>
  </si>
  <si>
    <t>1F64D 1F3FF 200D 2642                                  ; minimally-qualified # 🙍🏿‍♂ E4.0 man frowning: dark skin tone</t>
  </si>
  <si>
    <t>1F64D 200D 2640 FE0F                                   ; fully-qualified     # 🙍‍♀️ E4.0 woman frowning</t>
  </si>
  <si>
    <t>1F64D 200D 2640                                        ; minimally-qualified # 🙍‍♀ E4.0 woman frowning</t>
  </si>
  <si>
    <t>1F64D 1F3FB 200D 2640 FE0F                             ; fully-qualified     # 🙍🏻‍♀️ E4.0 woman frowning: light skin tone</t>
  </si>
  <si>
    <t>1F64D 1F3FB 200D 2640                                  ; minimally-qualified # 🙍🏻‍♀ E4.0 woman frowning: light skin tone</t>
  </si>
  <si>
    <t>1F64D 1F3FC 200D 2640 FE0F                             ; fully-qualified     # 🙍🏼‍♀️ E4.0 woman frowning: medium-light skin tone</t>
  </si>
  <si>
    <t>1F64D 1F3FC 200D 2640                                  ; minimally-qualified # 🙍🏼‍♀ E4.0 woman frowning: medium-light skin tone</t>
  </si>
  <si>
    <t>1F64D 1F3FD 200D 2640 FE0F                             ; fully-qualified     # 🙍🏽‍♀️ E4.0 woman frowning: medium skin tone</t>
  </si>
  <si>
    <t>1F64D 1F3FD 200D 2640                                  ; minimally-qualified # 🙍🏽‍♀ E4.0 woman frowning: medium skin tone</t>
  </si>
  <si>
    <t>1F64D 1F3FE 200D 2640 FE0F                             ; fully-qualified     # 🙍🏾‍♀️ E4.0 woman frowning: medium-dark skin tone</t>
  </si>
  <si>
    <t>1F64D 1F3FE 200D 2640                                  ; minimally-qualified # 🙍🏾‍♀ E4.0 woman frowning: medium-dark skin tone</t>
  </si>
  <si>
    <t>1F64D 1F3FF 200D 2640 FE0F                             ; fully-qualified     # 🙍🏿‍♀️ E4.0 woman frowning: dark skin tone</t>
  </si>
  <si>
    <t>1F64D 1F3FF 200D 2640                                  ; minimally-qualified # 🙍🏿‍♀ E4.0 woman frowning: dark skin tone</t>
  </si>
  <si>
    <t>1F64E                                                  ; fully-qualified     # 🙎 E0.6 person pouting</t>
  </si>
  <si>
    <t>1F64E 1F3FB                                            ; fully-qualified     # 🙎🏻 E1.0 person pouting: light skin tone</t>
  </si>
  <si>
    <t>1F64E 1F3FC                                            ; fully-qualified     # 🙎🏼 E1.0 person pouting: medium-light skin tone</t>
  </si>
  <si>
    <t>1F64E 1F3FD                                            ; fully-qualified     # 🙎🏽 E1.0 person pouting: medium skin tone</t>
  </si>
  <si>
    <t>1F64E 1F3FE                                            ; fully-qualified     # 🙎🏾 E1.0 person pouting: medium-dark skin tone</t>
  </si>
  <si>
    <t>1F64E 1F3FF                                            ; fully-qualified     # 🙎🏿 E1.0 person pouting: dark skin tone</t>
  </si>
  <si>
    <t>1F64E 200D 2642 FE0F                                   ; fully-qualified     # 🙎‍♂️ E4.0 man pouting</t>
  </si>
  <si>
    <t>1F64E 200D 2642                                        ; minimally-qualified # 🙎‍♂ E4.0 man pouting</t>
  </si>
  <si>
    <t>1F64E 1F3FB 200D 2642 FE0F                             ; fully-qualified     # 🙎🏻‍♂️ E4.0 man pouting: light skin tone</t>
  </si>
  <si>
    <t>1F64E 1F3FB 200D 2642                                  ; minimally-qualified # 🙎🏻‍♂ E4.0 man pouting: light skin tone</t>
  </si>
  <si>
    <t>1F64E 1F3FC 200D 2642 FE0F                             ; fully-qualified     # 🙎🏼‍♂️ E4.0 man pouting: medium-light skin tone</t>
  </si>
  <si>
    <t>1F64E 1F3FC 200D 2642                                  ; minimally-qualified # 🙎🏼‍♂ E4.0 man pouting: medium-light skin tone</t>
  </si>
  <si>
    <t>1F64E 1F3FD 200D 2642 FE0F                             ; fully-qualified     # 🙎🏽‍♂️ E4.0 man pouting: medium skin tone</t>
  </si>
  <si>
    <t>1F64E 1F3FD 200D 2642                                  ; minimally-qualified # 🙎🏽‍♂ E4.0 man pouting: medium skin tone</t>
  </si>
  <si>
    <t>1F64E 1F3FE 200D 2642 FE0F                             ; fully-qualified     # 🙎🏾‍♂️ E4.0 man pouting: medium-dark skin tone</t>
  </si>
  <si>
    <t>1F64E 1F3FE 200D 2642                                  ; minimally-qualified # 🙎🏾‍♂ E4.0 man pouting: medium-dark skin tone</t>
  </si>
  <si>
    <t>1F64E 1F3FF 200D 2642 FE0F                             ; fully-qualified     # 🙎🏿‍♂️ E4.0 man pouting: dark skin tone</t>
  </si>
  <si>
    <t>1F64E 1F3FF 200D 2642                                  ; minimally-qualified # 🙎🏿‍♂ E4.0 man pouting: dark skin tone</t>
  </si>
  <si>
    <t>1F64E 200D 2640 FE0F                                   ; fully-qualified     # 🙎‍♀️ E4.0 woman pouting</t>
  </si>
  <si>
    <t>1F64E 200D 2640                                        ; minimally-qualified # 🙎‍♀ E4.0 woman pouting</t>
  </si>
  <si>
    <t>1F64E 1F3FB 200D 2640 FE0F                             ; fully-qualified     # 🙎🏻‍♀️ E4.0 woman pouting: light skin tone</t>
  </si>
  <si>
    <t>1F64E 1F3FB 200D 2640                                  ; minimally-qualified # 🙎🏻‍♀ E4.0 woman pouting: light skin tone</t>
  </si>
  <si>
    <t>1F64E 1F3FC 200D 2640 FE0F                             ; fully-qualified     # 🙎🏼‍♀️ E4.0 woman pouting: medium-light skin tone</t>
  </si>
  <si>
    <t>1F64E 1F3FC 200D 2640                                  ; minimally-qualified # 🙎🏼‍♀ E4.0 woman pouting: medium-light skin tone</t>
  </si>
  <si>
    <t>1F64E 1F3FD 200D 2640 FE0F                             ; fully-qualified     # 🙎🏽‍♀️ E4.0 woman pouting: medium skin tone</t>
  </si>
  <si>
    <t>1F64E 1F3FD 200D 2640                                  ; minimally-qualified # 🙎🏽‍♀ E4.0 woman pouting: medium skin tone</t>
  </si>
  <si>
    <t>1F64E 1F3FE 200D 2640 FE0F                             ; fully-qualified     # 🙎🏾‍♀️ E4.0 woman pouting: medium-dark skin tone</t>
  </si>
  <si>
    <t>1F64E 1F3FE 200D 2640                                  ; minimally-qualified # 🙎🏾‍♀ E4.0 woman pouting: medium-dark skin tone</t>
  </si>
  <si>
    <t>1F64E 1F3FF 200D 2640 FE0F                             ; fully-qualified     # 🙎🏿‍♀️ E4.0 woman pouting: dark skin tone</t>
  </si>
  <si>
    <t>1F64E 1F3FF 200D 2640                                  ; minimally-qualified # 🙎🏿‍♀ E4.0 woman pouting: dark skin tone</t>
  </si>
  <si>
    <t>1F645                                                  ; fully-qualified     # 🙅 E0.6 person gesturing NO</t>
  </si>
  <si>
    <t>1F645 1F3FB                                            ; fully-qualified     # 🙅🏻 E1.0 person gesturing NO: light skin tone</t>
  </si>
  <si>
    <t>1F645 1F3FC                                            ; fully-qualified     # 🙅🏼 E1.0 person gesturing NO: medium-light skin tone</t>
  </si>
  <si>
    <t>1F645 1F3FD                                            ; fully-qualified     # 🙅🏽 E1.0 person gesturing NO: medium skin tone</t>
  </si>
  <si>
    <t>1F645 1F3FE                                            ; fully-qualified     # 🙅🏾 E1.0 person gesturing NO: medium-dark skin tone</t>
  </si>
  <si>
    <t>1F645 1F3FF                                            ; fully-qualified     # 🙅🏿 E1.0 person gesturing NO: dark skin tone</t>
  </si>
  <si>
    <t>1F645 200D 2642 FE0F                                   ; fully-qualified     # 🙅‍♂️ E4.0 man gesturing NO</t>
  </si>
  <si>
    <t>1F645 200D 2642                                        ; minimally-qualified # 🙅‍♂ E4.0 man gesturing NO</t>
  </si>
  <si>
    <t>1F645 1F3FB 200D 2642 FE0F                             ; fully-qualified     # 🙅🏻‍♂️ E4.0 man gesturing NO: light skin tone</t>
  </si>
  <si>
    <t>1F645 1F3FB 200D 2642                                  ; minimally-qualified # 🙅🏻‍♂ E4.0 man gesturing NO: light skin tone</t>
  </si>
  <si>
    <t>1F645 1F3FC 200D 2642 FE0F                             ; fully-qualified     # 🙅🏼‍♂️ E4.0 man gesturing NO: medium-light skin tone</t>
  </si>
  <si>
    <t>1F645 1F3FC 200D 2642                                  ; minimally-qualified # 🙅🏼‍♂ E4.0 man gesturing NO: medium-light skin tone</t>
  </si>
  <si>
    <t>1F645 1F3FD 200D 2642 FE0F                             ; fully-qualified     # 🙅🏽‍♂️ E4.0 man gesturing NO: medium skin tone</t>
  </si>
  <si>
    <t>1F645 1F3FD 200D 2642                                  ; minimally-qualified # 🙅🏽‍♂ E4.0 man gesturing NO: medium skin tone</t>
  </si>
  <si>
    <t>1F645 1F3FE 200D 2642 FE0F                             ; fully-qualified     # 🙅🏾‍♂️ E4.0 man gesturing NO: medium-dark skin tone</t>
  </si>
  <si>
    <t>1F645 1F3FE 200D 2642                                  ; minimally-qualified # 🙅🏾‍♂ E4.0 man gesturing NO: medium-dark skin tone</t>
  </si>
  <si>
    <t>1F645 1F3FF 200D 2642 FE0F                             ; fully-qualified     # 🙅🏿‍♂️ E4.0 man gesturing NO: dark skin tone</t>
  </si>
  <si>
    <t>1F645 1F3FF 200D 2642                                  ; minimally-qualified # 🙅🏿‍♂ E4.0 man gesturing NO: dark skin tone</t>
  </si>
  <si>
    <t>1F645 200D 2640 FE0F                                   ; fully-qualified     # 🙅‍♀️ E4.0 woman gesturing NO</t>
  </si>
  <si>
    <t>1F645 200D 2640                                        ; minimally-qualified # 🙅‍♀ E4.0 woman gesturing NO</t>
  </si>
  <si>
    <t>1F645 1F3FB 200D 2640 FE0F                             ; fully-qualified     # 🙅🏻‍♀️ E4.0 woman gesturing NO: light skin tone</t>
  </si>
  <si>
    <t>1F645 1F3FB 200D 2640                                  ; minimally-qualified # 🙅🏻‍♀ E4.0 woman gesturing NO: light skin tone</t>
  </si>
  <si>
    <t>1F645 1F3FC 200D 2640 FE0F                             ; fully-qualified     # 🙅🏼‍♀️ E4.0 woman gesturing NO: medium-light skin tone</t>
  </si>
  <si>
    <t>1F645 1F3FC 200D 2640                                  ; minimally-qualified # 🙅🏼‍♀ E4.0 woman gesturing NO: medium-light skin tone</t>
  </si>
  <si>
    <t>1F645 1F3FD 200D 2640 FE0F                             ; fully-qualified     # 🙅🏽‍♀️ E4.0 woman gesturing NO: medium skin tone</t>
  </si>
  <si>
    <t>1F645 1F3FD 200D 2640                                  ; minimally-qualified # 🙅🏽‍♀ E4.0 woman gesturing NO: medium skin tone</t>
  </si>
  <si>
    <t>1F645 1F3FE 200D 2640 FE0F                             ; fully-qualified     # 🙅🏾‍♀️ E4.0 woman gesturing NO: medium-dark skin tone</t>
  </si>
  <si>
    <t>1F645 1F3FE 200D 2640                                  ; minimally-qualified # 🙅🏾‍♀ E4.0 woman gesturing NO: medium-dark skin tone</t>
  </si>
  <si>
    <t>1F645 1F3FF 200D 2640 FE0F                             ; fully-qualified     # 🙅🏿‍♀️ E4.0 woman gesturing NO: dark skin tone</t>
  </si>
  <si>
    <t>1F645 1F3FF 200D 2640                                  ; minimally-qualified # 🙅🏿‍♀ E4.0 woman gesturing NO: dark skin tone</t>
  </si>
  <si>
    <t>1F646                                                  ; fully-qualified     # 🙆 E0.6 person gesturing OK</t>
  </si>
  <si>
    <t>1F646 1F3FB                                            ; fully-qualified     # 🙆🏻 E1.0 person gesturing OK: light skin tone</t>
  </si>
  <si>
    <t>1F646 1F3FC                                            ; fully-qualified     # 🙆🏼 E1.0 person gesturing OK: medium-light skin tone</t>
  </si>
  <si>
    <t>1F646 1F3FD                                            ; fully-qualified     # 🙆🏽 E1.0 person gesturing OK: medium skin tone</t>
  </si>
  <si>
    <t>1F646 1F3FE                                            ; fully-qualified     # 🙆🏾 E1.0 person gesturing OK: medium-dark skin tone</t>
  </si>
  <si>
    <t>1F646 1F3FF                                            ; fully-qualified     # 🙆🏿 E1.0 person gesturing OK: dark skin tone</t>
  </si>
  <si>
    <t>1F646 200D 2642 FE0F                                   ; fully-qualified     # 🙆‍♂️ E4.0 man gesturing OK</t>
  </si>
  <si>
    <t>1F646 200D 2642                                        ; minimally-qualified # 🙆‍♂ E4.0 man gesturing OK</t>
  </si>
  <si>
    <t>1F646 1F3FB 200D 2642 FE0F                             ; fully-qualified     # 🙆🏻‍♂️ E4.0 man gesturing OK: light skin tone</t>
  </si>
  <si>
    <t>1F646 1F3FB 200D 2642                                  ; minimally-qualified # 🙆🏻‍♂ E4.0 man gesturing OK: light skin tone</t>
  </si>
  <si>
    <t>1F646 1F3FC 200D 2642 FE0F                             ; fully-qualified     # 🙆🏼‍♂️ E4.0 man gesturing OK: medium-light skin tone</t>
  </si>
  <si>
    <t>1F646 1F3FC 200D 2642                                  ; minimally-qualified # 🙆🏼‍♂ E4.0 man gesturing OK: medium-light skin tone</t>
  </si>
  <si>
    <t>1F646 1F3FD 200D 2642 FE0F                             ; fully-qualified     # 🙆🏽‍♂️ E4.0 man gesturing OK: medium skin tone</t>
  </si>
  <si>
    <t>1F646 1F3FD 200D 2642                                  ; minimally-qualified # 🙆🏽‍♂ E4.0 man gesturing OK: medium skin tone</t>
  </si>
  <si>
    <t>1F646 1F3FE 200D 2642 FE0F                             ; fully-qualified     # 🙆🏾‍♂️ E4.0 man gesturing OK: medium-dark skin tone</t>
  </si>
  <si>
    <t>1F646 1F3FE 200D 2642                                  ; minimally-qualified # 🙆🏾‍♂ E4.0 man gesturing OK: medium-dark skin tone</t>
  </si>
  <si>
    <t>1F646 1F3FF 200D 2642 FE0F                             ; fully-qualified     # 🙆🏿‍♂️ E4.0 man gesturing OK: dark skin tone</t>
  </si>
  <si>
    <t>1F646 1F3FF 200D 2642                                  ; minimally-qualified # 🙆🏿‍♂ E4.0 man gesturing OK: dark skin tone</t>
  </si>
  <si>
    <t>1F646 200D 2640 FE0F                                   ; fully-qualified     # 🙆‍♀️ E4.0 woman gesturing OK</t>
  </si>
  <si>
    <t>1F646 200D 2640                                        ; minimally-qualified # 🙆‍♀ E4.0 woman gesturing OK</t>
  </si>
  <si>
    <t>1F646 1F3FB 200D 2640 FE0F                             ; fully-qualified     # 🙆🏻‍♀️ E4.0 woman gesturing OK: light skin tone</t>
  </si>
  <si>
    <t>1F646 1F3FB 200D 2640                                  ; minimally-qualified # 🙆🏻‍♀ E4.0 woman gesturing OK: light skin tone</t>
  </si>
  <si>
    <t>1F646 1F3FC 200D 2640 FE0F                             ; fully-qualified     # 🙆🏼‍♀️ E4.0 woman gesturing OK: medium-light skin tone</t>
  </si>
  <si>
    <t>1F646 1F3FC 200D 2640                                  ; minimally-qualified # 🙆🏼‍♀ E4.0 woman gesturing OK: medium-light skin tone</t>
  </si>
  <si>
    <t>1F646 1F3FD 200D 2640 FE0F                             ; fully-qualified     # 🙆🏽‍♀️ E4.0 woman gesturing OK: medium skin tone</t>
  </si>
  <si>
    <t>1F646 1F3FD 200D 2640                                  ; minimally-qualified # 🙆🏽‍♀ E4.0 woman gesturing OK: medium skin tone</t>
  </si>
  <si>
    <t>1F646 1F3FE 200D 2640 FE0F                             ; fully-qualified     # 🙆🏾‍♀️ E4.0 woman gesturing OK: medium-dark skin tone</t>
  </si>
  <si>
    <t>1F646 1F3FE 200D 2640                                  ; minimally-qualified # 🙆🏾‍♀ E4.0 woman gesturing OK: medium-dark skin tone</t>
  </si>
  <si>
    <t>1F646 1F3FF 200D 2640 FE0F                             ; fully-qualified     # 🙆🏿‍♀️ E4.0 woman gesturing OK: dark skin tone</t>
  </si>
  <si>
    <t>1F646 1F3FF 200D 2640                                  ; minimally-qualified # 🙆🏿‍♀ E4.0 woman gesturing OK: dark skin tone</t>
  </si>
  <si>
    <t>1F481                                                  ; fully-qualified     # 💁 E0.6 person tipping hand</t>
  </si>
  <si>
    <t>1F481 1F3FB                                            ; fully-qualified     # 💁🏻 E1.0 person tipping hand: light skin tone</t>
  </si>
  <si>
    <t>1F481 1F3FC                                            ; fully-qualified     # 💁🏼 E1.0 person tipping hand: medium-light skin tone</t>
  </si>
  <si>
    <t>1F481 1F3FD                                            ; fully-qualified     # 💁🏽 E1.0 person tipping hand: medium skin tone</t>
  </si>
  <si>
    <t>1F481 1F3FE                                            ; fully-qualified     # 💁🏾 E1.0 person tipping hand: medium-dark skin tone</t>
  </si>
  <si>
    <t>1F481 1F3FF                                            ; fully-qualified     # 💁🏿 E1.0 person tipping hand: dark skin tone</t>
  </si>
  <si>
    <t>1F481 200D 2642 FE0F                                   ; fully-qualified     # 💁‍♂️ E4.0 man tipping hand</t>
  </si>
  <si>
    <t>1F481 200D 2642                                        ; minimally-qualified # 💁‍♂ E4.0 man tipping hand</t>
  </si>
  <si>
    <t>1F481 1F3FB 200D 2642 FE0F                             ; fully-qualified     # 💁🏻‍♂️ E4.0 man tipping hand: light skin tone</t>
  </si>
  <si>
    <t>1F481 1F3FB 200D 2642                                  ; minimally-qualified # 💁🏻‍♂ E4.0 man tipping hand: light skin tone</t>
  </si>
  <si>
    <t>1F481 1F3FC 200D 2642 FE0F                             ; fully-qualified     # 💁🏼‍♂️ E4.0 man tipping hand: medium-light skin tone</t>
  </si>
  <si>
    <t>1F481 1F3FC 200D 2642                                  ; minimally-qualified # 💁🏼‍♂ E4.0 man tipping hand: medium-light skin tone</t>
  </si>
  <si>
    <t>1F481 1F3FD 200D 2642 FE0F                             ; fully-qualified     # 💁🏽‍♂️ E4.0 man tipping hand: medium skin tone</t>
  </si>
  <si>
    <t>1F481 1F3FD 200D 2642                                  ; minimally-qualified # 💁🏽‍♂ E4.0 man tipping hand: medium skin tone</t>
  </si>
  <si>
    <t>1F481 1F3FE 200D 2642 FE0F                             ; fully-qualified     # 💁🏾‍♂️ E4.0 man tipping hand: medium-dark skin tone</t>
  </si>
  <si>
    <t>1F481 1F3FE 200D 2642                                  ; minimally-qualified # 💁🏾‍♂ E4.0 man tipping hand: medium-dark skin tone</t>
  </si>
  <si>
    <t>1F481 1F3FF 200D 2642 FE0F                             ; fully-qualified     # 💁🏿‍♂️ E4.0 man tipping hand: dark skin tone</t>
  </si>
  <si>
    <t>1F481 1F3FF 200D 2642                                  ; minimally-qualified # 💁🏿‍♂ E4.0 man tipping hand: dark skin tone</t>
  </si>
  <si>
    <t>1F481 200D 2640 FE0F                                   ; fully-qualified     # 💁‍♀️ E4.0 woman tipping hand</t>
  </si>
  <si>
    <t>1F481 200D 2640                                        ; minimally-qualified # 💁‍♀ E4.0 woman tipping hand</t>
  </si>
  <si>
    <t>1F481 1F3FB 200D 2640 FE0F                             ; fully-qualified     # 💁🏻‍♀️ E4.0 woman tipping hand: light skin tone</t>
  </si>
  <si>
    <t>1F481 1F3FB 200D 2640                                  ; minimally-qualified # 💁🏻‍♀ E4.0 woman tipping hand: light skin tone</t>
  </si>
  <si>
    <t>1F481 1F3FC 200D 2640 FE0F                             ; fully-qualified     # 💁🏼‍♀️ E4.0 woman tipping hand: medium-light skin tone</t>
  </si>
  <si>
    <t>1F481 1F3FC 200D 2640                                  ; minimally-qualified # 💁🏼‍♀ E4.0 woman tipping hand: medium-light skin tone</t>
  </si>
  <si>
    <t>1F481 1F3FD 200D 2640 FE0F                             ; fully-qualified     # 💁🏽‍♀️ E4.0 woman tipping hand: medium skin tone</t>
  </si>
  <si>
    <t>1F481 1F3FD 200D 2640                                  ; minimally-qualified # 💁🏽‍♀ E4.0 woman tipping hand: medium skin tone</t>
  </si>
  <si>
    <t>1F481 1F3FE 200D 2640 FE0F                             ; fully-qualified     # 💁🏾‍♀️ E4.0 woman tipping hand: medium-dark skin tone</t>
  </si>
  <si>
    <t>1F481 1F3FE 200D 2640                                  ; minimally-qualified # 💁🏾‍♀ E4.0 woman tipping hand: medium-dark skin tone</t>
  </si>
  <si>
    <t>1F481 1F3FF 200D 2640 FE0F                             ; fully-qualified     # 💁🏿‍♀️ E4.0 woman tipping hand: dark skin tone</t>
  </si>
  <si>
    <t>1F481 1F3FF 200D 2640                                  ; minimally-qualified # 💁🏿‍♀ E4.0 woman tipping hand: dark skin tone</t>
  </si>
  <si>
    <t>1F64B                                                  ; fully-qualified     # 🙋 E0.6 person raising hand</t>
  </si>
  <si>
    <t>1F64B 1F3FB                                            ; fully-qualified     # 🙋🏻 E1.0 person raising hand: light skin tone</t>
  </si>
  <si>
    <t>1F64B 1F3FC                                            ; fully-qualified     # 🙋🏼 E1.0 person raising hand: medium-light skin tone</t>
  </si>
  <si>
    <t>1F64B 1F3FD                                            ; fully-qualified     # 🙋🏽 E1.0 person raising hand: medium skin tone</t>
  </si>
  <si>
    <t>1F64B 1F3FE                                            ; fully-qualified     # 🙋🏾 E1.0 person raising hand: medium-dark skin tone</t>
  </si>
  <si>
    <t>1F64B 1F3FF                                            ; fully-qualified     # 🙋🏿 E1.0 person raising hand: dark skin tone</t>
  </si>
  <si>
    <t>1F64B 200D 2642 FE0F                                   ; fully-qualified     # 🙋‍♂️ E4.0 man raising hand</t>
  </si>
  <si>
    <t>1F64B 200D 2642                                        ; minimally-qualified # 🙋‍♂ E4.0 man raising hand</t>
  </si>
  <si>
    <t>1F64B 1F3FB 200D 2642 FE0F                             ; fully-qualified     # 🙋🏻‍♂️ E4.0 man raising hand: light skin tone</t>
  </si>
  <si>
    <t>1F64B 1F3FB 200D 2642                                  ; minimally-qualified # 🙋🏻‍♂ E4.0 man raising hand: light skin tone</t>
  </si>
  <si>
    <t>1F64B 1F3FC 200D 2642 FE0F                             ; fully-qualified     # 🙋🏼‍♂️ E4.0 man raising hand: medium-light skin tone</t>
  </si>
  <si>
    <t>1F64B 1F3FC 200D 2642                                  ; minimally-qualified # 🙋🏼‍♂ E4.0 man raising hand: medium-light skin tone</t>
  </si>
  <si>
    <t>1F64B 1F3FD 200D 2642 FE0F                             ; fully-qualified     # 🙋🏽‍♂️ E4.0 man raising hand: medium skin tone</t>
  </si>
  <si>
    <t>1F64B 1F3FD 200D 2642                                  ; minimally-qualified # 🙋🏽‍♂ E4.0 man raising hand: medium skin tone</t>
  </si>
  <si>
    <t>1F64B 1F3FE 200D 2642 FE0F                             ; fully-qualified     # 🙋🏾‍♂️ E4.0 man raising hand: medium-dark skin tone</t>
  </si>
  <si>
    <t>1F64B 1F3FE 200D 2642                                  ; minimally-qualified # 🙋🏾‍♂ E4.0 man raising hand: medium-dark skin tone</t>
  </si>
  <si>
    <t>1F64B 1F3FF 200D 2642 FE0F                             ; fully-qualified     # 🙋🏿‍♂️ E4.0 man raising hand: dark skin tone</t>
  </si>
  <si>
    <t>1F64B 1F3FF 200D 2642                                  ; minimally-qualified # 🙋🏿‍♂ E4.0 man raising hand: dark skin tone</t>
  </si>
  <si>
    <t>1F64B 200D 2640 FE0F                                   ; fully-qualified     # 🙋‍♀️ E4.0 woman raising hand</t>
  </si>
  <si>
    <t>1F64B 200D 2640                                        ; minimally-qualified # 🙋‍♀ E4.0 woman raising hand</t>
  </si>
  <si>
    <t>1F64B 1F3FB 200D 2640 FE0F                             ; fully-qualified     # 🙋🏻‍♀️ E4.0 woman raising hand: light skin tone</t>
  </si>
  <si>
    <t>1F64B 1F3FB 200D 2640                                  ; minimally-qualified # 🙋🏻‍♀ E4.0 woman raising hand: light skin tone</t>
  </si>
  <si>
    <t>1F64B 1F3FC 200D 2640 FE0F                             ; fully-qualified     # 🙋🏼‍♀️ E4.0 woman raising hand: medium-light skin tone</t>
  </si>
  <si>
    <t>1F64B 1F3FC 200D 2640                                  ; minimally-qualified # 🙋🏼‍♀ E4.0 woman raising hand: medium-light skin tone</t>
  </si>
  <si>
    <t>1F64B 1F3FD 200D 2640 FE0F                             ; fully-qualified     # 🙋🏽‍♀️ E4.0 woman raising hand: medium skin tone</t>
  </si>
  <si>
    <t>1F64B 1F3FD 200D 2640                                  ; minimally-qualified # 🙋🏽‍♀ E4.0 woman raising hand: medium skin tone</t>
  </si>
  <si>
    <t>1F64B 1F3FE 200D 2640 FE0F                             ; fully-qualified     # 🙋🏾‍♀️ E4.0 woman raising hand: medium-dark skin tone</t>
  </si>
  <si>
    <t>1F64B 1F3FE 200D 2640                                  ; minimally-qualified # 🙋🏾‍♀ E4.0 woman raising hand: medium-dark skin tone</t>
  </si>
  <si>
    <t>1F64B 1F3FF 200D 2640 FE0F                             ; fully-qualified     # 🙋🏿‍♀️ E4.0 woman raising hand: dark skin tone</t>
  </si>
  <si>
    <t>1F64B 1F3FF 200D 2640                                  ; minimally-qualified # 🙋🏿‍♀ E4.0 woman raising hand: dark skin tone</t>
  </si>
  <si>
    <t>1F9CF                                                  ; fully-qualified     # 🧏 E12.0 deaf person</t>
  </si>
  <si>
    <t>1F9CF 1F3FB                                            ; fully-qualified     # 🧏🏻 E12.0 deaf person: light skin tone</t>
  </si>
  <si>
    <t>1F9CF 1F3FC                                            ; fully-qualified     # 🧏🏼 E12.0 deaf person: medium-light skin tone</t>
  </si>
  <si>
    <t>1F9CF 1F3FD                                            ; fully-qualified     # 🧏🏽 E12.0 deaf person: medium skin tone</t>
  </si>
  <si>
    <t>1F9CF 1F3FE                                            ; fully-qualified     # 🧏🏾 E12.0 deaf person: medium-dark skin tone</t>
  </si>
  <si>
    <t>1F9CF 1F3FF                                            ; fully-qualified     # 🧏🏿 E12.0 deaf person: dark skin tone</t>
  </si>
  <si>
    <t>1F9CF 200D 2642 FE0F                                   ; fully-qualified     # 🧏‍♂️ E12.0 deaf man</t>
  </si>
  <si>
    <t>1F9CF 200D 2642                                        ; minimally-qualified # 🧏‍♂ E12.0 deaf man</t>
  </si>
  <si>
    <t>1F9CF 1F3FB 200D 2642 FE0F                             ; fully-qualified     # 🧏🏻‍♂️ E12.0 deaf man: light skin tone</t>
  </si>
  <si>
    <t>1F9CF 1F3FB 200D 2642                                  ; minimally-qualified # 🧏🏻‍♂ E12.0 deaf man: light skin tone</t>
  </si>
  <si>
    <t>1F9CF 1F3FC 200D 2642 FE0F                             ; fully-qualified     # 🧏🏼‍♂️ E12.0 deaf man: medium-light skin tone</t>
  </si>
  <si>
    <t>1F9CF 1F3FC 200D 2642                                  ; minimally-qualified # 🧏🏼‍♂ E12.0 deaf man: medium-light skin tone</t>
  </si>
  <si>
    <t>1F9CF 1F3FD 200D 2642 FE0F                             ; fully-qualified     # 🧏🏽‍♂️ E12.0 deaf man: medium skin tone</t>
  </si>
  <si>
    <t>1F9CF 1F3FD 200D 2642                                  ; minimally-qualified # 🧏🏽‍♂ E12.0 deaf man: medium skin tone</t>
  </si>
  <si>
    <t>1F9CF 1F3FE 200D 2642 FE0F                             ; fully-qualified     # 🧏🏾‍♂️ E12.0 deaf man: medium-dark skin tone</t>
  </si>
  <si>
    <t>1F9CF 1F3FE 200D 2642                                  ; minimally-qualified # 🧏🏾‍♂ E12.0 deaf man: medium-dark skin tone</t>
  </si>
  <si>
    <t>1F9CF 1F3FF 200D 2642 FE0F                             ; fully-qualified     # 🧏🏿‍♂️ E12.0 deaf man: dark skin tone</t>
  </si>
  <si>
    <t>1F9CF 1F3FF 200D 2642                                  ; minimally-qualified # 🧏🏿‍♂ E12.0 deaf man: dark skin tone</t>
  </si>
  <si>
    <t>1F9CF 200D 2640 FE0F                                   ; fully-qualified     # 🧏‍♀️ E12.0 deaf woman</t>
  </si>
  <si>
    <t>1F9CF 200D 2640                                        ; minimally-qualified # 🧏‍♀ E12.0 deaf woman</t>
  </si>
  <si>
    <t>1F9CF 1F3FB 200D 2640 FE0F                             ; fully-qualified     # 🧏🏻‍♀️ E12.0 deaf woman: light skin tone</t>
  </si>
  <si>
    <t>1F9CF 1F3FB 200D 2640                                  ; minimally-qualified # 🧏🏻‍♀ E12.0 deaf woman: light skin tone</t>
  </si>
  <si>
    <t>1F9CF 1F3FC 200D 2640 FE0F                             ; fully-qualified     # 🧏🏼‍♀️ E12.0 deaf woman: medium-light skin tone</t>
  </si>
  <si>
    <t>1F9CF 1F3FC 200D 2640                                  ; minimally-qualified # 🧏🏼‍♀ E12.0 deaf woman: medium-light skin tone</t>
  </si>
  <si>
    <t>1F9CF 1F3FD 200D 2640 FE0F                             ; fully-qualified     # 🧏🏽‍♀️ E12.0 deaf woman: medium skin tone</t>
  </si>
  <si>
    <t>1F9CF 1F3FD 200D 2640                                  ; minimally-qualified # 🧏🏽‍♀ E12.0 deaf woman: medium skin tone</t>
  </si>
  <si>
    <t>1F9CF 1F3FE 200D 2640 FE0F                             ; fully-qualified     # 🧏🏾‍♀️ E12.0 deaf woman: medium-dark skin tone</t>
  </si>
  <si>
    <t>1F9CF 1F3FE 200D 2640                                  ; minimally-qualified # 🧏🏾‍♀ E12.0 deaf woman: medium-dark skin tone</t>
  </si>
  <si>
    <t>1F9CF 1F3FF 200D 2640 FE0F                             ; fully-qualified     # 🧏🏿‍♀️ E12.0 deaf woman: dark skin tone</t>
  </si>
  <si>
    <t>1F9CF 1F3FF 200D 2640                                  ; minimally-qualified # 🧏🏿‍♀ E12.0 deaf woman: dark skin tone</t>
  </si>
  <si>
    <t>1F647                                                  ; fully-qualified     # 🙇 E0.6 person bowing</t>
  </si>
  <si>
    <t>1F647 1F3FB                                            ; fully-qualified     # 🙇🏻 E1.0 person bowing: light skin tone</t>
  </si>
  <si>
    <t>1F647 1F3FC                                            ; fully-qualified     # 🙇🏼 E1.0 person bowing: medium-light skin tone</t>
  </si>
  <si>
    <t>1F647 1F3FD                                            ; fully-qualified     # 🙇🏽 E1.0 person bowing: medium skin tone</t>
  </si>
  <si>
    <t>1F647 1F3FE                                            ; fully-qualified     # 🙇🏾 E1.0 person bowing: medium-dark skin tone</t>
  </si>
  <si>
    <t>1F647 1F3FF                                            ; fully-qualified     # 🙇🏿 E1.0 person bowing: dark skin tone</t>
  </si>
  <si>
    <t>1F647 200D 2642 FE0F                                   ; fully-qualified     # 🙇‍♂️ E4.0 man bowing</t>
  </si>
  <si>
    <t>1F647 200D 2642                                        ; minimally-qualified # 🙇‍♂ E4.0 man bowing</t>
  </si>
  <si>
    <t>1F647 1F3FB 200D 2642 FE0F                             ; fully-qualified     # 🙇🏻‍♂️ E4.0 man bowing: light skin tone</t>
  </si>
  <si>
    <t>1F647 1F3FB 200D 2642                                  ; minimally-qualified # 🙇🏻‍♂ E4.0 man bowing: light skin tone</t>
  </si>
  <si>
    <t>1F647 1F3FC 200D 2642 FE0F                             ; fully-qualified     # 🙇🏼‍♂️ E4.0 man bowing: medium-light skin tone</t>
  </si>
  <si>
    <t>1F647 1F3FC 200D 2642                                  ; minimally-qualified # 🙇🏼‍♂ E4.0 man bowing: medium-light skin tone</t>
  </si>
  <si>
    <t>1F647 1F3FD 200D 2642 FE0F                             ; fully-qualified     # 🙇🏽‍♂️ E4.0 man bowing: medium skin tone</t>
  </si>
  <si>
    <t>1F647 1F3FD 200D 2642                                  ; minimally-qualified # 🙇🏽‍♂ E4.0 man bowing: medium skin tone</t>
  </si>
  <si>
    <t>1F647 1F3FE 200D 2642 FE0F                             ; fully-qualified     # 🙇🏾‍♂️ E4.0 man bowing: medium-dark skin tone</t>
  </si>
  <si>
    <t>1F647 1F3FE 200D 2642                                  ; minimally-qualified # 🙇🏾‍♂ E4.0 man bowing: medium-dark skin tone</t>
  </si>
  <si>
    <t>1F647 1F3FF 200D 2642 FE0F                             ; fully-qualified     # 🙇🏿‍♂️ E4.0 man bowing: dark skin tone</t>
  </si>
  <si>
    <t>1F647 1F3FF 200D 2642                                  ; minimally-qualified # 🙇🏿‍♂ E4.0 man bowing: dark skin tone</t>
  </si>
  <si>
    <t>1F647 200D 2640 FE0F                                   ; fully-qualified     # 🙇‍♀️ E4.0 woman bowing</t>
  </si>
  <si>
    <t>1F647 200D 2640                                        ; minimally-qualified # 🙇‍♀ E4.0 woman bowing</t>
  </si>
  <si>
    <t>1F647 1F3FB 200D 2640 FE0F                             ; fully-qualified     # 🙇🏻‍♀️ E4.0 woman bowing: light skin tone</t>
  </si>
  <si>
    <t>1F647 1F3FB 200D 2640                                  ; minimally-qualified # 🙇🏻‍♀ E4.0 woman bowing: light skin tone</t>
  </si>
  <si>
    <t>1F647 1F3FC 200D 2640 FE0F                             ; fully-qualified     # 🙇🏼‍♀️ E4.0 woman bowing: medium-light skin tone</t>
  </si>
  <si>
    <t>1F647 1F3FC 200D 2640                                  ; minimally-qualified # 🙇🏼‍♀ E4.0 woman bowing: medium-light skin tone</t>
  </si>
  <si>
    <t>1F647 1F3FD 200D 2640 FE0F                             ; fully-qualified     # 🙇🏽‍♀️ E4.0 woman bowing: medium skin tone</t>
  </si>
  <si>
    <t>1F647 1F3FD 200D 2640                                  ; minimally-qualified # 🙇🏽‍♀ E4.0 woman bowing: medium skin tone</t>
  </si>
  <si>
    <t>1F647 1F3FE 200D 2640 FE0F                             ; fully-qualified     # 🙇🏾‍♀️ E4.0 woman bowing: medium-dark skin tone</t>
  </si>
  <si>
    <t>1F647 1F3FE 200D 2640                                  ; minimally-qualified # 🙇🏾‍♀ E4.0 woman bowing: medium-dark skin tone</t>
  </si>
  <si>
    <t>1F647 1F3FF 200D 2640 FE0F                             ; fully-qualified     # 🙇🏿‍♀️ E4.0 woman bowing: dark skin tone</t>
  </si>
  <si>
    <t>1F647 1F3FF 200D 2640                                  ; minimally-qualified # 🙇🏿‍♀ E4.0 woman bowing: dark skin tone</t>
  </si>
  <si>
    <t>1F926                                                  ; fully-qualified     # 🤦 E3.0 person facepalming</t>
  </si>
  <si>
    <t>1F926 1F3FB                                            ; fully-qualified     # 🤦🏻 E3.0 person facepalming: light skin tone</t>
  </si>
  <si>
    <t>1F926 1F3FC                                            ; fully-qualified     # 🤦🏼 E3.0 person facepalming: medium-light skin tone</t>
  </si>
  <si>
    <t>1F926 1F3FD                                            ; fully-qualified     # 🤦🏽 E3.0 person facepalming: medium skin tone</t>
  </si>
  <si>
    <t>1F926 1F3FE                                            ; fully-qualified     # 🤦🏾 E3.0 person facepalming: medium-dark skin tone</t>
  </si>
  <si>
    <t>1F926 1F3FF                                            ; fully-qualified     # 🤦🏿 E3.0 person facepalming: dark skin tone</t>
  </si>
  <si>
    <t>1F926 200D 2642 FE0F                                   ; fully-qualified     # 🤦‍♂️ E4.0 man facepalming</t>
  </si>
  <si>
    <t>1F926 200D 2642                                        ; minimally-qualified # 🤦‍♂ E4.0 man facepalming</t>
  </si>
  <si>
    <t>1F926 1F3FB 200D 2642 FE0F                             ; fully-qualified     # 🤦🏻‍♂️ E4.0 man facepalming: light skin tone</t>
  </si>
  <si>
    <t>1F926 1F3FB 200D 2642                                  ; minimally-qualified # 🤦🏻‍♂ E4.0 man facepalming: light skin tone</t>
  </si>
  <si>
    <t>1F926 1F3FC 200D 2642 FE0F                             ; fully-qualified     # 🤦🏼‍♂️ E4.0 man facepalming: medium-light skin tone</t>
  </si>
  <si>
    <t>1F926 1F3FC 200D 2642                                  ; minimally-qualified # 🤦🏼‍♂ E4.0 man facepalming: medium-light skin tone</t>
  </si>
  <si>
    <t>1F926 1F3FD 200D 2642 FE0F                             ; fully-qualified     # 🤦🏽‍♂️ E4.0 man facepalming: medium skin tone</t>
  </si>
  <si>
    <t>1F926 1F3FD 200D 2642                                  ; minimally-qualified # 🤦🏽‍♂ E4.0 man facepalming: medium skin tone</t>
  </si>
  <si>
    <t>1F926 1F3FE 200D 2642 FE0F                             ; fully-qualified     # 🤦🏾‍♂️ E4.0 man facepalming: medium-dark skin tone</t>
  </si>
  <si>
    <t>1F926 1F3FE 200D 2642                                  ; minimally-qualified # 🤦🏾‍♂ E4.0 man facepalming: medium-dark skin tone</t>
  </si>
  <si>
    <t>1F926 1F3FF 200D 2642 FE0F                             ; fully-qualified     # 🤦🏿‍♂️ E4.0 man facepalming: dark skin tone</t>
  </si>
  <si>
    <t>1F926 1F3FF 200D 2642                                  ; minimally-qualified # 🤦🏿‍♂ E4.0 man facepalming: dark skin tone</t>
  </si>
  <si>
    <t>1F926 200D 2640 FE0F                                   ; fully-qualified     # 🤦‍♀️ E4.0 woman facepalming</t>
  </si>
  <si>
    <t>1F926 200D 2640                                        ; minimally-qualified # 🤦‍♀ E4.0 woman facepalming</t>
  </si>
  <si>
    <t>1F926 1F3FB 200D 2640 FE0F                             ; fully-qualified     # 🤦🏻‍♀️ E4.0 woman facepalming: light skin tone</t>
  </si>
  <si>
    <t>1F926 1F3FB 200D 2640                                  ; minimally-qualified # 🤦🏻‍♀ E4.0 woman facepalming: light skin tone</t>
  </si>
  <si>
    <t>1F926 1F3FC 200D 2640 FE0F                             ; fully-qualified     # 🤦🏼‍♀️ E4.0 woman facepalming: medium-light skin tone</t>
  </si>
  <si>
    <t>1F926 1F3FC 200D 2640                                  ; minimally-qualified # 🤦🏼‍♀ E4.0 woman facepalming: medium-light skin tone</t>
  </si>
  <si>
    <t>1F926 1F3FD 200D 2640 FE0F                             ; fully-qualified     # 🤦🏽‍♀️ E4.0 woman facepalming: medium skin tone</t>
  </si>
  <si>
    <t>1F926 1F3FD 200D 2640                                  ; minimally-qualified # 🤦🏽‍♀ E4.0 woman facepalming: medium skin tone</t>
  </si>
  <si>
    <t>1F926 1F3FE 200D 2640 FE0F                             ; fully-qualified     # 🤦🏾‍♀️ E4.0 woman facepalming: medium-dark skin tone</t>
  </si>
  <si>
    <t>1F926 1F3FE 200D 2640                                  ; minimally-qualified # 🤦🏾‍♀ E4.0 woman facepalming: medium-dark skin tone</t>
  </si>
  <si>
    <t>1F926 1F3FF 200D 2640 FE0F                             ; fully-qualified     # 🤦🏿‍♀️ E4.0 woman facepalming: dark skin tone</t>
  </si>
  <si>
    <t>1F926 1F3FF 200D 2640                                  ; minimally-qualified # 🤦🏿‍♀ E4.0 woman facepalming: dark skin tone</t>
  </si>
  <si>
    <t>1F937                                                  ; fully-qualified     # 🤷 E3.0 person shrugging</t>
  </si>
  <si>
    <t>1F937 1F3FB                                            ; fully-qualified     # 🤷🏻 E3.0 person shrugging: light skin tone</t>
  </si>
  <si>
    <t>1F937 1F3FC                                            ; fully-qualified     # 🤷🏼 E3.0 person shrugging: medium-light skin tone</t>
  </si>
  <si>
    <t>1F937 1F3FD                                            ; fully-qualified     # 🤷🏽 E3.0 person shrugging: medium skin tone</t>
  </si>
  <si>
    <t>1F937 1F3FE                                            ; fully-qualified     # 🤷🏾 E3.0 person shrugging: medium-dark skin tone</t>
  </si>
  <si>
    <t>1F937 1F3FF                                            ; fully-qualified     # 🤷🏿 E3.0 person shrugging: dark skin tone</t>
  </si>
  <si>
    <t>1F937 200D 2642 FE0F                                   ; fully-qualified     # 🤷‍♂️ E4.0 man shrugging</t>
  </si>
  <si>
    <t>1F937 200D 2642                                        ; minimally-qualified # 🤷‍♂ E4.0 man shrugging</t>
  </si>
  <si>
    <t>1F937 1F3FB 200D 2642 FE0F                             ; fully-qualified     # 🤷🏻‍♂️ E4.0 man shrugging: light skin tone</t>
  </si>
  <si>
    <t>1F937 1F3FB 200D 2642                                  ; minimally-qualified # 🤷🏻‍♂ E4.0 man shrugging: light skin tone</t>
  </si>
  <si>
    <t>1F937 1F3FC 200D 2642 FE0F                             ; fully-qualified     # 🤷🏼‍♂️ E4.0 man shrugging: medium-light skin tone</t>
  </si>
  <si>
    <t>1F937 1F3FC 200D 2642                                  ; minimally-qualified # 🤷🏼‍♂ E4.0 man shrugging: medium-light skin tone</t>
  </si>
  <si>
    <t>1F937 1F3FD 200D 2642 FE0F                             ; fully-qualified     # 🤷🏽‍♂️ E4.0 man shrugging: medium skin tone</t>
  </si>
  <si>
    <t>1F937 1F3FD 200D 2642                                  ; minimally-qualified # 🤷🏽‍♂ E4.0 man shrugging: medium skin tone</t>
  </si>
  <si>
    <t>1F937 1F3FE 200D 2642 FE0F                             ; fully-qualified     # 🤷🏾‍♂️ E4.0 man shrugging: medium-dark skin tone</t>
  </si>
  <si>
    <t>1F937 1F3FE 200D 2642                                  ; minimally-qualified # 🤷🏾‍♂ E4.0 man shrugging: medium-dark skin tone</t>
  </si>
  <si>
    <t>1F937 1F3FF 200D 2642 FE0F                             ; fully-qualified     # 🤷🏿‍♂️ E4.0 man shrugging: dark skin tone</t>
  </si>
  <si>
    <t>1F937 1F3FF 200D 2642                                  ; minimally-qualified # 🤷🏿‍♂ E4.0 man shrugging: dark skin tone</t>
  </si>
  <si>
    <t>1F937 200D 2640 FE0F                                   ; fully-qualified     # 🤷‍♀️ E4.0 woman shrugging</t>
  </si>
  <si>
    <t>1F937 200D 2640                                        ; minimally-qualified # 🤷‍♀ E4.0 woman shrugging</t>
  </si>
  <si>
    <t>1F937 1F3FB 200D 2640 FE0F                             ; fully-qualified     # 🤷🏻‍♀️ E4.0 woman shrugging: light skin tone</t>
  </si>
  <si>
    <t>1F937 1F3FB 200D 2640                                  ; minimally-qualified # 🤷🏻‍♀ E4.0 woman shrugging: light skin tone</t>
  </si>
  <si>
    <t>1F937 1F3FC 200D 2640 FE0F                             ; fully-qualified     # 🤷🏼‍♀️ E4.0 woman shrugging: medium-light skin tone</t>
  </si>
  <si>
    <t>1F937 1F3FC 200D 2640                                  ; minimally-qualified # 🤷🏼‍♀ E4.0 woman shrugging: medium-light skin tone</t>
  </si>
  <si>
    <t>1F937 1F3FD 200D 2640 FE0F                             ; fully-qualified     # 🤷🏽‍♀️ E4.0 woman shrugging: medium skin tone</t>
  </si>
  <si>
    <t>1F937 1F3FD 200D 2640                                  ; minimally-qualified # 🤷🏽‍♀ E4.0 woman shrugging: medium skin tone</t>
  </si>
  <si>
    <t>1F937 1F3FE 200D 2640 FE0F                             ; fully-qualified     # 🤷🏾‍♀️ E4.0 woman shrugging: medium-dark skin tone</t>
  </si>
  <si>
    <t>1F937 1F3FE 200D 2640                                  ; minimally-qualified # 🤷🏾‍♀ E4.0 woman shrugging: medium-dark skin tone</t>
  </si>
  <si>
    <t>1F937 1F3FF 200D 2640 FE0F                             ; fully-qualified     # 🤷🏿‍♀️ E4.0 woman shrugging: dark skin tone</t>
  </si>
  <si>
    <t>1F937 1F3FF 200D 2640                                  ; minimally-qualified # 🤷🏿‍♀ E4.0 woman shrugging: dark skin tone</t>
  </si>
  <si>
    <t># subgroup: person-role</t>
  </si>
  <si>
    <t>1F9D1 200D 2695 FE0F                                   ; fully-qualified     # 🧑‍⚕️ E12.1 health worker</t>
  </si>
  <si>
    <t>1F9D1 200D 2695                                        ; minimally-qualified # 🧑‍⚕ E12.1 health worker</t>
  </si>
  <si>
    <t>1F9D1 1F3FB 200D 2695 FE0F                             ; fully-qualified     # 🧑🏻‍⚕️ E12.1 health worker: light skin tone</t>
  </si>
  <si>
    <t>1F9D1 1F3FB 200D 2695                                  ; minimally-qualified # 🧑🏻‍⚕ E12.1 health worker: light skin tone</t>
  </si>
  <si>
    <t>1F9D1 1F3FC 200D 2695 FE0F                             ; fully-qualified     # 🧑🏼‍⚕️ E12.1 health worker: medium-light skin tone</t>
  </si>
  <si>
    <t>1F9D1 1F3FC 200D 2695                                  ; minimally-qualified # 🧑🏼‍⚕ E12.1 health worker: medium-light skin tone</t>
  </si>
  <si>
    <t>1F9D1 1F3FD 200D 2695 FE0F                             ; fully-qualified     # 🧑🏽‍⚕️ E12.1 health worker: medium skin tone</t>
  </si>
  <si>
    <t>1F9D1 1F3FD 200D 2695                                  ; minimally-qualified # 🧑🏽‍⚕ E12.1 health worker: medium skin tone</t>
  </si>
  <si>
    <t>1F9D1 1F3FE 200D 2695 FE0F                             ; fully-qualified     # 🧑🏾‍⚕️ E12.1 health worker: medium-dark skin tone</t>
  </si>
  <si>
    <t>1F9D1 1F3FE 200D 2695                                  ; minimally-qualified # 🧑🏾‍⚕ E12.1 health worker: medium-dark skin tone</t>
  </si>
  <si>
    <t>1F9D1 1F3FF 200D 2695 FE0F                             ; fully-qualified     # 🧑🏿‍⚕️ E12.1 health worker: dark skin tone</t>
  </si>
  <si>
    <t>1F9D1 1F3FF 200D 2695                                  ; minimally-qualified # 🧑🏿‍⚕ E12.1 health worker: dark skin tone</t>
  </si>
  <si>
    <t>1F468 200D 2695 FE0F                                   ; fully-qualified     # 👨‍⚕️ E4.0 man health worker</t>
  </si>
  <si>
    <t>1F468 200D 2695                                        ; minimally-qualified # 👨‍⚕ E4.0 man health worker</t>
  </si>
  <si>
    <t>1F468 1F3FB 200D 2695 FE0F                             ; fully-qualified     # 👨🏻‍⚕️ E4.0 man health worker: light skin tone</t>
  </si>
  <si>
    <t>1F468 1F3FB 200D 2695                                  ; minimally-qualified # 👨🏻‍⚕ E4.0 man health worker: light skin tone</t>
  </si>
  <si>
    <t>1F468 1F3FC 200D 2695 FE0F                             ; fully-qualified     # 👨🏼‍⚕️ E4.0 man health worker: medium-light skin tone</t>
  </si>
  <si>
    <t>1F468 1F3FC 200D 2695                                  ; minimally-qualified # 👨🏼‍⚕ E4.0 man health worker: medium-light skin tone</t>
  </si>
  <si>
    <t>1F468 1F3FD 200D 2695 FE0F                             ; fully-qualified     # 👨🏽‍⚕️ E4.0 man health worker: medium skin tone</t>
  </si>
  <si>
    <t>1F468 1F3FD 200D 2695                                  ; minimally-qualified # 👨🏽‍⚕ E4.0 man health worker: medium skin tone</t>
  </si>
  <si>
    <t>1F468 1F3FE 200D 2695 FE0F                             ; fully-qualified     # 👨🏾‍⚕️ E4.0 man health worker: medium-dark skin tone</t>
  </si>
  <si>
    <t>1F468 1F3FE 200D 2695                                  ; minimally-qualified # 👨🏾‍⚕ E4.0 man health worker: medium-dark skin tone</t>
  </si>
  <si>
    <t>1F468 1F3FF 200D 2695 FE0F                             ; fully-qualified     # 👨🏿‍⚕️ E4.0 man health worker: dark skin tone</t>
  </si>
  <si>
    <t>1F468 1F3FF 200D 2695                                  ; minimally-qualified # 👨🏿‍⚕ E4.0 man health worker: dark skin tone</t>
  </si>
  <si>
    <t>1F469 200D 2695 FE0F                                   ; fully-qualified     # 👩‍⚕️ E4.0 woman health worker</t>
  </si>
  <si>
    <t>1F469 200D 2695                                        ; minimally-qualified # 👩‍⚕ E4.0 woman health worker</t>
  </si>
  <si>
    <t>1F469 1F3FB 200D 2695 FE0F                             ; fully-qualified     # 👩🏻‍⚕️ E4.0 woman health worker: light skin tone</t>
  </si>
  <si>
    <t>1F469 1F3FB 200D 2695                                  ; minimally-qualified # 👩🏻‍⚕ E4.0 woman health worker: light skin tone</t>
  </si>
  <si>
    <t>1F469 1F3FC 200D 2695 FE0F                             ; fully-qualified     # 👩🏼‍⚕️ E4.0 woman health worker: medium-light skin tone</t>
  </si>
  <si>
    <t>1F469 1F3FC 200D 2695                                  ; minimally-qualified # 👩🏼‍⚕ E4.0 woman health worker: medium-light skin tone</t>
  </si>
  <si>
    <t>1F469 1F3FD 200D 2695 FE0F                             ; fully-qualified     # 👩🏽‍⚕️ E4.0 woman health worker: medium skin tone</t>
  </si>
  <si>
    <t>1F469 1F3FD 200D 2695                                  ; minimally-qualified # 👩🏽‍⚕ E4.0 woman health worker: medium skin tone</t>
  </si>
  <si>
    <t>1F469 1F3FE 200D 2695 FE0F                             ; fully-qualified     # 👩🏾‍⚕️ E4.0 woman health worker: medium-dark skin tone</t>
  </si>
  <si>
    <t>1F469 1F3FE 200D 2695                                  ; minimally-qualified # 👩🏾‍⚕ E4.0 woman health worker: medium-dark skin tone</t>
  </si>
  <si>
    <t>1F469 1F3FF 200D 2695 FE0F                             ; fully-qualified     # 👩🏿‍⚕️ E4.0 woman health worker: dark skin tone</t>
  </si>
  <si>
    <t>1F469 1F3FF 200D 2695                                  ; minimally-qualified # 👩🏿‍⚕ E4.0 woman health worker: dark skin tone</t>
  </si>
  <si>
    <t>1F9D1 200D 1F393                                       ; fully-qualified     # 🧑‍🎓 E12.1 student</t>
  </si>
  <si>
    <t>1F9D1 1F3FB 200D 1F393                                 ; fully-qualified     # 🧑🏻‍🎓 E12.1 student: light skin tone</t>
  </si>
  <si>
    <t>1F9D1 1F3FC 200D 1F393                                 ; fully-qualified     # 🧑🏼‍🎓 E12.1 student: medium-light skin tone</t>
  </si>
  <si>
    <t>1F9D1 1F3FD 200D 1F393                                 ; fully-qualified     # 🧑🏽‍🎓 E12.1 student: medium skin tone</t>
  </si>
  <si>
    <t>1F9D1 1F3FE 200D 1F393                                 ; fully-qualified     # 🧑🏾‍🎓 E12.1 student: medium-dark skin tone</t>
  </si>
  <si>
    <t>1F9D1 1F3FF 200D 1F393                                 ; fully-qualified     # 🧑🏿‍🎓 E12.1 student: dark skin tone</t>
  </si>
  <si>
    <t>1F468 200D 1F393                                       ; fully-qualified     # 👨‍🎓 E4.0 man student</t>
  </si>
  <si>
    <t>1F468 1F3FB 200D 1F393                                 ; fully-qualified     # 👨🏻‍🎓 E4.0 man student: light skin tone</t>
  </si>
  <si>
    <t>1F468 1F3FC 200D 1F393                                 ; fully-qualified     # 👨🏼‍🎓 E4.0 man student: medium-light skin tone</t>
  </si>
  <si>
    <t>1F468 1F3FD 200D 1F393                                 ; fully-qualified     # 👨🏽‍🎓 E4.0 man student: medium skin tone</t>
  </si>
  <si>
    <t>1F468 1F3FE 200D 1F393                                 ; fully-qualified     # 👨🏾‍🎓 E4.0 man student: medium-dark skin tone</t>
  </si>
  <si>
    <t>1F468 1F3FF 200D 1F393                                 ; fully-qualified     # 👨🏿‍🎓 E4.0 man student: dark skin tone</t>
  </si>
  <si>
    <t>1F469 200D 1F393                                       ; fully-qualified     # 👩‍🎓 E4.0 woman student</t>
  </si>
  <si>
    <t>1F469 1F3FB 200D 1F393                                 ; fully-qualified     # 👩🏻‍🎓 E4.0 woman student: light skin tone</t>
  </si>
  <si>
    <t>1F469 1F3FC 200D 1F393                                 ; fully-qualified     # 👩🏼‍🎓 E4.0 woman student: medium-light skin tone</t>
  </si>
  <si>
    <t>1F469 1F3FD 200D 1F393                                 ; fully-qualified     # 👩🏽‍🎓 E4.0 woman student: medium skin tone</t>
  </si>
  <si>
    <t>1F469 1F3FE 200D 1F393                                 ; fully-qualified     # 👩🏾‍🎓 E4.0 woman student: medium-dark skin tone</t>
  </si>
  <si>
    <t>1F469 1F3FF 200D 1F393                                 ; fully-qualified     # 👩🏿‍🎓 E4.0 woman student: dark skin tone</t>
  </si>
  <si>
    <t>1F9D1 200D 1F3EB                                       ; fully-qualified     # 🧑‍🏫 E12.1 teacher</t>
  </si>
  <si>
    <t>1F9D1 1F3FB 200D 1F3EB                                 ; fully-qualified     # 🧑🏻‍🏫 E12.1 teacher: light skin tone</t>
  </si>
  <si>
    <t>1F9D1 1F3FC 200D 1F3EB                                 ; fully-qualified     # 🧑🏼‍🏫 E12.1 teacher: medium-light skin tone</t>
  </si>
  <si>
    <t>1F9D1 1F3FD 200D 1F3EB                                 ; fully-qualified     # 🧑🏽‍🏫 E12.1 teacher: medium skin tone</t>
  </si>
  <si>
    <t>1F9D1 1F3FE 200D 1F3EB                                 ; fully-qualified     # 🧑🏾‍🏫 E12.1 teacher: medium-dark skin tone</t>
  </si>
  <si>
    <t>1F9D1 1F3FF 200D 1F3EB                                 ; fully-qualified     # 🧑🏿‍🏫 E12.1 teacher: dark skin tone</t>
  </si>
  <si>
    <t>1F468 200D 1F3EB                                       ; fully-qualified     # 👨‍🏫 E4.0 man teacher</t>
  </si>
  <si>
    <t>1F468 1F3FB 200D 1F3EB                                 ; fully-qualified     # 👨🏻‍🏫 E4.0 man teacher: light skin tone</t>
  </si>
  <si>
    <t>1F468 1F3FC 200D 1F3EB                                 ; fully-qualified     # 👨🏼‍🏫 E4.0 man teacher: medium-light skin tone</t>
  </si>
  <si>
    <t>1F468 1F3FD 200D 1F3EB                                 ; fully-qualified     # 👨🏽‍🏫 E4.0 man teacher: medium skin tone</t>
  </si>
  <si>
    <t>1F468 1F3FE 200D 1F3EB                                 ; fully-qualified     # 👨🏾‍🏫 E4.0 man teacher: medium-dark skin tone</t>
  </si>
  <si>
    <t>1F468 1F3FF 200D 1F3EB                                 ; fully-qualified     # 👨🏿‍🏫 E4.0 man teacher: dark skin tone</t>
  </si>
  <si>
    <t>1F469 200D 1F3EB                                       ; fully-qualified     # 👩‍🏫 E4.0 woman teacher</t>
  </si>
  <si>
    <t>1F469 1F3FB 200D 1F3EB                                 ; fully-qualified     # 👩🏻‍🏫 E4.0 woman teacher: light skin tone</t>
  </si>
  <si>
    <t>1F469 1F3FC 200D 1F3EB                                 ; fully-qualified     # 👩🏼‍🏫 E4.0 woman teacher: medium-light skin tone</t>
  </si>
  <si>
    <t>1F469 1F3FD 200D 1F3EB                                 ; fully-qualified     # 👩🏽‍🏫 E4.0 woman teacher: medium skin tone</t>
  </si>
  <si>
    <t>1F469 1F3FE 200D 1F3EB                                 ; fully-qualified     # 👩🏾‍🏫 E4.0 woman teacher: medium-dark skin tone</t>
  </si>
  <si>
    <t>1F469 1F3FF 200D 1F3EB                                 ; fully-qualified     # 👩🏿‍🏫 E4.0 woman teacher: dark skin tone</t>
  </si>
  <si>
    <t>1F9D1 200D 2696 FE0F                                   ; fully-qualified     # 🧑‍⚖️ E12.1 judge</t>
  </si>
  <si>
    <t>1F9D1 200D 2696                                        ; minimally-qualified # 🧑‍⚖ E12.1 judge</t>
  </si>
  <si>
    <t>1F9D1 1F3FB 200D 2696 FE0F                             ; fully-qualified     # 🧑🏻‍⚖️ E12.1 judge: light skin tone</t>
  </si>
  <si>
    <t>1F9D1 1F3FB 200D 2696                                  ; minimally-qualified # 🧑🏻‍⚖ E12.1 judge: light skin tone</t>
  </si>
  <si>
    <t>1F9D1 1F3FC 200D 2696 FE0F                             ; fully-qualified     # 🧑🏼‍⚖️ E12.1 judge: medium-light skin tone</t>
  </si>
  <si>
    <t>1F9D1 1F3FC 200D 2696                                  ; minimally-qualified # 🧑🏼‍⚖ E12.1 judge: medium-light skin tone</t>
  </si>
  <si>
    <t>1F9D1 1F3FD 200D 2696 FE0F                             ; fully-qualified     # 🧑🏽‍⚖️ E12.1 judge: medium skin tone</t>
  </si>
  <si>
    <t>1F9D1 1F3FD 200D 2696                                  ; minimally-qualified # 🧑🏽‍⚖ E12.1 judge: medium skin tone</t>
  </si>
  <si>
    <t>1F9D1 1F3FE 200D 2696 FE0F                             ; fully-qualified     # 🧑🏾‍⚖️ E12.1 judge: medium-dark skin tone</t>
  </si>
  <si>
    <t>1F9D1 1F3FE 200D 2696                                  ; minimally-qualified # 🧑🏾‍⚖ E12.1 judge: medium-dark skin tone</t>
  </si>
  <si>
    <t>1F9D1 1F3FF 200D 2696 FE0F                             ; fully-qualified     # 🧑🏿‍⚖️ E12.1 judge: dark skin tone</t>
  </si>
  <si>
    <t>1F9D1 1F3FF 200D 2696                                  ; minimally-qualified # 🧑🏿‍⚖ E12.1 judge: dark skin tone</t>
  </si>
  <si>
    <t>1F468 200D 2696 FE0F                                   ; fully-qualified     # 👨‍⚖️ E4.0 man judge</t>
  </si>
  <si>
    <t>1F468 200D 2696                                        ; minimally-qualified # 👨‍⚖ E4.0 man judge</t>
  </si>
  <si>
    <t>1F468 1F3FB 200D 2696 FE0F                             ; fully-qualified     # 👨🏻‍⚖️ E4.0 man judge: light skin tone</t>
  </si>
  <si>
    <t>1F468 1F3FB 200D 2696                                  ; minimally-qualified # 👨🏻‍⚖ E4.0 man judge: light skin tone</t>
  </si>
  <si>
    <t>1F468 1F3FC 200D 2696 FE0F                             ; fully-qualified     # 👨🏼‍⚖️ E4.0 man judge: medium-light skin tone</t>
  </si>
  <si>
    <t>1F468 1F3FC 200D 2696                                  ; minimally-qualified # 👨🏼‍⚖ E4.0 man judge: medium-light skin tone</t>
  </si>
  <si>
    <t>1F468 1F3FD 200D 2696 FE0F                             ; fully-qualified     # 👨🏽‍⚖️ E4.0 man judge: medium skin tone</t>
  </si>
  <si>
    <t>1F468 1F3FD 200D 2696                                  ; minimally-qualified # 👨🏽‍⚖ E4.0 man judge: medium skin tone</t>
  </si>
  <si>
    <t>1F468 1F3FE 200D 2696 FE0F                             ; fully-qualified     # 👨🏾‍⚖️ E4.0 man judge: medium-dark skin tone</t>
  </si>
  <si>
    <t>1F468 1F3FE 200D 2696                                  ; minimally-qualified # 👨🏾‍⚖ E4.0 man judge: medium-dark skin tone</t>
  </si>
  <si>
    <t>1F468 1F3FF 200D 2696 FE0F                             ; fully-qualified     # 👨🏿‍⚖️ E4.0 man judge: dark skin tone</t>
  </si>
  <si>
    <t>1F468 1F3FF 200D 2696                                  ; minimally-qualified # 👨🏿‍⚖ E4.0 man judge: dark skin tone</t>
  </si>
  <si>
    <t>1F469 200D 2696 FE0F                                   ; fully-qualified     # 👩‍⚖️ E4.0 woman judge</t>
  </si>
  <si>
    <t>1F469 200D 2696                                        ; minimally-qualified # 👩‍⚖ E4.0 woman judge</t>
  </si>
  <si>
    <t>1F469 1F3FB 200D 2696 FE0F                             ; fully-qualified     # 👩🏻‍⚖️ E4.0 woman judge: light skin tone</t>
  </si>
  <si>
    <t>1F469 1F3FB 200D 2696                                  ; minimally-qualified # 👩🏻‍⚖ E4.0 woman judge: light skin tone</t>
  </si>
  <si>
    <t>1F469 1F3FC 200D 2696 FE0F                             ; fully-qualified     # 👩🏼‍⚖️ E4.0 woman judge: medium-light skin tone</t>
  </si>
  <si>
    <t>1F469 1F3FC 200D 2696                                  ; minimally-qualified # 👩🏼‍⚖ E4.0 woman judge: medium-light skin tone</t>
  </si>
  <si>
    <t>1F469 1F3FD 200D 2696 FE0F                             ; fully-qualified     # 👩🏽‍⚖️ E4.0 woman judge: medium skin tone</t>
  </si>
  <si>
    <t>1F469 1F3FD 200D 2696                                  ; minimally-qualified # 👩🏽‍⚖ E4.0 woman judge: medium skin tone</t>
  </si>
  <si>
    <t>1F469 1F3FE 200D 2696 FE0F                             ; fully-qualified     # 👩🏾‍⚖️ E4.0 woman judge: medium-dark skin tone</t>
  </si>
  <si>
    <t>1F469 1F3FE 200D 2696                                  ; minimally-qualified # 👩🏾‍⚖ E4.0 woman judge: medium-dark skin tone</t>
  </si>
  <si>
    <t>1F469 1F3FF 200D 2696 FE0F                             ; fully-qualified     # 👩🏿‍⚖️ E4.0 woman judge: dark skin tone</t>
  </si>
  <si>
    <t>1F469 1F3FF 200D 2696                                  ; minimally-qualified # 👩🏿‍⚖ E4.0 woman judge: dark skin tone</t>
  </si>
  <si>
    <t>1F9D1 200D 1F33E                                       ; fully-qualified     # 🧑‍🌾 E12.1 farmer</t>
  </si>
  <si>
    <t>1F9D1 1F3FB 200D 1F33E                                 ; fully-qualified     # 🧑🏻‍🌾 E12.1 farmer: light skin tone</t>
  </si>
  <si>
    <t>1F9D1 1F3FC 200D 1F33E                                 ; fully-qualified     # 🧑🏼‍🌾 E12.1 farmer: medium-light skin tone</t>
  </si>
  <si>
    <t>1F9D1 1F3FD 200D 1F33E                                 ; fully-qualified     # 🧑🏽‍🌾 E12.1 farmer: medium skin tone</t>
  </si>
  <si>
    <t>1F9D1 1F3FE 200D 1F33E                                 ; fully-qualified     # 🧑🏾‍🌾 E12.1 farmer: medium-dark skin tone</t>
  </si>
  <si>
    <t>1F9D1 1F3FF 200D 1F33E                                 ; fully-qualified     # 🧑🏿‍🌾 E12.1 farmer: dark skin tone</t>
  </si>
  <si>
    <t>1F468 200D 1F33E                                       ; fully-qualified     # 👨‍🌾 E4.0 man farmer</t>
  </si>
  <si>
    <t>1F468 1F3FB 200D 1F33E                                 ; fully-qualified     # 👨🏻‍🌾 E4.0 man farmer: light skin tone</t>
  </si>
  <si>
    <t>1F468 1F3FC 200D 1F33E                                 ; fully-qualified     # 👨🏼‍🌾 E4.0 man farmer: medium-light skin tone</t>
  </si>
  <si>
    <t>1F468 1F3FD 200D 1F33E                                 ; fully-qualified     # 👨🏽‍🌾 E4.0 man farmer: medium skin tone</t>
  </si>
  <si>
    <t>1F468 1F3FE 200D 1F33E                                 ; fully-qualified     # 👨🏾‍🌾 E4.0 man farmer: medium-dark skin tone</t>
  </si>
  <si>
    <t>1F468 1F3FF 200D 1F33E                                 ; fully-qualified     # 👨🏿‍🌾 E4.0 man farmer: dark skin tone</t>
  </si>
  <si>
    <t>1F469 200D 1F33E                                       ; fully-qualified     # 👩‍🌾 E4.0 woman farmer</t>
  </si>
  <si>
    <t>1F469 1F3FB 200D 1F33E                                 ; fully-qualified     # 👩🏻‍🌾 E4.0 woman farmer: light skin tone</t>
  </si>
  <si>
    <t>1F469 1F3FC 200D 1F33E                                 ; fully-qualified     # 👩🏼‍🌾 E4.0 woman farmer: medium-light skin tone</t>
  </si>
  <si>
    <t>1F469 1F3FD 200D 1F33E                                 ; fully-qualified     # 👩🏽‍🌾 E4.0 woman farmer: medium skin tone</t>
  </si>
  <si>
    <t>1F469 1F3FE 200D 1F33E                                 ; fully-qualified     # 👩🏾‍🌾 E4.0 woman farmer: medium-dark skin tone</t>
  </si>
  <si>
    <t>1F469 1F3FF 200D 1F33E                                 ; fully-qualified     # 👩🏿‍🌾 E4.0 woman farmer: dark skin tone</t>
  </si>
  <si>
    <t>1F9D1 200D 1F373                                       ; fully-qualified     # 🧑‍🍳 E12.1 cook</t>
  </si>
  <si>
    <t>1F9D1 1F3FB 200D 1F373                                 ; fully-qualified     # 🧑🏻‍🍳 E12.1 cook: light skin tone</t>
  </si>
  <si>
    <t>1F9D1 1F3FC 200D 1F373                                 ; fully-qualified     # 🧑🏼‍🍳 E12.1 cook: medium-light skin tone</t>
  </si>
  <si>
    <t>1F9D1 1F3FD 200D 1F373                                 ; fully-qualified     # 🧑🏽‍🍳 E12.1 cook: medium skin tone</t>
  </si>
  <si>
    <t>1F9D1 1F3FE 200D 1F373                                 ; fully-qualified     # 🧑🏾‍🍳 E12.1 cook: medium-dark skin tone</t>
  </si>
  <si>
    <t>1F9D1 1F3FF 200D 1F373                                 ; fully-qualified     # 🧑🏿‍🍳 E12.1 cook: dark skin tone</t>
  </si>
  <si>
    <t>1F468 200D 1F373                                       ; fully-qualified     # 👨‍🍳 E4.0 man cook</t>
  </si>
  <si>
    <t>1F468 1F3FB 200D 1F373                                 ; fully-qualified     # 👨🏻‍🍳 E4.0 man cook: light skin tone</t>
  </si>
  <si>
    <t>1F468 1F3FC 200D 1F373                                 ; fully-qualified     # 👨🏼‍🍳 E4.0 man cook: medium-light skin tone</t>
  </si>
  <si>
    <t>1F468 1F3FD 200D 1F373                                 ; fully-qualified     # 👨🏽‍🍳 E4.0 man cook: medium skin tone</t>
  </si>
  <si>
    <t>1F468 1F3FE 200D 1F373                                 ; fully-qualified     # 👨🏾‍🍳 E4.0 man cook: medium-dark skin tone</t>
  </si>
  <si>
    <t>1F468 1F3FF 200D 1F373                                 ; fully-qualified     # 👨🏿‍🍳 E4.0 man cook: dark skin tone</t>
  </si>
  <si>
    <t>1F469 200D 1F373                                       ; fully-qualified     # 👩‍🍳 E4.0 woman cook</t>
  </si>
  <si>
    <t>1F469 1F3FB 200D 1F373                                 ; fully-qualified     # 👩🏻‍🍳 E4.0 woman cook: light skin tone</t>
  </si>
  <si>
    <t>1F469 1F3FC 200D 1F373                                 ; fully-qualified     # 👩🏼‍🍳 E4.0 woman cook: medium-light skin tone</t>
  </si>
  <si>
    <t>1F469 1F3FD 200D 1F373                                 ; fully-qualified     # 👩🏽‍🍳 E4.0 woman cook: medium skin tone</t>
  </si>
  <si>
    <t>1F469 1F3FE 200D 1F373                                 ; fully-qualified     # 👩🏾‍🍳 E4.0 woman cook: medium-dark skin tone</t>
  </si>
  <si>
    <t>1F469 1F3FF 200D 1F373                                 ; fully-qualified     # 👩🏿‍🍳 E4.0 woman cook: dark skin tone</t>
  </si>
  <si>
    <t>1F9D1 200D 1F527                                       ; fully-qualified     # 🧑‍🔧 E12.1 mechanic</t>
  </si>
  <si>
    <t>1F9D1 1F3FB 200D 1F527                                 ; fully-qualified     # 🧑🏻‍🔧 E12.1 mechanic: light skin tone</t>
  </si>
  <si>
    <t>1F9D1 1F3FC 200D 1F527                                 ; fully-qualified     # 🧑🏼‍🔧 E12.1 mechanic: medium-light skin tone</t>
  </si>
  <si>
    <t>1F9D1 1F3FD 200D 1F527                                 ; fully-qualified     # 🧑🏽‍🔧 E12.1 mechanic: medium skin tone</t>
  </si>
  <si>
    <t>1F9D1 1F3FE 200D 1F527                                 ; fully-qualified     # 🧑🏾‍🔧 E12.1 mechanic: medium-dark skin tone</t>
  </si>
  <si>
    <t>1F9D1 1F3FF 200D 1F527                                 ; fully-qualified     # 🧑🏿‍🔧 E12.1 mechanic: dark skin tone</t>
  </si>
  <si>
    <t>1F468 200D 1F527                                       ; fully-qualified     # 👨‍🔧 E4.0 man mechanic</t>
  </si>
  <si>
    <t>1F468 1F3FB 200D 1F527                                 ; fully-qualified     # 👨🏻‍🔧 E4.0 man mechanic: light skin tone</t>
  </si>
  <si>
    <t>1F468 1F3FC 200D 1F527                                 ; fully-qualified     # 👨🏼‍🔧 E4.0 man mechanic: medium-light skin tone</t>
  </si>
  <si>
    <t>1F468 1F3FD 200D 1F527                                 ; fully-qualified     # 👨🏽‍🔧 E4.0 man mechanic: medium skin tone</t>
  </si>
  <si>
    <t>1F468 1F3FE 200D 1F527                                 ; fully-qualified     # 👨🏾‍🔧 E4.0 man mechanic: medium-dark skin tone</t>
  </si>
  <si>
    <t>1F468 1F3FF 200D 1F527                                 ; fully-qualified     # 👨🏿‍🔧 E4.0 man mechanic: dark skin tone</t>
  </si>
  <si>
    <t>1F469 200D 1F527                                       ; fully-qualified     # 👩‍🔧 E4.0 woman mechanic</t>
  </si>
  <si>
    <t>1F469 1F3FB 200D 1F527                                 ; fully-qualified     # 👩🏻‍🔧 E4.0 woman mechanic: light skin tone</t>
  </si>
  <si>
    <t>1F469 1F3FC 200D 1F527                                 ; fully-qualified     # 👩🏼‍🔧 E4.0 woman mechanic: medium-light skin tone</t>
  </si>
  <si>
    <t>1F469 1F3FD 200D 1F527                                 ; fully-qualified     # 👩🏽‍🔧 E4.0 woman mechanic: medium skin tone</t>
  </si>
  <si>
    <t>1F469 1F3FE 200D 1F527                                 ; fully-qualified     # 👩🏾‍🔧 E4.0 woman mechanic: medium-dark skin tone</t>
  </si>
  <si>
    <t>1F469 1F3FF 200D 1F527                                 ; fully-qualified     # 👩🏿‍🔧 E4.0 woman mechanic: dark skin tone</t>
  </si>
  <si>
    <t>1F9D1 200D 1F3ED                                       ; fully-qualified     # 🧑‍🏭 E12.1 factory worker</t>
  </si>
  <si>
    <t>1F9D1 1F3FB 200D 1F3ED                                 ; fully-qualified     # 🧑🏻‍🏭 E12.1 factory worker: light skin tone</t>
  </si>
  <si>
    <t>1F9D1 1F3FC 200D 1F3ED                                 ; fully-qualified     # 🧑🏼‍🏭 E12.1 factory worker: medium-light skin tone</t>
  </si>
  <si>
    <t>1F9D1 1F3FD 200D 1F3ED                                 ; fully-qualified     # 🧑🏽‍🏭 E12.1 factory worker: medium skin tone</t>
  </si>
  <si>
    <t>1F9D1 1F3FE 200D 1F3ED                                 ; fully-qualified     # 🧑🏾‍🏭 E12.1 factory worker: medium-dark skin tone</t>
  </si>
  <si>
    <t>1F9D1 1F3FF 200D 1F3ED                                 ; fully-qualified     # 🧑🏿‍🏭 E12.1 factory worker: dark skin tone</t>
  </si>
  <si>
    <t>1F468 200D 1F3ED                                       ; fully-qualified     # 👨‍🏭 E4.0 man factory worker</t>
  </si>
  <si>
    <t>1F468 1F3FB 200D 1F3ED                                 ; fully-qualified     # 👨🏻‍🏭 E4.0 man factory worker: light skin tone</t>
  </si>
  <si>
    <t>1F468 1F3FC 200D 1F3ED                                 ; fully-qualified     # 👨🏼‍🏭 E4.0 man factory worker: medium-light skin tone</t>
  </si>
  <si>
    <t>1F468 1F3FD 200D 1F3ED                                 ; fully-qualified     # 👨🏽‍🏭 E4.0 man factory worker: medium skin tone</t>
  </si>
  <si>
    <t>1F468 1F3FE 200D 1F3ED                                 ; fully-qualified     # 👨🏾‍🏭 E4.0 man factory worker: medium-dark skin tone</t>
  </si>
  <si>
    <t>1F468 1F3FF 200D 1F3ED                                 ; fully-qualified     # 👨🏿‍🏭 E4.0 man factory worker: dark skin tone</t>
  </si>
  <si>
    <t>1F469 200D 1F3ED                                       ; fully-qualified     # 👩‍🏭 E4.0 woman factory worker</t>
  </si>
  <si>
    <t>1F469 1F3FB 200D 1F3ED                                 ; fully-qualified     # 👩🏻‍🏭 E4.0 woman factory worker: light skin tone</t>
  </si>
  <si>
    <t>1F469 1F3FC 200D 1F3ED                                 ; fully-qualified     # 👩🏼‍🏭 E4.0 woman factory worker: medium-light skin tone</t>
  </si>
  <si>
    <t>1F469 1F3FD 200D 1F3ED                                 ; fully-qualified     # 👩🏽‍🏭 E4.0 woman factory worker: medium skin tone</t>
  </si>
  <si>
    <t>1F469 1F3FE 200D 1F3ED                                 ; fully-qualified     # 👩🏾‍🏭 E4.0 woman factory worker: medium-dark skin tone</t>
  </si>
  <si>
    <t>1F469 1F3FF 200D 1F3ED                                 ; fully-qualified     # 👩🏿‍🏭 E4.0 woman factory worker: dark skin tone</t>
  </si>
  <si>
    <t>1F9D1 200D 1F4BC                                       ; fully-qualified     # 🧑‍💼 E12.1 office worker</t>
  </si>
  <si>
    <t>1F9D1 1F3FB 200D 1F4BC                                 ; fully-qualified     # 🧑🏻‍💼 E12.1 office worker: light skin tone</t>
  </si>
  <si>
    <t>1F9D1 1F3FC 200D 1F4BC                                 ; fully-qualified     # 🧑🏼‍💼 E12.1 office worker: medium-light skin tone</t>
  </si>
  <si>
    <t>1F9D1 1F3FD 200D 1F4BC                                 ; fully-qualified     # 🧑🏽‍💼 E12.1 office worker: medium skin tone</t>
  </si>
  <si>
    <t>1F9D1 1F3FE 200D 1F4BC                                 ; fully-qualified     # 🧑🏾‍💼 E12.1 office worker: medium-dark skin tone</t>
  </si>
  <si>
    <t>1F9D1 1F3FF 200D 1F4BC                                 ; fully-qualified     # 🧑🏿‍💼 E12.1 office worker: dark skin tone</t>
  </si>
  <si>
    <t>1F468 200D 1F4BC                                       ; fully-qualified     # 👨‍💼 E4.0 man office worker</t>
  </si>
  <si>
    <t>1F468 1F3FB 200D 1F4BC                                 ; fully-qualified     # 👨🏻‍💼 E4.0 man office worker: light skin tone</t>
  </si>
  <si>
    <t>1F468 1F3FC 200D 1F4BC                                 ; fully-qualified     # 👨🏼‍💼 E4.0 man office worker: medium-light skin tone</t>
  </si>
  <si>
    <t>1F468 1F3FD 200D 1F4BC                                 ; fully-qualified     # 👨🏽‍💼 E4.0 man office worker: medium skin tone</t>
  </si>
  <si>
    <t>1F468 1F3FE 200D 1F4BC                                 ; fully-qualified     # 👨🏾‍💼 E4.0 man office worker: medium-dark skin tone</t>
  </si>
  <si>
    <t>1F468 1F3FF 200D 1F4BC                                 ; fully-qualified     # 👨🏿‍💼 E4.0 man office worker: dark skin tone</t>
  </si>
  <si>
    <t>1F469 200D 1F4BC                                       ; fully-qualified     # 👩‍💼 E4.0 woman office worker</t>
  </si>
  <si>
    <t>1F469 1F3FB 200D 1F4BC                                 ; fully-qualified     # 👩🏻‍💼 E4.0 woman office worker: light skin tone</t>
  </si>
  <si>
    <t>1F469 1F3FC 200D 1F4BC                                 ; fully-qualified     # 👩🏼‍💼 E4.0 woman office worker: medium-light skin tone</t>
  </si>
  <si>
    <t>1F469 1F3FD 200D 1F4BC                                 ; fully-qualified     # 👩🏽‍💼 E4.0 woman office worker: medium skin tone</t>
  </si>
  <si>
    <t>1F469 1F3FE 200D 1F4BC                                 ; fully-qualified     # 👩🏾‍💼 E4.0 woman office worker: medium-dark skin tone</t>
  </si>
  <si>
    <t>1F469 1F3FF 200D 1F4BC                                 ; fully-qualified     # 👩🏿‍💼 E4.0 woman office worker: dark skin tone</t>
  </si>
  <si>
    <t>1F9D1 200D 1F52C                                       ; fully-qualified     # 🧑‍🔬 E12.1 scientist</t>
  </si>
  <si>
    <t>1F9D1 1F3FB 200D 1F52C                                 ; fully-qualified     # 🧑🏻‍🔬 E12.1 scientist: light skin tone</t>
  </si>
  <si>
    <t>1F9D1 1F3FC 200D 1F52C                                 ; fully-qualified     # 🧑🏼‍🔬 E12.1 scientist: medium-light skin tone</t>
  </si>
  <si>
    <t>1F9D1 1F3FD 200D 1F52C                                 ; fully-qualified     # 🧑🏽‍🔬 E12.1 scientist: medium skin tone</t>
  </si>
  <si>
    <t>1F9D1 1F3FE 200D 1F52C                                 ; fully-qualified     # 🧑🏾‍🔬 E12.1 scientist: medium-dark skin tone</t>
  </si>
  <si>
    <t>1F9D1 1F3FF 200D 1F52C                                 ; fully-qualified     # 🧑🏿‍🔬 E12.1 scientist: dark skin tone</t>
  </si>
  <si>
    <t>1F468 200D 1F52C                                       ; fully-qualified     # 👨‍🔬 E4.0 man scientist</t>
  </si>
  <si>
    <t>1F468 1F3FB 200D 1F52C                                 ; fully-qualified     # 👨🏻‍🔬 E4.0 man scientist: light skin tone</t>
  </si>
  <si>
    <t>1F468 1F3FC 200D 1F52C                                 ; fully-qualified     # 👨🏼‍🔬 E4.0 man scientist: medium-light skin tone</t>
  </si>
  <si>
    <t>1F468 1F3FD 200D 1F52C                                 ; fully-qualified     # 👨🏽‍🔬 E4.0 man scientist: medium skin tone</t>
  </si>
  <si>
    <t>1F468 1F3FE 200D 1F52C                                 ; fully-qualified     # 👨🏾‍🔬 E4.0 man scientist: medium-dark skin tone</t>
  </si>
  <si>
    <t>1F468 1F3FF 200D 1F52C                                 ; fully-qualified     # 👨🏿‍🔬 E4.0 man scientist: dark skin tone</t>
  </si>
  <si>
    <t>1F469 200D 1F52C                                       ; fully-qualified     # 👩‍🔬 E4.0 woman scientist</t>
  </si>
  <si>
    <t>1F469 1F3FB 200D 1F52C                                 ; fully-qualified     # 👩🏻‍🔬 E4.0 woman scientist: light skin tone</t>
  </si>
  <si>
    <t>1F469 1F3FC 200D 1F52C                                 ; fully-qualified     # 👩🏼‍🔬 E4.0 woman scientist: medium-light skin tone</t>
  </si>
  <si>
    <t>1F469 1F3FD 200D 1F52C                                 ; fully-qualified     # 👩🏽‍🔬 E4.0 woman scientist: medium skin tone</t>
  </si>
  <si>
    <t>1F469 1F3FE 200D 1F52C                                 ; fully-qualified     # 👩🏾‍🔬 E4.0 woman scientist: medium-dark skin tone</t>
  </si>
  <si>
    <t>1F469 1F3FF 200D 1F52C                                 ; fully-qualified     # 👩🏿‍🔬 E4.0 woman scientist: dark skin tone</t>
  </si>
  <si>
    <t>1F9D1 200D 1F4BB                                       ; fully-qualified     # 🧑‍💻 E12.1 technologist</t>
  </si>
  <si>
    <t>1F9D1 1F3FB 200D 1F4BB                                 ; fully-qualified     # 🧑🏻‍💻 E12.1 technologist: light skin tone</t>
  </si>
  <si>
    <t>1F9D1 1F3FC 200D 1F4BB                                 ; fully-qualified     # 🧑🏼‍💻 E12.1 technologist: medium-light skin tone</t>
  </si>
  <si>
    <t>1F9D1 1F3FD 200D 1F4BB                                 ; fully-qualified     # 🧑🏽‍💻 E12.1 technologist: medium skin tone</t>
  </si>
  <si>
    <t>1F9D1 1F3FE 200D 1F4BB                                 ; fully-qualified     # 🧑🏾‍💻 E12.1 technologist: medium-dark skin tone</t>
  </si>
  <si>
    <t>1F9D1 1F3FF 200D 1F4BB                                 ; fully-qualified     # 🧑🏿‍💻 E12.1 technologist: dark skin tone</t>
  </si>
  <si>
    <t>1F468 200D 1F4BB                                       ; fully-qualified     # 👨‍💻 E4.0 man technologist</t>
  </si>
  <si>
    <t>1F468 1F3FB 200D 1F4BB                                 ; fully-qualified     # 👨🏻‍💻 E4.0 man technologist: light skin tone</t>
  </si>
  <si>
    <t>1F468 1F3FC 200D 1F4BB                                 ; fully-qualified     # 👨🏼‍💻 E4.0 man technologist: medium-light skin tone</t>
  </si>
  <si>
    <t>1F468 1F3FD 200D 1F4BB                                 ; fully-qualified     # 👨🏽‍💻 E4.0 man technologist: medium skin tone</t>
  </si>
  <si>
    <t>1F468 1F3FE 200D 1F4BB                                 ; fully-qualified     # 👨🏾‍💻 E4.0 man technologist: medium-dark skin tone</t>
  </si>
  <si>
    <t>1F468 1F3FF 200D 1F4BB                                 ; fully-qualified     # 👨🏿‍💻 E4.0 man technologist: dark skin tone</t>
  </si>
  <si>
    <t>1F469 200D 1F4BB                                       ; fully-qualified     # 👩‍💻 E4.0 woman technologist</t>
  </si>
  <si>
    <t>1F469 1F3FB 200D 1F4BB                                 ; fully-qualified     # 👩🏻‍💻 E4.0 woman technologist: light skin tone</t>
  </si>
  <si>
    <t>1F469 1F3FC 200D 1F4BB                                 ; fully-qualified     # 👩🏼‍💻 E4.0 woman technologist: medium-light skin tone</t>
  </si>
  <si>
    <t>1F469 1F3FD 200D 1F4BB                                 ; fully-qualified     # 👩🏽‍💻 E4.0 woman technologist: medium skin tone</t>
  </si>
  <si>
    <t>1F469 1F3FE 200D 1F4BB                                 ; fully-qualified     # 👩🏾‍💻 E4.0 woman technologist: medium-dark skin tone</t>
  </si>
  <si>
    <t>1F469 1F3FF 200D 1F4BB                                 ; fully-qualified     # 👩🏿‍💻 E4.0 woman technologist: dark skin tone</t>
  </si>
  <si>
    <t>1F9D1 200D 1F3A4                                       ; fully-qualified     # 🧑‍🎤 E12.1 singer</t>
  </si>
  <si>
    <t>1F9D1 1F3FB 200D 1F3A4                                 ; fully-qualified     # 🧑🏻‍🎤 E12.1 singer: light skin tone</t>
  </si>
  <si>
    <t>1F9D1 1F3FC 200D 1F3A4                                 ; fully-qualified     # 🧑🏼‍🎤 E12.1 singer: medium-light skin tone</t>
  </si>
  <si>
    <t>1F9D1 1F3FD 200D 1F3A4                                 ; fully-qualified     # 🧑🏽‍🎤 E12.1 singer: medium skin tone</t>
  </si>
  <si>
    <t>1F9D1 1F3FE 200D 1F3A4                                 ; fully-qualified     # 🧑🏾‍🎤 E12.1 singer: medium-dark skin tone</t>
  </si>
  <si>
    <t>1F9D1 1F3FF 200D 1F3A4                                 ; fully-qualified     # 🧑🏿‍🎤 E12.1 singer: dark skin tone</t>
  </si>
  <si>
    <t>1F468 200D 1F3A4                                       ; fully-qualified     # 👨‍🎤 E4.0 man singer</t>
  </si>
  <si>
    <t>1F468 1F3FB 200D 1F3A4                                 ; fully-qualified     # 👨🏻‍🎤 E4.0 man singer: light skin tone</t>
  </si>
  <si>
    <t>1F468 1F3FC 200D 1F3A4                                 ; fully-qualified     # 👨🏼‍🎤 E4.0 man singer: medium-light skin tone</t>
  </si>
  <si>
    <t>1F468 1F3FD 200D 1F3A4                                 ; fully-qualified     # 👨🏽‍🎤 E4.0 man singer: medium skin tone</t>
  </si>
  <si>
    <t>1F468 1F3FE 200D 1F3A4                                 ; fully-qualified     # 👨🏾‍🎤 E4.0 man singer: medium-dark skin tone</t>
  </si>
  <si>
    <t>1F468 1F3FF 200D 1F3A4                                 ; fully-qualified     # 👨🏿‍🎤 E4.0 man singer: dark skin tone</t>
  </si>
  <si>
    <t>1F469 200D 1F3A4                                       ; fully-qualified     # 👩‍🎤 E4.0 woman singer</t>
  </si>
  <si>
    <t>1F469 1F3FB 200D 1F3A4                                 ; fully-qualified     # 👩🏻‍🎤 E4.0 woman singer: light skin tone</t>
  </si>
  <si>
    <t>1F469 1F3FC 200D 1F3A4                                 ; fully-qualified     # 👩🏼‍🎤 E4.0 woman singer: medium-light skin tone</t>
  </si>
  <si>
    <t>1F469 1F3FD 200D 1F3A4                                 ; fully-qualified     # 👩🏽‍🎤 E4.0 woman singer: medium skin tone</t>
  </si>
  <si>
    <t>1F469 1F3FE 200D 1F3A4                                 ; fully-qualified     # 👩🏾‍🎤 E4.0 woman singer: medium-dark skin tone</t>
  </si>
  <si>
    <t>1F469 1F3FF 200D 1F3A4                                 ; fully-qualified     # 👩🏿‍🎤 E4.0 woman singer: dark skin tone</t>
  </si>
  <si>
    <t>1F9D1 200D 1F3A8                                       ; fully-qualified     # 🧑‍🎨 E12.1 artist</t>
  </si>
  <si>
    <t>1F9D1 1F3FB 200D 1F3A8                                 ; fully-qualified     # 🧑🏻‍🎨 E12.1 artist: light skin tone</t>
  </si>
  <si>
    <t>1F9D1 1F3FC 200D 1F3A8                                 ; fully-qualified     # 🧑🏼‍🎨 E12.1 artist: medium-light skin tone</t>
  </si>
  <si>
    <t>1F9D1 1F3FD 200D 1F3A8                                 ; fully-qualified     # 🧑🏽‍🎨 E12.1 artist: medium skin tone</t>
  </si>
  <si>
    <t>1F9D1 1F3FE 200D 1F3A8                                 ; fully-qualified     # 🧑🏾‍🎨 E12.1 artist: medium-dark skin tone</t>
  </si>
  <si>
    <t>1F9D1 1F3FF 200D 1F3A8                                 ; fully-qualified     # 🧑🏿‍🎨 E12.1 artist: dark skin tone</t>
  </si>
  <si>
    <t>1F468 200D 1F3A8                                       ; fully-qualified     # 👨‍🎨 E4.0 man artist</t>
  </si>
  <si>
    <t>1F468 1F3FB 200D 1F3A8                                 ; fully-qualified     # 👨🏻‍🎨 E4.0 man artist: light skin tone</t>
  </si>
  <si>
    <t>1F468 1F3FC 200D 1F3A8                                 ; fully-qualified     # 👨🏼‍🎨 E4.0 man artist: medium-light skin tone</t>
  </si>
  <si>
    <t>1F468 1F3FD 200D 1F3A8                                 ; fully-qualified     # 👨🏽‍🎨 E4.0 man artist: medium skin tone</t>
  </si>
  <si>
    <t>1F468 1F3FE 200D 1F3A8                                 ; fully-qualified     # 👨🏾‍🎨 E4.0 man artist: medium-dark skin tone</t>
  </si>
  <si>
    <t>1F468 1F3FF 200D 1F3A8                                 ; fully-qualified     # 👨🏿‍🎨 E4.0 man artist: dark skin tone</t>
  </si>
  <si>
    <t>1F469 200D 1F3A8                                       ; fully-qualified     # 👩‍🎨 E4.0 woman artist</t>
  </si>
  <si>
    <t>1F469 1F3FB 200D 1F3A8                                 ; fully-qualified     # 👩🏻‍🎨 E4.0 woman artist: light skin tone</t>
  </si>
  <si>
    <t>1F469 1F3FC 200D 1F3A8                                 ; fully-qualified     # 👩🏼‍🎨 E4.0 woman artist: medium-light skin tone</t>
  </si>
  <si>
    <t>1F469 1F3FD 200D 1F3A8                                 ; fully-qualified     # 👩🏽‍🎨 E4.0 woman artist: medium skin tone</t>
  </si>
  <si>
    <t>1F469 1F3FE 200D 1F3A8                                 ; fully-qualified     # 👩🏾‍🎨 E4.0 woman artist: medium-dark skin tone</t>
  </si>
  <si>
    <t>1F469 1F3FF 200D 1F3A8                                 ; fully-qualified     # 👩🏿‍🎨 E4.0 woman artist: dark skin tone</t>
  </si>
  <si>
    <t>1F9D1 200D 2708 FE0F                                   ; fully-qualified     # 🧑‍✈️ E12.1 pilot</t>
  </si>
  <si>
    <t>1F9D1 200D 2708                                        ; minimally-qualified # 🧑‍✈ E12.1 pilot</t>
  </si>
  <si>
    <t>1F9D1 1F3FB 200D 2708 FE0F                             ; fully-qualified     # 🧑🏻‍✈️ E12.1 pilot: light skin tone</t>
  </si>
  <si>
    <t>1F9D1 1F3FB 200D 2708                                  ; minimally-qualified # 🧑🏻‍✈ E12.1 pilot: light skin tone</t>
  </si>
  <si>
    <t>1F9D1 1F3FC 200D 2708 FE0F                             ; fully-qualified     # 🧑🏼‍✈️ E12.1 pilot: medium-light skin tone</t>
  </si>
  <si>
    <t>1F9D1 1F3FC 200D 2708                                  ; minimally-qualified # 🧑🏼‍✈ E12.1 pilot: medium-light skin tone</t>
  </si>
  <si>
    <t>1F9D1 1F3FD 200D 2708 FE0F                             ; fully-qualified     # 🧑🏽‍✈️ E12.1 pilot: medium skin tone</t>
  </si>
  <si>
    <t>1F9D1 1F3FD 200D 2708                                  ; minimally-qualified # 🧑🏽‍✈ E12.1 pilot: medium skin tone</t>
  </si>
  <si>
    <t>1F9D1 1F3FE 200D 2708 FE0F                             ; fully-qualified     # 🧑🏾‍✈️ E12.1 pilot: medium-dark skin tone</t>
  </si>
  <si>
    <t>1F9D1 1F3FE 200D 2708                                  ; minimally-qualified # 🧑🏾‍✈ E12.1 pilot: medium-dark skin tone</t>
  </si>
  <si>
    <t>1F9D1 1F3FF 200D 2708 FE0F                             ; fully-qualified     # 🧑🏿‍✈️ E12.1 pilot: dark skin tone</t>
  </si>
  <si>
    <t>1F9D1 1F3FF 200D 2708                                  ; minimally-qualified # 🧑🏿‍✈ E12.1 pilot: dark skin tone</t>
  </si>
  <si>
    <t>1F468 200D 2708 FE0F                                   ; fully-qualified     # 👨‍✈️ E4.0 man pilot</t>
  </si>
  <si>
    <t>1F468 200D 2708                                        ; minimally-qualified # 👨‍✈ E4.0 man pilot</t>
  </si>
  <si>
    <t>1F468 1F3FB 200D 2708 FE0F                             ; fully-qualified     # 👨🏻‍✈️ E4.0 man pilot: light skin tone</t>
  </si>
  <si>
    <t>1F468 1F3FB 200D 2708                                  ; minimally-qualified # 👨🏻‍✈ E4.0 man pilot: light skin tone</t>
  </si>
  <si>
    <t>1F468 1F3FC 200D 2708 FE0F                             ; fully-qualified     # 👨🏼‍✈️ E4.0 man pilot: medium-light skin tone</t>
  </si>
  <si>
    <t>1F468 1F3FC 200D 2708                                  ; minimally-qualified # 👨🏼‍✈ E4.0 man pilot: medium-light skin tone</t>
  </si>
  <si>
    <t>1F468 1F3FD 200D 2708 FE0F                             ; fully-qualified     # 👨🏽‍✈️ E4.0 man pilot: medium skin tone</t>
  </si>
  <si>
    <t>1F468 1F3FD 200D 2708                                  ; minimally-qualified # 👨🏽‍✈ E4.0 man pilot: medium skin tone</t>
  </si>
  <si>
    <t>1F468 1F3FE 200D 2708 FE0F                             ; fully-qualified     # 👨🏾‍✈️ E4.0 man pilot: medium-dark skin tone</t>
  </si>
  <si>
    <t>1F468 1F3FE 200D 2708                                  ; minimally-qualified # 👨🏾‍✈ E4.0 man pilot: medium-dark skin tone</t>
  </si>
  <si>
    <t>1F468 1F3FF 200D 2708 FE0F                             ; fully-qualified     # 👨🏿‍✈️ E4.0 man pilot: dark skin tone</t>
  </si>
  <si>
    <t>1F468 1F3FF 200D 2708                                  ; minimally-qualified # 👨🏿‍✈ E4.0 man pilot: dark skin tone</t>
  </si>
  <si>
    <t>1F469 200D 2708 FE0F                                   ; fully-qualified     # 👩‍✈️ E4.0 woman pilot</t>
  </si>
  <si>
    <t>1F469 200D 2708                                        ; minimally-qualified # 👩‍✈ E4.0 woman pilot</t>
  </si>
  <si>
    <t>1F469 1F3FB 200D 2708 FE0F                             ; fully-qualified     # 👩🏻‍✈️ E4.0 woman pilot: light skin tone</t>
  </si>
  <si>
    <t>1F469 1F3FB 200D 2708                                  ; minimally-qualified # 👩🏻‍✈ E4.0 woman pilot: light skin tone</t>
  </si>
  <si>
    <t>1F469 1F3FC 200D 2708 FE0F                             ; fully-qualified     # 👩🏼‍✈️ E4.0 woman pilot: medium-light skin tone</t>
  </si>
  <si>
    <t>1F469 1F3FC 200D 2708                                  ; minimally-qualified # 👩🏼‍✈ E4.0 woman pilot: medium-light skin tone</t>
  </si>
  <si>
    <t>1F469 1F3FD 200D 2708 FE0F                             ; fully-qualified     # 👩🏽‍✈️ E4.0 woman pilot: medium skin tone</t>
  </si>
  <si>
    <t>1F469 1F3FD 200D 2708                                  ; minimally-qualified # 👩🏽‍✈ E4.0 woman pilot: medium skin tone</t>
  </si>
  <si>
    <t>1F469 1F3FE 200D 2708 FE0F                             ; fully-qualified     # 👩🏾‍✈️ E4.0 woman pilot: medium-dark skin tone</t>
  </si>
  <si>
    <t>1F469 1F3FE 200D 2708                                  ; minimally-qualified # 👩🏾‍✈ E4.0 woman pilot: medium-dark skin tone</t>
  </si>
  <si>
    <t>1F469 1F3FF 200D 2708 FE0F                             ; fully-qualified     # 👩🏿‍✈️ E4.0 woman pilot: dark skin tone</t>
  </si>
  <si>
    <t>1F469 1F3FF 200D 2708                                  ; minimally-qualified # 👩🏿‍✈ E4.0 woman pilot: dark skin tone</t>
  </si>
  <si>
    <t>1F9D1 200D 1F680                                       ; fully-qualified     # 🧑‍🚀 E12.1 astronaut</t>
  </si>
  <si>
    <t>1F9D1 1F3FB 200D 1F680                                 ; fully-qualified     # 🧑🏻‍🚀 E12.1 astronaut: light skin tone</t>
  </si>
  <si>
    <t>1F9D1 1F3FC 200D 1F680                                 ; fully-qualified     # 🧑🏼‍🚀 E12.1 astronaut: medium-light skin tone</t>
  </si>
  <si>
    <t>1F9D1 1F3FD 200D 1F680                                 ; fully-qualified     # 🧑🏽‍🚀 E12.1 astronaut: medium skin tone</t>
  </si>
  <si>
    <t>1F9D1 1F3FE 200D 1F680                                 ; fully-qualified     # 🧑🏾‍🚀 E12.1 astronaut: medium-dark skin tone</t>
  </si>
  <si>
    <t>1F9D1 1F3FF 200D 1F680                                 ; fully-qualified     # 🧑🏿‍🚀 E12.1 astronaut: dark skin tone</t>
  </si>
  <si>
    <t>1F468 200D 1F680                                       ; fully-qualified     # 👨‍🚀 E4.0 man astronaut</t>
  </si>
  <si>
    <t>1F468 1F3FB 200D 1F680                                 ; fully-qualified     # 👨🏻‍🚀 E4.0 man astronaut: light skin tone</t>
  </si>
  <si>
    <t>1F468 1F3FC 200D 1F680                                 ; fully-qualified     # 👨🏼‍🚀 E4.0 man astronaut: medium-light skin tone</t>
  </si>
  <si>
    <t>1F468 1F3FD 200D 1F680                                 ; fully-qualified     # 👨🏽‍🚀 E4.0 man astronaut: medium skin tone</t>
  </si>
  <si>
    <t>1F468 1F3FE 200D 1F680                                 ; fully-qualified     # 👨🏾‍🚀 E4.0 man astronaut: medium-dark skin tone</t>
  </si>
  <si>
    <t>1F468 1F3FF 200D 1F680                                 ; fully-qualified     # 👨🏿‍🚀 E4.0 man astronaut: dark skin tone</t>
  </si>
  <si>
    <t>1F469 200D 1F680                                       ; fully-qualified     # 👩‍🚀 E4.0 woman astronaut</t>
  </si>
  <si>
    <t>1F469 1F3FB 200D 1F680                                 ; fully-qualified     # 👩🏻‍🚀 E4.0 woman astronaut: light skin tone</t>
  </si>
  <si>
    <t>1F469 1F3FC 200D 1F680                                 ; fully-qualified     # 👩🏼‍🚀 E4.0 woman astronaut: medium-light skin tone</t>
  </si>
  <si>
    <t>1F469 1F3FD 200D 1F680                                 ; fully-qualified     # 👩🏽‍🚀 E4.0 woman astronaut: medium skin tone</t>
  </si>
  <si>
    <t>1F469 1F3FE 200D 1F680                                 ; fully-qualified     # 👩🏾‍🚀 E4.0 woman astronaut: medium-dark skin tone</t>
  </si>
  <si>
    <t>1F469 1F3FF 200D 1F680                                 ; fully-qualified     # 👩🏿‍🚀 E4.0 woman astronaut: dark skin tone</t>
  </si>
  <si>
    <t>1F9D1 200D 1F692                                       ; fully-qualified     # 🧑‍🚒 E12.1 firefighter</t>
  </si>
  <si>
    <t>1F9D1 1F3FB 200D 1F692                                 ; fully-qualified     # 🧑🏻‍🚒 E12.1 firefighter: light skin tone</t>
  </si>
  <si>
    <t>1F9D1 1F3FC 200D 1F692                                 ; fully-qualified     # 🧑🏼‍🚒 E12.1 firefighter: medium-light skin tone</t>
  </si>
  <si>
    <t>1F9D1 1F3FD 200D 1F692                                 ; fully-qualified     # 🧑🏽‍🚒 E12.1 firefighter: medium skin tone</t>
  </si>
  <si>
    <t>1F9D1 1F3FE 200D 1F692                                 ; fully-qualified     # 🧑🏾‍🚒 E12.1 firefighter: medium-dark skin tone</t>
  </si>
  <si>
    <t>1F9D1 1F3FF 200D 1F692                                 ; fully-qualified     # 🧑🏿‍🚒 E12.1 firefighter: dark skin tone</t>
  </si>
  <si>
    <t>1F468 200D 1F692                                       ; fully-qualified     # 👨‍🚒 E4.0 man firefighter</t>
  </si>
  <si>
    <t>1F468 1F3FB 200D 1F692                                 ; fully-qualified     # 👨🏻‍🚒 E4.0 man firefighter: light skin tone</t>
  </si>
  <si>
    <t>1F468 1F3FC 200D 1F692                                 ; fully-qualified     # 👨🏼‍🚒 E4.0 man firefighter: medium-light skin tone</t>
  </si>
  <si>
    <t>1F468 1F3FD 200D 1F692                                 ; fully-qualified     # 👨🏽‍🚒 E4.0 man firefighter: medium skin tone</t>
  </si>
  <si>
    <t>1F468 1F3FE 200D 1F692                                 ; fully-qualified     # 👨🏾‍🚒 E4.0 man firefighter: medium-dark skin tone</t>
  </si>
  <si>
    <t>1F468 1F3FF 200D 1F692                                 ; fully-qualified     # 👨🏿‍🚒 E4.0 man firefighter: dark skin tone</t>
  </si>
  <si>
    <t>1F469 200D 1F692                                       ; fully-qualified     # 👩‍🚒 E4.0 woman firefighter</t>
  </si>
  <si>
    <t>1F469 1F3FB 200D 1F692                                 ; fully-qualified     # 👩🏻‍🚒 E4.0 woman firefighter: light skin tone</t>
  </si>
  <si>
    <t>1F469 1F3FC 200D 1F692                                 ; fully-qualified     # 👩🏼‍🚒 E4.0 woman firefighter: medium-light skin tone</t>
  </si>
  <si>
    <t>1F469 1F3FD 200D 1F692                                 ; fully-qualified     # 👩🏽‍🚒 E4.0 woman firefighter: medium skin tone</t>
  </si>
  <si>
    <t>1F469 1F3FE 200D 1F692                                 ; fully-qualified     # 👩🏾‍🚒 E4.0 woman firefighter: medium-dark skin tone</t>
  </si>
  <si>
    <t>1F469 1F3FF 200D 1F692                                 ; fully-qualified     # 👩🏿‍🚒 E4.0 woman firefighter: dark skin tone</t>
  </si>
  <si>
    <t>1F46E                                                  ; fully-qualified     # 👮 E0.6 police officer</t>
  </si>
  <si>
    <t>1F46E 1F3FB                                            ; fully-qualified     # 👮🏻 E1.0 police officer: light skin tone</t>
  </si>
  <si>
    <t>1F46E 1F3FC                                            ; fully-qualified     # 👮🏼 E1.0 police officer: medium-light skin tone</t>
  </si>
  <si>
    <t>1F46E 1F3FD                                            ; fully-qualified     # 👮🏽 E1.0 police officer: medium skin tone</t>
  </si>
  <si>
    <t>1F46E 1F3FE                                            ; fully-qualified     # 👮🏾 E1.0 police officer: medium-dark skin tone</t>
  </si>
  <si>
    <t>1F46E 1F3FF                                            ; fully-qualified     # 👮🏿 E1.0 police officer: dark skin tone</t>
  </si>
  <si>
    <t>1F46E 200D 2642 FE0F                                   ; fully-qualified     # 👮‍♂️ E4.0 man police officer</t>
  </si>
  <si>
    <t>1F46E 200D 2642                                        ; minimally-qualified # 👮‍♂ E4.0 man police officer</t>
  </si>
  <si>
    <t>1F46E 1F3FB 200D 2642 FE0F                             ; fully-qualified     # 👮🏻‍♂️ E4.0 man police officer: light skin tone</t>
  </si>
  <si>
    <t>1F46E 1F3FB 200D 2642                                  ; minimally-qualified # 👮🏻‍♂ E4.0 man police officer: light skin tone</t>
  </si>
  <si>
    <t>1F46E 1F3FC 200D 2642 FE0F                             ; fully-qualified     # 👮🏼‍♂️ E4.0 man police officer: medium-light skin tone</t>
  </si>
  <si>
    <t>1F46E 1F3FC 200D 2642                                  ; minimally-qualified # 👮🏼‍♂ E4.0 man police officer: medium-light skin tone</t>
  </si>
  <si>
    <t>1F46E 1F3FD 200D 2642 FE0F                             ; fully-qualified     # 👮🏽‍♂️ E4.0 man police officer: medium skin tone</t>
  </si>
  <si>
    <t>1F46E 1F3FD 200D 2642                                  ; minimally-qualified # 👮🏽‍♂ E4.0 man police officer: medium skin tone</t>
  </si>
  <si>
    <t>1F46E 1F3FE 200D 2642 FE0F                             ; fully-qualified     # 👮🏾‍♂️ E4.0 man police officer: medium-dark skin tone</t>
  </si>
  <si>
    <t>1F46E 1F3FE 200D 2642                                  ; minimally-qualified # 👮🏾‍♂ E4.0 man police officer: medium-dark skin tone</t>
  </si>
  <si>
    <t>1F46E 1F3FF 200D 2642 FE0F                             ; fully-qualified     # 👮🏿‍♂️ E4.0 man police officer: dark skin tone</t>
  </si>
  <si>
    <t>1F46E 1F3FF 200D 2642                                  ; minimally-qualified # 👮🏿‍♂ E4.0 man police officer: dark skin tone</t>
  </si>
  <si>
    <t>1F46E 200D 2640 FE0F                                   ; fully-qualified     # 👮‍♀️ E4.0 woman police officer</t>
  </si>
  <si>
    <t>1F46E 200D 2640                                        ; minimally-qualified # 👮‍♀ E4.0 woman police officer</t>
  </si>
  <si>
    <t>1F46E 1F3FB 200D 2640 FE0F                             ; fully-qualified     # 👮🏻‍♀️ E4.0 woman police officer: light skin tone</t>
  </si>
  <si>
    <t>1F46E 1F3FB 200D 2640                                  ; minimally-qualified # 👮🏻‍♀ E4.0 woman police officer: light skin tone</t>
  </si>
  <si>
    <t>1F46E 1F3FC 200D 2640 FE0F                             ; fully-qualified     # 👮🏼‍♀️ E4.0 woman police officer: medium-light skin tone</t>
  </si>
  <si>
    <t>1F46E 1F3FC 200D 2640                                  ; minimally-qualified # 👮🏼‍♀ E4.0 woman police officer: medium-light skin tone</t>
  </si>
  <si>
    <t>1F46E 1F3FD 200D 2640 FE0F                             ; fully-qualified     # 👮🏽‍♀️ E4.0 woman police officer: medium skin tone</t>
  </si>
  <si>
    <t>1F46E 1F3FD 200D 2640                                  ; minimally-qualified # 👮🏽‍♀ E4.0 woman police officer: medium skin tone</t>
  </si>
  <si>
    <t>1F46E 1F3FE 200D 2640 FE0F                             ; fully-qualified     # 👮🏾‍♀️ E4.0 woman police officer: medium-dark skin tone</t>
  </si>
  <si>
    <t>1F46E 1F3FE 200D 2640                                  ; minimally-qualified # 👮🏾‍♀ E4.0 woman police officer: medium-dark skin tone</t>
  </si>
  <si>
    <t>1F46E 1F3FF 200D 2640 FE0F                             ; fully-qualified     # 👮🏿‍♀️ E4.0 woman police officer: dark skin tone</t>
  </si>
  <si>
    <t>1F46E 1F3FF 200D 2640                                  ; minimally-qualified # 👮🏿‍♀ E4.0 woman police officer: dark skin tone</t>
  </si>
  <si>
    <t>1F575 FE0F                                             ; fully-qualified     # 🕵️ E0.7 detective</t>
  </si>
  <si>
    <t>1F575                                                  ; unqualified         # 🕵 E0.7 detective</t>
  </si>
  <si>
    <t>1F575 1F3FB                                            ; fully-qualified     # 🕵🏻 E2.0 detective: light skin tone</t>
  </si>
  <si>
    <t>1F575 1F3FC                                            ; fully-qualified     # 🕵🏼 E2.0 detective: medium-light skin tone</t>
  </si>
  <si>
    <t>1F575 1F3FD                                            ; fully-qualified     # 🕵🏽 E2.0 detective: medium skin tone</t>
  </si>
  <si>
    <t>1F575 1F3FE                                            ; fully-qualified     # 🕵🏾 E2.0 detective: medium-dark skin tone</t>
  </si>
  <si>
    <t>1F575 1F3FF                                            ; fully-qualified     # 🕵🏿 E2.0 detective: dark skin tone</t>
  </si>
  <si>
    <t>1F575 FE0F 200D 2642 FE0F                              ; fully-qualified     # 🕵️‍♂️ E4.0 man detective</t>
  </si>
  <si>
    <t>1F575 200D 2642 FE0F                                   ; unqualified         # 🕵‍♂️ E4.0 man detective</t>
  </si>
  <si>
    <t>1F575 FE0F 200D 2642                                   ; unqualified         # 🕵️‍♂ E4.0 man detective</t>
  </si>
  <si>
    <t>1F575 200D 2642                                        ; unqualified         # 🕵‍♂ E4.0 man detective</t>
  </si>
  <si>
    <t>1F575 1F3FB 200D 2642 FE0F                             ; fully-qualified     # 🕵🏻‍♂️ E4.0 man detective: light skin tone</t>
  </si>
  <si>
    <t>1F575 1F3FB 200D 2642                                  ; minimally-qualified # 🕵🏻‍♂ E4.0 man detective: light skin tone</t>
  </si>
  <si>
    <t>1F575 1F3FC 200D 2642 FE0F                             ; fully-qualified     # 🕵🏼‍♂️ E4.0 man detective: medium-light skin tone</t>
  </si>
  <si>
    <t>1F575 1F3FC 200D 2642                                  ; minimally-qualified # 🕵🏼‍♂ E4.0 man detective: medium-light skin tone</t>
  </si>
  <si>
    <t>1F575 1F3FD 200D 2642 FE0F                             ; fully-qualified     # 🕵🏽‍♂️ E4.0 man detective: medium skin tone</t>
  </si>
  <si>
    <t>1F575 1F3FD 200D 2642                                  ; minimally-qualified # 🕵🏽‍♂ E4.0 man detective: medium skin tone</t>
  </si>
  <si>
    <t>1F575 1F3FE 200D 2642 FE0F                             ; fully-qualified     # 🕵🏾‍♂️ E4.0 man detective: medium-dark skin tone</t>
  </si>
  <si>
    <t>1F575 1F3FE 200D 2642                                  ; minimally-qualified # 🕵🏾‍♂ E4.0 man detective: medium-dark skin tone</t>
  </si>
  <si>
    <t>1F575 1F3FF 200D 2642 FE0F                             ; fully-qualified     # 🕵🏿‍♂️ E4.0 man detective: dark skin tone</t>
  </si>
  <si>
    <t>1F575 1F3FF 200D 2642                                  ; minimally-qualified # 🕵🏿‍♂ E4.0 man detective: dark skin tone</t>
  </si>
  <si>
    <t>1F575 FE0F 200D 2640 FE0F                              ; fully-qualified     # 🕵️‍♀️ E4.0 woman detective</t>
  </si>
  <si>
    <t>1F575 200D 2640 FE0F                                   ; unqualified         # 🕵‍♀️ E4.0 woman detective</t>
  </si>
  <si>
    <t>1F575 FE0F 200D 2640                                   ; unqualified         # 🕵️‍♀ E4.0 woman detective</t>
  </si>
  <si>
    <t>1F575 200D 2640                                        ; unqualified         # 🕵‍♀ E4.0 woman detective</t>
  </si>
  <si>
    <t>1F575 1F3FB 200D 2640 FE0F                             ; fully-qualified     # 🕵🏻‍♀️ E4.0 woman detective: light skin tone</t>
  </si>
  <si>
    <t>1F575 1F3FB 200D 2640                                  ; minimally-qualified # 🕵🏻‍♀ E4.0 woman detective: light skin tone</t>
  </si>
  <si>
    <t>1F575 1F3FC 200D 2640 FE0F                             ; fully-qualified     # 🕵🏼‍♀️ E4.0 woman detective: medium-light skin tone</t>
  </si>
  <si>
    <t>1F575 1F3FC 200D 2640                                  ; minimally-qualified # 🕵🏼‍♀ E4.0 woman detective: medium-light skin tone</t>
  </si>
  <si>
    <t>1F575 1F3FD 200D 2640 FE0F                             ; fully-qualified     # 🕵🏽‍♀️ E4.0 woman detective: medium skin tone</t>
  </si>
  <si>
    <t>1F575 1F3FD 200D 2640                                  ; minimally-qualified # 🕵🏽‍♀ E4.0 woman detective: medium skin tone</t>
  </si>
  <si>
    <t>1F575 1F3FE 200D 2640 FE0F                             ; fully-qualified     # 🕵🏾‍♀️ E4.0 woman detective: medium-dark skin tone</t>
  </si>
  <si>
    <t>1F575 1F3FE 200D 2640                                  ; minimally-qualified # 🕵🏾‍♀ E4.0 woman detective: medium-dark skin tone</t>
  </si>
  <si>
    <t>1F575 1F3FF 200D 2640 FE0F                             ; fully-qualified     # 🕵🏿‍♀️ E4.0 woman detective: dark skin tone</t>
  </si>
  <si>
    <t>1F575 1F3FF 200D 2640                                  ; minimally-qualified # 🕵🏿‍♀ E4.0 woman detective: dark skin tone</t>
  </si>
  <si>
    <t>1F482                                                  ; fully-qualified     # 💂 E0.6 guard</t>
  </si>
  <si>
    <t>1F482 1F3FB                                            ; fully-qualified     # 💂🏻 E1.0 guard: light skin tone</t>
  </si>
  <si>
    <t>1F482 1F3FC                                            ; fully-qualified     # 💂🏼 E1.0 guard: medium-light skin tone</t>
  </si>
  <si>
    <t>1F482 1F3FD                                            ; fully-qualified     # 💂🏽 E1.0 guard: medium skin tone</t>
  </si>
  <si>
    <t>1F482 1F3FE                                            ; fully-qualified     # 💂🏾 E1.0 guard: medium-dark skin tone</t>
  </si>
  <si>
    <t>1F482 1F3FF                                            ; fully-qualified     # 💂🏿 E1.0 guard: dark skin tone</t>
  </si>
  <si>
    <t>1F482 200D 2642 FE0F                                   ; fully-qualified     # 💂‍♂️ E4.0 man guard</t>
  </si>
  <si>
    <t>1F482 200D 2642                                        ; minimally-qualified # 💂‍♂ E4.0 man guard</t>
  </si>
  <si>
    <t>1F482 1F3FB 200D 2642 FE0F                             ; fully-qualified     # 💂🏻‍♂️ E4.0 man guard: light skin tone</t>
  </si>
  <si>
    <t>1F482 1F3FB 200D 2642                                  ; minimally-qualified # 💂🏻‍♂ E4.0 man guard: light skin tone</t>
  </si>
  <si>
    <t>1F482 1F3FC 200D 2642 FE0F                             ; fully-qualified     # 💂🏼‍♂️ E4.0 man guard: medium-light skin tone</t>
  </si>
  <si>
    <t>1F482 1F3FC 200D 2642                                  ; minimally-qualified # 💂🏼‍♂ E4.0 man guard: medium-light skin tone</t>
  </si>
  <si>
    <t>1F482 1F3FD 200D 2642 FE0F                             ; fully-qualified     # 💂🏽‍♂️ E4.0 man guard: medium skin tone</t>
  </si>
  <si>
    <t>1F482 1F3FD 200D 2642                                  ; minimally-qualified # 💂🏽‍♂ E4.0 man guard: medium skin tone</t>
  </si>
  <si>
    <t>1F482 1F3FE 200D 2642 FE0F                             ; fully-qualified     # 💂🏾‍♂️ E4.0 man guard: medium-dark skin tone</t>
  </si>
  <si>
    <t>1F482 1F3FE 200D 2642                                  ; minimally-qualified # 💂🏾‍♂ E4.0 man guard: medium-dark skin tone</t>
  </si>
  <si>
    <t>1F482 1F3FF 200D 2642 FE0F                             ; fully-qualified     # 💂🏿‍♂️ E4.0 man guard: dark skin tone</t>
  </si>
  <si>
    <t>1F482 1F3FF 200D 2642                                  ; minimally-qualified # 💂🏿‍♂ E4.0 man guard: dark skin tone</t>
  </si>
  <si>
    <t>1F482 200D 2640 FE0F                                   ; fully-qualified     # 💂‍♀️ E4.0 woman guard</t>
  </si>
  <si>
    <t>1F482 200D 2640                                        ; minimally-qualified # 💂‍♀ E4.0 woman guard</t>
  </si>
  <si>
    <t>1F482 1F3FB 200D 2640 FE0F                             ; fully-qualified     # 💂🏻‍♀️ E4.0 woman guard: light skin tone</t>
  </si>
  <si>
    <t>1F482 1F3FB 200D 2640                                  ; minimally-qualified # 💂🏻‍♀ E4.0 woman guard: light skin tone</t>
  </si>
  <si>
    <t>1F482 1F3FC 200D 2640 FE0F                             ; fully-qualified     # 💂🏼‍♀️ E4.0 woman guard: medium-light skin tone</t>
  </si>
  <si>
    <t>1F482 1F3FC 200D 2640                                  ; minimally-qualified # 💂🏼‍♀ E4.0 woman guard: medium-light skin tone</t>
  </si>
  <si>
    <t>1F482 1F3FD 200D 2640 FE0F                             ; fully-qualified     # 💂🏽‍♀️ E4.0 woman guard: medium skin tone</t>
  </si>
  <si>
    <t>1F482 1F3FD 200D 2640                                  ; minimally-qualified # 💂🏽‍♀ E4.0 woman guard: medium skin tone</t>
  </si>
  <si>
    <t>1F482 1F3FE 200D 2640 FE0F                             ; fully-qualified     # 💂🏾‍♀️ E4.0 woman guard: medium-dark skin tone</t>
  </si>
  <si>
    <t>1F482 1F3FE 200D 2640                                  ; minimally-qualified # 💂🏾‍♀ E4.0 woman guard: medium-dark skin tone</t>
  </si>
  <si>
    <t>1F482 1F3FF 200D 2640 FE0F                             ; fully-qualified     # 💂🏿‍♀️ E4.0 woman guard: dark skin tone</t>
  </si>
  <si>
    <t>1F482 1F3FF 200D 2640                                  ; minimally-qualified # 💂🏿‍♀ E4.0 woman guard: dark skin tone</t>
  </si>
  <si>
    <t>1F977                                                  ; fully-qualified     # 🥷 E13.0 ninja</t>
  </si>
  <si>
    <t>1F977 1F3FB                                            ; fully-qualified     # 🥷🏻 E13.0 ninja: light skin tone</t>
  </si>
  <si>
    <t>1F977 1F3FC                                            ; fully-qualified     # 🥷🏼 E13.0 ninja: medium-light skin tone</t>
  </si>
  <si>
    <t>1F977 1F3FD                                            ; fully-qualified     # 🥷🏽 E13.0 ninja: medium skin tone</t>
  </si>
  <si>
    <t>1F977 1F3FE                                            ; fully-qualified     # 🥷🏾 E13.0 ninja: medium-dark skin tone</t>
  </si>
  <si>
    <t>1F977 1F3FF                                            ; fully-qualified     # 🥷🏿 E13.0 ninja: dark skin tone</t>
  </si>
  <si>
    <t>1F477                                                  ; fully-qualified     # 👷 E0.6 construction worker</t>
  </si>
  <si>
    <t>1F477 1F3FB                                            ; fully-qualified     # 👷🏻 E1.0 construction worker: light skin tone</t>
  </si>
  <si>
    <t>1F477 1F3FC                                            ; fully-qualified     # 👷🏼 E1.0 construction worker: medium-light skin tone</t>
  </si>
  <si>
    <t>1F477 1F3FD                                            ; fully-qualified     # 👷🏽 E1.0 construction worker: medium skin tone</t>
  </si>
  <si>
    <t>1F477 1F3FE                                            ; fully-qualified     # 👷🏾 E1.0 construction worker: medium-dark skin tone</t>
  </si>
  <si>
    <t>1F477 1F3FF                                            ; fully-qualified     # 👷🏿 E1.0 construction worker: dark skin tone</t>
  </si>
  <si>
    <t>1F477 200D 2642 FE0F                                   ; fully-qualified     # 👷‍♂️ E4.0 man construction worker</t>
  </si>
  <si>
    <t>1F477 200D 2642                                        ; minimally-qualified # 👷‍♂ E4.0 man construction worker</t>
  </si>
  <si>
    <t>1F477 1F3FB 200D 2642 FE0F                             ; fully-qualified     # 👷🏻‍♂️ E4.0 man construction worker: light skin tone</t>
  </si>
  <si>
    <t>1F477 1F3FB 200D 2642                                  ; minimally-qualified # 👷🏻‍♂ E4.0 man construction worker: light skin tone</t>
  </si>
  <si>
    <t>1F477 1F3FC 200D 2642 FE0F                             ; fully-qualified     # 👷🏼‍♂️ E4.0 man construction worker: medium-light skin tone</t>
  </si>
  <si>
    <t>1F477 1F3FC 200D 2642                                  ; minimally-qualified # 👷🏼‍♂ E4.0 man construction worker: medium-light skin tone</t>
  </si>
  <si>
    <t>1F477 1F3FD 200D 2642 FE0F                             ; fully-qualified     # 👷🏽‍♂️ E4.0 man construction worker: medium skin tone</t>
  </si>
  <si>
    <t>1F477 1F3FD 200D 2642                                  ; minimally-qualified # 👷🏽‍♂ E4.0 man construction worker: medium skin tone</t>
  </si>
  <si>
    <t>1F477 1F3FE 200D 2642 FE0F                             ; fully-qualified     # 👷🏾‍♂️ E4.0 man construction worker: medium-dark skin tone</t>
  </si>
  <si>
    <t>1F477 1F3FE 200D 2642                                  ; minimally-qualified # 👷🏾‍♂ E4.0 man construction worker: medium-dark skin tone</t>
  </si>
  <si>
    <t>1F477 1F3FF 200D 2642 FE0F                             ; fully-qualified     # 👷🏿‍♂️ E4.0 man construction worker: dark skin tone</t>
  </si>
  <si>
    <t>1F477 1F3FF 200D 2642                                  ; minimally-qualified # 👷🏿‍♂ E4.0 man construction worker: dark skin tone</t>
  </si>
  <si>
    <t>1F477 200D 2640 FE0F                                   ; fully-qualified     # 👷‍♀️ E4.0 woman construction worker</t>
  </si>
  <si>
    <t>1F477 200D 2640                                        ; minimally-qualified # 👷‍♀ E4.0 woman construction worker</t>
  </si>
  <si>
    <t>1F477 1F3FB 200D 2640 FE0F                             ; fully-qualified     # 👷🏻‍♀️ E4.0 woman construction worker: light skin tone</t>
  </si>
  <si>
    <t>1F477 1F3FB 200D 2640                                  ; minimally-qualified # 👷🏻‍♀ E4.0 woman construction worker: light skin tone</t>
  </si>
  <si>
    <t>1F477 1F3FC 200D 2640 FE0F                             ; fully-qualified     # 👷🏼‍♀️ E4.0 woman construction worker: medium-light skin tone</t>
  </si>
  <si>
    <t>1F477 1F3FC 200D 2640                                  ; minimally-qualified # 👷🏼‍♀ E4.0 woman construction worker: medium-light skin tone</t>
  </si>
  <si>
    <t>1F477 1F3FD 200D 2640 FE0F                             ; fully-qualified     # 👷🏽‍♀️ E4.0 woman construction worker: medium skin tone</t>
  </si>
  <si>
    <t>1F477 1F3FD 200D 2640                                  ; minimally-qualified # 👷🏽‍♀ E4.0 woman construction worker: medium skin tone</t>
  </si>
  <si>
    <t>1F477 1F3FE 200D 2640 FE0F                             ; fully-qualified     # 👷🏾‍♀️ E4.0 woman construction worker: medium-dark skin tone</t>
  </si>
  <si>
    <t>1F477 1F3FE 200D 2640                                  ; minimally-qualified # 👷🏾‍♀ E4.0 woman construction worker: medium-dark skin tone</t>
  </si>
  <si>
    <t>1F477 1F3FF 200D 2640 FE0F                             ; fully-qualified     # 👷🏿‍♀️ E4.0 woman construction worker: dark skin tone</t>
  </si>
  <si>
    <t>1F477 1F3FF 200D 2640                                  ; minimally-qualified # 👷🏿‍♀ E4.0 woman construction worker: dark skin tone</t>
  </si>
  <si>
    <t>1F934                                                  ; fully-qualified     # 🤴 E3.0 prince</t>
  </si>
  <si>
    <t>1F934 1F3FB                                            ; fully-qualified     # 🤴🏻 E3.0 prince: light skin tone</t>
  </si>
  <si>
    <t>1F934 1F3FC                                            ; fully-qualified     # 🤴🏼 E3.0 prince: medium-light skin tone</t>
  </si>
  <si>
    <t>1F934 1F3FD                                            ; fully-qualified     # 🤴🏽 E3.0 prince: medium skin tone</t>
  </si>
  <si>
    <t>1F934 1F3FE                                            ; fully-qualified     # 🤴🏾 E3.0 prince: medium-dark skin tone</t>
  </si>
  <si>
    <t>1F934 1F3FF                                            ; fully-qualified     # 🤴🏿 E3.0 prince: dark skin tone</t>
  </si>
  <si>
    <t>1F478                                                  ; fully-qualified     # 👸 E0.6 princess</t>
  </si>
  <si>
    <t>1F478 1F3FB                                            ; fully-qualified     # 👸🏻 E1.0 princess: light skin tone</t>
  </si>
  <si>
    <t>1F478 1F3FC                                            ; fully-qualified     # 👸🏼 E1.0 princess: medium-light skin tone</t>
  </si>
  <si>
    <t>1F478 1F3FD                                            ; fully-qualified     # 👸🏽 E1.0 princess: medium skin tone</t>
  </si>
  <si>
    <t>1F478 1F3FE                                            ; fully-qualified     # 👸🏾 E1.0 princess: medium-dark skin tone</t>
  </si>
  <si>
    <t>1F478 1F3FF                                            ; fully-qualified     # 👸🏿 E1.0 princess: dark skin tone</t>
  </si>
  <si>
    <t>1F473                                                  ; fully-qualified     # 👳 E0.6 person wearing turban</t>
  </si>
  <si>
    <t>1F473 1F3FB                                            ; fully-qualified     # 👳🏻 E1.0 person wearing turban: light skin tone</t>
  </si>
  <si>
    <t>1F473 1F3FC                                            ; fully-qualified     # 👳🏼 E1.0 person wearing turban: medium-light skin tone</t>
  </si>
  <si>
    <t>1F473 1F3FD                                            ; fully-qualified     # 👳🏽 E1.0 person wearing turban: medium skin tone</t>
  </si>
  <si>
    <t>1F473 1F3FE                                            ; fully-qualified     # 👳🏾 E1.0 person wearing turban: medium-dark skin tone</t>
  </si>
  <si>
    <t>1F473 1F3FF                                            ; fully-qualified     # 👳🏿 E1.0 person wearing turban: dark skin tone</t>
  </si>
  <si>
    <t>1F473 200D 2642 FE0F                                   ; fully-qualified     # 👳‍♂️ E4.0 man wearing turban</t>
  </si>
  <si>
    <t>1F473 200D 2642                                        ; minimally-qualified # 👳‍♂ E4.0 man wearing turban</t>
  </si>
  <si>
    <t>1F473 1F3FB 200D 2642 FE0F                             ; fully-qualified     # 👳🏻‍♂️ E4.0 man wearing turban: light skin tone</t>
  </si>
  <si>
    <t>1F473 1F3FB 200D 2642                                  ; minimally-qualified # 👳🏻‍♂ E4.0 man wearing turban: light skin tone</t>
  </si>
  <si>
    <t>1F473 1F3FC 200D 2642 FE0F                             ; fully-qualified     # 👳🏼‍♂️ E4.0 man wearing turban: medium-light skin tone</t>
  </si>
  <si>
    <t>1F473 1F3FC 200D 2642                                  ; minimally-qualified # 👳🏼‍♂ E4.0 man wearing turban: medium-light skin tone</t>
  </si>
  <si>
    <t>1F473 1F3FD 200D 2642 FE0F                             ; fully-qualified     # 👳🏽‍♂️ E4.0 man wearing turban: medium skin tone</t>
  </si>
  <si>
    <t>1F473 1F3FD 200D 2642                                  ; minimally-qualified # 👳🏽‍♂ E4.0 man wearing turban: medium skin tone</t>
  </si>
  <si>
    <t>1F473 1F3FE 200D 2642 FE0F                             ; fully-qualified     # 👳🏾‍♂️ E4.0 man wearing turban: medium-dark skin tone</t>
  </si>
  <si>
    <t>1F473 1F3FE 200D 2642                                  ; minimally-qualified # 👳🏾‍♂ E4.0 man wearing turban: medium-dark skin tone</t>
  </si>
  <si>
    <t>1F473 1F3FF 200D 2642 FE0F                             ; fully-qualified     # 👳🏿‍♂️ E4.0 man wearing turban: dark skin tone</t>
  </si>
  <si>
    <t>1F473 1F3FF 200D 2642                                  ; minimally-qualified # 👳🏿‍♂ E4.0 man wearing turban: dark skin tone</t>
  </si>
  <si>
    <t>1F473 200D 2640 FE0F                                   ; fully-qualified     # 👳‍♀️ E4.0 woman wearing turban</t>
  </si>
  <si>
    <t>1F473 200D 2640                                        ; minimally-qualified # 👳‍♀ E4.0 woman wearing turban</t>
  </si>
  <si>
    <t>1F473 1F3FB 200D 2640 FE0F                             ; fully-qualified     # 👳🏻‍♀️ E4.0 woman wearing turban: light skin tone</t>
  </si>
  <si>
    <t>1F473 1F3FB 200D 2640                                  ; minimally-qualified # 👳🏻‍♀ E4.0 woman wearing turban: light skin tone</t>
  </si>
  <si>
    <t>1F473 1F3FC 200D 2640 FE0F                             ; fully-qualified     # 👳🏼‍♀️ E4.0 woman wearing turban: medium-light skin tone</t>
  </si>
  <si>
    <t>1F473 1F3FC 200D 2640                                  ; minimally-qualified # 👳🏼‍♀ E4.0 woman wearing turban: medium-light skin tone</t>
  </si>
  <si>
    <t>1F473 1F3FD 200D 2640 FE0F                             ; fully-qualified     # 👳🏽‍♀️ E4.0 woman wearing turban: medium skin tone</t>
  </si>
  <si>
    <t>1F473 1F3FD 200D 2640                                  ; minimally-qualified # 👳🏽‍♀ E4.0 woman wearing turban: medium skin tone</t>
  </si>
  <si>
    <t>1F473 1F3FE 200D 2640 FE0F                             ; fully-qualified     # 👳🏾‍♀️ E4.0 woman wearing turban: medium-dark skin tone</t>
  </si>
  <si>
    <t>1F473 1F3FE 200D 2640                                  ; minimally-qualified # 👳🏾‍♀ E4.0 woman wearing turban: medium-dark skin tone</t>
  </si>
  <si>
    <t>1F473 1F3FF 200D 2640 FE0F                             ; fully-qualified     # 👳🏿‍♀️ E4.0 woman wearing turban: dark skin tone</t>
  </si>
  <si>
    <t>1F473 1F3FF 200D 2640                                  ; minimally-qualified # 👳🏿‍♀ E4.0 woman wearing turban: dark skin tone</t>
  </si>
  <si>
    <t>1F472                                                  ; fully-qualified     # 👲 E0.6 person with skullcap</t>
  </si>
  <si>
    <t>1F472 1F3FB                                            ; fully-qualified     # 👲🏻 E1.0 person with skullcap: light skin tone</t>
  </si>
  <si>
    <t>1F472 1F3FC                                            ; fully-qualified     # 👲🏼 E1.0 person with skullcap: medium-light skin tone</t>
  </si>
  <si>
    <t>1F472 1F3FD                                            ; fully-qualified     # 👲🏽 E1.0 person with skullcap: medium skin tone</t>
  </si>
  <si>
    <t>1F472 1F3FE                                            ; fully-qualified     # 👲🏾 E1.0 person with skullcap: medium-dark skin tone</t>
  </si>
  <si>
    <t>1F472 1F3FF                                            ; fully-qualified     # 👲🏿 E1.0 person with skullcap: dark skin tone</t>
  </si>
  <si>
    <t>1F9D5                                                  ; fully-qualified     # 🧕 E5.0 woman with headscarf</t>
  </si>
  <si>
    <t>1F9D5 1F3FB                                            ; fully-qualified     # 🧕🏻 E5.0 woman with headscarf: light skin tone</t>
  </si>
  <si>
    <t>1F9D5 1F3FC                                            ; fully-qualified     # 🧕🏼 E5.0 woman with headscarf: medium-light skin tone</t>
  </si>
  <si>
    <t>1F9D5 1F3FD                                            ; fully-qualified     # 🧕🏽 E5.0 woman with headscarf: medium skin tone</t>
  </si>
  <si>
    <t>1F9D5 1F3FE                                            ; fully-qualified     # 🧕🏾 E5.0 woman with headscarf: medium-dark skin tone</t>
  </si>
  <si>
    <t>1F9D5 1F3FF                                            ; fully-qualified     # 🧕🏿 E5.0 woman with headscarf: dark skin tone</t>
  </si>
  <si>
    <t>1F935                                                  ; fully-qualified     # 🤵 E3.0 person in tuxedo</t>
  </si>
  <si>
    <t>1F935 1F3FB                                            ; fully-qualified     # 🤵🏻 E3.0 person in tuxedo: light skin tone</t>
  </si>
  <si>
    <t>1F935 1F3FC                                            ; fully-qualified     # 🤵🏼 E3.0 person in tuxedo: medium-light skin tone</t>
  </si>
  <si>
    <t>1F935 1F3FD                                            ; fully-qualified     # 🤵🏽 E3.0 person in tuxedo: medium skin tone</t>
  </si>
  <si>
    <t>1F935 1F3FE                                            ; fully-qualified     # 🤵🏾 E3.0 person in tuxedo: medium-dark skin tone</t>
  </si>
  <si>
    <t>1F935 1F3FF                                            ; fully-qualified     # 🤵🏿 E3.0 person in tuxedo: dark skin tone</t>
  </si>
  <si>
    <t>1F935 200D 2642 FE0F                                   ; fully-qualified     # 🤵‍♂️ E13.0 man in tuxedo</t>
  </si>
  <si>
    <t>1F935 200D 2642                                        ; minimally-qualified # 🤵‍♂ E13.0 man in tuxedo</t>
  </si>
  <si>
    <t>1F935 1F3FB 200D 2642 FE0F                             ; fully-qualified     # 🤵🏻‍♂️ E13.0 man in tuxedo: light skin tone</t>
  </si>
  <si>
    <t>1F935 1F3FB 200D 2642                                  ; minimally-qualified # 🤵🏻‍♂ E13.0 man in tuxedo: light skin tone</t>
  </si>
  <si>
    <t>1F935 1F3FC 200D 2642 FE0F                             ; fully-qualified     # 🤵🏼‍♂️ E13.0 man in tuxedo: medium-light skin tone</t>
  </si>
  <si>
    <t>1F935 1F3FC 200D 2642                                  ; minimally-qualified # 🤵🏼‍♂ E13.0 man in tuxedo: medium-light skin tone</t>
  </si>
  <si>
    <t>1F935 1F3FD 200D 2642 FE0F                             ; fully-qualified     # 🤵🏽‍♂️ E13.0 man in tuxedo: medium skin tone</t>
  </si>
  <si>
    <t>1F935 1F3FD 200D 2642                                  ; minimally-qualified # 🤵🏽‍♂ E13.0 man in tuxedo: medium skin tone</t>
  </si>
  <si>
    <t>1F935 1F3FE 200D 2642 FE0F                             ; fully-qualified     # 🤵🏾‍♂️ E13.0 man in tuxedo: medium-dark skin tone</t>
  </si>
  <si>
    <t>1F935 1F3FE 200D 2642                                  ; minimally-qualified # 🤵🏾‍♂ E13.0 man in tuxedo: medium-dark skin tone</t>
  </si>
  <si>
    <t>1F935 1F3FF 200D 2642 FE0F                             ; fully-qualified     # 🤵🏿‍♂️ E13.0 man in tuxedo: dark skin tone</t>
  </si>
  <si>
    <t>1F935 1F3FF 200D 2642                                  ; minimally-qualified # 🤵🏿‍♂ E13.0 man in tuxedo: dark skin tone</t>
  </si>
  <si>
    <t>1F935 200D 2640 FE0F                                   ; fully-qualified     # 🤵‍♀️ E13.0 woman in tuxedo</t>
  </si>
  <si>
    <t>1F935 200D 2640                                        ; minimally-qualified # 🤵‍♀ E13.0 woman in tuxedo</t>
  </si>
  <si>
    <t>1F935 1F3FB 200D 2640 FE0F                             ; fully-qualified     # 🤵🏻‍♀️ E13.0 woman in tuxedo: light skin tone</t>
  </si>
  <si>
    <t>1F935 1F3FB 200D 2640                                  ; minimally-qualified # 🤵🏻‍♀ E13.0 woman in tuxedo: light skin tone</t>
  </si>
  <si>
    <t>1F935 1F3FC 200D 2640 FE0F                             ; fully-qualified     # 🤵🏼‍♀️ E13.0 woman in tuxedo: medium-light skin tone</t>
  </si>
  <si>
    <t>1F935 1F3FC 200D 2640                                  ; minimally-qualified # 🤵🏼‍♀ E13.0 woman in tuxedo: medium-light skin tone</t>
  </si>
  <si>
    <t>1F935 1F3FD 200D 2640 FE0F                             ; fully-qualified     # 🤵🏽‍♀️ E13.0 woman in tuxedo: medium skin tone</t>
  </si>
  <si>
    <t>1F935 1F3FD 200D 2640                                  ; minimally-qualified # 🤵🏽‍♀ E13.0 woman in tuxedo: medium skin tone</t>
  </si>
  <si>
    <t>1F935 1F3FE 200D 2640 FE0F                             ; fully-qualified     # 🤵🏾‍♀️ E13.0 woman in tuxedo: medium-dark skin tone</t>
  </si>
  <si>
    <t>1F935 1F3FE 200D 2640                                  ; minimally-qualified # 🤵🏾‍♀ E13.0 woman in tuxedo: medium-dark skin tone</t>
  </si>
  <si>
    <t>1F935 1F3FF 200D 2640 FE0F                             ; fully-qualified     # 🤵🏿‍♀️ E13.0 woman in tuxedo: dark skin tone</t>
  </si>
  <si>
    <t>1F935 1F3FF 200D 2640                                  ; minimally-qualified # 🤵🏿‍♀ E13.0 woman in tuxedo: dark skin tone</t>
  </si>
  <si>
    <t>1F470                                                  ; fully-qualified     # 👰 E0.6 person with veil</t>
  </si>
  <si>
    <t>1F470 1F3FB                                            ; fully-qualified     # 👰🏻 E1.0 person with veil: light skin tone</t>
  </si>
  <si>
    <t>1F470 1F3FC                                            ; fully-qualified     # 👰🏼 E1.0 person with veil: medium-light skin tone</t>
  </si>
  <si>
    <t>1F470 1F3FD                                            ; fully-qualified     # 👰🏽 E1.0 person with veil: medium skin tone</t>
  </si>
  <si>
    <t>1F470 1F3FE                                            ; fully-qualified     # 👰🏾 E1.0 person with veil: medium-dark skin tone</t>
  </si>
  <si>
    <t>1F470 1F3FF                                            ; fully-qualified     # 👰🏿 E1.0 person with veil: dark skin tone</t>
  </si>
  <si>
    <t>1F470 200D 2642 FE0F                                   ; fully-qualified     # 👰‍♂️ E13.0 man with veil</t>
  </si>
  <si>
    <t>1F470 200D 2642                                        ; minimally-qualified # 👰‍♂ E13.0 man with veil</t>
  </si>
  <si>
    <t>1F470 1F3FB 200D 2642 FE0F                             ; fully-qualified     # 👰🏻‍♂️ E13.0 man with veil: light skin tone</t>
  </si>
  <si>
    <t>1F470 1F3FB 200D 2642                                  ; minimally-qualified # 👰🏻‍♂ E13.0 man with veil: light skin tone</t>
  </si>
  <si>
    <t>1F470 1F3FC 200D 2642 FE0F                             ; fully-qualified     # 👰🏼‍♂️ E13.0 man with veil: medium-light skin tone</t>
  </si>
  <si>
    <t>1F470 1F3FC 200D 2642                                  ; minimally-qualified # 👰🏼‍♂ E13.0 man with veil: medium-light skin tone</t>
  </si>
  <si>
    <t>1F470 1F3FD 200D 2642 FE0F                             ; fully-qualified     # 👰🏽‍♂️ E13.0 man with veil: medium skin tone</t>
  </si>
  <si>
    <t>1F470 1F3FD 200D 2642                                  ; minimally-qualified # 👰🏽‍♂ E13.0 man with veil: medium skin tone</t>
  </si>
  <si>
    <t>1F470 1F3FE 200D 2642 FE0F                             ; fully-qualified     # 👰🏾‍♂️ E13.0 man with veil: medium-dark skin tone</t>
  </si>
  <si>
    <t>1F470 1F3FE 200D 2642                                  ; minimally-qualified # 👰🏾‍♂ E13.0 man with veil: medium-dark skin tone</t>
  </si>
  <si>
    <t>1F470 1F3FF 200D 2642 FE0F                             ; fully-qualified     # 👰🏿‍♂️ E13.0 man with veil: dark skin tone</t>
  </si>
  <si>
    <t>1F470 1F3FF 200D 2642                                  ; minimally-qualified # 👰🏿‍♂ E13.0 man with veil: dark skin tone</t>
  </si>
  <si>
    <t>1F470 200D 2640 FE0F                                   ; fully-qualified     # 👰‍♀️ E13.0 woman with veil</t>
  </si>
  <si>
    <t>1F470 200D 2640                                        ; minimally-qualified # 👰‍♀ E13.0 woman with veil</t>
  </si>
  <si>
    <t>1F470 1F3FB 200D 2640 FE0F                             ; fully-qualified     # 👰🏻‍♀️ E13.0 woman with veil: light skin tone</t>
  </si>
  <si>
    <t>1F470 1F3FB 200D 2640                                  ; minimally-qualified # 👰🏻‍♀ E13.0 woman with veil: light skin tone</t>
  </si>
  <si>
    <t>1F470 1F3FC 200D 2640 FE0F                             ; fully-qualified     # 👰🏼‍♀️ E13.0 woman with veil: medium-light skin tone</t>
  </si>
  <si>
    <t>1F470 1F3FC 200D 2640                                  ; minimally-qualified # 👰🏼‍♀ E13.0 woman with veil: medium-light skin tone</t>
  </si>
  <si>
    <t>1F470 1F3FD 200D 2640 FE0F                             ; fully-qualified     # 👰🏽‍♀️ E13.0 woman with veil: medium skin tone</t>
  </si>
  <si>
    <t>1F470 1F3FD 200D 2640                                  ; minimally-qualified # 👰🏽‍♀ E13.0 woman with veil: medium skin tone</t>
  </si>
  <si>
    <t>1F470 1F3FE 200D 2640 FE0F                             ; fully-qualified     # 👰🏾‍♀️ E13.0 woman with veil: medium-dark skin tone</t>
  </si>
  <si>
    <t>1F470 1F3FE 200D 2640                                  ; minimally-qualified # 👰🏾‍♀ E13.0 woman with veil: medium-dark skin tone</t>
  </si>
  <si>
    <t>1F470 1F3FF 200D 2640 FE0F                             ; fully-qualified     # 👰🏿‍♀️ E13.0 woman with veil: dark skin tone</t>
  </si>
  <si>
    <t>1F470 1F3FF 200D 2640                                  ; minimally-qualified # 👰🏿‍♀ E13.0 woman with veil: dark skin tone</t>
  </si>
  <si>
    <t>1F930                                                  ; fully-qualified     # 🤰 E3.0 pregnant woman</t>
  </si>
  <si>
    <t>1F930 1F3FB                                            ; fully-qualified     # 🤰🏻 E3.0 pregnant woman: light skin tone</t>
  </si>
  <si>
    <t>1F930 1F3FC                                            ; fully-qualified     # 🤰🏼 E3.0 pregnant woman: medium-light skin tone</t>
  </si>
  <si>
    <t>1F930 1F3FD                                            ; fully-qualified     # 🤰🏽 E3.0 pregnant woman: medium skin tone</t>
  </si>
  <si>
    <t>1F930 1F3FE                                            ; fully-qualified     # 🤰🏾 E3.0 pregnant woman: medium-dark skin tone</t>
  </si>
  <si>
    <t>1F930 1F3FF                                            ; fully-qualified     # 🤰🏿 E3.0 pregnant woman: dark skin tone</t>
  </si>
  <si>
    <t>1F931                                                  ; fully-qualified     # 🤱 E5.0 breast-feeding</t>
  </si>
  <si>
    <t>1F931 1F3FB                                            ; fully-qualified     # 🤱🏻 E5.0 breast-feeding: light skin tone</t>
  </si>
  <si>
    <t>1F931 1F3FC                                            ; fully-qualified     # 🤱🏼 E5.0 breast-feeding: medium-light skin tone</t>
  </si>
  <si>
    <t>1F931 1F3FD                                            ; fully-qualified     # 🤱🏽 E5.0 breast-feeding: medium skin tone</t>
  </si>
  <si>
    <t>1F931 1F3FE                                            ; fully-qualified     # 🤱🏾 E5.0 breast-feeding: medium-dark skin tone</t>
  </si>
  <si>
    <t>1F931 1F3FF                                            ; fully-qualified     # 🤱🏿 E5.0 breast-feeding: dark skin tone</t>
  </si>
  <si>
    <t>1F469 200D 1F37C                                       ; fully-qualified     # 👩‍🍼 E13.0 woman feeding baby</t>
  </si>
  <si>
    <t>1F469 1F3FB 200D 1F37C                                 ; fully-qualified     # 👩🏻‍🍼 E13.0 woman feeding baby: light skin tone</t>
  </si>
  <si>
    <t>1F469 1F3FC 200D 1F37C                                 ; fully-qualified     # 👩🏼‍🍼 E13.0 woman feeding baby: medium-light skin tone</t>
  </si>
  <si>
    <t>1F469 1F3FD 200D 1F37C                                 ; fully-qualified     # 👩🏽‍🍼 E13.0 woman feeding baby: medium skin tone</t>
  </si>
  <si>
    <t>1F469 1F3FE 200D 1F37C                                 ; fully-qualified     # 👩🏾‍🍼 E13.0 woman feeding baby: medium-dark skin tone</t>
  </si>
  <si>
    <t>1F469 1F3FF 200D 1F37C                                 ; fully-qualified     # 👩🏿‍🍼 E13.0 woman feeding baby: dark skin tone</t>
  </si>
  <si>
    <t>1F468 200D 1F37C                                       ; fully-qualified     # 👨‍🍼 E13.0 man feeding baby</t>
  </si>
  <si>
    <t>1F468 1F3FB 200D 1F37C                                 ; fully-qualified     # 👨🏻‍🍼 E13.0 man feeding baby: light skin tone</t>
  </si>
  <si>
    <t>1F468 1F3FC 200D 1F37C                                 ; fully-qualified     # 👨🏼‍🍼 E13.0 man feeding baby: medium-light skin tone</t>
  </si>
  <si>
    <t>1F468 1F3FD 200D 1F37C                                 ; fully-qualified     # 👨🏽‍🍼 E13.0 man feeding baby: medium skin tone</t>
  </si>
  <si>
    <t>1F468 1F3FE 200D 1F37C                                 ; fully-qualified     # 👨🏾‍🍼 E13.0 man feeding baby: medium-dark skin tone</t>
  </si>
  <si>
    <t>1F468 1F3FF 200D 1F37C                                 ; fully-qualified     # 👨🏿‍🍼 E13.0 man feeding baby: dark skin tone</t>
  </si>
  <si>
    <t>1F9D1 200D 1F37C                                       ; fully-qualified     # 🧑‍🍼 E13.0 person feeding baby</t>
  </si>
  <si>
    <t>1F9D1 1F3FB 200D 1F37C                                 ; fully-qualified     # 🧑🏻‍🍼 E13.0 person feeding baby: light skin tone</t>
  </si>
  <si>
    <t>1F9D1 1F3FC 200D 1F37C                                 ; fully-qualified     # 🧑🏼‍🍼 E13.0 person feeding baby: medium-light skin tone</t>
  </si>
  <si>
    <t>1F9D1 1F3FD 200D 1F37C                                 ; fully-qualified     # 🧑🏽‍🍼 E13.0 person feeding baby: medium skin tone</t>
  </si>
  <si>
    <t>1F9D1 1F3FE 200D 1F37C                                 ; fully-qualified     # 🧑🏾‍🍼 E13.0 person feeding baby: medium-dark skin tone</t>
  </si>
  <si>
    <t>1F9D1 1F3FF 200D 1F37C                                 ; fully-qualified     # 🧑🏿‍🍼 E13.0 person feeding baby: dark skin tone</t>
  </si>
  <si>
    <t># subgroup: person-fantasy</t>
  </si>
  <si>
    <t>1F47C                                                  ; fully-qualified     # 👼 E0.6 baby angel</t>
  </si>
  <si>
    <t>1F47C 1F3FB                                            ; fully-qualified     # 👼🏻 E1.0 baby angel: light skin tone</t>
  </si>
  <si>
    <t>1F47C 1F3FC                                            ; fully-qualified     # 👼🏼 E1.0 baby angel: medium-light skin tone</t>
  </si>
  <si>
    <t>1F47C 1F3FD                                            ; fully-qualified     # 👼🏽 E1.0 baby angel: medium skin tone</t>
  </si>
  <si>
    <t>1F47C 1F3FE                                            ; fully-qualified     # 👼🏾 E1.0 baby angel: medium-dark skin tone</t>
  </si>
  <si>
    <t>1F47C 1F3FF                                            ; fully-qualified     # 👼🏿 E1.0 baby angel: dark skin tone</t>
  </si>
  <si>
    <t>1F385                                                  ; fully-qualified     # 🎅 E0.6 Santa Claus</t>
  </si>
  <si>
    <t>1F385 1F3FB                                            ; fully-qualified     # 🎅🏻 E1.0 Santa Claus: light skin tone</t>
  </si>
  <si>
    <t>1F385 1F3FC                                            ; fully-qualified     # 🎅🏼 E1.0 Santa Claus: medium-light skin tone</t>
  </si>
  <si>
    <t>1F385 1F3FD                                            ; fully-qualified     # 🎅🏽 E1.0 Santa Claus: medium skin tone</t>
  </si>
  <si>
    <t>1F385 1F3FE                                            ; fully-qualified     # 🎅🏾 E1.0 Santa Claus: medium-dark skin tone</t>
  </si>
  <si>
    <t>1F385 1F3FF                                            ; fully-qualified     # 🎅🏿 E1.0 Santa Claus: dark skin tone</t>
  </si>
  <si>
    <t>1F936                                                  ; fully-qualified     # 🤶 E3.0 Mrs. Claus</t>
  </si>
  <si>
    <t>1F936 1F3FB                                            ; fully-qualified     # 🤶🏻 E3.0 Mrs. Claus: light skin tone</t>
  </si>
  <si>
    <t>1F936 1F3FC                                            ; fully-qualified     # 🤶🏼 E3.0 Mrs. Claus: medium-light skin tone</t>
  </si>
  <si>
    <t>1F936 1F3FD                                            ; fully-qualified     # 🤶🏽 E3.0 Mrs. Claus: medium skin tone</t>
  </si>
  <si>
    <t>1F936 1F3FE                                            ; fully-qualified     # 🤶🏾 E3.0 Mrs. Claus: medium-dark skin tone</t>
  </si>
  <si>
    <t>1F936 1F3FF                                            ; fully-qualified     # 🤶🏿 E3.0 Mrs. Claus: dark skin tone</t>
  </si>
  <si>
    <t>1F9D1 200D 1F384                                       ; fully-qualified     # 🧑‍🎄 E13.0 mx claus</t>
  </si>
  <si>
    <t>1F9D1 1F3FB 200D 1F384                                 ; fully-qualified     # 🧑🏻‍🎄 E13.0 mx claus: light skin tone</t>
  </si>
  <si>
    <t>1F9D1 1F3FC 200D 1F384                                 ; fully-qualified     # 🧑🏼‍🎄 E13.0 mx claus: medium-light skin tone</t>
  </si>
  <si>
    <t>1F9D1 1F3FD 200D 1F384                                 ; fully-qualified     # 🧑🏽‍🎄 E13.0 mx claus: medium skin tone</t>
  </si>
  <si>
    <t>1F9D1 1F3FE 200D 1F384                                 ; fully-qualified     # 🧑🏾‍🎄 E13.0 mx claus: medium-dark skin tone</t>
  </si>
  <si>
    <t>1F9D1 1F3FF 200D 1F384                                 ; fully-qualified     # 🧑🏿‍🎄 E13.0 mx claus: dark skin tone</t>
  </si>
  <si>
    <t>1F9B8                                                  ; fully-qualified     # 🦸 E11.0 superhero</t>
  </si>
  <si>
    <t>1F9B8 1F3FB                                            ; fully-qualified     # 🦸🏻 E11.0 superhero: light skin tone</t>
  </si>
  <si>
    <t>1F9B8 1F3FC                                            ; fully-qualified     # 🦸🏼 E11.0 superhero: medium-light skin tone</t>
  </si>
  <si>
    <t>1F9B8 1F3FD                                            ; fully-qualified     # 🦸🏽 E11.0 superhero: medium skin tone</t>
  </si>
  <si>
    <t>1F9B8 1F3FE                                            ; fully-qualified     # 🦸🏾 E11.0 superhero: medium-dark skin tone</t>
  </si>
  <si>
    <t>1F9B8 1F3FF                                            ; fully-qualified     # 🦸🏿 E11.0 superhero: dark skin tone</t>
  </si>
  <si>
    <t>1F9B8 200D 2642 FE0F                                   ; fully-qualified     # 🦸‍♂️ E11.0 man superhero</t>
  </si>
  <si>
    <t>1F9B8 200D 2642                                        ; minimally-qualified # 🦸‍♂ E11.0 man superhero</t>
  </si>
  <si>
    <t>1F9B8 1F3FB 200D 2642 FE0F                             ; fully-qualified     # 🦸🏻‍♂️ E11.0 man superhero: light skin tone</t>
  </si>
  <si>
    <t>1F9B8 1F3FB 200D 2642                                  ; minimally-qualified # 🦸🏻‍♂ E11.0 man superhero: light skin tone</t>
  </si>
  <si>
    <t>1F9B8 1F3FC 200D 2642 FE0F                             ; fully-qualified     # 🦸🏼‍♂️ E11.0 man superhero: medium-light skin tone</t>
  </si>
  <si>
    <t>1F9B8 1F3FC 200D 2642                                  ; minimally-qualified # 🦸🏼‍♂ E11.0 man superhero: medium-light skin tone</t>
  </si>
  <si>
    <t>1F9B8 1F3FD 200D 2642 FE0F                             ; fully-qualified     # 🦸🏽‍♂️ E11.0 man superhero: medium skin tone</t>
  </si>
  <si>
    <t>1F9B8 1F3FD 200D 2642                                  ; minimally-qualified # 🦸🏽‍♂ E11.0 man superhero: medium skin tone</t>
  </si>
  <si>
    <t>1F9B8 1F3FE 200D 2642 FE0F                             ; fully-qualified     # 🦸🏾‍♂️ E11.0 man superhero: medium-dark skin tone</t>
  </si>
  <si>
    <t>1F9B8 1F3FE 200D 2642                                  ; minimally-qualified # 🦸🏾‍♂ E11.0 man superhero: medium-dark skin tone</t>
  </si>
  <si>
    <t>1F9B8 1F3FF 200D 2642 FE0F                             ; fully-qualified     # 🦸🏿‍♂️ E11.0 man superhero: dark skin tone</t>
  </si>
  <si>
    <t>1F9B8 1F3FF 200D 2642                                  ; minimally-qualified # 🦸🏿‍♂ E11.0 man superhero: dark skin tone</t>
  </si>
  <si>
    <t>1F9B8 200D 2640 FE0F                                   ; fully-qualified     # 🦸‍♀️ E11.0 woman superhero</t>
  </si>
  <si>
    <t>1F9B8 200D 2640                                        ; minimally-qualified # 🦸‍♀ E11.0 woman superhero</t>
  </si>
  <si>
    <t>1F9B8 1F3FB 200D 2640 FE0F                             ; fully-qualified     # 🦸🏻‍♀️ E11.0 woman superhero: light skin tone</t>
  </si>
  <si>
    <t>1F9B8 1F3FB 200D 2640                                  ; minimally-qualified # 🦸🏻‍♀ E11.0 woman superhero: light skin tone</t>
  </si>
  <si>
    <t>1F9B8 1F3FC 200D 2640 FE0F                             ; fully-qualified     # 🦸🏼‍♀️ E11.0 woman superhero: medium-light skin tone</t>
  </si>
  <si>
    <t>1F9B8 1F3FC 200D 2640                                  ; minimally-qualified # 🦸🏼‍♀ E11.0 woman superhero: medium-light skin tone</t>
  </si>
  <si>
    <t>1F9B8 1F3FD 200D 2640 FE0F                             ; fully-qualified     # 🦸🏽‍♀️ E11.0 woman superhero: medium skin tone</t>
  </si>
  <si>
    <t>1F9B8 1F3FD 200D 2640                                  ; minimally-qualified # 🦸🏽‍♀ E11.0 woman superhero: medium skin tone</t>
  </si>
  <si>
    <t>1F9B8 1F3FE 200D 2640 FE0F                             ; fully-qualified     # 🦸🏾‍♀️ E11.0 woman superhero: medium-dark skin tone</t>
  </si>
  <si>
    <t>1F9B8 1F3FE 200D 2640                                  ; minimally-qualified # 🦸🏾‍♀ E11.0 woman superhero: medium-dark skin tone</t>
  </si>
  <si>
    <t>1F9B8 1F3FF 200D 2640 FE0F                             ; fully-qualified     # 🦸🏿‍♀️ E11.0 woman superhero: dark skin tone</t>
  </si>
  <si>
    <t>1F9B8 1F3FF 200D 2640                                  ; minimally-qualified # 🦸🏿‍♀ E11.0 woman superhero: dark skin tone</t>
  </si>
  <si>
    <t>1F9B9                                                  ; fully-qualified     # 🦹 E11.0 supervillain</t>
  </si>
  <si>
    <t>1F9B9 1F3FB                                            ; fully-qualified     # 🦹🏻 E11.0 supervillain: light skin tone</t>
  </si>
  <si>
    <t>1F9B9 1F3FC                                            ; fully-qualified     # 🦹🏼 E11.0 supervillain: medium-light skin tone</t>
  </si>
  <si>
    <t>1F9B9 1F3FD                                            ; fully-qualified     # 🦹🏽 E11.0 supervillain: medium skin tone</t>
  </si>
  <si>
    <t>1F9B9 1F3FE                                            ; fully-qualified     # 🦹🏾 E11.0 supervillain: medium-dark skin tone</t>
  </si>
  <si>
    <t>1F9B9 1F3FF                                            ; fully-qualified     # 🦹🏿 E11.0 supervillain: dark skin tone</t>
  </si>
  <si>
    <t>1F9B9 200D 2642 FE0F                                   ; fully-qualified     # 🦹‍♂️ E11.0 man supervillain</t>
  </si>
  <si>
    <t>1F9B9 200D 2642                                        ; minimally-qualified # 🦹‍♂ E11.0 man supervillain</t>
  </si>
  <si>
    <t>1F9B9 1F3FB 200D 2642 FE0F                             ; fully-qualified     # 🦹🏻‍♂️ E11.0 man supervillain: light skin tone</t>
  </si>
  <si>
    <t>1F9B9 1F3FB 200D 2642                                  ; minimally-qualified # 🦹🏻‍♂ E11.0 man supervillain: light skin tone</t>
  </si>
  <si>
    <t>1F9B9 1F3FC 200D 2642 FE0F                             ; fully-qualified     # 🦹🏼‍♂️ E11.0 man supervillain: medium-light skin tone</t>
  </si>
  <si>
    <t>1F9B9 1F3FC 200D 2642                                  ; minimally-qualified # 🦹🏼‍♂ E11.0 man supervillain: medium-light skin tone</t>
  </si>
  <si>
    <t>1F9B9 1F3FD 200D 2642 FE0F                             ; fully-qualified     # 🦹🏽‍♂️ E11.0 man supervillain: medium skin tone</t>
  </si>
  <si>
    <t>1F9B9 1F3FD 200D 2642                                  ; minimally-qualified # 🦹🏽‍♂ E11.0 man supervillain: medium skin tone</t>
  </si>
  <si>
    <t>1F9B9 1F3FE 200D 2642 FE0F                             ; fully-qualified     # 🦹🏾‍♂️ E11.0 man supervillain: medium-dark skin tone</t>
  </si>
  <si>
    <t>1F9B9 1F3FE 200D 2642                                  ; minimally-qualified # 🦹🏾‍♂ E11.0 man supervillain: medium-dark skin tone</t>
  </si>
  <si>
    <t>1F9B9 1F3FF 200D 2642 FE0F                             ; fully-qualified     # 🦹🏿‍♂️ E11.0 man supervillain: dark skin tone</t>
  </si>
  <si>
    <t>1F9B9 1F3FF 200D 2642                                  ; minimally-qualified # 🦹🏿‍♂ E11.0 man supervillain: dark skin tone</t>
  </si>
  <si>
    <t>1F9B9 200D 2640 FE0F                                   ; fully-qualified     # 🦹‍♀️ E11.0 woman supervillain</t>
  </si>
  <si>
    <t>1F9B9 200D 2640                                        ; minimally-qualified # 🦹‍♀ E11.0 woman supervillain</t>
  </si>
  <si>
    <t>1F9B9 1F3FB 200D 2640 FE0F                             ; fully-qualified     # 🦹🏻‍♀️ E11.0 woman supervillain: light skin tone</t>
  </si>
  <si>
    <t>1F9B9 1F3FB 200D 2640                                  ; minimally-qualified # 🦹🏻‍♀ E11.0 woman supervillain: light skin tone</t>
  </si>
  <si>
    <t>1F9B9 1F3FC 200D 2640 FE0F                             ; fully-qualified     # 🦹🏼‍♀️ E11.0 woman supervillain: medium-light skin tone</t>
  </si>
  <si>
    <t>1F9B9 1F3FC 200D 2640                                  ; minimally-qualified # 🦹🏼‍♀ E11.0 woman supervillain: medium-light skin tone</t>
  </si>
  <si>
    <t>1F9B9 1F3FD 200D 2640 FE0F                             ; fully-qualified     # 🦹🏽‍♀️ E11.0 woman supervillain: medium skin tone</t>
  </si>
  <si>
    <t>1F9B9 1F3FD 200D 2640                                  ; minimally-qualified # 🦹🏽‍♀ E11.0 woman supervillain: medium skin tone</t>
  </si>
  <si>
    <t>1F9B9 1F3FE 200D 2640 FE0F                             ; fully-qualified     # 🦹🏾‍♀️ E11.0 woman supervillain: medium-dark skin tone</t>
  </si>
  <si>
    <t>1F9B9 1F3FE 200D 2640                                  ; minimally-qualified # 🦹🏾‍♀ E11.0 woman supervillain: medium-dark skin tone</t>
  </si>
  <si>
    <t>1F9B9 1F3FF 200D 2640 FE0F                             ; fully-qualified     # 🦹🏿‍♀️ E11.0 woman supervillain: dark skin tone</t>
  </si>
  <si>
    <t>1F9B9 1F3FF 200D 2640                                  ; minimally-qualified # 🦹🏿‍♀ E11.0 woman supervillain: dark skin tone</t>
  </si>
  <si>
    <t>1F9D9                                                  ; fully-qualified     # 🧙 E5.0 mage</t>
  </si>
  <si>
    <t>1F9D9 1F3FB                                            ; fully-qualified     # 🧙🏻 E5.0 mage: light skin tone</t>
  </si>
  <si>
    <t>1F9D9 1F3FC                                            ; fully-qualified     # 🧙🏼 E5.0 mage: medium-light skin tone</t>
  </si>
  <si>
    <t>1F9D9 1F3FD                                            ; fully-qualified     # 🧙🏽 E5.0 mage: medium skin tone</t>
  </si>
  <si>
    <t>1F9D9 1F3FE                                            ; fully-qualified     # 🧙🏾 E5.0 mage: medium-dark skin tone</t>
  </si>
  <si>
    <t>1F9D9 1F3FF                                            ; fully-qualified     # 🧙🏿 E5.0 mage: dark skin tone</t>
  </si>
  <si>
    <t>1F9D9 200D 2642 FE0F                                   ; fully-qualified     # 🧙‍♂️ E5.0 man mage</t>
  </si>
  <si>
    <t>1F9D9 200D 2642                                        ; minimally-qualified # 🧙‍♂ E5.0 man mage</t>
  </si>
  <si>
    <t>1F9D9 1F3FB 200D 2642 FE0F                             ; fully-qualified     # 🧙🏻‍♂️ E5.0 man mage: light skin tone</t>
  </si>
  <si>
    <t>1F9D9 1F3FB 200D 2642                                  ; minimally-qualified # 🧙🏻‍♂ E5.0 man mage: light skin tone</t>
  </si>
  <si>
    <t>1F9D9 1F3FC 200D 2642 FE0F                             ; fully-qualified     # 🧙🏼‍♂️ E5.0 man mage: medium-light skin tone</t>
  </si>
  <si>
    <t>1F9D9 1F3FC 200D 2642                                  ; minimally-qualified # 🧙🏼‍♂ E5.0 man mage: medium-light skin tone</t>
  </si>
  <si>
    <t>1F9D9 1F3FD 200D 2642 FE0F                             ; fully-qualified     # 🧙🏽‍♂️ E5.0 man mage: medium skin tone</t>
  </si>
  <si>
    <t>1F9D9 1F3FD 200D 2642                                  ; minimally-qualified # 🧙🏽‍♂ E5.0 man mage: medium skin tone</t>
  </si>
  <si>
    <t>1F9D9 1F3FE 200D 2642 FE0F                             ; fully-qualified     # 🧙🏾‍♂️ E5.0 man mage: medium-dark skin tone</t>
  </si>
  <si>
    <t>1F9D9 1F3FE 200D 2642                                  ; minimally-qualified # 🧙🏾‍♂ E5.0 man mage: medium-dark skin tone</t>
  </si>
  <si>
    <t>1F9D9 1F3FF 200D 2642 FE0F                             ; fully-qualified     # 🧙🏿‍♂️ E5.0 man mage: dark skin tone</t>
  </si>
  <si>
    <t>1F9D9 1F3FF 200D 2642                                  ; minimally-qualified # 🧙🏿‍♂ E5.0 man mage: dark skin tone</t>
  </si>
  <si>
    <t>1F9D9 200D 2640 FE0F                                   ; fully-qualified     # 🧙‍♀️ E5.0 woman mage</t>
  </si>
  <si>
    <t>1F9D9 200D 2640                                        ; minimally-qualified # 🧙‍♀ E5.0 woman mage</t>
  </si>
  <si>
    <t>1F9D9 1F3FB 200D 2640 FE0F                             ; fully-qualified     # 🧙🏻‍♀️ E5.0 woman mage: light skin tone</t>
  </si>
  <si>
    <t>1F9D9 1F3FB 200D 2640                                  ; minimally-qualified # 🧙🏻‍♀ E5.0 woman mage: light skin tone</t>
  </si>
  <si>
    <t>1F9D9 1F3FC 200D 2640 FE0F                             ; fully-qualified     # 🧙🏼‍♀️ E5.0 woman mage: medium-light skin tone</t>
  </si>
  <si>
    <t>1F9D9 1F3FC 200D 2640                                  ; minimally-qualified # 🧙🏼‍♀ E5.0 woman mage: medium-light skin tone</t>
  </si>
  <si>
    <t>1F9D9 1F3FD 200D 2640 FE0F                             ; fully-qualified     # 🧙🏽‍♀️ E5.0 woman mage: medium skin tone</t>
  </si>
  <si>
    <t>1F9D9 1F3FD 200D 2640                                  ; minimally-qualified # 🧙🏽‍♀ E5.0 woman mage: medium skin tone</t>
  </si>
  <si>
    <t>1F9D9 1F3FE 200D 2640 FE0F                             ; fully-qualified     # 🧙🏾‍♀️ E5.0 woman mage: medium-dark skin tone</t>
  </si>
  <si>
    <t>1F9D9 1F3FE 200D 2640                                  ; minimally-qualified # 🧙🏾‍♀ E5.0 woman mage: medium-dark skin tone</t>
  </si>
  <si>
    <t>1F9D9 1F3FF 200D 2640 FE0F                             ; fully-qualified     # 🧙🏿‍♀️ E5.0 woman mage: dark skin tone</t>
  </si>
  <si>
    <t>1F9D9 1F3FF 200D 2640                                  ; minimally-qualified # 🧙🏿‍♀ E5.0 woman mage: dark skin tone</t>
  </si>
  <si>
    <t>1F9DA                                                  ; fully-qualified     # 🧚 E5.0 fairy</t>
  </si>
  <si>
    <t>1F9DA 1F3FB                                            ; fully-qualified     # 🧚🏻 E5.0 fairy: light skin tone</t>
  </si>
  <si>
    <t>1F9DA 1F3FC                                            ; fully-qualified     # 🧚🏼 E5.0 fairy: medium-light skin tone</t>
  </si>
  <si>
    <t>1F9DA 1F3FD                                            ; fully-qualified     # 🧚🏽 E5.0 fairy: medium skin tone</t>
  </si>
  <si>
    <t>1F9DA 1F3FE                                            ; fully-qualified     # 🧚🏾 E5.0 fairy: medium-dark skin tone</t>
  </si>
  <si>
    <t>1F9DA 1F3FF                                            ; fully-qualified     # 🧚🏿 E5.0 fairy: dark skin tone</t>
  </si>
  <si>
    <t>1F9DA 200D 2642 FE0F                                   ; fully-qualified     # 🧚‍♂️ E5.0 man fairy</t>
  </si>
  <si>
    <t>1F9DA 200D 2642                                        ; minimally-qualified # 🧚‍♂ E5.0 man fairy</t>
  </si>
  <si>
    <t>1F9DA 1F3FB 200D 2642 FE0F                             ; fully-qualified     # 🧚🏻‍♂️ E5.0 man fairy: light skin tone</t>
  </si>
  <si>
    <t>1F9DA 1F3FB 200D 2642                                  ; minimally-qualified # 🧚🏻‍♂ E5.0 man fairy: light skin tone</t>
  </si>
  <si>
    <t>1F9DA 1F3FC 200D 2642 FE0F                             ; fully-qualified     # 🧚🏼‍♂️ E5.0 man fairy: medium-light skin tone</t>
  </si>
  <si>
    <t>1F9DA 1F3FC 200D 2642                                  ; minimally-qualified # 🧚🏼‍♂ E5.0 man fairy: medium-light skin tone</t>
  </si>
  <si>
    <t>1F9DA 1F3FD 200D 2642 FE0F                             ; fully-qualified     # 🧚🏽‍♂️ E5.0 man fairy: medium skin tone</t>
  </si>
  <si>
    <t>1F9DA 1F3FD 200D 2642                                  ; minimally-qualified # 🧚🏽‍♂ E5.0 man fairy: medium skin tone</t>
  </si>
  <si>
    <t>1F9DA 1F3FE 200D 2642 FE0F                             ; fully-qualified     # 🧚🏾‍♂️ E5.0 man fairy: medium-dark skin tone</t>
  </si>
  <si>
    <t>1F9DA 1F3FE 200D 2642                                  ; minimally-qualified # 🧚🏾‍♂ E5.0 man fairy: medium-dark skin tone</t>
  </si>
  <si>
    <t>1F9DA 1F3FF 200D 2642 FE0F                             ; fully-qualified     # 🧚🏿‍♂️ E5.0 man fairy: dark skin tone</t>
  </si>
  <si>
    <t>1F9DA 1F3FF 200D 2642                                  ; minimally-qualified # 🧚🏿‍♂ E5.0 man fairy: dark skin tone</t>
  </si>
  <si>
    <t>1F9DA 200D 2640 FE0F                                   ; fully-qualified     # 🧚‍♀️ E5.0 woman fairy</t>
  </si>
  <si>
    <t>1F9DA 200D 2640                                        ; minimally-qualified # 🧚‍♀ E5.0 woman fairy</t>
  </si>
  <si>
    <t>1F9DA 1F3FB 200D 2640 FE0F                             ; fully-qualified     # 🧚🏻‍♀️ E5.0 woman fairy: light skin tone</t>
  </si>
  <si>
    <t>1F9DA 1F3FB 200D 2640                                  ; minimally-qualified # 🧚🏻‍♀ E5.0 woman fairy: light skin tone</t>
  </si>
  <si>
    <t>1F9DA 1F3FC 200D 2640 FE0F                             ; fully-qualified     # 🧚🏼‍♀️ E5.0 woman fairy: medium-light skin tone</t>
  </si>
  <si>
    <t>1F9DA 1F3FC 200D 2640                                  ; minimally-qualified # 🧚🏼‍♀ E5.0 woman fairy: medium-light skin tone</t>
  </si>
  <si>
    <t>1F9DA 1F3FD 200D 2640 FE0F                             ; fully-qualified     # 🧚🏽‍♀️ E5.0 woman fairy: medium skin tone</t>
  </si>
  <si>
    <t>1F9DA 1F3FD 200D 2640                                  ; minimally-qualified # 🧚🏽‍♀ E5.0 woman fairy: medium skin tone</t>
  </si>
  <si>
    <t>1F9DA 1F3FE 200D 2640 FE0F                             ; fully-qualified     # 🧚🏾‍♀️ E5.0 woman fairy: medium-dark skin tone</t>
  </si>
  <si>
    <t>1F9DA 1F3FE 200D 2640                                  ; minimally-qualified # 🧚🏾‍♀ E5.0 woman fairy: medium-dark skin tone</t>
  </si>
  <si>
    <t>1F9DA 1F3FF 200D 2640 FE0F                             ; fully-qualified     # 🧚🏿‍♀️ E5.0 woman fairy: dark skin tone</t>
  </si>
  <si>
    <t>1F9DA 1F3FF 200D 2640                                  ; minimally-qualified # 🧚🏿‍♀ E5.0 woman fairy: dark skin tone</t>
  </si>
  <si>
    <t>1F9DB                                                  ; fully-qualified     # 🧛 E5.0 vampire</t>
  </si>
  <si>
    <t>1F9DB 1F3FB                                            ; fully-qualified     # 🧛🏻 E5.0 vampire: light skin tone</t>
  </si>
  <si>
    <t>1F9DB 1F3FC                                            ; fully-qualified     # 🧛🏼 E5.0 vampire: medium-light skin tone</t>
  </si>
  <si>
    <t>1F9DB 1F3FD                                            ; fully-qualified     # 🧛🏽 E5.0 vampire: medium skin tone</t>
  </si>
  <si>
    <t>1F9DB 1F3FE                                            ; fully-qualified     # 🧛🏾 E5.0 vampire: medium-dark skin tone</t>
  </si>
  <si>
    <t>1F9DB 1F3FF                                            ; fully-qualified     # 🧛🏿 E5.0 vampire: dark skin tone</t>
  </si>
  <si>
    <t>1F9DB 200D 2642 FE0F                                   ; fully-qualified     # 🧛‍♂️ E5.0 man vampire</t>
  </si>
  <si>
    <t>1F9DB 200D 2642                                        ; minimally-qualified # 🧛‍♂ E5.0 man vampire</t>
  </si>
  <si>
    <t>1F9DB 1F3FB 200D 2642 FE0F                             ; fully-qualified     # 🧛🏻‍♂️ E5.0 man vampire: light skin tone</t>
  </si>
  <si>
    <t>1F9DB 1F3FB 200D 2642                                  ; minimally-qualified # 🧛🏻‍♂ E5.0 man vampire: light skin tone</t>
  </si>
  <si>
    <t>1F9DB 1F3FC 200D 2642 FE0F                             ; fully-qualified     # 🧛🏼‍♂️ E5.0 man vampire: medium-light skin tone</t>
  </si>
  <si>
    <t>1F9DB 1F3FC 200D 2642                                  ; minimally-qualified # 🧛🏼‍♂ E5.0 man vampire: medium-light skin tone</t>
  </si>
  <si>
    <t>1F9DB 1F3FD 200D 2642 FE0F                             ; fully-qualified     # 🧛🏽‍♂️ E5.0 man vampire: medium skin tone</t>
  </si>
  <si>
    <t>1F9DB 1F3FD 200D 2642                                  ; minimally-qualified # 🧛🏽‍♂ E5.0 man vampire: medium skin tone</t>
  </si>
  <si>
    <t>1F9DB 1F3FE 200D 2642 FE0F                             ; fully-qualified     # 🧛🏾‍♂️ E5.0 man vampire: medium-dark skin tone</t>
  </si>
  <si>
    <t>1F9DB 1F3FE 200D 2642                                  ; minimally-qualified # 🧛🏾‍♂ E5.0 man vampire: medium-dark skin tone</t>
  </si>
  <si>
    <t>1F9DB 1F3FF 200D 2642 FE0F                             ; fully-qualified     # 🧛🏿‍♂️ E5.0 man vampire: dark skin tone</t>
  </si>
  <si>
    <t>1F9DB 1F3FF 200D 2642                                  ; minimally-qualified # 🧛🏿‍♂ E5.0 man vampire: dark skin tone</t>
  </si>
  <si>
    <t>1F9DB 200D 2640 FE0F                                   ; fully-qualified     # 🧛‍♀️ E5.0 woman vampire</t>
  </si>
  <si>
    <t>1F9DB 200D 2640                                        ; minimally-qualified # 🧛‍♀ E5.0 woman vampire</t>
  </si>
  <si>
    <t>1F9DB 1F3FB 200D 2640 FE0F                             ; fully-qualified     # 🧛🏻‍♀️ E5.0 woman vampire: light skin tone</t>
  </si>
  <si>
    <t>1F9DB 1F3FB 200D 2640                                  ; minimally-qualified # 🧛🏻‍♀ E5.0 woman vampire: light skin tone</t>
  </si>
  <si>
    <t>1F9DB 1F3FC 200D 2640 FE0F                             ; fully-qualified     # 🧛🏼‍♀️ E5.0 woman vampire: medium-light skin tone</t>
  </si>
  <si>
    <t>1F9DB 1F3FC 200D 2640                                  ; minimally-qualified # 🧛🏼‍♀ E5.0 woman vampire: medium-light skin tone</t>
  </si>
  <si>
    <t>1F9DB 1F3FD 200D 2640 FE0F                             ; fully-qualified     # 🧛🏽‍♀️ E5.0 woman vampire: medium skin tone</t>
  </si>
  <si>
    <t>1F9DB 1F3FD 200D 2640                                  ; minimally-qualified # 🧛🏽‍♀ E5.0 woman vampire: medium skin tone</t>
  </si>
  <si>
    <t>1F9DB 1F3FE 200D 2640 FE0F                             ; fully-qualified     # 🧛🏾‍♀️ E5.0 woman vampire: medium-dark skin tone</t>
  </si>
  <si>
    <t>1F9DB 1F3FE 200D 2640                                  ; minimally-qualified # 🧛🏾‍♀ E5.0 woman vampire: medium-dark skin tone</t>
  </si>
  <si>
    <t>1F9DB 1F3FF 200D 2640 FE0F                             ; fully-qualified     # 🧛🏿‍♀️ E5.0 woman vampire: dark skin tone</t>
  </si>
  <si>
    <t>1F9DB 1F3FF 200D 2640                                  ; minimally-qualified # 🧛🏿‍♀ E5.0 woman vampire: dark skin tone</t>
  </si>
  <si>
    <t>1F9DC                                                  ; fully-qualified     # 🧜 E5.0 merperson</t>
  </si>
  <si>
    <t>1F9DC 1F3FB                                            ; fully-qualified     # 🧜🏻 E5.0 merperson: light skin tone</t>
  </si>
  <si>
    <t>1F9DC 1F3FC                                            ; fully-qualified     # 🧜🏼 E5.0 merperson: medium-light skin tone</t>
  </si>
  <si>
    <t>1F9DC 1F3FD                                            ; fully-qualified     # 🧜🏽 E5.0 merperson: medium skin tone</t>
  </si>
  <si>
    <t>1F9DC 1F3FE                                            ; fully-qualified     # 🧜🏾 E5.0 merperson: medium-dark skin tone</t>
  </si>
  <si>
    <t>1F9DC 1F3FF                                            ; fully-qualified     # 🧜🏿 E5.0 merperson: dark skin tone</t>
  </si>
  <si>
    <t>1F9DC 200D 2642 FE0F                                   ; fully-qualified     # 🧜‍♂️ E5.0 merman</t>
  </si>
  <si>
    <t>1F9DC 200D 2642                                        ; minimally-qualified # 🧜‍♂ E5.0 merman</t>
  </si>
  <si>
    <t>1F9DC 1F3FB 200D 2642 FE0F                             ; fully-qualified     # 🧜🏻‍♂️ E5.0 merman: light skin tone</t>
  </si>
  <si>
    <t>1F9DC 1F3FB 200D 2642                                  ; minimally-qualified # 🧜🏻‍♂ E5.0 merman: light skin tone</t>
  </si>
  <si>
    <t>1F9DC 1F3FC 200D 2642 FE0F                             ; fully-qualified     # 🧜🏼‍♂️ E5.0 merman: medium-light skin tone</t>
  </si>
  <si>
    <t>1F9DC 1F3FC 200D 2642                                  ; minimally-qualified # 🧜🏼‍♂ E5.0 merman: medium-light skin tone</t>
  </si>
  <si>
    <t>1F9DC 1F3FD 200D 2642 FE0F                             ; fully-qualified     # 🧜🏽‍♂️ E5.0 merman: medium skin tone</t>
  </si>
  <si>
    <t>1F9DC 1F3FD 200D 2642                                  ; minimally-qualified # 🧜🏽‍♂ E5.0 merman: medium skin tone</t>
  </si>
  <si>
    <t>1F9DC 1F3FE 200D 2642 FE0F                             ; fully-qualified     # 🧜🏾‍♂️ E5.0 merman: medium-dark skin tone</t>
  </si>
  <si>
    <t>1F9DC 1F3FE 200D 2642                                  ; minimally-qualified # 🧜🏾‍♂ E5.0 merman: medium-dark skin tone</t>
  </si>
  <si>
    <t>1F9DC 1F3FF 200D 2642 FE0F                             ; fully-qualified     # 🧜🏿‍♂️ E5.0 merman: dark skin tone</t>
  </si>
  <si>
    <t>1F9DC 1F3FF 200D 2642                                  ; minimally-qualified # 🧜🏿‍♂ E5.0 merman: dark skin tone</t>
  </si>
  <si>
    <t>1F9DC 200D 2640 FE0F                                   ; fully-qualified     # 🧜‍♀️ E5.0 mermaid</t>
  </si>
  <si>
    <t>1F9DC 200D 2640                                        ; minimally-qualified # 🧜‍♀ E5.0 mermaid</t>
  </si>
  <si>
    <t>1F9DC 1F3FB 200D 2640 FE0F                             ; fully-qualified     # 🧜🏻‍♀️ E5.0 mermaid: light skin tone</t>
  </si>
  <si>
    <t>1F9DC 1F3FB 200D 2640                                  ; minimally-qualified # 🧜🏻‍♀ E5.0 mermaid: light skin tone</t>
  </si>
  <si>
    <t>1F9DC 1F3FC 200D 2640 FE0F                             ; fully-qualified     # 🧜🏼‍♀️ E5.0 mermaid: medium-light skin tone</t>
  </si>
  <si>
    <t>1F9DC 1F3FC 200D 2640                                  ; minimally-qualified # 🧜🏼‍♀ E5.0 mermaid: medium-light skin tone</t>
  </si>
  <si>
    <t>1F9DC 1F3FD 200D 2640 FE0F                             ; fully-qualified     # 🧜🏽‍♀️ E5.0 mermaid: medium skin tone</t>
  </si>
  <si>
    <t>1F9DC 1F3FD 200D 2640                                  ; minimally-qualified # 🧜🏽‍♀ E5.0 mermaid: medium skin tone</t>
  </si>
  <si>
    <t>1F9DC 1F3FE 200D 2640 FE0F                             ; fully-qualified     # 🧜🏾‍♀️ E5.0 mermaid: medium-dark skin tone</t>
  </si>
  <si>
    <t>1F9DC 1F3FE 200D 2640                                  ; minimally-qualified # 🧜🏾‍♀ E5.0 mermaid: medium-dark skin tone</t>
  </si>
  <si>
    <t>1F9DC 1F3FF 200D 2640 FE0F                             ; fully-qualified     # 🧜🏿‍♀️ E5.0 mermaid: dark skin tone</t>
  </si>
  <si>
    <t>1F9DC 1F3FF 200D 2640                                  ; minimally-qualified # 🧜🏿‍♀ E5.0 mermaid: dark skin tone</t>
  </si>
  <si>
    <t>1F9DD                                                  ; fully-qualified     # 🧝 E5.0 elf</t>
  </si>
  <si>
    <t>1F9DD 1F3FB                                            ; fully-qualified     # 🧝🏻 E5.0 elf: light skin tone</t>
  </si>
  <si>
    <t>1F9DD 1F3FC                                            ; fully-qualified     # 🧝🏼 E5.0 elf: medium-light skin tone</t>
  </si>
  <si>
    <t>1F9DD 1F3FD                                            ; fully-qualified     # 🧝🏽 E5.0 elf: medium skin tone</t>
  </si>
  <si>
    <t>1F9DD 1F3FE                                            ; fully-qualified     # 🧝🏾 E5.0 elf: medium-dark skin tone</t>
  </si>
  <si>
    <t>1F9DD 1F3FF                                            ; fully-qualified     # 🧝🏿 E5.0 elf: dark skin tone</t>
  </si>
  <si>
    <t>1F9DD 200D 2642 FE0F                                   ; fully-qualified     # 🧝‍♂️ E5.0 man elf</t>
  </si>
  <si>
    <t>1F9DD 200D 2642                                        ; minimally-qualified # 🧝‍♂ E5.0 man elf</t>
  </si>
  <si>
    <t>1F9DD 1F3FB 200D 2642 FE0F                             ; fully-qualified     # 🧝🏻‍♂️ E5.0 man elf: light skin tone</t>
  </si>
  <si>
    <t>1F9DD 1F3FB 200D 2642                                  ; minimally-qualified # 🧝🏻‍♂ E5.0 man elf: light skin tone</t>
  </si>
  <si>
    <t>1F9DD 1F3FC 200D 2642 FE0F                             ; fully-qualified     # 🧝🏼‍♂️ E5.0 man elf: medium-light skin tone</t>
  </si>
  <si>
    <t>1F9DD 1F3FC 200D 2642                                  ; minimally-qualified # 🧝🏼‍♂ E5.0 man elf: medium-light skin tone</t>
  </si>
  <si>
    <t>1F9DD 1F3FD 200D 2642 FE0F                             ; fully-qualified     # 🧝🏽‍♂️ E5.0 man elf: medium skin tone</t>
  </si>
  <si>
    <t>1F9DD 1F3FD 200D 2642                                  ; minimally-qualified # 🧝🏽‍♂ E5.0 man elf: medium skin tone</t>
  </si>
  <si>
    <t>1F9DD 1F3FE 200D 2642 FE0F                             ; fully-qualified     # 🧝🏾‍♂️ E5.0 man elf: medium-dark skin tone</t>
  </si>
  <si>
    <t>1F9DD 1F3FE 200D 2642                                  ; minimally-qualified # 🧝🏾‍♂ E5.0 man elf: medium-dark skin tone</t>
  </si>
  <si>
    <t>1F9DD 1F3FF 200D 2642 FE0F                             ; fully-qualified     # 🧝🏿‍♂️ E5.0 man elf: dark skin tone</t>
  </si>
  <si>
    <t>1F9DD 1F3FF 200D 2642                                  ; minimally-qualified # 🧝🏿‍♂ E5.0 man elf: dark skin tone</t>
  </si>
  <si>
    <t>1F9DD 200D 2640 FE0F                                   ; fully-qualified     # 🧝‍♀️ E5.0 woman elf</t>
  </si>
  <si>
    <t>1F9DD 200D 2640                                        ; minimally-qualified # 🧝‍♀ E5.0 woman elf</t>
  </si>
  <si>
    <t>1F9DD 1F3FB 200D 2640 FE0F                             ; fully-qualified     # 🧝🏻‍♀️ E5.0 woman elf: light skin tone</t>
  </si>
  <si>
    <t>1F9DD 1F3FB 200D 2640                                  ; minimally-qualified # 🧝🏻‍♀ E5.0 woman elf: light skin tone</t>
  </si>
  <si>
    <t>1F9DD 1F3FC 200D 2640 FE0F                             ; fully-qualified     # 🧝🏼‍♀️ E5.0 woman elf: medium-light skin tone</t>
  </si>
  <si>
    <t>1F9DD 1F3FC 200D 2640                                  ; minimally-qualified # 🧝🏼‍♀ E5.0 woman elf: medium-light skin tone</t>
  </si>
  <si>
    <t>1F9DD 1F3FD 200D 2640 FE0F                             ; fully-qualified     # 🧝🏽‍♀️ E5.0 woman elf: medium skin tone</t>
  </si>
  <si>
    <t>1F9DD 1F3FD 200D 2640                                  ; minimally-qualified # 🧝🏽‍♀ E5.0 woman elf: medium skin tone</t>
  </si>
  <si>
    <t>1F9DD 1F3FE 200D 2640 FE0F                             ; fully-qualified     # 🧝🏾‍♀️ E5.0 woman elf: medium-dark skin tone</t>
  </si>
  <si>
    <t>1F9DD 1F3FE 200D 2640                                  ; minimally-qualified # 🧝🏾‍♀ E5.0 woman elf: medium-dark skin tone</t>
  </si>
  <si>
    <t>1F9DD 1F3FF 200D 2640 FE0F                             ; fully-qualified     # 🧝🏿‍♀️ E5.0 woman elf: dark skin tone</t>
  </si>
  <si>
    <t>1F9DD 1F3FF 200D 2640                                  ; minimally-qualified # 🧝🏿‍♀ E5.0 woman elf: dark skin tone</t>
  </si>
  <si>
    <t>1F9DE                                                  ; fully-qualified     # 🧞 E5.0 genie</t>
  </si>
  <si>
    <t>1F9DE 200D 2642 FE0F                                   ; fully-qualified     # 🧞‍♂️ E5.0 man genie</t>
  </si>
  <si>
    <t>1F9DE 200D 2642                                        ; minimally-qualified # 🧞‍♂ E5.0 man genie</t>
  </si>
  <si>
    <t>1F9DE 200D 2640 FE0F                                   ; fully-qualified     # 🧞‍♀️ E5.0 woman genie</t>
  </si>
  <si>
    <t>1F9DE 200D 2640                                        ; minimally-qualified # 🧞‍♀ E5.0 woman genie</t>
  </si>
  <si>
    <t>1F9DF                                                  ; fully-qualified     # 🧟 E5.0 zombie</t>
  </si>
  <si>
    <t>1F9DF 200D 2642 FE0F                                   ; fully-qualified     # 🧟‍♂️ E5.0 man zombie</t>
  </si>
  <si>
    <t>1F9DF 200D 2642                                        ; minimally-qualified # 🧟‍♂ E5.0 man zombie</t>
  </si>
  <si>
    <t>1F9DF 200D 2640 FE0F                                   ; fully-qualified     # 🧟‍♀️ E5.0 woman zombie</t>
  </si>
  <si>
    <t>1F9DF 200D 2640                                        ; minimally-qualified # 🧟‍♀ E5.0 woman zombie</t>
  </si>
  <si>
    <t># subgroup: person-activity</t>
  </si>
  <si>
    <t>1F486                                                  ; fully-qualified     # 💆 E0.6 person getting massage</t>
  </si>
  <si>
    <t>1F486 1F3FB                                            ; fully-qualified     # 💆🏻 E1.0 person getting massage: light skin tone</t>
  </si>
  <si>
    <t>1F486 1F3FC                                            ; fully-qualified     # 💆🏼 E1.0 person getting massage: medium-light skin tone</t>
  </si>
  <si>
    <t>1F486 1F3FD                                            ; fully-qualified     # 💆🏽 E1.0 person getting massage: medium skin tone</t>
  </si>
  <si>
    <t>1F486 1F3FE                                            ; fully-qualified     # 💆🏾 E1.0 person getting massage: medium-dark skin tone</t>
  </si>
  <si>
    <t>1F486 1F3FF                                            ; fully-qualified     # 💆🏿 E1.0 person getting massage: dark skin tone</t>
  </si>
  <si>
    <t>1F486 200D 2642 FE0F                                   ; fully-qualified     # 💆‍♂️ E4.0 man getting massage</t>
  </si>
  <si>
    <t>1F486 200D 2642                                        ; minimally-qualified # 💆‍♂ E4.0 man getting massage</t>
  </si>
  <si>
    <t>1F486 1F3FB 200D 2642 FE0F                             ; fully-qualified     # 💆🏻‍♂️ E4.0 man getting massage: light skin tone</t>
  </si>
  <si>
    <t>1F486 1F3FB 200D 2642                                  ; minimally-qualified # 💆🏻‍♂ E4.0 man getting massage: light skin tone</t>
  </si>
  <si>
    <t>1F486 1F3FC 200D 2642 FE0F                             ; fully-qualified     # 💆🏼‍♂️ E4.0 man getting massage: medium-light skin tone</t>
  </si>
  <si>
    <t>1F486 1F3FC 200D 2642                                  ; minimally-qualified # 💆🏼‍♂ E4.0 man getting massage: medium-light skin tone</t>
  </si>
  <si>
    <t>1F486 1F3FD 200D 2642 FE0F                             ; fully-qualified     # 💆🏽‍♂️ E4.0 man getting massage: medium skin tone</t>
  </si>
  <si>
    <t>1F486 1F3FD 200D 2642                                  ; minimally-qualified # 💆🏽‍♂ E4.0 man getting massage: medium skin tone</t>
  </si>
  <si>
    <t>1F486 1F3FE 200D 2642 FE0F                             ; fully-qualified     # 💆🏾‍♂️ E4.0 man getting massage: medium-dark skin tone</t>
  </si>
  <si>
    <t>1F486 1F3FE 200D 2642                                  ; minimally-qualified # 💆🏾‍♂ E4.0 man getting massage: medium-dark skin tone</t>
  </si>
  <si>
    <t>1F486 1F3FF 200D 2642 FE0F                             ; fully-qualified     # 💆🏿‍♂️ E4.0 man getting massage: dark skin tone</t>
  </si>
  <si>
    <t>1F486 1F3FF 200D 2642                                  ; minimally-qualified # 💆🏿‍♂ E4.0 man getting massage: dark skin tone</t>
  </si>
  <si>
    <t>1F486 200D 2640 FE0F                                   ; fully-qualified     # 💆‍♀️ E4.0 woman getting massage</t>
  </si>
  <si>
    <t>1F486 200D 2640                                        ; minimally-qualified # 💆‍♀ E4.0 woman getting massage</t>
  </si>
  <si>
    <t>1F486 1F3FB 200D 2640 FE0F                             ; fully-qualified     # 💆🏻‍♀️ E4.0 woman getting massage: light skin tone</t>
  </si>
  <si>
    <t>1F486 1F3FB 200D 2640                                  ; minimally-qualified # 💆🏻‍♀ E4.0 woman getting massage: light skin tone</t>
  </si>
  <si>
    <t>1F486 1F3FC 200D 2640 FE0F                             ; fully-qualified     # 💆🏼‍♀️ E4.0 woman getting massage: medium-light skin tone</t>
  </si>
  <si>
    <t>1F486 1F3FC 200D 2640                                  ; minimally-qualified # 💆🏼‍♀ E4.0 woman getting massage: medium-light skin tone</t>
  </si>
  <si>
    <t>1F486 1F3FD 200D 2640 FE0F                             ; fully-qualified     # 💆🏽‍♀️ E4.0 woman getting massage: medium skin tone</t>
  </si>
  <si>
    <t>1F486 1F3FD 200D 2640                                  ; minimally-qualified # 💆🏽‍♀ E4.0 woman getting massage: medium skin tone</t>
  </si>
  <si>
    <t>1F486 1F3FE 200D 2640 FE0F                             ; fully-qualified     # 💆🏾‍♀️ E4.0 woman getting massage: medium-dark skin tone</t>
  </si>
  <si>
    <t>1F486 1F3FE 200D 2640                                  ; minimally-qualified # 💆🏾‍♀ E4.0 woman getting massage: medium-dark skin tone</t>
  </si>
  <si>
    <t>1F486 1F3FF 200D 2640 FE0F                             ; fully-qualified     # 💆🏿‍♀️ E4.0 woman getting massage: dark skin tone</t>
  </si>
  <si>
    <t>1F486 1F3FF 200D 2640                                  ; minimally-qualified # 💆🏿‍♀ E4.0 woman getting massage: dark skin tone</t>
  </si>
  <si>
    <t>1F487                                                  ; fully-qualified     # 💇 E0.6 person getting haircut</t>
  </si>
  <si>
    <t>1F487 1F3FB                                            ; fully-qualified     # 💇🏻 E1.0 person getting haircut: light skin tone</t>
  </si>
  <si>
    <t>1F487 1F3FC                                            ; fully-qualified     # 💇🏼 E1.0 person getting haircut: medium-light skin tone</t>
  </si>
  <si>
    <t>1F487 1F3FD                                            ; fully-qualified     # 💇🏽 E1.0 person getting haircut: medium skin tone</t>
  </si>
  <si>
    <t>1F487 1F3FE                                            ; fully-qualified     # 💇🏾 E1.0 person getting haircut: medium-dark skin tone</t>
  </si>
  <si>
    <t>1F487 1F3FF                                            ; fully-qualified     # 💇🏿 E1.0 person getting haircut: dark skin tone</t>
  </si>
  <si>
    <t>1F487 200D 2642 FE0F                                   ; fully-qualified     # 💇‍♂️ E4.0 man getting haircut</t>
  </si>
  <si>
    <t>1F487 200D 2642                                        ; minimally-qualified # 💇‍♂ E4.0 man getting haircut</t>
  </si>
  <si>
    <t>1F487 1F3FB 200D 2642 FE0F                             ; fully-qualified     # 💇🏻‍♂️ E4.0 man getting haircut: light skin tone</t>
  </si>
  <si>
    <t>1F487 1F3FB 200D 2642                                  ; minimally-qualified # 💇🏻‍♂ E4.0 man getting haircut: light skin tone</t>
  </si>
  <si>
    <t>1F487 1F3FC 200D 2642 FE0F                             ; fully-qualified     # 💇🏼‍♂️ E4.0 man getting haircut: medium-light skin tone</t>
  </si>
  <si>
    <t>1F487 1F3FC 200D 2642                                  ; minimally-qualified # 💇🏼‍♂ E4.0 man getting haircut: medium-light skin tone</t>
  </si>
  <si>
    <t>1F487 1F3FD 200D 2642 FE0F                             ; fully-qualified     # 💇🏽‍♂️ E4.0 man getting haircut: medium skin tone</t>
  </si>
  <si>
    <t>1F487 1F3FD 200D 2642                                  ; minimally-qualified # 💇🏽‍♂ E4.0 man getting haircut: medium skin tone</t>
  </si>
  <si>
    <t>1F487 1F3FE 200D 2642 FE0F                             ; fully-qualified     # 💇🏾‍♂️ E4.0 man getting haircut: medium-dark skin tone</t>
  </si>
  <si>
    <t>1F487 1F3FE 200D 2642                                  ; minimally-qualified # 💇🏾‍♂ E4.0 man getting haircut: medium-dark skin tone</t>
  </si>
  <si>
    <t>1F487 1F3FF 200D 2642 FE0F                             ; fully-qualified     # 💇🏿‍♂️ E4.0 man getting haircut: dark skin tone</t>
  </si>
  <si>
    <t>1F487 1F3FF 200D 2642                                  ; minimally-qualified # 💇🏿‍♂ E4.0 man getting haircut: dark skin tone</t>
  </si>
  <si>
    <t>1F487 200D 2640 FE0F                                   ; fully-qualified     # 💇‍♀️ E4.0 woman getting haircut</t>
  </si>
  <si>
    <t>1F487 200D 2640                                        ; minimally-qualified # 💇‍♀ E4.0 woman getting haircut</t>
  </si>
  <si>
    <t>1F487 1F3FB 200D 2640 FE0F                             ; fully-qualified     # 💇🏻‍♀️ E4.0 woman getting haircut: light skin tone</t>
  </si>
  <si>
    <t>1F487 1F3FB 200D 2640                                  ; minimally-qualified # 💇🏻‍♀ E4.0 woman getting haircut: light skin tone</t>
  </si>
  <si>
    <t>1F487 1F3FC 200D 2640 FE0F                             ; fully-qualified     # 💇🏼‍♀️ E4.0 woman getting haircut: medium-light skin tone</t>
  </si>
  <si>
    <t>1F487 1F3FC 200D 2640                                  ; minimally-qualified # 💇🏼‍♀ E4.0 woman getting haircut: medium-light skin tone</t>
  </si>
  <si>
    <t>1F487 1F3FD 200D 2640 FE0F                             ; fully-qualified     # 💇🏽‍♀️ E4.0 woman getting haircut: medium skin tone</t>
  </si>
  <si>
    <t>1F487 1F3FD 200D 2640                                  ; minimally-qualified # 💇🏽‍♀ E4.0 woman getting haircut: medium skin tone</t>
  </si>
  <si>
    <t>1F487 1F3FE 200D 2640 FE0F                             ; fully-qualified     # 💇🏾‍♀️ E4.0 woman getting haircut: medium-dark skin tone</t>
  </si>
  <si>
    <t>1F487 1F3FE 200D 2640                                  ; minimally-qualified # 💇🏾‍♀ E4.0 woman getting haircut: medium-dark skin tone</t>
  </si>
  <si>
    <t>1F487 1F3FF 200D 2640 FE0F                             ; fully-qualified     # 💇🏿‍♀️ E4.0 woman getting haircut: dark skin tone</t>
  </si>
  <si>
    <t>1F487 1F3FF 200D 2640                                  ; minimally-qualified # 💇🏿‍♀ E4.0 woman getting haircut: dark skin tone</t>
  </si>
  <si>
    <t>1F6B6                                                  ; fully-qualified     # 🚶 E0.6 person walking</t>
  </si>
  <si>
    <t>1F6B6 1F3FB                                            ; fully-qualified     # 🚶🏻 E1.0 person walking: light skin tone</t>
  </si>
  <si>
    <t>1F6B6 1F3FC                                            ; fully-qualified     # 🚶🏼 E1.0 person walking: medium-light skin tone</t>
  </si>
  <si>
    <t>1F6B6 1F3FD                                            ; fully-qualified     # 🚶🏽 E1.0 person walking: medium skin tone</t>
  </si>
  <si>
    <t>1F6B6 1F3FE                                            ; fully-qualified     # 🚶🏾 E1.0 person walking: medium-dark skin tone</t>
  </si>
  <si>
    <t>1F6B6 1F3FF                                            ; fully-qualified     # 🚶🏿 E1.0 person walking: dark skin tone</t>
  </si>
  <si>
    <t>1F6B6 200D 2642 FE0F                                   ; fully-qualified     # 🚶‍♂️ E4.0 man walking</t>
  </si>
  <si>
    <t>1F6B6 200D 2642                                        ; minimally-qualified # 🚶‍♂ E4.0 man walking</t>
  </si>
  <si>
    <t>1F6B6 1F3FB 200D 2642 FE0F                             ; fully-qualified     # 🚶🏻‍♂️ E4.0 man walking: light skin tone</t>
  </si>
  <si>
    <t>1F6B6 1F3FB 200D 2642                                  ; minimally-qualified # 🚶🏻‍♂ E4.0 man walking: light skin tone</t>
  </si>
  <si>
    <t>1F6B6 1F3FC 200D 2642 FE0F                             ; fully-qualified     # 🚶🏼‍♂️ E4.0 man walking: medium-light skin tone</t>
  </si>
  <si>
    <t>1F6B6 1F3FC 200D 2642                                  ; minimally-qualified # 🚶🏼‍♂ E4.0 man walking: medium-light skin tone</t>
  </si>
  <si>
    <t>1F6B6 1F3FD 200D 2642 FE0F                             ; fully-qualified     # 🚶🏽‍♂️ E4.0 man walking: medium skin tone</t>
  </si>
  <si>
    <t>1F6B6 1F3FD 200D 2642                                  ; minimally-qualified # 🚶🏽‍♂ E4.0 man walking: medium skin tone</t>
  </si>
  <si>
    <t>1F6B6 1F3FE 200D 2642 FE0F                             ; fully-qualified     # 🚶🏾‍♂️ E4.0 man walking: medium-dark skin tone</t>
  </si>
  <si>
    <t>1F6B6 1F3FE 200D 2642                                  ; minimally-qualified # 🚶🏾‍♂ E4.0 man walking: medium-dark skin tone</t>
  </si>
  <si>
    <t>1F6B6 1F3FF 200D 2642 FE0F                             ; fully-qualified     # 🚶🏿‍♂️ E4.0 man walking: dark skin tone</t>
  </si>
  <si>
    <t>1F6B6 1F3FF 200D 2642                                  ; minimally-qualified # 🚶🏿‍♂ E4.0 man walking: dark skin tone</t>
  </si>
  <si>
    <t>1F6B6 200D 2640 FE0F                                   ; fully-qualified     # 🚶‍♀️ E4.0 woman walking</t>
  </si>
  <si>
    <t>1F6B6 200D 2640                                        ; minimally-qualified # 🚶‍♀ E4.0 woman walking</t>
  </si>
  <si>
    <t>1F6B6 1F3FB 200D 2640 FE0F                             ; fully-qualified     # 🚶🏻‍♀️ E4.0 woman walking: light skin tone</t>
  </si>
  <si>
    <t>1F6B6 1F3FB 200D 2640                                  ; minimally-qualified # 🚶🏻‍♀ E4.0 woman walking: light skin tone</t>
  </si>
  <si>
    <t>1F6B6 1F3FC 200D 2640 FE0F                             ; fully-qualified     # 🚶🏼‍♀️ E4.0 woman walking: medium-light skin tone</t>
  </si>
  <si>
    <t>1F6B6 1F3FC 200D 2640                                  ; minimally-qualified # 🚶🏼‍♀ E4.0 woman walking: medium-light skin tone</t>
  </si>
  <si>
    <t>1F6B6 1F3FD 200D 2640 FE0F                             ; fully-qualified     # 🚶🏽‍♀️ E4.0 woman walking: medium skin tone</t>
  </si>
  <si>
    <t>1F6B6 1F3FD 200D 2640                                  ; minimally-qualified # 🚶🏽‍♀ E4.0 woman walking: medium skin tone</t>
  </si>
  <si>
    <t>1F6B6 1F3FE 200D 2640 FE0F                             ; fully-qualified     # 🚶🏾‍♀️ E4.0 woman walking: medium-dark skin tone</t>
  </si>
  <si>
    <t>1F6B6 1F3FE 200D 2640                                  ; minimally-qualified # 🚶🏾‍♀ E4.0 woman walking: medium-dark skin tone</t>
  </si>
  <si>
    <t>1F6B6 1F3FF 200D 2640 FE0F                             ; fully-qualified     # 🚶🏿‍♀️ E4.0 woman walking: dark skin tone</t>
  </si>
  <si>
    <t>1F6B6 1F3FF 200D 2640                                  ; minimally-qualified # 🚶🏿‍♀ E4.0 woman walking: dark skin tone</t>
  </si>
  <si>
    <t>1F9CD                                                  ; fully-qualified     # 🧍 E12.0 person standing</t>
  </si>
  <si>
    <t>1F9CD 1F3FB                                            ; fully-qualified     # 🧍🏻 E12.0 person standing: light skin tone</t>
  </si>
  <si>
    <t>1F9CD 1F3FC                                            ; fully-qualified     # 🧍🏼 E12.0 person standing: medium-light skin tone</t>
  </si>
  <si>
    <t>1F9CD 1F3FD                                            ; fully-qualified     # 🧍🏽 E12.0 person standing: medium skin tone</t>
  </si>
  <si>
    <t>1F9CD 1F3FE                                            ; fully-qualified     # 🧍🏾 E12.0 person standing: medium-dark skin tone</t>
  </si>
  <si>
    <t>1F9CD 1F3FF                                            ; fully-qualified     # 🧍🏿 E12.0 person standing: dark skin tone</t>
  </si>
  <si>
    <t>1F9CD 200D 2642 FE0F                                   ; fully-qualified     # 🧍‍♂️ E12.0 man standing</t>
  </si>
  <si>
    <t>1F9CD 200D 2642                                        ; minimally-qualified # 🧍‍♂ E12.0 man standing</t>
  </si>
  <si>
    <t>1F9CD 1F3FB 200D 2642 FE0F                             ; fully-qualified     # 🧍🏻‍♂️ E12.0 man standing: light skin tone</t>
  </si>
  <si>
    <t>1F9CD 1F3FB 200D 2642                                  ; minimally-qualified # 🧍🏻‍♂ E12.0 man standing: light skin tone</t>
  </si>
  <si>
    <t>1F9CD 1F3FC 200D 2642 FE0F                             ; fully-qualified     # 🧍🏼‍♂️ E12.0 man standing: medium-light skin tone</t>
  </si>
  <si>
    <t>1F9CD 1F3FC 200D 2642                                  ; minimally-qualified # 🧍🏼‍♂ E12.0 man standing: medium-light skin tone</t>
  </si>
  <si>
    <t>1F9CD 1F3FD 200D 2642 FE0F                             ; fully-qualified     # 🧍🏽‍♂️ E12.0 man standing: medium skin tone</t>
  </si>
  <si>
    <t>1F9CD 1F3FD 200D 2642                                  ; minimally-qualified # 🧍🏽‍♂ E12.0 man standing: medium skin tone</t>
  </si>
  <si>
    <t>1F9CD 1F3FE 200D 2642 FE0F                             ; fully-qualified     # 🧍🏾‍♂️ E12.0 man standing: medium-dark skin tone</t>
  </si>
  <si>
    <t>1F9CD 1F3FE 200D 2642                                  ; minimally-qualified # 🧍🏾‍♂ E12.0 man standing: medium-dark skin tone</t>
  </si>
  <si>
    <t>1F9CD 1F3FF 200D 2642 FE0F                             ; fully-qualified     # 🧍🏿‍♂️ E12.0 man standing: dark skin tone</t>
  </si>
  <si>
    <t>1F9CD 1F3FF 200D 2642                                  ; minimally-qualified # 🧍🏿‍♂ E12.0 man standing: dark skin tone</t>
  </si>
  <si>
    <t>1F9CD 200D 2640 FE0F                                   ; fully-qualified     # 🧍‍♀️ E12.0 woman standing</t>
  </si>
  <si>
    <t>1F9CD 200D 2640                                        ; minimally-qualified # 🧍‍♀ E12.0 woman standing</t>
  </si>
  <si>
    <t>1F9CD 1F3FB 200D 2640 FE0F                             ; fully-qualified     # 🧍🏻‍♀️ E12.0 woman standing: light skin tone</t>
  </si>
  <si>
    <t>1F9CD 1F3FB 200D 2640                                  ; minimally-qualified # 🧍🏻‍♀ E12.0 woman standing: light skin tone</t>
  </si>
  <si>
    <t>1F9CD 1F3FC 200D 2640 FE0F                             ; fully-qualified     # 🧍🏼‍♀️ E12.0 woman standing: medium-light skin tone</t>
  </si>
  <si>
    <t>1F9CD 1F3FC 200D 2640                                  ; minimally-qualified # 🧍🏼‍♀ E12.0 woman standing: medium-light skin tone</t>
  </si>
  <si>
    <t>1F9CD 1F3FD 200D 2640 FE0F                             ; fully-qualified     # 🧍🏽‍♀️ E12.0 woman standing: medium skin tone</t>
  </si>
  <si>
    <t>1F9CD 1F3FD 200D 2640                                  ; minimally-qualified # 🧍🏽‍♀ E12.0 woman standing: medium skin tone</t>
  </si>
  <si>
    <t>1F9CD 1F3FE 200D 2640 FE0F                             ; fully-qualified     # 🧍🏾‍♀️ E12.0 woman standing: medium-dark skin tone</t>
  </si>
  <si>
    <t>1F9CD 1F3FE 200D 2640                                  ; minimally-qualified # 🧍🏾‍♀ E12.0 woman standing: medium-dark skin tone</t>
  </si>
  <si>
    <t>1F9CD 1F3FF 200D 2640 FE0F                             ; fully-qualified     # 🧍🏿‍♀️ E12.0 woman standing: dark skin tone</t>
  </si>
  <si>
    <t>1F9CD 1F3FF 200D 2640                                  ; minimally-qualified # 🧍🏿‍♀ E12.0 woman standing: dark skin tone</t>
  </si>
  <si>
    <t>1F9CE                                                  ; fully-qualified     # 🧎 E12.0 person kneeling</t>
  </si>
  <si>
    <t>1F9CE 1F3FB                                            ; fully-qualified     # 🧎🏻 E12.0 person kneeling: light skin tone</t>
  </si>
  <si>
    <t>1F9CE 1F3FC                                            ; fully-qualified     # 🧎🏼 E12.0 person kneeling: medium-light skin tone</t>
  </si>
  <si>
    <t>1F9CE 1F3FD                                            ; fully-qualified     # 🧎🏽 E12.0 person kneeling: medium skin tone</t>
  </si>
  <si>
    <t>1F9CE 1F3FE                                            ; fully-qualified     # 🧎🏾 E12.0 person kneeling: medium-dark skin tone</t>
  </si>
  <si>
    <t>1F9CE 1F3FF                                            ; fully-qualified     # 🧎🏿 E12.0 person kneeling: dark skin tone</t>
  </si>
  <si>
    <t>1F9CE 200D 2642 FE0F                                   ; fully-qualified     # 🧎‍♂️ E12.0 man kneeling</t>
  </si>
  <si>
    <t>1F9CE 200D 2642                                        ; minimally-qualified # 🧎‍♂ E12.0 man kneeling</t>
  </si>
  <si>
    <t>1F9CE 1F3FB 200D 2642 FE0F                             ; fully-qualified     # 🧎🏻‍♂️ E12.0 man kneeling: light skin tone</t>
  </si>
  <si>
    <t>1F9CE 1F3FB 200D 2642                                  ; minimally-qualified # 🧎🏻‍♂ E12.0 man kneeling: light skin tone</t>
  </si>
  <si>
    <t>1F9CE 1F3FC 200D 2642 FE0F                             ; fully-qualified     # 🧎🏼‍♂️ E12.0 man kneeling: medium-light skin tone</t>
  </si>
  <si>
    <t>1F9CE 1F3FC 200D 2642                                  ; minimally-qualified # 🧎🏼‍♂ E12.0 man kneeling: medium-light skin tone</t>
  </si>
  <si>
    <t>1F9CE 1F3FD 200D 2642 FE0F                             ; fully-qualified     # 🧎🏽‍♂️ E12.0 man kneeling: medium skin tone</t>
  </si>
  <si>
    <t>1F9CE 1F3FD 200D 2642                                  ; minimally-qualified # 🧎🏽‍♂ E12.0 man kneeling: medium skin tone</t>
  </si>
  <si>
    <t>1F9CE 1F3FE 200D 2642 FE0F                             ; fully-qualified     # 🧎🏾‍♂️ E12.0 man kneeling: medium-dark skin tone</t>
  </si>
  <si>
    <t>1F9CE 1F3FE 200D 2642                                  ; minimally-qualified # 🧎🏾‍♂ E12.0 man kneeling: medium-dark skin tone</t>
  </si>
  <si>
    <t>1F9CE 1F3FF 200D 2642 FE0F                             ; fully-qualified     # 🧎🏿‍♂️ E12.0 man kneeling: dark skin tone</t>
  </si>
  <si>
    <t>1F9CE 1F3FF 200D 2642                                  ; minimally-qualified # 🧎🏿‍♂ E12.0 man kneeling: dark skin tone</t>
  </si>
  <si>
    <t>1F9CE 200D 2640 FE0F                                   ; fully-qualified     # 🧎‍♀️ E12.0 woman kneeling</t>
  </si>
  <si>
    <t>1F9CE 200D 2640                                        ; minimally-qualified # 🧎‍♀ E12.0 woman kneeling</t>
  </si>
  <si>
    <t>1F9CE 1F3FB 200D 2640 FE0F                             ; fully-qualified     # 🧎🏻‍♀️ E12.0 woman kneeling: light skin tone</t>
  </si>
  <si>
    <t>1F9CE 1F3FB 200D 2640                                  ; minimally-qualified # 🧎🏻‍♀ E12.0 woman kneeling: light skin tone</t>
  </si>
  <si>
    <t>1F9CE 1F3FC 200D 2640 FE0F                             ; fully-qualified     # 🧎🏼‍♀️ E12.0 woman kneeling: medium-light skin tone</t>
  </si>
  <si>
    <t>1F9CE 1F3FC 200D 2640                                  ; minimally-qualified # 🧎🏼‍♀ E12.0 woman kneeling: medium-light skin tone</t>
  </si>
  <si>
    <t>1F9CE 1F3FD 200D 2640 FE0F                             ; fully-qualified     # 🧎🏽‍♀️ E12.0 woman kneeling: medium skin tone</t>
  </si>
  <si>
    <t>1F9CE 1F3FD 200D 2640                                  ; minimally-qualified # 🧎🏽‍♀ E12.0 woman kneeling: medium skin tone</t>
  </si>
  <si>
    <t>1F9CE 1F3FE 200D 2640 FE0F                             ; fully-qualified     # 🧎🏾‍♀️ E12.0 woman kneeling: medium-dark skin tone</t>
  </si>
  <si>
    <t>1F9CE 1F3FE 200D 2640                                  ; minimally-qualified # 🧎🏾‍♀ E12.0 woman kneeling: medium-dark skin tone</t>
  </si>
  <si>
    <t>1F9CE 1F3FF 200D 2640 FE0F                             ; fully-qualified     # 🧎🏿‍♀️ E12.0 woman kneeling: dark skin tone</t>
  </si>
  <si>
    <t>1F9CE 1F3FF 200D 2640                                  ; minimally-qualified # 🧎🏿‍♀ E12.0 woman kneeling: dark skin tone</t>
  </si>
  <si>
    <t>1F9D1 200D 1F9AF                                       ; fully-qualified     # 🧑‍🦯 E12.1 person with white cane</t>
  </si>
  <si>
    <t>1F9D1 1F3FB 200D 1F9AF                                 ; fully-qualified     # 🧑🏻‍🦯 E12.1 person with white cane: light skin tone</t>
  </si>
  <si>
    <t>1F9D1 1F3FC 200D 1F9AF                                 ; fully-qualified     # 🧑🏼‍🦯 E12.1 person with white cane: medium-light skin tone</t>
  </si>
  <si>
    <t>1F9D1 1F3FD 200D 1F9AF                                 ; fully-qualified     # 🧑🏽‍🦯 E12.1 person with white cane: medium skin tone</t>
  </si>
  <si>
    <t>1F9D1 1F3FE 200D 1F9AF                                 ; fully-qualified     # 🧑🏾‍🦯 E12.1 person with white cane: medium-dark skin tone</t>
  </si>
  <si>
    <t>1F9D1 1F3FF 200D 1F9AF                                 ; fully-qualified     # 🧑🏿‍🦯 E12.1 person with white cane: dark skin tone</t>
  </si>
  <si>
    <t>1F468 200D 1F9AF                                       ; fully-qualified     # 👨‍🦯 E12.0 man with white cane</t>
  </si>
  <si>
    <t>1F468 1F3FB 200D 1F9AF                                 ; fully-qualified     # 👨🏻‍🦯 E12.0 man with white cane: light skin tone</t>
  </si>
  <si>
    <t>1F468 1F3FC 200D 1F9AF                                 ; fully-qualified     # 👨🏼‍🦯 E12.0 man with white cane: medium-light skin tone</t>
  </si>
  <si>
    <t>1F468 1F3FD 200D 1F9AF                                 ; fully-qualified     # 👨🏽‍🦯 E12.0 man with white cane: medium skin tone</t>
  </si>
  <si>
    <t>1F468 1F3FE 200D 1F9AF                                 ; fully-qualified     # 👨🏾‍🦯 E12.0 man with white cane: medium-dark skin tone</t>
  </si>
  <si>
    <t>1F468 1F3FF 200D 1F9AF                                 ; fully-qualified     # 👨🏿‍🦯 E12.0 man with white cane: dark skin tone</t>
  </si>
  <si>
    <t>1F469 200D 1F9AF                                       ; fully-qualified     # 👩‍🦯 E12.0 woman with white cane</t>
  </si>
  <si>
    <t>1F469 1F3FB 200D 1F9AF                                 ; fully-qualified     # 👩🏻‍🦯 E12.0 woman with white cane: light skin tone</t>
  </si>
  <si>
    <t>1F469 1F3FC 200D 1F9AF                                 ; fully-qualified     # 👩🏼‍🦯 E12.0 woman with white cane: medium-light skin tone</t>
  </si>
  <si>
    <t>1F469 1F3FD 200D 1F9AF                                 ; fully-qualified     # 👩🏽‍🦯 E12.0 woman with white cane: medium skin tone</t>
  </si>
  <si>
    <t>1F469 1F3FE 200D 1F9AF                                 ; fully-qualified     # 👩🏾‍🦯 E12.0 woman with white cane: medium-dark skin tone</t>
  </si>
  <si>
    <t>1F469 1F3FF 200D 1F9AF                                 ; fully-qualified     # 👩🏿‍🦯 E12.0 woman with white cane: dark skin tone</t>
  </si>
  <si>
    <t>1F9D1 200D 1F9BC                                       ; fully-qualified     # 🧑‍🦼 E12.1 person in motorized wheelchair</t>
  </si>
  <si>
    <t>1F9D1 1F3FB 200D 1F9BC                                 ; fully-qualified     # 🧑🏻‍🦼 E12.1 person in motorized wheelchair: light skin tone</t>
  </si>
  <si>
    <t>1F9D1 1F3FC 200D 1F9BC                                 ; fully-qualified     # 🧑🏼‍🦼 E12.1 person in motorized wheelchair: medium-light skin tone</t>
  </si>
  <si>
    <t>1F9D1 1F3FD 200D 1F9BC                                 ; fully-qualified     # 🧑🏽‍🦼 E12.1 person in motorized wheelchair: medium skin tone</t>
  </si>
  <si>
    <t>1F9D1 1F3FE 200D 1F9BC                                 ; fully-qualified     # 🧑🏾‍🦼 E12.1 person in motorized wheelchair: medium-dark skin tone</t>
  </si>
  <si>
    <t>1F9D1 1F3FF 200D 1F9BC                                 ; fully-qualified     # 🧑🏿‍🦼 E12.1 person in motorized wheelchair: dark skin tone</t>
  </si>
  <si>
    <t>1F468 200D 1F9BC                                       ; fully-qualified     # 👨‍🦼 E12.0 man in motorized wheelchair</t>
  </si>
  <si>
    <t>1F468 1F3FB 200D 1F9BC                                 ; fully-qualified     # 👨🏻‍🦼 E12.0 man in motorized wheelchair: light skin tone</t>
  </si>
  <si>
    <t>1F468 1F3FC 200D 1F9BC                                 ; fully-qualified     # 👨🏼‍🦼 E12.0 man in motorized wheelchair: medium-light skin tone</t>
  </si>
  <si>
    <t>1F468 1F3FD 200D 1F9BC                                 ; fully-qualified     # 👨🏽‍🦼 E12.0 man in motorized wheelchair: medium skin tone</t>
  </si>
  <si>
    <t>1F468 1F3FE 200D 1F9BC                                 ; fully-qualified     # 👨🏾‍🦼 E12.0 man in motorized wheelchair: medium-dark skin tone</t>
  </si>
  <si>
    <t>1F468 1F3FF 200D 1F9BC                                 ; fully-qualified     # 👨🏿‍🦼 E12.0 man in motorized wheelchair: dark skin tone</t>
  </si>
  <si>
    <t>1F469 200D 1F9BC                                       ; fully-qualified     # 👩‍🦼 E12.0 woman in motorized wheelchair</t>
  </si>
  <si>
    <t>1F469 1F3FB 200D 1F9BC                                 ; fully-qualified     # 👩🏻‍🦼 E12.0 woman in motorized wheelchair: light skin tone</t>
  </si>
  <si>
    <t>1F469 1F3FC 200D 1F9BC                                 ; fully-qualified     # 👩🏼‍🦼 E12.0 woman in motorized wheelchair: medium-light skin tone</t>
  </si>
  <si>
    <t>1F469 1F3FD 200D 1F9BC                                 ; fully-qualified     # 👩🏽‍🦼 E12.0 woman in motorized wheelchair: medium skin tone</t>
  </si>
  <si>
    <t>1F469 1F3FE 200D 1F9BC                                 ; fully-qualified     # 👩🏾‍🦼 E12.0 woman in motorized wheelchair: medium-dark skin tone</t>
  </si>
  <si>
    <t>1F469 1F3FF 200D 1F9BC                                 ; fully-qualified     # 👩🏿‍🦼 E12.0 woman in motorized wheelchair: dark skin tone</t>
  </si>
  <si>
    <t>1F9D1 200D 1F9BD                                       ; fully-qualified     # 🧑‍🦽 E12.1 person in manual wheelchair</t>
  </si>
  <si>
    <t>1F9D1 1F3FB 200D 1F9BD                                 ; fully-qualified     # 🧑🏻‍🦽 E12.1 person in manual wheelchair: light skin tone</t>
  </si>
  <si>
    <t>1F9D1 1F3FC 200D 1F9BD                                 ; fully-qualified     # 🧑🏼‍🦽 E12.1 person in manual wheelchair: medium-light skin tone</t>
  </si>
  <si>
    <t>1F9D1 1F3FD 200D 1F9BD                                 ; fully-qualified     # 🧑🏽‍🦽 E12.1 person in manual wheelchair: medium skin tone</t>
  </si>
  <si>
    <t>1F9D1 1F3FE 200D 1F9BD                                 ; fully-qualified     # 🧑🏾‍🦽 E12.1 person in manual wheelchair: medium-dark skin tone</t>
  </si>
  <si>
    <t>1F9D1 1F3FF 200D 1F9BD                                 ; fully-qualified     # 🧑🏿‍🦽 E12.1 person in manual wheelchair: dark skin tone</t>
  </si>
  <si>
    <t>1F468 200D 1F9BD                                       ; fully-qualified     # 👨‍🦽 E12.0 man in manual wheelchair</t>
  </si>
  <si>
    <t>1F468 1F3FB 200D 1F9BD                                 ; fully-qualified     # 👨🏻‍🦽 E12.0 man in manual wheelchair: light skin tone</t>
  </si>
  <si>
    <t>1F468 1F3FC 200D 1F9BD                                 ; fully-qualified     # 👨🏼‍🦽 E12.0 man in manual wheelchair: medium-light skin tone</t>
  </si>
  <si>
    <t>1F468 1F3FD 200D 1F9BD                                 ; fully-qualified     # 👨🏽‍🦽 E12.0 man in manual wheelchair: medium skin tone</t>
  </si>
  <si>
    <t>1F468 1F3FE 200D 1F9BD                                 ; fully-qualified     # 👨🏾‍🦽 E12.0 man in manual wheelchair: medium-dark skin tone</t>
  </si>
  <si>
    <t>1F468 1F3FF 200D 1F9BD                                 ; fully-qualified     # 👨🏿‍🦽 E12.0 man in manual wheelchair: dark skin tone</t>
  </si>
  <si>
    <t>1F469 200D 1F9BD                                       ; fully-qualified     # 👩‍🦽 E12.0 woman in manual wheelchair</t>
  </si>
  <si>
    <t>1F469 1F3FB 200D 1F9BD                                 ; fully-qualified     # 👩🏻‍🦽 E12.0 woman in manual wheelchair: light skin tone</t>
  </si>
  <si>
    <t>1F469 1F3FC 200D 1F9BD                                 ; fully-qualified     # 👩🏼‍🦽 E12.0 woman in manual wheelchair: medium-light skin tone</t>
  </si>
  <si>
    <t>1F469 1F3FD 200D 1F9BD                                 ; fully-qualified     # 👩🏽‍🦽 E12.0 woman in manual wheelchair: medium skin tone</t>
  </si>
  <si>
    <t>1F469 1F3FE 200D 1F9BD                                 ; fully-qualified     # 👩🏾‍🦽 E12.0 woman in manual wheelchair: medium-dark skin tone</t>
  </si>
  <si>
    <t>1F469 1F3FF 200D 1F9BD                                 ; fully-qualified     # 👩🏿‍🦽 E12.0 woman in manual wheelchair: dark skin tone</t>
  </si>
  <si>
    <t>1F3C3                                                  ; fully-qualified     # 🏃 E0.6 person running</t>
  </si>
  <si>
    <t>1F3C3 1F3FB                                            ; fully-qualified     # 🏃🏻 E1.0 person running: light skin tone</t>
  </si>
  <si>
    <t>1F3C3 1F3FC                                            ; fully-qualified     # 🏃🏼 E1.0 person running: medium-light skin tone</t>
  </si>
  <si>
    <t>1F3C3 1F3FD                                            ; fully-qualified     # 🏃🏽 E1.0 person running: medium skin tone</t>
  </si>
  <si>
    <t>1F3C3 1F3FE                                            ; fully-qualified     # 🏃🏾 E1.0 person running: medium-dark skin tone</t>
  </si>
  <si>
    <t>1F3C3 1F3FF                                            ; fully-qualified     # 🏃🏿 E1.0 person running: dark skin tone</t>
  </si>
  <si>
    <t>1F3C3 200D 2642 FE0F                                   ; fully-qualified     # 🏃‍♂️ E4.0 man running</t>
  </si>
  <si>
    <t>1F3C3 200D 2642                                        ; minimally-qualified # 🏃‍♂ E4.0 man running</t>
  </si>
  <si>
    <t>1F3C3 1F3FB 200D 2642 FE0F                             ; fully-qualified     # 🏃🏻‍♂️ E4.0 man running: light skin tone</t>
  </si>
  <si>
    <t>1F3C3 1F3FB 200D 2642                                  ; minimally-qualified # 🏃🏻‍♂ E4.0 man running: light skin tone</t>
  </si>
  <si>
    <t>1F3C3 1F3FC 200D 2642 FE0F                             ; fully-qualified     # 🏃🏼‍♂️ E4.0 man running: medium-light skin tone</t>
  </si>
  <si>
    <t>1F3C3 1F3FC 200D 2642                                  ; minimally-qualified # 🏃🏼‍♂ E4.0 man running: medium-light skin tone</t>
  </si>
  <si>
    <t>1F3C3 1F3FD 200D 2642 FE0F                             ; fully-qualified     # 🏃🏽‍♂️ E4.0 man running: medium skin tone</t>
  </si>
  <si>
    <t>1F3C3 1F3FD 200D 2642                                  ; minimally-qualified # 🏃🏽‍♂ E4.0 man running: medium skin tone</t>
  </si>
  <si>
    <t>1F3C3 1F3FE 200D 2642 FE0F                             ; fully-qualified     # 🏃🏾‍♂️ E4.0 man running: medium-dark skin tone</t>
  </si>
  <si>
    <t>1F3C3 1F3FE 200D 2642                                  ; minimally-qualified # 🏃🏾‍♂ E4.0 man running: medium-dark skin tone</t>
  </si>
  <si>
    <t>1F3C3 1F3FF 200D 2642 FE0F                             ; fully-qualified     # 🏃🏿‍♂️ E4.0 man running: dark skin tone</t>
  </si>
  <si>
    <t>1F3C3 1F3FF 200D 2642                                  ; minimally-qualified # 🏃🏿‍♂ E4.0 man running: dark skin tone</t>
  </si>
  <si>
    <t>1F3C3 200D 2640 FE0F                                   ; fully-qualified     # 🏃‍♀️ E4.0 woman running</t>
  </si>
  <si>
    <t>1F3C3 200D 2640                                        ; minimally-qualified # 🏃‍♀ E4.0 woman running</t>
  </si>
  <si>
    <t>1F3C3 1F3FB 200D 2640 FE0F                             ; fully-qualified     # 🏃🏻‍♀️ E4.0 woman running: light skin tone</t>
  </si>
  <si>
    <t>1F3C3 1F3FB 200D 2640                                  ; minimally-qualified # 🏃🏻‍♀ E4.0 woman running: light skin tone</t>
  </si>
  <si>
    <t>1F3C3 1F3FC 200D 2640 FE0F                             ; fully-qualified     # 🏃🏼‍♀️ E4.0 woman running: medium-light skin tone</t>
  </si>
  <si>
    <t>1F3C3 1F3FC 200D 2640                                  ; minimally-qualified # 🏃🏼‍♀ E4.0 woman running: medium-light skin tone</t>
  </si>
  <si>
    <t>1F3C3 1F3FD 200D 2640 FE0F                             ; fully-qualified     # 🏃🏽‍♀️ E4.0 woman running: medium skin tone</t>
  </si>
  <si>
    <t>1F3C3 1F3FD 200D 2640                                  ; minimally-qualified # 🏃🏽‍♀ E4.0 woman running: medium skin tone</t>
  </si>
  <si>
    <t>1F3C3 1F3FE 200D 2640 FE0F                             ; fully-qualified     # 🏃🏾‍♀️ E4.0 woman running: medium-dark skin tone</t>
  </si>
  <si>
    <t>1F3C3 1F3FE 200D 2640                                  ; minimally-qualified # 🏃🏾‍♀ E4.0 woman running: medium-dark skin tone</t>
  </si>
  <si>
    <t>1F3C3 1F3FF 200D 2640 FE0F                             ; fully-qualified     # 🏃🏿‍♀️ E4.0 woman running: dark skin tone</t>
  </si>
  <si>
    <t>1F3C3 1F3FF 200D 2640                                  ; minimally-qualified # 🏃🏿‍♀ E4.0 woman running: dark skin tone</t>
  </si>
  <si>
    <t>1F483                                                  ; fully-qualified     # 💃 E0.6 woman dancing</t>
  </si>
  <si>
    <t>1F483 1F3FB                                            ; fully-qualified     # 💃🏻 E1.0 woman dancing: light skin tone</t>
  </si>
  <si>
    <t>1F483 1F3FC                                            ; fully-qualified     # 💃🏼 E1.0 woman dancing: medium-light skin tone</t>
  </si>
  <si>
    <t>1F483 1F3FD                                            ; fully-qualified     # 💃🏽 E1.0 woman dancing: medium skin tone</t>
  </si>
  <si>
    <t>1F483 1F3FE                                            ; fully-qualified     # 💃🏾 E1.0 woman dancing: medium-dark skin tone</t>
  </si>
  <si>
    <t>1F483 1F3FF                                            ; fully-qualified     # 💃🏿 E1.0 woman dancing: dark skin tone</t>
  </si>
  <si>
    <t>1F57A                                                  ; fully-qualified     # 🕺 E3.0 man dancing</t>
  </si>
  <si>
    <t>1F57A 1F3FB                                            ; fully-qualified     # 🕺🏻 E3.0 man dancing: light skin tone</t>
  </si>
  <si>
    <t>1F57A 1F3FC                                            ; fully-qualified     # 🕺🏼 E3.0 man dancing: medium-light skin tone</t>
  </si>
  <si>
    <t>1F57A 1F3FD                                            ; fully-qualified     # 🕺🏽 E3.0 man dancing: medium skin tone</t>
  </si>
  <si>
    <t>1F57A 1F3FE                                            ; fully-qualified     # 🕺🏾 E3.0 man dancing: medium-dark skin tone</t>
  </si>
  <si>
    <t>1F57A 1F3FF                                            ; fully-qualified     # 🕺🏿 E3.0 man dancing: dark skin tone</t>
  </si>
  <si>
    <t>1F574 FE0F                                             ; fully-qualified     # 🕴️ E0.7 person in suit levitating</t>
  </si>
  <si>
    <t>1F574                                                  ; unqualified         # 🕴 E0.7 person in suit levitating</t>
  </si>
  <si>
    <t>1F574 1F3FB                                            ; fully-qualified     # 🕴🏻 E4.0 person in suit levitating: light skin tone</t>
  </si>
  <si>
    <t>1F574 1F3FC                                            ; fully-qualified     # 🕴🏼 E4.0 person in suit levitating: medium-light skin tone</t>
  </si>
  <si>
    <t>1F574 1F3FD                                            ; fully-qualified     # 🕴🏽 E4.0 person in suit levitating: medium skin tone</t>
  </si>
  <si>
    <t>1F574 1F3FE                                            ; fully-qualified     # 🕴🏾 E4.0 person in suit levitating: medium-dark skin tone</t>
  </si>
  <si>
    <t>1F574 1F3FF                                            ; fully-qualified     # 🕴🏿 E4.0 person in suit levitating: dark skin tone</t>
  </si>
  <si>
    <t>1F46F                                                  ; fully-qualified     # 👯 E0.6 people with bunny ears</t>
  </si>
  <si>
    <t>1F46F 200D 2642 FE0F                                   ; fully-qualified     # 👯‍♂️ E4.0 men with bunny ears</t>
  </si>
  <si>
    <t>1F46F 200D 2642                                        ; minimally-qualified # 👯‍♂ E4.0 men with bunny ears</t>
  </si>
  <si>
    <t>1F46F 200D 2640 FE0F                                   ; fully-qualified     # 👯‍♀️ E4.0 women with bunny ears</t>
  </si>
  <si>
    <t>1F46F 200D 2640                                        ; minimally-qualified # 👯‍♀ E4.0 women with bunny ears</t>
  </si>
  <si>
    <t>1F9D6                                                  ; fully-qualified     # 🧖 E5.0 person in steamy room</t>
  </si>
  <si>
    <t>1F9D6 1F3FB                                            ; fully-qualified     # 🧖🏻 E5.0 person in steamy room: light skin tone</t>
  </si>
  <si>
    <t>1F9D6 1F3FC                                            ; fully-qualified     # 🧖🏼 E5.0 person in steamy room: medium-light skin tone</t>
  </si>
  <si>
    <t>1F9D6 1F3FD                                            ; fully-qualified     # 🧖🏽 E5.0 person in steamy room: medium skin tone</t>
  </si>
  <si>
    <t>1F9D6 1F3FE                                            ; fully-qualified     # 🧖🏾 E5.0 person in steamy room: medium-dark skin tone</t>
  </si>
  <si>
    <t>1F9D6 1F3FF                                            ; fully-qualified     # 🧖🏿 E5.0 person in steamy room: dark skin tone</t>
  </si>
  <si>
    <t>1F9D6 200D 2642 FE0F                                   ; fully-qualified     # 🧖‍♂️ E5.0 man in steamy room</t>
  </si>
  <si>
    <t>1F9D6 200D 2642                                        ; minimally-qualified # 🧖‍♂ E5.0 man in steamy room</t>
  </si>
  <si>
    <t>1F9D6 1F3FB 200D 2642 FE0F                             ; fully-qualified     # 🧖🏻‍♂️ E5.0 man in steamy room: light skin tone</t>
  </si>
  <si>
    <t>1F9D6 1F3FB 200D 2642                                  ; minimally-qualified # 🧖🏻‍♂ E5.0 man in steamy room: light skin tone</t>
  </si>
  <si>
    <t>1F9D6 1F3FC 200D 2642 FE0F                             ; fully-qualified     # 🧖🏼‍♂️ E5.0 man in steamy room: medium-light skin tone</t>
  </si>
  <si>
    <t>1F9D6 1F3FC 200D 2642                                  ; minimally-qualified # 🧖🏼‍♂ E5.0 man in steamy room: medium-light skin tone</t>
  </si>
  <si>
    <t>1F9D6 1F3FD 200D 2642 FE0F                             ; fully-qualified     # 🧖🏽‍♂️ E5.0 man in steamy room: medium skin tone</t>
  </si>
  <si>
    <t>1F9D6 1F3FD 200D 2642                                  ; minimally-qualified # 🧖🏽‍♂ E5.0 man in steamy room: medium skin tone</t>
  </si>
  <si>
    <t>1F9D6 1F3FE 200D 2642 FE0F                             ; fully-qualified     # 🧖🏾‍♂️ E5.0 man in steamy room: medium-dark skin tone</t>
  </si>
  <si>
    <t>1F9D6 1F3FE 200D 2642                                  ; minimally-qualified # 🧖🏾‍♂ E5.0 man in steamy room: medium-dark skin tone</t>
  </si>
  <si>
    <t>1F9D6 1F3FF 200D 2642 FE0F                             ; fully-qualified     # 🧖🏿‍♂️ E5.0 man in steamy room: dark skin tone</t>
  </si>
  <si>
    <t>1F9D6 1F3FF 200D 2642                                  ; minimally-qualified # 🧖🏿‍♂ E5.0 man in steamy room: dark skin tone</t>
  </si>
  <si>
    <t>1F9D6 200D 2640 FE0F                                   ; fully-qualified     # 🧖‍♀️ E5.0 woman in steamy room</t>
  </si>
  <si>
    <t>1F9D6 200D 2640                                        ; minimally-qualified # 🧖‍♀ E5.0 woman in steamy room</t>
  </si>
  <si>
    <t>1F9D6 1F3FB 200D 2640 FE0F                             ; fully-qualified     # 🧖🏻‍♀️ E5.0 woman in steamy room: light skin tone</t>
  </si>
  <si>
    <t>1F9D6 1F3FB 200D 2640                                  ; minimally-qualified # 🧖🏻‍♀ E5.0 woman in steamy room: light skin tone</t>
  </si>
  <si>
    <t>1F9D6 1F3FC 200D 2640 FE0F                             ; fully-qualified     # 🧖🏼‍♀️ E5.0 woman in steamy room: medium-light skin tone</t>
  </si>
  <si>
    <t>1F9D6 1F3FC 200D 2640                                  ; minimally-qualified # 🧖🏼‍♀ E5.0 woman in steamy room: medium-light skin tone</t>
  </si>
  <si>
    <t>1F9D6 1F3FD 200D 2640 FE0F                             ; fully-qualified     # 🧖🏽‍♀️ E5.0 woman in steamy room: medium skin tone</t>
  </si>
  <si>
    <t>1F9D6 1F3FD 200D 2640                                  ; minimally-qualified # 🧖🏽‍♀ E5.0 woman in steamy room: medium skin tone</t>
  </si>
  <si>
    <t>1F9D6 1F3FE 200D 2640 FE0F                             ; fully-qualified     # 🧖🏾‍♀️ E5.0 woman in steamy room: medium-dark skin tone</t>
  </si>
  <si>
    <t>1F9D6 1F3FE 200D 2640                                  ; minimally-qualified # 🧖🏾‍♀ E5.0 woman in steamy room: medium-dark skin tone</t>
  </si>
  <si>
    <t>1F9D6 1F3FF 200D 2640 FE0F                             ; fully-qualified     # 🧖🏿‍♀️ E5.0 woman in steamy room: dark skin tone</t>
  </si>
  <si>
    <t>1F9D6 1F3FF 200D 2640                                  ; minimally-qualified # 🧖🏿‍♀ E5.0 woman in steamy room: dark skin tone</t>
  </si>
  <si>
    <t>1F9D7                                                  ; fully-qualified     # 🧗 E5.0 person climbing</t>
  </si>
  <si>
    <t>1F9D7 1F3FB                                            ; fully-qualified     # 🧗🏻 E5.0 person climbing: light skin tone</t>
  </si>
  <si>
    <t>1F9D7 1F3FC                                            ; fully-qualified     # 🧗🏼 E5.0 person climbing: medium-light skin tone</t>
  </si>
  <si>
    <t>1F9D7 1F3FD                                            ; fully-qualified     # 🧗🏽 E5.0 person climbing: medium skin tone</t>
  </si>
  <si>
    <t>1F9D7 1F3FE                                            ; fully-qualified     # 🧗🏾 E5.0 person climbing: medium-dark skin tone</t>
  </si>
  <si>
    <t>1F9D7 1F3FF                                            ; fully-qualified     # 🧗🏿 E5.0 person climbing: dark skin tone</t>
  </si>
  <si>
    <t>1F9D7 200D 2642 FE0F                                   ; fully-qualified     # 🧗‍♂️ E5.0 man climbing</t>
  </si>
  <si>
    <t>1F9D7 200D 2642                                        ; minimally-qualified # 🧗‍♂ E5.0 man climbing</t>
  </si>
  <si>
    <t>1F9D7 1F3FB 200D 2642 FE0F                             ; fully-qualified     # 🧗🏻‍♂️ E5.0 man climbing: light skin tone</t>
  </si>
  <si>
    <t>1F9D7 1F3FB 200D 2642                                  ; minimally-qualified # 🧗🏻‍♂ E5.0 man climbing: light skin tone</t>
  </si>
  <si>
    <t>1F9D7 1F3FC 200D 2642 FE0F                             ; fully-qualified     # 🧗🏼‍♂️ E5.0 man climbing: medium-light skin tone</t>
  </si>
  <si>
    <t>1F9D7 1F3FC 200D 2642                                  ; minimally-qualified # 🧗🏼‍♂ E5.0 man climbing: medium-light skin tone</t>
  </si>
  <si>
    <t>1F9D7 1F3FD 200D 2642 FE0F                             ; fully-qualified     # 🧗🏽‍♂️ E5.0 man climbing: medium skin tone</t>
  </si>
  <si>
    <t>1F9D7 1F3FD 200D 2642                                  ; minimally-qualified # 🧗🏽‍♂ E5.0 man climbing: medium skin tone</t>
  </si>
  <si>
    <t>1F9D7 1F3FE 200D 2642 FE0F                             ; fully-qualified     # 🧗🏾‍♂️ E5.0 man climbing: medium-dark skin tone</t>
  </si>
  <si>
    <t>1F9D7 1F3FE 200D 2642                                  ; minimally-qualified # 🧗🏾‍♂ E5.0 man climbing: medium-dark skin tone</t>
  </si>
  <si>
    <t>1F9D7 1F3FF 200D 2642 FE0F                             ; fully-qualified     # 🧗🏿‍♂️ E5.0 man climbing: dark skin tone</t>
  </si>
  <si>
    <t>1F9D7 1F3FF 200D 2642                                  ; minimally-qualified # 🧗🏿‍♂ E5.0 man climbing: dark skin tone</t>
  </si>
  <si>
    <t>1F9D7 200D 2640 FE0F                                   ; fully-qualified     # 🧗‍♀️ E5.0 woman climbing</t>
  </si>
  <si>
    <t>1F9D7 200D 2640                                        ; minimally-qualified # 🧗‍♀ E5.0 woman climbing</t>
  </si>
  <si>
    <t>1F9D7 1F3FB 200D 2640 FE0F                             ; fully-qualified     # 🧗🏻‍♀️ E5.0 woman climbing: light skin tone</t>
  </si>
  <si>
    <t>1F9D7 1F3FB 200D 2640                                  ; minimally-qualified # 🧗🏻‍♀ E5.0 woman climbing: light skin tone</t>
  </si>
  <si>
    <t>1F9D7 1F3FC 200D 2640 FE0F                             ; fully-qualified     # 🧗🏼‍♀️ E5.0 woman climbing: medium-light skin tone</t>
  </si>
  <si>
    <t>1F9D7 1F3FC 200D 2640                                  ; minimally-qualified # 🧗🏼‍♀ E5.0 woman climbing: medium-light skin tone</t>
  </si>
  <si>
    <t>1F9D7 1F3FD 200D 2640 FE0F                             ; fully-qualified     # 🧗🏽‍♀️ E5.0 woman climbing: medium skin tone</t>
  </si>
  <si>
    <t>1F9D7 1F3FD 200D 2640                                  ; minimally-qualified # 🧗🏽‍♀ E5.0 woman climbing: medium skin tone</t>
  </si>
  <si>
    <t>1F9D7 1F3FE 200D 2640 FE0F                             ; fully-qualified     # 🧗🏾‍♀️ E5.0 woman climbing: medium-dark skin tone</t>
  </si>
  <si>
    <t>1F9D7 1F3FE 200D 2640                                  ; minimally-qualified # 🧗🏾‍♀ E5.0 woman climbing: medium-dark skin tone</t>
  </si>
  <si>
    <t>1F9D7 1F3FF 200D 2640 FE0F                             ; fully-qualified     # 🧗🏿‍♀️ E5.0 woman climbing: dark skin tone</t>
  </si>
  <si>
    <t>1F9D7 1F3FF 200D 2640                                  ; minimally-qualified # 🧗🏿‍♀ E5.0 woman climbing: dark skin tone</t>
  </si>
  <si>
    <t># subgroup: person-sport</t>
  </si>
  <si>
    <t>1F93A                                                  ; fully-qualified     # 🤺 E3.0 person fencing</t>
  </si>
  <si>
    <t>1F3C7                                                  ; fully-qualified     # 🏇 E1.0 horse racing</t>
  </si>
  <si>
    <t>1F3C7 1F3FB                                            ; fully-qualified     # 🏇🏻 E1.0 horse racing: light skin tone</t>
  </si>
  <si>
    <t>1F3C7 1F3FC                                            ; fully-qualified     # 🏇🏼 E1.0 horse racing: medium-light skin tone</t>
  </si>
  <si>
    <t>1F3C7 1F3FD                                            ; fully-qualified     # 🏇🏽 E1.0 horse racing: medium skin tone</t>
  </si>
  <si>
    <t>1F3C7 1F3FE                                            ; fully-qualified     # 🏇🏾 E1.0 horse racing: medium-dark skin tone</t>
  </si>
  <si>
    <t>1F3C7 1F3FF                                            ; fully-qualified     # 🏇🏿 E1.0 horse racing: dark skin tone</t>
  </si>
  <si>
    <t>26F7 FE0F                                              ; fully-qualified     # ⛷️ E0.7 skier</t>
  </si>
  <si>
    <t>26F7                                                   ; unqualified         # ⛷ E0.7 skier</t>
  </si>
  <si>
    <t>1F3C2                                                  ; fully-qualified     # 🏂 E0.6 snowboarder</t>
  </si>
  <si>
    <t>1F3C2 1F3FB                                            ; fully-qualified     # 🏂🏻 E1.0 snowboarder: light skin tone</t>
  </si>
  <si>
    <t>1F3C2 1F3FC                                            ; fully-qualified     # 🏂🏼 E1.0 snowboarder: medium-light skin tone</t>
  </si>
  <si>
    <t>1F3C2 1F3FD                                            ; fully-qualified     # 🏂🏽 E1.0 snowboarder: medium skin tone</t>
  </si>
  <si>
    <t>1F3C2 1F3FE                                            ; fully-qualified     # 🏂🏾 E1.0 snowboarder: medium-dark skin tone</t>
  </si>
  <si>
    <t>1F3C2 1F3FF                                            ; fully-qualified     # 🏂🏿 E1.0 snowboarder: dark skin tone</t>
  </si>
  <si>
    <t>1F3CC FE0F                                             ; fully-qualified     # 🏌️ E0.7 person golfing</t>
  </si>
  <si>
    <t>1F3CC                                                  ; unqualified         # 🏌 E0.7 person golfing</t>
  </si>
  <si>
    <t>1F3CC 1F3FB                                            ; fully-qualified     # 🏌🏻 E4.0 person golfing: light skin tone</t>
  </si>
  <si>
    <t>1F3CC 1F3FC                                            ; fully-qualified     # 🏌🏼 E4.0 person golfing: medium-light skin tone</t>
  </si>
  <si>
    <t>1F3CC 1F3FD                                            ; fully-qualified     # 🏌🏽 E4.0 person golfing: medium skin tone</t>
  </si>
  <si>
    <t>1F3CC 1F3FE                                            ; fully-qualified     # 🏌🏾 E4.0 person golfing: medium-dark skin tone</t>
  </si>
  <si>
    <t>1F3CC 1F3FF                                            ; fully-qualified     # 🏌🏿 E4.0 person golfing: dark skin tone</t>
  </si>
  <si>
    <t>1F3CC FE0F 200D 2642 FE0F                              ; fully-qualified     # 🏌️‍♂️ E4.0 man golfing</t>
  </si>
  <si>
    <t>1F3CC 200D 2642 FE0F                                   ; unqualified         # 🏌‍♂️ E4.0 man golfing</t>
  </si>
  <si>
    <t>1F3CC FE0F 200D 2642                                   ; unqualified         # 🏌️‍♂ E4.0 man golfing</t>
  </si>
  <si>
    <t>1F3CC 200D 2642                                        ; unqualified         # 🏌‍♂ E4.0 man golfing</t>
  </si>
  <si>
    <t>1F3CC 1F3FB 200D 2642 FE0F                             ; fully-qualified     # 🏌🏻‍♂️ E4.0 man golfing: light skin tone</t>
  </si>
  <si>
    <t>1F3CC 1F3FB 200D 2642                                  ; minimally-qualified # 🏌🏻‍♂ E4.0 man golfing: light skin tone</t>
  </si>
  <si>
    <t>1F3CC 1F3FC 200D 2642 FE0F                             ; fully-qualified     # 🏌🏼‍♂️ E4.0 man golfing: medium-light skin tone</t>
  </si>
  <si>
    <t>1F3CC 1F3FC 200D 2642                                  ; minimally-qualified # 🏌🏼‍♂ E4.0 man golfing: medium-light skin tone</t>
  </si>
  <si>
    <t>1F3CC 1F3FD 200D 2642 FE0F                             ; fully-qualified     # 🏌🏽‍♂️ E4.0 man golfing: medium skin tone</t>
  </si>
  <si>
    <t>1F3CC 1F3FD 200D 2642                                  ; minimally-qualified # 🏌🏽‍♂ E4.0 man golfing: medium skin tone</t>
  </si>
  <si>
    <t>1F3CC 1F3FE 200D 2642 FE0F                             ; fully-qualified     # 🏌🏾‍♂️ E4.0 man golfing: medium-dark skin tone</t>
  </si>
  <si>
    <t>1F3CC 1F3FE 200D 2642                                  ; minimally-qualified # 🏌🏾‍♂ E4.0 man golfing: medium-dark skin tone</t>
  </si>
  <si>
    <t>1F3CC 1F3FF 200D 2642 FE0F                             ; fully-qualified     # 🏌🏿‍♂️ E4.0 man golfing: dark skin tone</t>
  </si>
  <si>
    <t>1F3CC 1F3FF 200D 2642                                  ; minimally-qualified # 🏌🏿‍♂ E4.0 man golfing: dark skin tone</t>
  </si>
  <si>
    <t>1F3CC FE0F 200D 2640 FE0F                              ; fully-qualified     # 🏌️‍♀️ E4.0 woman golfing</t>
  </si>
  <si>
    <t>1F3CC 200D 2640 FE0F                                   ; unqualified         # 🏌‍♀️ E4.0 woman golfing</t>
  </si>
  <si>
    <t>1F3CC FE0F 200D 2640                                   ; unqualified         # 🏌️‍♀ E4.0 woman golfing</t>
  </si>
  <si>
    <t>1F3CC 200D 2640                                        ; unqualified         # 🏌‍♀ E4.0 woman golfing</t>
  </si>
  <si>
    <t>1F3CC 1F3FB 200D 2640 FE0F                             ; fully-qualified     # 🏌🏻‍♀️ E4.0 woman golfing: light skin tone</t>
  </si>
  <si>
    <t>1F3CC 1F3FB 200D 2640                                  ; minimally-qualified # 🏌🏻‍♀ E4.0 woman golfing: light skin tone</t>
  </si>
  <si>
    <t>1F3CC 1F3FC 200D 2640 FE0F                             ; fully-qualified     # 🏌🏼‍♀️ E4.0 woman golfing: medium-light skin tone</t>
  </si>
  <si>
    <t>1F3CC 1F3FC 200D 2640                                  ; minimally-qualified # 🏌🏼‍♀ E4.0 woman golfing: medium-light skin tone</t>
  </si>
  <si>
    <t>1F3CC 1F3FD 200D 2640 FE0F                             ; fully-qualified     # 🏌🏽‍♀️ E4.0 woman golfing: medium skin tone</t>
  </si>
  <si>
    <t>1F3CC 1F3FD 200D 2640                                  ; minimally-qualified # 🏌🏽‍♀ E4.0 woman golfing: medium skin tone</t>
  </si>
  <si>
    <t>1F3CC 1F3FE 200D 2640 FE0F                             ; fully-qualified     # 🏌🏾‍♀️ E4.0 woman golfing: medium-dark skin tone</t>
  </si>
  <si>
    <t>1F3CC 1F3FE 200D 2640                                  ; minimally-qualified # 🏌🏾‍♀ E4.0 woman golfing: medium-dark skin tone</t>
  </si>
  <si>
    <t>1F3CC 1F3FF 200D 2640 FE0F                             ; fully-qualified     # 🏌🏿‍♀️ E4.0 woman golfing: dark skin tone</t>
  </si>
  <si>
    <t>1F3CC 1F3FF 200D 2640                                  ; minimally-qualified # 🏌🏿‍♀ E4.0 woman golfing: dark skin tone</t>
  </si>
  <si>
    <t>1F3C4                                                  ; fully-qualified     # 🏄 E0.6 person surfing</t>
  </si>
  <si>
    <t>1F3C4 1F3FB                                            ; fully-qualified     # 🏄🏻 E1.0 person surfing: light skin tone</t>
  </si>
  <si>
    <t>1F3C4 1F3FC                                            ; fully-qualified     # 🏄🏼 E1.0 person surfing: medium-light skin tone</t>
  </si>
  <si>
    <t>1F3C4 1F3FD                                            ; fully-qualified     # 🏄🏽 E1.0 person surfing: medium skin tone</t>
  </si>
  <si>
    <t>1F3C4 1F3FE                                            ; fully-qualified     # 🏄🏾 E1.0 person surfing: medium-dark skin tone</t>
  </si>
  <si>
    <t>1F3C4 1F3FF                                            ; fully-qualified     # 🏄🏿 E1.0 person surfing: dark skin tone</t>
  </si>
  <si>
    <t>1F3C4 200D 2642 FE0F                                   ; fully-qualified     # 🏄‍♂️ E4.0 man surfing</t>
  </si>
  <si>
    <t>1F3C4 200D 2642                                        ; minimally-qualified # 🏄‍♂ E4.0 man surfing</t>
  </si>
  <si>
    <t>1F3C4 1F3FB 200D 2642 FE0F                             ; fully-qualified     # 🏄🏻‍♂️ E4.0 man surfing: light skin tone</t>
  </si>
  <si>
    <t>1F3C4 1F3FB 200D 2642                                  ; minimally-qualified # 🏄🏻‍♂ E4.0 man surfing: light skin tone</t>
  </si>
  <si>
    <t>1F3C4 1F3FC 200D 2642 FE0F                             ; fully-qualified     # 🏄🏼‍♂️ E4.0 man surfing: medium-light skin tone</t>
  </si>
  <si>
    <t>1F3C4 1F3FC 200D 2642                                  ; minimally-qualified # 🏄🏼‍♂ E4.0 man surfing: medium-light skin tone</t>
  </si>
  <si>
    <t>1F3C4 1F3FD 200D 2642 FE0F                             ; fully-qualified     # 🏄🏽‍♂️ E4.0 man surfing: medium skin tone</t>
  </si>
  <si>
    <t>1F3C4 1F3FD 200D 2642                                  ; minimally-qualified # 🏄🏽‍♂ E4.0 man surfing: medium skin tone</t>
  </si>
  <si>
    <t>1F3C4 1F3FE 200D 2642 FE0F                             ; fully-qualified     # 🏄🏾‍♂️ E4.0 man surfing: medium-dark skin tone</t>
  </si>
  <si>
    <t>1F3C4 1F3FE 200D 2642                                  ; minimally-qualified # 🏄🏾‍♂ E4.0 man surfing: medium-dark skin tone</t>
  </si>
  <si>
    <t>1F3C4 1F3FF 200D 2642 FE0F                             ; fully-qualified     # 🏄🏿‍♂️ E4.0 man surfing: dark skin tone</t>
  </si>
  <si>
    <t>1F3C4 1F3FF 200D 2642                                  ; minimally-qualified # 🏄🏿‍♂ E4.0 man surfing: dark skin tone</t>
  </si>
  <si>
    <t>1F3C4 200D 2640 FE0F                                   ; fully-qualified     # 🏄‍♀️ E4.0 woman surfing</t>
  </si>
  <si>
    <t>1F3C4 200D 2640                                        ; minimally-qualified # 🏄‍♀ E4.0 woman surfing</t>
  </si>
  <si>
    <t>1F3C4 1F3FB 200D 2640 FE0F                             ; fully-qualified     # 🏄🏻‍♀️ E4.0 woman surfing: light skin tone</t>
  </si>
  <si>
    <t>1F3C4 1F3FB 200D 2640                                  ; minimally-qualified # 🏄🏻‍♀ E4.0 woman surfing: light skin tone</t>
  </si>
  <si>
    <t>1F3C4 1F3FC 200D 2640 FE0F                             ; fully-qualified     # 🏄🏼‍♀️ E4.0 woman surfing: medium-light skin tone</t>
  </si>
  <si>
    <t>1F3C4 1F3FC 200D 2640                                  ; minimally-qualified # 🏄🏼‍♀ E4.0 woman surfing: medium-light skin tone</t>
  </si>
  <si>
    <t>1F3C4 1F3FD 200D 2640 FE0F                             ; fully-qualified     # 🏄🏽‍♀️ E4.0 woman surfing: medium skin tone</t>
  </si>
  <si>
    <t>1F3C4 1F3FD 200D 2640                                  ; minimally-qualified # 🏄🏽‍♀ E4.0 woman surfing: medium skin tone</t>
  </si>
  <si>
    <t>1F3C4 1F3FE 200D 2640 FE0F                             ; fully-qualified     # 🏄🏾‍♀️ E4.0 woman surfing: medium-dark skin tone</t>
  </si>
  <si>
    <t>1F3C4 1F3FE 200D 2640                                  ; minimally-qualified # 🏄🏾‍♀ E4.0 woman surfing: medium-dark skin tone</t>
  </si>
  <si>
    <t>1F3C4 1F3FF 200D 2640 FE0F                             ; fully-qualified     # 🏄🏿‍♀️ E4.0 woman surfing: dark skin tone</t>
  </si>
  <si>
    <t>1F3C4 1F3FF 200D 2640                                  ; minimally-qualified # 🏄🏿‍♀ E4.0 woman surfing: dark skin tone</t>
  </si>
  <si>
    <t>1F6A3                                                  ; fully-qualified     # 🚣 E1.0 person rowing boat</t>
  </si>
  <si>
    <t>1F6A3 1F3FB                                            ; fully-qualified     # 🚣🏻 E1.0 person rowing boat: light skin tone</t>
  </si>
  <si>
    <t>1F6A3 1F3FC                                            ; fully-qualified     # 🚣🏼 E1.0 person rowing boat: medium-light skin tone</t>
  </si>
  <si>
    <t>1F6A3 1F3FD                                            ; fully-qualified     # 🚣🏽 E1.0 person rowing boat: medium skin tone</t>
  </si>
  <si>
    <t>1F6A3 1F3FE                                            ; fully-qualified     # 🚣🏾 E1.0 person rowing boat: medium-dark skin tone</t>
  </si>
  <si>
    <t>1F6A3 1F3FF                                            ; fully-qualified     # 🚣🏿 E1.0 person rowing boat: dark skin tone</t>
  </si>
  <si>
    <t>1F6A3 200D 2642 FE0F                                   ; fully-qualified     # 🚣‍♂️ E4.0 man rowing boat</t>
  </si>
  <si>
    <t>1F6A3 200D 2642                                        ; minimally-qualified # 🚣‍♂ E4.0 man rowing boat</t>
  </si>
  <si>
    <t>1F6A3 1F3FB 200D 2642 FE0F                             ; fully-qualified     # 🚣🏻‍♂️ E4.0 man rowing boat: light skin tone</t>
  </si>
  <si>
    <t>1F6A3 1F3FB 200D 2642                                  ; minimally-qualified # 🚣🏻‍♂ E4.0 man rowing boat: light skin tone</t>
  </si>
  <si>
    <t>1F6A3 1F3FC 200D 2642 FE0F                             ; fully-qualified     # 🚣🏼‍♂️ E4.0 man rowing boat: medium-light skin tone</t>
  </si>
  <si>
    <t>1F6A3 1F3FC 200D 2642                                  ; minimally-qualified # 🚣🏼‍♂ E4.0 man rowing boat: medium-light skin tone</t>
  </si>
  <si>
    <t>1F6A3 1F3FD 200D 2642 FE0F                             ; fully-qualified     # 🚣🏽‍♂️ E4.0 man rowing boat: medium skin tone</t>
  </si>
  <si>
    <t>1F6A3 1F3FD 200D 2642                                  ; minimally-qualified # 🚣🏽‍♂ E4.0 man rowing boat: medium skin tone</t>
  </si>
  <si>
    <t>1F6A3 1F3FE 200D 2642 FE0F                             ; fully-qualified     # 🚣🏾‍♂️ E4.0 man rowing boat: medium-dark skin tone</t>
  </si>
  <si>
    <t>1F6A3 1F3FE 200D 2642                                  ; minimally-qualified # 🚣🏾‍♂ E4.0 man rowing boat: medium-dark skin tone</t>
  </si>
  <si>
    <t>1F6A3 1F3FF 200D 2642 FE0F                             ; fully-qualified     # 🚣🏿‍♂️ E4.0 man rowing boat: dark skin tone</t>
  </si>
  <si>
    <t>1F6A3 1F3FF 200D 2642                                  ; minimally-qualified # 🚣🏿‍♂ E4.0 man rowing boat: dark skin tone</t>
  </si>
  <si>
    <t>1F6A3 200D 2640 FE0F                                   ; fully-qualified     # 🚣‍♀️ E4.0 woman rowing boat</t>
  </si>
  <si>
    <t>1F6A3 200D 2640                                        ; minimally-qualified # 🚣‍♀ E4.0 woman rowing boat</t>
  </si>
  <si>
    <t>1F6A3 1F3FB 200D 2640 FE0F                             ; fully-qualified     # 🚣🏻‍♀️ E4.0 woman rowing boat: light skin tone</t>
  </si>
  <si>
    <t>1F6A3 1F3FB 200D 2640                                  ; minimally-qualified # 🚣🏻‍♀ E4.0 woman rowing boat: light skin tone</t>
  </si>
  <si>
    <t>1F6A3 1F3FC 200D 2640 FE0F                             ; fully-qualified     # 🚣🏼‍♀️ E4.0 woman rowing boat: medium-light skin tone</t>
  </si>
  <si>
    <t>1F6A3 1F3FC 200D 2640                                  ; minimally-qualified # 🚣🏼‍♀ E4.0 woman rowing boat: medium-light skin tone</t>
  </si>
  <si>
    <t>1F6A3 1F3FD 200D 2640 FE0F                             ; fully-qualified     # 🚣🏽‍♀️ E4.0 woman rowing boat: medium skin tone</t>
  </si>
  <si>
    <t>1F6A3 1F3FD 200D 2640                                  ; minimally-qualified # 🚣🏽‍♀ E4.0 woman rowing boat: medium skin tone</t>
  </si>
  <si>
    <t>1F6A3 1F3FE 200D 2640 FE0F                             ; fully-qualified     # 🚣🏾‍♀️ E4.0 woman rowing boat: medium-dark skin tone</t>
  </si>
  <si>
    <t>1F6A3 1F3FE 200D 2640                                  ; minimally-qualified # 🚣🏾‍♀ E4.0 woman rowing boat: medium-dark skin tone</t>
  </si>
  <si>
    <t>1F6A3 1F3FF 200D 2640 FE0F                             ; fully-qualified     # 🚣🏿‍♀️ E4.0 woman rowing boat: dark skin tone</t>
  </si>
  <si>
    <t>1F6A3 1F3FF 200D 2640                                  ; minimally-qualified # 🚣🏿‍♀ E4.0 woman rowing boat: dark skin tone</t>
  </si>
  <si>
    <t>1F3CA                                                  ; fully-qualified     # 🏊 E0.6 person swimming</t>
  </si>
  <si>
    <t>1F3CA 1F3FB                                            ; fully-qualified     # 🏊🏻 E1.0 person swimming: light skin tone</t>
  </si>
  <si>
    <t>1F3CA 1F3FC                                            ; fully-qualified     # 🏊🏼 E1.0 person swimming: medium-light skin tone</t>
  </si>
  <si>
    <t>1F3CA 1F3FD                                            ; fully-qualified     # 🏊🏽 E1.0 person swimming: medium skin tone</t>
  </si>
  <si>
    <t>1F3CA 1F3FE                                            ; fully-qualified     # 🏊🏾 E1.0 person swimming: medium-dark skin tone</t>
  </si>
  <si>
    <t>1F3CA 1F3FF                                            ; fully-qualified     # 🏊🏿 E1.0 person swimming: dark skin tone</t>
  </si>
  <si>
    <t>1F3CA 200D 2642 FE0F                                   ; fully-qualified     # 🏊‍♂️ E4.0 man swimming</t>
  </si>
  <si>
    <t>1F3CA 200D 2642                                        ; minimally-qualified # 🏊‍♂ E4.0 man swimming</t>
  </si>
  <si>
    <t>1F3CA 1F3FB 200D 2642 FE0F                             ; fully-qualified     # 🏊🏻‍♂️ E4.0 man swimming: light skin tone</t>
  </si>
  <si>
    <t>1F3CA 1F3FB 200D 2642                                  ; minimally-qualified # 🏊🏻‍♂ E4.0 man swimming: light skin tone</t>
  </si>
  <si>
    <t>1F3CA 1F3FC 200D 2642 FE0F                             ; fully-qualified     # 🏊🏼‍♂️ E4.0 man swimming: medium-light skin tone</t>
  </si>
  <si>
    <t>1F3CA 1F3FC 200D 2642                                  ; minimally-qualified # 🏊🏼‍♂ E4.0 man swimming: medium-light skin tone</t>
  </si>
  <si>
    <t>1F3CA 1F3FD 200D 2642 FE0F                             ; fully-qualified     # 🏊🏽‍♂️ E4.0 man swimming: medium skin tone</t>
  </si>
  <si>
    <t>1F3CA 1F3FD 200D 2642                                  ; minimally-qualified # 🏊🏽‍♂ E4.0 man swimming: medium skin tone</t>
  </si>
  <si>
    <t>1F3CA 1F3FE 200D 2642 FE0F                             ; fully-qualified     # 🏊🏾‍♂️ E4.0 man swimming: medium-dark skin tone</t>
  </si>
  <si>
    <t>1F3CA 1F3FE 200D 2642                                  ; minimally-qualified # 🏊🏾‍♂ E4.0 man swimming: medium-dark skin tone</t>
  </si>
  <si>
    <t>1F3CA 1F3FF 200D 2642 FE0F                             ; fully-qualified     # 🏊🏿‍♂️ E4.0 man swimming: dark skin tone</t>
  </si>
  <si>
    <t>1F3CA 1F3FF 200D 2642                                  ; minimally-qualified # 🏊🏿‍♂ E4.0 man swimming: dark skin tone</t>
  </si>
  <si>
    <t>1F3CA 200D 2640 FE0F                                   ; fully-qualified     # 🏊‍♀️ E4.0 woman swimming</t>
  </si>
  <si>
    <t>1F3CA 200D 2640                                        ; minimally-qualified # 🏊‍♀ E4.0 woman swimming</t>
  </si>
  <si>
    <t>1F3CA 1F3FB 200D 2640 FE0F                             ; fully-qualified     # 🏊🏻‍♀️ E4.0 woman swimming: light skin tone</t>
  </si>
  <si>
    <t>1F3CA 1F3FB 200D 2640                                  ; minimally-qualified # 🏊🏻‍♀ E4.0 woman swimming: light skin tone</t>
  </si>
  <si>
    <t>1F3CA 1F3FC 200D 2640 FE0F                             ; fully-qualified     # 🏊🏼‍♀️ E4.0 woman swimming: medium-light skin tone</t>
  </si>
  <si>
    <t>1F3CA 1F3FC 200D 2640                                  ; minimally-qualified # 🏊🏼‍♀ E4.0 woman swimming: medium-light skin tone</t>
  </si>
  <si>
    <t>1F3CA 1F3FD 200D 2640 FE0F                             ; fully-qualified     # 🏊🏽‍♀️ E4.0 woman swimming: medium skin tone</t>
  </si>
  <si>
    <t>1F3CA 1F3FD 200D 2640                                  ; minimally-qualified # 🏊🏽‍♀ E4.0 woman swimming: medium skin tone</t>
  </si>
  <si>
    <t>1F3CA 1F3FE 200D 2640 FE0F                             ; fully-qualified     # 🏊🏾‍♀️ E4.0 woman swimming: medium-dark skin tone</t>
  </si>
  <si>
    <t>1F3CA 1F3FE 200D 2640                                  ; minimally-qualified # 🏊🏾‍♀ E4.0 woman swimming: medium-dark skin tone</t>
  </si>
  <si>
    <t>1F3CA 1F3FF 200D 2640 FE0F                             ; fully-qualified     # 🏊🏿‍♀️ E4.0 woman swimming: dark skin tone</t>
  </si>
  <si>
    <t>1F3CA 1F3FF 200D 2640                                  ; minimally-qualified # 🏊🏿‍♀ E4.0 woman swimming: dark skin tone</t>
  </si>
  <si>
    <t>26F9 FE0F                                              ; fully-qualified     # ⛹️ E0.7 person bouncing ball</t>
  </si>
  <si>
    <t>26F9                                                   ; unqualified         # ⛹ E0.7 person bouncing ball</t>
  </si>
  <si>
    <t>26F9 1F3FB                                             ; fully-qualified     # ⛹🏻 E2.0 person bouncing ball: light skin tone</t>
  </si>
  <si>
    <t>26F9 1F3FC                                             ; fully-qualified     # ⛹🏼 E2.0 person bouncing ball: medium-light skin tone</t>
  </si>
  <si>
    <t>26F9 1F3FD                                             ; fully-qualified     # ⛹🏽 E2.0 person bouncing ball: medium skin tone</t>
  </si>
  <si>
    <t>26F9 1F3FE                                             ; fully-qualified     # ⛹🏾 E2.0 person bouncing ball: medium-dark skin tone</t>
  </si>
  <si>
    <t>26F9 1F3FF                                             ; fully-qualified     # ⛹🏿 E2.0 person bouncing ball: dark skin tone</t>
  </si>
  <si>
    <t>26F9 FE0F 200D 2642 FE0F                               ; fully-qualified     # ⛹️‍♂️ E4.0 man bouncing ball</t>
  </si>
  <si>
    <t>26F9 200D 2642 FE0F                                    ; unqualified         # ⛹‍♂️ E4.0 man bouncing ball</t>
  </si>
  <si>
    <t>26F9 FE0F 200D 2642                                    ; unqualified         # ⛹️‍♂ E4.0 man bouncing ball</t>
  </si>
  <si>
    <t>26F9 200D 2642                                         ; unqualified         # ⛹‍♂ E4.0 man bouncing ball</t>
  </si>
  <si>
    <t>26F9 1F3FB 200D 2642 FE0F                              ; fully-qualified     # ⛹🏻‍♂️ E4.0 man bouncing ball: light skin tone</t>
  </si>
  <si>
    <t>26F9 1F3FB 200D 2642                                   ; minimally-qualified # ⛹🏻‍♂ E4.0 man bouncing ball: light skin tone</t>
  </si>
  <si>
    <t>26F9 1F3FC 200D 2642 FE0F                              ; fully-qualified     # ⛹🏼‍♂️ E4.0 man bouncing ball: medium-light skin tone</t>
  </si>
  <si>
    <t>26F9 1F3FC 200D 2642                                   ; minimally-qualified # ⛹🏼‍♂ E4.0 man bouncing ball: medium-light skin tone</t>
  </si>
  <si>
    <t>26F9 1F3FD 200D 2642 FE0F                              ; fully-qualified     # ⛹🏽‍♂️ E4.0 man bouncing ball: medium skin tone</t>
  </si>
  <si>
    <t>26F9 1F3FD 200D 2642                                   ; minimally-qualified # ⛹🏽‍♂ E4.0 man bouncing ball: medium skin tone</t>
  </si>
  <si>
    <t>26F9 1F3FE 200D 2642 FE0F                              ; fully-qualified     # ⛹🏾‍♂️ E4.0 man bouncing ball: medium-dark skin tone</t>
  </si>
  <si>
    <t>26F9 1F3FE 200D 2642                                   ; minimally-qualified # ⛹🏾‍♂ E4.0 man bouncing ball: medium-dark skin tone</t>
  </si>
  <si>
    <t>26F9 1F3FF 200D 2642 FE0F                              ; fully-qualified     # ⛹🏿‍♂️ E4.0 man bouncing ball: dark skin tone</t>
  </si>
  <si>
    <t>26F9 1F3FF 200D 2642                                   ; minimally-qualified # ⛹🏿‍♂ E4.0 man bouncing ball: dark skin tone</t>
  </si>
  <si>
    <t>26F9 FE0F 200D 2640 FE0F                               ; fully-qualified     # ⛹️‍♀️ E4.0 woman bouncing ball</t>
  </si>
  <si>
    <t>26F9 200D 2640 FE0F                                    ; unqualified         # ⛹‍♀️ E4.0 woman bouncing ball</t>
  </si>
  <si>
    <t>26F9 FE0F 200D 2640                                    ; unqualified         # ⛹️‍♀ E4.0 woman bouncing ball</t>
  </si>
  <si>
    <t>26F9 200D 2640                                         ; unqualified         # ⛹‍♀ E4.0 woman bouncing ball</t>
  </si>
  <si>
    <t>26F9 1F3FB 200D 2640 FE0F                              ; fully-qualified     # ⛹🏻‍♀️ E4.0 woman bouncing ball: light skin tone</t>
  </si>
  <si>
    <t>26F9 1F3FB 200D 2640                                   ; minimally-qualified # ⛹🏻‍♀ E4.0 woman bouncing ball: light skin tone</t>
  </si>
  <si>
    <t>26F9 1F3FC 200D 2640 FE0F                              ; fully-qualified     # ⛹🏼‍♀️ E4.0 woman bouncing ball: medium-light skin tone</t>
  </si>
  <si>
    <t>26F9 1F3FC 200D 2640                                   ; minimally-qualified # ⛹🏼‍♀ E4.0 woman bouncing ball: medium-light skin tone</t>
  </si>
  <si>
    <t>26F9 1F3FD 200D 2640 FE0F                              ; fully-qualified     # ⛹🏽‍♀️ E4.0 woman bouncing ball: medium skin tone</t>
  </si>
  <si>
    <t>26F9 1F3FD 200D 2640                                   ; minimally-qualified # ⛹🏽‍♀ E4.0 woman bouncing ball: medium skin tone</t>
  </si>
  <si>
    <t>26F9 1F3FE 200D 2640 FE0F                              ; fully-qualified     # ⛹🏾‍♀️ E4.0 woman bouncing ball: medium-dark skin tone</t>
  </si>
  <si>
    <t>26F9 1F3FE 200D 2640                                   ; minimally-qualified # ⛹🏾‍♀ E4.0 woman bouncing ball: medium-dark skin tone</t>
  </si>
  <si>
    <t>26F9 1F3FF 200D 2640 FE0F                              ; fully-qualified     # ⛹🏿‍♀️ E4.0 woman bouncing ball: dark skin tone</t>
  </si>
  <si>
    <t>26F9 1F3FF 200D 2640                                   ; minimally-qualified # ⛹🏿‍♀ E4.0 woman bouncing ball: dark skin tone</t>
  </si>
  <si>
    <t>1F3CB FE0F                                             ; fully-qualified     # 🏋️ E0.7 person lifting weights</t>
  </si>
  <si>
    <t>1F3CB                                                  ; unqualified         # 🏋 E0.7 person lifting weights</t>
  </si>
  <si>
    <t>1F3CB 1F3FB                                            ; fully-qualified     # 🏋🏻 E2.0 person lifting weights: light skin tone</t>
  </si>
  <si>
    <t>1F3CB 1F3FC                                            ; fully-qualified     # 🏋🏼 E2.0 person lifting weights: medium-light skin tone</t>
  </si>
  <si>
    <t>1F3CB 1F3FD                                            ; fully-qualified     # 🏋🏽 E2.0 person lifting weights: medium skin tone</t>
  </si>
  <si>
    <t>1F3CB 1F3FE                                            ; fully-qualified     # 🏋🏾 E2.0 person lifting weights: medium-dark skin tone</t>
  </si>
  <si>
    <t>1F3CB 1F3FF                                            ; fully-qualified     # 🏋🏿 E2.0 person lifting weights: dark skin tone</t>
  </si>
  <si>
    <t>1F3CB FE0F 200D 2642 FE0F                              ; fully-qualified     # 🏋️‍♂️ E4.0 man lifting weights</t>
  </si>
  <si>
    <t>1F3CB 200D 2642 FE0F                                   ; unqualified         # 🏋‍♂️ E4.0 man lifting weights</t>
  </si>
  <si>
    <t>1F3CB FE0F 200D 2642                                   ; unqualified         # 🏋️‍♂ E4.0 man lifting weights</t>
  </si>
  <si>
    <t>1F3CB 200D 2642                                        ; unqualified         # 🏋‍♂ E4.0 man lifting weights</t>
  </si>
  <si>
    <t>1F3CB 1F3FB 200D 2642 FE0F                             ; fully-qualified     # 🏋🏻‍♂️ E4.0 man lifting weights: light skin tone</t>
  </si>
  <si>
    <t>1F3CB 1F3FB 200D 2642                                  ; minimally-qualified # 🏋🏻‍♂ E4.0 man lifting weights: light skin tone</t>
  </si>
  <si>
    <t>1F3CB 1F3FC 200D 2642 FE0F                             ; fully-qualified     # 🏋🏼‍♂️ E4.0 man lifting weights: medium-light skin tone</t>
  </si>
  <si>
    <t>1F3CB 1F3FC 200D 2642                                  ; minimally-qualified # 🏋🏼‍♂ E4.0 man lifting weights: medium-light skin tone</t>
  </si>
  <si>
    <t>1F3CB 1F3FD 200D 2642 FE0F                             ; fully-qualified     # 🏋🏽‍♂️ E4.0 man lifting weights: medium skin tone</t>
  </si>
  <si>
    <t>1F3CB 1F3FD 200D 2642                                  ; minimally-qualified # 🏋🏽‍♂ E4.0 man lifting weights: medium skin tone</t>
  </si>
  <si>
    <t>1F3CB 1F3FE 200D 2642 FE0F                             ; fully-qualified     # 🏋🏾‍♂️ E4.0 man lifting weights: medium-dark skin tone</t>
  </si>
  <si>
    <t>1F3CB 1F3FE 200D 2642                                  ; minimally-qualified # 🏋🏾‍♂ E4.0 man lifting weights: medium-dark skin tone</t>
  </si>
  <si>
    <t>1F3CB 1F3FF 200D 2642 FE0F                             ; fully-qualified     # 🏋🏿‍♂️ E4.0 man lifting weights: dark skin tone</t>
  </si>
  <si>
    <t>1F3CB 1F3FF 200D 2642                                  ; minimally-qualified # 🏋🏿‍♂ E4.0 man lifting weights: dark skin tone</t>
  </si>
  <si>
    <t>1F3CB FE0F 200D 2640 FE0F                              ; fully-qualified     # 🏋️‍♀️ E4.0 woman lifting weights</t>
  </si>
  <si>
    <t>1F3CB 200D 2640 FE0F                                   ; unqualified         # 🏋‍♀️ E4.0 woman lifting weights</t>
  </si>
  <si>
    <t>1F3CB FE0F 200D 2640                                   ; unqualified         # 🏋️‍♀ E4.0 woman lifting weights</t>
  </si>
  <si>
    <t>1F3CB 200D 2640                                        ; unqualified         # 🏋‍♀ E4.0 woman lifting weights</t>
  </si>
  <si>
    <t>1F3CB 1F3FB 200D 2640 FE0F                             ; fully-qualified     # 🏋🏻‍♀️ E4.0 woman lifting weights: light skin tone</t>
  </si>
  <si>
    <t>1F3CB 1F3FB 200D 2640                                  ; minimally-qualified # 🏋🏻‍♀ E4.0 woman lifting weights: light skin tone</t>
  </si>
  <si>
    <t>1F3CB 1F3FC 200D 2640 FE0F                             ; fully-qualified     # 🏋🏼‍♀️ E4.0 woman lifting weights: medium-light skin tone</t>
  </si>
  <si>
    <t>1F3CB 1F3FC 200D 2640                                  ; minimally-qualified # 🏋🏼‍♀ E4.0 woman lifting weights: medium-light skin tone</t>
  </si>
  <si>
    <t>1F3CB 1F3FD 200D 2640 FE0F                             ; fully-qualified     # 🏋🏽‍♀️ E4.0 woman lifting weights: medium skin tone</t>
  </si>
  <si>
    <t>1F3CB 1F3FD 200D 2640                                  ; minimally-qualified # 🏋🏽‍♀ E4.0 woman lifting weights: medium skin tone</t>
  </si>
  <si>
    <t>1F3CB 1F3FE 200D 2640 FE0F                             ; fully-qualified     # 🏋🏾‍♀️ E4.0 woman lifting weights: medium-dark skin tone</t>
  </si>
  <si>
    <t>1F3CB 1F3FE 200D 2640                                  ; minimally-qualified # 🏋🏾‍♀ E4.0 woman lifting weights: medium-dark skin tone</t>
  </si>
  <si>
    <t>1F3CB 1F3FF 200D 2640 FE0F                             ; fully-qualified     # 🏋🏿‍♀️ E4.0 woman lifting weights: dark skin tone</t>
  </si>
  <si>
    <t>1F3CB 1F3FF 200D 2640                                  ; minimally-qualified # 🏋🏿‍♀ E4.0 woman lifting weights: dark skin tone</t>
  </si>
  <si>
    <t>1F6B4                                                  ; fully-qualified     # 🚴 E1.0 person biking</t>
  </si>
  <si>
    <t>1F6B4 1F3FB                                            ; fully-qualified     # 🚴🏻 E1.0 person biking: light skin tone</t>
  </si>
  <si>
    <t>1F6B4 1F3FC                                            ; fully-qualified     # 🚴🏼 E1.0 person biking: medium-light skin tone</t>
  </si>
  <si>
    <t>1F6B4 1F3FD                                            ; fully-qualified     # 🚴🏽 E1.0 person biking: medium skin tone</t>
  </si>
  <si>
    <t>1F6B4 1F3FE                                            ; fully-qualified     # 🚴🏾 E1.0 person biking: medium-dark skin tone</t>
  </si>
  <si>
    <t>1F6B4 1F3FF                                            ; fully-qualified     # 🚴🏿 E1.0 person biking: dark skin tone</t>
  </si>
  <si>
    <t>1F6B4 200D 2642 FE0F                                   ; fully-qualified     # 🚴‍♂️ E4.0 man biking</t>
  </si>
  <si>
    <t>1F6B4 200D 2642                                        ; minimally-qualified # 🚴‍♂ E4.0 man biking</t>
  </si>
  <si>
    <t>1F6B4 1F3FB 200D 2642 FE0F                             ; fully-qualified     # 🚴🏻‍♂️ E4.0 man biking: light skin tone</t>
  </si>
  <si>
    <t>1F6B4 1F3FB 200D 2642                                  ; minimally-qualified # 🚴🏻‍♂ E4.0 man biking: light skin tone</t>
  </si>
  <si>
    <t>1F6B4 1F3FC 200D 2642 FE0F                             ; fully-qualified     # 🚴🏼‍♂️ E4.0 man biking: medium-light skin tone</t>
  </si>
  <si>
    <t>1F6B4 1F3FC 200D 2642                                  ; minimally-qualified # 🚴🏼‍♂ E4.0 man biking: medium-light skin tone</t>
  </si>
  <si>
    <t>1F6B4 1F3FD 200D 2642 FE0F                             ; fully-qualified     # 🚴🏽‍♂️ E4.0 man biking: medium skin tone</t>
  </si>
  <si>
    <t>1F6B4 1F3FD 200D 2642                                  ; minimally-qualified # 🚴🏽‍♂ E4.0 man biking: medium skin tone</t>
  </si>
  <si>
    <t>1F6B4 1F3FE 200D 2642 FE0F                             ; fully-qualified     # 🚴🏾‍♂️ E4.0 man biking: medium-dark skin tone</t>
  </si>
  <si>
    <t>1F6B4 1F3FE 200D 2642                                  ; minimally-qualified # 🚴🏾‍♂ E4.0 man biking: medium-dark skin tone</t>
  </si>
  <si>
    <t>1F6B4 1F3FF 200D 2642 FE0F                             ; fully-qualified     # 🚴🏿‍♂️ E4.0 man biking: dark skin tone</t>
  </si>
  <si>
    <t>1F6B4 1F3FF 200D 2642                                  ; minimally-qualified # 🚴🏿‍♂ E4.0 man biking: dark skin tone</t>
  </si>
  <si>
    <t>1F6B4 200D 2640 FE0F                                   ; fully-qualified     # 🚴‍♀️ E4.0 woman biking</t>
  </si>
  <si>
    <t>1F6B4 200D 2640                                        ; minimally-qualified # 🚴‍♀ E4.0 woman biking</t>
  </si>
  <si>
    <t>1F6B4 1F3FB 200D 2640 FE0F                             ; fully-qualified     # 🚴🏻‍♀️ E4.0 woman biking: light skin tone</t>
  </si>
  <si>
    <t>1F6B4 1F3FB 200D 2640                                  ; minimally-qualified # 🚴🏻‍♀ E4.0 woman biking: light skin tone</t>
  </si>
  <si>
    <t>1F6B4 1F3FC 200D 2640 FE0F                             ; fully-qualified     # 🚴🏼‍♀️ E4.0 woman biking: medium-light skin tone</t>
  </si>
  <si>
    <t>1F6B4 1F3FC 200D 2640                                  ; minimally-qualified # 🚴🏼‍♀ E4.0 woman biking: medium-light skin tone</t>
  </si>
  <si>
    <t>1F6B4 1F3FD 200D 2640 FE0F                             ; fully-qualified     # 🚴🏽‍♀️ E4.0 woman biking: medium skin tone</t>
  </si>
  <si>
    <t>1F6B4 1F3FD 200D 2640                                  ; minimally-qualified # 🚴🏽‍♀ E4.0 woman biking: medium skin tone</t>
  </si>
  <si>
    <t>1F6B4 1F3FE 200D 2640 FE0F                             ; fully-qualified     # 🚴🏾‍♀️ E4.0 woman biking: medium-dark skin tone</t>
  </si>
  <si>
    <t>1F6B4 1F3FE 200D 2640                                  ; minimally-qualified # 🚴🏾‍♀ E4.0 woman biking: medium-dark skin tone</t>
  </si>
  <si>
    <t>1F6B4 1F3FF 200D 2640 FE0F                             ; fully-qualified     # 🚴🏿‍♀️ E4.0 woman biking: dark skin tone</t>
  </si>
  <si>
    <t>1F6B4 1F3FF 200D 2640                                  ; minimally-qualified # 🚴🏿‍♀ E4.0 woman biking: dark skin tone</t>
  </si>
  <si>
    <t>1F6B5                                                  ; fully-qualified     # 🚵 E1.0 person mountain biking</t>
  </si>
  <si>
    <t>1F6B5 1F3FB                                            ; fully-qualified     # 🚵🏻 E1.0 person mountain biking: light skin tone</t>
  </si>
  <si>
    <t>1F6B5 1F3FC                                            ; fully-qualified     # 🚵🏼 E1.0 person mountain biking: medium-light skin tone</t>
  </si>
  <si>
    <t>1F6B5 1F3FD                                            ; fully-qualified     # 🚵🏽 E1.0 person mountain biking: medium skin tone</t>
  </si>
  <si>
    <t>1F6B5 1F3FE                                            ; fully-qualified     # 🚵🏾 E1.0 person mountain biking: medium-dark skin tone</t>
  </si>
  <si>
    <t>1F6B5 1F3FF                                            ; fully-qualified     # 🚵🏿 E1.0 person mountain biking: dark skin tone</t>
  </si>
  <si>
    <t>1F6B5 200D 2642 FE0F                                   ; fully-qualified     # 🚵‍♂️ E4.0 man mountain biking</t>
  </si>
  <si>
    <t>1F6B5 200D 2642                                        ; minimally-qualified # 🚵‍♂ E4.0 man mountain biking</t>
  </si>
  <si>
    <t>1F6B5 1F3FB 200D 2642 FE0F                             ; fully-qualified     # 🚵🏻‍♂️ E4.0 man mountain biking: light skin tone</t>
  </si>
  <si>
    <t>1F6B5 1F3FB 200D 2642                                  ; minimally-qualified # 🚵🏻‍♂ E4.0 man mountain biking: light skin tone</t>
  </si>
  <si>
    <t>1F6B5 1F3FC 200D 2642 FE0F                             ; fully-qualified     # 🚵🏼‍♂️ E4.0 man mountain biking: medium-light skin tone</t>
  </si>
  <si>
    <t>1F6B5 1F3FC 200D 2642                                  ; minimally-qualified # 🚵🏼‍♂ E4.0 man mountain biking: medium-light skin tone</t>
  </si>
  <si>
    <t>1F6B5 1F3FD 200D 2642 FE0F                             ; fully-qualified     # 🚵🏽‍♂️ E4.0 man mountain biking: medium skin tone</t>
  </si>
  <si>
    <t>1F6B5 1F3FD 200D 2642                                  ; minimally-qualified # 🚵🏽‍♂ E4.0 man mountain biking: medium skin tone</t>
  </si>
  <si>
    <t>1F6B5 1F3FE 200D 2642 FE0F                             ; fully-qualified     # 🚵🏾‍♂️ E4.0 man mountain biking: medium-dark skin tone</t>
  </si>
  <si>
    <t>1F6B5 1F3FE 200D 2642                                  ; minimally-qualified # 🚵🏾‍♂ E4.0 man mountain biking: medium-dark skin tone</t>
  </si>
  <si>
    <t>1F6B5 1F3FF 200D 2642 FE0F                             ; fully-qualified     # 🚵🏿‍♂️ E4.0 man mountain biking: dark skin tone</t>
  </si>
  <si>
    <t>1F6B5 1F3FF 200D 2642                                  ; minimally-qualified # 🚵🏿‍♂ E4.0 man mountain biking: dark skin tone</t>
  </si>
  <si>
    <t>1F6B5 200D 2640 FE0F                                   ; fully-qualified     # 🚵‍♀️ E4.0 woman mountain biking</t>
  </si>
  <si>
    <t>1F6B5 200D 2640                                        ; minimally-qualified # 🚵‍♀ E4.0 woman mountain biking</t>
  </si>
  <si>
    <t>1F6B5 1F3FB 200D 2640 FE0F                             ; fully-qualified     # 🚵🏻‍♀️ E4.0 woman mountain biking: light skin tone</t>
  </si>
  <si>
    <t>1F6B5 1F3FB 200D 2640                                  ; minimally-qualified # 🚵🏻‍♀ E4.0 woman mountain biking: light skin tone</t>
  </si>
  <si>
    <t>1F6B5 1F3FC 200D 2640 FE0F                             ; fully-qualified     # 🚵🏼‍♀️ E4.0 woman mountain biking: medium-light skin tone</t>
  </si>
  <si>
    <t>1F6B5 1F3FC 200D 2640                                  ; minimally-qualified # 🚵🏼‍♀ E4.0 woman mountain biking: medium-light skin tone</t>
  </si>
  <si>
    <t>1F6B5 1F3FD 200D 2640 FE0F                             ; fully-qualified     # 🚵🏽‍♀️ E4.0 woman mountain biking: medium skin tone</t>
  </si>
  <si>
    <t>1F6B5 1F3FD 200D 2640                                  ; minimally-qualified # 🚵🏽‍♀ E4.0 woman mountain biking: medium skin tone</t>
  </si>
  <si>
    <t>1F6B5 1F3FE 200D 2640 FE0F                             ; fully-qualified     # 🚵🏾‍♀️ E4.0 woman mountain biking: medium-dark skin tone</t>
  </si>
  <si>
    <t>1F6B5 1F3FE 200D 2640                                  ; minimally-qualified # 🚵🏾‍♀ E4.0 woman mountain biking: medium-dark skin tone</t>
  </si>
  <si>
    <t>1F6B5 1F3FF 200D 2640 FE0F                             ; fully-qualified     # 🚵🏿‍♀️ E4.0 woman mountain biking: dark skin tone</t>
  </si>
  <si>
    <t>1F6B5 1F3FF 200D 2640                                  ; minimally-qualified # 🚵🏿‍♀ E4.0 woman mountain biking: dark skin tone</t>
  </si>
  <si>
    <t>1F938                                                  ; fully-qualified     # 🤸 E3.0 person cartwheeling</t>
  </si>
  <si>
    <t>1F938 1F3FB                                            ; fully-qualified     # 🤸🏻 E3.0 person cartwheeling: light skin tone</t>
  </si>
  <si>
    <t>1F938 1F3FC                                            ; fully-qualified     # 🤸🏼 E3.0 person cartwheeling: medium-light skin tone</t>
  </si>
  <si>
    <t>1F938 1F3FD                                            ; fully-qualified     # 🤸🏽 E3.0 person cartwheeling: medium skin tone</t>
  </si>
  <si>
    <t>1F938 1F3FE                                            ; fully-qualified     # 🤸🏾 E3.0 person cartwheeling: medium-dark skin tone</t>
  </si>
  <si>
    <t>1F938 1F3FF                                            ; fully-qualified     # 🤸🏿 E3.0 person cartwheeling: dark skin tone</t>
  </si>
  <si>
    <t>1F938 200D 2642 FE0F                                   ; fully-qualified     # 🤸‍♂️ E4.0 man cartwheeling</t>
  </si>
  <si>
    <t>1F938 200D 2642                                        ; minimally-qualified # 🤸‍♂ E4.0 man cartwheeling</t>
  </si>
  <si>
    <t>1F938 1F3FB 200D 2642 FE0F                             ; fully-qualified     # 🤸🏻‍♂️ E4.0 man cartwheeling: light skin tone</t>
  </si>
  <si>
    <t>1F938 1F3FB 200D 2642                                  ; minimally-qualified # 🤸🏻‍♂ E4.0 man cartwheeling: light skin tone</t>
  </si>
  <si>
    <t>1F938 1F3FC 200D 2642 FE0F                             ; fully-qualified     # 🤸🏼‍♂️ E4.0 man cartwheeling: medium-light skin tone</t>
  </si>
  <si>
    <t>1F938 1F3FC 200D 2642                                  ; minimally-qualified # 🤸🏼‍♂ E4.0 man cartwheeling: medium-light skin tone</t>
  </si>
  <si>
    <t>1F938 1F3FD 200D 2642 FE0F                             ; fully-qualified     # 🤸🏽‍♂️ E4.0 man cartwheeling: medium skin tone</t>
  </si>
  <si>
    <t>1F938 1F3FD 200D 2642                                  ; minimally-qualified # 🤸🏽‍♂ E4.0 man cartwheeling: medium skin tone</t>
  </si>
  <si>
    <t>1F938 1F3FE 200D 2642 FE0F                             ; fully-qualified     # 🤸🏾‍♂️ E4.0 man cartwheeling: medium-dark skin tone</t>
  </si>
  <si>
    <t>1F938 1F3FE 200D 2642                                  ; minimally-qualified # 🤸🏾‍♂ E4.0 man cartwheeling: medium-dark skin tone</t>
  </si>
  <si>
    <t>1F938 1F3FF 200D 2642 FE0F                             ; fully-qualified     # 🤸🏿‍♂️ E4.0 man cartwheeling: dark skin tone</t>
  </si>
  <si>
    <t>1F938 1F3FF 200D 2642                                  ; minimally-qualified # 🤸🏿‍♂ E4.0 man cartwheeling: dark skin tone</t>
  </si>
  <si>
    <t>1F938 200D 2640 FE0F                                   ; fully-qualified     # 🤸‍♀️ E4.0 woman cartwheeling</t>
  </si>
  <si>
    <t>1F938 200D 2640                                        ; minimally-qualified # 🤸‍♀ E4.0 woman cartwheeling</t>
  </si>
  <si>
    <t>1F938 1F3FB 200D 2640 FE0F                             ; fully-qualified     # 🤸🏻‍♀️ E4.0 woman cartwheeling: light skin tone</t>
  </si>
  <si>
    <t>1F938 1F3FB 200D 2640                                  ; minimally-qualified # 🤸🏻‍♀ E4.0 woman cartwheeling: light skin tone</t>
  </si>
  <si>
    <t>1F938 1F3FC 200D 2640 FE0F                             ; fully-qualified     # 🤸🏼‍♀️ E4.0 woman cartwheeling: medium-light skin tone</t>
  </si>
  <si>
    <t>1F938 1F3FC 200D 2640                                  ; minimally-qualified # 🤸🏼‍♀ E4.0 woman cartwheeling: medium-light skin tone</t>
  </si>
  <si>
    <t>1F938 1F3FD 200D 2640 FE0F                             ; fully-qualified     # 🤸🏽‍♀️ E4.0 woman cartwheeling: medium skin tone</t>
  </si>
  <si>
    <t>1F938 1F3FD 200D 2640                                  ; minimally-qualified # 🤸🏽‍♀ E4.0 woman cartwheeling: medium skin tone</t>
  </si>
  <si>
    <t>1F938 1F3FE 200D 2640 FE0F                             ; fully-qualified     # 🤸🏾‍♀️ E4.0 woman cartwheeling: medium-dark skin tone</t>
  </si>
  <si>
    <t>1F938 1F3FE 200D 2640                                  ; minimally-qualified # 🤸🏾‍♀ E4.0 woman cartwheeling: medium-dark skin tone</t>
  </si>
  <si>
    <t>1F938 1F3FF 200D 2640 FE0F                             ; fully-qualified     # 🤸🏿‍♀️ E4.0 woman cartwheeling: dark skin tone</t>
  </si>
  <si>
    <t>1F938 1F3FF 200D 2640                                  ; minimally-qualified # 🤸🏿‍♀ E4.0 woman cartwheeling: dark skin tone</t>
  </si>
  <si>
    <t>1F93C                                                  ; fully-qualified     # 🤼 E3.0 people wrestling</t>
  </si>
  <si>
    <t>1F93C 200D 2642 FE0F                                   ; fully-qualified     # 🤼‍♂️ E4.0 men wrestling</t>
  </si>
  <si>
    <t>1F93C 200D 2642                                        ; minimally-qualified # 🤼‍♂ E4.0 men wrestling</t>
  </si>
  <si>
    <t>1F93C 200D 2640 FE0F                                   ; fully-qualified     # 🤼‍♀️ E4.0 women wrestling</t>
  </si>
  <si>
    <t>1F93C 200D 2640                                        ; minimally-qualified # 🤼‍♀ E4.0 women wrestling</t>
  </si>
  <si>
    <t>1F93D                                                  ; fully-qualified     # 🤽 E3.0 person playing water polo</t>
  </si>
  <si>
    <t>1F93D 1F3FB                                            ; fully-qualified     # 🤽🏻 E3.0 person playing water polo: light skin tone</t>
  </si>
  <si>
    <t>1F93D 1F3FC                                            ; fully-qualified     # 🤽🏼 E3.0 person playing water polo: medium-light skin tone</t>
  </si>
  <si>
    <t>1F93D 1F3FD                                            ; fully-qualified     # 🤽🏽 E3.0 person playing water polo: medium skin tone</t>
  </si>
  <si>
    <t>1F93D 1F3FE                                            ; fully-qualified     # 🤽🏾 E3.0 person playing water polo: medium-dark skin tone</t>
  </si>
  <si>
    <t>1F93D 1F3FF                                            ; fully-qualified     # 🤽🏿 E3.0 person playing water polo: dark skin tone</t>
  </si>
  <si>
    <t>1F93D 200D 2642 FE0F                                   ; fully-qualified     # 🤽‍♂️ E4.0 man playing water polo</t>
  </si>
  <si>
    <t>1F93D 200D 2642                                        ; minimally-qualified # 🤽‍♂ E4.0 man playing water polo</t>
  </si>
  <si>
    <t>1F93D 1F3FB 200D 2642 FE0F                             ; fully-qualified     # 🤽🏻‍♂️ E4.0 man playing water polo: light skin tone</t>
  </si>
  <si>
    <t>1F93D 1F3FB 200D 2642                                  ; minimally-qualified # 🤽🏻‍♂ E4.0 man playing water polo: light skin tone</t>
  </si>
  <si>
    <t>1F93D 1F3FC 200D 2642 FE0F                             ; fully-qualified     # 🤽🏼‍♂️ E4.0 man playing water polo: medium-light skin tone</t>
  </si>
  <si>
    <t>1F93D 1F3FC 200D 2642                                  ; minimally-qualified # 🤽🏼‍♂ E4.0 man playing water polo: medium-light skin tone</t>
  </si>
  <si>
    <t>1F93D 1F3FD 200D 2642 FE0F                             ; fully-qualified     # 🤽🏽‍♂️ E4.0 man playing water polo: medium skin tone</t>
  </si>
  <si>
    <t>1F93D 1F3FD 200D 2642                                  ; minimally-qualified # 🤽🏽‍♂ E4.0 man playing water polo: medium skin tone</t>
  </si>
  <si>
    <t>1F93D 1F3FE 200D 2642 FE0F                             ; fully-qualified     # 🤽🏾‍♂️ E4.0 man playing water polo: medium-dark skin tone</t>
  </si>
  <si>
    <t>1F93D 1F3FE 200D 2642                                  ; minimally-qualified # 🤽🏾‍♂ E4.0 man playing water polo: medium-dark skin tone</t>
  </si>
  <si>
    <t>1F93D 1F3FF 200D 2642 FE0F                             ; fully-qualified     # 🤽🏿‍♂️ E4.0 man playing water polo: dark skin tone</t>
  </si>
  <si>
    <t>1F93D 1F3FF 200D 2642                                  ; minimally-qualified # 🤽🏿‍♂ E4.0 man playing water polo: dark skin tone</t>
  </si>
  <si>
    <t>1F93D 200D 2640 FE0F                                   ; fully-qualified     # 🤽‍♀️ E4.0 woman playing water polo</t>
  </si>
  <si>
    <t>1F93D 200D 2640                                        ; minimally-qualified # 🤽‍♀ E4.0 woman playing water polo</t>
  </si>
  <si>
    <t>1F93D 1F3FB 200D 2640 FE0F                             ; fully-qualified     # 🤽🏻‍♀️ E4.0 woman playing water polo: light skin tone</t>
  </si>
  <si>
    <t>1F93D 1F3FB 200D 2640                                  ; minimally-qualified # 🤽🏻‍♀ E4.0 woman playing water polo: light skin tone</t>
  </si>
  <si>
    <t>1F93D 1F3FC 200D 2640 FE0F                             ; fully-qualified     # 🤽🏼‍♀️ E4.0 woman playing water polo: medium-light skin tone</t>
  </si>
  <si>
    <t>1F93D 1F3FC 200D 2640                                  ; minimally-qualified # 🤽🏼‍♀ E4.0 woman playing water polo: medium-light skin tone</t>
  </si>
  <si>
    <t>1F93D 1F3FD 200D 2640 FE0F                             ; fully-qualified     # 🤽🏽‍♀️ E4.0 woman playing water polo: medium skin tone</t>
  </si>
  <si>
    <t>1F93D 1F3FD 200D 2640                                  ; minimally-qualified # 🤽🏽‍♀ E4.0 woman playing water polo: medium skin tone</t>
  </si>
  <si>
    <t>1F93D 1F3FE 200D 2640 FE0F                             ; fully-qualified     # 🤽🏾‍♀️ E4.0 woman playing water polo: medium-dark skin tone</t>
  </si>
  <si>
    <t>1F93D 1F3FE 200D 2640                                  ; minimally-qualified # 🤽🏾‍♀ E4.0 woman playing water polo: medium-dark skin tone</t>
  </si>
  <si>
    <t>1F93D 1F3FF 200D 2640 FE0F                             ; fully-qualified     # 🤽🏿‍♀️ E4.0 woman playing water polo: dark skin tone</t>
  </si>
  <si>
    <t>1F93D 1F3FF 200D 2640                                  ; minimally-qualified # 🤽🏿‍♀ E4.0 woman playing water polo: dark skin tone</t>
  </si>
  <si>
    <t>1F93E                                                  ; fully-qualified     # 🤾 E3.0 person playing handball</t>
  </si>
  <si>
    <t>1F93E 1F3FB                                            ; fully-qualified     # 🤾🏻 E3.0 person playing handball: light skin tone</t>
  </si>
  <si>
    <t>1F93E 1F3FC                                            ; fully-qualified     # 🤾🏼 E3.0 person playing handball: medium-light skin tone</t>
  </si>
  <si>
    <t>1F93E 1F3FD                                            ; fully-qualified     # 🤾🏽 E3.0 person playing handball: medium skin tone</t>
  </si>
  <si>
    <t>1F93E 1F3FE                                            ; fully-qualified     # 🤾🏾 E3.0 person playing handball: medium-dark skin tone</t>
  </si>
  <si>
    <t>1F93E 1F3FF                                            ; fully-qualified     # 🤾🏿 E3.0 person playing handball: dark skin tone</t>
  </si>
  <si>
    <t>1F93E 200D 2642 FE0F                                   ; fully-qualified     # 🤾‍♂️ E4.0 man playing handball</t>
  </si>
  <si>
    <t>1F93E 200D 2642                                        ; minimally-qualified # 🤾‍♂ E4.0 man playing handball</t>
  </si>
  <si>
    <t>1F93E 1F3FB 200D 2642 FE0F                             ; fully-qualified     # 🤾🏻‍♂️ E4.0 man playing handball: light skin tone</t>
  </si>
  <si>
    <t>1F93E 1F3FB 200D 2642                                  ; minimally-qualified # 🤾🏻‍♂ E4.0 man playing handball: light skin tone</t>
  </si>
  <si>
    <t>1F93E 1F3FC 200D 2642 FE0F                             ; fully-qualified     # 🤾🏼‍♂️ E4.0 man playing handball: medium-light skin tone</t>
  </si>
  <si>
    <t>1F93E 1F3FC 200D 2642                                  ; minimally-qualified # 🤾🏼‍♂ E4.0 man playing handball: medium-light skin tone</t>
  </si>
  <si>
    <t>1F93E 1F3FD 200D 2642 FE0F                             ; fully-qualified     # 🤾🏽‍♂️ E4.0 man playing handball: medium skin tone</t>
  </si>
  <si>
    <t>1F93E 1F3FD 200D 2642                                  ; minimally-qualified # 🤾🏽‍♂ E4.0 man playing handball: medium skin tone</t>
  </si>
  <si>
    <t>1F93E 1F3FE 200D 2642 FE0F                             ; fully-qualified     # 🤾🏾‍♂️ E4.0 man playing handball: medium-dark skin tone</t>
  </si>
  <si>
    <t>1F93E 1F3FE 200D 2642                                  ; minimally-qualified # 🤾🏾‍♂ E4.0 man playing handball: medium-dark skin tone</t>
  </si>
  <si>
    <t>1F93E 1F3FF 200D 2642 FE0F                             ; fully-qualified     # 🤾🏿‍♂️ E4.0 man playing handball: dark skin tone</t>
  </si>
  <si>
    <t>1F93E 1F3FF 200D 2642                                  ; minimally-qualified # 🤾🏿‍♂ E4.0 man playing handball: dark skin tone</t>
  </si>
  <si>
    <t>1F93E 200D 2640 FE0F                                   ; fully-qualified     # 🤾‍♀️ E4.0 woman playing handball</t>
  </si>
  <si>
    <t>1F93E 200D 2640                                        ; minimally-qualified # 🤾‍♀ E4.0 woman playing handball</t>
  </si>
  <si>
    <t>1F93E 1F3FB 200D 2640 FE0F                             ; fully-qualified     # 🤾🏻‍♀️ E4.0 woman playing handball: light skin tone</t>
  </si>
  <si>
    <t>1F93E 1F3FB 200D 2640                                  ; minimally-qualified # 🤾🏻‍♀ E4.0 woman playing handball: light skin tone</t>
  </si>
  <si>
    <t>1F93E 1F3FC 200D 2640 FE0F                             ; fully-qualified     # 🤾🏼‍♀️ E4.0 woman playing handball: medium-light skin tone</t>
  </si>
  <si>
    <t>1F93E 1F3FC 200D 2640                                  ; minimally-qualified # 🤾🏼‍♀ E4.0 woman playing handball: medium-light skin tone</t>
  </si>
  <si>
    <t>1F93E 1F3FD 200D 2640 FE0F                             ; fully-qualified     # 🤾🏽‍♀️ E4.0 woman playing handball: medium skin tone</t>
  </si>
  <si>
    <t>1F93E 1F3FD 200D 2640                                  ; minimally-qualified # 🤾🏽‍♀ E4.0 woman playing handball: medium skin tone</t>
  </si>
  <si>
    <t>1F93E 1F3FE 200D 2640 FE0F                             ; fully-qualified     # 🤾🏾‍♀️ E4.0 woman playing handball: medium-dark skin tone</t>
  </si>
  <si>
    <t>1F93E 1F3FE 200D 2640                                  ; minimally-qualified # 🤾🏾‍♀ E4.0 woman playing handball: medium-dark skin tone</t>
  </si>
  <si>
    <t>1F93E 1F3FF 200D 2640 FE0F                             ; fully-qualified     # 🤾🏿‍♀️ E4.0 woman playing handball: dark skin tone</t>
  </si>
  <si>
    <t>1F93E 1F3FF 200D 2640                                  ; minimally-qualified # 🤾🏿‍♀ E4.0 woman playing handball: dark skin tone</t>
  </si>
  <si>
    <t>1F939                                                  ; fully-qualified     # 🤹 E3.0 person juggling</t>
  </si>
  <si>
    <t>1F939 1F3FB                                            ; fully-qualified     # 🤹🏻 E3.0 person juggling: light skin tone</t>
  </si>
  <si>
    <t>1F939 1F3FC                                            ; fully-qualified     # 🤹🏼 E3.0 person juggling: medium-light skin tone</t>
  </si>
  <si>
    <t>1F939 1F3FD                                            ; fully-qualified     # 🤹🏽 E3.0 person juggling: medium skin tone</t>
  </si>
  <si>
    <t>1F939 1F3FE                                            ; fully-qualified     # 🤹🏾 E3.0 person juggling: medium-dark skin tone</t>
  </si>
  <si>
    <t>1F939 1F3FF                                            ; fully-qualified     # 🤹🏿 E3.0 person juggling: dark skin tone</t>
  </si>
  <si>
    <t>1F939 200D 2642 FE0F                                   ; fully-qualified     # 🤹‍♂️ E4.0 man juggling</t>
  </si>
  <si>
    <t>1F939 200D 2642                                        ; minimally-qualified # 🤹‍♂ E4.0 man juggling</t>
  </si>
  <si>
    <t>1F939 1F3FB 200D 2642 FE0F                             ; fully-qualified     # 🤹🏻‍♂️ E4.0 man juggling: light skin tone</t>
  </si>
  <si>
    <t>1F939 1F3FB 200D 2642                                  ; minimally-qualified # 🤹🏻‍♂ E4.0 man juggling: light skin tone</t>
  </si>
  <si>
    <t>1F939 1F3FC 200D 2642 FE0F                             ; fully-qualified     # 🤹🏼‍♂️ E4.0 man juggling: medium-light skin tone</t>
  </si>
  <si>
    <t>1F939 1F3FC 200D 2642                                  ; minimally-qualified # 🤹🏼‍♂ E4.0 man juggling: medium-light skin tone</t>
  </si>
  <si>
    <t>1F939 1F3FD 200D 2642 FE0F                             ; fully-qualified     # 🤹🏽‍♂️ E4.0 man juggling: medium skin tone</t>
  </si>
  <si>
    <t>1F939 1F3FD 200D 2642                                  ; minimally-qualified # 🤹🏽‍♂ E4.0 man juggling: medium skin tone</t>
  </si>
  <si>
    <t>1F939 1F3FE 200D 2642 FE0F                             ; fully-qualified     # 🤹🏾‍♂️ E4.0 man juggling: medium-dark skin tone</t>
  </si>
  <si>
    <t>1F939 1F3FE 200D 2642                                  ; minimally-qualified # 🤹🏾‍♂ E4.0 man juggling: medium-dark skin tone</t>
  </si>
  <si>
    <t>1F939 1F3FF 200D 2642 FE0F                             ; fully-qualified     # 🤹🏿‍♂️ E4.0 man juggling: dark skin tone</t>
  </si>
  <si>
    <t>1F939 1F3FF 200D 2642                                  ; minimally-qualified # 🤹🏿‍♂ E4.0 man juggling: dark skin tone</t>
  </si>
  <si>
    <t>1F939 200D 2640 FE0F                                   ; fully-qualified     # 🤹‍♀️ E4.0 woman juggling</t>
  </si>
  <si>
    <t>1F939 200D 2640                                        ; minimally-qualified # 🤹‍♀ E4.0 woman juggling</t>
  </si>
  <si>
    <t>1F939 1F3FB 200D 2640 FE0F                             ; fully-qualified     # 🤹🏻‍♀️ E4.0 woman juggling: light skin tone</t>
  </si>
  <si>
    <t>1F939 1F3FB 200D 2640                                  ; minimally-qualified # 🤹🏻‍♀ E4.0 woman juggling: light skin tone</t>
  </si>
  <si>
    <t>1F939 1F3FC 200D 2640 FE0F                             ; fully-qualified     # 🤹🏼‍♀️ E4.0 woman juggling: medium-light skin tone</t>
  </si>
  <si>
    <t>1F939 1F3FC 200D 2640                                  ; minimally-qualified # 🤹🏼‍♀ E4.0 woman juggling: medium-light skin tone</t>
  </si>
  <si>
    <t>1F939 1F3FD 200D 2640 FE0F                             ; fully-qualified     # 🤹🏽‍♀️ E4.0 woman juggling: medium skin tone</t>
  </si>
  <si>
    <t>1F939 1F3FD 200D 2640                                  ; minimally-qualified # 🤹🏽‍♀ E4.0 woman juggling: medium skin tone</t>
  </si>
  <si>
    <t>1F939 1F3FE 200D 2640 FE0F                             ; fully-qualified     # 🤹🏾‍♀️ E4.0 woman juggling: medium-dark skin tone</t>
  </si>
  <si>
    <t>1F939 1F3FE 200D 2640                                  ; minimally-qualified # 🤹🏾‍♀ E4.0 woman juggling: medium-dark skin tone</t>
  </si>
  <si>
    <t>1F939 1F3FF 200D 2640 FE0F                             ; fully-qualified     # 🤹🏿‍♀️ E4.0 woman juggling: dark skin tone</t>
  </si>
  <si>
    <t>1F939 1F3FF 200D 2640                                  ; minimally-qualified # 🤹🏿‍♀ E4.0 woman juggling: dark skin tone</t>
  </si>
  <si>
    <t># subgroup: person-resting</t>
  </si>
  <si>
    <t>1F9D8                                                  ; fully-qualified     # 🧘 E5.0 person in lotus position</t>
  </si>
  <si>
    <t>1F9D8 1F3FB                                            ; fully-qualified     # 🧘🏻 E5.0 person in lotus position: light skin tone</t>
  </si>
  <si>
    <t>1F9D8 1F3FC                                            ; fully-qualified     # 🧘🏼 E5.0 person in lotus position: medium-light skin tone</t>
  </si>
  <si>
    <t>1F9D8 1F3FD                                            ; fully-qualified     # 🧘🏽 E5.0 person in lotus position: medium skin tone</t>
  </si>
  <si>
    <t>1F9D8 1F3FE                                            ; fully-qualified     # 🧘🏾 E5.0 person in lotus position: medium-dark skin tone</t>
  </si>
  <si>
    <t>1F9D8 1F3FF                                            ; fully-qualified     # 🧘🏿 E5.0 person in lotus position: dark skin tone</t>
  </si>
  <si>
    <t>1F9D8 200D 2642 FE0F                                   ; fully-qualified     # 🧘‍♂️ E5.0 man in lotus position</t>
  </si>
  <si>
    <t>1F9D8 200D 2642                                        ; minimally-qualified # 🧘‍♂ E5.0 man in lotus position</t>
  </si>
  <si>
    <t>1F9D8 1F3FB 200D 2642 FE0F                             ; fully-qualified     # 🧘🏻‍♂️ E5.0 man in lotus position: light skin tone</t>
  </si>
  <si>
    <t>1F9D8 1F3FB 200D 2642                                  ; minimally-qualified # 🧘🏻‍♂ E5.0 man in lotus position: light skin tone</t>
  </si>
  <si>
    <t>1F9D8 1F3FC 200D 2642 FE0F                             ; fully-qualified     # 🧘🏼‍♂️ E5.0 man in lotus position: medium-light skin tone</t>
  </si>
  <si>
    <t>1F9D8 1F3FC 200D 2642                                  ; minimally-qualified # 🧘🏼‍♂ E5.0 man in lotus position: medium-light skin tone</t>
  </si>
  <si>
    <t>1F9D8 1F3FD 200D 2642 FE0F                             ; fully-qualified     # 🧘🏽‍♂️ E5.0 man in lotus position: medium skin tone</t>
  </si>
  <si>
    <t>1F9D8 1F3FD 200D 2642                                  ; minimally-qualified # 🧘🏽‍♂ E5.0 man in lotus position: medium skin tone</t>
  </si>
  <si>
    <t>1F9D8 1F3FE 200D 2642 FE0F                             ; fully-qualified     # 🧘🏾‍♂️ E5.0 man in lotus position: medium-dark skin tone</t>
  </si>
  <si>
    <t>1F9D8 1F3FE 200D 2642                                  ; minimally-qualified # 🧘🏾‍♂ E5.0 man in lotus position: medium-dark skin tone</t>
  </si>
  <si>
    <t>1F9D8 1F3FF 200D 2642 FE0F                             ; fully-qualified     # 🧘🏿‍♂️ E5.0 man in lotus position: dark skin tone</t>
  </si>
  <si>
    <t>1F9D8 1F3FF 200D 2642                                  ; minimally-qualified # 🧘🏿‍♂ E5.0 man in lotus position: dark skin tone</t>
  </si>
  <si>
    <t>1F9D8 200D 2640 FE0F                                   ; fully-qualified     # 🧘‍♀️ E5.0 woman in lotus position</t>
  </si>
  <si>
    <t>1F9D8 200D 2640                                        ; minimally-qualified # 🧘‍♀ E5.0 woman in lotus position</t>
  </si>
  <si>
    <t>1F9D8 1F3FB 200D 2640 FE0F                             ; fully-qualified     # 🧘🏻‍♀️ E5.0 woman in lotus position: light skin tone</t>
  </si>
  <si>
    <t>1F9D8 1F3FB 200D 2640                                  ; minimally-qualified # 🧘🏻‍♀ E5.0 woman in lotus position: light skin tone</t>
  </si>
  <si>
    <t>1F9D8 1F3FC 200D 2640 FE0F                             ; fully-qualified     # 🧘🏼‍♀️ E5.0 woman in lotus position: medium-light skin tone</t>
  </si>
  <si>
    <t>1F9D8 1F3FC 200D 2640                                  ; minimally-qualified # 🧘🏼‍♀ E5.0 woman in lotus position: medium-light skin tone</t>
  </si>
  <si>
    <t>1F9D8 1F3FD 200D 2640 FE0F                             ; fully-qualified     # 🧘🏽‍♀️ E5.0 woman in lotus position: medium skin tone</t>
  </si>
  <si>
    <t>1F9D8 1F3FD 200D 2640                                  ; minimally-qualified # 🧘🏽‍♀ E5.0 woman in lotus position: medium skin tone</t>
  </si>
  <si>
    <t>1F9D8 1F3FE 200D 2640 FE0F                             ; fully-qualified     # 🧘🏾‍♀️ E5.0 woman in lotus position: medium-dark skin tone</t>
  </si>
  <si>
    <t>1F9D8 1F3FE 200D 2640                                  ; minimally-qualified # 🧘🏾‍♀ E5.0 woman in lotus position: medium-dark skin tone</t>
  </si>
  <si>
    <t>1F9D8 1F3FF 200D 2640 FE0F                             ; fully-qualified     # 🧘🏿‍♀️ E5.0 woman in lotus position: dark skin tone</t>
  </si>
  <si>
    <t>1F9D8 1F3FF 200D 2640                                  ; minimally-qualified # 🧘🏿‍♀ E5.0 woman in lotus position: dark skin tone</t>
  </si>
  <si>
    <t>1F6C0                                                  ; fully-qualified     # 🛀 E0.6 person taking bath</t>
  </si>
  <si>
    <t>1F6C0 1F3FB                                            ; fully-qualified     # 🛀🏻 E1.0 person taking bath: light skin tone</t>
  </si>
  <si>
    <t>1F6C0 1F3FC                                            ; fully-qualified     # 🛀🏼 E1.0 person taking bath: medium-light skin tone</t>
  </si>
  <si>
    <t>1F6C0 1F3FD                                            ; fully-qualified     # 🛀🏽 E1.0 person taking bath: medium skin tone</t>
  </si>
  <si>
    <t>1F6C0 1F3FE                                            ; fully-qualified     # 🛀🏾 E1.0 person taking bath: medium-dark skin tone</t>
  </si>
  <si>
    <t>1F6C0 1F3FF                                            ; fully-qualified     # 🛀🏿 E1.0 person taking bath: dark skin tone</t>
  </si>
  <si>
    <t>1F6CC                                                  ; fully-qualified     # 🛌 E1.0 person in bed</t>
  </si>
  <si>
    <t>1F6CC 1F3FB                                            ; fully-qualified     # 🛌🏻 E4.0 person in bed: light skin tone</t>
  </si>
  <si>
    <t>1F6CC 1F3FC                                            ; fully-qualified     # 🛌🏼 E4.0 person in bed: medium-light skin tone</t>
  </si>
  <si>
    <t>1F6CC 1F3FD                                            ; fully-qualified     # 🛌🏽 E4.0 person in bed: medium skin tone</t>
  </si>
  <si>
    <t>1F6CC 1F3FE                                            ; fully-qualified     # 🛌🏾 E4.0 person in bed: medium-dark skin tone</t>
  </si>
  <si>
    <t>1F6CC 1F3FF                                            ; fully-qualified     # 🛌🏿 E4.0 person in bed: dark skin tone</t>
  </si>
  <si>
    <t># subgroup: family</t>
  </si>
  <si>
    <t>1F9D1 200D 1F91D 200D 1F9D1                            ; fully-qualified     # 🧑‍🤝‍🧑 E12.0 people holding hands</t>
  </si>
  <si>
    <t>1F9D1 1F3FB 200D 1F91D 200D 1F9D1 1F3FB                ; fully-qualified     # 🧑🏻‍🤝‍🧑🏻 E12.0 people holding hands: light skin tone</t>
  </si>
  <si>
    <t>1F9D1 1F3FB 200D 1F91D 200D 1F9D1 1F3FC                ; fully-qualified     # 🧑🏻‍🤝‍🧑🏼 E12.1 people holding hands: light skin tone, medium-light skin tone</t>
  </si>
  <si>
    <t>1F9D1 1F3FB 200D 1F91D 200D 1F9D1 1F3FD                ; fully-qualified     # 🧑🏻‍🤝‍🧑🏽 E12.1 people holding hands: light skin tone, medium skin tone</t>
  </si>
  <si>
    <t>1F9D1 1F3FB 200D 1F91D 200D 1F9D1 1F3FE                ; fully-qualified     # 🧑🏻‍🤝‍🧑🏾 E12.1 people holding hands: light skin tone, medium-dark skin tone</t>
  </si>
  <si>
    <t>1F9D1 1F3FB 200D 1F91D 200D 1F9D1 1F3FF                ; fully-qualified     # 🧑🏻‍🤝‍🧑🏿 E12.1 people holding hands: light skin tone, dark skin tone</t>
  </si>
  <si>
    <t>1F9D1 1F3FC 200D 1F91D 200D 1F9D1 1F3FB                ; fully-qualified     # 🧑🏼‍🤝‍🧑🏻 E12.0 people holding hands: medium-light skin tone, light skin tone</t>
  </si>
  <si>
    <t>1F9D1 1F3FC 200D 1F91D 200D 1F9D1 1F3FC                ; fully-qualified     # 🧑🏼‍🤝‍🧑🏼 E12.0 people holding hands: medium-light skin tone</t>
  </si>
  <si>
    <t>1F9D1 1F3FC 200D 1F91D 200D 1F9D1 1F3FD                ; fully-qualified     # 🧑🏼‍🤝‍🧑🏽 E12.1 people holding hands: medium-light skin tone, medium skin tone</t>
  </si>
  <si>
    <t>1F9D1 1F3FC 200D 1F91D 200D 1F9D1 1F3FE                ; fully-qualified     # 🧑🏼‍🤝‍🧑🏾 E12.1 people holding hands: medium-light skin tone, medium-dark skin tone</t>
  </si>
  <si>
    <t>1F9D1 1F3FC 200D 1F91D 200D 1F9D1 1F3FF                ; fully-qualified     # 🧑🏼‍🤝‍🧑🏿 E12.1 people holding hands: medium-light skin tone, dark skin tone</t>
  </si>
  <si>
    <t>1F9D1 1F3FD 200D 1F91D 200D 1F9D1 1F3FB                ; fully-qualified     # 🧑🏽‍🤝‍🧑🏻 E12.0 people holding hands: medium skin tone, light skin tone</t>
  </si>
  <si>
    <t>1F9D1 1F3FD 200D 1F91D 200D 1F9D1 1F3FC                ; fully-qualified     # 🧑🏽‍🤝‍🧑🏼 E12.0 people holding hands: medium skin tone, medium-light skin tone</t>
  </si>
  <si>
    <t>1F9D1 1F3FD 200D 1F91D 200D 1F9D1 1F3FD                ; fully-qualified     # 🧑🏽‍🤝‍🧑🏽 E12.0 people holding hands: medium skin tone</t>
  </si>
  <si>
    <t>1F9D1 1F3FD 200D 1F91D 200D 1F9D1 1F3FE                ; fully-qualified     # 🧑🏽‍🤝‍🧑🏾 E12.1 people holding hands: medium skin tone, medium-dark skin tone</t>
  </si>
  <si>
    <t>1F9D1 1F3FD 200D 1F91D 200D 1F9D1 1F3FF                ; fully-qualified     # 🧑🏽‍🤝‍🧑🏿 E12.1 people holding hands: medium skin tone, dark skin tone</t>
  </si>
  <si>
    <t>1F9D1 1F3FE 200D 1F91D 200D 1F9D1 1F3FB                ; fully-qualified     # 🧑🏾‍🤝‍🧑🏻 E12.0 people holding hands: medium-dark skin tone, light skin tone</t>
  </si>
  <si>
    <t>1F9D1 1F3FE 200D 1F91D 200D 1F9D1 1F3FC                ; fully-qualified     # 🧑🏾‍🤝‍🧑🏼 E12.0 people holding hands: medium-dark skin tone, medium-light skin tone</t>
  </si>
  <si>
    <t>1F9D1 1F3FE 200D 1F91D 200D 1F9D1 1F3FD                ; fully-qualified     # 🧑🏾‍🤝‍🧑🏽 E12.0 people holding hands: medium-dark skin tone, medium skin tone</t>
  </si>
  <si>
    <t>1F9D1 1F3FE 200D 1F91D 200D 1F9D1 1F3FE                ; fully-qualified     # 🧑🏾‍🤝‍🧑🏾 E12.0 people holding hands: medium-dark skin tone</t>
  </si>
  <si>
    <t>1F9D1 1F3FE 200D 1F91D 200D 1F9D1 1F3FF                ; fully-qualified     # 🧑🏾‍🤝‍🧑🏿 E12.1 people holding hands: medium-dark skin tone, dark skin tone</t>
  </si>
  <si>
    <t>1F9D1 1F3FF 200D 1F91D 200D 1F9D1 1F3FB                ; fully-qualified     # 🧑🏿‍🤝‍🧑🏻 E12.0 people holding hands: dark skin tone, light skin tone</t>
  </si>
  <si>
    <t>1F9D1 1F3FF 200D 1F91D 200D 1F9D1 1F3FC                ; fully-qualified     # 🧑🏿‍🤝‍🧑🏼 E12.0 people holding hands: dark skin tone, medium-light skin tone</t>
  </si>
  <si>
    <t>1F9D1 1F3FF 200D 1F91D 200D 1F9D1 1F3FD                ; fully-qualified     # 🧑🏿‍🤝‍🧑🏽 E12.0 people holding hands: dark skin tone, medium skin tone</t>
  </si>
  <si>
    <t>1F9D1 1F3FF 200D 1F91D 200D 1F9D1 1F3FE                ; fully-qualified     # 🧑🏿‍🤝‍🧑🏾 E12.0 people holding hands: dark skin tone, medium-dark skin tone</t>
  </si>
  <si>
    <t>1F9D1 1F3FF 200D 1F91D 200D 1F9D1 1F3FF                ; fully-qualified     # 🧑🏿‍🤝‍🧑🏿 E12.0 people holding hands: dark skin tone</t>
  </si>
  <si>
    <t>1F46D                                                  ; fully-qualified     # 👭 E1.0 women holding hands</t>
  </si>
  <si>
    <t>1F46D 1F3FB                                            ; fully-qualified     # 👭🏻 E12.0 women holding hands: light skin tone</t>
  </si>
  <si>
    <t>1F469 1F3FB 200D 1F91D 200D 1F469 1F3FC                ; fully-qualified     # 👩🏻‍🤝‍👩🏼 E12.1 women holding hands: light skin tone, medium-light skin tone</t>
  </si>
  <si>
    <t>1F469 1F3FB 200D 1F91D 200D 1F469 1F3FD                ; fully-qualified     # 👩🏻‍🤝‍👩🏽 E12.1 women holding hands: light skin tone, medium skin tone</t>
  </si>
  <si>
    <t>1F469 1F3FB 200D 1F91D 200D 1F469 1F3FE                ; fully-qualified     # 👩🏻‍🤝‍👩🏾 E12.1 women holding hands: light skin tone, medium-dark skin tone</t>
  </si>
  <si>
    <t>1F469 1F3FB 200D 1F91D 200D 1F469 1F3FF                ; fully-qualified     # 👩🏻‍🤝‍👩🏿 E12.1 women holding hands: light skin tone, dark skin tone</t>
  </si>
  <si>
    <t>1F469 1F3FC 200D 1F91D 200D 1F469 1F3FB                ; fully-qualified     # 👩🏼‍🤝‍👩🏻 E12.0 women holding hands: medium-light skin tone, light skin tone</t>
  </si>
  <si>
    <t>1F46D 1F3FC                                            ; fully-qualified     # 👭🏼 E12.0 women holding hands: medium-light skin tone</t>
  </si>
  <si>
    <t>1F469 1F3FC 200D 1F91D 200D 1F469 1F3FD                ; fully-qualified     # 👩🏼‍🤝‍👩🏽 E12.1 women holding hands: medium-light skin tone, medium skin tone</t>
  </si>
  <si>
    <t>1F469 1F3FC 200D 1F91D 200D 1F469 1F3FE                ; fully-qualified     # 👩🏼‍🤝‍👩🏾 E12.1 women holding hands: medium-light skin tone, medium-dark skin tone</t>
  </si>
  <si>
    <t>1F469 1F3FC 200D 1F91D 200D 1F469 1F3FF                ; fully-qualified     # 👩🏼‍🤝‍👩🏿 E12.1 women holding hands: medium-light skin tone, dark skin tone</t>
  </si>
  <si>
    <t>1F469 1F3FD 200D 1F91D 200D 1F469 1F3FB                ; fully-qualified     # 👩🏽‍🤝‍👩🏻 E12.0 women holding hands: medium skin tone, light skin tone</t>
  </si>
  <si>
    <t>1F469 1F3FD 200D 1F91D 200D 1F469 1F3FC                ; fully-qualified     # 👩🏽‍🤝‍👩🏼 E12.0 women holding hands: medium skin tone, medium-light skin tone</t>
  </si>
  <si>
    <t>1F46D 1F3FD                                            ; fully-qualified     # 👭🏽 E12.0 women holding hands: medium skin tone</t>
  </si>
  <si>
    <t>1F469 1F3FD 200D 1F91D 200D 1F469 1F3FE                ; fully-qualified     # 👩🏽‍🤝‍👩🏾 E12.1 women holding hands: medium skin tone, medium-dark skin tone</t>
  </si>
  <si>
    <t>1F469 1F3FD 200D 1F91D 200D 1F469 1F3FF                ; fully-qualified     # 👩🏽‍🤝‍👩🏿 E12.1 women holding hands: medium skin tone, dark skin tone</t>
  </si>
  <si>
    <t>1F469 1F3FE 200D 1F91D 200D 1F469 1F3FB                ; fully-qualified     # 👩🏾‍🤝‍👩🏻 E12.0 women holding hands: medium-dark skin tone, light skin tone</t>
  </si>
  <si>
    <t>1F469 1F3FE 200D 1F91D 200D 1F469 1F3FC                ; fully-qualified     # 👩🏾‍🤝‍👩🏼 E12.0 women holding hands: medium-dark skin tone, medium-light skin tone</t>
  </si>
  <si>
    <t>1F469 1F3FE 200D 1F91D 200D 1F469 1F3FD                ; fully-qualified     # 👩🏾‍🤝‍👩🏽 E12.0 women holding hands: medium-dark skin tone, medium skin tone</t>
  </si>
  <si>
    <t>1F46D 1F3FE                                            ; fully-qualified     # 👭🏾 E12.0 women holding hands: medium-dark skin tone</t>
  </si>
  <si>
    <t>1F469 1F3FE 200D 1F91D 200D 1F469 1F3FF                ; fully-qualified     # 👩🏾‍🤝‍👩🏿 E12.1 women holding hands: medium-dark skin tone, dark skin tone</t>
  </si>
  <si>
    <t>1F469 1F3FF 200D 1F91D 200D 1F469 1F3FB                ; fully-qualified     # 👩🏿‍🤝‍👩🏻 E12.0 women holding hands: dark skin tone, light skin tone</t>
  </si>
  <si>
    <t>1F469 1F3FF 200D 1F91D 200D 1F469 1F3FC                ; fully-qualified     # 👩🏿‍🤝‍👩🏼 E12.0 women holding hands: dark skin tone, medium-light skin tone</t>
  </si>
  <si>
    <t>1F469 1F3FF 200D 1F91D 200D 1F469 1F3FD                ; fully-qualified     # 👩🏿‍🤝‍👩🏽 E12.0 women holding hands: dark skin tone, medium skin tone</t>
  </si>
  <si>
    <t>1F469 1F3FF 200D 1F91D 200D 1F469 1F3FE                ; fully-qualified     # 👩🏿‍🤝‍👩🏾 E12.0 women holding hands: dark skin tone, medium-dark skin tone</t>
  </si>
  <si>
    <t>1F46D 1F3FF                                            ; fully-qualified     # 👭🏿 E12.0 women holding hands: dark skin tone</t>
  </si>
  <si>
    <t>1F46B                                                  ; fully-qualified     # 👫 E0.6 woman and man holding hands</t>
  </si>
  <si>
    <t>1F46B 1F3FB                                            ; fully-qualified     # 👫🏻 E12.0 woman and man holding hands: light skin tone</t>
  </si>
  <si>
    <t>1F469 1F3FB 200D 1F91D 200D 1F468 1F3FC                ; fully-qualified     # 👩🏻‍🤝‍👨🏼 E12.0 woman and man holding hands: light skin tone, medium-light skin tone</t>
  </si>
  <si>
    <t>1F469 1F3FB 200D 1F91D 200D 1F468 1F3FD                ; fully-qualified     # 👩🏻‍🤝‍👨🏽 E12.0 woman and man holding hands: light skin tone, medium skin tone</t>
  </si>
  <si>
    <t>1F469 1F3FB 200D 1F91D 200D 1F468 1F3FE                ; fully-qualified     # 👩🏻‍🤝‍👨🏾 E12.0 woman and man holding hands: light skin tone, medium-dark skin tone</t>
  </si>
  <si>
    <t>1F469 1F3FB 200D 1F91D 200D 1F468 1F3FF                ; fully-qualified     # 👩🏻‍🤝‍👨🏿 E12.0 woman and man holding hands: light skin tone, dark skin tone</t>
  </si>
  <si>
    <t>1F469 1F3FC 200D 1F91D 200D 1F468 1F3FB                ; fully-qualified     # 👩🏼‍🤝‍👨🏻 E12.0 woman and man holding hands: medium-light skin tone, light skin tone</t>
  </si>
  <si>
    <t>1F46B 1F3FC                                            ; fully-qualified     # 👫🏼 E12.0 woman and man holding hands: medium-light skin tone</t>
  </si>
  <si>
    <t>1F469 1F3FC 200D 1F91D 200D 1F468 1F3FD                ; fully-qualified     # 👩🏼‍🤝‍👨🏽 E12.0 woman and man holding hands: medium-light skin tone, medium skin tone</t>
  </si>
  <si>
    <t>1F469 1F3FC 200D 1F91D 200D 1F468 1F3FE                ; fully-qualified     # 👩🏼‍🤝‍👨🏾 E12.0 woman and man holding hands: medium-light skin tone, medium-dark skin tone</t>
  </si>
  <si>
    <t>1F469 1F3FC 200D 1F91D 200D 1F468 1F3FF                ; fully-qualified     # 👩🏼‍🤝‍👨🏿 E12.0 woman and man holding hands: medium-light skin tone, dark skin tone</t>
  </si>
  <si>
    <t>1F469 1F3FD 200D 1F91D 200D 1F468 1F3FB                ; fully-qualified     # 👩🏽‍🤝‍👨🏻 E12.0 woman and man holding hands: medium skin tone, light skin tone</t>
  </si>
  <si>
    <t>1F469 1F3FD 200D 1F91D 200D 1F468 1F3FC                ; fully-qualified     # 👩🏽‍🤝‍👨🏼 E12.0 woman and man holding hands: medium skin tone, medium-light skin tone</t>
  </si>
  <si>
    <t>1F46B 1F3FD                                            ; fully-qualified     # 👫🏽 E12.0 woman and man holding hands: medium skin tone</t>
  </si>
  <si>
    <t>1F469 1F3FD 200D 1F91D 200D 1F468 1F3FE                ; fully-qualified     # 👩🏽‍🤝‍👨🏾 E12.0 woman and man holding hands: medium skin tone, medium-dark skin tone</t>
  </si>
  <si>
    <t>1F469 1F3FD 200D 1F91D 200D 1F468 1F3FF                ; fully-qualified     # 👩🏽‍🤝‍👨🏿 E12.0 woman and man holding hands: medium skin tone, dark skin tone</t>
  </si>
  <si>
    <t>1F469 1F3FE 200D 1F91D 200D 1F468 1F3FB                ; fully-qualified     # 👩🏾‍🤝‍👨🏻 E12.0 woman and man holding hands: medium-dark skin tone, light skin tone</t>
  </si>
  <si>
    <t>1F469 1F3FE 200D 1F91D 200D 1F468 1F3FC                ; fully-qualified     # 👩🏾‍🤝‍👨🏼 E12.0 woman and man holding hands: medium-dark skin tone, medium-light skin tone</t>
  </si>
  <si>
    <t>1F469 1F3FE 200D 1F91D 200D 1F468 1F3FD                ; fully-qualified     # 👩🏾‍🤝‍👨🏽 E12.0 woman and man holding hands: medium-dark skin tone, medium skin tone</t>
  </si>
  <si>
    <t>1F46B 1F3FE                                            ; fully-qualified     # 👫🏾 E12.0 woman and man holding hands: medium-dark skin tone</t>
  </si>
  <si>
    <t>1F469 1F3FE 200D 1F91D 200D 1F468 1F3FF                ; fully-qualified     # 👩🏾‍🤝‍👨🏿 E12.0 woman and man holding hands: medium-dark skin tone, dark skin tone</t>
  </si>
  <si>
    <t>1F469 1F3FF 200D 1F91D 200D 1F468 1F3FB                ; fully-qualified     # 👩🏿‍🤝‍👨🏻 E12.0 woman and man holding hands: dark skin tone, light skin tone</t>
  </si>
  <si>
    <t>1F469 1F3FF 200D 1F91D 200D 1F468 1F3FC                ; fully-qualified     # 👩🏿‍🤝‍👨🏼 E12.0 woman and man holding hands: dark skin tone, medium-light skin tone</t>
  </si>
  <si>
    <t>1F469 1F3FF 200D 1F91D 200D 1F468 1F3FD                ; fully-qualified     # 👩🏿‍🤝‍👨🏽 E12.0 woman and man holding hands: dark skin tone, medium skin tone</t>
  </si>
  <si>
    <t>1F469 1F3FF 200D 1F91D 200D 1F468 1F3FE                ; fully-qualified     # 👩🏿‍🤝‍👨🏾 E12.0 woman and man holding hands: dark skin tone, medium-dark skin tone</t>
  </si>
  <si>
    <t>1F46B 1F3FF                                            ; fully-qualified     # 👫🏿 E12.0 woman and man holding hands: dark skin tone</t>
  </si>
  <si>
    <t>1F46C                                                  ; fully-qualified     # 👬 E1.0 men holding hands</t>
  </si>
  <si>
    <t>1F46C 1F3FB                                            ; fully-qualified     # 👬🏻 E12.0 men holding hands: light skin tone</t>
  </si>
  <si>
    <t>1F468 1F3FB 200D 1F91D 200D 1F468 1F3FC                ; fully-qualified     # 👨🏻‍🤝‍👨🏼 E12.1 men holding hands: light skin tone, medium-light skin tone</t>
  </si>
  <si>
    <t>1F468 1F3FB 200D 1F91D 200D 1F468 1F3FD                ; fully-qualified     # 👨🏻‍🤝‍👨🏽 E12.1 men holding hands: light skin tone, medium skin tone</t>
  </si>
  <si>
    <t>1F468 1F3FB 200D 1F91D 200D 1F468 1F3FE                ; fully-qualified     # 👨🏻‍🤝‍👨🏾 E12.1 men holding hands: light skin tone, medium-dark skin tone</t>
  </si>
  <si>
    <t>1F468 1F3FB 200D 1F91D 200D 1F468 1F3FF                ; fully-qualified     # 👨🏻‍🤝‍👨🏿 E12.1 men holding hands: light skin tone, dark skin tone</t>
  </si>
  <si>
    <t>1F468 1F3FC 200D 1F91D 200D 1F468 1F3FB                ; fully-qualified     # 👨🏼‍🤝‍👨🏻 E12.0 men holding hands: medium-light skin tone, light skin tone</t>
  </si>
  <si>
    <t>1F46C 1F3FC                                            ; fully-qualified     # 👬🏼 E12.0 men holding hands: medium-light skin tone</t>
  </si>
  <si>
    <t>1F468 1F3FC 200D 1F91D 200D 1F468 1F3FD                ; fully-qualified     # 👨🏼‍🤝‍👨🏽 E12.1 men holding hands: medium-light skin tone, medium skin tone</t>
  </si>
  <si>
    <t>1F468 1F3FC 200D 1F91D 200D 1F468 1F3FE                ; fully-qualified     # 👨🏼‍🤝‍👨🏾 E12.1 men holding hands: medium-light skin tone, medium-dark skin tone</t>
  </si>
  <si>
    <t>1F468 1F3FC 200D 1F91D 200D 1F468 1F3FF                ; fully-qualified     # 👨🏼‍🤝‍👨🏿 E12.1 men holding hands: medium-light skin tone, dark skin tone</t>
  </si>
  <si>
    <t>1F468 1F3FD 200D 1F91D 200D 1F468 1F3FB                ; fully-qualified     # 👨🏽‍🤝‍👨🏻 E12.0 men holding hands: medium skin tone, light skin tone</t>
  </si>
  <si>
    <t>1F468 1F3FD 200D 1F91D 200D 1F468 1F3FC                ; fully-qualified     # 👨🏽‍🤝‍👨🏼 E12.0 men holding hands: medium skin tone, medium-light skin tone</t>
  </si>
  <si>
    <t>1F46C 1F3FD                                            ; fully-qualified     # 👬🏽 E12.0 men holding hands: medium skin tone</t>
  </si>
  <si>
    <t>1F468 1F3FD 200D 1F91D 200D 1F468 1F3FE                ; fully-qualified     # 👨🏽‍🤝‍👨🏾 E12.1 men holding hands: medium skin tone, medium-dark skin tone</t>
  </si>
  <si>
    <t>1F468 1F3FD 200D 1F91D 200D 1F468 1F3FF                ; fully-qualified     # 👨🏽‍🤝‍👨🏿 E12.1 men holding hands: medium skin tone, dark skin tone</t>
  </si>
  <si>
    <t>1F468 1F3FE 200D 1F91D 200D 1F468 1F3FB                ; fully-qualified     # 👨🏾‍🤝‍👨🏻 E12.0 men holding hands: medium-dark skin tone, light skin tone</t>
  </si>
  <si>
    <t>1F468 1F3FE 200D 1F91D 200D 1F468 1F3FC                ; fully-qualified     # 👨🏾‍🤝‍👨🏼 E12.0 men holding hands: medium-dark skin tone, medium-light skin tone</t>
  </si>
  <si>
    <t>1F468 1F3FE 200D 1F91D 200D 1F468 1F3FD                ; fully-qualified     # 👨🏾‍🤝‍👨🏽 E12.0 men holding hands: medium-dark skin tone, medium skin tone</t>
  </si>
  <si>
    <t>1F46C 1F3FE                                            ; fully-qualified     # 👬🏾 E12.0 men holding hands: medium-dark skin tone</t>
  </si>
  <si>
    <t>1F468 1F3FE 200D 1F91D 200D 1F468 1F3FF                ; fully-qualified     # 👨🏾‍🤝‍👨🏿 E12.1 men holding hands: medium-dark skin tone, dark skin tone</t>
  </si>
  <si>
    <t>1F468 1F3FF 200D 1F91D 200D 1F468 1F3FB                ; fully-qualified     # 👨🏿‍🤝‍👨🏻 E12.0 men holding hands: dark skin tone, light skin tone</t>
  </si>
  <si>
    <t>1F468 1F3FF 200D 1F91D 200D 1F468 1F3FC                ; fully-qualified     # 👨🏿‍🤝‍👨🏼 E12.0 men holding hands: dark skin tone, medium-light skin tone</t>
  </si>
  <si>
    <t>1F468 1F3FF 200D 1F91D 200D 1F468 1F3FD                ; fully-qualified     # 👨🏿‍🤝‍👨🏽 E12.0 men holding hands: dark skin tone, medium skin tone</t>
  </si>
  <si>
    <t>1F468 1F3FF 200D 1F91D 200D 1F468 1F3FE                ; fully-qualified     # 👨🏿‍🤝‍👨🏾 E12.0 men holding hands: dark skin tone, medium-dark skin tone</t>
  </si>
  <si>
    <t>1F46C 1F3FF                                            ; fully-qualified     # 👬🏿 E12.0 men holding hands: dark skin tone</t>
  </si>
  <si>
    <t>1F48F                                                  ; fully-qualified     # 💏 E0.6 kiss</t>
  </si>
  <si>
    <t>1F48F 1F3FB                                            ; fully-qualified     # 💏🏻 E13.1 kiss: light skin tone</t>
  </si>
  <si>
    <t>1F48F 1F3FC                                            ; fully-qualified     # 💏🏼 E13.1 kiss: medium-light skin tone</t>
  </si>
  <si>
    <t>1F48F 1F3FD                                            ; fully-qualified     # 💏🏽 E13.1 kiss: medium skin tone</t>
  </si>
  <si>
    <t>1F48F 1F3FE                                            ; fully-qualified     # 💏🏾 E13.1 kiss: medium-dark skin tone</t>
  </si>
  <si>
    <t>1F48F 1F3FF                                            ; fully-qualified     # 💏🏿 E13.1 kiss: dark skin tone</t>
  </si>
  <si>
    <t>1F9D1 1F3FB 200D 2764 FE0F 200D 1F48B 200D 1F9D1 1F3FC ; fully-qualified     # 🧑🏻‍❤️‍💋‍🧑🏼 E13.1 kiss: person, person, light skin tone, medium-light skin tone</t>
  </si>
  <si>
    <t>1F9D1 1F3FB 200D 2764 200D 1F48B 200D 1F9D1 1F3FC      ; minimally-qualified # 🧑🏻‍❤‍💋‍🧑🏼 E13.1 kiss: person, person, light skin tone, medium-light skin tone</t>
  </si>
  <si>
    <t>1F9D1 1F3FB 200D 2764 FE0F 200D 1F48B 200D 1F9D1 1F3FD ; fully-qualified     # 🧑🏻‍❤️‍💋‍🧑🏽 E13.1 kiss: person, person, light skin tone, medium skin tone</t>
  </si>
  <si>
    <t>1F9D1 1F3FB 200D 2764 200D 1F48B 200D 1F9D1 1F3FD      ; minimally-qualified # 🧑🏻‍❤‍💋‍🧑🏽 E13.1 kiss: person, person, light skin tone, medium skin tone</t>
  </si>
  <si>
    <t>1F9D1 1F3FB 200D 2764 FE0F 200D 1F48B 200D 1F9D1 1F3FE ; fully-qualified     # 🧑🏻‍❤️‍💋‍🧑🏾 E13.1 kiss: person, person, light skin tone, medium-dark skin tone</t>
  </si>
  <si>
    <t>1F9D1 1F3FB 200D 2764 200D 1F48B 200D 1F9D1 1F3FE      ; minimally-qualified # 🧑🏻‍❤‍💋‍🧑🏾 E13.1 kiss: person, person, light skin tone, medium-dark skin tone</t>
  </si>
  <si>
    <t>1F9D1 1F3FB 200D 2764 FE0F 200D 1F48B 200D 1F9D1 1F3FF ; fully-qualified     # 🧑🏻‍❤️‍💋‍🧑🏿 E13.1 kiss: person, person, light skin tone, dark skin tone</t>
  </si>
  <si>
    <t>1F9D1 1F3FB 200D 2764 200D 1F48B 200D 1F9D1 1F3FF      ; minimally-qualified # 🧑🏻‍❤‍💋‍🧑🏿 E13.1 kiss: person, person, light skin tone, dark skin tone</t>
  </si>
  <si>
    <t>1F9D1 1F3FC 200D 2764 FE0F 200D 1F48B 200D 1F9D1 1F3FB ; fully-qualified     # 🧑🏼‍❤️‍💋‍🧑🏻 E13.1 kiss: person, person, medium-light skin tone, light skin tone</t>
  </si>
  <si>
    <t>1F9D1 1F3FC 200D 2764 200D 1F48B 200D 1F9D1 1F3FB      ; minimally-qualified # 🧑🏼‍❤‍💋‍🧑🏻 E13.1 kiss: person, person, medium-light skin tone, light skin tone</t>
  </si>
  <si>
    <t>1F9D1 1F3FC 200D 2764 FE0F 200D 1F48B 200D 1F9D1 1F3FD ; fully-qualified     # 🧑🏼‍❤️‍💋‍🧑🏽 E13.1 kiss: person, person, medium-light skin tone, medium skin tone</t>
  </si>
  <si>
    <t>1F9D1 1F3FC 200D 2764 200D 1F48B 200D 1F9D1 1F3FD      ; minimally-qualified # 🧑🏼‍❤‍💋‍🧑🏽 E13.1 kiss: person, person, medium-light skin tone, medium skin tone</t>
  </si>
  <si>
    <t>1F9D1 1F3FC 200D 2764 FE0F 200D 1F48B 200D 1F9D1 1F3FE ; fully-qualified     # 🧑🏼‍❤️‍💋‍🧑🏾 E13.1 kiss: person, person, medium-light skin tone, medium-dark skin tone</t>
  </si>
  <si>
    <t>1F9D1 1F3FC 200D 2764 200D 1F48B 200D 1F9D1 1F3FE      ; minimally-qualified # 🧑🏼‍❤‍💋‍🧑🏾 E13.1 kiss: person, person, medium-light skin tone, medium-dark skin tone</t>
  </si>
  <si>
    <t>1F9D1 1F3FC 200D 2764 FE0F 200D 1F48B 200D 1F9D1 1F3FF ; fully-qualified     # 🧑🏼‍❤️‍💋‍🧑🏿 E13.1 kiss: person, person, medium-light skin tone, dark skin tone</t>
  </si>
  <si>
    <t>1F9D1 1F3FC 200D 2764 200D 1F48B 200D 1F9D1 1F3FF      ; minimally-qualified # 🧑🏼‍❤‍💋‍🧑🏿 E13.1 kiss: person, person, medium-light skin tone, dark skin tone</t>
  </si>
  <si>
    <t>1F9D1 1F3FD 200D 2764 FE0F 200D 1F48B 200D 1F9D1 1F3FB ; fully-qualified     # 🧑🏽‍❤️‍💋‍🧑🏻 E13.1 kiss: person, person, medium skin tone, light skin tone</t>
  </si>
  <si>
    <t>1F9D1 1F3FD 200D 2764 200D 1F48B 200D 1F9D1 1F3FB      ; minimally-qualified # 🧑🏽‍❤‍💋‍🧑🏻 E13.1 kiss: person, person, medium skin tone, light skin tone</t>
  </si>
  <si>
    <t>1F9D1 1F3FD 200D 2764 FE0F 200D 1F48B 200D 1F9D1 1F3FC ; fully-qualified     # 🧑🏽‍❤️‍💋‍🧑🏼 E13.1 kiss: person, person, medium skin tone, medium-light skin tone</t>
  </si>
  <si>
    <t>1F9D1 1F3FD 200D 2764 200D 1F48B 200D 1F9D1 1F3FC      ; minimally-qualified # 🧑🏽‍❤‍💋‍🧑🏼 E13.1 kiss: person, person, medium skin tone, medium-light skin tone</t>
  </si>
  <si>
    <t>1F9D1 1F3FD 200D 2764 FE0F 200D 1F48B 200D 1F9D1 1F3FE ; fully-qualified     # 🧑🏽‍❤️‍💋‍🧑🏾 E13.1 kiss: person, person, medium skin tone, medium-dark skin tone</t>
  </si>
  <si>
    <t>1F9D1 1F3FD 200D 2764 200D 1F48B 200D 1F9D1 1F3FE      ; minimally-qualified # 🧑🏽‍❤‍💋‍🧑🏾 E13.1 kiss: person, person, medium skin tone, medium-dark skin tone</t>
  </si>
  <si>
    <t>1F9D1 1F3FD 200D 2764 FE0F 200D 1F48B 200D 1F9D1 1F3FF ; fully-qualified     # 🧑🏽‍❤️‍💋‍🧑🏿 E13.1 kiss: person, person, medium skin tone, dark skin tone</t>
  </si>
  <si>
    <t>1F9D1 1F3FD 200D 2764 200D 1F48B 200D 1F9D1 1F3FF      ; minimally-qualified # 🧑🏽‍❤‍💋‍🧑🏿 E13.1 kiss: person, person, medium skin tone, dark skin tone</t>
  </si>
  <si>
    <t>1F9D1 1F3FE 200D 2764 FE0F 200D 1F48B 200D 1F9D1 1F3FB ; fully-qualified     # 🧑🏾‍❤️‍💋‍🧑🏻 E13.1 kiss: person, person, medium-dark skin tone, light skin tone</t>
  </si>
  <si>
    <t>1F9D1 1F3FE 200D 2764 200D 1F48B 200D 1F9D1 1F3FB      ; minimally-qualified # 🧑🏾‍❤‍💋‍🧑🏻 E13.1 kiss: person, person, medium-dark skin tone, light skin tone</t>
  </si>
  <si>
    <t>1F9D1 1F3FE 200D 2764 FE0F 200D 1F48B 200D 1F9D1 1F3FC ; fully-qualified     # 🧑🏾‍❤️‍💋‍🧑🏼 E13.1 kiss: person, person, medium-dark skin tone, medium-light skin tone</t>
  </si>
  <si>
    <t>1F9D1 1F3FE 200D 2764 200D 1F48B 200D 1F9D1 1F3FC      ; minimally-qualified # 🧑🏾‍❤‍💋‍🧑🏼 E13.1 kiss: person, person, medium-dark skin tone, medium-light skin tone</t>
  </si>
  <si>
    <t>1F9D1 1F3FE 200D 2764 FE0F 200D 1F48B 200D 1F9D1 1F3FD ; fully-qualified     # 🧑🏾‍❤️‍💋‍🧑🏽 E13.1 kiss: person, person, medium-dark skin tone, medium skin tone</t>
  </si>
  <si>
    <t>1F9D1 1F3FE 200D 2764 200D 1F48B 200D 1F9D1 1F3FD      ; minimally-qualified # 🧑🏾‍❤‍💋‍🧑🏽 E13.1 kiss: person, person, medium-dark skin tone, medium skin tone</t>
  </si>
  <si>
    <t>1F9D1 1F3FE 200D 2764 FE0F 200D 1F48B 200D 1F9D1 1F3FF ; fully-qualified     # 🧑🏾‍❤️‍💋‍🧑🏿 E13.1 kiss: person, person, medium-dark skin tone, dark skin tone</t>
  </si>
  <si>
    <t>1F9D1 1F3FE 200D 2764 200D 1F48B 200D 1F9D1 1F3FF      ; minimally-qualified # 🧑🏾‍❤‍💋‍🧑🏿 E13.1 kiss: person, person, medium-dark skin tone, dark skin tone</t>
  </si>
  <si>
    <t>1F9D1 1F3FF 200D 2764 FE0F 200D 1F48B 200D 1F9D1 1F3FB ; fully-qualified     # 🧑🏿‍❤️‍💋‍🧑🏻 E13.1 kiss: person, person, dark skin tone, light skin tone</t>
  </si>
  <si>
    <t>1F9D1 1F3FF 200D 2764 200D 1F48B 200D 1F9D1 1F3FB      ; minimally-qualified # 🧑🏿‍❤‍💋‍🧑🏻 E13.1 kiss: person, person, dark skin tone, light skin tone</t>
  </si>
  <si>
    <t>1F9D1 1F3FF 200D 2764 FE0F 200D 1F48B 200D 1F9D1 1F3FC ; fully-qualified     # 🧑🏿‍❤️‍💋‍🧑🏼 E13.1 kiss: person, person, dark skin tone, medium-light skin tone</t>
  </si>
  <si>
    <t>1F9D1 1F3FF 200D 2764 200D 1F48B 200D 1F9D1 1F3FC      ; minimally-qualified # 🧑🏿‍❤‍💋‍🧑🏼 E13.1 kiss: person, person, dark skin tone, medium-light skin tone</t>
  </si>
  <si>
    <t>1F9D1 1F3FF 200D 2764 FE0F 200D 1F48B 200D 1F9D1 1F3FD ; fully-qualified     # 🧑🏿‍❤️‍💋‍🧑🏽 E13.1 kiss: person, person, dark skin tone, medium skin tone</t>
  </si>
  <si>
    <t>1F9D1 1F3FF 200D 2764 200D 1F48B 200D 1F9D1 1F3FD      ; minimally-qualified # 🧑🏿‍❤‍💋‍🧑🏽 E13.1 kiss: person, person, dark skin tone, medium skin tone</t>
  </si>
  <si>
    <t>1F9D1 1F3FF 200D 2764 FE0F 200D 1F48B 200D 1F9D1 1F3FE ; fully-qualified     # 🧑🏿‍❤️‍💋‍🧑🏾 E13.1 kiss: person, person, dark skin tone, medium-dark skin tone</t>
  </si>
  <si>
    <t>1F9D1 1F3FF 200D 2764 200D 1F48B 200D 1F9D1 1F3FE      ; minimally-qualified # 🧑🏿‍❤‍💋‍🧑🏾 E13.1 kiss: person, person, dark skin tone, medium-dark skin tone</t>
  </si>
  <si>
    <t>1F469 200D 2764 FE0F 200D 1F48B 200D 1F468             ; fully-qualified     # 👩‍❤️‍💋‍👨 E2.0 kiss: woman, man</t>
  </si>
  <si>
    <t>1F469 200D 2764 200D 1F48B 200D 1F468                  ; minimally-qualified # 👩‍❤‍💋‍👨 E2.0 kiss: woman, man</t>
  </si>
  <si>
    <t>1F469 1F3FB 200D 2764 FE0F 200D 1F48B 200D 1F468 1F3FB ; fully-qualified     # 👩🏻‍❤️‍💋‍👨🏻 E13.1 kiss: woman, man, light skin tone</t>
  </si>
  <si>
    <t>1F469 1F3FB 200D 2764 200D 1F48B 200D 1F468 1F3FB      ; minimally-qualified # 👩🏻‍❤‍💋‍👨🏻 E13.1 kiss: woman, man, light skin tone</t>
  </si>
  <si>
    <t>1F469 1F3FB 200D 2764 FE0F 200D 1F48B 200D 1F468 1F3FC ; fully-qualified     # 👩🏻‍❤️‍💋‍👨🏼 E13.1 kiss: woman, man, light skin tone, medium-light skin tone</t>
  </si>
  <si>
    <t>1F469 1F3FB 200D 2764 200D 1F48B 200D 1F468 1F3FC      ; minimally-qualified # 👩🏻‍❤‍💋‍👨🏼 E13.1 kiss: woman, man, light skin tone, medium-light skin tone</t>
  </si>
  <si>
    <t>1F469 1F3FB 200D 2764 FE0F 200D 1F48B 200D 1F468 1F3FD ; fully-qualified     # 👩🏻‍❤️‍💋‍👨🏽 E13.1 kiss: woman, man, light skin tone, medium skin tone</t>
  </si>
  <si>
    <t>1F469 1F3FB 200D 2764 200D 1F48B 200D 1F468 1F3FD      ; minimally-qualified # 👩🏻‍❤‍💋‍👨🏽 E13.1 kiss: woman, man, light skin tone, medium skin tone</t>
  </si>
  <si>
    <t>1F469 1F3FB 200D 2764 FE0F 200D 1F48B 200D 1F468 1F3FE ; fully-qualified     # 👩🏻‍❤️‍💋‍👨🏾 E13.1 kiss: woman, man, light skin tone, medium-dark skin tone</t>
  </si>
  <si>
    <t>1F469 1F3FB 200D 2764 200D 1F48B 200D 1F468 1F3FE      ; minimally-qualified # 👩🏻‍❤‍💋‍👨🏾 E13.1 kiss: woman, man, light skin tone, medium-dark skin tone</t>
  </si>
  <si>
    <t>1F469 1F3FB 200D 2764 FE0F 200D 1F48B 200D 1F468 1F3FF ; fully-qualified     # 👩🏻‍❤️‍💋‍👨🏿 E13.1 kiss: woman, man, light skin tone, dark skin tone</t>
  </si>
  <si>
    <t>1F469 1F3FB 200D 2764 200D 1F48B 200D 1F468 1F3FF      ; minimally-qualified # 👩🏻‍❤‍💋‍👨🏿 E13.1 kiss: woman, man, light skin tone, dark skin tone</t>
  </si>
  <si>
    <t>1F469 1F3FC 200D 2764 FE0F 200D 1F48B 200D 1F468 1F3FB ; fully-qualified     # 👩🏼‍❤️‍💋‍👨🏻 E13.1 kiss: woman, man, medium-light skin tone, light skin tone</t>
  </si>
  <si>
    <t>1F469 1F3FC 200D 2764 200D 1F48B 200D 1F468 1F3FB      ; minimally-qualified # 👩🏼‍❤‍💋‍👨🏻 E13.1 kiss: woman, man, medium-light skin tone, light skin tone</t>
  </si>
  <si>
    <t>1F469 1F3FC 200D 2764 FE0F 200D 1F48B 200D 1F468 1F3FC ; fully-qualified     # 👩🏼‍❤️‍💋‍👨🏼 E13.1 kiss: woman, man, medium-light skin tone</t>
  </si>
  <si>
    <t>1F469 1F3FC 200D 2764 200D 1F48B 200D 1F468 1F3FC      ; minimally-qualified # 👩🏼‍❤‍💋‍👨🏼 E13.1 kiss: woman, man, medium-light skin tone</t>
  </si>
  <si>
    <t>1F469 1F3FC 200D 2764 FE0F 200D 1F48B 200D 1F468 1F3FD ; fully-qualified     # 👩🏼‍❤️‍💋‍👨🏽 E13.1 kiss: woman, man, medium-light skin tone, medium skin tone</t>
  </si>
  <si>
    <t>1F469 1F3FC 200D 2764 200D 1F48B 200D 1F468 1F3FD      ; minimally-qualified # 👩🏼‍❤‍💋‍👨🏽 E13.1 kiss: woman, man, medium-light skin tone, medium skin tone</t>
  </si>
  <si>
    <t>1F469 1F3FC 200D 2764 FE0F 200D 1F48B 200D 1F468 1F3FE ; fully-qualified     # 👩🏼‍❤️‍💋‍👨🏾 E13.1 kiss: woman, man, medium-light skin tone, medium-dark skin tone</t>
  </si>
  <si>
    <t>1F469 1F3FC 200D 2764 200D 1F48B 200D 1F468 1F3FE      ; minimally-qualified # 👩🏼‍❤‍💋‍👨🏾 E13.1 kiss: woman, man, medium-light skin tone, medium-dark skin tone</t>
  </si>
  <si>
    <t>1F469 1F3FC 200D 2764 FE0F 200D 1F48B 200D 1F468 1F3FF ; fully-qualified     # 👩🏼‍❤️‍💋‍👨🏿 E13.1 kiss: woman, man, medium-light skin tone, dark skin tone</t>
  </si>
  <si>
    <t>1F469 1F3FC 200D 2764 200D 1F48B 200D 1F468 1F3FF      ; minimally-qualified # 👩🏼‍❤‍💋‍👨🏿 E13.1 kiss: woman, man, medium-light skin tone, dark skin tone</t>
  </si>
  <si>
    <t>1F469 1F3FD 200D 2764 FE0F 200D 1F48B 200D 1F468 1F3FB ; fully-qualified     # 👩🏽‍❤️‍💋‍👨🏻 E13.1 kiss: woman, man, medium skin tone, light skin tone</t>
  </si>
  <si>
    <t>1F469 1F3FD 200D 2764 200D 1F48B 200D 1F468 1F3FB      ; minimally-qualified # 👩🏽‍❤‍💋‍👨🏻 E13.1 kiss: woman, man, medium skin tone, light skin tone</t>
  </si>
  <si>
    <t>1F469 1F3FD 200D 2764 FE0F 200D 1F48B 200D 1F468 1F3FC ; fully-qualified     # 👩🏽‍❤️‍💋‍👨🏼 E13.1 kiss: woman, man, medium skin tone, medium-light skin tone</t>
  </si>
  <si>
    <t>1F469 1F3FD 200D 2764 200D 1F48B 200D 1F468 1F3FC      ; minimally-qualified # 👩🏽‍❤‍💋‍👨🏼 E13.1 kiss: woman, man, medium skin tone, medium-light skin tone</t>
  </si>
  <si>
    <t>1F469 1F3FD 200D 2764 FE0F 200D 1F48B 200D 1F468 1F3FD ; fully-qualified     # 👩🏽‍❤️‍💋‍👨🏽 E13.1 kiss: woman, man, medium skin tone</t>
  </si>
  <si>
    <t>1F469 1F3FD 200D 2764 200D 1F48B 200D 1F468 1F3FD      ; minimally-qualified # 👩🏽‍❤‍💋‍👨🏽 E13.1 kiss: woman, man, medium skin tone</t>
  </si>
  <si>
    <t>1F469 1F3FD 200D 2764 FE0F 200D 1F48B 200D 1F468 1F3FE ; fully-qualified     # 👩🏽‍❤️‍💋‍👨🏾 E13.1 kiss: woman, man, medium skin tone, medium-dark skin tone</t>
  </si>
  <si>
    <t>1F469 1F3FD 200D 2764 200D 1F48B 200D 1F468 1F3FE      ; minimally-qualified # 👩🏽‍❤‍💋‍👨🏾 E13.1 kiss: woman, man, medium skin tone, medium-dark skin tone</t>
  </si>
  <si>
    <t>1F469 1F3FD 200D 2764 FE0F 200D 1F48B 200D 1F468 1F3FF ; fully-qualified     # 👩🏽‍❤️‍💋‍👨🏿 E13.1 kiss: woman, man, medium skin tone, dark skin tone</t>
  </si>
  <si>
    <t>1F469 1F3FD 200D 2764 200D 1F48B 200D 1F468 1F3FF      ; minimally-qualified # 👩🏽‍❤‍💋‍👨🏿 E13.1 kiss: woman, man, medium skin tone, dark skin tone</t>
  </si>
  <si>
    <t>1F469 1F3FE 200D 2764 FE0F 200D 1F48B 200D 1F468 1F3FB ; fully-qualified     # 👩🏾‍❤️‍💋‍👨🏻 E13.1 kiss: woman, man, medium-dark skin tone, light skin tone</t>
  </si>
  <si>
    <t>1F469 1F3FE 200D 2764 200D 1F48B 200D 1F468 1F3FB      ; minimally-qualified # 👩🏾‍❤‍💋‍👨🏻 E13.1 kiss: woman, man, medium-dark skin tone, light skin tone</t>
  </si>
  <si>
    <t>1F469 1F3FE 200D 2764 FE0F 200D 1F48B 200D 1F468 1F3FC ; fully-qualified     # 👩🏾‍❤️‍💋‍👨🏼 E13.1 kiss: woman, man, medium-dark skin tone, medium-light skin tone</t>
  </si>
  <si>
    <t>1F469 1F3FE 200D 2764 200D 1F48B 200D 1F468 1F3FC      ; minimally-qualified # 👩🏾‍❤‍💋‍👨🏼 E13.1 kiss: woman, man, medium-dark skin tone, medium-light skin tone</t>
  </si>
  <si>
    <t>1F469 1F3FE 200D 2764 FE0F 200D 1F48B 200D 1F468 1F3FD ; fully-qualified     # 👩🏾‍❤️‍💋‍👨🏽 E13.1 kiss: woman, man, medium-dark skin tone, medium skin tone</t>
  </si>
  <si>
    <t>1F469 1F3FE 200D 2764 200D 1F48B 200D 1F468 1F3FD      ; minimally-qualified # 👩🏾‍❤‍💋‍👨🏽 E13.1 kiss: woman, man, medium-dark skin tone, medium skin tone</t>
  </si>
  <si>
    <t>1F469 1F3FE 200D 2764 FE0F 200D 1F48B 200D 1F468 1F3FE ; fully-qualified     # 👩🏾‍❤️‍💋‍👨🏾 E13.1 kiss: woman, man, medium-dark skin tone</t>
  </si>
  <si>
    <t>1F469 1F3FE 200D 2764 200D 1F48B 200D 1F468 1F3FE      ; minimally-qualified # 👩🏾‍❤‍💋‍👨🏾 E13.1 kiss: woman, man, medium-dark skin tone</t>
  </si>
  <si>
    <t>1F469 1F3FE 200D 2764 FE0F 200D 1F48B 200D 1F468 1F3FF ; fully-qualified     # 👩🏾‍❤️‍💋‍👨🏿 E13.1 kiss: woman, man, medium-dark skin tone, dark skin tone</t>
  </si>
  <si>
    <t>1F469 1F3FE 200D 2764 200D 1F48B 200D 1F468 1F3FF      ; minimally-qualified # 👩🏾‍❤‍💋‍👨🏿 E13.1 kiss: woman, man, medium-dark skin tone, dark skin tone</t>
  </si>
  <si>
    <t>1F469 1F3FF 200D 2764 FE0F 200D 1F48B 200D 1F468 1F3FB ; fully-qualified     # 👩🏿‍❤️‍💋‍👨🏻 E13.1 kiss: woman, man, dark skin tone, light skin tone</t>
  </si>
  <si>
    <t>1F469 1F3FF 200D 2764 200D 1F48B 200D 1F468 1F3FB      ; minimally-qualified # 👩🏿‍❤‍💋‍👨🏻 E13.1 kiss: woman, man, dark skin tone, light skin tone</t>
  </si>
  <si>
    <t>1F469 1F3FF 200D 2764 FE0F 200D 1F48B 200D 1F468 1F3FC ; fully-qualified     # 👩🏿‍❤️‍💋‍👨🏼 E13.1 kiss: woman, man, dark skin tone, medium-light skin tone</t>
  </si>
  <si>
    <t>1F469 1F3FF 200D 2764 200D 1F48B 200D 1F468 1F3FC      ; minimally-qualified # 👩🏿‍❤‍💋‍👨🏼 E13.1 kiss: woman, man, dark skin tone, medium-light skin tone</t>
  </si>
  <si>
    <t>1F469 1F3FF 200D 2764 FE0F 200D 1F48B 200D 1F468 1F3FD ; fully-qualified     # 👩🏿‍❤️‍💋‍👨🏽 E13.1 kiss: woman, man, dark skin tone, medium skin tone</t>
  </si>
  <si>
    <t>1F469 1F3FF 200D 2764 200D 1F48B 200D 1F468 1F3FD      ; minimally-qualified # 👩🏿‍❤‍💋‍👨🏽 E13.1 kiss: woman, man, dark skin tone, medium skin tone</t>
  </si>
  <si>
    <t>1F469 1F3FF 200D 2764 FE0F 200D 1F48B 200D 1F468 1F3FE ; fully-qualified     # 👩🏿‍❤️‍💋‍👨🏾 E13.1 kiss: woman, man, dark skin tone, medium-dark skin tone</t>
  </si>
  <si>
    <t>1F469 1F3FF 200D 2764 200D 1F48B 200D 1F468 1F3FE      ; minimally-qualified # 👩🏿‍❤‍💋‍👨🏾 E13.1 kiss: woman, man, dark skin tone, medium-dark skin tone</t>
  </si>
  <si>
    <t>1F469 1F3FF 200D 2764 FE0F 200D 1F48B 200D 1F468 1F3FF ; fully-qualified     # 👩🏿‍❤️‍💋‍👨🏿 E13.1 kiss: woman, man, dark skin tone</t>
  </si>
  <si>
    <t>1F469 1F3FF 200D 2764 200D 1F48B 200D 1F468 1F3FF      ; minimally-qualified # 👩🏿‍❤‍💋‍👨🏿 E13.1 kiss: woman, man, dark skin tone</t>
  </si>
  <si>
    <t>1F468 200D 2764 FE0F 200D 1F48B 200D 1F468             ; fully-qualified     # 👨‍❤️‍💋‍👨 E2.0 kiss: man, man</t>
  </si>
  <si>
    <t>1F468 200D 2764 200D 1F48B 200D 1F468                  ; minimally-qualified # 👨‍❤‍💋‍👨 E2.0 kiss: man, man</t>
  </si>
  <si>
    <t>1F468 1F3FB 200D 2764 FE0F 200D 1F48B 200D 1F468 1F3FB ; fully-qualified     # 👨🏻‍❤️‍💋‍👨🏻 E13.1 kiss: man, man, light skin tone</t>
  </si>
  <si>
    <t>1F468 1F3FB 200D 2764 200D 1F48B 200D 1F468 1F3FB      ; minimally-qualified # 👨🏻‍❤‍💋‍👨🏻 E13.1 kiss: man, man, light skin tone</t>
  </si>
  <si>
    <t>1F468 1F3FB 200D 2764 FE0F 200D 1F48B 200D 1F468 1F3FC ; fully-qualified     # 👨🏻‍❤️‍💋‍👨🏼 E13.1 kiss: man, man, light skin tone, medium-light skin tone</t>
  </si>
  <si>
    <t>1F468 1F3FB 200D 2764 200D 1F48B 200D 1F468 1F3FC      ; minimally-qualified # 👨🏻‍❤‍💋‍👨🏼 E13.1 kiss: man, man, light skin tone, medium-light skin tone</t>
  </si>
  <si>
    <t>1F468 1F3FB 200D 2764 FE0F 200D 1F48B 200D 1F468 1F3FD ; fully-qualified     # 👨🏻‍❤️‍💋‍👨🏽 E13.1 kiss: man, man, light skin tone, medium skin tone</t>
  </si>
  <si>
    <t>1F468 1F3FB 200D 2764 200D 1F48B 200D 1F468 1F3FD      ; minimally-qualified # 👨🏻‍❤‍💋‍👨🏽 E13.1 kiss: man, man, light skin tone, medium skin tone</t>
  </si>
  <si>
    <t>1F468 1F3FB 200D 2764 FE0F 200D 1F48B 200D 1F468 1F3FE ; fully-qualified     # 👨🏻‍❤️‍💋‍👨🏾 E13.1 kiss: man, man, light skin tone, medium-dark skin tone</t>
  </si>
  <si>
    <t>1F468 1F3FB 200D 2764 200D 1F48B 200D 1F468 1F3FE      ; minimally-qualified # 👨🏻‍❤‍💋‍👨🏾 E13.1 kiss: man, man, light skin tone, medium-dark skin tone</t>
  </si>
  <si>
    <t>1F468 1F3FB 200D 2764 FE0F 200D 1F48B 200D 1F468 1F3FF ; fully-qualified     # 👨🏻‍❤️‍💋‍👨🏿 E13.1 kiss: man, man, light skin tone, dark skin tone</t>
  </si>
  <si>
    <t>1F468 1F3FB 200D 2764 200D 1F48B 200D 1F468 1F3FF      ; minimally-qualified # 👨🏻‍❤‍💋‍👨🏿 E13.1 kiss: man, man, light skin tone, dark skin tone</t>
  </si>
  <si>
    <t>1F468 1F3FC 200D 2764 FE0F 200D 1F48B 200D 1F468 1F3FB ; fully-qualified     # 👨🏼‍❤️‍💋‍👨🏻 E13.1 kiss: man, man, medium-light skin tone, light skin tone</t>
  </si>
  <si>
    <t>1F468 1F3FC 200D 2764 200D 1F48B 200D 1F468 1F3FB      ; minimally-qualified # 👨🏼‍❤‍💋‍👨🏻 E13.1 kiss: man, man, medium-light skin tone, light skin tone</t>
  </si>
  <si>
    <t>1F468 1F3FC 200D 2764 FE0F 200D 1F48B 200D 1F468 1F3FC ; fully-qualified     # 👨🏼‍❤️‍💋‍👨🏼 E13.1 kiss: man, man, medium-light skin tone</t>
  </si>
  <si>
    <t>1F468 1F3FC 200D 2764 200D 1F48B 200D 1F468 1F3FC      ; minimally-qualified # 👨🏼‍❤‍💋‍👨🏼 E13.1 kiss: man, man, medium-light skin tone</t>
  </si>
  <si>
    <t>1F468 1F3FC 200D 2764 FE0F 200D 1F48B 200D 1F468 1F3FD ; fully-qualified     # 👨🏼‍❤️‍💋‍👨🏽 E13.1 kiss: man, man, medium-light skin tone, medium skin tone</t>
  </si>
  <si>
    <t>1F468 1F3FC 200D 2764 200D 1F48B 200D 1F468 1F3FD      ; minimally-qualified # 👨🏼‍❤‍💋‍👨🏽 E13.1 kiss: man, man, medium-light skin tone, medium skin tone</t>
  </si>
  <si>
    <t>1F468 1F3FC 200D 2764 FE0F 200D 1F48B 200D 1F468 1F3FE ; fully-qualified     # 👨🏼‍❤️‍💋‍👨🏾 E13.1 kiss: man, man, medium-light skin tone, medium-dark skin tone</t>
  </si>
  <si>
    <t>1F468 1F3FC 200D 2764 200D 1F48B 200D 1F468 1F3FE      ; minimally-qualified # 👨🏼‍❤‍💋‍👨🏾 E13.1 kiss: man, man, medium-light skin tone, medium-dark skin tone</t>
  </si>
  <si>
    <t>1F468 1F3FC 200D 2764 FE0F 200D 1F48B 200D 1F468 1F3FF ; fully-qualified     # 👨🏼‍❤️‍💋‍👨🏿 E13.1 kiss: man, man, medium-light skin tone, dark skin tone</t>
  </si>
  <si>
    <t>1F468 1F3FC 200D 2764 200D 1F48B 200D 1F468 1F3FF      ; minimally-qualified # 👨🏼‍❤‍💋‍👨🏿 E13.1 kiss: man, man, medium-light skin tone, dark skin tone</t>
  </si>
  <si>
    <t>1F468 1F3FD 200D 2764 FE0F 200D 1F48B 200D 1F468 1F3FB ; fully-qualified     # 👨🏽‍❤️‍💋‍👨🏻 E13.1 kiss: man, man, medium skin tone, light skin tone</t>
  </si>
  <si>
    <t>1F468 1F3FD 200D 2764 200D 1F48B 200D 1F468 1F3FB      ; minimally-qualified # 👨🏽‍❤‍💋‍👨🏻 E13.1 kiss: man, man, medium skin tone, light skin tone</t>
  </si>
  <si>
    <t>1F468 1F3FD 200D 2764 FE0F 200D 1F48B 200D 1F468 1F3FC ; fully-qualified     # 👨🏽‍❤️‍💋‍👨🏼 E13.1 kiss: man, man, medium skin tone, medium-light skin tone</t>
  </si>
  <si>
    <t>1F468 1F3FD 200D 2764 200D 1F48B 200D 1F468 1F3FC      ; minimally-qualified # 👨🏽‍❤‍💋‍👨🏼 E13.1 kiss: man, man, medium skin tone, medium-light skin tone</t>
  </si>
  <si>
    <t>1F468 1F3FD 200D 2764 FE0F 200D 1F48B 200D 1F468 1F3FD ; fully-qualified     # 👨🏽‍❤️‍💋‍👨🏽 E13.1 kiss: man, man, medium skin tone</t>
  </si>
  <si>
    <t>1F468 1F3FD 200D 2764 200D 1F48B 200D 1F468 1F3FD      ; minimally-qualified # 👨🏽‍❤‍💋‍👨🏽 E13.1 kiss: man, man, medium skin tone</t>
  </si>
  <si>
    <t>1F468 1F3FD 200D 2764 FE0F 200D 1F48B 200D 1F468 1F3FE ; fully-qualified     # 👨🏽‍❤️‍💋‍👨🏾 E13.1 kiss: man, man, medium skin tone, medium-dark skin tone</t>
  </si>
  <si>
    <t>1F468 1F3FD 200D 2764 200D 1F48B 200D 1F468 1F3FE      ; minimally-qualified # 👨🏽‍❤‍💋‍👨🏾 E13.1 kiss: man, man, medium skin tone, medium-dark skin tone</t>
  </si>
  <si>
    <t>1F468 1F3FD 200D 2764 FE0F 200D 1F48B 200D 1F468 1F3FF ; fully-qualified     # 👨🏽‍❤️‍💋‍👨🏿 E13.1 kiss: man, man, medium skin tone, dark skin tone</t>
  </si>
  <si>
    <t>1F468 1F3FD 200D 2764 200D 1F48B 200D 1F468 1F3FF      ; minimally-qualified # 👨🏽‍❤‍💋‍👨🏿 E13.1 kiss: man, man, medium skin tone, dark skin tone</t>
  </si>
  <si>
    <t>1F468 1F3FE 200D 2764 FE0F 200D 1F48B 200D 1F468 1F3FB ; fully-qualified     # 👨🏾‍❤️‍💋‍👨🏻 E13.1 kiss: man, man, medium-dark skin tone, light skin tone</t>
  </si>
  <si>
    <t>1F468 1F3FE 200D 2764 200D 1F48B 200D 1F468 1F3FB      ; minimally-qualified # 👨🏾‍❤‍💋‍👨🏻 E13.1 kiss: man, man, medium-dark skin tone, light skin tone</t>
  </si>
  <si>
    <t>1F468 1F3FE 200D 2764 FE0F 200D 1F48B 200D 1F468 1F3FC ; fully-qualified     # 👨🏾‍❤️‍💋‍👨🏼 E13.1 kiss: man, man, medium-dark skin tone, medium-light skin tone</t>
  </si>
  <si>
    <t>1F468 1F3FE 200D 2764 200D 1F48B 200D 1F468 1F3FC      ; minimally-qualified # 👨🏾‍❤‍💋‍👨🏼 E13.1 kiss: man, man, medium-dark skin tone, medium-light skin tone</t>
  </si>
  <si>
    <t>1F468 1F3FE 200D 2764 FE0F 200D 1F48B 200D 1F468 1F3FD ; fully-qualified     # 👨🏾‍❤️‍💋‍👨🏽 E13.1 kiss: man, man, medium-dark skin tone, medium skin tone</t>
  </si>
  <si>
    <t>1F468 1F3FE 200D 2764 200D 1F48B 200D 1F468 1F3FD      ; minimally-qualified # 👨🏾‍❤‍💋‍👨🏽 E13.1 kiss: man, man, medium-dark skin tone, medium skin tone</t>
  </si>
  <si>
    <t>1F468 1F3FE 200D 2764 FE0F 200D 1F48B 200D 1F468 1F3FE ; fully-qualified     # 👨🏾‍❤️‍💋‍👨🏾 E13.1 kiss: man, man, medium-dark skin tone</t>
  </si>
  <si>
    <t>1F468 1F3FE 200D 2764 200D 1F48B 200D 1F468 1F3FE      ; minimally-qualified # 👨🏾‍❤‍💋‍👨🏾 E13.1 kiss: man, man, medium-dark skin tone</t>
  </si>
  <si>
    <t>1F468 1F3FE 200D 2764 FE0F 200D 1F48B 200D 1F468 1F3FF ; fully-qualified     # 👨🏾‍❤️‍💋‍👨🏿 E13.1 kiss: man, man, medium-dark skin tone, dark skin tone</t>
  </si>
  <si>
    <t>1F468 1F3FE 200D 2764 200D 1F48B 200D 1F468 1F3FF      ; minimally-qualified # 👨🏾‍❤‍💋‍👨🏿 E13.1 kiss: man, man, medium-dark skin tone, dark skin tone</t>
  </si>
  <si>
    <t>1F468 1F3FF 200D 2764 FE0F 200D 1F48B 200D 1F468 1F3FB ; fully-qualified     # 👨🏿‍❤️‍💋‍👨🏻 E13.1 kiss: man, man, dark skin tone, light skin tone</t>
  </si>
  <si>
    <t>1F468 1F3FF 200D 2764 200D 1F48B 200D 1F468 1F3FB      ; minimally-qualified # 👨🏿‍❤‍💋‍👨🏻 E13.1 kiss: man, man, dark skin tone, light skin tone</t>
  </si>
  <si>
    <t>1F468 1F3FF 200D 2764 FE0F 200D 1F48B 200D 1F468 1F3FC ; fully-qualified     # 👨🏿‍❤️‍💋‍👨🏼 E13.1 kiss: man, man, dark skin tone, medium-light skin tone</t>
  </si>
  <si>
    <t>1F468 1F3FF 200D 2764 200D 1F48B 200D 1F468 1F3FC      ; minimally-qualified # 👨🏿‍❤‍💋‍👨🏼 E13.1 kiss: man, man, dark skin tone, medium-light skin tone</t>
  </si>
  <si>
    <t>1F468 1F3FF 200D 2764 FE0F 200D 1F48B 200D 1F468 1F3FD ; fully-qualified     # 👨🏿‍❤️‍💋‍👨🏽 E13.1 kiss: man, man, dark skin tone, medium skin tone</t>
  </si>
  <si>
    <t>1F468 1F3FF 200D 2764 200D 1F48B 200D 1F468 1F3FD      ; minimally-qualified # 👨🏿‍❤‍💋‍👨🏽 E13.1 kiss: man, man, dark skin tone, medium skin tone</t>
  </si>
  <si>
    <t>1F468 1F3FF 200D 2764 FE0F 200D 1F48B 200D 1F468 1F3FE ; fully-qualified     # 👨🏿‍❤️‍💋‍👨🏾 E13.1 kiss: man, man, dark skin tone, medium-dark skin tone</t>
  </si>
  <si>
    <t>1F468 1F3FF 200D 2764 200D 1F48B 200D 1F468 1F3FE      ; minimally-qualified # 👨🏿‍❤‍💋‍👨🏾 E13.1 kiss: man, man, dark skin tone, medium-dark skin tone</t>
  </si>
  <si>
    <t>1F468 1F3FF 200D 2764 FE0F 200D 1F48B 200D 1F468 1F3FF ; fully-qualified     # 👨🏿‍❤️‍💋‍👨🏿 E13.1 kiss: man, man, dark skin tone</t>
  </si>
  <si>
    <t>1F468 1F3FF 200D 2764 200D 1F48B 200D 1F468 1F3FF      ; minimally-qualified # 👨🏿‍❤‍💋‍👨🏿 E13.1 kiss: man, man, dark skin tone</t>
  </si>
  <si>
    <t>1F469 200D 2764 FE0F 200D 1F48B 200D 1F469             ; fully-qualified     # 👩‍❤️‍💋‍👩 E2.0 kiss: woman, woman</t>
  </si>
  <si>
    <t>1F469 200D 2764 200D 1F48B 200D 1F469                  ; minimally-qualified # 👩‍❤‍💋‍👩 E2.0 kiss: woman, woman</t>
  </si>
  <si>
    <t>1F469 1F3FB 200D 2764 FE0F 200D 1F48B 200D 1F469 1F3FB ; fully-qualified     # 👩🏻‍❤️‍💋‍👩🏻 E13.1 kiss: woman, woman, light skin tone</t>
  </si>
  <si>
    <t>1F469 1F3FB 200D 2764 200D 1F48B 200D 1F469 1F3FB      ; minimally-qualified # 👩🏻‍❤‍💋‍👩🏻 E13.1 kiss: woman, woman, light skin tone</t>
  </si>
  <si>
    <t>1F469 1F3FB 200D 2764 FE0F 200D 1F48B 200D 1F469 1F3FC ; fully-qualified     # 👩🏻‍❤️‍💋‍👩🏼 E13.1 kiss: woman, woman, light skin tone, medium-light skin tone</t>
  </si>
  <si>
    <t>1F469 1F3FB 200D 2764 200D 1F48B 200D 1F469 1F3FC      ; minimally-qualified # 👩🏻‍❤‍💋‍👩🏼 E13.1 kiss: woman, woman, light skin tone, medium-light skin tone</t>
  </si>
  <si>
    <t>1F469 1F3FB 200D 2764 FE0F 200D 1F48B 200D 1F469 1F3FD ; fully-qualified     # 👩🏻‍❤️‍💋‍👩🏽 E13.1 kiss: woman, woman, light skin tone, medium skin tone</t>
  </si>
  <si>
    <t>1F469 1F3FB 200D 2764 200D 1F48B 200D 1F469 1F3FD      ; minimally-qualified # 👩🏻‍❤‍💋‍👩🏽 E13.1 kiss: woman, woman, light skin tone, medium skin tone</t>
  </si>
  <si>
    <t>1F469 1F3FB 200D 2764 FE0F 200D 1F48B 200D 1F469 1F3FE ; fully-qualified     # 👩🏻‍❤️‍💋‍👩🏾 E13.1 kiss: woman, woman, light skin tone, medium-dark skin tone</t>
  </si>
  <si>
    <t>1F469 1F3FB 200D 2764 200D 1F48B 200D 1F469 1F3FE      ; minimally-qualified # 👩🏻‍❤‍💋‍👩🏾 E13.1 kiss: woman, woman, light skin tone, medium-dark skin tone</t>
  </si>
  <si>
    <t>1F469 1F3FB 200D 2764 FE0F 200D 1F48B 200D 1F469 1F3FF ; fully-qualified     # 👩🏻‍❤️‍💋‍👩🏿 E13.1 kiss: woman, woman, light skin tone, dark skin tone</t>
  </si>
  <si>
    <t>1F469 1F3FB 200D 2764 200D 1F48B 200D 1F469 1F3FF      ; minimally-qualified # 👩🏻‍❤‍💋‍👩🏿 E13.1 kiss: woman, woman, light skin tone, dark skin tone</t>
  </si>
  <si>
    <t>1F469 1F3FC 200D 2764 FE0F 200D 1F48B 200D 1F469 1F3FB ; fully-qualified     # 👩🏼‍❤️‍💋‍👩🏻 E13.1 kiss: woman, woman, medium-light skin tone, light skin tone</t>
  </si>
  <si>
    <t>1F469 1F3FC 200D 2764 200D 1F48B 200D 1F469 1F3FB      ; minimally-qualified # 👩🏼‍❤‍💋‍👩🏻 E13.1 kiss: woman, woman, medium-light skin tone, light skin tone</t>
  </si>
  <si>
    <t>1F469 1F3FC 200D 2764 FE0F 200D 1F48B 200D 1F469 1F3FC ; fully-qualified     # 👩🏼‍❤️‍💋‍👩🏼 E13.1 kiss: woman, woman, medium-light skin tone</t>
  </si>
  <si>
    <t>1F469 1F3FC 200D 2764 200D 1F48B 200D 1F469 1F3FC      ; minimally-qualified # 👩🏼‍❤‍💋‍👩🏼 E13.1 kiss: woman, woman, medium-light skin tone</t>
  </si>
  <si>
    <t>1F469 1F3FC 200D 2764 FE0F 200D 1F48B 200D 1F469 1F3FD ; fully-qualified     # 👩🏼‍❤️‍💋‍👩🏽 E13.1 kiss: woman, woman, medium-light skin tone, medium skin tone</t>
  </si>
  <si>
    <t>1F469 1F3FC 200D 2764 200D 1F48B 200D 1F469 1F3FD      ; minimally-qualified # 👩🏼‍❤‍💋‍👩🏽 E13.1 kiss: woman, woman, medium-light skin tone, medium skin tone</t>
  </si>
  <si>
    <t>1F469 1F3FC 200D 2764 FE0F 200D 1F48B 200D 1F469 1F3FE ; fully-qualified     # 👩🏼‍❤️‍💋‍👩🏾 E13.1 kiss: woman, woman, medium-light skin tone, medium-dark skin tone</t>
  </si>
  <si>
    <t>1F469 1F3FC 200D 2764 200D 1F48B 200D 1F469 1F3FE      ; minimally-qualified # 👩🏼‍❤‍💋‍👩🏾 E13.1 kiss: woman, woman, medium-light skin tone, medium-dark skin tone</t>
  </si>
  <si>
    <t>1F469 1F3FC 200D 2764 FE0F 200D 1F48B 200D 1F469 1F3FF ; fully-qualified     # 👩🏼‍❤️‍💋‍👩🏿 E13.1 kiss: woman, woman, medium-light skin tone, dark skin tone</t>
  </si>
  <si>
    <t>1F469 1F3FC 200D 2764 200D 1F48B 200D 1F469 1F3FF      ; minimally-qualified # 👩🏼‍❤‍💋‍👩🏿 E13.1 kiss: woman, woman, medium-light skin tone, dark skin tone</t>
  </si>
  <si>
    <t>1F469 1F3FD 200D 2764 FE0F 200D 1F48B 200D 1F469 1F3FB ; fully-qualified     # 👩🏽‍❤️‍💋‍👩🏻 E13.1 kiss: woman, woman, medium skin tone, light skin tone</t>
  </si>
  <si>
    <t>1F469 1F3FD 200D 2764 200D 1F48B 200D 1F469 1F3FB      ; minimally-qualified # 👩🏽‍❤‍💋‍👩🏻 E13.1 kiss: woman, woman, medium skin tone, light skin tone</t>
  </si>
  <si>
    <t>1F469 1F3FD 200D 2764 FE0F 200D 1F48B 200D 1F469 1F3FC ; fully-qualified     # 👩🏽‍❤️‍💋‍👩🏼 E13.1 kiss: woman, woman, medium skin tone, medium-light skin tone</t>
  </si>
  <si>
    <t>1F469 1F3FD 200D 2764 200D 1F48B 200D 1F469 1F3FC      ; minimally-qualified # 👩🏽‍❤‍💋‍👩🏼 E13.1 kiss: woman, woman, medium skin tone, medium-light skin tone</t>
  </si>
  <si>
    <t>1F469 1F3FD 200D 2764 FE0F 200D 1F48B 200D 1F469 1F3FD ; fully-qualified     # 👩🏽‍❤️‍💋‍👩🏽 E13.1 kiss: woman, woman, medium skin tone</t>
  </si>
  <si>
    <t>1F469 1F3FD 200D 2764 200D 1F48B 200D 1F469 1F3FD      ; minimally-qualified # 👩🏽‍❤‍💋‍👩🏽 E13.1 kiss: woman, woman, medium skin tone</t>
  </si>
  <si>
    <t>1F469 1F3FD 200D 2764 FE0F 200D 1F48B 200D 1F469 1F3FE ; fully-qualified     # 👩🏽‍❤️‍💋‍👩🏾 E13.1 kiss: woman, woman, medium skin tone, medium-dark skin tone</t>
  </si>
  <si>
    <t>1F469 1F3FD 200D 2764 200D 1F48B 200D 1F469 1F3FE      ; minimally-qualified # 👩🏽‍❤‍💋‍👩🏾 E13.1 kiss: woman, woman, medium skin tone, medium-dark skin tone</t>
  </si>
  <si>
    <t>1F469 1F3FD 200D 2764 FE0F 200D 1F48B 200D 1F469 1F3FF ; fully-qualified     # 👩🏽‍❤️‍💋‍👩🏿 E13.1 kiss: woman, woman, medium skin tone, dark skin tone</t>
  </si>
  <si>
    <t>1F469 1F3FD 200D 2764 200D 1F48B 200D 1F469 1F3FF      ; minimally-qualified # 👩🏽‍❤‍💋‍👩🏿 E13.1 kiss: woman, woman, medium skin tone, dark skin tone</t>
  </si>
  <si>
    <t>1F469 1F3FE 200D 2764 FE0F 200D 1F48B 200D 1F469 1F3FB ; fully-qualified     # 👩🏾‍❤️‍💋‍👩🏻 E13.1 kiss: woman, woman, medium-dark skin tone, light skin tone</t>
  </si>
  <si>
    <t>1F469 1F3FE 200D 2764 200D 1F48B 200D 1F469 1F3FB      ; minimally-qualified # 👩🏾‍❤‍💋‍👩🏻 E13.1 kiss: woman, woman, medium-dark skin tone, light skin tone</t>
  </si>
  <si>
    <t>1F469 1F3FE 200D 2764 FE0F 200D 1F48B 200D 1F469 1F3FC ; fully-qualified     # 👩🏾‍❤️‍💋‍👩🏼 E13.1 kiss: woman, woman, medium-dark skin tone, medium-light skin tone</t>
  </si>
  <si>
    <t>1F469 1F3FE 200D 2764 200D 1F48B 200D 1F469 1F3FC      ; minimally-qualified # 👩🏾‍❤‍💋‍👩🏼 E13.1 kiss: woman, woman, medium-dark skin tone, medium-light skin tone</t>
  </si>
  <si>
    <t>1F469 1F3FE 200D 2764 FE0F 200D 1F48B 200D 1F469 1F3FD ; fully-qualified     # 👩🏾‍❤️‍💋‍👩🏽 E13.1 kiss: woman, woman, medium-dark skin tone, medium skin tone</t>
  </si>
  <si>
    <t>1F469 1F3FE 200D 2764 200D 1F48B 200D 1F469 1F3FD      ; minimally-qualified # 👩🏾‍❤‍💋‍👩🏽 E13.1 kiss: woman, woman, medium-dark skin tone, medium skin tone</t>
  </si>
  <si>
    <t>1F469 1F3FE 200D 2764 FE0F 200D 1F48B 200D 1F469 1F3FE ; fully-qualified     # 👩🏾‍❤️‍💋‍👩🏾 E13.1 kiss: woman, woman, medium-dark skin tone</t>
  </si>
  <si>
    <t>1F469 1F3FE 200D 2764 200D 1F48B 200D 1F469 1F3FE      ; minimally-qualified # 👩🏾‍❤‍💋‍👩🏾 E13.1 kiss: woman, woman, medium-dark skin tone</t>
  </si>
  <si>
    <t>1F469 1F3FE 200D 2764 FE0F 200D 1F48B 200D 1F469 1F3FF ; fully-qualified     # 👩🏾‍❤️‍💋‍👩🏿 E13.1 kiss: woman, woman, medium-dark skin tone, dark skin tone</t>
  </si>
  <si>
    <t>1F469 1F3FE 200D 2764 200D 1F48B 200D 1F469 1F3FF      ; minimally-qualified # 👩🏾‍❤‍💋‍👩🏿 E13.1 kiss: woman, woman, medium-dark skin tone, dark skin tone</t>
  </si>
  <si>
    <t>1F469 1F3FF 200D 2764 FE0F 200D 1F48B 200D 1F469 1F3FB ; fully-qualified     # 👩🏿‍❤️‍💋‍👩🏻 E13.1 kiss: woman, woman, dark skin tone, light skin tone</t>
  </si>
  <si>
    <t>1F469 1F3FF 200D 2764 200D 1F48B 200D 1F469 1F3FB      ; minimally-qualified # 👩🏿‍❤‍💋‍👩🏻 E13.1 kiss: woman, woman, dark skin tone, light skin tone</t>
  </si>
  <si>
    <t>1F469 1F3FF 200D 2764 FE0F 200D 1F48B 200D 1F469 1F3FC ; fully-qualified     # 👩🏿‍❤️‍💋‍👩🏼 E13.1 kiss: woman, woman, dark skin tone, medium-light skin tone</t>
  </si>
  <si>
    <t>1F469 1F3FF 200D 2764 200D 1F48B 200D 1F469 1F3FC      ; minimally-qualified # 👩🏿‍❤‍💋‍👩🏼 E13.1 kiss: woman, woman, dark skin tone, medium-light skin tone</t>
  </si>
  <si>
    <t>1F469 1F3FF 200D 2764 FE0F 200D 1F48B 200D 1F469 1F3FD ; fully-qualified     # 👩🏿‍❤️‍💋‍👩🏽 E13.1 kiss: woman, woman, dark skin tone, medium skin tone</t>
  </si>
  <si>
    <t>1F469 1F3FF 200D 2764 200D 1F48B 200D 1F469 1F3FD      ; minimally-qualified # 👩🏿‍❤‍💋‍👩🏽 E13.1 kiss: woman, woman, dark skin tone, medium skin tone</t>
  </si>
  <si>
    <t>1F469 1F3FF 200D 2764 FE0F 200D 1F48B 200D 1F469 1F3FE ; fully-qualified     # 👩🏿‍❤️‍💋‍👩🏾 E13.1 kiss: woman, woman, dark skin tone, medium-dark skin tone</t>
  </si>
  <si>
    <t>1F469 1F3FF 200D 2764 200D 1F48B 200D 1F469 1F3FE      ; minimally-qualified # 👩🏿‍❤‍💋‍👩🏾 E13.1 kiss: woman, woman, dark skin tone, medium-dark skin tone</t>
  </si>
  <si>
    <t>1F469 1F3FF 200D 2764 FE0F 200D 1F48B 200D 1F469 1F3FF ; fully-qualified     # 👩🏿‍❤️‍💋‍👩🏿 E13.1 kiss: woman, woman, dark skin tone</t>
  </si>
  <si>
    <t>1F469 1F3FF 200D 2764 200D 1F48B 200D 1F469 1F3FF      ; minimally-qualified # 👩🏿‍❤‍💋‍👩🏿 E13.1 kiss: woman, woman, dark skin tone</t>
  </si>
  <si>
    <t>1F491                                                  ; fully-qualified     # 💑 E0.6 couple with heart</t>
  </si>
  <si>
    <t>1F491 1F3FB                                            ; fully-qualified     # 💑🏻 E13.1 couple with heart: light skin tone</t>
  </si>
  <si>
    <t>1F491 1F3FC                                            ; fully-qualified     # 💑🏼 E13.1 couple with heart: medium-light skin tone</t>
  </si>
  <si>
    <t>1F491 1F3FD                                            ; fully-qualified     # 💑🏽 E13.1 couple with heart: medium skin tone</t>
  </si>
  <si>
    <t>1F491 1F3FE                                            ; fully-qualified     # 💑🏾 E13.1 couple with heart: medium-dark skin tone</t>
  </si>
  <si>
    <t>1F491 1F3FF                                            ; fully-qualified     # 💑🏿 E13.1 couple with heart: dark skin tone</t>
  </si>
  <si>
    <t>1F9D1 1F3FB 200D 2764 FE0F 200D 1F9D1 1F3FC            ; fully-qualified     # 🧑🏻‍❤️‍🧑🏼 E13.1 couple with heart: person, person, light skin tone, medium-light skin tone</t>
  </si>
  <si>
    <t>1F9D1 1F3FB 200D 2764 200D 1F9D1 1F3FC                 ; minimally-qualified # 🧑🏻‍❤‍🧑🏼 E13.1 couple with heart: person, person, light skin tone, medium-light skin tone</t>
  </si>
  <si>
    <t>1F9D1 1F3FB 200D 2764 FE0F 200D 1F9D1 1F3FD            ; fully-qualified     # 🧑🏻‍❤️‍🧑🏽 E13.1 couple with heart: person, person, light skin tone, medium skin tone</t>
  </si>
  <si>
    <t>1F9D1 1F3FB 200D 2764 200D 1F9D1 1F3FD                 ; minimally-qualified # 🧑🏻‍❤‍🧑🏽 E13.1 couple with heart: person, person, light skin tone, medium skin tone</t>
  </si>
  <si>
    <t>1F9D1 1F3FB 200D 2764 FE0F 200D 1F9D1 1F3FE            ; fully-qualified     # 🧑🏻‍❤️‍🧑🏾 E13.1 couple with heart: person, person, light skin tone, medium-dark skin tone</t>
  </si>
  <si>
    <t>1F9D1 1F3FB 200D 2764 200D 1F9D1 1F3FE                 ; minimally-qualified # 🧑🏻‍❤‍🧑🏾 E13.1 couple with heart: person, person, light skin tone, medium-dark skin tone</t>
  </si>
  <si>
    <t>1F9D1 1F3FB 200D 2764 FE0F 200D 1F9D1 1F3FF            ; fully-qualified     # 🧑🏻‍❤️‍🧑🏿 E13.1 couple with heart: person, person, light skin tone, dark skin tone</t>
  </si>
  <si>
    <t>1F9D1 1F3FB 200D 2764 200D 1F9D1 1F3FF                 ; minimally-qualified # 🧑🏻‍❤‍🧑🏿 E13.1 couple with heart: person, person, light skin tone, dark skin tone</t>
  </si>
  <si>
    <t>1F9D1 1F3FC 200D 2764 FE0F 200D 1F9D1 1F3FB            ; fully-qualified     # 🧑🏼‍❤️‍🧑🏻 E13.1 couple with heart: person, person, medium-light skin tone, light skin tone</t>
  </si>
  <si>
    <t>1F9D1 1F3FC 200D 2764 200D 1F9D1 1F3FB                 ; minimally-qualified # 🧑🏼‍❤‍🧑🏻 E13.1 couple with heart: person, person, medium-light skin tone, light skin tone</t>
  </si>
  <si>
    <t>1F9D1 1F3FC 200D 2764 FE0F 200D 1F9D1 1F3FD            ; fully-qualified     # 🧑🏼‍❤️‍🧑🏽 E13.1 couple with heart: person, person, medium-light skin tone, medium skin tone</t>
  </si>
  <si>
    <t>1F9D1 1F3FC 200D 2764 200D 1F9D1 1F3FD                 ; minimally-qualified # 🧑🏼‍❤‍🧑🏽 E13.1 couple with heart: person, person, medium-light skin tone, medium skin tone</t>
  </si>
  <si>
    <t>1F9D1 1F3FC 200D 2764 FE0F 200D 1F9D1 1F3FE            ; fully-qualified     # 🧑🏼‍❤️‍🧑🏾 E13.1 couple with heart: person, person, medium-light skin tone, medium-dark skin tone</t>
  </si>
  <si>
    <t>1F9D1 1F3FC 200D 2764 200D 1F9D1 1F3FE                 ; minimally-qualified # 🧑🏼‍❤‍🧑🏾 E13.1 couple with heart: person, person, medium-light skin tone, medium-dark skin tone</t>
  </si>
  <si>
    <t>1F9D1 1F3FC 200D 2764 FE0F 200D 1F9D1 1F3FF            ; fully-qualified     # 🧑🏼‍❤️‍🧑🏿 E13.1 couple with heart: person, person, medium-light skin tone, dark skin tone</t>
  </si>
  <si>
    <t>1F9D1 1F3FC 200D 2764 200D 1F9D1 1F3FF                 ; minimally-qualified # 🧑🏼‍❤‍🧑🏿 E13.1 couple with heart: person, person, medium-light skin tone, dark skin tone</t>
  </si>
  <si>
    <t>1F9D1 1F3FD 200D 2764 FE0F 200D 1F9D1 1F3FB            ; fully-qualified     # 🧑🏽‍❤️‍🧑🏻 E13.1 couple with heart: person, person, medium skin tone, light skin tone</t>
  </si>
  <si>
    <t>1F9D1 1F3FD 200D 2764 200D 1F9D1 1F3FB                 ; minimally-qualified # 🧑🏽‍❤‍🧑🏻 E13.1 couple with heart: person, person, medium skin tone, light skin tone</t>
  </si>
  <si>
    <t>1F9D1 1F3FD 200D 2764 FE0F 200D 1F9D1 1F3FC            ; fully-qualified     # 🧑🏽‍❤️‍🧑🏼 E13.1 couple with heart: person, person, medium skin tone, medium-light skin tone</t>
  </si>
  <si>
    <t>1F9D1 1F3FD 200D 2764 200D 1F9D1 1F3FC                 ; minimally-qualified # 🧑🏽‍❤‍🧑🏼 E13.1 couple with heart: person, person, medium skin tone, medium-light skin tone</t>
  </si>
  <si>
    <t>1F9D1 1F3FD 200D 2764 FE0F 200D 1F9D1 1F3FE            ; fully-qualified     # 🧑🏽‍❤️‍🧑🏾 E13.1 couple with heart: person, person, medium skin tone, medium-dark skin tone</t>
  </si>
  <si>
    <t>1F9D1 1F3FD 200D 2764 200D 1F9D1 1F3FE                 ; minimally-qualified # 🧑🏽‍❤‍🧑🏾 E13.1 couple with heart: person, person, medium skin tone, medium-dark skin tone</t>
  </si>
  <si>
    <t>1F9D1 1F3FD 200D 2764 FE0F 200D 1F9D1 1F3FF            ; fully-qualified     # 🧑🏽‍❤️‍🧑🏿 E13.1 couple with heart: person, person, medium skin tone, dark skin tone</t>
  </si>
  <si>
    <t>1F9D1 1F3FD 200D 2764 200D 1F9D1 1F3FF                 ; minimally-qualified # 🧑🏽‍❤‍🧑🏿 E13.1 couple with heart: person, person, medium skin tone, dark skin tone</t>
  </si>
  <si>
    <t>1F9D1 1F3FE 200D 2764 FE0F 200D 1F9D1 1F3FB            ; fully-qualified     # 🧑🏾‍❤️‍🧑🏻 E13.1 couple with heart: person, person, medium-dark skin tone, light skin tone</t>
  </si>
  <si>
    <t>1F9D1 1F3FE 200D 2764 200D 1F9D1 1F3FB                 ; minimally-qualified # 🧑🏾‍❤‍🧑🏻 E13.1 couple with heart: person, person, medium-dark skin tone, light skin tone</t>
  </si>
  <si>
    <t>1F9D1 1F3FE 200D 2764 FE0F 200D 1F9D1 1F3FC            ; fully-qualified     # 🧑🏾‍❤️‍🧑🏼 E13.1 couple with heart: person, person, medium-dark skin tone, medium-light skin tone</t>
  </si>
  <si>
    <t>1F9D1 1F3FE 200D 2764 200D 1F9D1 1F3FC                 ; minimally-qualified # 🧑🏾‍❤‍🧑🏼 E13.1 couple with heart: person, person, medium-dark skin tone, medium-light skin tone</t>
  </si>
  <si>
    <t>1F9D1 1F3FE 200D 2764 FE0F 200D 1F9D1 1F3FD            ; fully-qualified     # 🧑🏾‍❤️‍🧑🏽 E13.1 couple with heart: person, person, medium-dark skin tone, medium skin tone</t>
  </si>
  <si>
    <t>1F9D1 1F3FE 200D 2764 200D 1F9D1 1F3FD                 ; minimally-qualified # 🧑🏾‍❤‍🧑🏽 E13.1 couple with heart: person, person, medium-dark skin tone, medium skin tone</t>
  </si>
  <si>
    <t>1F9D1 1F3FE 200D 2764 FE0F 200D 1F9D1 1F3FF            ; fully-qualified     # 🧑🏾‍❤️‍🧑🏿 E13.1 couple with heart: person, person, medium-dark skin tone, dark skin tone</t>
  </si>
  <si>
    <t>1F9D1 1F3FE 200D 2764 200D 1F9D1 1F3FF                 ; minimally-qualified # 🧑🏾‍❤‍🧑🏿 E13.1 couple with heart: person, person, medium-dark skin tone, dark skin tone</t>
  </si>
  <si>
    <t>1F9D1 1F3FF 200D 2764 FE0F 200D 1F9D1 1F3FB            ; fully-qualified     # 🧑🏿‍❤️‍🧑🏻 E13.1 couple with heart: person, person, dark skin tone, light skin tone</t>
  </si>
  <si>
    <t>1F9D1 1F3FF 200D 2764 200D 1F9D1 1F3FB                 ; minimally-qualified # 🧑🏿‍❤‍🧑🏻 E13.1 couple with heart: person, person, dark skin tone, light skin tone</t>
  </si>
  <si>
    <t>1F9D1 1F3FF 200D 2764 FE0F 200D 1F9D1 1F3FC            ; fully-qualified     # 🧑🏿‍❤️‍🧑🏼 E13.1 couple with heart: person, person, dark skin tone, medium-light skin tone</t>
  </si>
  <si>
    <t>1F9D1 1F3FF 200D 2764 200D 1F9D1 1F3FC                 ; minimally-qualified # 🧑🏿‍❤‍🧑🏼 E13.1 couple with heart: person, person, dark skin tone, medium-light skin tone</t>
  </si>
  <si>
    <t>1F9D1 1F3FF 200D 2764 FE0F 200D 1F9D1 1F3FD            ; fully-qualified     # 🧑🏿‍❤️‍🧑🏽 E13.1 couple with heart: person, person, dark skin tone, medium skin tone</t>
  </si>
  <si>
    <t>1F9D1 1F3FF 200D 2764 200D 1F9D1 1F3FD                 ; minimally-qualified # 🧑🏿‍❤‍🧑🏽 E13.1 couple with heart: person, person, dark skin tone, medium skin tone</t>
  </si>
  <si>
    <t>1F9D1 1F3FF 200D 2764 FE0F 200D 1F9D1 1F3FE            ; fully-qualified     # 🧑🏿‍❤️‍🧑🏾 E13.1 couple with heart: person, person, dark skin tone, medium-dark skin tone</t>
  </si>
  <si>
    <t>1F9D1 1F3FF 200D 2764 200D 1F9D1 1F3FE                 ; minimally-qualified # 🧑🏿‍❤‍🧑🏾 E13.1 couple with heart: person, person, dark skin tone, medium-dark skin tone</t>
  </si>
  <si>
    <t>1F469 200D 2764 FE0F 200D 1F468                        ; fully-qualified     # 👩‍❤️‍👨 E2.0 couple with heart: woman, man</t>
  </si>
  <si>
    <t>1F469 200D 2764 200D 1F468                             ; minimally-qualified # 👩‍❤‍👨 E2.0 couple with heart: woman, man</t>
  </si>
  <si>
    <t>1F469 1F3FB 200D 2764 FE0F 200D 1F468 1F3FB            ; fully-qualified     # 👩🏻‍❤️‍👨🏻 E13.1 couple with heart: woman, man, light skin tone</t>
  </si>
  <si>
    <t>1F469 1F3FB 200D 2764 200D 1F468 1F3FB                 ; minimally-qualified # 👩🏻‍❤‍👨🏻 E13.1 couple with heart: woman, man, light skin tone</t>
  </si>
  <si>
    <t>1F469 1F3FB 200D 2764 FE0F 200D 1F468 1F3FC            ; fully-qualified     # 👩🏻‍❤️‍👨🏼 E13.1 couple with heart: woman, man, light skin tone, medium-light skin tone</t>
  </si>
  <si>
    <t>1F469 1F3FB 200D 2764 200D 1F468 1F3FC                 ; minimally-qualified # 👩🏻‍❤‍👨🏼 E13.1 couple with heart: woman, man, light skin tone, medium-light skin tone</t>
  </si>
  <si>
    <t>1F469 1F3FB 200D 2764 FE0F 200D 1F468 1F3FD            ; fully-qualified     # 👩🏻‍❤️‍👨🏽 E13.1 couple with heart: woman, man, light skin tone, medium skin tone</t>
  </si>
  <si>
    <t>1F469 1F3FB 200D 2764 200D 1F468 1F3FD                 ; minimally-qualified # 👩🏻‍❤‍👨🏽 E13.1 couple with heart: woman, man, light skin tone, medium skin tone</t>
  </si>
  <si>
    <t>1F469 1F3FB 200D 2764 FE0F 200D 1F468 1F3FE            ; fully-qualified     # 👩🏻‍❤️‍👨🏾 E13.1 couple with heart: woman, man, light skin tone, medium-dark skin tone</t>
  </si>
  <si>
    <t>1F469 1F3FB 200D 2764 200D 1F468 1F3FE                 ; minimally-qualified # 👩🏻‍❤‍👨🏾 E13.1 couple with heart: woman, man, light skin tone, medium-dark skin tone</t>
  </si>
  <si>
    <t>1F469 1F3FB 200D 2764 FE0F 200D 1F468 1F3FF            ; fully-qualified     # 👩🏻‍❤️‍👨🏿 E13.1 couple with heart: woman, man, light skin tone, dark skin tone</t>
  </si>
  <si>
    <t>1F469 1F3FB 200D 2764 200D 1F468 1F3FF                 ; minimally-qualified # 👩🏻‍❤‍👨🏿 E13.1 couple with heart: woman, man, light skin tone, dark skin tone</t>
  </si>
  <si>
    <t>1F469 1F3FC 200D 2764 FE0F 200D 1F468 1F3FB            ; fully-qualified     # 👩🏼‍❤️‍👨🏻 E13.1 couple with heart: woman, man, medium-light skin tone, light skin tone</t>
  </si>
  <si>
    <t>1F469 1F3FC 200D 2764 200D 1F468 1F3FB                 ; minimally-qualified # 👩🏼‍❤‍👨🏻 E13.1 couple with heart: woman, man, medium-light skin tone, light skin tone</t>
  </si>
  <si>
    <t>1F469 1F3FC 200D 2764 FE0F 200D 1F468 1F3FC            ; fully-qualified     # 👩🏼‍❤️‍👨🏼 E13.1 couple with heart: woman, man, medium-light skin tone</t>
  </si>
  <si>
    <t>1F469 1F3FC 200D 2764 200D 1F468 1F3FC                 ; minimally-qualified # 👩🏼‍❤‍👨🏼 E13.1 couple with heart: woman, man, medium-light skin tone</t>
  </si>
  <si>
    <t>1F469 1F3FC 200D 2764 FE0F 200D 1F468 1F3FD            ; fully-qualified     # 👩🏼‍❤️‍👨🏽 E13.1 couple with heart: woman, man, medium-light skin tone, medium skin tone</t>
  </si>
  <si>
    <t>1F469 1F3FC 200D 2764 200D 1F468 1F3FD                 ; minimally-qualified # 👩🏼‍❤‍👨🏽 E13.1 couple with heart: woman, man, medium-light skin tone, medium skin tone</t>
  </si>
  <si>
    <t>1F469 1F3FC 200D 2764 FE0F 200D 1F468 1F3FE            ; fully-qualified     # 👩🏼‍❤️‍👨🏾 E13.1 couple with heart: woman, man, medium-light skin tone, medium-dark skin tone</t>
  </si>
  <si>
    <t>1F469 1F3FC 200D 2764 200D 1F468 1F3FE                 ; minimally-qualified # 👩🏼‍❤‍👨🏾 E13.1 couple with heart: woman, man, medium-light skin tone, medium-dark skin tone</t>
  </si>
  <si>
    <t>1F469 1F3FC 200D 2764 FE0F 200D 1F468 1F3FF            ; fully-qualified     # 👩🏼‍❤️‍👨🏿 E13.1 couple with heart: woman, man, medium-light skin tone, dark skin tone</t>
  </si>
  <si>
    <t>1F469 1F3FC 200D 2764 200D 1F468 1F3FF                 ; minimally-qualified # 👩🏼‍❤‍👨🏿 E13.1 couple with heart: woman, man, medium-light skin tone, dark skin tone</t>
  </si>
  <si>
    <t>1F469 1F3FD 200D 2764 FE0F 200D 1F468 1F3FB            ; fully-qualified     # 👩🏽‍❤️‍👨🏻 E13.1 couple with heart: woman, man, medium skin tone, light skin tone</t>
  </si>
  <si>
    <t>1F469 1F3FD 200D 2764 200D 1F468 1F3FB                 ; minimally-qualified # 👩🏽‍❤‍👨🏻 E13.1 couple with heart: woman, man, medium skin tone, light skin tone</t>
  </si>
  <si>
    <t>1F469 1F3FD 200D 2764 FE0F 200D 1F468 1F3FC            ; fully-qualified     # 👩🏽‍❤️‍👨🏼 E13.1 couple with heart: woman, man, medium skin tone, medium-light skin tone</t>
  </si>
  <si>
    <t>1F469 1F3FD 200D 2764 200D 1F468 1F3FC                 ; minimally-qualified # 👩🏽‍❤‍👨🏼 E13.1 couple with heart: woman, man, medium skin tone, medium-light skin tone</t>
  </si>
  <si>
    <t>1F469 1F3FD 200D 2764 FE0F 200D 1F468 1F3FD            ; fully-qualified     # 👩🏽‍❤️‍👨🏽 E13.1 couple with heart: woman, man, medium skin tone</t>
  </si>
  <si>
    <t>1F469 1F3FD 200D 2764 200D 1F468 1F3FD                 ; minimally-qualified # 👩🏽‍❤‍👨🏽 E13.1 couple with heart: woman, man, medium skin tone</t>
  </si>
  <si>
    <t>1F469 1F3FD 200D 2764 FE0F 200D 1F468 1F3FE            ; fully-qualified     # 👩🏽‍❤️‍👨🏾 E13.1 couple with heart: woman, man, medium skin tone, medium-dark skin tone</t>
  </si>
  <si>
    <t>1F469 1F3FD 200D 2764 200D 1F468 1F3FE                 ; minimally-qualified # 👩🏽‍❤‍👨🏾 E13.1 couple with heart: woman, man, medium skin tone, medium-dark skin tone</t>
  </si>
  <si>
    <t>1F469 1F3FD 200D 2764 FE0F 200D 1F468 1F3FF            ; fully-qualified     # 👩🏽‍❤️‍👨🏿 E13.1 couple with heart: woman, man, medium skin tone, dark skin tone</t>
  </si>
  <si>
    <t>1F469 1F3FD 200D 2764 200D 1F468 1F3FF                 ; minimally-qualified # 👩🏽‍❤‍👨🏿 E13.1 couple with heart: woman, man, medium skin tone, dark skin tone</t>
  </si>
  <si>
    <t>1F469 1F3FE 200D 2764 FE0F 200D 1F468 1F3FB            ; fully-qualified     # 👩🏾‍❤️‍👨🏻 E13.1 couple with heart: woman, man, medium-dark skin tone, light skin tone</t>
  </si>
  <si>
    <t>1F469 1F3FE 200D 2764 200D 1F468 1F3FB                 ; minimally-qualified # 👩🏾‍❤‍👨🏻 E13.1 couple with heart: woman, man, medium-dark skin tone, light skin tone</t>
  </si>
  <si>
    <t>1F469 1F3FE 200D 2764 FE0F 200D 1F468 1F3FC            ; fully-qualified     # 👩🏾‍❤️‍👨🏼 E13.1 couple with heart: woman, man, medium-dark skin tone, medium-light skin tone</t>
  </si>
  <si>
    <t>1F469 1F3FE 200D 2764 200D 1F468 1F3FC                 ; minimally-qualified # 👩🏾‍❤‍👨🏼 E13.1 couple with heart: woman, man, medium-dark skin tone, medium-light skin tone</t>
  </si>
  <si>
    <t>1F469 1F3FE 200D 2764 FE0F 200D 1F468 1F3FD            ; fully-qualified     # 👩🏾‍❤️‍👨🏽 E13.1 couple with heart: woman, man, medium-dark skin tone, medium skin tone</t>
  </si>
  <si>
    <t>1F469 1F3FE 200D 2764 200D 1F468 1F3FD                 ; minimally-qualified # 👩🏾‍❤‍👨🏽 E13.1 couple with heart: woman, man, medium-dark skin tone, medium skin tone</t>
  </si>
  <si>
    <t>1F469 1F3FE 200D 2764 FE0F 200D 1F468 1F3FE            ; fully-qualified     # 👩🏾‍❤️‍👨🏾 E13.1 couple with heart: woman, man, medium-dark skin tone</t>
  </si>
  <si>
    <t>1F469 1F3FE 200D 2764 200D 1F468 1F3FE                 ; minimally-qualified # 👩🏾‍❤‍👨🏾 E13.1 couple with heart: woman, man, medium-dark skin tone</t>
  </si>
  <si>
    <t>1F469 1F3FE 200D 2764 FE0F 200D 1F468 1F3FF            ; fully-qualified     # 👩🏾‍❤️‍👨🏿 E13.1 couple with heart: woman, man, medium-dark skin tone, dark skin tone</t>
  </si>
  <si>
    <t>1F469 1F3FE 200D 2764 200D 1F468 1F3FF                 ; minimally-qualified # 👩🏾‍❤‍👨🏿 E13.1 couple with heart: woman, man, medium-dark skin tone, dark skin tone</t>
  </si>
  <si>
    <t>1F469 1F3FF 200D 2764 FE0F 200D 1F468 1F3FB            ; fully-qualified     # 👩🏿‍❤️‍👨🏻 E13.1 couple with heart: woman, man, dark skin tone, light skin tone</t>
  </si>
  <si>
    <t>1F469 1F3FF 200D 2764 200D 1F468 1F3FB                 ; minimally-qualified # 👩🏿‍❤‍👨🏻 E13.1 couple with heart: woman, man, dark skin tone, light skin tone</t>
  </si>
  <si>
    <t>1F469 1F3FF 200D 2764 FE0F 200D 1F468 1F3FC            ; fully-qualified     # 👩🏿‍❤️‍👨🏼 E13.1 couple with heart: woman, man, dark skin tone, medium-light skin tone</t>
  </si>
  <si>
    <t>1F469 1F3FF 200D 2764 200D 1F468 1F3FC                 ; minimally-qualified # 👩🏿‍❤‍👨🏼 E13.1 couple with heart: woman, man, dark skin tone, medium-light skin tone</t>
  </si>
  <si>
    <t>1F469 1F3FF 200D 2764 FE0F 200D 1F468 1F3FD            ; fully-qualified     # 👩🏿‍❤️‍👨🏽 E13.1 couple with heart: woman, man, dark skin tone, medium skin tone</t>
  </si>
  <si>
    <t>1F469 1F3FF 200D 2764 200D 1F468 1F3FD                 ; minimally-qualified # 👩🏿‍❤‍👨🏽 E13.1 couple with heart: woman, man, dark skin tone, medium skin tone</t>
  </si>
  <si>
    <t>1F469 1F3FF 200D 2764 FE0F 200D 1F468 1F3FE            ; fully-qualified     # 👩🏿‍❤️‍👨🏾 E13.1 couple with heart: woman, man, dark skin tone, medium-dark skin tone</t>
  </si>
  <si>
    <t>1F469 1F3FF 200D 2764 200D 1F468 1F3FE                 ; minimally-qualified # 👩🏿‍❤‍👨🏾 E13.1 couple with heart: woman, man, dark skin tone, medium-dark skin tone</t>
  </si>
  <si>
    <t>1F469 1F3FF 200D 2764 FE0F 200D 1F468 1F3FF            ; fully-qualified     # 👩🏿‍❤️‍👨🏿 E13.1 couple with heart: woman, man, dark skin tone</t>
  </si>
  <si>
    <t>1F469 1F3FF 200D 2764 200D 1F468 1F3FF                 ; minimally-qualified # 👩🏿‍❤‍👨🏿 E13.1 couple with heart: woman, man, dark skin tone</t>
  </si>
  <si>
    <t>1F468 200D 2764 FE0F 200D 1F468                        ; fully-qualified     # 👨‍❤️‍👨 E2.0 couple with heart: man, man</t>
  </si>
  <si>
    <t>1F468 200D 2764 200D 1F468                             ; minimally-qualified # 👨‍❤‍👨 E2.0 couple with heart: man, man</t>
  </si>
  <si>
    <t>1F468 1F3FB 200D 2764 FE0F 200D 1F468 1F3FB            ; fully-qualified     # 👨🏻‍❤️‍👨🏻 E13.1 couple with heart: man, man, light skin tone</t>
  </si>
  <si>
    <t>1F468 1F3FB 200D 2764 200D 1F468 1F3FB                 ; minimally-qualified # 👨🏻‍❤‍👨🏻 E13.1 couple with heart: man, man, light skin tone</t>
  </si>
  <si>
    <t>1F468 1F3FB 200D 2764 FE0F 200D 1F468 1F3FC            ; fully-qualified     # 👨🏻‍❤️‍👨🏼 E13.1 couple with heart: man, man, light skin tone, medium-light skin tone</t>
  </si>
  <si>
    <t>1F468 1F3FB 200D 2764 200D 1F468 1F3FC                 ; minimally-qualified # 👨🏻‍❤‍👨🏼 E13.1 couple with heart: man, man, light skin tone, medium-light skin tone</t>
  </si>
  <si>
    <t>1F468 1F3FB 200D 2764 FE0F 200D 1F468 1F3FD            ; fully-qualified     # 👨🏻‍❤️‍👨🏽 E13.1 couple with heart: man, man, light skin tone, medium skin tone</t>
  </si>
  <si>
    <t>1F468 1F3FB 200D 2764 200D 1F468 1F3FD                 ; minimally-qualified # 👨🏻‍❤‍👨🏽 E13.1 couple with heart: man, man, light skin tone, medium skin tone</t>
  </si>
  <si>
    <t>1F468 1F3FB 200D 2764 FE0F 200D 1F468 1F3FE            ; fully-qualified     # 👨🏻‍❤️‍👨🏾 E13.1 couple with heart: man, man, light skin tone, medium-dark skin tone</t>
  </si>
  <si>
    <t>1F468 1F3FB 200D 2764 200D 1F468 1F3FE                 ; minimally-qualified # 👨🏻‍❤‍👨🏾 E13.1 couple with heart: man, man, light skin tone, medium-dark skin tone</t>
  </si>
  <si>
    <t>1F468 1F3FB 200D 2764 FE0F 200D 1F468 1F3FF            ; fully-qualified     # 👨🏻‍❤️‍👨🏿 E13.1 couple with heart: man, man, light skin tone, dark skin tone</t>
  </si>
  <si>
    <t>1F468 1F3FB 200D 2764 200D 1F468 1F3FF                 ; minimally-qualified # 👨🏻‍❤‍👨🏿 E13.1 couple with heart: man, man, light skin tone, dark skin tone</t>
  </si>
  <si>
    <t>1F468 1F3FC 200D 2764 FE0F 200D 1F468 1F3FB            ; fully-qualified     # 👨🏼‍❤️‍👨🏻 E13.1 couple with heart: man, man, medium-light skin tone, light skin tone</t>
  </si>
  <si>
    <t>1F468 1F3FC 200D 2764 200D 1F468 1F3FB                 ; minimally-qualified # 👨🏼‍❤‍👨🏻 E13.1 couple with heart: man, man, medium-light skin tone, light skin tone</t>
  </si>
  <si>
    <t>1F468 1F3FC 200D 2764 FE0F 200D 1F468 1F3FC            ; fully-qualified     # 👨🏼‍❤️‍👨🏼 E13.1 couple with heart: man, man, medium-light skin tone</t>
  </si>
  <si>
    <t>1F468 1F3FC 200D 2764 200D 1F468 1F3FC                 ; minimally-qualified # 👨🏼‍❤‍👨🏼 E13.1 couple with heart: man, man, medium-light skin tone</t>
  </si>
  <si>
    <t>1F468 1F3FC 200D 2764 FE0F 200D 1F468 1F3FD            ; fully-qualified     # 👨🏼‍❤️‍👨🏽 E13.1 couple with heart: man, man, medium-light skin tone, medium skin tone</t>
  </si>
  <si>
    <t>1F468 1F3FC 200D 2764 200D 1F468 1F3FD                 ; minimally-qualified # 👨🏼‍❤‍👨🏽 E13.1 couple with heart: man, man, medium-light skin tone, medium skin tone</t>
  </si>
  <si>
    <t>1F468 1F3FC 200D 2764 FE0F 200D 1F468 1F3FE            ; fully-qualified     # 👨🏼‍❤️‍👨🏾 E13.1 couple with heart: man, man, medium-light skin tone, medium-dark skin tone</t>
  </si>
  <si>
    <t>1F468 1F3FC 200D 2764 200D 1F468 1F3FE                 ; minimally-qualified # 👨🏼‍❤‍👨🏾 E13.1 couple with heart: man, man, medium-light skin tone, medium-dark skin tone</t>
  </si>
  <si>
    <t>1F468 1F3FC 200D 2764 FE0F 200D 1F468 1F3FF            ; fully-qualified     # 👨🏼‍❤️‍👨🏿 E13.1 couple with heart: man, man, medium-light skin tone, dark skin tone</t>
  </si>
  <si>
    <t>1F468 1F3FC 200D 2764 200D 1F468 1F3FF                 ; minimally-qualified # 👨🏼‍❤‍👨🏿 E13.1 couple with heart: man, man, medium-light skin tone, dark skin tone</t>
  </si>
  <si>
    <t>1F468 1F3FD 200D 2764 FE0F 200D 1F468 1F3FB            ; fully-qualified     # 👨🏽‍❤️‍👨🏻 E13.1 couple with heart: man, man, medium skin tone, light skin tone</t>
  </si>
  <si>
    <t>1F468 1F3FD 200D 2764 200D 1F468 1F3FB                 ; minimally-qualified # 👨🏽‍❤‍👨🏻 E13.1 couple with heart: man, man, medium skin tone, light skin tone</t>
  </si>
  <si>
    <t>1F468 1F3FD 200D 2764 FE0F 200D 1F468 1F3FC            ; fully-qualified     # 👨🏽‍❤️‍👨🏼 E13.1 couple with heart: man, man, medium skin tone, medium-light skin tone</t>
  </si>
  <si>
    <t>1F468 1F3FD 200D 2764 200D 1F468 1F3FC                 ; minimally-qualified # 👨🏽‍❤‍👨🏼 E13.1 couple with heart: man, man, medium skin tone, medium-light skin tone</t>
  </si>
  <si>
    <t>1F468 1F3FD 200D 2764 FE0F 200D 1F468 1F3FD            ; fully-qualified     # 👨🏽‍❤️‍👨🏽 E13.1 couple with heart: man, man, medium skin tone</t>
  </si>
  <si>
    <t>1F468 1F3FD 200D 2764 200D 1F468 1F3FD                 ; minimally-qualified # 👨🏽‍❤‍👨🏽 E13.1 couple with heart: man, man, medium skin tone</t>
  </si>
  <si>
    <t>1F468 1F3FD 200D 2764 FE0F 200D 1F468 1F3FE            ; fully-qualified     # 👨🏽‍❤️‍👨🏾 E13.1 couple with heart: man, man, medium skin tone, medium-dark skin tone</t>
  </si>
  <si>
    <t>1F468 1F3FD 200D 2764 200D 1F468 1F3FE                 ; minimally-qualified # 👨🏽‍❤‍👨🏾 E13.1 couple with heart: man, man, medium skin tone, medium-dark skin tone</t>
  </si>
  <si>
    <t>1F468 1F3FD 200D 2764 FE0F 200D 1F468 1F3FF            ; fully-qualified     # 👨🏽‍❤️‍👨🏿 E13.1 couple with heart: man, man, medium skin tone, dark skin tone</t>
  </si>
  <si>
    <t>1F468 1F3FD 200D 2764 200D 1F468 1F3FF                 ; minimally-qualified # 👨🏽‍❤‍👨🏿 E13.1 couple with heart: man, man, medium skin tone, dark skin tone</t>
  </si>
  <si>
    <t>1F468 1F3FE 200D 2764 FE0F 200D 1F468 1F3FB            ; fully-qualified     # 👨🏾‍❤️‍👨🏻 E13.1 couple with heart: man, man, medium-dark skin tone, light skin tone</t>
  </si>
  <si>
    <t>1F468 1F3FE 200D 2764 200D 1F468 1F3FB                 ; minimally-qualified # 👨🏾‍❤‍👨🏻 E13.1 couple with heart: man, man, medium-dark skin tone, light skin tone</t>
  </si>
  <si>
    <t>1F468 1F3FE 200D 2764 FE0F 200D 1F468 1F3FC            ; fully-qualified     # 👨🏾‍❤️‍👨🏼 E13.1 couple with heart: man, man, medium-dark skin tone, medium-light skin tone</t>
  </si>
  <si>
    <t>1F468 1F3FE 200D 2764 200D 1F468 1F3FC                 ; minimally-qualified # 👨🏾‍❤‍👨🏼 E13.1 couple with heart: man, man, medium-dark skin tone, medium-light skin tone</t>
  </si>
  <si>
    <t>1F468 1F3FE 200D 2764 FE0F 200D 1F468 1F3FD            ; fully-qualified     # 👨🏾‍❤️‍👨🏽 E13.1 couple with heart: man, man, medium-dark skin tone, medium skin tone</t>
  </si>
  <si>
    <t>1F468 1F3FE 200D 2764 200D 1F468 1F3FD                 ; minimally-qualified # 👨🏾‍❤‍👨🏽 E13.1 couple with heart: man, man, medium-dark skin tone, medium skin tone</t>
  </si>
  <si>
    <t>1F468 1F3FE 200D 2764 FE0F 200D 1F468 1F3FE            ; fully-qualified     # 👨🏾‍❤️‍👨🏾 E13.1 couple with heart: man, man, medium-dark skin tone</t>
  </si>
  <si>
    <t>1F468 1F3FE 200D 2764 200D 1F468 1F3FE                 ; minimally-qualified # 👨🏾‍❤‍👨🏾 E13.1 couple with heart: man, man, medium-dark skin tone</t>
  </si>
  <si>
    <t>1F468 1F3FE 200D 2764 FE0F 200D 1F468 1F3FF            ; fully-qualified     # 👨🏾‍❤️‍👨🏿 E13.1 couple with heart: man, man, medium-dark skin tone, dark skin tone</t>
  </si>
  <si>
    <t>1F468 1F3FE 200D 2764 200D 1F468 1F3FF                 ; minimally-qualified # 👨🏾‍❤‍👨🏿 E13.1 couple with heart: man, man, medium-dark skin tone, dark skin tone</t>
  </si>
  <si>
    <t>1F468 1F3FF 200D 2764 FE0F 200D 1F468 1F3FB            ; fully-qualified     # 👨🏿‍❤️‍👨🏻 E13.1 couple with heart: man, man, dark skin tone, light skin tone</t>
  </si>
  <si>
    <t>1F468 1F3FF 200D 2764 200D 1F468 1F3FB                 ; minimally-qualified # 👨🏿‍❤‍👨🏻 E13.1 couple with heart: man, man, dark skin tone, light skin tone</t>
  </si>
  <si>
    <t>1F468 1F3FF 200D 2764 FE0F 200D 1F468 1F3FC            ; fully-qualified     # 👨🏿‍❤️‍👨🏼 E13.1 couple with heart: man, man, dark skin tone, medium-light skin tone</t>
  </si>
  <si>
    <t>1F468 1F3FF 200D 2764 200D 1F468 1F3FC                 ; minimally-qualified # 👨🏿‍❤‍👨🏼 E13.1 couple with heart: man, man, dark skin tone, medium-light skin tone</t>
  </si>
  <si>
    <t>1F468 1F3FF 200D 2764 FE0F 200D 1F468 1F3FD            ; fully-qualified     # 👨🏿‍❤️‍👨🏽 E13.1 couple with heart: man, man, dark skin tone, medium skin tone</t>
  </si>
  <si>
    <t>1F468 1F3FF 200D 2764 200D 1F468 1F3FD                 ; minimally-qualified # 👨🏿‍❤‍👨🏽 E13.1 couple with heart: man, man, dark skin tone, medium skin tone</t>
  </si>
  <si>
    <t>1F468 1F3FF 200D 2764 FE0F 200D 1F468 1F3FE            ; fully-qualified     # 👨🏿‍❤️‍👨🏾 E13.1 couple with heart: man, man, dark skin tone, medium-dark skin tone</t>
  </si>
  <si>
    <t>1F468 1F3FF 200D 2764 200D 1F468 1F3FE                 ; minimally-qualified # 👨🏿‍❤‍👨🏾 E13.1 couple with heart: man, man, dark skin tone, medium-dark skin tone</t>
  </si>
  <si>
    <t>1F468 1F3FF 200D 2764 FE0F 200D 1F468 1F3FF            ; fully-qualified     # 👨🏿‍❤️‍👨🏿 E13.1 couple with heart: man, man, dark skin tone</t>
  </si>
  <si>
    <t>1F468 1F3FF 200D 2764 200D 1F468 1F3FF                 ; minimally-qualified # 👨🏿‍❤‍👨🏿 E13.1 couple with heart: man, man, dark skin tone</t>
  </si>
  <si>
    <t>1F469 200D 2764 FE0F 200D 1F469                        ; fully-qualified     # 👩‍❤️‍👩 E2.0 couple with heart: woman, woman</t>
  </si>
  <si>
    <t>1F469 200D 2764 200D 1F469                             ; minimally-qualified # 👩‍❤‍👩 E2.0 couple with heart: woman, woman</t>
  </si>
  <si>
    <t>1F469 1F3FB 200D 2764 FE0F 200D 1F469 1F3FB            ; fully-qualified     # 👩🏻‍❤️‍👩🏻 E13.1 couple with heart: woman, woman, light skin tone</t>
  </si>
  <si>
    <t>1F469 1F3FB 200D 2764 200D 1F469 1F3FB                 ; minimally-qualified # 👩🏻‍❤‍👩🏻 E13.1 couple with heart: woman, woman, light skin tone</t>
  </si>
  <si>
    <t>1F469 1F3FB 200D 2764 FE0F 200D 1F469 1F3FC            ; fully-qualified     # 👩🏻‍❤️‍👩🏼 E13.1 couple with heart: woman, woman, light skin tone, medium-light skin tone</t>
  </si>
  <si>
    <t>1F469 1F3FB 200D 2764 200D 1F469 1F3FC                 ; minimally-qualified # 👩🏻‍❤‍👩🏼 E13.1 couple with heart: woman, woman, light skin tone, medium-light skin tone</t>
  </si>
  <si>
    <t>1F469 1F3FB 200D 2764 FE0F 200D 1F469 1F3FD            ; fully-qualified     # 👩🏻‍❤️‍👩🏽 E13.1 couple with heart: woman, woman, light skin tone, medium skin tone</t>
  </si>
  <si>
    <t>1F469 1F3FB 200D 2764 200D 1F469 1F3FD                 ; minimally-qualified # 👩🏻‍❤‍👩🏽 E13.1 couple with heart: woman, woman, light skin tone, medium skin tone</t>
  </si>
  <si>
    <t>1F469 1F3FB 200D 2764 FE0F 200D 1F469 1F3FE            ; fully-qualified     # 👩🏻‍❤️‍👩🏾 E13.1 couple with heart: woman, woman, light skin tone, medium-dark skin tone</t>
  </si>
  <si>
    <t>1F469 1F3FB 200D 2764 200D 1F469 1F3FE                 ; minimally-qualified # 👩🏻‍❤‍👩🏾 E13.1 couple with heart: woman, woman, light skin tone, medium-dark skin tone</t>
  </si>
  <si>
    <t>1F469 1F3FB 200D 2764 FE0F 200D 1F469 1F3FF            ; fully-qualified     # 👩🏻‍❤️‍👩🏿 E13.1 couple with heart: woman, woman, light skin tone, dark skin tone</t>
  </si>
  <si>
    <t>1F469 1F3FB 200D 2764 200D 1F469 1F3FF                 ; minimally-qualified # 👩🏻‍❤‍👩🏿 E13.1 couple with heart: woman, woman, light skin tone, dark skin tone</t>
  </si>
  <si>
    <t>1F469 1F3FC 200D 2764 FE0F 200D 1F469 1F3FB            ; fully-qualified     # 👩🏼‍❤️‍👩🏻 E13.1 couple with heart: woman, woman, medium-light skin tone, light skin tone</t>
  </si>
  <si>
    <t>1F469 1F3FC 200D 2764 200D 1F469 1F3FB                 ; minimally-qualified # 👩🏼‍❤‍👩🏻 E13.1 couple with heart: woman, woman, medium-light skin tone, light skin tone</t>
  </si>
  <si>
    <t>1F469 1F3FC 200D 2764 FE0F 200D 1F469 1F3FC            ; fully-qualified     # 👩🏼‍❤️‍👩🏼 E13.1 couple with heart: woman, woman, medium-light skin tone</t>
  </si>
  <si>
    <t>1F469 1F3FC 200D 2764 200D 1F469 1F3FC                 ; minimally-qualified # 👩🏼‍❤‍👩🏼 E13.1 couple with heart: woman, woman, medium-light skin tone</t>
  </si>
  <si>
    <t>1F469 1F3FC 200D 2764 FE0F 200D 1F469 1F3FD            ; fully-qualified     # 👩🏼‍❤️‍👩🏽 E13.1 couple with heart: woman, woman, medium-light skin tone, medium skin tone</t>
  </si>
  <si>
    <t>1F469 1F3FC 200D 2764 200D 1F469 1F3FD                 ; minimally-qualified # 👩🏼‍❤‍👩🏽 E13.1 couple with heart: woman, woman, medium-light skin tone, medium skin tone</t>
  </si>
  <si>
    <t>1F469 1F3FC 200D 2764 FE0F 200D 1F469 1F3FE            ; fully-qualified     # 👩🏼‍❤️‍👩🏾 E13.1 couple with heart: woman, woman, medium-light skin tone, medium-dark skin tone</t>
  </si>
  <si>
    <t>1F469 1F3FC 200D 2764 200D 1F469 1F3FE                 ; minimally-qualified # 👩🏼‍❤‍👩🏾 E13.1 couple with heart: woman, woman, medium-light skin tone, medium-dark skin tone</t>
  </si>
  <si>
    <t>1F469 1F3FC 200D 2764 FE0F 200D 1F469 1F3FF            ; fully-qualified     # 👩🏼‍❤️‍👩🏿 E13.1 couple with heart: woman, woman, medium-light skin tone, dark skin tone</t>
  </si>
  <si>
    <t>1F469 1F3FC 200D 2764 200D 1F469 1F3FF                 ; minimally-qualified # 👩🏼‍❤‍👩🏿 E13.1 couple with heart: woman, woman, medium-light skin tone, dark skin tone</t>
  </si>
  <si>
    <t>1F469 1F3FD 200D 2764 FE0F 200D 1F469 1F3FB            ; fully-qualified     # 👩🏽‍❤️‍👩🏻 E13.1 couple with heart: woman, woman, medium skin tone, light skin tone</t>
  </si>
  <si>
    <t>1F469 1F3FD 200D 2764 200D 1F469 1F3FB                 ; minimally-qualified # 👩🏽‍❤‍👩🏻 E13.1 couple with heart: woman, woman, medium skin tone, light skin tone</t>
  </si>
  <si>
    <t>1F469 1F3FD 200D 2764 FE0F 200D 1F469 1F3FC            ; fully-qualified     # 👩🏽‍❤️‍👩🏼 E13.1 couple with heart: woman, woman, medium skin tone, medium-light skin tone</t>
  </si>
  <si>
    <t>1F469 1F3FD 200D 2764 200D 1F469 1F3FC                 ; minimally-qualified # 👩🏽‍❤‍👩🏼 E13.1 couple with heart: woman, woman, medium skin tone, medium-light skin tone</t>
  </si>
  <si>
    <t>1F469 1F3FD 200D 2764 FE0F 200D 1F469 1F3FD            ; fully-qualified     # 👩🏽‍❤️‍👩🏽 E13.1 couple with heart: woman, woman, medium skin tone</t>
  </si>
  <si>
    <t>1F469 1F3FD 200D 2764 200D 1F469 1F3FD                 ; minimally-qualified # 👩🏽‍❤‍👩🏽 E13.1 couple with heart: woman, woman, medium skin tone</t>
  </si>
  <si>
    <t>1F469 1F3FD 200D 2764 FE0F 200D 1F469 1F3FE            ; fully-qualified     # 👩🏽‍❤️‍👩🏾 E13.1 couple with heart: woman, woman, medium skin tone, medium-dark skin tone</t>
  </si>
  <si>
    <t>1F469 1F3FD 200D 2764 200D 1F469 1F3FE                 ; minimally-qualified # 👩🏽‍❤‍👩🏾 E13.1 couple with heart: woman, woman, medium skin tone, medium-dark skin tone</t>
  </si>
  <si>
    <t>1F469 1F3FD 200D 2764 FE0F 200D 1F469 1F3FF            ; fully-qualified     # 👩🏽‍❤️‍👩🏿 E13.1 couple with heart: woman, woman, medium skin tone, dark skin tone</t>
  </si>
  <si>
    <t>1F469 1F3FD 200D 2764 200D 1F469 1F3FF                 ; minimally-qualified # 👩🏽‍❤‍👩🏿 E13.1 couple with heart: woman, woman, medium skin tone, dark skin tone</t>
  </si>
  <si>
    <t>1F469 1F3FE 200D 2764 FE0F 200D 1F469 1F3FB            ; fully-qualified     # 👩🏾‍❤️‍👩🏻 E13.1 couple with heart: woman, woman, medium-dark skin tone, light skin tone</t>
  </si>
  <si>
    <t>1F469 1F3FE 200D 2764 200D 1F469 1F3FB                 ; minimally-qualified # 👩🏾‍❤‍👩🏻 E13.1 couple with heart: woman, woman, medium-dark skin tone, light skin tone</t>
  </si>
  <si>
    <t>1F469 1F3FE 200D 2764 FE0F 200D 1F469 1F3FC            ; fully-qualified     # 👩🏾‍❤️‍👩🏼 E13.1 couple with heart: woman, woman, medium-dark skin tone, medium-light skin tone</t>
  </si>
  <si>
    <t>1F469 1F3FE 200D 2764 200D 1F469 1F3FC                 ; minimally-qualified # 👩🏾‍❤‍👩🏼 E13.1 couple with heart: woman, woman, medium-dark skin tone, medium-light skin tone</t>
  </si>
  <si>
    <t>1F469 1F3FE 200D 2764 FE0F 200D 1F469 1F3FD            ; fully-qualified     # 👩🏾‍❤️‍👩🏽 E13.1 couple with heart: woman, woman, medium-dark skin tone, medium skin tone</t>
  </si>
  <si>
    <t>1F469 1F3FE 200D 2764 200D 1F469 1F3FD                 ; minimally-qualified # 👩🏾‍❤‍👩🏽 E13.1 couple with heart: woman, woman, medium-dark skin tone, medium skin tone</t>
  </si>
  <si>
    <t>1F469 1F3FE 200D 2764 FE0F 200D 1F469 1F3FE            ; fully-qualified     # 👩🏾‍❤️‍👩🏾 E13.1 couple with heart: woman, woman, medium-dark skin tone</t>
  </si>
  <si>
    <t>1F469 1F3FE 200D 2764 200D 1F469 1F3FE                 ; minimally-qualified # 👩🏾‍❤‍👩🏾 E13.1 couple with heart: woman, woman, medium-dark skin tone</t>
  </si>
  <si>
    <t>1F469 1F3FE 200D 2764 FE0F 200D 1F469 1F3FF            ; fully-qualified     # 👩🏾‍❤️‍👩🏿 E13.1 couple with heart: woman, woman, medium-dark skin tone, dark skin tone</t>
  </si>
  <si>
    <t>1F469 1F3FE 200D 2764 200D 1F469 1F3FF                 ; minimally-qualified # 👩🏾‍❤‍👩🏿 E13.1 couple with heart: woman, woman, medium-dark skin tone, dark skin tone</t>
  </si>
  <si>
    <t>1F469 1F3FF 200D 2764 FE0F 200D 1F469 1F3FB            ; fully-qualified     # 👩🏿‍❤️‍👩🏻 E13.1 couple with heart: woman, woman, dark skin tone, light skin tone</t>
  </si>
  <si>
    <t>1F469 1F3FF 200D 2764 200D 1F469 1F3FB                 ; minimally-qualified # 👩🏿‍❤‍👩🏻 E13.1 couple with heart: woman, woman, dark skin tone, light skin tone</t>
  </si>
  <si>
    <t>1F469 1F3FF 200D 2764 FE0F 200D 1F469 1F3FC            ; fully-qualified     # 👩🏿‍❤️‍👩🏼 E13.1 couple with heart: woman, woman, dark skin tone, medium-light skin tone</t>
  </si>
  <si>
    <t>1F469 1F3FF 200D 2764 200D 1F469 1F3FC                 ; minimally-qualified # 👩🏿‍❤‍👩🏼 E13.1 couple with heart: woman, woman, dark skin tone, medium-light skin tone</t>
  </si>
  <si>
    <t>1F469 1F3FF 200D 2764 FE0F 200D 1F469 1F3FD            ; fully-qualified     # 👩🏿‍❤️‍👩🏽 E13.1 couple with heart: woman, woman, dark skin tone, medium skin tone</t>
  </si>
  <si>
    <t>1F469 1F3FF 200D 2764 200D 1F469 1F3FD                 ; minimally-qualified # 👩🏿‍❤‍👩🏽 E13.1 couple with heart: woman, woman, dark skin tone, medium skin tone</t>
  </si>
  <si>
    <t>1F469 1F3FF 200D 2764 FE0F 200D 1F469 1F3FE            ; fully-qualified     # 👩🏿‍❤️‍👩🏾 E13.1 couple with heart: woman, woman, dark skin tone, medium-dark skin tone</t>
  </si>
  <si>
    <t>1F469 1F3FF 200D 2764 200D 1F469 1F3FE                 ; minimally-qualified # 👩🏿‍❤‍👩🏾 E13.1 couple with heart: woman, woman, dark skin tone, medium-dark skin tone</t>
  </si>
  <si>
    <t>1F469 1F3FF 200D 2764 FE0F 200D 1F469 1F3FF            ; fully-qualified     # 👩🏿‍❤️‍👩🏿 E13.1 couple with heart: woman, woman, dark skin tone</t>
  </si>
  <si>
    <t>1F469 1F3FF 200D 2764 200D 1F469 1F3FF                 ; minimally-qualified # 👩🏿‍❤‍👩🏿 E13.1 couple with heart: woman, woman, dark skin tone</t>
  </si>
  <si>
    <t>1F46A                                                  ; fully-qualified     # 👪 E0.6 family</t>
  </si>
  <si>
    <t>1F468 200D 1F469 200D 1F466                            ; fully-qualified     # 👨‍👩‍👦 E2.0 family: man, woman, boy</t>
  </si>
  <si>
    <t>1F468 200D 1F469 200D 1F467                            ; fully-qualified     # 👨‍👩‍👧 E2.0 family: man, woman, girl</t>
  </si>
  <si>
    <t>1F468 200D 1F469 200D 1F467 200D 1F466                 ; fully-qualified     # 👨‍👩‍👧‍👦 E2.0 family: man, woman, girl, boy</t>
  </si>
  <si>
    <t>1F468 200D 1F469 200D 1F466 200D 1F466                 ; fully-qualified     # 👨‍👩‍👦‍👦 E2.0 family: man, woman, boy, boy</t>
  </si>
  <si>
    <t>1F468 200D 1F469 200D 1F467 200D 1F467                 ; fully-qualified     # 👨‍👩‍👧‍👧 E2.0 family: man, woman, girl, girl</t>
  </si>
  <si>
    <t>1F468 200D 1F468 200D 1F466                            ; fully-qualified     # 👨‍👨‍👦 E2.0 family: man, man, boy</t>
  </si>
  <si>
    <t>1F468 200D 1F468 200D 1F467                            ; fully-qualified     # 👨‍👨‍👧 E2.0 family: man, man, girl</t>
  </si>
  <si>
    <t>1F468 200D 1F468 200D 1F467 200D 1F466                 ; fully-qualified     # 👨‍👨‍👧‍👦 E2.0 family: man, man, girl, boy</t>
  </si>
  <si>
    <t>1F468 200D 1F468 200D 1F466 200D 1F466                 ; fully-qualified     # 👨‍👨‍👦‍👦 E2.0 family: man, man, boy, boy</t>
  </si>
  <si>
    <t>1F468 200D 1F468 200D 1F467 200D 1F467                 ; fully-qualified     # 👨‍👨‍👧‍👧 E2.0 family: man, man, girl, girl</t>
  </si>
  <si>
    <t>1F469 200D 1F469 200D 1F466                            ; fully-qualified     # 👩‍👩‍👦 E2.0 family: woman, woman, boy</t>
  </si>
  <si>
    <t>1F469 200D 1F469 200D 1F467                            ; fully-qualified     # 👩‍👩‍👧 E2.0 family: woman, woman, girl</t>
  </si>
  <si>
    <t>1F469 200D 1F469 200D 1F467 200D 1F466                 ; fully-qualified     # 👩‍👩‍👧‍👦 E2.0 family: woman, woman, girl, boy</t>
  </si>
  <si>
    <t>1F469 200D 1F469 200D 1F466 200D 1F466                 ; fully-qualified     # 👩‍👩‍👦‍👦 E2.0 family: woman, woman, boy, boy</t>
  </si>
  <si>
    <t>1F469 200D 1F469 200D 1F467 200D 1F467                 ; fully-qualified     # 👩‍👩‍👧‍👧 E2.0 family: woman, woman, girl, girl</t>
  </si>
  <si>
    <t>1F468 200D 1F466                                       ; fully-qualified     # 👨‍👦 E4.0 family: man, boy</t>
  </si>
  <si>
    <t>1F468 200D 1F466 200D 1F466                            ; fully-qualified     # 👨‍👦‍👦 E4.0 family: man, boy, boy</t>
  </si>
  <si>
    <t>1F468 200D 1F467                                       ; fully-qualified     # 👨‍👧 E4.0 family: man, girl</t>
  </si>
  <si>
    <t>1F468 200D 1F467 200D 1F466                            ; fully-qualified     # 👨‍👧‍👦 E4.0 family: man, girl, boy</t>
  </si>
  <si>
    <t>1F468 200D 1F467 200D 1F467                            ; fully-qualified     # 👨‍👧‍👧 E4.0 family: man, girl, girl</t>
  </si>
  <si>
    <t>1F469 200D 1F466                                       ; fully-qualified     # 👩‍👦 E4.0 family: woman, boy</t>
  </si>
  <si>
    <t>1F469 200D 1F466 200D 1F466                            ; fully-qualified     # 👩‍👦‍👦 E4.0 family: woman, boy, boy</t>
  </si>
  <si>
    <t>1F469 200D 1F467                                       ; fully-qualified     # 👩‍👧 E4.0 family: woman, girl</t>
  </si>
  <si>
    <t>1F469 200D 1F467 200D 1F466                            ; fully-qualified     # 👩‍👧‍👦 E4.0 family: woman, girl, boy</t>
  </si>
  <si>
    <t>1F469 200D 1F467 200D 1F467                            ; fully-qualified     # 👩‍👧‍👧 E4.0 family: woman, girl, girl</t>
  </si>
  <si>
    <t># subgroup: person-symbol</t>
  </si>
  <si>
    <t>1F5E3 FE0F                                             ; fully-qualified     # 🗣️ E0.7 speaking head</t>
  </si>
  <si>
    <t>1F5E3                                                  ; unqualified         # 🗣 E0.7 speaking head</t>
  </si>
  <si>
    <t>1F464                                                  ; fully-qualified     # 👤 E0.6 bust in silhouette</t>
  </si>
  <si>
    <t>1F465                                                  ; fully-qualified     # 👥 E1.0 busts in silhouette</t>
  </si>
  <si>
    <t>1FAC2                                                  ; fully-qualified     # 🫂 E13.0 people hugging</t>
  </si>
  <si>
    <t>1F463                                                  ; fully-qualified     # 👣 E0.6 footprints</t>
  </si>
  <si>
    <t># People &amp; Body subtotal:               2899</t>
  </si>
  <si>
    <t># People &amp; Body subtotal:               494     w/o modifiers</t>
  </si>
  <si>
    <t># group: Component</t>
  </si>
  <si>
    <t># subgroup: skin-tone</t>
  </si>
  <si>
    <t>1F3FB                                                  ; component           # 🏻 E1.0 light skin tone</t>
  </si>
  <si>
    <t>1F3FC                                                  ; component           # 🏼 E1.0 medium-light skin tone</t>
  </si>
  <si>
    <t>1F3FD                                                  ; component           # 🏽 E1.0 medium skin tone</t>
  </si>
  <si>
    <t>1F3FE                                                  ; component           # 🏾 E1.0 medium-dark skin tone</t>
  </si>
  <si>
    <t>1F3FF                                                  ; component           # 🏿 E1.0 dark skin tone</t>
  </si>
  <si>
    <t># subgroup: hair-style</t>
  </si>
  <si>
    <t>1F9B0                                                  ; component           # 🦰 E11.0 red hair</t>
  </si>
  <si>
    <t>1F9B1                                                  ; component           # 🦱 E11.0 curly hair</t>
  </si>
  <si>
    <t>1F9B3                                                  ; component           # 🦳 E11.0 white hair</t>
  </si>
  <si>
    <t>1F9B2                                                  ; component           # 🦲 E11.0 bald</t>
  </si>
  <si>
    <t># Component subtotal:           9</t>
  </si>
  <si>
    <t># Component subtotal:           4       w/o modifiers</t>
  </si>
  <si>
    <t># group: Animals &amp; Nature</t>
  </si>
  <si>
    <t># subgroup: animal-mammal</t>
  </si>
  <si>
    <t>1F435                                                  ; fully-qualified     # 🐵 E0.6 monkey face</t>
  </si>
  <si>
    <t>1F412                                                  ; fully-qualified     # 🐒 E0.6 monkey</t>
  </si>
  <si>
    <t>1F98D                                                  ; fully-qualified     # 🦍 E3.0 gorilla</t>
  </si>
  <si>
    <t>1F9A7                                                  ; fully-qualified     # 🦧 E12.0 orangutan</t>
  </si>
  <si>
    <t>1F436                                                  ; fully-qualified     # 🐶 E0.6 dog face</t>
  </si>
  <si>
    <t>1F415                                                  ; fully-qualified     # 🐕 E0.7 dog</t>
  </si>
  <si>
    <t>1F9AE                                                  ; fully-qualified     # 🦮 E12.0 guide dog</t>
  </si>
  <si>
    <t>1F415 200D 1F9BA                                       ; fully-qualified     # 🐕‍🦺 E12.0 service dog</t>
  </si>
  <si>
    <t>1F429                                                  ; fully-qualified     # 🐩 E0.6 poodle</t>
  </si>
  <si>
    <t>1F43A                                                  ; fully-qualified     # 🐺 E0.6 wolf</t>
  </si>
  <si>
    <t>1F98A                                                  ; fully-qualified     # 🦊 E3.0 fox</t>
  </si>
  <si>
    <t>1F99D                                                  ; fully-qualified     # 🦝 E11.0 raccoon</t>
  </si>
  <si>
    <t>1F431                                                  ; fully-qualified     # 🐱 E0.6 cat face</t>
  </si>
  <si>
    <t>1F408                                                  ; fully-qualified     # 🐈 E0.7 cat</t>
  </si>
  <si>
    <t>1F408 200D 2B1B                                        ; fully-qualified     # 🐈‍⬛ E13.0 black cat</t>
  </si>
  <si>
    <t>1F981                                                  ; fully-qualified     # 🦁 E1.0 lion</t>
  </si>
  <si>
    <t>1F42F                                                  ; fully-qualified     # 🐯 E0.6 tiger face</t>
  </si>
  <si>
    <t>1F405                                                  ; fully-qualified     # 🐅 E1.0 tiger</t>
  </si>
  <si>
    <t>1F406                                                  ; fully-qualified     # 🐆 E1.0 leopard</t>
  </si>
  <si>
    <t>1F434                                                  ; fully-qualified     # 🐴 E0.6 horse face</t>
  </si>
  <si>
    <t>1F40E                                                  ; fully-qualified     # 🐎 E0.6 horse</t>
  </si>
  <si>
    <t>1F984                                                  ; fully-qualified     # 🦄 E1.0 unicorn</t>
  </si>
  <si>
    <t>1F993                                                  ; fully-qualified     # 🦓 E5.0 zebra</t>
  </si>
  <si>
    <t>1F98C                                                  ; fully-qualified     # 🦌 E3.0 deer</t>
  </si>
  <si>
    <t>1F9AC                                                  ; fully-qualified     # 🦬 E13.0 bison</t>
  </si>
  <si>
    <t>1F42E                                                  ; fully-qualified     # 🐮 E0.6 cow face</t>
  </si>
  <si>
    <t>1F402                                                  ; fully-qualified     # 🐂 E1.0 ox</t>
  </si>
  <si>
    <t>1F403                                                  ; fully-qualified     # 🐃 E1.0 water buffalo</t>
  </si>
  <si>
    <t>1F404                                                  ; fully-qualified     # 🐄 E1.0 cow</t>
  </si>
  <si>
    <t>1F437                                                  ; fully-qualified     # 🐷 E0.6 pig face</t>
  </si>
  <si>
    <t>1F416                                                  ; fully-qualified     # 🐖 E1.0 pig</t>
  </si>
  <si>
    <t>1F417                                                  ; fully-qualified     # 🐗 E0.6 boar</t>
  </si>
  <si>
    <t>1F43D                                                  ; fully-qualified     # 🐽 E0.6 pig nose</t>
  </si>
  <si>
    <t>1F40F                                                  ; fully-qualified     # 🐏 E1.0 ram</t>
  </si>
  <si>
    <t>1F411                                                  ; fully-qualified     # 🐑 E0.6 ewe</t>
  </si>
  <si>
    <t>1F410                                                  ; fully-qualified     # 🐐 E1.0 goat</t>
  </si>
  <si>
    <t>1F42A                                                  ; fully-qualified     # 🐪 E1.0 camel</t>
  </si>
  <si>
    <t>1F42B                                                  ; fully-qualified     # 🐫 E0.6 two-hump camel</t>
  </si>
  <si>
    <t>1F999                                                  ; fully-qualified     # 🦙 E11.0 llama</t>
  </si>
  <si>
    <t>1F992                                                  ; fully-qualified     # 🦒 E5.0 giraffe</t>
  </si>
  <si>
    <t>1F418                                                  ; fully-qualified     # 🐘 E0.6 elephant</t>
  </si>
  <si>
    <t>1F9A3                                                  ; fully-qualified     # 🦣 E13.0 mammoth</t>
  </si>
  <si>
    <t>1F98F                                                  ; fully-qualified     # 🦏 E3.0 rhinoceros</t>
  </si>
  <si>
    <t>1F99B                                                  ; fully-qualified     # 🦛 E11.0 hippopotamus</t>
  </si>
  <si>
    <t>1F42D                                                  ; fully-qualified     # 🐭 E0.6 mouse face</t>
  </si>
  <si>
    <t>1F401                                                  ; fully-qualified     # 🐁 E1.0 mouse</t>
  </si>
  <si>
    <t>1F400                                                  ; fully-qualified     # 🐀 E1.0 rat</t>
  </si>
  <si>
    <t>1F439                                                  ; fully-qualified     # 🐹 E0.6 hamster</t>
  </si>
  <si>
    <t>1F430                                                  ; fully-qualified     # 🐰 E0.6 rabbit face</t>
  </si>
  <si>
    <t>1F407                                                  ; fully-qualified     # 🐇 E1.0 rabbit</t>
  </si>
  <si>
    <t>1F43F FE0F                                             ; fully-qualified     # 🐿️ E0.7 chipmunk</t>
  </si>
  <si>
    <t>1F43F                                                  ; unqualified         # 🐿 E0.7 chipmunk</t>
  </si>
  <si>
    <t>1F9AB                                                  ; fully-qualified     # 🦫 E13.0 beaver</t>
  </si>
  <si>
    <t>1F994                                                  ; fully-qualified     # 🦔 E5.0 hedgehog</t>
  </si>
  <si>
    <t>1F987                                                  ; fully-qualified     # 🦇 E3.0 bat</t>
  </si>
  <si>
    <t>1F43B                                                  ; fully-qualified     # 🐻 E0.6 bear</t>
  </si>
  <si>
    <t>1F43B 200D 2744 FE0F                                   ; fully-qualified     # 🐻‍❄️ E13.0 polar bear</t>
  </si>
  <si>
    <t>1F43B 200D 2744                                        ; minimally-qualified # 🐻‍❄ E13.0 polar bear</t>
  </si>
  <si>
    <t>1F428                                                  ; fully-qualified     # 🐨 E0.6 koala</t>
  </si>
  <si>
    <t>1F43C                                                  ; fully-qualified     # 🐼 E0.6 panda</t>
  </si>
  <si>
    <t>1F9A5                                                  ; fully-qualified     # 🦥 E12.0 sloth</t>
  </si>
  <si>
    <t>1F9A6                                                  ; fully-qualified     # 🦦 E12.0 otter</t>
  </si>
  <si>
    <t>1F9A8                                                  ; fully-qualified     # 🦨 E12.0 skunk</t>
  </si>
  <si>
    <t>1F998                                                  ; fully-qualified     # 🦘 E11.0 kangaroo</t>
  </si>
  <si>
    <t>1F9A1                                                  ; fully-qualified     # 🦡 E11.0 badger</t>
  </si>
  <si>
    <t>1F43E                                                  ; fully-qualified     # 🐾 E0.6 paw prints</t>
  </si>
  <si>
    <t># subgroup: animal-bird</t>
  </si>
  <si>
    <t>1F983                                                  ; fully-qualified     # 🦃 E1.0 turkey</t>
  </si>
  <si>
    <t>1F414                                                  ; fully-qualified     # 🐔 E0.6 chicken</t>
  </si>
  <si>
    <t>1F413                                                  ; fully-qualified     # 🐓 E1.0 rooster</t>
  </si>
  <si>
    <t>1F423                                                  ; fully-qualified     # 🐣 E0.6 hatching chick</t>
  </si>
  <si>
    <t>1F424                                                  ; fully-qualified     # 🐤 E0.6 baby chick</t>
  </si>
  <si>
    <t>1F425                                                  ; fully-qualified     # 🐥 E0.6 front-facing baby chick</t>
  </si>
  <si>
    <t>1F426                                                  ; fully-qualified     # 🐦 E0.6 bird</t>
  </si>
  <si>
    <t>1F427                                                  ; fully-qualified     # 🐧 E0.6 penguin</t>
  </si>
  <si>
    <t>1F54A FE0F                                             ; fully-qualified     # 🕊️ E0.7 dove</t>
  </si>
  <si>
    <t>1F54A                                                  ; unqualified         # 🕊 E0.7 dove</t>
  </si>
  <si>
    <t>1F985                                                  ; fully-qualified     # 🦅 E3.0 eagle</t>
  </si>
  <si>
    <t>1F986                                                  ; fully-qualified     # 🦆 E3.0 duck</t>
  </si>
  <si>
    <t>1F9A2                                                  ; fully-qualified     # 🦢 E11.0 swan</t>
  </si>
  <si>
    <t>1F989                                                  ; fully-qualified     # 🦉 E3.0 owl</t>
  </si>
  <si>
    <t>1F9A4                                                  ; fully-qualified     # 🦤 E13.0 dodo</t>
  </si>
  <si>
    <t>1FAB6                                                  ; fully-qualified     # 🪶 E13.0 feather</t>
  </si>
  <si>
    <t>1F9A9                                                  ; fully-qualified     # 🦩 E12.0 flamingo</t>
  </si>
  <si>
    <t>1F99A                                                  ; fully-qualified     # 🦚 E11.0 peacock</t>
  </si>
  <si>
    <t>1F99C                                                  ; fully-qualified     # 🦜 E11.0 parrot</t>
  </si>
  <si>
    <t># subgroup: animal-amphibian</t>
  </si>
  <si>
    <t>1F438                                                  ; fully-qualified     # 🐸 E0.6 frog</t>
  </si>
  <si>
    <t># subgroup: animal-reptile</t>
  </si>
  <si>
    <t>1F40A                                                  ; fully-qualified     # 🐊 E1.0 crocodile</t>
  </si>
  <si>
    <t>1F422                                                  ; fully-qualified     # 🐢 E0.6 turtle</t>
  </si>
  <si>
    <t>1F98E                                                  ; fully-qualified     # 🦎 E3.0 lizard</t>
  </si>
  <si>
    <t>1F40D                                                  ; fully-qualified     # 🐍 E0.6 snake</t>
  </si>
  <si>
    <t>1F432                                                  ; fully-qualified     # 🐲 E0.6 dragon face</t>
  </si>
  <si>
    <t>1F409                                                  ; fully-qualified     # 🐉 E1.0 dragon</t>
  </si>
  <si>
    <t>1F995                                                  ; fully-qualified     # 🦕 E5.0 sauropod</t>
  </si>
  <si>
    <t>1F996                                                  ; fully-qualified     # 🦖 E5.0 T-Rex</t>
  </si>
  <si>
    <t># subgroup: animal-marine</t>
  </si>
  <si>
    <t>1F433                                                  ; fully-qualified     # 🐳 E0.6 spouting whale</t>
  </si>
  <si>
    <t>1F40B                                                  ; fully-qualified     # 🐋 E1.0 whale</t>
  </si>
  <si>
    <t>1F42C                                                  ; fully-qualified     # 🐬 E0.6 dolphin</t>
  </si>
  <si>
    <t>1F9AD                                                  ; fully-qualified     # 🦭 E13.0 seal</t>
  </si>
  <si>
    <t>1F41F                                                  ; fully-qualified     # 🐟 E0.6 fish</t>
  </si>
  <si>
    <t>1F420                                                  ; fully-qualified     # 🐠 E0.6 tropical fish</t>
  </si>
  <si>
    <t>1F421                                                  ; fully-qualified     # 🐡 E0.6 blowfish</t>
  </si>
  <si>
    <t>1F988                                                  ; fully-qualified     # 🦈 E3.0 shark</t>
  </si>
  <si>
    <t>1F419                                                  ; fully-qualified     # 🐙 E0.6 octopus</t>
  </si>
  <si>
    <t>1F41A                                                  ; fully-qualified     # 🐚 E0.6 spiral shell</t>
  </si>
  <si>
    <t># subgroup: animal-bug</t>
  </si>
  <si>
    <t>1F40C                                                  ; fully-qualified     # 🐌 E0.6 snail</t>
  </si>
  <si>
    <t>1F98B                                                  ; fully-qualified     # 🦋 E3.0 butterfly</t>
  </si>
  <si>
    <t>1F41B                                                  ; fully-qualified     # 🐛 E0.6 bug</t>
  </si>
  <si>
    <t>1F41C                                                  ; fully-qualified     # 🐜 E0.6 ant</t>
  </si>
  <si>
    <t>1F41D                                                  ; fully-qualified     # 🐝 E0.6 honeybee</t>
  </si>
  <si>
    <t>1FAB2                                                  ; fully-qualified     # 🪲 E13.0 beetle</t>
  </si>
  <si>
    <t>1F41E                                                  ; fully-qualified     # 🐞 E0.6 lady beetle</t>
  </si>
  <si>
    <t>1F997                                                  ; fully-qualified     # 🦗 E5.0 cricket</t>
  </si>
  <si>
    <t>1FAB3                                                  ; fully-qualified     # 🪳 E13.0 cockroach</t>
  </si>
  <si>
    <t>1F577 FE0F                                             ; fully-qualified     # 🕷️ E0.7 spider</t>
  </si>
  <si>
    <t>1F577                                                  ; unqualified         # 🕷 E0.7 spider</t>
  </si>
  <si>
    <t>1F578 FE0F                                             ; fully-qualified     # 🕸️ E0.7 spider web</t>
  </si>
  <si>
    <t>1F578                                                  ; unqualified         # 🕸 E0.7 spider web</t>
  </si>
  <si>
    <t>1F982                                                  ; fully-qualified     # 🦂 E1.0 scorpion</t>
  </si>
  <si>
    <t>1F99F                                                  ; fully-qualified     # 🦟 E11.0 mosquito</t>
  </si>
  <si>
    <t>1FAB0                                                  ; fully-qualified     # 🪰 E13.0 fly</t>
  </si>
  <si>
    <t>1FAB1                                                  ; fully-qualified     # 🪱 E13.0 worm</t>
  </si>
  <si>
    <t>1F9A0                                                  ; fully-qualified     # 🦠 E11.0 microbe</t>
  </si>
  <si>
    <t># subgroup: plant-flower</t>
  </si>
  <si>
    <t>1F490                                                  ; fully-qualified     # 💐 E0.6 bouquet</t>
  </si>
  <si>
    <t>1F338                                                  ; fully-qualified     # 🌸 E0.6 cherry blossom</t>
  </si>
  <si>
    <t>1F4AE                                                  ; fully-qualified     # 💮 E0.6 white flower</t>
  </si>
  <si>
    <t>1F3F5 FE0F                                             ; fully-qualified     # 🏵️ E0.7 rosette</t>
  </si>
  <si>
    <t>1F3F5                                                  ; unqualified         # 🏵 E0.7 rosette</t>
  </si>
  <si>
    <t>1F339                                                  ; fully-qualified     # 🌹 E0.6 rose</t>
  </si>
  <si>
    <t>1F940                                                  ; fully-qualified     # 🥀 E3.0 wilted flower</t>
  </si>
  <si>
    <t>1F33A                                                  ; fully-qualified     # 🌺 E0.6 hibiscus</t>
  </si>
  <si>
    <t>1F33B                                                  ; fully-qualified     # 🌻 E0.6 sunflower</t>
  </si>
  <si>
    <t>1F33C                                                  ; fully-qualified     # 🌼 E0.6 blossom</t>
  </si>
  <si>
    <t>1F337                                                  ; fully-qualified     # 🌷 E0.6 tulip</t>
  </si>
  <si>
    <t># subgroup: plant-other</t>
  </si>
  <si>
    <t>1F331                                                  ; fully-qualified     # 🌱 E0.6 seedling</t>
  </si>
  <si>
    <t>1FAB4                                                  ; fully-qualified     # 🪴 E13.0 potted plant</t>
  </si>
  <si>
    <t>1F332                                                  ; fully-qualified     # 🌲 E1.0 evergreen tree</t>
  </si>
  <si>
    <t>1F333                                                  ; fully-qualified     # 🌳 E1.0 deciduous tree</t>
  </si>
  <si>
    <t>1F334                                                  ; fully-qualified     # 🌴 E0.6 palm tree</t>
  </si>
  <si>
    <t>1F335                                                  ; fully-qualified     # 🌵 E0.6 cactus</t>
  </si>
  <si>
    <t>1F33E                                                  ; fully-qualified     # 🌾 E0.6 sheaf of rice</t>
  </si>
  <si>
    <t>1F33F                                                  ; fully-qualified     # 🌿 E0.6 herb</t>
  </si>
  <si>
    <t>2618 FE0F                                              ; fully-qualified     # ☘️ E1.0 shamrock</t>
  </si>
  <si>
    <t>2618                                                   ; unqualified         # ☘ E1.0 shamrock</t>
  </si>
  <si>
    <t>1F340                                                  ; fully-qualified     # 🍀 E0.6 four leaf clover</t>
  </si>
  <si>
    <t>1F341                                                  ; fully-qualified     # 🍁 E0.6 maple leaf</t>
  </si>
  <si>
    <t>1F342                                                  ; fully-qualified     # 🍂 E0.6 fallen leaf</t>
  </si>
  <si>
    <t>1F343                                                  ; fully-qualified     # 🍃 E0.6 leaf fluttering in wind</t>
  </si>
  <si>
    <t># Animals &amp; Nature subtotal:            147</t>
  </si>
  <si>
    <t># Animals &amp; Nature subtotal:            147     w/o modifiers</t>
  </si>
  <si>
    <t># group: Food &amp; Drink</t>
  </si>
  <si>
    <t># subgroup: food-fruit</t>
  </si>
  <si>
    <t>1F347                                                  ; fully-qualified     # 🍇 E0.6 grapes</t>
  </si>
  <si>
    <t>1F348                                                  ; fully-qualified     # 🍈 E0.6 melon</t>
  </si>
  <si>
    <t>1F349                                                  ; fully-qualified     # 🍉 E0.6 watermelon</t>
  </si>
  <si>
    <t>1F34A                                                  ; fully-qualified     # 🍊 E0.6 tangerine</t>
  </si>
  <si>
    <t>1F34B                                                  ; fully-qualified     # 🍋 E1.0 lemon</t>
  </si>
  <si>
    <t>1F34C                                                  ; fully-qualified     # 🍌 E0.6 banana</t>
  </si>
  <si>
    <t>1F34D                                                  ; fully-qualified     # 🍍 E0.6 pineapple</t>
  </si>
  <si>
    <t>1F96D                                                  ; fully-qualified     # 🥭 E11.0 mango</t>
  </si>
  <si>
    <t>1F34E                                                  ; fully-qualified     # 🍎 E0.6 red apple</t>
  </si>
  <si>
    <t>1F34F                                                  ; fully-qualified     # 🍏 E0.6 green apple</t>
  </si>
  <si>
    <t>1F350                                                  ; fully-qualified     # 🍐 E1.0 pear</t>
  </si>
  <si>
    <t>1F351                                                  ; fully-qualified     # 🍑 E0.6 peach</t>
  </si>
  <si>
    <t>1F352                                                  ; fully-qualified     # 🍒 E0.6 cherries</t>
  </si>
  <si>
    <t>1F353                                                  ; fully-qualified     # 🍓 E0.6 strawberry</t>
  </si>
  <si>
    <t>1FAD0                                                  ; fully-qualified     # 🫐 E13.0 blueberries</t>
  </si>
  <si>
    <t>1F95D                                                  ; fully-qualified     # 🥝 E3.0 kiwi fruit</t>
  </si>
  <si>
    <t>1F345                                                  ; fully-qualified     # 🍅 E0.6 tomato</t>
  </si>
  <si>
    <t>1FAD2                                                  ; fully-qualified     # 🫒 E13.0 olive</t>
  </si>
  <si>
    <t>1F965                                                  ; fully-qualified     # 🥥 E5.0 coconut</t>
  </si>
  <si>
    <t># subgroup: food-vegetable</t>
  </si>
  <si>
    <t>1F951                                                  ; fully-qualified     # 🥑 E3.0 avocado</t>
  </si>
  <si>
    <t>1F346                                                  ; fully-qualified     # 🍆 E0.6 eggplant</t>
  </si>
  <si>
    <t>1F954                                                  ; fully-qualified     # 🥔 E3.0 potato</t>
  </si>
  <si>
    <t>1F955                                                  ; fully-qualified     # 🥕 E3.0 carrot</t>
  </si>
  <si>
    <t>1F33D                                                  ; fully-qualified     # 🌽 E0.6 ear of corn</t>
  </si>
  <si>
    <t>1F336 FE0F                                             ; fully-qualified     # 🌶️ E0.7 hot pepper</t>
  </si>
  <si>
    <t>1F336                                                  ; unqualified         # 🌶 E0.7 hot pepper</t>
  </si>
  <si>
    <t>1FAD1                                                  ; fully-qualified     # 🫑 E13.0 bell pepper</t>
  </si>
  <si>
    <t>1F952                                                  ; fully-qualified     # 🥒 E3.0 cucumber</t>
  </si>
  <si>
    <t>1F96C                                                  ; fully-qualified     # 🥬 E11.0 leafy green</t>
  </si>
  <si>
    <t>1F966                                                  ; fully-qualified     # 🥦 E5.0 broccoli</t>
  </si>
  <si>
    <t>1F9C4                                                  ; fully-qualified     # 🧄 E12.0 garlic</t>
  </si>
  <si>
    <t>1F9C5                                                  ; fully-qualified     # 🧅 E12.0 onion</t>
  </si>
  <si>
    <t>1F344                                                  ; fully-qualified     # 🍄 E0.6 mushroom</t>
  </si>
  <si>
    <t>1F95C                                                  ; fully-qualified     # 🥜 E3.0 peanuts</t>
  </si>
  <si>
    <t>1F330                                                  ; fully-qualified     # 🌰 E0.6 chestnut</t>
  </si>
  <si>
    <t># subgroup: food-prepared</t>
  </si>
  <si>
    <t>1F35E                                                  ; fully-qualified     # 🍞 E0.6 bread</t>
  </si>
  <si>
    <t>1F950                                                  ; fully-qualified     # 🥐 E3.0 croissant</t>
  </si>
  <si>
    <t>1F956                                                  ; fully-qualified     # 🥖 E3.0 baguette bread</t>
  </si>
  <si>
    <t>1FAD3                                                  ; fully-qualified     # 🫓 E13.0 flatbread</t>
  </si>
  <si>
    <t>1F968                                                  ; fully-qualified     # 🥨 E5.0 pretzel</t>
  </si>
  <si>
    <t>1F96F                                                  ; fully-qualified     # 🥯 E11.0 bagel</t>
  </si>
  <si>
    <t>1F95E                                                  ; fully-qualified     # 🥞 E3.0 pancakes</t>
  </si>
  <si>
    <t>1F9C7                                                  ; fully-qualified     # 🧇 E12.0 waffle</t>
  </si>
  <si>
    <t>1F9C0                                                  ; fully-qualified     # 🧀 E1.0 cheese wedge</t>
  </si>
  <si>
    <t>1F356                                                  ; fully-qualified     # 🍖 E0.6 meat on bone</t>
  </si>
  <si>
    <t>1F357                                                  ; fully-qualified     # 🍗 E0.6 poultry leg</t>
  </si>
  <si>
    <t>1F969                                                  ; fully-qualified     # 🥩 E5.0 cut of meat</t>
  </si>
  <si>
    <t>1F953                                                  ; fully-qualified     # 🥓 E3.0 bacon</t>
  </si>
  <si>
    <t>1F354                                                  ; fully-qualified     # 🍔 E0.6 hamburger</t>
  </si>
  <si>
    <t>1F35F                                                  ; fully-qualified     # 🍟 E0.6 french fries</t>
  </si>
  <si>
    <t>1F355                                                  ; fully-qualified     # 🍕 E0.6 pizza</t>
  </si>
  <si>
    <t>1F32D                                                  ; fully-qualified     # 🌭 E1.0 hot dog</t>
  </si>
  <si>
    <t>1F96A                                                  ; fully-qualified     # 🥪 E5.0 sandwich</t>
  </si>
  <si>
    <t>1F32E                                                  ; fully-qualified     # 🌮 E1.0 taco</t>
  </si>
  <si>
    <t>1F32F                                                  ; fully-qualified     # 🌯 E1.0 burrito</t>
  </si>
  <si>
    <t>1FAD4                                                  ; fully-qualified     # 🫔 E13.0 tamale</t>
  </si>
  <si>
    <t>1F959                                                  ; fully-qualified     # 🥙 E3.0 stuffed flatbread</t>
  </si>
  <si>
    <t>1F9C6                                                  ; fully-qualified     # 🧆 E12.0 falafel</t>
  </si>
  <si>
    <t>1F95A                                                  ; fully-qualified     # 🥚 E3.0 egg</t>
  </si>
  <si>
    <t>1F373                                                  ; fully-qualified     # 🍳 E0.6 cooking</t>
  </si>
  <si>
    <t>1F958                                                  ; fully-qualified     # 🥘 E3.0 shallow pan of food</t>
  </si>
  <si>
    <t>1F372                                                  ; fully-qualified     # 🍲 E0.6 pot of food</t>
  </si>
  <si>
    <t>1FAD5                                                  ; fully-qualified     # 🫕 E13.0 fondue</t>
  </si>
  <si>
    <t>1F963                                                  ; fully-qualified     # 🥣 E5.0 bowl with spoon</t>
  </si>
  <si>
    <t>1F957                                                  ; fully-qualified     # 🥗 E3.0 green salad</t>
  </si>
  <si>
    <t>1F37F                                                  ; fully-qualified     # 🍿 E1.0 popcorn</t>
  </si>
  <si>
    <t>1F9C8                                                  ; fully-qualified     # 🧈 E12.0 butter</t>
  </si>
  <si>
    <t>1F9C2                                                  ; fully-qualified     # 🧂 E11.0 salt</t>
  </si>
  <si>
    <t>1F96B                                                  ; fully-qualified     # 🥫 E5.0 canned food</t>
  </si>
  <si>
    <t># subgroup: food-asian</t>
  </si>
  <si>
    <t>1F371                                                  ; fully-qualified     # 🍱 E0.6 bento box</t>
  </si>
  <si>
    <t>1F358                                                  ; fully-qualified     # 🍘 E0.6 rice cracker</t>
  </si>
  <si>
    <t>1F359                                                  ; fully-qualified     # 🍙 E0.6 rice ball</t>
  </si>
  <si>
    <t>1F35A                                                  ; fully-qualified     # 🍚 E0.6 cooked rice</t>
  </si>
  <si>
    <t>1F35B                                                  ; fully-qualified     # 🍛 E0.6 curry rice</t>
  </si>
  <si>
    <t>1F35C                                                  ; fully-qualified     # 🍜 E0.6 steaming bowl</t>
  </si>
  <si>
    <t>1F35D                                                  ; fully-qualified     # 🍝 E0.6 spaghetti</t>
  </si>
  <si>
    <t>1F360                                                  ; fully-qualified     # 🍠 E0.6 roasted sweet potato</t>
  </si>
  <si>
    <t>1F362                                                  ; fully-qualified     # 🍢 E0.6 oden</t>
  </si>
  <si>
    <t>1F363                                                  ; fully-qualified     # 🍣 E0.6 sushi</t>
  </si>
  <si>
    <t>1F364                                                  ; fully-qualified     # 🍤 E0.6 fried shrimp</t>
  </si>
  <si>
    <t>1F365                                                  ; fully-qualified     # 🍥 E0.6 fish cake with swirl</t>
  </si>
  <si>
    <t>1F96E                                                  ; fully-qualified     # 🥮 E11.0 moon cake</t>
  </si>
  <si>
    <t>1F361                                                  ; fully-qualified     # 🍡 E0.6 dango</t>
  </si>
  <si>
    <t>1F95F                                                  ; fully-qualified     # 🥟 E5.0 dumpling</t>
  </si>
  <si>
    <t>1F960                                                  ; fully-qualified     # 🥠 E5.0 fortune cookie</t>
  </si>
  <si>
    <t>1F961                                                  ; fully-qualified     # 🥡 E5.0 takeout box</t>
  </si>
  <si>
    <t># subgroup: food-marine</t>
  </si>
  <si>
    <t>1F980                                                  ; fully-qualified     # 🦀 E1.0 crab</t>
  </si>
  <si>
    <t>1F99E                                                  ; fully-qualified     # 🦞 E11.0 lobster</t>
  </si>
  <si>
    <t>1F990                                                  ; fully-qualified     # 🦐 E3.0 shrimp</t>
  </si>
  <si>
    <t>1F991                                                  ; fully-qualified     # 🦑 E3.0 squid</t>
  </si>
  <si>
    <t>1F9AA                                                  ; fully-qualified     # 🦪 E12.0 oyster</t>
  </si>
  <si>
    <t># subgroup: food-sweet</t>
  </si>
  <si>
    <t>1F366                                                  ; fully-qualified     # 🍦 E0.6 soft ice cream</t>
  </si>
  <si>
    <t>1F367                                                  ; fully-qualified     # 🍧 E0.6 shaved ice</t>
  </si>
  <si>
    <t>1F368                                                  ; fully-qualified     # 🍨 E0.6 ice cream</t>
  </si>
  <si>
    <t>1F369                                                  ; fully-qualified     # 🍩 E0.6 doughnut</t>
  </si>
  <si>
    <t>1F36A                                                  ; fully-qualified     # 🍪 E0.6 cookie</t>
  </si>
  <si>
    <t>1F382                                                  ; fully-qualified     # 🎂 E0.6 birthday cake</t>
  </si>
  <si>
    <t>1F370                                                  ; fully-qualified     # 🍰 E0.6 shortcake</t>
  </si>
  <si>
    <t>1F9C1                                                  ; fully-qualified     # 🧁 E11.0 cupcake</t>
  </si>
  <si>
    <t>1F967                                                  ; fully-qualified     # 🥧 E5.0 pie</t>
  </si>
  <si>
    <t>1F36B                                                  ; fully-qualified     # 🍫 E0.6 chocolate bar</t>
  </si>
  <si>
    <t>1F36C                                                  ; fully-qualified     # 🍬 E0.6 candy</t>
  </si>
  <si>
    <t>1F36D                                                  ; fully-qualified     # 🍭 E0.6 lollipop</t>
  </si>
  <si>
    <t>1F36E                                                  ; fully-qualified     # 🍮 E0.6 custard</t>
  </si>
  <si>
    <t>1F36F                                                  ; fully-qualified     # 🍯 E0.6 honey pot</t>
  </si>
  <si>
    <t># subgroup: drink</t>
  </si>
  <si>
    <t>1F37C                                                  ; fully-qualified     # 🍼 E1.0 baby bottle</t>
  </si>
  <si>
    <t>1F95B                                                  ; fully-qualified     # 🥛 E3.0 glass of milk</t>
  </si>
  <si>
    <t>2615                                                   ; fully-qualified     # ☕ E0.6 hot beverage</t>
  </si>
  <si>
    <t>1FAD6                                                  ; fully-qualified     # 🫖 E13.0 teapot</t>
  </si>
  <si>
    <t>1F375                                                  ; fully-qualified     # 🍵 E0.6 teacup without handle</t>
  </si>
  <si>
    <t>1F376                                                  ; fully-qualified     # 🍶 E0.6 sake</t>
  </si>
  <si>
    <t>1F37E                                                  ; fully-qualified     # 🍾 E1.0 bottle with popping cork</t>
  </si>
  <si>
    <t>1F377                                                  ; fully-qualified     # 🍷 E0.6 wine glass</t>
  </si>
  <si>
    <t>1F378                                                  ; fully-qualified     # 🍸 E0.6 cocktail glass</t>
  </si>
  <si>
    <t>1F379                                                  ; fully-qualified     # 🍹 E0.6 tropical drink</t>
  </si>
  <si>
    <t>1F37A                                                  ; fully-qualified     # 🍺 E0.6 beer mug</t>
  </si>
  <si>
    <t>1F37B                                                  ; fully-qualified     # 🍻 E0.6 clinking beer mugs</t>
  </si>
  <si>
    <t>1F942                                                  ; fully-qualified     # 🥂 E3.0 clinking glasses</t>
  </si>
  <si>
    <t>1F943                                                  ; fully-qualified     # 🥃 E3.0 tumbler glass</t>
  </si>
  <si>
    <t>1F964                                                  ; fully-qualified     # 🥤 E5.0 cup with straw</t>
  </si>
  <si>
    <t>1F9CB                                                  ; fully-qualified     # 🧋 E13.0 bubble tea</t>
  </si>
  <si>
    <t>1F9C3                                                  ; fully-qualified     # 🧃 E12.0 beverage box</t>
  </si>
  <si>
    <t>1F9C9                                                  ; fully-qualified     # 🧉 E12.0 mate</t>
  </si>
  <si>
    <t>1F9CA                                                  ; fully-qualified     # 🧊 E12.0 ice</t>
  </si>
  <si>
    <t># subgroup: dishware</t>
  </si>
  <si>
    <t>1F962                                                  ; fully-qualified     # 🥢 E5.0 chopsticks</t>
  </si>
  <si>
    <t>1F37D FE0F                                             ; fully-qualified     # 🍽️ E0.7 fork and knife with plate</t>
  </si>
  <si>
    <t>1F37D                                                  ; unqualified         # 🍽 E0.7 fork and knife with plate</t>
  </si>
  <si>
    <t>1F374                                                  ; fully-qualified     # 🍴 E0.6 fork and knife</t>
  </si>
  <si>
    <t>1F944                                                  ; fully-qualified     # 🥄 E3.0 spoon</t>
  </si>
  <si>
    <t>1F52A                                                  ; fully-qualified     # 🔪 E0.6 kitchen knife</t>
  </si>
  <si>
    <t>1F3FA                                                  ; fully-qualified     # 🏺 E1.0 amphora</t>
  </si>
  <si>
    <t># Food &amp; Drink subtotal:                131</t>
  </si>
  <si>
    <t># Food &amp; Drink subtotal:                131     w/o modifiers</t>
  </si>
  <si>
    <t># group: Travel &amp; Places</t>
  </si>
  <si>
    <t># subgroup: place-map</t>
  </si>
  <si>
    <t>1F30D                                                  ; fully-qualified     # 🌍 E0.7 globe showing Europe-Africa</t>
  </si>
  <si>
    <t>1F30E                                                  ; fully-qualified     # 🌎 E0.7 globe showing Americas</t>
  </si>
  <si>
    <t>1F30F                                                  ; fully-qualified     # 🌏 E0.6 globe showing Asia-Australia</t>
  </si>
  <si>
    <t>1F310                                                  ; fully-qualified     # 🌐 E1.0 globe with meridians</t>
  </si>
  <si>
    <t>1F5FA FE0F                                             ; fully-qualified     # 🗺️ E0.7 world map</t>
  </si>
  <si>
    <t>1F5FA                                                  ; unqualified         # 🗺 E0.7 world map</t>
  </si>
  <si>
    <t>1F5FE                                                  ; fully-qualified     # 🗾 E0.6 map of Japan</t>
  </si>
  <si>
    <t>1F9ED                                                  ; fully-qualified     # 🧭 E11.0 compass</t>
  </si>
  <si>
    <t># subgroup: place-geographic</t>
  </si>
  <si>
    <t>1F3D4 FE0F                                             ; fully-qualified     # 🏔️ E0.7 snow-capped mountain</t>
  </si>
  <si>
    <t>1F3D4                                                  ; unqualified         # 🏔 E0.7 snow-capped mountain</t>
  </si>
  <si>
    <t>26F0 FE0F                                              ; fully-qualified     # ⛰️ E0.7 mountain</t>
  </si>
  <si>
    <t>26F0                                                   ; unqualified         # ⛰ E0.7 mountain</t>
  </si>
  <si>
    <t>1F30B                                                  ; fully-qualified     # 🌋 E0.6 volcano</t>
  </si>
  <si>
    <t>1F5FB                                                  ; fully-qualified     # 🗻 E0.6 mount fuji</t>
  </si>
  <si>
    <t>1F3D5 FE0F                                             ; fully-qualified     # 🏕️ E0.7 camping</t>
  </si>
  <si>
    <t>1F3D5                                                  ; unqualified         # 🏕 E0.7 camping</t>
  </si>
  <si>
    <t>1F3D6 FE0F                                             ; fully-qualified     # 🏖️ E0.7 beach with umbrella</t>
  </si>
  <si>
    <t>1F3D6                                                  ; unqualified         # 🏖 E0.7 beach with umbrella</t>
  </si>
  <si>
    <t>1F3DC FE0F                                             ; fully-qualified     # 🏜️ E0.7 desert</t>
  </si>
  <si>
    <t>1F3DC                                                  ; unqualified         # 🏜 E0.7 desert</t>
  </si>
  <si>
    <t>1F3DD FE0F                                             ; fully-qualified     # 🏝️ E0.7 desert island</t>
  </si>
  <si>
    <t>1F3DD                                                  ; unqualified         # 🏝 E0.7 desert island</t>
  </si>
  <si>
    <t>1F3DE FE0F                                             ; fully-qualified     # 🏞️ E0.7 national park</t>
  </si>
  <si>
    <t>1F3DE                                                  ; unqualified         # 🏞 E0.7 national park</t>
  </si>
  <si>
    <t># subgroup: place-building</t>
  </si>
  <si>
    <t>1F3DF FE0F                                             ; fully-qualified     # 🏟️ E0.7 stadium</t>
  </si>
  <si>
    <t>1F3DF                                                  ; unqualified         # 🏟 E0.7 stadium</t>
  </si>
  <si>
    <t>1F3DB FE0F                                             ; fully-qualified     # 🏛️ E0.7 classical building</t>
  </si>
  <si>
    <t>1F3DB                                                  ; unqualified         # 🏛 E0.7 classical building</t>
  </si>
  <si>
    <t>1F3D7 FE0F                                             ; fully-qualified     # 🏗️ E0.7 building construction</t>
  </si>
  <si>
    <t>1F3D7                                                  ; unqualified         # 🏗 E0.7 building construction</t>
  </si>
  <si>
    <t>1F9F1                                                  ; fully-qualified     # 🧱 E11.0 brick</t>
  </si>
  <si>
    <t>1FAA8                                                  ; fully-qualified     # 🪨 E13.0 rock</t>
  </si>
  <si>
    <t>1FAB5                                                  ; fully-qualified     # 🪵 E13.0 wood</t>
  </si>
  <si>
    <t>1F6D6                                                  ; fully-qualified     # 🛖 E13.0 hut</t>
  </si>
  <si>
    <t>1F3D8 FE0F                                             ; fully-qualified     # 🏘️ E0.7 houses</t>
  </si>
  <si>
    <t>1F3D8                                                  ; unqualified         # 🏘 E0.7 houses</t>
  </si>
  <si>
    <t>1F3DA FE0F                                             ; fully-qualified     # 🏚️ E0.7 derelict house</t>
  </si>
  <si>
    <t>1F3DA                                                  ; unqualified         # 🏚 E0.7 derelict house</t>
  </si>
  <si>
    <t>1F3E0                                                  ; fully-qualified     # 🏠 E0.6 house</t>
  </si>
  <si>
    <t>1F3E1                                                  ; fully-qualified     # 🏡 E0.6 house with garden</t>
  </si>
  <si>
    <t>1F3E2                                                  ; fully-qualified     # 🏢 E0.6 office building</t>
  </si>
  <si>
    <t>1F3E3                                                  ; fully-qualified     # 🏣 E0.6 Japanese post office</t>
  </si>
  <si>
    <t>1F3E4                                                  ; fully-qualified     # 🏤 E1.0 post office</t>
  </si>
  <si>
    <t>1F3E5                                                  ; fully-qualified     # 🏥 E0.6 hospital</t>
  </si>
  <si>
    <t>1F3E6                                                  ; fully-qualified     # 🏦 E0.6 bank</t>
  </si>
  <si>
    <t>1F3E8                                                  ; fully-qualified     # 🏨 E0.6 hotel</t>
  </si>
  <si>
    <t>1F3E9                                                  ; fully-qualified     # 🏩 E0.6 love hotel</t>
  </si>
  <si>
    <t>1F3EA                                                  ; fully-qualified     # 🏪 E0.6 convenience store</t>
  </si>
  <si>
    <t>1F3EB                                                  ; fully-qualified     # 🏫 E0.6 school</t>
  </si>
  <si>
    <t>1F3EC                                                  ; fully-qualified     # 🏬 E0.6 department store</t>
  </si>
  <si>
    <t>1F3ED                                                  ; fully-qualified     # 🏭 E0.6 factory</t>
  </si>
  <si>
    <t>1F3EF                                                  ; fully-qualified     # 🏯 E0.6 Japanese castle</t>
  </si>
  <si>
    <t>1F3F0                                                  ; fully-qualified     # 🏰 E0.6 castle</t>
  </si>
  <si>
    <t>1F492                                                  ; fully-qualified     # 💒 E0.6 wedding</t>
  </si>
  <si>
    <t>1F5FC                                                  ; fully-qualified     # 🗼 E0.6 Tokyo tower</t>
  </si>
  <si>
    <t>1F5FD                                                  ; fully-qualified     # 🗽 E0.6 Statue of Liberty</t>
  </si>
  <si>
    <t># subgroup: place-religious</t>
  </si>
  <si>
    <t>26EA                                                   ; fully-qualified     # ⛪ E0.6 church</t>
  </si>
  <si>
    <t>1F54C                                                  ; fully-qualified     # 🕌 E1.0 mosque</t>
  </si>
  <si>
    <t>1F6D5                                                  ; fully-qualified     # 🛕 E12.0 hindu temple</t>
  </si>
  <si>
    <t>1F54D                                                  ; fully-qualified     # 🕍 E1.0 synagogue</t>
  </si>
  <si>
    <t>26E9 FE0F                                              ; fully-qualified     # ⛩️ E0.7 shinto shrine</t>
  </si>
  <si>
    <t>26E9                                                   ; unqualified         # ⛩ E0.7 shinto shrine</t>
  </si>
  <si>
    <t>1F54B                                                  ; fully-qualified     # 🕋 E1.0 kaaba</t>
  </si>
  <si>
    <t># subgroup: place-other</t>
  </si>
  <si>
    <t>26F2                                                   ; fully-qualified     # ⛲ E0.6 fountain</t>
  </si>
  <si>
    <t>26FA                                                   ; fully-qualified     # ⛺ E0.6 tent</t>
  </si>
  <si>
    <t>1F301                                                  ; fully-qualified     # 🌁 E0.6 foggy</t>
  </si>
  <si>
    <t>1F303                                                  ; fully-qualified     # 🌃 E0.6 night with stars</t>
  </si>
  <si>
    <t>1F3D9 FE0F                                             ; fully-qualified     # 🏙️ E0.7 cityscape</t>
  </si>
  <si>
    <t>1F3D9                                                  ; unqualified         # 🏙 E0.7 cityscape</t>
  </si>
  <si>
    <t>1F304                                                  ; fully-qualified     # 🌄 E0.6 sunrise over mountains</t>
  </si>
  <si>
    <t>1F305                                                  ; fully-qualified     # 🌅 E0.6 sunrise</t>
  </si>
  <si>
    <t>1F306                                                  ; fully-qualified     # 🌆 E0.6 cityscape at dusk</t>
  </si>
  <si>
    <t>1F307                                                  ; fully-qualified     # 🌇 E0.6 sunset</t>
  </si>
  <si>
    <t>1F309                                                  ; fully-qualified     # 🌉 E0.6 bridge at night</t>
  </si>
  <si>
    <t>2668 FE0F                                              ; fully-qualified     # ♨️ E0.6 hot springs</t>
  </si>
  <si>
    <t>2668                                                   ; unqualified         # ♨ E0.6 hot springs</t>
  </si>
  <si>
    <t>1F3A0                                                  ; fully-qualified     # 🎠 E0.6 carousel horse</t>
  </si>
  <si>
    <t>1F3A1                                                  ; fully-qualified     # 🎡 E0.6 ferris wheel</t>
  </si>
  <si>
    <t>1F3A2                                                  ; fully-qualified     # 🎢 E0.6 roller coaster</t>
  </si>
  <si>
    <t>1F488                                                  ; fully-qualified     # 💈 E0.6 barber pole</t>
  </si>
  <si>
    <t>1F3AA                                                  ; fully-qualified     # 🎪 E0.6 circus tent</t>
  </si>
  <si>
    <t># subgroup: transport-ground</t>
  </si>
  <si>
    <t>1F682                                                  ; fully-qualified     # 🚂 E1.0 locomotive</t>
  </si>
  <si>
    <t>1F683                                                  ; fully-qualified     # 🚃 E0.6 railway car</t>
  </si>
  <si>
    <t>1F684                                                  ; fully-qualified     # 🚄 E0.6 high-speed train</t>
  </si>
  <si>
    <t>1F685                                                  ; fully-qualified     # 🚅 E0.6 bullet train</t>
  </si>
  <si>
    <t>1F686                                                  ; fully-qualified     # 🚆 E1.0 train</t>
  </si>
  <si>
    <t>1F687                                                  ; fully-qualified     # 🚇 E0.6 metro</t>
  </si>
  <si>
    <t>1F688                                                  ; fully-qualified     # 🚈 E1.0 light rail</t>
  </si>
  <si>
    <t>1F689                                                  ; fully-qualified     # 🚉 E0.6 station</t>
  </si>
  <si>
    <t>1F68A                                                  ; fully-qualified     # 🚊 E1.0 tram</t>
  </si>
  <si>
    <t>1F69D                                                  ; fully-qualified     # 🚝 E1.0 monorail</t>
  </si>
  <si>
    <t>1F69E                                                  ; fully-qualified     # 🚞 E1.0 mountain railway</t>
  </si>
  <si>
    <t>1F68B                                                  ; fully-qualified     # 🚋 E1.0 tram car</t>
  </si>
  <si>
    <t>1F68C                                                  ; fully-qualified     # 🚌 E0.6 bus</t>
  </si>
  <si>
    <t>1F68D                                                  ; fully-qualified     # 🚍 E0.7 oncoming bus</t>
  </si>
  <si>
    <t>1F68E                                                  ; fully-qualified     # 🚎 E1.0 trolleybus</t>
  </si>
  <si>
    <t>1F690                                                  ; fully-qualified     # 🚐 E1.0 minibus</t>
  </si>
  <si>
    <t>1F691                                                  ; fully-qualified     # 🚑 E0.6 ambulance</t>
  </si>
  <si>
    <t>1F692                                                  ; fully-qualified     # 🚒 E0.6 fire engine</t>
  </si>
  <si>
    <t>1F693                                                  ; fully-qualified     # 🚓 E0.6 police car</t>
  </si>
  <si>
    <t>1F694                                                  ; fully-qualified     # 🚔 E0.7 oncoming police car</t>
  </si>
  <si>
    <t>1F695                                                  ; fully-qualified     # 🚕 E0.6 taxi</t>
  </si>
  <si>
    <t>1F696                                                  ; fully-qualified     # 🚖 E1.0 oncoming taxi</t>
  </si>
  <si>
    <t>1F697                                                  ; fully-qualified     # 🚗 E0.6 automobile</t>
  </si>
  <si>
    <t>1F698                                                  ; fully-qualified     # 🚘 E0.7 oncoming automobile</t>
  </si>
  <si>
    <t>1F699                                                  ; fully-qualified     # 🚙 E0.6 sport utility vehicle</t>
  </si>
  <si>
    <t>1F6FB                                                  ; fully-qualified     # 🛻 E13.0 pickup truck</t>
  </si>
  <si>
    <t>1F69A                                                  ; fully-qualified     # 🚚 E0.6 delivery truck</t>
  </si>
  <si>
    <t>1F69B                                                  ; fully-qualified     # 🚛 E1.0 articulated lorry</t>
  </si>
  <si>
    <t>1F69C                                                  ; fully-qualified     # 🚜 E1.0 tractor</t>
  </si>
  <si>
    <t>1F3CE FE0F                                             ; fully-qualified     # 🏎️ E0.7 racing car</t>
  </si>
  <si>
    <t>1F3CE                                                  ; unqualified         # 🏎 E0.7 racing car</t>
  </si>
  <si>
    <t>1F3CD FE0F                                             ; fully-qualified     # 🏍️ E0.7 motorcycle</t>
  </si>
  <si>
    <t>1F3CD                                                  ; unqualified         # 🏍 E0.7 motorcycle</t>
  </si>
  <si>
    <t>1F6F5                                                  ; fully-qualified     # 🛵 E3.0 motor scooter</t>
  </si>
  <si>
    <t>1F9BD                                                  ; fully-qualified     # 🦽 E12.0 manual wheelchair</t>
  </si>
  <si>
    <t>1F9BC                                                  ; fully-qualified     # 🦼 E12.0 motorized wheelchair</t>
  </si>
  <si>
    <t>1F6FA                                                  ; fully-qualified     # 🛺 E12.0 auto rickshaw</t>
  </si>
  <si>
    <t>1F6B2                                                  ; fully-qualified     # 🚲 E0.6 bicycle</t>
  </si>
  <si>
    <t>1F6F4                                                  ; fully-qualified     # 🛴 E3.0 kick scooter</t>
  </si>
  <si>
    <t>1F6F9                                                  ; fully-qualified     # 🛹 E11.0 skateboard</t>
  </si>
  <si>
    <t>1F6FC                                                  ; fully-qualified     # 🛼 E13.0 roller skate</t>
  </si>
  <si>
    <t>1F68F                                                  ; fully-qualified     # 🚏 E0.6 bus stop</t>
  </si>
  <si>
    <t>1F6E3 FE0F                                             ; fully-qualified     # 🛣️ E0.7 motorway</t>
  </si>
  <si>
    <t>1F6E3                                                  ; unqualified         # 🛣 E0.7 motorway</t>
  </si>
  <si>
    <t>1F6E4 FE0F                                             ; fully-qualified     # 🛤️ E0.7 railway track</t>
  </si>
  <si>
    <t>1F6E4                                                  ; unqualified         # 🛤 E0.7 railway track</t>
  </si>
  <si>
    <t>1F6E2 FE0F                                             ; fully-qualified     # 🛢️ E0.7 oil drum</t>
  </si>
  <si>
    <t>1F6E2                                                  ; unqualified         # 🛢 E0.7 oil drum</t>
  </si>
  <si>
    <t>26FD                                                   ; fully-qualified     # ⛽ E0.6 fuel pump</t>
  </si>
  <si>
    <t>1F6A8                                                  ; fully-qualified     # 🚨 E0.6 police car light</t>
  </si>
  <si>
    <t>1F6A5                                                  ; fully-qualified     # 🚥 E0.6 horizontal traffic light</t>
  </si>
  <si>
    <t>1F6A6                                                  ; fully-qualified     # 🚦 E1.0 vertical traffic light</t>
  </si>
  <si>
    <t>1F6D1                                                  ; fully-qualified     # 🛑 E3.0 stop sign</t>
  </si>
  <si>
    <t>1F6A7                                                  ; fully-qualified     # 🚧 E0.6 construction</t>
  </si>
  <si>
    <t># subgroup: transport-water</t>
  </si>
  <si>
    <t>2693                                                   ; fully-qualified     # ⚓ E0.6 anchor</t>
  </si>
  <si>
    <t>26F5                                                   ; fully-qualified     # ⛵ E0.6 sailboat</t>
  </si>
  <si>
    <t>1F6F6                                                  ; fully-qualified     # 🛶 E3.0 canoe</t>
  </si>
  <si>
    <t>1F6A4                                                  ; fully-qualified     # 🚤 E0.6 speedboat</t>
  </si>
  <si>
    <t>1F6F3 FE0F                                             ; fully-qualified     # 🛳️ E0.7 passenger ship</t>
  </si>
  <si>
    <t>1F6F3                                                  ; unqualified         # 🛳 E0.7 passenger ship</t>
  </si>
  <si>
    <t>26F4 FE0F                                              ; fully-qualified     # ⛴️ E0.7 ferry</t>
  </si>
  <si>
    <t>26F4                                                   ; unqualified         # ⛴ E0.7 ferry</t>
  </si>
  <si>
    <t>1F6E5 FE0F                                             ; fully-qualified     # 🛥️ E0.7 motor boat</t>
  </si>
  <si>
    <t>1F6E5                                                  ; unqualified         # 🛥 E0.7 motor boat</t>
  </si>
  <si>
    <t>1F6A2                                                  ; fully-qualified     # 🚢 E0.6 ship</t>
  </si>
  <si>
    <t># subgroup: transport-air</t>
  </si>
  <si>
    <t>2708 FE0F                                              ; fully-qualified     # ✈️ E0.6 airplane</t>
  </si>
  <si>
    <t>2708                                                   ; unqualified         # ✈ E0.6 airplane</t>
  </si>
  <si>
    <t>1F6E9 FE0F                                             ; fully-qualified     # 🛩️ E0.7 small airplane</t>
  </si>
  <si>
    <t>1F6E9                                                  ; unqualified         # 🛩 E0.7 small airplane</t>
  </si>
  <si>
    <t>1F6EB                                                  ; fully-qualified     # 🛫 E1.0 airplane departure</t>
  </si>
  <si>
    <t>1F6EC                                                  ; fully-qualified     # 🛬 E1.0 airplane arrival</t>
  </si>
  <si>
    <t>1FA82                                                  ; fully-qualified     # 🪂 E12.0 parachute</t>
  </si>
  <si>
    <t>1F4BA                                                  ; fully-qualified     # 💺 E0.6 seat</t>
  </si>
  <si>
    <t>1F681                                                  ; fully-qualified     # 🚁 E1.0 helicopter</t>
  </si>
  <si>
    <t>1F69F                                                  ; fully-qualified     # 🚟 E1.0 suspension railway</t>
  </si>
  <si>
    <t>1F6A0                                                  ; fully-qualified     # 🚠 E1.0 mountain cableway</t>
  </si>
  <si>
    <t>1F6A1                                                  ; fully-qualified     # 🚡 E1.0 aerial tramway</t>
  </si>
  <si>
    <t>1F6F0 FE0F                                             ; fully-qualified     # 🛰️ E0.7 satellite</t>
  </si>
  <si>
    <t>1F6F0                                                  ; unqualified         # 🛰 E0.7 satellite</t>
  </si>
  <si>
    <t>1F680                                                  ; fully-qualified     # 🚀 E0.6 rocket</t>
  </si>
  <si>
    <t>1F6F8                                                  ; fully-qualified     # 🛸 E5.0 flying saucer</t>
  </si>
  <si>
    <t># subgroup: hotel</t>
  </si>
  <si>
    <t>1F6CE FE0F                                             ; fully-qualified     # 🛎️ E0.7 bellhop bell</t>
  </si>
  <si>
    <t>1F6CE                                                  ; unqualified         # 🛎 E0.7 bellhop bell</t>
  </si>
  <si>
    <t>1F9F3                                                  ; fully-qualified     # 🧳 E11.0 luggage</t>
  </si>
  <si>
    <t># subgroup: time</t>
  </si>
  <si>
    <t>231B                                                   ; fully-qualified     # ⌛ E0.6 hourglass done</t>
  </si>
  <si>
    <t>23F3                                                   ; fully-qualified     # ⏳ E0.6 hourglass not done</t>
  </si>
  <si>
    <t>231A                                                   ; fully-qualified     # ⌚ E0.6 watch</t>
  </si>
  <si>
    <t>23F0                                                   ; fully-qualified     # ⏰ E0.6 alarm clock</t>
  </si>
  <si>
    <t>23F1 FE0F                                              ; fully-qualified     # ⏱️ E1.0 stopwatch</t>
  </si>
  <si>
    <t>23F1                                                   ; unqualified         # ⏱ E1.0 stopwatch</t>
  </si>
  <si>
    <t>23F2 FE0F                                              ; fully-qualified     # ⏲️ E1.0 timer clock</t>
  </si>
  <si>
    <t>23F2                                                   ; unqualified         # ⏲ E1.0 timer clock</t>
  </si>
  <si>
    <t>1F570 FE0F                                             ; fully-qualified     # 🕰️ E0.7 mantelpiece clock</t>
  </si>
  <si>
    <t>1F570                                                  ; unqualified         # 🕰 E0.7 mantelpiece clock</t>
  </si>
  <si>
    <t>1F55B                                                  ; fully-qualified     # 🕛 E0.6 twelve o’clock</t>
  </si>
  <si>
    <t>1F567                                                  ; fully-qualified     # 🕧 E0.7 twelve-thirty</t>
  </si>
  <si>
    <t>1F550                                                  ; fully-qualified     # 🕐 E0.6 one o’clock</t>
  </si>
  <si>
    <t>1F55C                                                  ; fully-qualified     # 🕜 E0.7 one-thirty</t>
  </si>
  <si>
    <t>1F551                                                  ; fully-qualified     # 🕑 E0.6 two o’clock</t>
  </si>
  <si>
    <t>1F55D                                                  ; fully-qualified     # 🕝 E0.7 two-thirty</t>
  </si>
  <si>
    <t>1F552                                                  ; fully-qualified     # 🕒 E0.6 three o’clock</t>
  </si>
  <si>
    <t>1F55E                                                  ; fully-qualified     # 🕞 E0.7 three-thirty</t>
  </si>
  <si>
    <t>1F553                                                  ; fully-qualified     # 🕓 E0.6 four o’clock</t>
  </si>
  <si>
    <t>1F55F                                                  ; fully-qualified     # 🕟 E0.7 four-thirty</t>
  </si>
  <si>
    <t>1F554                                                  ; fully-qualified     # 🕔 E0.6 five o’clock</t>
  </si>
  <si>
    <t>1F560                                                  ; fully-qualified     # 🕠 E0.7 five-thirty</t>
  </si>
  <si>
    <t>1F555                                                  ; fully-qualified     # 🕕 E0.6 six o’clock</t>
  </si>
  <si>
    <t>1F561                                                  ; fully-qualified     # 🕡 E0.7 six-thirty</t>
  </si>
  <si>
    <t>1F556                                                  ; fully-qualified     # 🕖 E0.6 seven o’clock</t>
  </si>
  <si>
    <t>1F562                                                  ; fully-qualified     # 🕢 E0.7 seven-thirty</t>
  </si>
  <si>
    <t>1F557                                                  ; fully-qualified     # 🕗 E0.6 eight o’clock</t>
  </si>
  <si>
    <t>1F563                                                  ; fully-qualified     # 🕣 E0.7 eight-thirty</t>
  </si>
  <si>
    <t>1F558                                                  ; fully-qualified     # 🕘 E0.6 nine o’clock</t>
  </si>
  <si>
    <t>1F564                                                  ; fully-qualified     # 🕤 E0.7 nine-thirty</t>
  </si>
  <si>
    <t>1F559                                                  ; fully-qualified     # 🕙 E0.6 ten o’clock</t>
  </si>
  <si>
    <t>1F565                                                  ; fully-qualified     # 🕥 E0.7 ten-thirty</t>
  </si>
  <si>
    <t>1F55A                                                  ; fully-qualified     # 🕚 E0.6 eleven o’clock</t>
  </si>
  <si>
    <t>1F566                                                  ; fully-qualified     # 🕦 E0.7 eleven-thirty</t>
  </si>
  <si>
    <t># subgroup: sky &amp; weather</t>
  </si>
  <si>
    <t>1F311                                                  ; fully-qualified     # 🌑 E0.6 new moon</t>
  </si>
  <si>
    <t>1F312                                                  ; fully-qualified     # 🌒 E1.0 waxing crescent moon</t>
  </si>
  <si>
    <t>1F313                                                  ; fully-qualified     # 🌓 E0.6 first quarter moon</t>
  </si>
  <si>
    <t>1F314                                                  ; fully-qualified     # 🌔 E0.6 waxing gibbous moon</t>
  </si>
  <si>
    <t>1F315                                                  ; fully-qualified     # 🌕 E0.6 full moon</t>
  </si>
  <si>
    <t>1F316                                                  ; fully-qualified     # 🌖 E1.0 waning gibbous moon</t>
  </si>
  <si>
    <t>1F317                                                  ; fully-qualified     # 🌗 E1.0 last quarter moon</t>
  </si>
  <si>
    <t>1F318                                                  ; fully-qualified     # 🌘 E1.0 waning crescent moon</t>
  </si>
  <si>
    <t>1F319                                                  ; fully-qualified     # 🌙 E0.6 crescent moon</t>
  </si>
  <si>
    <t>1F31A                                                  ; fully-qualified     # 🌚 E1.0 new moon face</t>
  </si>
  <si>
    <t>1F31B                                                  ; fully-qualified     # 🌛 E0.6 first quarter moon face</t>
  </si>
  <si>
    <t>1F31C                                                  ; fully-qualified     # 🌜 E0.7 last quarter moon face</t>
  </si>
  <si>
    <t>1F321 FE0F                                             ; fully-qualified     # 🌡️ E0.7 thermometer</t>
  </si>
  <si>
    <t>1F321                                                  ; unqualified         # 🌡 E0.7 thermometer</t>
  </si>
  <si>
    <t>2600 FE0F                                              ; fully-qualified     # ☀️ E0.6 sun</t>
  </si>
  <si>
    <t>2600                                                   ; unqualified         # ☀ E0.6 sun</t>
  </si>
  <si>
    <t>1F31D                                                  ; fully-qualified     # 🌝 E1.0 full moon face</t>
  </si>
  <si>
    <t>1F31E                                                  ; fully-qualified     # 🌞 E1.0 sun with face</t>
  </si>
  <si>
    <t>1FA90                                                  ; fully-qualified     # 🪐 E12.0 ringed planet</t>
  </si>
  <si>
    <t>2B50                                                   ; fully-qualified     # ⭐ E0.6 star</t>
  </si>
  <si>
    <t>1F31F                                                  ; fully-qualified     # 🌟 E0.6 glowing star</t>
  </si>
  <si>
    <t>1F320                                                  ; fully-qualified     # 🌠 E0.6 shooting star</t>
  </si>
  <si>
    <t>1F30C                                                  ; fully-qualified     # 🌌 E0.6 milky way</t>
  </si>
  <si>
    <t>2601 FE0F                                              ; fully-qualified     # ☁️ E0.6 cloud</t>
  </si>
  <si>
    <t>2601                                                   ; unqualified         # ☁ E0.6 cloud</t>
  </si>
  <si>
    <t>26C5                                                   ; fully-qualified     # ⛅ E0.6 sun behind cloud</t>
  </si>
  <si>
    <t>26C8 FE0F                                              ; fully-qualified     # ⛈️ E0.7 cloud with lightning and rain</t>
  </si>
  <si>
    <t>26C8                                                   ; unqualified         # ⛈ E0.7 cloud with lightning and rain</t>
  </si>
  <si>
    <t>1F324 FE0F                                             ; fully-qualified     # 🌤️ E0.7 sun behind small cloud</t>
  </si>
  <si>
    <t>1F324                                                  ; unqualified         # 🌤 E0.7 sun behind small cloud</t>
  </si>
  <si>
    <t>1F325 FE0F                                             ; fully-qualified     # 🌥️ E0.7 sun behind large cloud</t>
  </si>
  <si>
    <t>1F325                                                  ; unqualified         # 🌥 E0.7 sun behind large cloud</t>
  </si>
  <si>
    <t>1F326 FE0F                                             ; fully-qualified     # 🌦️ E0.7 sun behind rain cloud</t>
  </si>
  <si>
    <t>1F326                                                  ; unqualified         # 🌦 E0.7 sun behind rain cloud</t>
  </si>
  <si>
    <t>1F327 FE0F                                             ; fully-qualified     # 🌧️ E0.7 cloud with rain</t>
  </si>
  <si>
    <t>1F327                                                  ; unqualified         # 🌧 E0.7 cloud with rain</t>
  </si>
  <si>
    <t>1F328 FE0F                                             ; fully-qualified     # 🌨️ E0.7 cloud with snow</t>
  </si>
  <si>
    <t>1F328                                                  ; unqualified         # 🌨 E0.7 cloud with snow</t>
  </si>
  <si>
    <t>1F329 FE0F                                             ; fully-qualified     # 🌩️ E0.7 cloud with lightning</t>
  </si>
  <si>
    <t>1F329                                                  ; unqualified         # 🌩 E0.7 cloud with lightning</t>
  </si>
  <si>
    <t>1F32A FE0F                                             ; fully-qualified     # 🌪️ E0.7 tornado</t>
  </si>
  <si>
    <t>1F32A                                                  ; unqualified         # 🌪 E0.7 tornado</t>
  </si>
  <si>
    <t>1F32B FE0F                                             ; fully-qualified     # 🌫️ E0.7 fog</t>
  </si>
  <si>
    <t>1F32B                                                  ; unqualified         # 🌫 E0.7 fog</t>
  </si>
  <si>
    <t>1F32C FE0F                                             ; fully-qualified     # 🌬️ E0.7 wind face</t>
  </si>
  <si>
    <t>1F32C                                                  ; unqualified         # 🌬 E0.7 wind face</t>
  </si>
  <si>
    <t>1F300                                                  ; fully-qualified     # 🌀 E0.6 cyclone</t>
  </si>
  <si>
    <t>1F308                                                  ; fully-qualified     # 🌈 E0.6 rainbow</t>
  </si>
  <si>
    <t>1F302                                                  ; fully-qualified     # 🌂 E0.6 closed umbrella</t>
  </si>
  <si>
    <t>2602 FE0F                                              ; fully-qualified     # ☂️ E0.7 umbrella</t>
  </si>
  <si>
    <t>2602                                                   ; unqualified         # ☂ E0.7 umbrella</t>
  </si>
  <si>
    <t>2614                                                   ; fully-qualified     # ☔ E0.6 umbrella with rain drops</t>
  </si>
  <si>
    <t>26F1 FE0F                                              ; fully-qualified     # ⛱️ E0.7 umbrella on ground</t>
  </si>
  <si>
    <t>26F1                                                   ; unqualified         # ⛱ E0.7 umbrella on ground</t>
  </si>
  <si>
    <t>26A1                                                   ; fully-qualified     # ⚡ E0.6 high voltage</t>
  </si>
  <si>
    <t>2744 FE0F                                              ; fully-qualified     # ❄️ E0.6 snowflake</t>
  </si>
  <si>
    <t>2744                                                   ; unqualified         # ❄ E0.6 snowflake</t>
  </si>
  <si>
    <t>2603 FE0F                                              ; fully-qualified     # ☃️ E0.7 snowman</t>
  </si>
  <si>
    <t>2603                                                   ; unqualified         # ☃ E0.7 snowman</t>
  </si>
  <si>
    <t>26C4                                                   ; fully-qualified     # ⛄ E0.6 snowman without snow</t>
  </si>
  <si>
    <t>2604 FE0F                                              ; fully-qualified     # ☄️ E1.0 comet</t>
  </si>
  <si>
    <t>2604                                                   ; unqualified         # ☄ E1.0 comet</t>
  </si>
  <si>
    <t>1F525                                                  ; fully-qualified     # 🔥 E0.6 fire</t>
  </si>
  <si>
    <t>1F4A7                                                  ; fully-qualified     # 💧 E0.6 droplet</t>
  </si>
  <si>
    <t>1F30A                                                  ; fully-qualified     # 🌊 E0.6 water wave</t>
  </si>
  <si>
    <t># Travel &amp; Places subtotal:             264</t>
  </si>
  <si>
    <t># Travel &amp; Places subtotal:             264     w/o modifiers</t>
  </si>
  <si>
    <t># group: Activities</t>
  </si>
  <si>
    <t># subgroup: event</t>
  </si>
  <si>
    <t>1F383                                                  ; fully-qualified     # 🎃 E0.6 jack-o-lantern</t>
  </si>
  <si>
    <t>1F384                                                  ; fully-qualified     # 🎄 E0.6 Christmas tree</t>
  </si>
  <si>
    <t>1F386                                                  ; fully-qualified     # 🎆 E0.6 fireworks</t>
  </si>
  <si>
    <t>1F387                                                  ; fully-qualified     # 🎇 E0.6 sparkler</t>
  </si>
  <si>
    <t>1F9E8                                                  ; fully-qualified     # 🧨 E11.0 firecracker</t>
  </si>
  <si>
    <t>2728                                                   ; fully-qualified     # ✨ E0.6 sparkles</t>
  </si>
  <si>
    <t>1F388                                                  ; fully-qualified     # 🎈 E0.6 balloon</t>
  </si>
  <si>
    <t>1F389                                                  ; fully-qualified     # 🎉 E0.6 party popper</t>
  </si>
  <si>
    <t>1F38A                                                  ; fully-qualified     # 🎊 E0.6 confetti ball</t>
  </si>
  <si>
    <t>1F38B                                                  ; fully-qualified     # 🎋 E0.6 tanabata tree</t>
  </si>
  <si>
    <t>1F38D                                                  ; fully-qualified     # 🎍 E0.6 pine decoration</t>
  </si>
  <si>
    <t>1F38E                                                  ; fully-qualified     # 🎎 E0.6 Japanese dolls</t>
  </si>
  <si>
    <t>1F38F                                                  ; fully-qualified     # 🎏 E0.6 carp streamer</t>
  </si>
  <si>
    <t>1F390                                                  ; fully-qualified     # 🎐 E0.6 wind chime</t>
  </si>
  <si>
    <t>1F391                                                  ; fully-qualified     # 🎑 E0.6 moon viewing ceremony</t>
  </si>
  <si>
    <t>1F9E7                                                  ; fully-qualified     # 🧧 E11.0 red envelope</t>
  </si>
  <si>
    <t>1F380                                                  ; fully-qualified     # 🎀 E0.6 ribbon</t>
  </si>
  <si>
    <t>1F381                                                  ; fully-qualified     # 🎁 E0.6 wrapped gift</t>
  </si>
  <si>
    <t>1F397 FE0F                                             ; fully-qualified     # 🎗️ E0.7 reminder ribbon</t>
  </si>
  <si>
    <t>1F397                                                  ; unqualified         # 🎗 E0.7 reminder ribbon</t>
  </si>
  <si>
    <t>1F39F FE0F                                             ; fully-qualified     # 🎟️ E0.7 admission tickets</t>
  </si>
  <si>
    <t>1F39F                                                  ; unqualified         # 🎟 E0.7 admission tickets</t>
  </si>
  <si>
    <t>1F3AB                                                  ; fully-qualified     # 🎫 E0.6 ticket</t>
  </si>
  <si>
    <t># subgroup: award-medal</t>
  </si>
  <si>
    <t>1F396 FE0F                                             ; fully-qualified     # 🎖️ E0.7 military medal</t>
  </si>
  <si>
    <t>1F396                                                  ; unqualified         # 🎖 E0.7 military medal</t>
  </si>
  <si>
    <t>1F3C6                                                  ; fully-qualified     # 🏆 E0.6 trophy</t>
  </si>
  <si>
    <t>1F3C5                                                  ; fully-qualified     # 🏅 E1.0 sports medal</t>
  </si>
  <si>
    <t>1F947                                                  ; fully-qualified     # 🥇 E3.0 1st place medal</t>
  </si>
  <si>
    <t>1F948                                                  ; fully-qualified     # 🥈 E3.0 2nd place medal</t>
  </si>
  <si>
    <t>1F949                                                  ; fully-qualified     # 🥉 E3.0 3rd place medal</t>
  </si>
  <si>
    <t># subgroup: sport</t>
  </si>
  <si>
    <t>26BD                                                   ; fully-qualified     # ⚽ E0.6 soccer ball</t>
  </si>
  <si>
    <t>26BE                                                   ; fully-qualified     # ⚾ E0.6 baseball</t>
  </si>
  <si>
    <t>1F94E                                                  ; fully-qualified     # 🥎 E11.0 softball</t>
  </si>
  <si>
    <t>1F3C0                                                  ; fully-qualified     # 🏀 E0.6 basketball</t>
  </si>
  <si>
    <t>1F3D0                                                  ; fully-qualified     # 🏐 E1.0 volleyball</t>
  </si>
  <si>
    <t>1F3C8                                                  ; fully-qualified     # 🏈 E0.6 american football</t>
  </si>
  <si>
    <t>1F3C9                                                  ; fully-qualified     # 🏉 E1.0 rugby football</t>
  </si>
  <si>
    <t>1F3BE                                                  ; fully-qualified     # 🎾 E0.6 tennis</t>
  </si>
  <si>
    <t>1F94F                                                  ; fully-qualified     # 🥏 E11.0 flying disc</t>
  </si>
  <si>
    <t>1F3B3                                                  ; fully-qualified     # 🎳 E0.6 bowling</t>
  </si>
  <si>
    <t>1F3CF                                                  ; fully-qualified     # 🏏 E1.0 cricket game</t>
  </si>
  <si>
    <t>1F3D1                                                  ; fully-qualified     # 🏑 E1.0 field hockey</t>
  </si>
  <si>
    <t>1F3D2                                                  ; fully-qualified     # 🏒 E1.0 ice hockey</t>
  </si>
  <si>
    <t>1F94D                                                  ; fully-qualified     # 🥍 E11.0 lacrosse</t>
  </si>
  <si>
    <t>1F3D3                                                  ; fully-qualified     # 🏓 E1.0 ping pong</t>
  </si>
  <si>
    <t>1F3F8                                                  ; fully-qualified     # 🏸 E1.0 badminton</t>
  </si>
  <si>
    <t>1F94A                                                  ; fully-qualified     # 🥊 E3.0 boxing glove</t>
  </si>
  <si>
    <t>1F94B                                                  ; fully-qualified     # 🥋 E3.0 martial arts uniform</t>
  </si>
  <si>
    <t>1F945                                                  ; fully-qualified     # 🥅 E3.0 goal net</t>
  </si>
  <si>
    <t>26F3                                                   ; fully-qualified     # ⛳ E0.6 flag in hole</t>
  </si>
  <si>
    <t>26F8 FE0F                                              ; fully-qualified     # ⛸️ E0.7 ice skate</t>
  </si>
  <si>
    <t>26F8                                                   ; unqualified         # ⛸ E0.7 ice skate</t>
  </si>
  <si>
    <t>1F3A3                                                  ; fully-qualified     # 🎣 E0.6 fishing pole</t>
  </si>
  <si>
    <t>1F93F                                                  ; fully-qualified     # 🤿 E12.0 diving mask</t>
  </si>
  <si>
    <t>1F3BD                                                  ; fully-qualified     # 🎽 E0.6 running shirt</t>
  </si>
  <si>
    <t>1F3BF                                                  ; fully-qualified     # 🎿 E0.6 skis</t>
  </si>
  <si>
    <t>1F6F7                                                  ; fully-qualified     # 🛷 E5.0 sled</t>
  </si>
  <si>
    <t>1F94C                                                  ; fully-qualified     # 🥌 E5.0 curling stone</t>
  </si>
  <si>
    <t># subgroup: game</t>
  </si>
  <si>
    <t>1F3AF                                                  ; fully-qualified     # 🎯 E0.6 bullseye</t>
  </si>
  <si>
    <t>1FA80                                                  ; fully-qualified     # 🪀 E12.0 yo-yo</t>
  </si>
  <si>
    <t>1FA81                                                  ; fully-qualified     # 🪁 E12.0 kite</t>
  </si>
  <si>
    <t>1F3B1                                                  ; fully-qualified     # 🎱 E0.6 pool 8 ball</t>
  </si>
  <si>
    <t>1F52E                                                  ; fully-qualified     # 🔮 E0.6 crystal ball</t>
  </si>
  <si>
    <t>1FA84                                                  ; fully-qualified     # 🪄 E13.0 magic wand</t>
  </si>
  <si>
    <t>1F9FF                                                  ; fully-qualified     # 🧿 E11.0 nazar amulet</t>
  </si>
  <si>
    <t>1F3AE                                                  ; fully-qualified     # 🎮 E0.6 video game</t>
  </si>
  <si>
    <t>1F579 FE0F                                             ; fully-qualified     # 🕹️ E0.7 joystick</t>
  </si>
  <si>
    <t>1F579                                                  ; unqualified         # 🕹 E0.7 joystick</t>
  </si>
  <si>
    <t>1F3B0                                                  ; fully-qualified     # 🎰 E0.6 slot machine</t>
  </si>
  <si>
    <t>1F3B2                                                  ; fully-qualified     # 🎲 E0.6 game die</t>
  </si>
  <si>
    <t>1F9E9                                                  ; fully-qualified     # 🧩 E11.0 puzzle piece</t>
  </si>
  <si>
    <t>1F9F8                                                  ; fully-qualified     # 🧸 E11.0 teddy bear</t>
  </si>
  <si>
    <t>1FA85                                                  ; fully-qualified     # 🪅 E13.0 piñata</t>
  </si>
  <si>
    <t>1FA86                                                  ; fully-qualified     # 🪆 E13.0 nesting dolls</t>
  </si>
  <si>
    <t>2660 FE0F                                              ; fully-qualified     # ♠️ E0.6 spade suit</t>
  </si>
  <si>
    <t>2660                                                   ; unqualified         # ♠ E0.6 spade suit</t>
  </si>
  <si>
    <t>2665 FE0F                                              ; fully-qualified     # ♥️ E0.6 heart suit</t>
  </si>
  <si>
    <t>2665                                                   ; unqualified         # ♥ E0.6 heart suit</t>
  </si>
  <si>
    <t>2666 FE0F                                              ; fully-qualified     # ♦️ E0.6 diamond suit</t>
  </si>
  <si>
    <t>2666                                                   ; unqualified         # ♦ E0.6 diamond suit</t>
  </si>
  <si>
    <t>2663 FE0F                                              ; fully-qualified     # ♣️ E0.6 club suit</t>
  </si>
  <si>
    <t>2663                                                   ; unqualified         # ♣ E0.6 club suit</t>
  </si>
  <si>
    <t>265F FE0F                                              ; fully-qualified     # ♟️ E11.0 chess pawn</t>
  </si>
  <si>
    <t>265F                                                   ; unqualified         # ♟ E11.0 chess pawn</t>
  </si>
  <si>
    <t>1F0CF                                                  ; fully-qualified     # 🃏 E0.6 joker</t>
  </si>
  <si>
    <t>1F004                                                  ; fully-qualified     # 🀄 E0.6 mahjong red dragon</t>
  </si>
  <si>
    <t>1F3B4                                                  ; fully-qualified     # 🎴 E0.6 flower playing cards</t>
  </si>
  <si>
    <t># subgroup: arts &amp; crafts</t>
  </si>
  <si>
    <t>1F3AD                                                  ; fully-qualified     # 🎭 E0.6 performing arts</t>
  </si>
  <si>
    <t>1F5BC FE0F                                             ; fully-qualified     # 🖼️ E0.7 framed picture</t>
  </si>
  <si>
    <t>1F5BC                                                  ; unqualified         # 🖼 E0.7 framed picture</t>
  </si>
  <si>
    <t>1F3A8                                                  ; fully-qualified     # 🎨 E0.6 artist palette</t>
  </si>
  <si>
    <t>1F9F5                                                  ; fully-qualified     # 🧵 E11.0 thread</t>
  </si>
  <si>
    <t>1FAA1                                                  ; fully-qualified     # 🪡 E13.0 sewing needle</t>
  </si>
  <si>
    <t>1F9F6                                                  ; fully-qualified     # 🧶 E11.0 yarn</t>
  </si>
  <si>
    <t>1FAA2                                                  ; fully-qualified     # 🪢 E13.0 knot</t>
  </si>
  <si>
    <t># Activities subtotal:          95</t>
  </si>
  <si>
    <t># Activities subtotal:          95      w/o modifiers</t>
  </si>
  <si>
    <t># group: Objects</t>
  </si>
  <si>
    <t># subgroup: clothing</t>
  </si>
  <si>
    <t>1F453                                                  ; fully-qualified     # 👓 E0.6 glasses</t>
  </si>
  <si>
    <t>1F576 FE0F                                             ; fully-qualified     # 🕶️ E0.7 sunglasses</t>
  </si>
  <si>
    <t>1F576                                                  ; unqualified         # 🕶 E0.7 sunglasses</t>
  </si>
  <si>
    <t>1F97D                                                  ; fully-qualified     # 🥽 E11.0 goggles</t>
  </si>
  <si>
    <t>1F97C                                                  ; fully-qualified     # 🥼 E11.0 lab coat</t>
  </si>
  <si>
    <t>1F9BA                                                  ; fully-qualified     # 🦺 E12.0 safety vest</t>
  </si>
  <si>
    <t>1F454                                                  ; fully-qualified     # 👔 E0.6 necktie</t>
  </si>
  <si>
    <t>1F455                                                  ; fully-qualified     # 👕 E0.6 t-shirt</t>
  </si>
  <si>
    <t>1F456                                                  ; fully-qualified     # 👖 E0.6 jeans</t>
  </si>
  <si>
    <t>1F9E3                                                  ; fully-qualified     # 🧣 E5.0 scarf</t>
  </si>
  <si>
    <t>1F9E4                                                  ; fully-qualified     # 🧤 E5.0 gloves</t>
  </si>
  <si>
    <t>1F9E5                                                  ; fully-qualified     # 🧥 E5.0 coat</t>
  </si>
  <si>
    <t>1F9E6                                                  ; fully-qualified     # 🧦 E5.0 socks</t>
  </si>
  <si>
    <t>1F457                                                  ; fully-qualified     # 👗 E0.6 dress</t>
  </si>
  <si>
    <t>1F458                                                  ; fully-qualified     # 👘 E0.6 kimono</t>
  </si>
  <si>
    <t>1F97B                                                  ; fully-qualified     # 🥻 E12.0 sari</t>
  </si>
  <si>
    <t>1FA71                                                  ; fully-qualified     # 🩱 E12.0 one-piece swimsuit</t>
  </si>
  <si>
    <t>1FA72                                                  ; fully-qualified     # 🩲 E12.0 briefs</t>
  </si>
  <si>
    <t>1FA73                                                  ; fully-qualified     # 🩳 E12.0 shorts</t>
  </si>
  <si>
    <t>1F459                                                  ; fully-qualified     # 👙 E0.6 bikini</t>
  </si>
  <si>
    <t>1F45A                                                  ; fully-qualified     # 👚 E0.6 woman’s clothes</t>
  </si>
  <si>
    <t>1F45B                                                  ; fully-qualified     # 👛 E0.6 purse</t>
  </si>
  <si>
    <t>1F45C                                                  ; fully-qualified     # 👜 E0.6 handbag</t>
  </si>
  <si>
    <t>1F45D                                                  ; fully-qualified     # 👝 E0.6 clutch bag</t>
  </si>
  <si>
    <t>1F6CD FE0F                                             ; fully-qualified     # 🛍️ E0.7 shopping bags</t>
  </si>
  <si>
    <t>1F6CD                                                  ; unqualified         # 🛍 E0.7 shopping bags</t>
  </si>
  <si>
    <t>1F392                                                  ; fully-qualified     # 🎒 E0.6 backpack</t>
  </si>
  <si>
    <t>1FA74                                                  ; fully-qualified     # 🩴 E13.0 thong sandal</t>
  </si>
  <si>
    <t>1F45E                                                  ; fully-qualified     # 👞 E0.6 man’s shoe</t>
  </si>
  <si>
    <t>1F45F                                                  ; fully-qualified     # 👟 E0.6 running shoe</t>
  </si>
  <si>
    <t>1F97E                                                  ; fully-qualified     # 🥾 E11.0 hiking boot</t>
  </si>
  <si>
    <t>1F97F                                                  ; fully-qualified     # 🥿 E11.0 flat shoe</t>
  </si>
  <si>
    <t>1F460                                                  ; fully-qualified     # 👠 E0.6 high-heeled shoe</t>
  </si>
  <si>
    <t>1F461                                                  ; fully-qualified     # 👡 E0.6 woman’s sandal</t>
  </si>
  <si>
    <t>1FA70                                                  ; fully-qualified     # 🩰 E12.0 ballet shoes</t>
  </si>
  <si>
    <t>1F462                                                  ; fully-qualified     # 👢 E0.6 woman’s boot</t>
  </si>
  <si>
    <t>1F451                                                  ; fully-qualified     # 👑 E0.6 crown</t>
  </si>
  <si>
    <t>1F452                                                  ; fully-qualified     # 👒 E0.6 woman’s hat</t>
  </si>
  <si>
    <t>1F3A9                                                  ; fully-qualified     # 🎩 E0.6 top hat</t>
  </si>
  <si>
    <t>1F393                                                  ; fully-qualified     # 🎓 E0.6 graduation cap</t>
  </si>
  <si>
    <t>1F9E2                                                  ; fully-qualified     # 🧢 E5.0 billed cap</t>
  </si>
  <si>
    <t>1FA96                                                  ; fully-qualified     # 🪖 E13.0 military helmet</t>
  </si>
  <si>
    <t>26D1 FE0F                                              ; fully-qualified     # ⛑️ E0.7 rescue worker’s helmet</t>
  </si>
  <si>
    <t>26D1                                                   ; unqualified         # ⛑ E0.7 rescue worker’s helmet</t>
  </si>
  <si>
    <t>1F4FF                                                  ; fully-qualified     # 📿 E1.0 prayer beads</t>
  </si>
  <si>
    <t>1F484                                                  ; fully-qualified     # 💄 E0.6 lipstick</t>
  </si>
  <si>
    <t>1F48D                                                  ; fully-qualified     # 💍 E0.6 ring</t>
  </si>
  <si>
    <t>1F48E                                                  ; fully-qualified     # 💎 E0.6 gem stone</t>
  </si>
  <si>
    <t># subgroup: sound</t>
  </si>
  <si>
    <t>1F507                                                  ; fully-qualified     # 🔇 E1.0 muted speaker</t>
  </si>
  <si>
    <t>1F508                                                  ; fully-qualified     # 🔈 E0.7 speaker low volume</t>
  </si>
  <si>
    <t>1F509                                                  ; fully-qualified     # 🔉 E1.0 speaker medium volume</t>
  </si>
  <si>
    <t>1F50A                                                  ; fully-qualified     # 🔊 E0.6 speaker high volume</t>
  </si>
  <si>
    <t>1F4E2                                                  ; fully-qualified     # 📢 E0.6 loudspeaker</t>
  </si>
  <si>
    <t>1F4E3                                                  ; fully-qualified     # 📣 E0.6 megaphone</t>
  </si>
  <si>
    <t>1F4EF                                                  ; fully-qualified     # 📯 E1.0 postal horn</t>
  </si>
  <si>
    <t>1F514                                                  ; fully-qualified     # 🔔 E0.6 bell</t>
  </si>
  <si>
    <t>1F515                                                  ; fully-qualified     # 🔕 E1.0 bell with slash</t>
  </si>
  <si>
    <t># subgroup: music</t>
  </si>
  <si>
    <t>1F3BC                                                  ; fully-qualified     # 🎼 E0.6 musical score</t>
  </si>
  <si>
    <t>1F3B5                                                  ; fully-qualified     # 🎵 E0.6 musical note</t>
  </si>
  <si>
    <t>1F3B6                                                  ; fully-qualified     # 🎶 E0.6 musical notes</t>
  </si>
  <si>
    <t>1F399 FE0F                                             ; fully-qualified     # 🎙️ E0.7 studio microphone</t>
  </si>
  <si>
    <t>1F399                                                  ; unqualified         # 🎙 E0.7 studio microphone</t>
  </si>
  <si>
    <t>1F39A FE0F                                             ; fully-qualified     # 🎚️ E0.7 level slider</t>
  </si>
  <si>
    <t>1F39A                                                  ; unqualified         # 🎚 E0.7 level slider</t>
  </si>
  <si>
    <t>1F39B FE0F                                             ; fully-qualified     # 🎛️ E0.7 control knobs</t>
  </si>
  <si>
    <t>1F39B                                                  ; unqualified         # 🎛 E0.7 control knobs</t>
  </si>
  <si>
    <t>1F3A4                                                  ; fully-qualified     # 🎤 E0.6 microphone</t>
  </si>
  <si>
    <t>1F3A7                                                  ; fully-qualified     # 🎧 E0.6 headphone</t>
  </si>
  <si>
    <t>1F4FB                                                  ; fully-qualified     # 📻 E0.6 radio</t>
  </si>
  <si>
    <t># subgroup: musical-instrument</t>
  </si>
  <si>
    <t>1F3B7                                                  ; fully-qualified     # 🎷 E0.6 saxophone</t>
  </si>
  <si>
    <t>1FA97                                                  ; fully-qualified     # 🪗 E13.0 accordion</t>
  </si>
  <si>
    <t>1F3B8                                                  ; fully-qualified     # 🎸 E0.6 guitar</t>
  </si>
  <si>
    <t>1F3B9                                                  ; fully-qualified     # 🎹 E0.6 musical keyboard</t>
  </si>
  <si>
    <t>1F3BA                                                  ; fully-qualified     # 🎺 E0.6 trumpet</t>
  </si>
  <si>
    <t>1F3BB                                                  ; fully-qualified     # 🎻 E0.6 violin</t>
  </si>
  <si>
    <t>1FA95                                                  ; fully-qualified     # 🪕 E12.0 banjo</t>
  </si>
  <si>
    <t>1F941                                                  ; fully-qualified     # 🥁 E3.0 drum</t>
  </si>
  <si>
    <t>1FA98                                                  ; fully-qualified     # 🪘 E13.0 long drum</t>
  </si>
  <si>
    <t># subgroup: phone</t>
  </si>
  <si>
    <t>1F4F1                                                  ; fully-qualified     # 📱 E0.6 mobile phone</t>
  </si>
  <si>
    <t>1F4F2                                                  ; fully-qualified     # 📲 E0.6 mobile phone with arrow</t>
  </si>
  <si>
    <t>260E FE0F                                              ; fully-qualified     # ☎️ E0.6 telephone</t>
  </si>
  <si>
    <t>260E                                                   ; unqualified         # ☎ E0.6 telephone</t>
  </si>
  <si>
    <t>1F4DE                                                  ; fully-qualified     # 📞 E0.6 telephone receiver</t>
  </si>
  <si>
    <t>1F4DF                                                  ; fully-qualified     # 📟 E0.6 pager</t>
  </si>
  <si>
    <t>1F4E0                                                  ; fully-qualified     # 📠 E0.6 fax machine</t>
  </si>
  <si>
    <t># subgroup: computer</t>
  </si>
  <si>
    <t>1F50B                                                  ; fully-qualified     # 🔋 E0.6 battery</t>
  </si>
  <si>
    <t>1F50C                                                  ; fully-qualified     # 🔌 E0.6 electric plug</t>
  </si>
  <si>
    <t>1F4BB                                                  ; fully-qualified     # 💻 E0.6 laptop</t>
  </si>
  <si>
    <t>1F5A5 FE0F                                             ; fully-qualified     # 🖥️ E0.7 desktop computer</t>
  </si>
  <si>
    <t>1F5A5                                                  ; unqualified         # 🖥 E0.7 desktop computer</t>
  </si>
  <si>
    <t>1F5A8 FE0F                                             ; fully-qualified     # 🖨️ E0.7 printer</t>
  </si>
  <si>
    <t>1F5A8                                                  ; unqualified         # 🖨 E0.7 printer</t>
  </si>
  <si>
    <t>2328 FE0F                                              ; fully-qualified     # ⌨️ E1.0 keyboard</t>
  </si>
  <si>
    <t>2328                                                   ; unqualified         # ⌨ E1.0 keyboard</t>
  </si>
  <si>
    <t>1F5B1 FE0F                                             ; fully-qualified     # 🖱️ E0.7 computer mouse</t>
  </si>
  <si>
    <t>1F5B1                                                  ; unqualified         # 🖱 E0.7 computer mouse</t>
  </si>
  <si>
    <t>1F5B2 FE0F                                             ; fully-qualified     # 🖲️ E0.7 trackball</t>
  </si>
  <si>
    <t>1F5B2                                                  ; unqualified         # 🖲 E0.7 trackball</t>
  </si>
  <si>
    <t>1F4BD                                                  ; fully-qualified     # 💽 E0.6 computer disk</t>
  </si>
  <si>
    <t>1F4BE                                                  ; fully-qualified     # 💾 E0.6 floppy disk</t>
  </si>
  <si>
    <t>1F4BF                                                  ; fully-qualified     # 💿 E0.6 optical disk</t>
  </si>
  <si>
    <t>1F4C0                                                  ; fully-qualified     # 📀 E0.6 dvd</t>
  </si>
  <si>
    <t>1F9EE                                                  ; fully-qualified     # 🧮 E11.0 abacus</t>
  </si>
  <si>
    <t># subgroup: light &amp; video</t>
  </si>
  <si>
    <t>1F3A5                                                  ; fully-qualified     # 🎥 E0.6 movie camera</t>
  </si>
  <si>
    <t>1F39E FE0F                                             ; fully-qualified     # 🎞️ E0.7 film frames</t>
  </si>
  <si>
    <t>1F39E                                                  ; unqualified         # 🎞 E0.7 film frames</t>
  </si>
  <si>
    <t>1F4FD FE0F                                             ; fully-qualified     # 📽️ E0.7 film projector</t>
  </si>
  <si>
    <t>1F4FD                                                  ; unqualified         # 📽 E0.7 film projector</t>
  </si>
  <si>
    <t>1F3AC                                                  ; fully-qualified     # 🎬 E0.6 clapper board</t>
  </si>
  <si>
    <t>1F4FA                                                  ; fully-qualified     # 📺 E0.6 television</t>
  </si>
  <si>
    <t>1F4F7                                                  ; fully-qualified     # 📷 E0.6 camera</t>
  </si>
  <si>
    <t>1F4F8                                                  ; fully-qualified     # 📸 E1.0 camera with flash</t>
  </si>
  <si>
    <t>1F4F9                                                  ; fully-qualified     # 📹 E0.6 video camera</t>
  </si>
  <si>
    <t>1F4FC                                                  ; fully-qualified     # 📼 E0.6 videocassette</t>
  </si>
  <si>
    <t>1F50D                                                  ; fully-qualified     # 🔍 E0.6 magnifying glass tilted left</t>
  </si>
  <si>
    <t>1F50E                                                  ; fully-qualified     # 🔎 E0.6 magnifying glass tilted right</t>
  </si>
  <si>
    <t>1F56F FE0F                                             ; fully-qualified     # 🕯️ E0.7 candle</t>
  </si>
  <si>
    <t>1F56F                                                  ; unqualified         # 🕯 E0.7 candle</t>
  </si>
  <si>
    <t>1F4A1                                                  ; fully-qualified     # 💡 E0.6 light bulb</t>
  </si>
  <si>
    <t>1F526                                                  ; fully-qualified     # 🔦 E0.6 flashlight</t>
  </si>
  <si>
    <t>1F3EE                                                  ; fully-qualified     # 🏮 E0.6 red paper lantern</t>
  </si>
  <si>
    <t>1FA94                                                  ; fully-qualified     # 🪔 E12.0 diya lamp</t>
  </si>
  <si>
    <t># subgroup: book-paper</t>
  </si>
  <si>
    <t>1F4D4                                                  ; fully-qualified     # 📔 E0.6 notebook with decorative cover</t>
  </si>
  <si>
    <t>1F4D5                                                  ; fully-qualified     # 📕 E0.6 closed book</t>
  </si>
  <si>
    <t>1F4D6                                                  ; fully-qualified     # 📖 E0.6 open book</t>
  </si>
  <si>
    <t>1F4D7                                                  ; fully-qualified     # 📗 E0.6 green book</t>
  </si>
  <si>
    <t>1F4D8                                                  ; fully-qualified     # 📘 E0.6 blue book</t>
  </si>
  <si>
    <t>1F4D9                                                  ; fully-qualified     # 📙 E0.6 orange book</t>
  </si>
  <si>
    <t>1F4DA                                                  ; fully-qualified     # 📚 E0.6 books</t>
  </si>
  <si>
    <t>1F4D3                                                  ; fully-qualified     # 📓 E0.6 notebook</t>
  </si>
  <si>
    <t>1F4D2                                                  ; fully-qualified     # 📒 E0.6 ledger</t>
  </si>
  <si>
    <t>1F4C3                                                  ; fully-qualified     # 📃 E0.6 page with curl</t>
  </si>
  <si>
    <t>1F4DC                                                  ; fully-qualified     # 📜 E0.6 scroll</t>
  </si>
  <si>
    <t>1F4C4                                                  ; fully-qualified     # 📄 E0.6 page facing up</t>
  </si>
  <si>
    <t>1F4F0                                                  ; fully-qualified     # 📰 E0.6 newspaper</t>
  </si>
  <si>
    <t>1F5DE FE0F                                             ; fully-qualified     # 🗞️ E0.7 rolled-up newspaper</t>
  </si>
  <si>
    <t>1F5DE                                                  ; unqualified         # 🗞 E0.7 rolled-up newspaper</t>
  </si>
  <si>
    <t>1F4D1                                                  ; fully-qualified     # 📑 E0.6 bookmark tabs</t>
  </si>
  <si>
    <t>1F516                                                  ; fully-qualified     # 🔖 E0.6 bookmark</t>
  </si>
  <si>
    <t>1F3F7 FE0F                                             ; fully-qualified     # 🏷️ E0.7 label</t>
  </si>
  <si>
    <t>1F3F7                                                  ; unqualified         # 🏷 E0.7 label</t>
  </si>
  <si>
    <t># subgroup: money</t>
  </si>
  <si>
    <t>1F4B0                                                  ; fully-qualified     # 💰 E0.6 money bag</t>
  </si>
  <si>
    <t>1FA99                                                  ; fully-qualified     # 🪙 E13.0 coin</t>
  </si>
  <si>
    <t>1F4B4                                                  ; fully-qualified     # 💴 E0.6 yen banknote</t>
  </si>
  <si>
    <t>1F4B5                                                  ; fully-qualified     # 💵 E0.6 dollar banknote</t>
  </si>
  <si>
    <t>1F4B6                                                  ; fully-qualified     # 💶 E1.0 euro banknote</t>
  </si>
  <si>
    <t>1F4B7                                                  ; fully-qualified     # 💷 E1.0 pound banknote</t>
  </si>
  <si>
    <t>1F4B8                                                  ; fully-qualified     # 💸 E0.6 money with wings</t>
  </si>
  <si>
    <t>1F4B3                                                  ; fully-qualified     # 💳 E0.6 credit card</t>
  </si>
  <si>
    <t>1F9FE                                                  ; fully-qualified     # 🧾 E11.0 receipt</t>
  </si>
  <si>
    <t>1F4B9                                                  ; fully-qualified     # 💹 E0.6 chart increasing with yen</t>
  </si>
  <si>
    <t># subgroup: mail</t>
  </si>
  <si>
    <t>2709 FE0F                                              ; fully-qualified     # ✉️ E0.6 envelope</t>
  </si>
  <si>
    <t>2709                                                   ; unqualified         # ✉ E0.6 envelope</t>
  </si>
  <si>
    <t>1F4E7                                                  ; fully-qualified     # 📧 E0.6 e-mail</t>
  </si>
  <si>
    <t>1F4E8                                                  ; fully-qualified     # 📨 E0.6 incoming envelope</t>
  </si>
  <si>
    <t>1F4E9                                                  ; fully-qualified     # 📩 E0.6 envelope with arrow</t>
  </si>
  <si>
    <t>1F4E4                                                  ; fully-qualified     # 📤 E0.6 outbox tray</t>
  </si>
  <si>
    <t>1F4E5                                                  ; fully-qualified     # 📥 E0.6 inbox tray</t>
  </si>
  <si>
    <t>1F4E6                                                  ; fully-qualified     # 📦 E0.6 package</t>
  </si>
  <si>
    <t>1F4EB                                                  ; fully-qualified     # 📫 E0.6 closed mailbox with raised flag</t>
  </si>
  <si>
    <t>1F4EA                                                  ; fully-qualified     # 📪 E0.6 closed mailbox with lowered flag</t>
  </si>
  <si>
    <t>1F4EC                                                  ; fully-qualified     # 📬 E0.7 open mailbox with raised flag</t>
  </si>
  <si>
    <t>1F4ED                                                  ; fully-qualified     # 📭 E0.7 open mailbox with lowered flag</t>
  </si>
  <si>
    <t>1F4EE                                                  ; fully-qualified     # 📮 E0.6 postbox</t>
  </si>
  <si>
    <t>1F5F3 FE0F                                             ; fully-qualified     # 🗳️ E0.7 ballot box with ballot</t>
  </si>
  <si>
    <t>1F5F3                                                  ; unqualified         # 🗳 E0.7 ballot box with ballot</t>
  </si>
  <si>
    <t># subgroup: writing</t>
  </si>
  <si>
    <t>270F FE0F                                              ; fully-qualified     # ✏️ E0.6 pencil</t>
  </si>
  <si>
    <t>270F                                                   ; unqualified         # ✏ E0.6 pencil</t>
  </si>
  <si>
    <t>2712 FE0F                                              ; fully-qualified     # ✒️ E0.6 black nib</t>
  </si>
  <si>
    <t>2712                                                   ; unqualified         # ✒ E0.6 black nib</t>
  </si>
  <si>
    <t>1F58B FE0F                                             ; fully-qualified     # 🖋️ E0.7 fountain pen</t>
  </si>
  <si>
    <t>1F58B                                                  ; unqualified         # 🖋 E0.7 fountain pen</t>
  </si>
  <si>
    <t>1F58A FE0F                                             ; fully-qualified     # 🖊️ E0.7 pen</t>
  </si>
  <si>
    <t>1F58A                                                  ; unqualified         # 🖊 E0.7 pen</t>
  </si>
  <si>
    <t>1F58C FE0F                                             ; fully-qualified     # 🖌️ E0.7 paintbrush</t>
  </si>
  <si>
    <t>1F58C                                                  ; unqualified         # 🖌 E0.7 paintbrush</t>
  </si>
  <si>
    <t>1F58D FE0F                                             ; fully-qualified     # 🖍️ E0.7 crayon</t>
  </si>
  <si>
    <t>1F58D                                                  ; unqualified         # 🖍 E0.7 crayon</t>
  </si>
  <si>
    <t>1F4DD                                                  ; fully-qualified     # 📝 E0.6 memo</t>
  </si>
  <si>
    <t># subgroup: office</t>
  </si>
  <si>
    <t>1F4BC                                                  ; fully-qualified     # 💼 E0.6 briefcase</t>
  </si>
  <si>
    <t>1F4C1                                                  ; fully-qualified     # 📁 E0.6 file folder</t>
  </si>
  <si>
    <t>1F4C2                                                  ; fully-qualified     # 📂 E0.6 open file folder</t>
  </si>
  <si>
    <t>1F5C2 FE0F                                             ; fully-qualified     # 🗂️ E0.7 card index dividers</t>
  </si>
  <si>
    <t>1F5C2                                                  ; unqualified         # 🗂 E0.7 card index dividers</t>
  </si>
  <si>
    <t>1F4C5                                                  ; fully-qualified     # 📅 E0.6 calendar</t>
  </si>
  <si>
    <t>1F4C6                                                  ; fully-qualified     # 📆 E0.6 tear-off calendar</t>
  </si>
  <si>
    <t>1F5D2 FE0F                                             ; fully-qualified     # 🗒️ E0.7 spiral notepad</t>
  </si>
  <si>
    <t>1F5D2                                                  ; unqualified         # 🗒 E0.7 spiral notepad</t>
  </si>
  <si>
    <t>1F5D3 FE0F                                             ; fully-qualified     # 🗓️ E0.7 spiral calendar</t>
  </si>
  <si>
    <t>1F5D3                                                  ; unqualified         # 🗓 E0.7 spiral calendar</t>
  </si>
  <si>
    <t>1F4C7                                                  ; fully-qualified     # 📇 E0.6 card index</t>
  </si>
  <si>
    <t>1F4C8                                                  ; fully-qualified     # 📈 E0.6 chart increasing</t>
  </si>
  <si>
    <t>1F4C9                                                  ; fully-qualified     # 📉 E0.6 chart decreasing</t>
  </si>
  <si>
    <t>1F4CA                                                  ; fully-qualified     # 📊 E0.6 bar chart</t>
  </si>
  <si>
    <t>1F4CB                                                  ; fully-qualified     # 📋 E0.6 clipboard</t>
  </si>
  <si>
    <t>1F4CC                                                  ; fully-qualified     # 📌 E0.6 pushpin</t>
  </si>
  <si>
    <t>1F4CD                                                  ; fully-qualified     # 📍 E0.6 round pushpin</t>
  </si>
  <si>
    <t>1F4CE                                                  ; fully-qualified     # 📎 E0.6 paperclip</t>
  </si>
  <si>
    <t>1F587 FE0F                                             ; fully-qualified     # 🖇️ E0.7 linked paperclips</t>
  </si>
  <si>
    <t>1F587                                                  ; unqualified         # 🖇 E0.7 linked paperclips</t>
  </si>
  <si>
    <t>1F4CF                                                  ; fully-qualified     # 📏 E0.6 straight ruler</t>
  </si>
  <si>
    <t>1F4D0                                                  ; fully-qualified     # 📐 E0.6 triangular ruler</t>
  </si>
  <si>
    <t>2702 FE0F                                              ; fully-qualified     # ✂️ E0.6 scissors</t>
  </si>
  <si>
    <t>2702                                                   ; unqualified         # ✂ E0.6 scissors</t>
  </si>
  <si>
    <t>1F5C3 FE0F                                             ; fully-qualified     # 🗃️ E0.7 card file box</t>
  </si>
  <si>
    <t>1F5C3                                                  ; unqualified         # 🗃 E0.7 card file box</t>
  </si>
  <si>
    <t>1F5C4 FE0F                                             ; fully-qualified     # 🗄️ E0.7 file cabinet</t>
  </si>
  <si>
    <t>1F5C4                                                  ; unqualified         # 🗄 E0.7 file cabinet</t>
  </si>
  <si>
    <t>1F5D1 FE0F                                             ; fully-qualified     # 🗑️ E0.7 wastebasket</t>
  </si>
  <si>
    <t>1F5D1                                                  ; unqualified         # 🗑 E0.7 wastebasket</t>
  </si>
  <si>
    <t># subgroup: lock</t>
  </si>
  <si>
    <t>1F512                                                  ; fully-qualified     # 🔒 E0.6 locked</t>
  </si>
  <si>
    <t>1F513                                                  ; fully-qualified     # 🔓 E0.6 unlocked</t>
  </si>
  <si>
    <t>1F50F                                                  ; fully-qualified     # 🔏 E0.6 locked with pen</t>
  </si>
  <si>
    <t>1F510                                                  ; fully-qualified     # 🔐 E0.6 locked with key</t>
  </si>
  <si>
    <t>1F511                                                  ; fully-qualified     # 🔑 E0.6 key</t>
  </si>
  <si>
    <t>1F5DD FE0F                                             ; fully-qualified     # 🗝️ E0.7 old key</t>
  </si>
  <si>
    <t>1F5DD                                                  ; unqualified         # 🗝 E0.7 old key</t>
  </si>
  <si>
    <t># subgroup: tool</t>
  </si>
  <si>
    <t>1F528                                                  ; fully-qualified     # 🔨 E0.6 hammer</t>
  </si>
  <si>
    <t>1FA93                                                  ; fully-qualified     # 🪓 E12.0 axe</t>
  </si>
  <si>
    <t>26CF FE0F                                              ; fully-qualified     # ⛏️ E0.7 pick</t>
  </si>
  <si>
    <t>26CF                                                   ; unqualified         # ⛏ E0.7 pick</t>
  </si>
  <si>
    <t>2692 FE0F                                              ; fully-qualified     # ⚒️ E1.0 hammer and pick</t>
  </si>
  <si>
    <t>2692                                                   ; unqualified         # ⚒ E1.0 hammer and pick</t>
  </si>
  <si>
    <t>1F6E0 FE0F                                             ; fully-qualified     # 🛠️ E0.7 hammer and wrench</t>
  </si>
  <si>
    <t>1F6E0                                                  ; unqualified         # 🛠 E0.7 hammer and wrench</t>
  </si>
  <si>
    <t>1F5E1 FE0F                                             ; fully-qualified     # 🗡️ E0.7 dagger</t>
  </si>
  <si>
    <t>1F5E1                                                  ; unqualified         # 🗡 E0.7 dagger</t>
  </si>
  <si>
    <t>2694 FE0F                                              ; fully-qualified     # ⚔️ E1.0 crossed swords</t>
  </si>
  <si>
    <t>2694                                                   ; unqualified         # ⚔ E1.0 crossed swords</t>
  </si>
  <si>
    <t>1F52B                                                  ; fully-qualified     # 🔫 E0.6 water pistol</t>
  </si>
  <si>
    <t>1FA83                                                  ; fully-qualified     # 🪃 E13.0 boomerang</t>
  </si>
  <si>
    <t>1F3F9                                                  ; fully-qualified     # 🏹 E1.0 bow and arrow</t>
  </si>
  <si>
    <t>1F6E1 FE0F                                             ; fully-qualified     # 🛡️ E0.7 shield</t>
  </si>
  <si>
    <t>1F6E1                                                  ; unqualified         # 🛡 E0.7 shield</t>
  </si>
  <si>
    <t>1FA9A                                                  ; fully-qualified     # 🪚 E13.0 carpentry saw</t>
  </si>
  <si>
    <t>1F527                                                  ; fully-qualified     # 🔧 E0.6 wrench</t>
  </si>
  <si>
    <t>1FA9B                                                  ; fully-qualified     # 🪛 E13.0 screwdriver</t>
  </si>
  <si>
    <t>1F529                                                  ; fully-qualified     # 🔩 E0.6 nut and bolt</t>
  </si>
  <si>
    <t>2699 FE0F                                              ; fully-qualified     # ⚙️ E1.0 gear</t>
  </si>
  <si>
    <t>2699                                                   ; unqualified         # ⚙ E1.0 gear</t>
  </si>
  <si>
    <t>1F5DC FE0F                                             ; fully-qualified     # 🗜️ E0.7 clamp</t>
  </si>
  <si>
    <t>1F5DC                                                  ; unqualified         # 🗜 E0.7 clamp</t>
  </si>
  <si>
    <t>2696 FE0F                                              ; fully-qualified     # ⚖️ E1.0 balance scale</t>
  </si>
  <si>
    <t>2696                                                   ; unqualified         # ⚖ E1.0 balance scale</t>
  </si>
  <si>
    <t>1F9AF                                                  ; fully-qualified     # 🦯 E12.0 white cane</t>
  </si>
  <si>
    <t>1F517                                                  ; fully-qualified     # 🔗 E0.6 link</t>
  </si>
  <si>
    <t>26D3 FE0F                                              ; fully-qualified     # ⛓️ E0.7 chains</t>
  </si>
  <si>
    <t>26D3                                                   ; unqualified         # ⛓ E0.7 chains</t>
  </si>
  <si>
    <t>1FA9D                                                  ; fully-qualified     # 🪝 E13.0 hook</t>
  </si>
  <si>
    <t>1F9F0                                                  ; fully-qualified     # 🧰 E11.0 toolbox</t>
  </si>
  <si>
    <t>1F9F2                                                  ; fully-qualified     # 🧲 E11.0 magnet</t>
  </si>
  <si>
    <t>1FA9C                                                  ; fully-qualified     # 🪜 E13.0 ladder</t>
  </si>
  <si>
    <t># subgroup: science</t>
  </si>
  <si>
    <t>2697 FE0F                                              ; fully-qualified     # ⚗️ E1.0 alembic</t>
  </si>
  <si>
    <t>2697                                                   ; unqualified         # ⚗ E1.0 alembic</t>
  </si>
  <si>
    <t>1F9EA                                                  ; fully-qualified     # 🧪 E11.0 test tube</t>
  </si>
  <si>
    <t>1F9EB                                                  ; fully-qualified     # 🧫 E11.0 petri dish</t>
  </si>
  <si>
    <t>1F9EC                                                  ; fully-qualified     # 🧬 E11.0 dna</t>
  </si>
  <si>
    <t>1F52C                                                  ; fully-qualified     # 🔬 E1.0 microscope</t>
  </si>
  <si>
    <t>1F52D                                                  ; fully-qualified     # 🔭 E1.0 telescope</t>
  </si>
  <si>
    <t>1F4E1                                                  ; fully-qualified     # 📡 E0.6 satellite antenna</t>
  </si>
  <si>
    <t># subgroup: medical</t>
  </si>
  <si>
    <t>1F489                                                  ; fully-qualified     # 💉 E0.6 syringe</t>
  </si>
  <si>
    <t>1FA78                                                  ; fully-qualified     # 🩸 E12.0 drop of blood</t>
  </si>
  <si>
    <t>1F48A                                                  ; fully-qualified     # 💊 E0.6 pill</t>
  </si>
  <si>
    <t>1FA79                                                  ; fully-qualified     # 🩹 E12.0 adhesive bandage</t>
  </si>
  <si>
    <t>1FA7A                                                  ; fully-qualified     # 🩺 E12.0 stethoscope</t>
  </si>
  <si>
    <t># subgroup: household</t>
  </si>
  <si>
    <t>1F6AA                                                  ; fully-qualified     # 🚪 E0.6 door</t>
  </si>
  <si>
    <t>1F6D7                                                  ; fully-qualified     # 🛗 E13.0 elevator</t>
  </si>
  <si>
    <t>1FA9E                                                  ; fully-qualified     # 🪞 E13.0 mirror</t>
  </si>
  <si>
    <t>1FA9F                                                  ; fully-qualified     # 🪟 E13.0 window</t>
  </si>
  <si>
    <t>1F6CF FE0F                                             ; fully-qualified     # 🛏️ E0.7 bed</t>
  </si>
  <si>
    <t>1F6CF                                                  ; unqualified         # 🛏 E0.7 bed</t>
  </si>
  <si>
    <t>1F6CB FE0F                                             ; fully-qualified     # 🛋️ E0.7 couch and lamp</t>
  </si>
  <si>
    <t>1F6CB                                                  ; unqualified         # 🛋 E0.7 couch and lamp</t>
  </si>
  <si>
    <t>1FA91                                                  ; fully-qualified     # 🪑 E12.0 chair</t>
  </si>
  <si>
    <t>1F6BD                                                  ; fully-qualified     # 🚽 E0.6 toilet</t>
  </si>
  <si>
    <t>1FAA0                                                  ; fully-qualified     # 🪠 E13.0 plunger</t>
  </si>
  <si>
    <t>1F6BF                                                  ; fully-qualified     # 🚿 E1.0 shower</t>
  </si>
  <si>
    <t>1F6C1                                                  ; fully-qualified     # 🛁 E1.0 bathtub</t>
  </si>
  <si>
    <t>1FAA4                                                  ; fully-qualified     # 🪤 E13.0 mouse trap</t>
  </si>
  <si>
    <t>1FA92                                                  ; fully-qualified     # 🪒 E12.0 razor</t>
  </si>
  <si>
    <t>1F9F4                                                  ; fully-qualified     # 🧴 E11.0 lotion bottle</t>
  </si>
  <si>
    <t>1F9F7                                                  ; fully-qualified     # 🧷 E11.0 safety pin</t>
  </si>
  <si>
    <t>1F9F9                                                  ; fully-qualified     # 🧹 E11.0 broom</t>
  </si>
  <si>
    <t>1F9FA                                                  ; fully-qualified     # 🧺 E11.0 basket</t>
  </si>
  <si>
    <t>1F9FB                                                  ; fully-qualified     # 🧻 E11.0 roll of paper</t>
  </si>
  <si>
    <t>1FAA3                                                  ; fully-qualified     # 🪣 E13.0 bucket</t>
  </si>
  <si>
    <t>1F9FC                                                  ; fully-qualified     # 🧼 E11.0 soap</t>
  </si>
  <si>
    <t>1FAA5                                                  ; fully-qualified     # 🪥 E13.0 toothbrush</t>
  </si>
  <si>
    <t>1F9FD                                                  ; fully-qualified     # 🧽 E11.0 sponge</t>
  </si>
  <si>
    <t>1F9EF                                                  ; fully-qualified     # 🧯 E11.0 fire extinguisher</t>
  </si>
  <si>
    <t>1F6D2                                                  ; fully-qualified     # 🛒 E3.0 shopping cart</t>
  </si>
  <si>
    <t># subgroup: other-object</t>
  </si>
  <si>
    <t>1F6AC                                                  ; fully-qualified     # 🚬 E0.6 cigarette</t>
  </si>
  <si>
    <t>26B0 FE0F                                              ; fully-qualified     # ⚰️ E1.0 coffin</t>
  </si>
  <si>
    <t>26B0                                                   ; unqualified         # ⚰ E1.0 coffin</t>
  </si>
  <si>
    <t>1FAA6                                                  ; fully-qualified     # 🪦 E13.0 headstone</t>
  </si>
  <si>
    <t>26B1 FE0F                                              ; fully-qualified     # ⚱️ E1.0 funeral urn</t>
  </si>
  <si>
    <t>26B1                                                   ; unqualified         # ⚱ E1.0 funeral urn</t>
  </si>
  <si>
    <t>1F5FF                                                  ; fully-qualified     # 🗿 E0.6 moai</t>
  </si>
  <si>
    <t>1FAA7                                                  ; fully-qualified     # 🪧 E13.0 placard</t>
  </si>
  <si>
    <t># Objects subtotal:             299</t>
  </si>
  <si>
    <t># Objects subtotal:             299     w/o modifiers</t>
  </si>
  <si>
    <t># group: Symbols</t>
  </si>
  <si>
    <t># subgroup: transport-sign</t>
  </si>
  <si>
    <t>1F3E7                                                  ; fully-qualified     # 🏧 E0.6 ATM sign</t>
  </si>
  <si>
    <t>1F6AE                                                  ; fully-qualified     # 🚮 E1.0 litter in bin sign</t>
  </si>
  <si>
    <t>1F6B0                                                  ; fully-qualified     # 🚰 E1.0 potable water</t>
  </si>
  <si>
    <t>267F                                                   ; fully-qualified     # ♿ E0.6 wheelchair symbol</t>
  </si>
  <si>
    <t>1F6B9                                                  ; fully-qualified     # 🚹 E0.6 men’s room</t>
  </si>
  <si>
    <t>1F6BA                                                  ; fully-qualified     # 🚺 E0.6 women’s room</t>
  </si>
  <si>
    <t>1F6BB                                                  ; fully-qualified     # 🚻 E0.6 restroom</t>
  </si>
  <si>
    <t>1F6BC                                                  ; fully-qualified     # 🚼 E0.6 baby symbol</t>
  </si>
  <si>
    <t>1F6BE                                                  ; fully-qualified     # 🚾 E0.6 water closet</t>
  </si>
  <si>
    <t>1F6C2                                                  ; fully-qualified     # 🛂 E1.0 passport control</t>
  </si>
  <si>
    <t>1F6C3                                                  ; fully-qualified     # 🛃 E1.0 customs</t>
  </si>
  <si>
    <t>1F6C4                                                  ; fully-qualified     # 🛄 E1.0 baggage claim</t>
  </si>
  <si>
    <t>1F6C5                                                  ; fully-qualified     # 🛅 E1.0 left luggage</t>
  </si>
  <si>
    <t># subgroup: warning</t>
  </si>
  <si>
    <t>26A0 FE0F                                              ; fully-qualified     # ⚠️ E0.6 warning</t>
  </si>
  <si>
    <t>26A0                                                   ; unqualified         # ⚠ E0.6 warning</t>
  </si>
  <si>
    <t>1F6B8                                                  ; fully-qualified     # 🚸 E1.0 children crossing</t>
  </si>
  <si>
    <t>26D4                                                   ; fully-qualified     # ⛔ E0.6 no entry</t>
  </si>
  <si>
    <t>1F6AB                                                  ; fully-qualified     # 🚫 E0.6 prohibited</t>
  </si>
  <si>
    <t>1F6B3                                                  ; fully-qualified     # 🚳 E1.0 no bicycles</t>
  </si>
  <si>
    <t>1F6AD                                                  ; fully-qualified     # 🚭 E0.6 no smoking</t>
  </si>
  <si>
    <t>1F6AF                                                  ; fully-qualified     # 🚯 E1.0 no littering</t>
  </si>
  <si>
    <t>1F6B1                                                  ; fully-qualified     # 🚱 E1.0 non-potable water</t>
  </si>
  <si>
    <t>1F6B7                                                  ; fully-qualified     # 🚷 E1.0 no pedestrians</t>
  </si>
  <si>
    <t>1F4F5                                                  ; fully-qualified     # 📵 E1.0 no mobile phones</t>
  </si>
  <si>
    <t>1F51E                                                  ; fully-qualified     # 🔞 E0.6 no one under eighteen</t>
  </si>
  <si>
    <t>2622 FE0F                                              ; fully-qualified     # ☢️ E1.0 radioactive</t>
  </si>
  <si>
    <t>2622                                                   ; unqualified         # ☢ E1.0 radioactive</t>
  </si>
  <si>
    <t>2623 FE0F                                              ; fully-qualified     # ☣️ E1.0 biohazard</t>
  </si>
  <si>
    <t>2623                                                   ; unqualified         # ☣ E1.0 biohazard</t>
  </si>
  <si>
    <t># subgroup: arrow</t>
  </si>
  <si>
    <t>2B06 FE0F                                              ; fully-qualified     # ⬆️ E0.6 up arrow</t>
  </si>
  <si>
    <t>2B06                                                   ; unqualified         # ⬆ E0.6 up arrow</t>
  </si>
  <si>
    <t>2197 FE0F                                              ; fully-qualified     # ↗️ E0.6 up-right arrow</t>
  </si>
  <si>
    <t>2197                                                   ; unqualified         # ↗ E0.6 up-right arrow</t>
  </si>
  <si>
    <t>27A1 FE0F                                              ; fully-qualified     # ➡️ E0.6 right arrow</t>
  </si>
  <si>
    <t>27A1                                                   ; unqualified         # ➡ E0.6 right arrow</t>
  </si>
  <si>
    <t>2198 FE0F                                              ; fully-qualified     # ↘️ E0.6 down-right arrow</t>
  </si>
  <si>
    <t>2198                                                   ; unqualified         # ↘ E0.6 down-right arrow</t>
  </si>
  <si>
    <t>2B07 FE0F                                              ; fully-qualified     # ⬇️ E0.6 down arrow</t>
  </si>
  <si>
    <t>2B07                                                   ; unqualified         # ⬇ E0.6 down arrow</t>
  </si>
  <si>
    <t>2199 FE0F                                              ; fully-qualified     # ↙️ E0.6 down-left arrow</t>
  </si>
  <si>
    <t>2199                                                   ; unqualified         # ↙ E0.6 down-left arrow</t>
  </si>
  <si>
    <t>2B05 FE0F                                              ; fully-qualified     # ⬅️ E0.6 left arrow</t>
  </si>
  <si>
    <t>2B05                                                   ; unqualified         # ⬅ E0.6 left arrow</t>
  </si>
  <si>
    <t>2196 FE0F                                              ; fully-qualified     # ↖️ E0.6 up-left arrow</t>
  </si>
  <si>
    <t>2196                                                   ; unqualified         # ↖ E0.6 up-left arrow</t>
  </si>
  <si>
    <t>2195 FE0F                                              ; fully-qualified     # ↕️ E0.6 up-down arrow</t>
  </si>
  <si>
    <t>2195                                                   ; unqualified         # ↕ E0.6 up-down arrow</t>
  </si>
  <si>
    <t>2194 FE0F                                              ; fully-qualified     # ↔️ E0.6 left-right arrow</t>
  </si>
  <si>
    <t>2194                                                   ; unqualified         # ↔ E0.6 left-right arrow</t>
  </si>
  <si>
    <t>21A9 FE0F                                              ; fully-qualified     # ↩️ E0.6 right arrow curving left</t>
  </si>
  <si>
    <t>21A9                                                   ; unqualified         # ↩ E0.6 right arrow curving left</t>
  </si>
  <si>
    <t>21AA FE0F                                              ; fully-qualified     # ↪️ E0.6 left arrow curving right</t>
  </si>
  <si>
    <t>21AA                                                   ; unqualified         # ↪ E0.6 left arrow curving right</t>
  </si>
  <si>
    <t>2934 FE0F                                              ; fully-qualified     # ⤴️ E0.6 right arrow curving up</t>
  </si>
  <si>
    <t>2934                                                   ; unqualified         # ⤴ E0.6 right arrow curving up</t>
  </si>
  <si>
    <t>2935 FE0F                                              ; fully-qualified     # ⤵️ E0.6 right arrow curving down</t>
  </si>
  <si>
    <t>2935                                                   ; unqualified         # ⤵ E0.6 right arrow curving down</t>
  </si>
  <si>
    <t>1F503                                                  ; fully-qualified     # 🔃 E0.6 clockwise vertical arrows</t>
  </si>
  <si>
    <t>1F504                                                  ; fully-qualified     # 🔄 E1.0 counterclockwise arrows button</t>
  </si>
  <si>
    <t>1F519                                                  ; fully-qualified     # 🔙 E0.6 BACK arrow</t>
  </si>
  <si>
    <t>1F51A                                                  ; fully-qualified     # 🔚 E0.6 END arrow</t>
  </si>
  <si>
    <t>1F51B                                                  ; fully-qualified     # 🔛 E0.6 ON! arrow</t>
  </si>
  <si>
    <t>1F51C                                                  ; fully-qualified     # 🔜 E0.6 SOON arrow</t>
  </si>
  <si>
    <t>1F51D                                                  ; fully-qualified     # 🔝 E0.6 TOP arrow</t>
  </si>
  <si>
    <t># subgroup: religion</t>
  </si>
  <si>
    <t>1F6D0                                                  ; fully-qualified     # 🛐 E1.0 place of worship</t>
  </si>
  <si>
    <t>269B FE0F                                              ; fully-qualified     # ⚛️ E1.0 atom symbol</t>
  </si>
  <si>
    <t>269B                                                   ; unqualified         # ⚛ E1.0 atom symbol</t>
  </si>
  <si>
    <t>1F549 FE0F                                             ; fully-qualified     # 🕉️ E0.7 om</t>
  </si>
  <si>
    <t>1F549                                                  ; unqualified         # 🕉 E0.7 om</t>
  </si>
  <si>
    <t>2721 FE0F                                              ; fully-qualified     # ✡️ E0.7 star of David</t>
  </si>
  <si>
    <t>2721                                                   ; unqualified         # ✡ E0.7 star of David</t>
  </si>
  <si>
    <t>2638 FE0F                                              ; fully-qualified     # ☸️ E0.7 wheel of dharma</t>
  </si>
  <si>
    <t>2638                                                   ; unqualified         # ☸ E0.7 wheel of dharma</t>
  </si>
  <si>
    <t>262F FE0F                                              ; fully-qualified     # ☯️ E0.7 yin yang</t>
  </si>
  <si>
    <t>262F                                                   ; unqualified         # ☯ E0.7 yin yang</t>
  </si>
  <si>
    <t>271D FE0F                                              ; fully-qualified     # ✝️ E0.7 latin cross</t>
  </si>
  <si>
    <t>271D                                                   ; unqualified         # ✝ E0.7 latin cross</t>
  </si>
  <si>
    <t>2626 FE0F                                              ; fully-qualified     # ☦️ E1.0 orthodox cross</t>
  </si>
  <si>
    <t>2626                                                   ; unqualified         # ☦ E1.0 orthodox cross</t>
  </si>
  <si>
    <t>262A FE0F                                              ; fully-qualified     # ☪️ E0.7 star and crescent</t>
  </si>
  <si>
    <t>262A                                                   ; unqualified         # ☪ E0.7 star and crescent</t>
  </si>
  <si>
    <t>262E FE0F                                              ; fully-qualified     # ☮️ E1.0 peace symbol</t>
  </si>
  <si>
    <t>262E                                                   ; unqualified         # ☮ E1.0 peace symbol</t>
  </si>
  <si>
    <t>1F54E                                                  ; fully-qualified     # 🕎 E1.0 menorah</t>
  </si>
  <si>
    <t>1F52F                                                  ; fully-qualified     # 🔯 E0.6 dotted six-pointed star</t>
  </si>
  <si>
    <t># subgroup: zodiac</t>
  </si>
  <si>
    <t>2648                                                   ; fully-qualified     # ♈ E0.6 Aries</t>
  </si>
  <si>
    <t>2649                                                   ; fully-qualified     # ♉ E0.6 Taurus</t>
  </si>
  <si>
    <t>264A                                                   ; fully-qualified     # ♊ E0.6 Gemini</t>
  </si>
  <si>
    <t>264B                                                   ; fully-qualified     # ♋ E0.6 Cancer</t>
  </si>
  <si>
    <t>264C                                                   ; fully-qualified     # ♌ E0.6 Leo</t>
  </si>
  <si>
    <t>264D                                                   ; fully-qualified     # ♍ E0.6 Virgo</t>
  </si>
  <si>
    <t>264E                                                   ; fully-qualified     # ♎ E0.6 Libra</t>
  </si>
  <si>
    <t>264F                                                   ; fully-qualified     # ♏ E0.6 Scorpio</t>
  </si>
  <si>
    <t>2650                                                   ; fully-qualified     # ♐ E0.6 Sagittarius</t>
  </si>
  <si>
    <t>2651                                                   ; fully-qualified     # ♑ E0.6 Capricorn</t>
  </si>
  <si>
    <t>2652                                                   ; fully-qualified     # ♒ E0.6 Aquarius</t>
  </si>
  <si>
    <t>2653                                                   ; fully-qualified     # ♓ E0.6 Pisces</t>
  </si>
  <si>
    <t>26CE                                                   ; fully-qualified     # ⛎ E0.6 Ophiuchus</t>
  </si>
  <si>
    <t># subgroup: av-symbol</t>
  </si>
  <si>
    <t>1F500                                                  ; fully-qualified     # 🔀 E1.0 shuffle tracks button</t>
  </si>
  <si>
    <t>1F501                                                  ; fully-qualified     # 🔁 E1.0 repeat button</t>
  </si>
  <si>
    <t>1F502                                                  ; fully-qualified     # 🔂 E1.0 repeat single button</t>
  </si>
  <si>
    <t>25B6 FE0F                                              ; fully-qualified     # ▶️ E0.6 play button</t>
  </si>
  <si>
    <t>25B6                                                   ; unqualified         # ▶ E0.6 play button</t>
  </si>
  <si>
    <t>23E9                                                   ; fully-qualified     # ⏩ E0.6 fast-forward button</t>
  </si>
  <si>
    <t>23ED FE0F                                              ; fully-qualified     # ⏭️ E0.7 next track button</t>
  </si>
  <si>
    <t>23ED                                                   ; unqualified         # ⏭ E0.7 next track button</t>
  </si>
  <si>
    <t>23EF FE0F                                              ; fully-qualified     # ⏯️ E1.0 play or pause button</t>
  </si>
  <si>
    <t>23EF                                                   ; unqualified         # ⏯ E1.0 play or pause button</t>
  </si>
  <si>
    <t>25C0 FE0F                                              ; fully-qualified     # ◀️ E0.6 reverse button</t>
  </si>
  <si>
    <t>25C0                                                   ; unqualified         # ◀ E0.6 reverse button</t>
  </si>
  <si>
    <t>23EA                                                   ; fully-qualified     # ⏪ E0.6 fast reverse button</t>
  </si>
  <si>
    <t>23EE FE0F                                              ; fully-qualified     # ⏮️ E0.7 last track button</t>
  </si>
  <si>
    <t>23EE                                                   ; unqualified         # ⏮ E0.7 last track button</t>
  </si>
  <si>
    <t>1F53C                                                  ; fully-qualified     # 🔼 E0.6 upwards button</t>
  </si>
  <si>
    <t>23EB                                                   ; fully-qualified     # ⏫ E0.6 fast up button</t>
  </si>
  <si>
    <t>1F53D                                                  ; fully-qualified     # 🔽 E0.6 downwards button</t>
  </si>
  <si>
    <t>23EC                                                   ; fully-qualified     # ⏬ E0.6 fast down button</t>
  </si>
  <si>
    <t>23F8 FE0F                                              ; fully-qualified     # ⏸️ E0.7 pause button</t>
  </si>
  <si>
    <t>23F8                                                   ; unqualified         # ⏸ E0.7 pause button</t>
  </si>
  <si>
    <t>23F9 FE0F                                              ; fully-qualified     # ⏹️ E0.7 stop button</t>
  </si>
  <si>
    <t>23F9                                                   ; unqualified         # ⏹ E0.7 stop button</t>
  </si>
  <si>
    <t>23FA FE0F                                              ; fully-qualified     # ⏺️ E0.7 record button</t>
  </si>
  <si>
    <t>23FA                                                   ; unqualified         # ⏺ E0.7 record button</t>
  </si>
  <si>
    <t>23CF FE0F                                              ; fully-qualified     # ⏏️ E1.0 eject button</t>
  </si>
  <si>
    <t>23CF                                                   ; unqualified         # ⏏ E1.0 eject button</t>
  </si>
  <si>
    <t>1F3A6                                                  ; fully-qualified     # 🎦 E0.6 cinema</t>
  </si>
  <si>
    <t>1F505                                                  ; fully-qualified     # 🔅 E1.0 dim button</t>
  </si>
  <si>
    <t>1F506                                                  ; fully-qualified     # 🔆 E1.0 bright button</t>
  </si>
  <si>
    <t>1F4F6                                                  ; fully-qualified     # 📶 E0.6 antenna bars</t>
  </si>
  <si>
    <t>1F4F3                                                  ; fully-qualified     # 📳 E0.6 vibration mode</t>
  </si>
  <si>
    <t>1F4F4                                                  ; fully-qualified     # 📴 E0.6 mobile phone off</t>
  </si>
  <si>
    <t># subgroup: gender</t>
  </si>
  <si>
    <t>2640 FE0F                                              ; fully-qualified     # ♀️ E4.0 female sign</t>
  </si>
  <si>
    <t>2640                                                   ; unqualified         # ♀ E4.0 female sign</t>
  </si>
  <si>
    <t>2642 FE0F                                              ; fully-qualified     # ♂️ E4.0 male sign</t>
  </si>
  <si>
    <t>2642                                                   ; unqualified         # ♂ E4.0 male sign</t>
  </si>
  <si>
    <t>26A7 FE0F                                              ; fully-qualified     # ⚧️ E13.0 transgender symbol</t>
  </si>
  <si>
    <t>26A7                                                   ; unqualified         # ⚧ E13.0 transgender symbol</t>
  </si>
  <si>
    <t># subgroup: math</t>
  </si>
  <si>
    <t>2716 FE0F                                              ; fully-qualified     # ✖️ E0.6 multiply</t>
  </si>
  <si>
    <t>2716                                                   ; unqualified         # ✖ E0.6 multiply</t>
  </si>
  <si>
    <t>2795                                                   ; fully-qualified     # ➕ E0.6 plus</t>
  </si>
  <si>
    <t>2796                                                   ; fully-qualified     # ➖ E0.6 minus</t>
  </si>
  <si>
    <t>2797                                                   ; fully-qualified     # ➗ E0.6 divide</t>
  </si>
  <si>
    <t>267E FE0F                                              ; fully-qualified     # ♾️ E11.0 infinity</t>
  </si>
  <si>
    <t>267E                                                   ; unqualified         # ♾ E11.0 infinity</t>
  </si>
  <si>
    <t># subgroup: punctuation</t>
  </si>
  <si>
    <t>203C FE0F                                              ; fully-qualified     # ‼️ E0.6 double exclamation mark</t>
  </si>
  <si>
    <t>203C                                                   ; unqualified         # ‼ E0.6 double exclamation mark</t>
  </si>
  <si>
    <t>2049 FE0F                                              ; fully-qualified     # ⁉️ E0.6 exclamation question mark</t>
  </si>
  <si>
    <t>2049                                                   ; unqualified         # ⁉ E0.6 exclamation question mark</t>
  </si>
  <si>
    <t>2753                                                   ; fully-qualified     # ❓ E0.6 red question mark</t>
  </si>
  <si>
    <t>2754                                                   ; fully-qualified     # ❔ E0.6 white question mark</t>
  </si>
  <si>
    <t>2755                                                   ; fully-qualified     # ❕ E0.6 white exclamation mark</t>
  </si>
  <si>
    <t>2757                                                   ; fully-qualified     # ❗ E0.6 red exclamation mark</t>
  </si>
  <si>
    <t>3030 FE0F                                              ; fully-qualified     # 〰️ E0.6 wavy dash</t>
  </si>
  <si>
    <t>3030                                                   ; unqualified         # 〰 E0.6 wavy dash</t>
  </si>
  <si>
    <t># subgroup: currency</t>
  </si>
  <si>
    <t>1F4B1                                                  ; fully-qualified     # 💱 E0.6 currency exchange</t>
  </si>
  <si>
    <t>1F4B2                                                  ; fully-qualified     # 💲 E0.6 heavy dollar sign</t>
  </si>
  <si>
    <t># subgroup: other-symbol</t>
  </si>
  <si>
    <t>2695 FE0F                                              ; fully-qualified     # ⚕️ E4.0 medical symbol</t>
  </si>
  <si>
    <t>2695                                                   ; unqualified         # ⚕ E4.0 medical symbol</t>
  </si>
  <si>
    <t>267B FE0F                                              ; fully-qualified     # ♻️ E0.6 recycling symbol</t>
  </si>
  <si>
    <t>267B                                                   ; unqualified         # ♻ E0.6 recycling symbol</t>
  </si>
  <si>
    <t>269C FE0F                                              ; fully-qualified     # ⚜️ E1.0 fleur-de-lis</t>
  </si>
  <si>
    <t>269C                                                   ; unqualified         # ⚜ E1.0 fleur-de-lis</t>
  </si>
  <si>
    <t>1F531                                                  ; fully-qualified     # 🔱 E0.6 trident emblem</t>
  </si>
  <si>
    <t>1F4DB                                                  ; fully-qualified     # 📛 E0.6 name badge</t>
  </si>
  <si>
    <t>1F530                                                  ; fully-qualified     # 🔰 E0.6 Japanese symbol for beginner</t>
  </si>
  <si>
    <t>2B55                                                   ; fully-qualified     # ⭕ E0.6 hollow red circle</t>
  </si>
  <si>
    <t>2705                                                   ; fully-qualified     # ✅ E0.6 check mark button</t>
  </si>
  <si>
    <t>2611 FE0F                                              ; fully-qualified     # ☑️ E0.6 check box with check</t>
  </si>
  <si>
    <t>2611                                                   ; unqualified         # ☑ E0.6 check box with check</t>
  </si>
  <si>
    <t>2714 FE0F                                              ; fully-qualified     # ✔️ E0.6 check mark</t>
  </si>
  <si>
    <t>2714                                                   ; unqualified         # ✔ E0.6 check mark</t>
  </si>
  <si>
    <t>274C                                                   ; fully-qualified     # ❌ E0.6 cross mark</t>
  </si>
  <si>
    <t>274E                                                   ; fully-qualified     # ❎ E0.6 cross mark button</t>
  </si>
  <si>
    <t>27B0                                                   ; fully-qualified     # ➰ E0.6 curly loop</t>
  </si>
  <si>
    <t>27BF                                                   ; fully-qualified     # ➿ E1.0 double curly loop</t>
  </si>
  <si>
    <t>303D FE0F                                              ; fully-qualified     # 〽️ E0.6 part alternation mark</t>
  </si>
  <si>
    <t>303D                                                   ; unqualified         # 〽 E0.6 part alternation mark</t>
  </si>
  <si>
    <t>2733 FE0F                                              ; fully-qualified     # ✳️ E0.6 eight-spoked asterisk</t>
  </si>
  <si>
    <t>2733                                                   ; unqualified         # ✳ E0.6 eight-spoked asterisk</t>
  </si>
  <si>
    <t>2734 FE0F                                              ; fully-qualified     # ✴️ E0.6 eight-pointed star</t>
  </si>
  <si>
    <t>2734                                                   ; unqualified         # ✴ E0.6 eight-pointed star</t>
  </si>
  <si>
    <t>2747 FE0F                                              ; fully-qualified     # ❇️ E0.6 sparkle</t>
  </si>
  <si>
    <t>2747                                                   ; unqualified         # ❇ E0.6 sparkle</t>
  </si>
  <si>
    <t>00A9 FE0F                                              ; fully-qualified     # ©️ E0.6 copyright</t>
  </si>
  <si>
    <t>00A9                                                   ; unqualified         # © E0.6 copyright</t>
  </si>
  <si>
    <t>00AE FE0F                                              ; fully-qualified     # ®️ E0.6 registered</t>
  </si>
  <si>
    <t>00AE                                                   ; unqualified         # ® E0.6 registered</t>
  </si>
  <si>
    <t>2122 FE0F                                              ; fully-qualified     # ™️ E0.6 trade mark</t>
  </si>
  <si>
    <t>2122                                                   ; unqualified         # ™ E0.6 trade mark</t>
  </si>
  <si>
    <t># subgroup: keycap</t>
  </si>
  <si>
    <t>0023 FE0F 20E3                                         ; fully-qualified     # #️⃣ E0.6 keycap: #</t>
  </si>
  <si>
    <t>0023 20E3                                              ; unqualified         # #⃣ E0.6 keycap: #</t>
  </si>
  <si>
    <t>002A FE0F 20E3                                         ; fully-qualified     # *️⃣ E2.0 keycap: *</t>
  </si>
  <si>
    <t>002A 20E3                                              ; unqualified         # *⃣ E2.0 keycap: *</t>
  </si>
  <si>
    <t>0030 FE0F 20E3                                         ; fully-qualified     # 0️⃣ E0.6 keycap: 0</t>
  </si>
  <si>
    <t>0030 20E3                                              ; unqualified         # 0⃣ E0.6 keycap: 0</t>
  </si>
  <si>
    <t>0031 FE0F 20E3                                         ; fully-qualified     # 1️⃣ E0.6 keycap: 1</t>
  </si>
  <si>
    <t>0031 20E3                                              ; unqualified         # 1⃣ E0.6 keycap: 1</t>
  </si>
  <si>
    <t>0032 FE0F 20E3                                         ; fully-qualified     # 2️⃣ E0.6 keycap: 2</t>
  </si>
  <si>
    <t>0032 20E3                                              ; unqualified         # 2⃣ E0.6 keycap: 2</t>
  </si>
  <si>
    <t>0033 FE0F 20E3                                         ; fully-qualified     # 3️⃣ E0.6 keycap: 3</t>
  </si>
  <si>
    <t>0033 20E3                                              ; unqualified         # 3⃣ E0.6 keycap: 3</t>
  </si>
  <si>
    <t>0034 FE0F 20E3                                         ; fully-qualified     # 4️⃣ E0.6 keycap: 4</t>
  </si>
  <si>
    <t>0034 20E3                                              ; unqualified         # 4⃣ E0.6 keycap: 4</t>
  </si>
  <si>
    <t>0035 FE0F 20E3                                         ; fully-qualified     # 5️⃣ E0.6 keycap: 5</t>
  </si>
  <si>
    <t>0035 20E3                                              ; unqualified         # 5⃣ E0.6 keycap: 5</t>
  </si>
  <si>
    <t>0036 FE0F 20E3                                         ; fully-qualified     # 6️⃣ E0.6 keycap: 6</t>
  </si>
  <si>
    <t>0036 20E3                                              ; unqualified         # 6⃣ E0.6 keycap: 6</t>
  </si>
  <si>
    <t>0037 FE0F 20E3                                         ; fully-qualified     # 7️⃣ E0.6 keycap: 7</t>
  </si>
  <si>
    <t>0037 20E3                                              ; unqualified         # 7⃣ E0.6 keycap: 7</t>
  </si>
  <si>
    <t>0038 FE0F 20E3                                         ; fully-qualified     # 8️⃣ E0.6 keycap: 8</t>
  </si>
  <si>
    <t>0038 20E3                                              ; unqualified         # 8⃣ E0.6 keycap: 8</t>
  </si>
  <si>
    <t>0039 FE0F 20E3                                         ; fully-qualified     # 9️⃣ E0.6 keycap: 9</t>
  </si>
  <si>
    <t>0039 20E3                                              ; unqualified         # 9⃣ E0.6 keycap: 9</t>
  </si>
  <si>
    <t>1F51F                                                  ; fully-qualified     # 🔟 E0.6 keycap: 10</t>
  </si>
  <si>
    <t># subgroup: alphanum</t>
  </si>
  <si>
    <t>1F520                                                  ; fully-qualified     # 🔠 E0.6 input latin uppercase</t>
  </si>
  <si>
    <t>1F521                                                  ; fully-qualified     # 🔡 E0.6 input latin lowercase</t>
  </si>
  <si>
    <t>1F522                                                  ; fully-qualified     # 🔢 E0.6 input numbers</t>
  </si>
  <si>
    <t>1F523                                                  ; fully-qualified     # 🔣 E0.6 input symbols</t>
  </si>
  <si>
    <t>1F524                                                  ; fully-qualified     # 🔤 E0.6 input latin letters</t>
  </si>
  <si>
    <t>1F170 FE0F                                             ; fully-qualified     # 🅰️ E0.6 A button (blood type)</t>
  </si>
  <si>
    <t>1F170                                                  ; unqualified         # 🅰 E0.6 A button (blood type)</t>
  </si>
  <si>
    <t>1F18E                                                  ; fully-qualified     # 🆎 E0.6 AB button (blood type)</t>
  </si>
  <si>
    <t>1F171 FE0F                                             ; fully-qualified     # 🅱️ E0.6 B button (blood type)</t>
  </si>
  <si>
    <t>1F171                                                  ; unqualified         # 🅱 E0.6 B button (blood type)</t>
  </si>
  <si>
    <t>1F191                                                  ; fully-qualified     # 🆑 E0.6 CL button</t>
  </si>
  <si>
    <t>1F192                                                  ; fully-qualified     # 🆒 E0.6 COOL button</t>
  </si>
  <si>
    <t>1F193                                                  ; fully-qualified     # 🆓 E0.6 FREE button</t>
  </si>
  <si>
    <t>2139 FE0F                                              ; fully-qualified     # ℹ️ E0.6 information</t>
  </si>
  <si>
    <t>2139                                                   ; unqualified         # ℹ E0.6 information</t>
  </si>
  <si>
    <t>1F194                                                  ; fully-qualified     # 🆔 E0.6 ID button</t>
  </si>
  <si>
    <t>24C2 FE0F                                              ; fully-qualified     # Ⓜ️ E0.6 circled M</t>
  </si>
  <si>
    <t>24C2                                                   ; unqualified         # Ⓜ E0.6 circled M</t>
  </si>
  <si>
    <t>1F195                                                  ; fully-qualified     # 🆕 E0.6 NEW button</t>
  </si>
  <si>
    <t>1F196                                                  ; fully-qualified     # 🆖 E0.6 NG button</t>
  </si>
  <si>
    <t>1F17E FE0F                                             ; fully-qualified     # 🅾️ E0.6 O button (blood type)</t>
  </si>
  <si>
    <t>1F17E                                                  ; unqualified         # 🅾 E0.6 O button (blood type)</t>
  </si>
  <si>
    <t>1F197                                                  ; fully-qualified     # 🆗 E0.6 OK button</t>
  </si>
  <si>
    <t>1F17F FE0F                                             ; fully-qualified     # 🅿️ E0.6 P button</t>
  </si>
  <si>
    <t>1F17F                                                  ; unqualified         # 🅿 E0.6 P button</t>
  </si>
  <si>
    <t>1F198                                                  ; fully-qualified     # 🆘 E0.6 SOS button</t>
  </si>
  <si>
    <t>1F199                                                  ; fully-qualified     # 🆙 E0.6 UP! button</t>
  </si>
  <si>
    <t>1F19A                                                  ; fully-qualified     # 🆚 E0.6 VS button</t>
  </si>
  <si>
    <t>1F201                                                  ; fully-qualified     # 🈁 E0.6 Japanese “here” button</t>
  </si>
  <si>
    <t>1F202 FE0F                                             ; fully-qualified     # 🈂️ E0.6 Japanese “service charge” button</t>
  </si>
  <si>
    <t>1F202                                                  ; unqualified         # 🈂 E0.6 Japanese “service charge” button</t>
  </si>
  <si>
    <t>1F237 FE0F                                             ; fully-qualified     # 🈷️ E0.6 Japanese “monthly amount” button</t>
  </si>
  <si>
    <t>1F237                                                  ; unqualified         # 🈷 E0.6 Japanese “monthly amount” button</t>
  </si>
  <si>
    <t>1F236                                                  ; fully-qualified     # 🈶 E0.6 Japanese “not free of charge” button</t>
  </si>
  <si>
    <t>1F22F                                                  ; fully-qualified     # 🈯 E0.6 Japanese “reserved” button</t>
  </si>
  <si>
    <t>1F250                                                  ; fully-qualified     # 🉐 E0.6 Japanese “bargain” button</t>
  </si>
  <si>
    <t>1F239                                                  ; fully-qualified     # 🈹 E0.6 Japanese “discount” button</t>
  </si>
  <si>
    <t>1F21A                                                  ; fully-qualified     # 🈚 E0.6 Japanese “free of charge” button</t>
  </si>
  <si>
    <t>1F232                                                  ; fully-qualified     # 🈲 E0.6 Japanese “prohibited” button</t>
  </si>
  <si>
    <t>1F251                                                  ; fully-qualified     # 🉑 E0.6 Japanese “acceptable” button</t>
  </si>
  <si>
    <t>1F238                                                  ; fully-qualified     # 🈸 E0.6 Japanese “application” button</t>
  </si>
  <si>
    <t>1F234                                                  ; fully-qualified     # 🈴 E0.6 Japanese “passing grade” button</t>
  </si>
  <si>
    <t>1F233                                                  ; fully-qualified     # 🈳 E0.6 Japanese “vacancy” button</t>
  </si>
  <si>
    <t>3297 FE0F                                              ; fully-qualified     # ㊗️ E0.6 Japanese “congratulations” button</t>
  </si>
  <si>
    <t>3297                                                   ; unqualified         # ㊗ E0.6 Japanese “congratulations” button</t>
  </si>
  <si>
    <t>3299 FE0F                                              ; fully-qualified     # ㊙️ E0.6 Japanese “secret” button</t>
  </si>
  <si>
    <t>3299                                                   ; unqualified         # ㊙ E0.6 Japanese “secret” button</t>
  </si>
  <si>
    <t>1F23A                                                  ; fully-qualified     # 🈺 E0.6 Japanese “open for business” button</t>
  </si>
  <si>
    <t>1F235                                                  ; fully-qualified     # 🈵 E0.6 Japanese “no vacancy” button</t>
  </si>
  <si>
    <t># subgroup: geometric</t>
  </si>
  <si>
    <t>1F534                                                  ; fully-qualified     # 🔴 E0.6 red circle</t>
  </si>
  <si>
    <t>1F7E0                                                  ; fully-qualified     # 🟠 E12.0 orange circle</t>
  </si>
  <si>
    <t>1F7E1                                                  ; fully-qualified     # 🟡 E12.0 yellow circle</t>
  </si>
  <si>
    <t>1F7E2                                                  ; fully-qualified     # 🟢 E12.0 green circle</t>
  </si>
  <si>
    <t>1F535                                                  ; fully-qualified     # 🔵 E0.6 blue circle</t>
  </si>
  <si>
    <t>1F7E3                                                  ; fully-qualified     # 🟣 E12.0 purple circle</t>
  </si>
  <si>
    <t>1F7E4                                                  ; fully-qualified     # 🟤 E12.0 brown circle</t>
  </si>
  <si>
    <t>26AB                                                   ; fully-qualified     # ⚫ E0.6 black circle</t>
  </si>
  <si>
    <t>26AA                                                   ; fully-qualified     # ⚪ E0.6 white circle</t>
  </si>
  <si>
    <t>1F7E5                                                  ; fully-qualified     # 🟥 E12.0 red square</t>
  </si>
  <si>
    <t>1F7E7                                                  ; fully-qualified     # 🟧 E12.0 orange square</t>
  </si>
  <si>
    <t>1F7E8                                                  ; fully-qualified     # 🟨 E12.0 yellow square</t>
  </si>
  <si>
    <t>1F7E9                                                  ; fully-qualified     # 🟩 E12.0 green square</t>
  </si>
  <si>
    <t>1F7E6                                                  ; fully-qualified     # 🟦 E12.0 blue square</t>
  </si>
  <si>
    <t>1F7EA                                                  ; fully-qualified     # 🟪 E12.0 purple square</t>
  </si>
  <si>
    <t>1F7EB                                                  ; fully-qualified     # 🟫 E12.0 brown square</t>
  </si>
  <si>
    <t>2B1B                                                   ; fully-qualified     # ⬛ E0.6 black large square</t>
  </si>
  <si>
    <t>2B1C                                                   ; fully-qualified     # ⬜ E0.6 white large square</t>
  </si>
  <si>
    <t>25FC FE0F                                              ; fully-qualified     # ◼️ E0.6 black medium square</t>
  </si>
  <si>
    <t>25FC                                                   ; unqualified         # ◼ E0.6 black medium square</t>
  </si>
  <si>
    <t>25FB FE0F                                              ; fully-qualified     # ◻️ E0.6 white medium square</t>
  </si>
  <si>
    <t>25FB                                                   ; unqualified         # ◻ E0.6 white medium square</t>
  </si>
  <si>
    <t>25FE                                                   ; fully-qualified     # ◾ E0.6 black medium-small square</t>
  </si>
  <si>
    <t>25FD                                                   ; fully-qualified     # ◽ E0.6 white medium-small square</t>
  </si>
  <si>
    <t>25AA FE0F                                              ; fully-qualified     # ▪️ E0.6 black small square</t>
  </si>
  <si>
    <t>25AA                                                   ; unqualified         # ▪ E0.6 black small square</t>
  </si>
  <si>
    <t>25AB FE0F                                              ; fully-qualified     # ▫️ E0.6 white small square</t>
  </si>
  <si>
    <t>25AB                                                   ; unqualified         # ▫ E0.6 white small square</t>
  </si>
  <si>
    <t>1F536                                                  ; fully-qualified     # 🔶 E0.6 large orange diamond</t>
  </si>
  <si>
    <t>1F537                                                  ; fully-qualified     # 🔷 E0.6 large blue diamond</t>
  </si>
  <si>
    <t>1F538                                                  ; fully-qualified     # 🔸 E0.6 small orange diamond</t>
  </si>
  <si>
    <t>1F539                                                  ; fully-qualified     # 🔹 E0.6 small blue diamond</t>
  </si>
  <si>
    <t>1F53A                                                  ; fully-qualified     # 🔺 E0.6 red triangle pointed up</t>
  </si>
  <si>
    <t>1F53B                                                  ; fully-qualified     # 🔻 E0.6 red triangle pointed down</t>
  </si>
  <si>
    <t>1F4A0                                                  ; fully-qualified     # 💠 E0.6 diamond with a dot</t>
  </si>
  <si>
    <t>1F518                                                  ; fully-qualified     # 🔘 E0.6 radio button</t>
  </si>
  <si>
    <t>1F533                                                  ; fully-qualified     # 🔳 E0.6 white square button</t>
  </si>
  <si>
    <t>1F532                                                  ; fully-qualified     # 🔲 E0.6 black square button</t>
  </si>
  <si>
    <t>Unicode</t>
  </si>
  <si>
    <t>All strings</t>
  </si>
  <si>
    <t>Trimmed</t>
  </si>
  <si>
    <t>Meaning</t>
  </si>
  <si>
    <t>Len</t>
  </si>
  <si>
    <t>Exclude</t>
  </si>
  <si>
    <t>utf8</t>
  </si>
  <si>
    <t>Cool</t>
  </si>
  <si>
    <t>Code</t>
  </si>
  <si>
    <t>Decimal</t>
  </si>
  <si>
    <t>Means</t>
  </si>
  <si>
    <t xml:space="preserve"> #⃣ E0.6 keycap: #</t>
  </si>
  <si>
    <t>0023</t>
  </si>
  <si>
    <t>#</t>
  </si>
  <si>
    <t>Case PX35:    UniConst = ChrW(35)</t>
  </si>
  <si>
    <t xml:space="preserve"> *⃣ E2.0 keycap: *</t>
  </si>
  <si>
    <t>002A</t>
  </si>
  <si>
    <t>*</t>
  </si>
  <si>
    <t>Case RZ42:    UniConst = ChrW(42)</t>
  </si>
  <si>
    <t xml:space="preserve"> 0⃣ E0.6 keycap: 0</t>
  </si>
  <si>
    <t>0030</t>
  </si>
  <si>
    <t>0</t>
  </si>
  <si>
    <t>Case jN48:    UniConst = ChrW(48)</t>
  </si>
  <si>
    <t xml:space="preserve"> 1⃣ E0.6 keycap: 1</t>
  </si>
  <si>
    <t>0031</t>
  </si>
  <si>
    <t>1</t>
  </si>
  <si>
    <t>Case LW49:    UniConst = ChrW(49)</t>
  </si>
  <si>
    <t xml:space="preserve"> 2⃣ E0.6 keycap: 2</t>
  </si>
  <si>
    <t>0032</t>
  </si>
  <si>
    <t>2</t>
  </si>
  <si>
    <t>Case xP50:    UniConst = ChrW(50)</t>
  </si>
  <si>
    <t xml:space="preserve"> 3⃣ E0.6 keycap: 3</t>
  </si>
  <si>
    <t>0033</t>
  </si>
  <si>
    <t>3</t>
  </si>
  <si>
    <t>Case ql51:    UniConst = ChrW(51)</t>
  </si>
  <si>
    <t xml:space="preserve"> 4⃣ E0.6 keycap: 4</t>
  </si>
  <si>
    <t>0034</t>
  </si>
  <si>
    <t>4</t>
  </si>
  <si>
    <t>Case HK52:    UniConst = ChrW(52)</t>
  </si>
  <si>
    <t xml:space="preserve"> 5⃣ E0.6 keycap: 5</t>
  </si>
  <si>
    <t>0035</t>
  </si>
  <si>
    <t>5</t>
  </si>
  <si>
    <t>Case RU53:    UniConst = ChrW(53)</t>
  </si>
  <si>
    <t xml:space="preserve"> 6⃣ E0.6 keycap: 6</t>
  </si>
  <si>
    <t>0036</t>
  </si>
  <si>
    <t>6</t>
  </si>
  <si>
    <t>Case Bd54:    UniConst = ChrW(54)</t>
  </si>
  <si>
    <t xml:space="preserve"> 7⃣ E0.6 keycap: 7</t>
  </si>
  <si>
    <t>0037</t>
  </si>
  <si>
    <t>7</t>
  </si>
  <si>
    <t>Case yU55:    UniConst = ChrW(55)</t>
  </si>
  <si>
    <t xml:space="preserve"> 8⃣ E0.6 keycap: 8</t>
  </si>
  <si>
    <t>0038</t>
  </si>
  <si>
    <t>8</t>
  </si>
  <si>
    <t>Case gU56:    UniConst = ChrW(56)</t>
  </si>
  <si>
    <t xml:space="preserve"> 9⃣ E0.6 keycap: 9</t>
  </si>
  <si>
    <t>0039</t>
  </si>
  <si>
    <t>9</t>
  </si>
  <si>
    <t>Case lM57:    UniConst = ChrW(57)</t>
  </si>
  <si>
    <t xml:space="preserve"> © E0.6 copyright</t>
  </si>
  <si>
    <t>00A9</t>
  </si>
  <si>
    <t>©</t>
  </si>
  <si>
    <t>Case PC169:    UniConst = ChrW(169)</t>
  </si>
  <si>
    <t xml:space="preserve"> ® E0.6 registered</t>
  </si>
  <si>
    <t>00AE</t>
  </si>
  <si>
    <t>®</t>
  </si>
  <si>
    <t>Case pz174:    UniConst = ChrW(174)</t>
  </si>
  <si>
    <t xml:space="preserve"> ‼ E0.6 double exclamation mark</t>
  </si>
  <si>
    <t>203C</t>
  </si>
  <si>
    <t>‼</t>
  </si>
  <si>
    <t>Case tS8252:    UniConst = ChrW(8252)</t>
  </si>
  <si>
    <t xml:space="preserve"> ⁉ E0.6 exclamation question mark</t>
  </si>
  <si>
    <t>2049</t>
  </si>
  <si>
    <t>⁉</t>
  </si>
  <si>
    <t>Case kh8265:    UniConst = ChrW(8265)</t>
  </si>
  <si>
    <t xml:space="preserve"> ™ E0.6 trade mark</t>
  </si>
  <si>
    <t>2122</t>
  </si>
  <si>
    <t>™</t>
  </si>
  <si>
    <t>Case AM8482:    UniConst = ChrW(8482)</t>
  </si>
  <si>
    <t xml:space="preserve"> ℹ E0.6 information</t>
  </si>
  <si>
    <t>2139</t>
  </si>
  <si>
    <t>ℹ</t>
  </si>
  <si>
    <t>Case zQ8505:    UniConst = ChrW(8505)</t>
  </si>
  <si>
    <t xml:space="preserve"> ↔ E0.6 left-right arrow</t>
  </si>
  <si>
    <t>2194</t>
  </si>
  <si>
    <t>↔</t>
  </si>
  <si>
    <t>Case HC8596:    UniConst = ChrW(8596)</t>
  </si>
  <si>
    <t xml:space="preserve"> ↕ E0.6 up-down arrow</t>
  </si>
  <si>
    <t>2195</t>
  </si>
  <si>
    <t>↕</t>
  </si>
  <si>
    <t>Case SW8597:    UniConst = ChrW(8597)</t>
  </si>
  <si>
    <t xml:space="preserve"> ↖ E0.6 up-left arrow</t>
  </si>
  <si>
    <t>2196</t>
  </si>
  <si>
    <t>↖</t>
  </si>
  <si>
    <t>Case Pc8598:    UniConst = ChrW(8598)</t>
  </si>
  <si>
    <t xml:space="preserve"> ↗ E0.6 up-right arrow</t>
  </si>
  <si>
    <t>2197</t>
  </si>
  <si>
    <t>↗</t>
  </si>
  <si>
    <t>Case fR8599:    UniConst = ChrW(8599)</t>
  </si>
  <si>
    <t xml:space="preserve"> ↘ E0.6 down-right arrow</t>
  </si>
  <si>
    <t>2198</t>
  </si>
  <si>
    <t>↘</t>
  </si>
  <si>
    <t>Case em8600:    UniConst = ChrW(8600)</t>
  </si>
  <si>
    <t xml:space="preserve"> ↙ E0.6 down-left arrow</t>
  </si>
  <si>
    <t>2199</t>
  </si>
  <si>
    <t>↙</t>
  </si>
  <si>
    <t>Case SD8601:    UniConst = ChrW(8601)</t>
  </si>
  <si>
    <t xml:space="preserve"> ↩ E0.6 right arrow curving left</t>
  </si>
  <si>
    <t>21A9</t>
  </si>
  <si>
    <t>↩</t>
  </si>
  <si>
    <t>Case oy8617:    UniConst = ChrW(8617)</t>
  </si>
  <si>
    <t xml:space="preserve"> ↪ E0.6 left arrow curving right</t>
  </si>
  <si>
    <t>21AA</t>
  </si>
  <si>
    <t>↪</t>
  </si>
  <si>
    <t>Case MU8618:    UniConst = ChrW(8618)</t>
  </si>
  <si>
    <t xml:space="preserve"> ⌚ E0.6 watch</t>
  </si>
  <si>
    <t>231A</t>
  </si>
  <si>
    <t>⌚</t>
  </si>
  <si>
    <t>Case ZD8986:    UniConst = ChrW(8986)</t>
  </si>
  <si>
    <t xml:space="preserve"> ⌛ E0.6 hourglass done</t>
  </si>
  <si>
    <t>231B</t>
  </si>
  <si>
    <t>⌛</t>
  </si>
  <si>
    <t>Case Sl8987:    UniConst = ChrW(8987)</t>
  </si>
  <si>
    <t xml:space="preserve"> ⌨ E1.0 keyboard</t>
  </si>
  <si>
    <t>2328</t>
  </si>
  <si>
    <t>⌨</t>
  </si>
  <si>
    <t>Case Zj9000:    UniConst = ChrW(9000)</t>
  </si>
  <si>
    <t xml:space="preserve"> ⏏ E1.0 eject button</t>
  </si>
  <si>
    <t>23CF</t>
  </si>
  <si>
    <t>⏏</t>
  </si>
  <si>
    <t>Case ek9167:    UniConst = ChrW(9167)</t>
  </si>
  <si>
    <t xml:space="preserve"> ⏩ E0.6 fast-forward button</t>
  </si>
  <si>
    <t>23E9</t>
  </si>
  <si>
    <t>⏩</t>
  </si>
  <si>
    <t>Case Dk9193:    UniConst = ChrW(9193)</t>
  </si>
  <si>
    <t xml:space="preserve"> ⏪ E0.6 fast reverse button</t>
  </si>
  <si>
    <t>23EA</t>
  </si>
  <si>
    <t>⏪</t>
  </si>
  <si>
    <t>Case RR9194:    UniConst = ChrW(9194)</t>
  </si>
  <si>
    <t xml:space="preserve"> ⏫ E0.6 fast up button</t>
  </si>
  <si>
    <t>23EB</t>
  </si>
  <si>
    <t>⏫</t>
  </si>
  <si>
    <t>Case Uf9195:    UniConst = ChrW(9195)</t>
  </si>
  <si>
    <t xml:space="preserve"> ⏬ E0.6 fast down button</t>
  </si>
  <si>
    <t>23EC</t>
  </si>
  <si>
    <t>⏬</t>
  </si>
  <si>
    <t>Case BF9196:    UniConst = ChrW(9196)</t>
  </si>
  <si>
    <t xml:space="preserve"> ⏭ E0.7 next track button</t>
  </si>
  <si>
    <t>23ED</t>
  </si>
  <si>
    <t>⏭</t>
  </si>
  <si>
    <t>Case fF9197:    UniConst = ChrW(9197)</t>
  </si>
  <si>
    <t xml:space="preserve"> ⏮ E0.7 last track button</t>
  </si>
  <si>
    <t>23EE</t>
  </si>
  <si>
    <t>⏮</t>
  </si>
  <si>
    <t>Case AG9198:    UniConst = ChrW(9198)</t>
  </si>
  <si>
    <t xml:space="preserve"> ⏯ E1.0 play or pause button</t>
  </si>
  <si>
    <t>23EF</t>
  </si>
  <si>
    <t>⏯</t>
  </si>
  <si>
    <t>Case Fj9199:    UniConst = ChrW(9199)</t>
  </si>
  <si>
    <t xml:space="preserve"> ⏰ E0.6 alarm clock</t>
  </si>
  <si>
    <t>23F0</t>
  </si>
  <si>
    <t>⏰</t>
  </si>
  <si>
    <t>Case DD9200:    UniConst = ChrW(9200)</t>
  </si>
  <si>
    <t xml:space="preserve"> ⏱ E1.0 stopwatch</t>
  </si>
  <si>
    <t>23F1</t>
  </si>
  <si>
    <t>⏱</t>
  </si>
  <si>
    <t>Case IF9201:    UniConst = ChrW(9201)</t>
  </si>
  <si>
    <t xml:space="preserve"> ⏲ E1.0 timer clock</t>
  </si>
  <si>
    <t>23F2</t>
  </si>
  <si>
    <t>⏲</t>
  </si>
  <si>
    <t>Case pX9202:    UniConst = ChrW(9202)</t>
  </si>
  <si>
    <t xml:space="preserve"> ⏳ E0.6 hourglass not done</t>
  </si>
  <si>
    <t>23F3</t>
  </si>
  <si>
    <t>⏳</t>
  </si>
  <si>
    <t>Case EH9203:    UniConst = ChrW(9203)</t>
  </si>
  <si>
    <t xml:space="preserve"> ⏸ E0.7 pause button</t>
  </si>
  <si>
    <t>23F8</t>
  </si>
  <si>
    <t>⏸</t>
  </si>
  <si>
    <t>Case qN9208:    UniConst = ChrW(9208)</t>
  </si>
  <si>
    <t xml:space="preserve"> Ⓜ E0.6 circled M</t>
  </si>
  <si>
    <t>24C2</t>
  </si>
  <si>
    <t>Ⓜ</t>
  </si>
  <si>
    <t>Case Nk9410:    UniConst = ChrW(9410)</t>
  </si>
  <si>
    <t xml:space="preserve"> ▪ E0.6 black small square</t>
  </si>
  <si>
    <t>25AA</t>
  </si>
  <si>
    <t>▪</t>
  </si>
  <si>
    <t>Case od9642:    UniConst = ChrW(9642)</t>
  </si>
  <si>
    <t xml:space="preserve"> ▫ E0.6 white small square</t>
  </si>
  <si>
    <t>25AB</t>
  </si>
  <si>
    <t>▫</t>
  </si>
  <si>
    <t>Case Ib9643:    UniConst = ChrW(9643)</t>
  </si>
  <si>
    <t xml:space="preserve"> ▶ E0.6 play button</t>
  </si>
  <si>
    <t>25B6</t>
  </si>
  <si>
    <t>▶</t>
  </si>
  <si>
    <t>Case wn9654:    UniConst = ChrW(9654)</t>
  </si>
  <si>
    <t xml:space="preserve"> ◀ E0.6 reverse button</t>
  </si>
  <si>
    <t>25C0</t>
  </si>
  <si>
    <t>◀</t>
  </si>
  <si>
    <t>Case eU9664:    UniConst = ChrW(9664)</t>
  </si>
  <si>
    <t xml:space="preserve"> ◻ E0.6 white medium square</t>
  </si>
  <si>
    <t>25FB</t>
  </si>
  <si>
    <t>◻</t>
  </si>
  <si>
    <t>Case Du9723:    UniConst = ChrW(9723)</t>
  </si>
  <si>
    <t xml:space="preserve"> ◼ E0.6 black medium square</t>
  </si>
  <si>
    <t>25FC</t>
  </si>
  <si>
    <t>◼</t>
  </si>
  <si>
    <t>Case kn9724:    UniConst = ChrW(9724)</t>
  </si>
  <si>
    <t xml:space="preserve"> ◽ E0.6 white medium-small square</t>
  </si>
  <si>
    <t>25FD</t>
  </si>
  <si>
    <t>◽</t>
  </si>
  <si>
    <t>Case ly9725:    UniConst = ChrW(9725)</t>
  </si>
  <si>
    <t xml:space="preserve"> ◾ E0.6 black medium-small square</t>
  </si>
  <si>
    <t>25FE</t>
  </si>
  <si>
    <t>◾</t>
  </si>
  <si>
    <t>Case Pg9726:    UniConst = ChrW(9726)</t>
  </si>
  <si>
    <t xml:space="preserve"> ☀ E0.6 sun</t>
  </si>
  <si>
    <t>2600</t>
  </si>
  <si>
    <t>☀</t>
  </si>
  <si>
    <t>Case ah9728:    UniConst = ChrW(9728)</t>
  </si>
  <si>
    <t xml:space="preserve"> ☁ E0.6 cloud</t>
  </si>
  <si>
    <t>2601</t>
  </si>
  <si>
    <t>☁</t>
  </si>
  <si>
    <t>Case ls9729:    UniConst = ChrW(9729)</t>
  </si>
  <si>
    <t xml:space="preserve"> ☂ E0.7 umbrella</t>
  </si>
  <si>
    <t>2602</t>
  </si>
  <si>
    <t>☂</t>
  </si>
  <si>
    <t>Case CT9730:    UniConst = ChrW(9730)</t>
  </si>
  <si>
    <t xml:space="preserve"> ☃ E0.7 snowman</t>
  </si>
  <si>
    <t>2603</t>
  </si>
  <si>
    <t>☃</t>
  </si>
  <si>
    <t>Case mq9731:    UniConst = ChrW(9731)</t>
  </si>
  <si>
    <t xml:space="preserve"> ☄ E1.0 comet</t>
  </si>
  <si>
    <t>2604</t>
  </si>
  <si>
    <t>☄</t>
  </si>
  <si>
    <t>Case yB9732:    UniConst = ChrW(9732)</t>
  </si>
  <si>
    <t xml:space="preserve"> ☎ E0.6 telephone</t>
  </si>
  <si>
    <t>260E</t>
  </si>
  <si>
    <t>☎</t>
  </si>
  <si>
    <t>Case Wr9742:    UniConst = ChrW(9742)</t>
  </si>
  <si>
    <t xml:space="preserve"> ☑ E0.6 check box with check</t>
  </si>
  <si>
    <t>2611</t>
  </si>
  <si>
    <t>☑</t>
  </si>
  <si>
    <t>Case fw9745:    UniConst = ChrW(9745)</t>
  </si>
  <si>
    <t xml:space="preserve"> ☔ E0.6 umbrella with rain drops</t>
  </si>
  <si>
    <t>2614</t>
  </si>
  <si>
    <t>☔</t>
  </si>
  <si>
    <t>Case cj9748:    UniConst = ChrW(9748)</t>
  </si>
  <si>
    <t xml:space="preserve"> ☕ E0.6 hot beverage</t>
  </si>
  <si>
    <t>2615</t>
  </si>
  <si>
    <t>☕</t>
  </si>
  <si>
    <t>Case fp9749:    UniConst = ChrW(9749)</t>
  </si>
  <si>
    <t xml:space="preserve"> ☘ E1.0 shamrock</t>
  </si>
  <si>
    <t>2618</t>
  </si>
  <si>
    <t>☘</t>
  </si>
  <si>
    <t>Case vd9752:    UniConst = ChrW(9752)</t>
  </si>
  <si>
    <t xml:space="preserve"> ☝ E0.6 index pointing up</t>
  </si>
  <si>
    <t>261D</t>
  </si>
  <si>
    <t>☝</t>
  </si>
  <si>
    <t>Case dP9757:    UniConst = ChrW(9757)</t>
  </si>
  <si>
    <t xml:space="preserve"> ☠ E1.0 skull and crossbones</t>
  </si>
  <si>
    <t>2620</t>
  </si>
  <si>
    <t>☠</t>
  </si>
  <si>
    <t>Case XS9760:    UniConst = ChrW(9760)</t>
  </si>
  <si>
    <t xml:space="preserve"> ☢ E1.0 radioactive</t>
  </si>
  <si>
    <t>2622</t>
  </si>
  <si>
    <t>☢</t>
  </si>
  <si>
    <t>Case Pe9762:    UniConst = ChrW(9762)</t>
  </si>
  <si>
    <t xml:space="preserve"> ☣ E1.0 biohazard</t>
  </si>
  <si>
    <t>2623</t>
  </si>
  <si>
    <t>☣</t>
  </si>
  <si>
    <t>Case ST9763:    UniConst = ChrW(9763)</t>
  </si>
  <si>
    <t xml:space="preserve"> ☦ E1.0 orthodox cross</t>
  </si>
  <si>
    <t>2626</t>
  </si>
  <si>
    <t>☦</t>
  </si>
  <si>
    <t>Case bW9766:    UniConst = ChrW(9766)</t>
  </si>
  <si>
    <t xml:space="preserve"> ☪ E0.7 star and crescent</t>
  </si>
  <si>
    <t>262A</t>
  </si>
  <si>
    <t>☪</t>
  </si>
  <si>
    <t>Case GT9770:    UniConst = ChrW(9770)</t>
  </si>
  <si>
    <t xml:space="preserve"> ☮ E1.0 peace symbol</t>
  </si>
  <si>
    <t>262E</t>
  </si>
  <si>
    <t>☮</t>
  </si>
  <si>
    <t>Case zu9774:    UniConst = ChrW(9774)</t>
  </si>
  <si>
    <t xml:space="preserve"> ☯ E0.7 yin yang</t>
  </si>
  <si>
    <t>262F</t>
  </si>
  <si>
    <t>☯</t>
  </si>
  <si>
    <t>Case VM9775:    UniConst = ChrW(9775)</t>
  </si>
  <si>
    <t xml:space="preserve"> ☸ E0.7 wheel of dharma</t>
  </si>
  <si>
    <t>2638</t>
  </si>
  <si>
    <t>☸</t>
  </si>
  <si>
    <t>Case ud9784:    UniConst = ChrW(9784)</t>
  </si>
  <si>
    <t xml:space="preserve"> ☹ E0.7 frowning face</t>
  </si>
  <si>
    <t>2639</t>
  </si>
  <si>
    <t>☹</t>
  </si>
  <si>
    <t>Case FS9785:    UniConst = ChrW(9785)</t>
  </si>
  <si>
    <t xml:space="preserve"> ☺ E0.6 smiling face</t>
  </si>
  <si>
    <t>263A</t>
  </si>
  <si>
    <t>☺</t>
  </si>
  <si>
    <t>Case jY9786:    UniConst = ChrW(9786)</t>
  </si>
  <si>
    <t xml:space="preserve"> ♀ E4.0 female sign</t>
  </si>
  <si>
    <t>2640</t>
  </si>
  <si>
    <t>♀</t>
  </si>
  <si>
    <t>Case RH9792:    UniConst = ChrW(9792)</t>
  </si>
  <si>
    <t xml:space="preserve"> ♂ E4.0 male sign</t>
  </si>
  <si>
    <t>2642</t>
  </si>
  <si>
    <t>♂</t>
  </si>
  <si>
    <t>Case XR9794:    UniConst = ChrW(9794)</t>
  </si>
  <si>
    <t xml:space="preserve"> ♈ E0.6 Aries</t>
  </si>
  <si>
    <t>2648</t>
  </si>
  <si>
    <t>♈</t>
  </si>
  <si>
    <t>Case gk9800:    UniConst = ChrW(9800)</t>
  </si>
  <si>
    <t xml:space="preserve"> ♉ E0.6 Taurus</t>
  </si>
  <si>
    <t>2649</t>
  </si>
  <si>
    <t>♉</t>
  </si>
  <si>
    <t>Case hI9801:    UniConst = ChrW(9801)</t>
  </si>
  <si>
    <t xml:space="preserve"> ♊ E0.6 Gemini</t>
  </si>
  <si>
    <t>264A</t>
  </si>
  <si>
    <t>♊</t>
  </si>
  <si>
    <t>Case pk9802:    UniConst = ChrW(9802)</t>
  </si>
  <si>
    <t xml:space="preserve"> ♋ E0.6 Cancer</t>
  </si>
  <si>
    <t>264B</t>
  </si>
  <si>
    <t>♋</t>
  </si>
  <si>
    <t>Case yY9803:    UniConst = ChrW(9803)</t>
  </si>
  <si>
    <t xml:space="preserve"> ♌ E0.6 Leo</t>
  </si>
  <si>
    <t>264C</t>
  </si>
  <si>
    <t>♌</t>
  </si>
  <si>
    <t>Case Nt9804:    UniConst = ChrW(9804)</t>
  </si>
  <si>
    <t xml:space="preserve"> ♍ E0.6 Virgo</t>
  </si>
  <si>
    <t>264D</t>
  </si>
  <si>
    <t>♍</t>
  </si>
  <si>
    <t>Case rQ9805:    UniConst = ChrW(9805)</t>
  </si>
  <si>
    <t xml:space="preserve"> ♎ E0.6 Libra</t>
  </si>
  <si>
    <t>264E</t>
  </si>
  <si>
    <t>♎</t>
  </si>
  <si>
    <t>Case fi9806:    UniConst = ChrW(9806)</t>
  </si>
  <si>
    <t xml:space="preserve"> ♏ E0.6 Scorpio</t>
  </si>
  <si>
    <t>264F</t>
  </si>
  <si>
    <t>♏</t>
  </si>
  <si>
    <t>Case Lc9807:    UniConst = ChrW(9807)</t>
  </si>
  <si>
    <t xml:space="preserve"> ♐ E0.6 Sagittarius</t>
  </si>
  <si>
    <t>2650</t>
  </si>
  <si>
    <t>♐</t>
  </si>
  <si>
    <t>Case jO9808:    UniConst = ChrW(9808)</t>
  </si>
  <si>
    <t xml:space="preserve"> ♑ E0.6 Capricorn</t>
  </si>
  <si>
    <t>2651</t>
  </si>
  <si>
    <t>♑</t>
  </si>
  <si>
    <t>Case Rk9809:    UniConst = ChrW(9809)</t>
  </si>
  <si>
    <t xml:space="preserve"> ♒ E0.6 Aquarius</t>
  </si>
  <si>
    <t>2652</t>
  </si>
  <si>
    <t>♒</t>
  </si>
  <si>
    <t>Case wb9810:    UniConst = ChrW(9810)</t>
  </si>
  <si>
    <t xml:space="preserve"> ♓ E0.6 Pisces</t>
  </si>
  <si>
    <t>2653</t>
  </si>
  <si>
    <t>♓</t>
  </si>
  <si>
    <t>Case Yy9811:    UniConst = ChrW(9811)</t>
  </si>
  <si>
    <t xml:space="preserve"> ♟ E11.0 chess pawn</t>
  </si>
  <si>
    <t>265F</t>
  </si>
  <si>
    <t>♟</t>
  </si>
  <si>
    <t>Case rj9823:    UniConst = ChrW(9823)</t>
  </si>
  <si>
    <t xml:space="preserve"> ♠ E0.6 spade suit</t>
  </si>
  <si>
    <t>2660</t>
  </si>
  <si>
    <t>♠</t>
  </si>
  <si>
    <t>Case Kw9824:    UniConst = ChrW(9824)</t>
  </si>
  <si>
    <t xml:space="preserve"> ♣ E0.6 club suit</t>
  </si>
  <si>
    <t>2663</t>
  </si>
  <si>
    <t>♣</t>
  </si>
  <si>
    <t>Case Iv9827:    UniConst = ChrW(9827)</t>
  </si>
  <si>
    <t xml:space="preserve"> ♥ E0.6 heart suit</t>
  </si>
  <si>
    <t>2665</t>
  </si>
  <si>
    <t>♥</t>
  </si>
  <si>
    <t>Case bV9829:    UniConst = ChrW(9829)</t>
  </si>
  <si>
    <t xml:space="preserve"> ♦ E0.6 diamond suit</t>
  </si>
  <si>
    <t>2666</t>
  </si>
  <si>
    <t>♦</t>
  </si>
  <si>
    <t>Case Kk9830:    UniConst = ChrW(9830)</t>
  </si>
  <si>
    <t xml:space="preserve"> ♨ E0.6 hot springs</t>
  </si>
  <si>
    <t>2668</t>
  </si>
  <si>
    <t>♨</t>
  </si>
  <si>
    <t>Case mR9832:    UniConst = ChrW(9832)</t>
  </si>
  <si>
    <t xml:space="preserve"> ♻ E0.6 recycling symbol</t>
  </si>
  <si>
    <t>267B</t>
  </si>
  <si>
    <t>♻</t>
  </si>
  <si>
    <t>Case nf9851:    UniConst = ChrW(9851)</t>
  </si>
  <si>
    <t xml:space="preserve"> ♾ E11.0 infinity</t>
  </si>
  <si>
    <t>267E</t>
  </si>
  <si>
    <t>♾</t>
  </si>
  <si>
    <t>Case HX9854:    UniConst = ChrW(9854)</t>
  </si>
  <si>
    <t xml:space="preserve"> ♿ E0.6 wheelchair symbol</t>
  </si>
  <si>
    <t>267F</t>
  </si>
  <si>
    <t>♿</t>
  </si>
  <si>
    <t>Case CE9855:    UniConst = ChrW(9855)</t>
  </si>
  <si>
    <t xml:space="preserve"> ⚒ E1.0 hammer and pick</t>
  </si>
  <si>
    <t>2692</t>
  </si>
  <si>
    <t>⚒</t>
  </si>
  <si>
    <t>Case Tf9874:    UniConst = ChrW(9874)</t>
  </si>
  <si>
    <t xml:space="preserve"> ⚓ E0.6 anchor</t>
  </si>
  <si>
    <t>2693</t>
  </si>
  <si>
    <t>⚓</t>
  </si>
  <si>
    <t>Case Sr9875:    UniConst = ChrW(9875)</t>
  </si>
  <si>
    <t xml:space="preserve"> ⚔ E1.0 crossed swords</t>
  </si>
  <si>
    <t>2694</t>
  </si>
  <si>
    <t>⚔</t>
  </si>
  <si>
    <t>Case me9876:    UniConst = ChrW(9876)</t>
  </si>
  <si>
    <t xml:space="preserve"> ⚕ E4.0 medical symbol</t>
  </si>
  <si>
    <t>2695</t>
  </si>
  <si>
    <t>⚕</t>
  </si>
  <si>
    <t>Case Do9877:    UniConst = ChrW(9877)</t>
  </si>
  <si>
    <t xml:space="preserve"> ⚖ E1.0 balance scale</t>
  </si>
  <si>
    <t>2696</t>
  </si>
  <si>
    <t>⚖</t>
  </si>
  <si>
    <t>Case rN9878:    UniConst = ChrW(9878)</t>
  </si>
  <si>
    <t xml:space="preserve"> ⚗ E1.0 alembic</t>
  </si>
  <si>
    <t>2697</t>
  </si>
  <si>
    <t>⚗</t>
  </si>
  <si>
    <t>Case pT9879:    UniConst = ChrW(9879)</t>
  </si>
  <si>
    <t xml:space="preserve"> ⚙ E1.0 gear</t>
  </si>
  <si>
    <t>2699</t>
  </si>
  <si>
    <t>⚙</t>
  </si>
  <si>
    <t>Case Fa9881:    UniConst = ChrW(9881)</t>
  </si>
  <si>
    <t xml:space="preserve"> ⚛ E1.0 atom symbol</t>
  </si>
  <si>
    <t>269B</t>
  </si>
  <si>
    <t>⚛</t>
  </si>
  <si>
    <t>Case Ny9883:    UniConst = ChrW(9883)</t>
  </si>
  <si>
    <t xml:space="preserve"> ⚜ E1.0 fleur-de-lis</t>
  </si>
  <si>
    <t>269C</t>
  </si>
  <si>
    <t>⚜</t>
  </si>
  <si>
    <t>Case Gd9884:    UniConst = ChrW(9884)</t>
  </si>
  <si>
    <t xml:space="preserve"> ⚠ E0.6 warning</t>
  </si>
  <si>
    <t>26A0</t>
  </si>
  <si>
    <t>⚠</t>
  </si>
  <si>
    <t>Case Wz9888:    UniConst = ChrW(9888)</t>
  </si>
  <si>
    <t xml:space="preserve"> ⚡ E0.6 high voltage</t>
  </si>
  <si>
    <t>26A1</t>
  </si>
  <si>
    <t>⚡</t>
  </si>
  <si>
    <t>Case aW9889:    UniConst = ChrW(9889)</t>
  </si>
  <si>
    <t xml:space="preserve"> ⚧ E13.0 transgender symbol</t>
  </si>
  <si>
    <t>26A7</t>
  </si>
  <si>
    <t>⚧</t>
  </si>
  <si>
    <t>Case hc9895:    UniConst = ChrW(9895)</t>
  </si>
  <si>
    <t xml:space="preserve"> ⚪ E0.6 white circle</t>
  </si>
  <si>
    <t>26AA</t>
  </si>
  <si>
    <t>⚪</t>
  </si>
  <si>
    <t>Case VG9898:    UniConst = ChrW(9898)</t>
  </si>
  <si>
    <t xml:space="preserve"> ⚫ E0.6 black circle</t>
  </si>
  <si>
    <t>26AB</t>
  </si>
  <si>
    <t>⚫</t>
  </si>
  <si>
    <t>Case yi9899:    UniConst = ChrW(9899)</t>
  </si>
  <si>
    <t xml:space="preserve"> ⚰ E1.0 coffin</t>
  </si>
  <si>
    <t>26B0</t>
  </si>
  <si>
    <t>⚰</t>
  </si>
  <si>
    <t>Case TR9904:    UniConst = ChrW(9904)</t>
  </si>
  <si>
    <t xml:space="preserve"> ⚱ E1.0 funeral urn</t>
  </si>
  <si>
    <t>26B1</t>
  </si>
  <si>
    <t>⚱</t>
  </si>
  <si>
    <t>Case SZ9905:    UniConst = ChrW(9905)</t>
  </si>
  <si>
    <t xml:space="preserve"> ⛄ E0.6 snowman without snow</t>
  </si>
  <si>
    <t>26C4</t>
  </si>
  <si>
    <t>⛄</t>
  </si>
  <si>
    <t>Case Fi9924:    UniConst = ChrW(9924)</t>
  </si>
  <si>
    <t xml:space="preserve"> ⛅ E0.6 sun behind cloud</t>
  </si>
  <si>
    <t>26C5</t>
  </si>
  <si>
    <t>⛅</t>
  </si>
  <si>
    <t>Case Fm9925:    UniConst = ChrW(9925)</t>
  </si>
  <si>
    <t xml:space="preserve"> ⛈ E0.7 cloud with lightning and rain</t>
  </si>
  <si>
    <t>26C8</t>
  </si>
  <si>
    <t>⛈</t>
  </si>
  <si>
    <t>Case CK9928:    UniConst = ChrW(9928)</t>
  </si>
  <si>
    <t xml:space="preserve"> ⛎ E0.6 Ophiuchus</t>
  </si>
  <si>
    <t>26CE</t>
  </si>
  <si>
    <t>⛎</t>
  </si>
  <si>
    <t>Case mn9934:    UniConst = ChrW(9934)</t>
  </si>
  <si>
    <t xml:space="preserve"> ⛏ E0.7 pick</t>
  </si>
  <si>
    <t>26CF</t>
  </si>
  <si>
    <t>⛏</t>
  </si>
  <si>
    <t>Case Kl9935:    UniConst = ChrW(9935)</t>
  </si>
  <si>
    <t xml:space="preserve"> ⛑ E0.7 rescue worker’s helmet</t>
  </si>
  <si>
    <t>26D1</t>
  </si>
  <si>
    <t>⛑</t>
  </si>
  <si>
    <t>Case ou9937:    UniConst = ChrW(9937)</t>
  </si>
  <si>
    <t xml:space="preserve"> ⛓ E0.7 chains</t>
  </si>
  <si>
    <t>26D3</t>
  </si>
  <si>
    <t>⛓</t>
  </si>
  <si>
    <t>Case Ti9939:    UniConst = ChrW(9939)</t>
  </si>
  <si>
    <t xml:space="preserve"> ⛔ E0.6 no entry</t>
  </si>
  <si>
    <t>26D4</t>
  </si>
  <si>
    <t>⛔</t>
  </si>
  <si>
    <t>Case qr9940:    UniConst = ChrW(9940)</t>
  </si>
  <si>
    <t xml:space="preserve"> ⛩ E0.7 shinto shrine</t>
  </si>
  <si>
    <t>26E9</t>
  </si>
  <si>
    <t>⛩</t>
  </si>
  <si>
    <t>Case XI9961:    UniConst = ChrW(9961)</t>
  </si>
  <si>
    <t xml:space="preserve"> ⛪ E0.6 church</t>
  </si>
  <si>
    <t>26EA</t>
  </si>
  <si>
    <t>⛪</t>
  </si>
  <si>
    <t>Case tk9962:    UniConst = ChrW(9962)</t>
  </si>
  <si>
    <t xml:space="preserve"> ⛰ E0.7 mountain</t>
  </si>
  <si>
    <t>26F0</t>
  </si>
  <si>
    <t>⛰</t>
  </si>
  <si>
    <t>Case KL9968:    UniConst = ChrW(9968)</t>
  </si>
  <si>
    <t xml:space="preserve"> ⛱ E0.7 umbrella on ground</t>
  </si>
  <si>
    <t>26F1</t>
  </si>
  <si>
    <t>⛱</t>
  </si>
  <si>
    <t>Case Ro9969:    UniConst = ChrW(9969)</t>
  </si>
  <si>
    <t xml:space="preserve"> ⛲ E0.6 fountain</t>
  </si>
  <si>
    <t>26F2</t>
  </si>
  <si>
    <t>⛲</t>
  </si>
  <si>
    <t>Case dV9970:    UniConst = ChrW(9970)</t>
  </si>
  <si>
    <t xml:space="preserve"> ⛳ E0.6 flag in hole</t>
  </si>
  <si>
    <t>26F3</t>
  </si>
  <si>
    <t>⛳</t>
  </si>
  <si>
    <t>Case WA9971:    UniConst = ChrW(9971)</t>
  </si>
  <si>
    <t xml:space="preserve"> ⛴ E0.7 ferry</t>
  </si>
  <si>
    <t>26F4</t>
  </si>
  <si>
    <t>⛴</t>
  </si>
  <si>
    <t>Case Ho9972:    UniConst = ChrW(9972)</t>
  </si>
  <si>
    <t xml:space="preserve"> ⛵ E0.6 sailboat</t>
  </si>
  <si>
    <t>26F5</t>
  </si>
  <si>
    <t>⛵</t>
  </si>
  <si>
    <t>Case aA9973:    UniConst = ChrW(9973)</t>
  </si>
  <si>
    <t xml:space="preserve"> ⛷ E0.7 skier</t>
  </si>
  <si>
    <t>26F7</t>
  </si>
  <si>
    <t>⛷</t>
  </si>
  <si>
    <t>Case HN9975:    UniConst = ChrW(9975)</t>
  </si>
  <si>
    <t xml:space="preserve"> ⛸ E0.7 ice skate</t>
  </si>
  <si>
    <t>26F8</t>
  </si>
  <si>
    <t>⛸</t>
  </si>
  <si>
    <t>Case ma9976:    UniConst = ChrW(9976)</t>
  </si>
  <si>
    <t xml:space="preserve"> ⛹ E0.7 person bouncing ball</t>
  </si>
  <si>
    <t>26F9</t>
  </si>
  <si>
    <t>⛹</t>
  </si>
  <si>
    <t>Case em9977:    UniConst = ChrW(9977)</t>
  </si>
  <si>
    <t xml:space="preserve"> ⛺ E0.6 tent</t>
  </si>
  <si>
    <t>26FA</t>
  </si>
  <si>
    <t>⛺</t>
  </si>
  <si>
    <t>Case JA9978:    UniConst = ChrW(9978)</t>
  </si>
  <si>
    <t xml:space="preserve"> ⛽ E0.6 fuel pump</t>
  </si>
  <si>
    <t>26FD</t>
  </si>
  <si>
    <t>⛽</t>
  </si>
  <si>
    <t>Case Cx9981:    UniConst = ChrW(9981)</t>
  </si>
  <si>
    <t xml:space="preserve"> ✂ E0.6 scissors</t>
  </si>
  <si>
    <t>2702</t>
  </si>
  <si>
    <t>✂</t>
  </si>
  <si>
    <t>Case Ix9986:    UniConst = ChrW(9986)</t>
  </si>
  <si>
    <t xml:space="preserve"> ✅ E0.6 check mark button</t>
  </si>
  <si>
    <t>2705</t>
  </si>
  <si>
    <t>✅</t>
  </si>
  <si>
    <t>Case rS9989:    UniConst = ChrW(9989)</t>
  </si>
  <si>
    <t xml:space="preserve"> ✈ E0.6 airplane</t>
  </si>
  <si>
    <t>2708</t>
  </si>
  <si>
    <t>✈</t>
  </si>
  <si>
    <t>Case Nh9992:    UniConst = ChrW(9992)</t>
  </si>
  <si>
    <t xml:space="preserve"> ✉ E0.6 envelope</t>
  </si>
  <si>
    <t>2709</t>
  </si>
  <si>
    <t>✉</t>
  </si>
  <si>
    <t>Case hE9993:    UniConst = ChrW(9993)</t>
  </si>
  <si>
    <t xml:space="preserve"> ✊ E0.6 raised fist</t>
  </si>
  <si>
    <t>270A</t>
  </si>
  <si>
    <t>✊</t>
  </si>
  <si>
    <t>Case rm9994:    UniConst = ChrW(9994)</t>
  </si>
  <si>
    <t xml:space="preserve"> ✋ E0.6 raised hand</t>
  </si>
  <si>
    <t>270B</t>
  </si>
  <si>
    <t>✋</t>
  </si>
  <si>
    <t>Case jy9995:    UniConst = ChrW(9995)</t>
  </si>
  <si>
    <t xml:space="preserve"> ✌ E0.6 victory hand</t>
  </si>
  <si>
    <t>270C</t>
  </si>
  <si>
    <t>✌</t>
  </si>
  <si>
    <t>Case Kd9996:    UniConst = ChrW(9996)</t>
  </si>
  <si>
    <t xml:space="preserve"> ✍ E0.7 writing hand</t>
  </si>
  <si>
    <t>270D</t>
  </si>
  <si>
    <t>✍</t>
  </si>
  <si>
    <t>Case Dp9997:    UniConst = ChrW(9997)</t>
  </si>
  <si>
    <t xml:space="preserve"> ✏ E0.6 pencil</t>
  </si>
  <si>
    <t>270F</t>
  </si>
  <si>
    <t>✏</t>
  </si>
  <si>
    <t>Case cb9999:    UniConst = ChrW(9999)</t>
  </si>
  <si>
    <t xml:space="preserve"> ✒ E0.6 black nib</t>
  </si>
  <si>
    <t>2712</t>
  </si>
  <si>
    <t>✒</t>
  </si>
  <si>
    <t>Case wj10002:    UniConst = ChrW(10002)</t>
  </si>
  <si>
    <t xml:space="preserve"> ✔ E0.6 check mark</t>
  </si>
  <si>
    <t>2714</t>
  </si>
  <si>
    <t>✔</t>
  </si>
  <si>
    <t>Case gG10004:    UniConst = ChrW(10004)</t>
  </si>
  <si>
    <t xml:space="preserve"> ✖ E0.6 multiply</t>
  </si>
  <si>
    <t>2716</t>
  </si>
  <si>
    <t>✖</t>
  </si>
  <si>
    <t>Case gT10006:    UniConst = ChrW(10006)</t>
  </si>
  <si>
    <t xml:space="preserve"> ✝ E0.7 latin cross</t>
  </si>
  <si>
    <t>271D</t>
  </si>
  <si>
    <t>✝</t>
  </si>
  <si>
    <t>Case yG10013:    UniConst = ChrW(10013)</t>
  </si>
  <si>
    <t xml:space="preserve"> ✡ E0.7 star of David</t>
  </si>
  <si>
    <t>2721</t>
  </si>
  <si>
    <t>✡</t>
  </si>
  <si>
    <t>Case if10017:    UniConst = ChrW(10017)</t>
  </si>
  <si>
    <t xml:space="preserve"> ✨ E0.6 sparkles</t>
  </si>
  <si>
    <t>2728</t>
  </si>
  <si>
    <t>✨</t>
  </si>
  <si>
    <t>Case iM10024:    UniConst = ChrW(10024)</t>
  </si>
  <si>
    <t xml:space="preserve"> ✳ E0.6 eight-spoked asterisk</t>
  </si>
  <si>
    <t>2733</t>
  </si>
  <si>
    <t>✳</t>
  </si>
  <si>
    <t>Case da10035:    UniConst = ChrW(10035)</t>
  </si>
  <si>
    <t xml:space="preserve"> ✴ E0.6 eight-pointed star</t>
  </si>
  <si>
    <t>2734</t>
  </si>
  <si>
    <t>✴</t>
  </si>
  <si>
    <t>Case RY10036:    UniConst = ChrW(10036)</t>
  </si>
  <si>
    <t xml:space="preserve"> ❄ E0.6 snowflake</t>
  </si>
  <si>
    <t>2744</t>
  </si>
  <si>
    <t>❄</t>
  </si>
  <si>
    <t>Case Kn10052:    UniConst = ChrW(10052)</t>
  </si>
  <si>
    <t xml:space="preserve"> ❇ E0.6 sparkle</t>
  </si>
  <si>
    <t>2747</t>
  </si>
  <si>
    <t>❇</t>
  </si>
  <si>
    <t>Case PK10055:    UniConst = ChrW(10055)</t>
  </si>
  <si>
    <t xml:space="preserve"> ❌ E0.6 cross mark</t>
  </si>
  <si>
    <t>274C</t>
  </si>
  <si>
    <t>❌</t>
  </si>
  <si>
    <t>Case uT10060:    UniConst = ChrW(10060)</t>
  </si>
  <si>
    <t xml:space="preserve"> ❎ E0.6 cross mark button</t>
  </si>
  <si>
    <t>274E</t>
  </si>
  <si>
    <t>❎</t>
  </si>
  <si>
    <t>Case cp10062:    UniConst = ChrW(10062)</t>
  </si>
  <si>
    <t xml:space="preserve"> ❓ E0.6 red question mark</t>
  </si>
  <si>
    <t>2753</t>
  </si>
  <si>
    <t>❓</t>
  </si>
  <si>
    <t>Case FW10067:    UniConst = ChrW(10067)</t>
  </si>
  <si>
    <t xml:space="preserve"> ❔ E0.6 white question mark</t>
  </si>
  <si>
    <t>2754</t>
  </si>
  <si>
    <t>❔</t>
  </si>
  <si>
    <t>Case AM10068:    UniConst = ChrW(10068)</t>
  </si>
  <si>
    <t xml:space="preserve"> ❕ E0.6 white exclamation mark</t>
  </si>
  <si>
    <t>2755</t>
  </si>
  <si>
    <t>❕</t>
  </si>
  <si>
    <t>Case oj10069:    UniConst = ChrW(10069)</t>
  </si>
  <si>
    <t xml:space="preserve"> ❗ E0.6 red exclamation mark</t>
  </si>
  <si>
    <t>2757</t>
  </si>
  <si>
    <t>❗</t>
  </si>
  <si>
    <t>Case Gw10071:    UniConst = ChrW(10071)</t>
  </si>
  <si>
    <t xml:space="preserve"> ❣ E1.0 heart exclamation</t>
  </si>
  <si>
    <t>2763</t>
  </si>
  <si>
    <t>❣</t>
  </si>
  <si>
    <t>Case GL10083:    UniConst = ChrW(10083)</t>
  </si>
  <si>
    <t xml:space="preserve"> ❤ E0.6 red heart</t>
  </si>
  <si>
    <t>2764</t>
  </si>
  <si>
    <t>❤</t>
  </si>
  <si>
    <t>Case er10084:    UniConst = ChrW(10084)</t>
  </si>
  <si>
    <t xml:space="preserve"> ➡ E0.6 right arrow</t>
  </si>
  <si>
    <t>27A1</t>
  </si>
  <si>
    <t>➡</t>
  </si>
  <si>
    <t>Case jE10145:    UniConst = ChrW(10145)</t>
  </si>
  <si>
    <t xml:space="preserve"> ⤴ E0.6 right arrow curving up</t>
  </si>
  <si>
    <t>2934</t>
  </si>
  <si>
    <t>⤴</t>
  </si>
  <si>
    <t>Case mk10548:    UniConst = ChrW(10548)</t>
  </si>
  <si>
    <t xml:space="preserve"> ⤵ E0.6 right arrow curving down</t>
  </si>
  <si>
    <t>2935</t>
  </si>
  <si>
    <t>⤵</t>
  </si>
  <si>
    <t>Case nO10549:    UniConst = ChrW(10549)</t>
  </si>
  <si>
    <t xml:space="preserve"> ⬅ E0.6 left arrow</t>
  </si>
  <si>
    <t>2B05</t>
  </si>
  <si>
    <t>⬅</t>
  </si>
  <si>
    <t>Case NC11013:    UniConst = ChrW(11013)</t>
  </si>
  <si>
    <t xml:space="preserve"> ⬆ E0.6 up arrow</t>
  </si>
  <si>
    <t>2B06</t>
  </si>
  <si>
    <t>⬆</t>
  </si>
  <si>
    <t>Case OA11014:    UniConst = ChrW(11014)</t>
  </si>
  <si>
    <t xml:space="preserve"> ⬇ E0.6 down arrow</t>
  </si>
  <si>
    <t>2B07</t>
  </si>
  <si>
    <t>⬇</t>
  </si>
  <si>
    <t>Case DB11015:    UniConst = ChrW(11015)</t>
  </si>
  <si>
    <t xml:space="preserve"> ⬛ E0.6 black large square</t>
  </si>
  <si>
    <t>2B1B</t>
  </si>
  <si>
    <t>⬛</t>
  </si>
  <si>
    <t>Case kP11035:    UniConst = ChrW(11035)</t>
  </si>
  <si>
    <t xml:space="preserve"> ⬜ E0.6 white large square</t>
  </si>
  <si>
    <t>2B1C</t>
  </si>
  <si>
    <t>⬜</t>
  </si>
  <si>
    <t>Case JD11036:    UniConst = ChrW(11036)</t>
  </si>
  <si>
    <t xml:space="preserve"> ⭐ E0.6 star</t>
  </si>
  <si>
    <t>2B50</t>
  </si>
  <si>
    <t>⭐</t>
  </si>
  <si>
    <t>Case ZJ11088:    UniConst = ChrW(11088)</t>
  </si>
  <si>
    <t xml:space="preserve"> ⭕ E0.6 hollow red circle</t>
  </si>
  <si>
    <t>2B55</t>
  </si>
  <si>
    <t>⭕</t>
  </si>
  <si>
    <t>Case qo11093:    UniConst = ChrW(11093)</t>
  </si>
  <si>
    <t xml:space="preserve"> 〰 E0.6 wavy dash</t>
  </si>
  <si>
    <t>3030</t>
  </si>
  <si>
    <t>〰</t>
  </si>
  <si>
    <t>Case Yg12336:    UniConst = ChrW(12336)</t>
  </si>
  <si>
    <t xml:space="preserve"> 〽 E0.6 part alternation mark</t>
  </si>
  <si>
    <t>303D</t>
  </si>
  <si>
    <t>〽</t>
  </si>
  <si>
    <t>Case BJ12349:    UniConst = ChrW(12349)</t>
  </si>
  <si>
    <t xml:space="preserve"> ㊗ E0.6 Japanese “congratulations” button</t>
  </si>
  <si>
    <t>3297</t>
  </si>
  <si>
    <t>㊗</t>
  </si>
  <si>
    <t>Case wc12951:    UniConst = ChrW(12951)</t>
  </si>
  <si>
    <t xml:space="preserve"> ㊙ E0.6 Japanese “secret” button</t>
  </si>
  <si>
    <t>3299</t>
  </si>
  <si>
    <t>㊙</t>
  </si>
  <si>
    <t>Case ZF12953:    UniConst = ChrW(12953)</t>
  </si>
  <si>
    <t>Disp</t>
  </si>
  <si>
    <t>Module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</si>
</sst>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Calibri"/>
      <family val="2"/>
      <scheme val="minor"/>
    </font>
    <font>
      <sz val="10"/>
      <color rgb="FF000000"/>
      <name val="Arial Unicode MS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0" fontId="0" fillId="0" borderId="0" xfId="0" applyNumberFormat="1"/>
  </cellXfs>
  <cellStyles count="1">
    <cellStyle name="Normal" xfId="0" builtinId="0"/>
  </cellStyles>
  <dxfs count="5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789D156-D441-43DB-B790-DD664496ABC1}" name="Table1" displayName="Table1" ref="A1:K4316" totalsRowShown="0">
  <autoFilter ref="A1:K4316" xr:uid="{6789D156-D441-43DB-B790-DD664496ABC1}">
    <filterColumn colId="5">
      <filters>
        <filter val="FALSE"/>
      </filters>
    </filterColumn>
  </autoFilter>
  <tableColumns count="11">
    <tableColumn id="1" xr3:uid="{EA251464-6941-487E-AB20-BFE45FB29C09}" name="All strings"/>
    <tableColumn id="2" xr3:uid="{8C19FD0A-AB46-4666-B1A5-CD094F8F7FBA}" name="Trimmed">
      <calculatedColumnFormula>TRIM(A2)</calculatedColumnFormula>
    </tableColumn>
    <tableColumn id="3" xr3:uid="{1972BDEE-B7FE-459C-903E-5C2947FB9719}" name="Unicode">
      <calculatedColumnFormula>LEFT(B2,(FIND(";",B2,1)-1))</calculatedColumnFormula>
    </tableColumn>
    <tableColumn id="4" xr3:uid="{4AC03F5F-F476-4575-98EA-80A50E712948}" name="Len">
      <calculatedColumnFormula>LEN(C2)</calculatedColumnFormula>
    </tableColumn>
    <tableColumn id="5" xr3:uid="{C22B45FB-98EF-4EEB-810A-35904C9757CF}" name="Meaning">
      <calculatedColumnFormula>MID(A2,FIND("#",A2)+1,256)</calculatedColumnFormula>
    </tableColumn>
    <tableColumn id="6" xr3:uid="{ACC938FC-3C70-408B-AEFE-79B24E6CF5E0}" name="Exclude">
      <calculatedColumnFormula>IF(LEFT(C2,2)="1F",TRUE,FALSE)</calculatedColumnFormula>
    </tableColumn>
    <tableColumn id="7" xr3:uid="{18CDFA64-9145-42A1-852D-62A1844686AB}" name="utf8" dataDxfId="4">
      <calculatedColumnFormula>LEFT(C2,(FIND(" ",C2,1)-1))</calculatedColumnFormula>
    </tableColumn>
    <tableColumn id="8" xr3:uid="{ED7DF9CE-5ED8-4A0C-90C7-62BB4AD1A610}" name="Cool"/>
    <tableColumn id="10" xr3:uid="{31760F94-F7E7-4630-B406-65FE28132ED1}" name="Decimal" dataDxfId="3">
      <calculatedColumnFormula>HEX2DEC(Table1[[#This Row],[utf8]])</calculatedColumnFormula>
    </tableColumn>
    <tableColumn id="9" xr3:uid="{417FA6EF-4419-460E-A6F4-D10D971D9034}" name="Means" dataDxfId="2">
      <calculatedColumnFormula>_xlfn.UNICHAR(HEX2DEC(Table1[[#This Row],[utf8]]))</calculatedColumnFormula>
    </tableColumn>
    <tableColumn id="11" xr3:uid="{BE66B551-F822-45A1-8304-B8099D383C65}" name="Code" dataDxfId="1">
      <calculatedColumnFormula array="1">"Case "&amp;wRandomLetter()&amp;wRandomLetter()&amp;I2&amp;":    UniConst = ChrW(" &amp; I2 &amp;")"</calculatedColumnFormula>
    </tableColumn>
  </tableColumns>
  <tableStyleInfo name="TableStyleMedium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9DDA014-52B4-4734-B1D0-39947CF7D8D5}" name="Table3" displayName="Table3" ref="A1:F174" totalsRowShown="0">
  <autoFilter ref="A1:F174" xr:uid="{B9DDA014-52B4-4734-B1D0-39947CF7D8D5}"/>
  <tableColumns count="6">
    <tableColumn id="1" xr3:uid="{93E67CAD-1B22-4DC7-9D36-954ACD4BD941}" name="Meaning"/>
    <tableColumn id="3" xr3:uid="{4A8BFFBF-A0F3-41F8-836C-BECCB4DA39F8}" name="utf8"/>
    <tableColumn id="5" xr3:uid="{9420F4BE-7B8C-495B-BEC2-789B8B00FCAB}" name="Decimal"/>
    <tableColumn id="6" xr3:uid="{C51EB737-BF5F-4933-B7F7-9B5AAA945D50}" name="Disp"/>
    <tableColumn id="7" xr3:uid="{91869660-BB75-46BB-ADA0-B1A86E558B12}" name="Code"/>
    <tableColumn id="2" xr3:uid="{FF9F69CB-B9A4-4E7B-988D-DE55251B3CC9}" name="Module" dataDxfId="0">
      <calculatedColumnFormula>MID(LEFT(E2,FIND(":",E2)-1),FIND(" ",E2)+1,LEN(E2))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27041-A5B0-47D9-93FD-64FAB0A9BFA9}">
  <sheetPr codeName="Sheet1"/>
  <dimension ref="A1:K4316"/>
  <sheetViews>
    <sheetView workbookViewId="0">
      <selection activeCell="E4274" sqref="E4274"/>
    </sheetView>
  </sheetViews>
  <sheetFormatPr defaultRowHeight="15"/>
  <cols>
    <col min="1" max="1" width="15.5703125" customWidth="1"/>
    <col min="2" max="2" width="37.42578125" bestFit="1" customWidth="1"/>
    <col min="3" max="3" width="16.85546875" customWidth="1"/>
    <col min="5" max="5" width="29.7109375" customWidth="1"/>
    <col min="6" max="6" width="10" customWidth="1"/>
    <col min="11" max="11" width="41.140625" bestFit="1" customWidth="1"/>
  </cols>
  <sheetData>
    <row r="1" spans="1:11">
      <c r="A1" t="s">
        <v>4438</v>
      </c>
      <c r="B1" t="s">
        <v>4439</v>
      </c>
      <c r="C1" t="s">
        <v>4437</v>
      </c>
      <c r="D1" t="s">
        <v>4441</v>
      </c>
      <c r="E1" t="s">
        <v>4440</v>
      </c>
      <c r="F1" t="s">
        <v>4442</v>
      </c>
      <c r="G1" t="s">
        <v>4443</v>
      </c>
      <c r="H1" t="s">
        <v>4444</v>
      </c>
      <c r="I1" t="s">
        <v>4446</v>
      </c>
      <c r="J1" t="s">
        <v>4447</v>
      </c>
      <c r="K1" t="s">
        <v>4445</v>
      </c>
    </row>
    <row r="2" spans="1:11">
      <c r="A2" t="s">
        <v>4324</v>
      </c>
      <c r="B2" t="str">
        <f>TRIM(A2)</f>
        <v>0023 20E3 ; unqualified # #⃣ E0.6 keycap: #</v>
      </c>
      <c r="C2" t="str">
        <f>LEFT(B2,(FIND(";",B2,1)-1))</f>
        <v xml:space="preserve">0023 20E3 </v>
      </c>
      <c r="D2">
        <f>LEN(C2)</f>
        <v>10</v>
      </c>
      <c r="E2" t="str">
        <f t="shared" ref="E2:E65" si="0">MID(A2,FIND("#",A2)+1,256)</f>
        <v xml:space="preserve"> #⃣ E0.6 keycap: #</v>
      </c>
      <c r="F2" t="b">
        <f>IF(LEFT(C2,2)="1F",TRUE,FALSE)</f>
        <v>0</v>
      </c>
      <c r="G2" t="str">
        <f t="shared" ref="G2:G65" si="1">LEFT(C2,(FIND(" ",C2,1)-1))</f>
        <v>0023</v>
      </c>
      <c r="I2">
        <f>HEX2DEC(Table1[[#This Row],[utf8]])</f>
        <v>35</v>
      </c>
      <c r="J2" t="str">
        <f>_xlfn.UNICHAR(HEX2DEC(Table1[[#This Row],[utf8]]))</f>
        <v>#</v>
      </c>
      <c r="K2" s="3" t="str" cm="1">
        <f t="array" ref="K2">"Case "&amp;wRandomLetter()&amp;wRandomLetter()&amp;I2&amp;":    UniConst = ChrW(" &amp; I2 &amp;")"</f>
        <v>Case zz35:    UniConst = ChrW(35)</v>
      </c>
    </row>
    <row r="3" spans="1:11">
      <c r="A3" t="s">
        <v>4323</v>
      </c>
      <c r="B3" t="str">
        <f t="shared" ref="B3:B66" si="2">TRIM(A3)</f>
        <v>0023 FE0F 20E3 ; fully-qualified # #️⃣ E0.6 keycap: #</v>
      </c>
      <c r="C3" t="str">
        <f t="shared" ref="C3:C66" si="3">LEFT(B3,(FIND(";",B3,1)-1))</f>
        <v xml:space="preserve">0023 FE0F 20E3 </v>
      </c>
      <c r="D3">
        <f t="shared" ref="D3:D66" si="4">LEN(C3)</f>
        <v>15</v>
      </c>
      <c r="E3" t="str">
        <f t="shared" si="0"/>
        <v xml:space="preserve"> #️⃣ E0.6 keycap: #</v>
      </c>
      <c r="F3" t="b">
        <f t="shared" ref="F3:F66" si="5">IF(LEFT(C3,2)="1F",TRUE,FALSE)</f>
        <v>0</v>
      </c>
      <c r="G3" t="str">
        <f t="shared" si="1"/>
        <v>0023</v>
      </c>
      <c r="I3">
        <f>HEX2DEC(Table1[[#This Row],[utf8]])</f>
        <v>35</v>
      </c>
      <c r="J3" t="str">
        <f>_xlfn.UNICHAR(HEX2DEC(Table1[[#This Row],[utf8]]))</f>
        <v>#</v>
      </c>
      <c r="K3" s="3" t="str" cm="1">
        <f t="array" ref="K3">"Case "&amp;wRandomLetter()&amp;wRandomLetter()&amp;I3&amp;":    UniConst = ChrW(" &amp; I3 &amp;")"</f>
        <v>Case AP35:    UniConst = ChrW(35)</v>
      </c>
    </row>
    <row r="4" spans="1:11">
      <c r="A4" t="s">
        <v>4326</v>
      </c>
      <c r="B4" t="str">
        <f t="shared" si="2"/>
        <v>002A 20E3 ; unqualified # *⃣ E2.0 keycap: *</v>
      </c>
      <c r="C4" t="str">
        <f t="shared" si="3"/>
        <v xml:space="preserve">002A 20E3 </v>
      </c>
      <c r="D4">
        <f t="shared" si="4"/>
        <v>10</v>
      </c>
      <c r="E4" t="str">
        <f t="shared" si="0"/>
        <v xml:space="preserve"> *⃣ E2.0 keycap: *</v>
      </c>
      <c r="F4" t="b">
        <f t="shared" si="5"/>
        <v>0</v>
      </c>
      <c r="G4" t="str">
        <f t="shared" si="1"/>
        <v>002A</v>
      </c>
      <c r="I4">
        <f>HEX2DEC(Table1[[#This Row],[utf8]])</f>
        <v>42</v>
      </c>
      <c r="J4" t="str">
        <f>_xlfn.UNICHAR(HEX2DEC(Table1[[#This Row],[utf8]]))</f>
        <v>*</v>
      </c>
      <c r="K4" s="3" t="str" cm="1">
        <f t="array" ref="K4">"Case "&amp;wRandomLetter()&amp;wRandomLetter()&amp;I4&amp;":    UniConst = ChrW(" &amp; I4 &amp;")"</f>
        <v>Case wh42:    UniConst = ChrW(42)</v>
      </c>
    </row>
    <row r="5" spans="1:11">
      <c r="A5" t="s">
        <v>4325</v>
      </c>
      <c r="B5" t="str">
        <f t="shared" si="2"/>
        <v>002A FE0F 20E3 ; fully-qualified # *️⃣ E2.0 keycap: *</v>
      </c>
      <c r="C5" t="str">
        <f t="shared" si="3"/>
        <v xml:space="preserve">002A FE0F 20E3 </v>
      </c>
      <c r="D5">
        <f t="shared" si="4"/>
        <v>15</v>
      </c>
      <c r="E5" t="str">
        <f t="shared" si="0"/>
        <v xml:space="preserve"> *️⃣ E2.0 keycap: *</v>
      </c>
      <c r="F5" t="b">
        <f t="shared" si="5"/>
        <v>0</v>
      </c>
      <c r="G5" t="str">
        <f t="shared" si="1"/>
        <v>002A</v>
      </c>
      <c r="I5">
        <f>HEX2DEC(Table1[[#This Row],[utf8]])</f>
        <v>42</v>
      </c>
      <c r="J5" t="str">
        <f>_xlfn.UNICHAR(HEX2DEC(Table1[[#This Row],[utf8]]))</f>
        <v>*</v>
      </c>
      <c r="K5" s="3" t="str" cm="1">
        <f t="array" ref="K5">"Case "&amp;wRandomLetter()&amp;wRandomLetter()&amp;I5&amp;":    UniConst = ChrW(" &amp; I5 &amp;")"</f>
        <v>Case Gy42:    UniConst = ChrW(42)</v>
      </c>
    </row>
    <row r="6" spans="1:11">
      <c r="A6" t="s">
        <v>4328</v>
      </c>
      <c r="B6" t="str">
        <f t="shared" si="2"/>
        <v>0030 20E3 ; unqualified # 0⃣ E0.6 keycap: 0</v>
      </c>
      <c r="C6" t="str">
        <f t="shared" si="3"/>
        <v xml:space="preserve">0030 20E3 </v>
      </c>
      <c r="D6">
        <f t="shared" si="4"/>
        <v>10</v>
      </c>
      <c r="E6" t="str">
        <f t="shared" si="0"/>
        <v xml:space="preserve"> 0⃣ E0.6 keycap: 0</v>
      </c>
      <c r="F6" t="b">
        <f t="shared" si="5"/>
        <v>0</v>
      </c>
      <c r="G6" t="str">
        <f t="shared" si="1"/>
        <v>0030</v>
      </c>
      <c r="I6">
        <f>HEX2DEC(Table1[[#This Row],[utf8]])</f>
        <v>48</v>
      </c>
      <c r="J6" t="str">
        <f>_xlfn.UNICHAR(HEX2DEC(Table1[[#This Row],[utf8]]))</f>
        <v>0</v>
      </c>
      <c r="K6" s="3" t="str" cm="1">
        <f t="array" ref="K6">"Case "&amp;wRandomLetter()&amp;wRandomLetter()&amp;I6&amp;":    UniConst = ChrW(" &amp; I6 &amp;")"</f>
        <v>Case Hd48:    UniConst = ChrW(48)</v>
      </c>
    </row>
    <row r="7" spans="1:11">
      <c r="A7" t="s">
        <v>4327</v>
      </c>
      <c r="B7" t="str">
        <f t="shared" si="2"/>
        <v>0030 FE0F 20E3 ; fully-qualified # 0️⃣ E0.6 keycap: 0</v>
      </c>
      <c r="C7" t="str">
        <f t="shared" si="3"/>
        <v xml:space="preserve">0030 FE0F 20E3 </v>
      </c>
      <c r="D7">
        <f t="shared" si="4"/>
        <v>15</v>
      </c>
      <c r="E7" t="str">
        <f t="shared" si="0"/>
        <v xml:space="preserve"> 0️⃣ E0.6 keycap: 0</v>
      </c>
      <c r="F7" t="b">
        <f t="shared" si="5"/>
        <v>0</v>
      </c>
      <c r="G7" t="str">
        <f t="shared" si="1"/>
        <v>0030</v>
      </c>
      <c r="I7">
        <f>HEX2DEC(Table1[[#This Row],[utf8]])</f>
        <v>48</v>
      </c>
      <c r="J7" t="str">
        <f>_xlfn.UNICHAR(HEX2DEC(Table1[[#This Row],[utf8]]))</f>
        <v>0</v>
      </c>
      <c r="K7" s="3" t="str" cm="1">
        <f t="array" ref="K7">"Case "&amp;wRandomLetter()&amp;wRandomLetter()&amp;I7&amp;":    UniConst = ChrW(" &amp; I7 &amp;")"</f>
        <v>Case WT48:    UniConst = ChrW(48)</v>
      </c>
    </row>
    <row r="8" spans="1:11">
      <c r="A8" t="s">
        <v>4330</v>
      </c>
      <c r="B8" t="str">
        <f t="shared" si="2"/>
        <v>0031 20E3 ; unqualified # 1⃣ E0.6 keycap: 1</v>
      </c>
      <c r="C8" t="str">
        <f t="shared" si="3"/>
        <v xml:space="preserve">0031 20E3 </v>
      </c>
      <c r="D8">
        <f t="shared" si="4"/>
        <v>10</v>
      </c>
      <c r="E8" t="str">
        <f t="shared" si="0"/>
        <v xml:space="preserve"> 1⃣ E0.6 keycap: 1</v>
      </c>
      <c r="F8" t="b">
        <f t="shared" si="5"/>
        <v>0</v>
      </c>
      <c r="G8" t="str">
        <f t="shared" si="1"/>
        <v>0031</v>
      </c>
      <c r="I8">
        <f>HEX2DEC(Table1[[#This Row],[utf8]])</f>
        <v>49</v>
      </c>
      <c r="J8" t="str">
        <f>_xlfn.UNICHAR(HEX2DEC(Table1[[#This Row],[utf8]]))</f>
        <v>1</v>
      </c>
      <c r="K8" s="3" t="str" cm="1">
        <f t="array" ref="K8">"Case "&amp;wRandomLetter()&amp;wRandomLetter()&amp;I8&amp;":    UniConst = ChrW(" &amp; I8 &amp;")"</f>
        <v>Case Bk49:    UniConst = ChrW(49)</v>
      </c>
    </row>
    <row r="9" spans="1:11">
      <c r="A9" t="s">
        <v>4329</v>
      </c>
      <c r="B9" t="str">
        <f t="shared" si="2"/>
        <v>0031 FE0F 20E3 ; fully-qualified # 1️⃣ E0.6 keycap: 1</v>
      </c>
      <c r="C9" t="str">
        <f t="shared" si="3"/>
        <v xml:space="preserve">0031 FE0F 20E3 </v>
      </c>
      <c r="D9">
        <f t="shared" si="4"/>
        <v>15</v>
      </c>
      <c r="E9" t="str">
        <f t="shared" si="0"/>
        <v xml:space="preserve"> 1️⃣ E0.6 keycap: 1</v>
      </c>
      <c r="F9" t="b">
        <f t="shared" si="5"/>
        <v>0</v>
      </c>
      <c r="G9" t="str">
        <f t="shared" si="1"/>
        <v>0031</v>
      </c>
      <c r="I9">
        <f>HEX2DEC(Table1[[#This Row],[utf8]])</f>
        <v>49</v>
      </c>
      <c r="J9" t="str">
        <f>_xlfn.UNICHAR(HEX2DEC(Table1[[#This Row],[utf8]]))</f>
        <v>1</v>
      </c>
      <c r="K9" s="3" t="str" cm="1">
        <f t="array" ref="K9">"Case "&amp;wRandomLetter()&amp;wRandomLetter()&amp;I9&amp;":    UniConst = ChrW(" &amp; I9 &amp;")"</f>
        <v>Case jf49:    UniConst = ChrW(49)</v>
      </c>
    </row>
    <row r="10" spans="1:11">
      <c r="A10" t="s">
        <v>4332</v>
      </c>
      <c r="B10" t="str">
        <f t="shared" si="2"/>
        <v>0032 20E3 ; unqualified # 2⃣ E0.6 keycap: 2</v>
      </c>
      <c r="C10" t="str">
        <f t="shared" si="3"/>
        <v xml:space="preserve">0032 20E3 </v>
      </c>
      <c r="D10">
        <f t="shared" si="4"/>
        <v>10</v>
      </c>
      <c r="E10" t="str">
        <f t="shared" si="0"/>
        <v xml:space="preserve"> 2⃣ E0.6 keycap: 2</v>
      </c>
      <c r="F10" t="b">
        <f t="shared" si="5"/>
        <v>0</v>
      </c>
      <c r="G10" t="str">
        <f t="shared" si="1"/>
        <v>0032</v>
      </c>
      <c r="I10">
        <f>HEX2DEC(Table1[[#This Row],[utf8]])</f>
        <v>50</v>
      </c>
      <c r="J10" t="str">
        <f>_xlfn.UNICHAR(HEX2DEC(Table1[[#This Row],[utf8]]))</f>
        <v>2</v>
      </c>
      <c r="K10" s="3" t="str" cm="1">
        <f t="array" ref="K10">"Case "&amp;wRandomLetter()&amp;wRandomLetter()&amp;I10&amp;":    UniConst = ChrW(" &amp; I10 &amp;")"</f>
        <v>Case jf50:    UniConst = ChrW(50)</v>
      </c>
    </row>
    <row r="11" spans="1:11">
      <c r="A11" t="s">
        <v>4331</v>
      </c>
      <c r="B11" t="str">
        <f t="shared" si="2"/>
        <v>0032 FE0F 20E3 ; fully-qualified # 2️⃣ E0.6 keycap: 2</v>
      </c>
      <c r="C11" t="str">
        <f t="shared" si="3"/>
        <v xml:space="preserve">0032 FE0F 20E3 </v>
      </c>
      <c r="D11">
        <f t="shared" si="4"/>
        <v>15</v>
      </c>
      <c r="E11" t="str">
        <f t="shared" si="0"/>
        <v xml:space="preserve"> 2️⃣ E0.6 keycap: 2</v>
      </c>
      <c r="F11" t="b">
        <f t="shared" si="5"/>
        <v>0</v>
      </c>
      <c r="G11" t="str">
        <f t="shared" si="1"/>
        <v>0032</v>
      </c>
      <c r="I11">
        <f>HEX2DEC(Table1[[#This Row],[utf8]])</f>
        <v>50</v>
      </c>
      <c r="J11" t="str">
        <f>_xlfn.UNICHAR(HEX2DEC(Table1[[#This Row],[utf8]]))</f>
        <v>2</v>
      </c>
      <c r="K11" s="3" t="str" cm="1">
        <f t="array" ref="K11">"Case "&amp;wRandomLetter()&amp;wRandomLetter()&amp;I11&amp;":    UniConst = ChrW(" &amp; I11 &amp;")"</f>
        <v>Case Bj50:    UniConst = ChrW(50)</v>
      </c>
    </row>
    <row r="12" spans="1:11">
      <c r="A12" t="s">
        <v>4334</v>
      </c>
      <c r="B12" t="str">
        <f t="shared" si="2"/>
        <v>0033 20E3 ; unqualified # 3⃣ E0.6 keycap: 3</v>
      </c>
      <c r="C12" t="str">
        <f t="shared" si="3"/>
        <v xml:space="preserve">0033 20E3 </v>
      </c>
      <c r="D12">
        <f t="shared" si="4"/>
        <v>10</v>
      </c>
      <c r="E12" t="str">
        <f t="shared" si="0"/>
        <v xml:space="preserve"> 3⃣ E0.6 keycap: 3</v>
      </c>
      <c r="F12" t="b">
        <f t="shared" si="5"/>
        <v>0</v>
      </c>
      <c r="G12" t="str">
        <f t="shared" si="1"/>
        <v>0033</v>
      </c>
      <c r="I12">
        <f>HEX2DEC(Table1[[#This Row],[utf8]])</f>
        <v>51</v>
      </c>
      <c r="J12" t="str">
        <f>_xlfn.UNICHAR(HEX2DEC(Table1[[#This Row],[utf8]]))</f>
        <v>3</v>
      </c>
      <c r="K12" s="3" t="str" cm="1">
        <f t="array" ref="K12">"Case "&amp;wRandomLetter()&amp;wRandomLetter()&amp;I12&amp;":    UniConst = ChrW(" &amp; I12 &amp;")"</f>
        <v>Case pG51:    UniConst = ChrW(51)</v>
      </c>
    </row>
    <row r="13" spans="1:11">
      <c r="A13" t="s">
        <v>4333</v>
      </c>
      <c r="B13" t="str">
        <f t="shared" si="2"/>
        <v>0033 FE0F 20E3 ; fully-qualified # 3️⃣ E0.6 keycap: 3</v>
      </c>
      <c r="C13" t="str">
        <f t="shared" si="3"/>
        <v xml:space="preserve">0033 FE0F 20E3 </v>
      </c>
      <c r="D13">
        <f t="shared" si="4"/>
        <v>15</v>
      </c>
      <c r="E13" t="str">
        <f t="shared" si="0"/>
        <v xml:space="preserve"> 3️⃣ E0.6 keycap: 3</v>
      </c>
      <c r="F13" t="b">
        <f>IF(LEFT(C13,2)="1F",TRUE,FALSE)</f>
        <v>0</v>
      </c>
      <c r="G13" t="str">
        <f t="shared" si="1"/>
        <v>0033</v>
      </c>
      <c r="I13">
        <f>HEX2DEC(Table1[[#This Row],[utf8]])</f>
        <v>51</v>
      </c>
      <c r="J13" t="str">
        <f>_xlfn.UNICHAR(HEX2DEC(Table1[[#This Row],[utf8]]))</f>
        <v>3</v>
      </c>
      <c r="K13" s="3" t="str" cm="1">
        <f t="array" ref="K13">"Case "&amp;wRandomLetter()&amp;wRandomLetter()&amp;I13&amp;":    UniConst = ChrW(" &amp; I13 &amp;")"</f>
        <v>Case lQ51:    UniConst = ChrW(51)</v>
      </c>
    </row>
    <row r="14" spans="1:11">
      <c r="A14" t="s">
        <v>4336</v>
      </c>
      <c r="B14" t="str">
        <f t="shared" si="2"/>
        <v>0034 20E3 ; unqualified # 4⃣ E0.6 keycap: 4</v>
      </c>
      <c r="C14" t="str">
        <f t="shared" si="3"/>
        <v xml:space="preserve">0034 20E3 </v>
      </c>
      <c r="D14">
        <f t="shared" si="4"/>
        <v>10</v>
      </c>
      <c r="E14" t="str">
        <f t="shared" si="0"/>
        <v xml:space="preserve"> 4⃣ E0.6 keycap: 4</v>
      </c>
      <c r="F14" t="b">
        <f t="shared" si="5"/>
        <v>0</v>
      </c>
      <c r="G14" t="str">
        <f t="shared" si="1"/>
        <v>0034</v>
      </c>
      <c r="I14">
        <f>HEX2DEC(Table1[[#This Row],[utf8]])</f>
        <v>52</v>
      </c>
      <c r="J14" t="str">
        <f>_xlfn.UNICHAR(HEX2DEC(Table1[[#This Row],[utf8]]))</f>
        <v>4</v>
      </c>
      <c r="K14" s="3" t="str" cm="1">
        <f t="array" ref="K14">"Case "&amp;wRandomLetter()&amp;wRandomLetter()&amp;I14&amp;":    UniConst = ChrW(" &amp; I14 &amp;")"</f>
        <v>Case Is52:    UniConst = ChrW(52)</v>
      </c>
    </row>
    <row r="15" spans="1:11">
      <c r="A15" t="s">
        <v>4335</v>
      </c>
      <c r="B15" t="str">
        <f t="shared" si="2"/>
        <v>0034 FE0F 20E3 ; fully-qualified # 4️⃣ E0.6 keycap: 4</v>
      </c>
      <c r="C15" t="str">
        <f t="shared" si="3"/>
        <v xml:space="preserve">0034 FE0F 20E3 </v>
      </c>
      <c r="D15">
        <f t="shared" si="4"/>
        <v>15</v>
      </c>
      <c r="E15" t="str">
        <f t="shared" si="0"/>
        <v xml:space="preserve"> 4️⃣ E0.6 keycap: 4</v>
      </c>
      <c r="F15" t="b">
        <f t="shared" si="5"/>
        <v>0</v>
      </c>
      <c r="G15" t="str">
        <f t="shared" si="1"/>
        <v>0034</v>
      </c>
      <c r="I15">
        <f>HEX2DEC(Table1[[#This Row],[utf8]])</f>
        <v>52</v>
      </c>
      <c r="J15" t="str">
        <f>_xlfn.UNICHAR(HEX2DEC(Table1[[#This Row],[utf8]]))</f>
        <v>4</v>
      </c>
      <c r="K15" s="3" t="str" cm="1">
        <f t="array" ref="K15">"Case "&amp;wRandomLetter()&amp;wRandomLetter()&amp;I15&amp;":    UniConst = ChrW(" &amp; I15 &amp;")"</f>
        <v>Case lA52:    UniConst = ChrW(52)</v>
      </c>
    </row>
    <row r="16" spans="1:11">
      <c r="A16" t="s">
        <v>4338</v>
      </c>
      <c r="B16" t="str">
        <f t="shared" si="2"/>
        <v>0035 20E3 ; unqualified # 5⃣ E0.6 keycap: 5</v>
      </c>
      <c r="C16" t="str">
        <f t="shared" si="3"/>
        <v xml:space="preserve">0035 20E3 </v>
      </c>
      <c r="D16">
        <f t="shared" si="4"/>
        <v>10</v>
      </c>
      <c r="E16" t="str">
        <f t="shared" si="0"/>
        <v xml:space="preserve"> 5⃣ E0.6 keycap: 5</v>
      </c>
      <c r="F16" t="b">
        <f t="shared" si="5"/>
        <v>0</v>
      </c>
      <c r="G16" t="str">
        <f t="shared" si="1"/>
        <v>0035</v>
      </c>
      <c r="I16">
        <f>HEX2DEC(Table1[[#This Row],[utf8]])</f>
        <v>53</v>
      </c>
      <c r="J16" t="str">
        <f>_xlfn.UNICHAR(HEX2DEC(Table1[[#This Row],[utf8]]))</f>
        <v>5</v>
      </c>
      <c r="K16" s="3" t="str" cm="1">
        <f t="array" ref="K16">"Case "&amp;wRandomLetter()&amp;wRandomLetter()&amp;I16&amp;":    UniConst = ChrW(" &amp; I16 &amp;")"</f>
        <v>Case GL53:    UniConst = ChrW(53)</v>
      </c>
    </row>
    <row r="17" spans="1:11">
      <c r="A17" t="s">
        <v>4337</v>
      </c>
      <c r="B17" t="str">
        <f t="shared" si="2"/>
        <v>0035 FE0F 20E3 ; fully-qualified # 5️⃣ E0.6 keycap: 5</v>
      </c>
      <c r="C17" t="str">
        <f t="shared" si="3"/>
        <v xml:space="preserve">0035 FE0F 20E3 </v>
      </c>
      <c r="D17">
        <f t="shared" si="4"/>
        <v>15</v>
      </c>
      <c r="E17" t="str">
        <f t="shared" si="0"/>
        <v xml:space="preserve"> 5️⃣ E0.6 keycap: 5</v>
      </c>
      <c r="F17" t="b">
        <f t="shared" si="5"/>
        <v>0</v>
      </c>
      <c r="G17" t="str">
        <f t="shared" si="1"/>
        <v>0035</v>
      </c>
      <c r="I17">
        <f>HEX2DEC(Table1[[#This Row],[utf8]])</f>
        <v>53</v>
      </c>
      <c r="J17" t="str">
        <f>_xlfn.UNICHAR(HEX2DEC(Table1[[#This Row],[utf8]]))</f>
        <v>5</v>
      </c>
      <c r="K17" s="3" t="str" cm="1">
        <f t="array" ref="K17">"Case "&amp;wRandomLetter()&amp;wRandomLetter()&amp;I17&amp;":    UniConst = ChrW(" &amp; I17 &amp;")"</f>
        <v>Case Nd53:    UniConst = ChrW(53)</v>
      </c>
    </row>
    <row r="18" spans="1:11">
      <c r="A18" t="s">
        <v>4340</v>
      </c>
      <c r="B18" t="str">
        <f t="shared" si="2"/>
        <v>0036 20E3 ; unqualified # 6⃣ E0.6 keycap: 6</v>
      </c>
      <c r="C18" t="str">
        <f t="shared" si="3"/>
        <v xml:space="preserve">0036 20E3 </v>
      </c>
      <c r="D18">
        <f t="shared" si="4"/>
        <v>10</v>
      </c>
      <c r="E18" t="str">
        <f t="shared" si="0"/>
        <v xml:space="preserve"> 6⃣ E0.6 keycap: 6</v>
      </c>
      <c r="F18" t="b">
        <f t="shared" si="5"/>
        <v>0</v>
      </c>
      <c r="G18" t="str">
        <f t="shared" si="1"/>
        <v>0036</v>
      </c>
      <c r="I18">
        <f>HEX2DEC(Table1[[#This Row],[utf8]])</f>
        <v>54</v>
      </c>
      <c r="J18" t="str">
        <f>_xlfn.UNICHAR(HEX2DEC(Table1[[#This Row],[utf8]]))</f>
        <v>6</v>
      </c>
      <c r="K18" s="3" t="str" cm="1">
        <f t="array" ref="K18">"Case "&amp;wRandomLetter()&amp;wRandomLetter()&amp;I18&amp;":    UniConst = ChrW(" &amp; I18 &amp;")"</f>
        <v>Case lb54:    UniConst = ChrW(54)</v>
      </c>
    </row>
    <row r="19" spans="1:11">
      <c r="A19" t="s">
        <v>4339</v>
      </c>
      <c r="B19" t="str">
        <f t="shared" si="2"/>
        <v>0036 FE0F 20E3 ; fully-qualified # 6️⃣ E0.6 keycap: 6</v>
      </c>
      <c r="C19" t="str">
        <f t="shared" si="3"/>
        <v xml:space="preserve">0036 FE0F 20E3 </v>
      </c>
      <c r="D19">
        <f t="shared" si="4"/>
        <v>15</v>
      </c>
      <c r="E19" t="str">
        <f t="shared" si="0"/>
        <v xml:space="preserve"> 6️⃣ E0.6 keycap: 6</v>
      </c>
      <c r="F19" t="b">
        <f t="shared" si="5"/>
        <v>0</v>
      </c>
      <c r="G19" t="str">
        <f t="shared" si="1"/>
        <v>0036</v>
      </c>
      <c r="I19">
        <f>HEX2DEC(Table1[[#This Row],[utf8]])</f>
        <v>54</v>
      </c>
      <c r="J19" t="str">
        <f>_xlfn.UNICHAR(HEX2DEC(Table1[[#This Row],[utf8]]))</f>
        <v>6</v>
      </c>
      <c r="K19" s="3" t="str" cm="1">
        <f t="array" ref="K19">"Case "&amp;wRandomLetter()&amp;wRandomLetter()&amp;I19&amp;":    UniConst = ChrW(" &amp; I19 &amp;")"</f>
        <v>Case LY54:    UniConst = ChrW(54)</v>
      </c>
    </row>
    <row r="20" spans="1:11">
      <c r="A20" t="s">
        <v>4342</v>
      </c>
      <c r="B20" t="str">
        <f t="shared" si="2"/>
        <v>0037 20E3 ; unqualified # 7⃣ E0.6 keycap: 7</v>
      </c>
      <c r="C20" t="str">
        <f t="shared" si="3"/>
        <v xml:space="preserve">0037 20E3 </v>
      </c>
      <c r="D20">
        <f t="shared" si="4"/>
        <v>10</v>
      </c>
      <c r="E20" t="str">
        <f t="shared" si="0"/>
        <v xml:space="preserve"> 7⃣ E0.6 keycap: 7</v>
      </c>
      <c r="F20" t="b">
        <f t="shared" si="5"/>
        <v>0</v>
      </c>
      <c r="G20" t="str">
        <f t="shared" si="1"/>
        <v>0037</v>
      </c>
      <c r="I20">
        <f>HEX2DEC(Table1[[#This Row],[utf8]])</f>
        <v>55</v>
      </c>
      <c r="J20" t="str">
        <f>_xlfn.UNICHAR(HEX2DEC(Table1[[#This Row],[utf8]]))</f>
        <v>7</v>
      </c>
      <c r="K20" s="3" t="str" cm="1">
        <f t="array" ref="K20">"Case "&amp;wRandomLetter()&amp;wRandomLetter()&amp;I20&amp;":    UniConst = ChrW(" &amp; I20 &amp;")"</f>
        <v>Case Ul55:    UniConst = ChrW(55)</v>
      </c>
    </row>
    <row r="21" spans="1:11">
      <c r="A21" t="s">
        <v>4341</v>
      </c>
      <c r="B21" t="str">
        <f t="shared" si="2"/>
        <v>0037 FE0F 20E3 ; fully-qualified # 7️⃣ E0.6 keycap: 7</v>
      </c>
      <c r="C21" t="str">
        <f t="shared" si="3"/>
        <v xml:space="preserve">0037 FE0F 20E3 </v>
      </c>
      <c r="D21">
        <f t="shared" si="4"/>
        <v>15</v>
      </c>
      <c r="E21" t="str">
        <f t="shared" si="0"/>
        <v xml:space="preserve"> 7️⃣ E0.6 keycap: 7</v>
      </c>
      <c r="F21" t="b">
        <f t="shared" si="5"/>
        <v>0</v>
      </c>
      <c r="G21" t="str">
        <f t="shared" si="1"/>
        <v>0037</v>
      </c>
      <c r="I21">
        <f>HEX2DEC(Table1[[#This Row],[utf8]])</f>
        <v>55</v>
      </c>
      <c r="J21" t="str">
        <f>_xlfn.UNICHAR(HEX2DEC(Table1[[#This Row],[utf8]]))</f>
        <v>7</v>
      </c>
      <c r="K21" s="3" t="str" cm="1">
        <f t="array" ref="K21">"Case "&amp;wRandomLetter()&amp;wRandomLetter()&amp;I21&amp;":    UniConst = ChrW(" &amp; I21 &amp;")"</f>
        <v>Case RW55:    UniConst = ChrW(55)</v>
      </c>
    </row>
    <row r="22" spans="1:11">
      <c r="A22" t="s">
        <v>4344</v>
      </c>
      <c r="B22" t="str">
        <f t="shared" si="2"/>
        <v>0038 20E3 ; unqualified # 8⃣ E0.6 keycap: 8</v>
      </c>
      <c r="C22" t="str">
        <f t="shared" si="3"/>
        <v xml:space="preserve">0038 20E3 </v>
      </c>
      <c r="D22">
        <f t="shared" si="4"/>
        <v>10</v>
      </c>
      <c r="E22" t="str">
        <f t="shared" si="0"/>
        <v xml:space="preserve"> 8⃣ E0.6 keycap: 8</v>
      </c>
      <c r="F22" t="b">
        <f t="shared" si="5"/>
        <v>0</v>
      </c>
      <c r="G22" t="str">
        <f t="shared" si="1"/>
        <v>0038</v>
      </c>
      <c r="I22">
        <f>HEX2DEC(Table1[[#This Row],[utf8]])</f>
        <v>56</v>
      </c>
      <c r="J22" t="str">
        <f>_xlfn.UNICHAR(HEX2DEC(Table1[[#This Row],[utf8]]))</f>
        <v>8</v>
      </c>
      <c r="K22" s="3" t="str" cm="1">
        <f t="array" ref="K22">"Case "&amp;wRandomLetter()&amp;wRandomLetter()&amp;I22&amp;":    UniConst = ChrW(" &amp; I22 &amp;")"</f>
        <v>Case qo56:    UniConst = ChrW(56)</v>
      </c>
    </row>
    <row r="23" spans="1:11">
      <c r="A23" t="s">
        <v>4343</v>
      </c>
      <c r="B23" t="str">
        <f t="shared" si="2"/>
        <v>0038 FE0F 20E3 ; fully-qualified # 8️⃣ E0.6 keycap: 8</v>
      </c>
      <c r="C23" t="str">
        <f t="shared" si="3"/>
        <v xml:space="preserve">0038 FE0F 20E3 </v>
      </c>
      <c r="D23">
        <f t="shared" si="4"/>
        <v>15</v>
      </c>
      <c r="E23" t="str">
        <f t="shared" si="0"/>
        <v xml:space="preserve"> 8️⃣ E0.6 keycap: 8</v>
      </c>
      <c r="F23" t="b">
        <f t="shared" si="5"/>
        <v>0</v>
      </c>
      <c r="G23" t="str">
        <f t="shared" si="1"/>
        <v>0038</v>
      </c>
      <c r="I23">
        <f>HEX2DEC(Table1[[#This Row],[utf8]])</f>
        <v>56</v>
      </c>
      <c r="J23" t="str">
        <f>_xlfn.UNICHAR(HEX2DEC(Table1[[#This Row],[utf8]]))</f>
        <v>8</v>
      </c>
      <c r="K23" s="3" t="str" cm="1">
        <f t="array" ref="K23">"Case "&amp;wRandomLetter()&amp;wRandomLetter()&amp;I23&amp;":    UniConst = ChrW(" &amp; I23 &amp;")"</f>
        <v>Case Am56:    UniConst = ChrW(56)</v>
      </c>
    </row>
    <row r="24" spans="1:11">
      <c r="A24" t="s">
        <v>4346</v>
      </c>
      <c r="B24" t="str">
        <f t="shared" si="2"/>
        <v>0039 20E3 ; unqualified # 9⃣ E0.6 keycap: 9</v>
      </c>
      <c r="C24" t="str">
        <f t="shared" si="3"/>
        <v xml:space="preserve">0039 20E3 </v>
      </c>
      <c r="D24">
        <f t="shared" si="4"/>
        <v>10</v>
      </c>
      <c r="E24" t="str">
        <f t="shared" si="0"/>
        <v xml:space="preserve"> 9⃣ E0.6 keycap: 9</v>
      </c>
      <c r="F24" t="b">
        <f t="shared" si="5"/>
        <v>0</v>
      </c>
      <c r="G24" t="str">
        <f t="shared" si="1"/>
        <v>0039</v>
      </c>
      <c r="I24">
        <f>HEX2DEC(Table1[[#This Row],[utf8]])</f>
        <v>57</v>
      </c>
      <c r="J24" t="str">
        <f>_xlfn.UNICHAR(HEX2DEC(Table1[[#This Row],[utf8]]))</f>
        <v>9</v>
      </c>
      <c r="K24" s="3" t="str" cm="1">
        <f t="array" ref="K24">"Case "&amp;wRandomLetter()&amp;wRandomLetter()&amp;I24&amp;":    UniConst = ChrW(" &amp; I24 &amp;")"</f>
        <v>Case jG57:    UniConst = ChrW(57)</v>
      </c>
    </row>
    <row r="25" spans="1:11">
      <c r="A25" t="s">
        <v>4345</v>
      </c>
      <c r="B25" t="str">
        <f t="shared" si="2"/>
        <v>0039 FE0F 20E3 ; fully-qualified # 9️⃣ E0.6 keycap: 9</v>
      </c>
      <c r="C25" t="str">
        <f t="shared" si="3"/>
        <v xml:space="preserve">0039 FE0F 20E3 </v>
      </c>
      <c r="D25">
        <f t="shared" si="4"/>
        <v>15</v>
      </c>
      <c r="E25" t="str">
        <f t="shared" si="0"/>
        <v xml:space="preserve"> 9️⃣ E0.6 keycap: 9</v>
      </c>
      <c r="F25" t="b">
        <f t="shared" si="5"/>
        <v>0</v>
      </c>
      <c r="G25" t="str">
        <f t="shared" si="1"/>
        <v>0039</v>
      </c>
      <c r="I25">
        <f>HEX2DEC(Table1[[#This Row],[utf8]])</f>
        <v>57</v>
      </c>
      <c r="J25" t="str">
        <f>_xlfn.UNICHAR(HEX2DEC(Table1[[#This Row],[utf8]]))</f>
        <v>9</v>
      </c>
      <c r="K25" s="3" t="str" cm="1">
        <f t="array" ref="K25">"Case "&amp;wRandomLetter()&amp;wRandomLetter()&amp;I25&amp;":    UniConst = ChrW(" &amp; I25 &amp;")"</f>
        <v>Case kF57:    UniConst = ChrW(57)</v>
      </c>
    </row>
    <row r="26" spans="1:11">
      <c r="A26" t="s">
        <v>4317</v>
      </c>
      <c r="B26" t="str">
        <f t="shared" si="2"/>
        <v>00A9 ; unqualified # © E0.6 copyright</v>
      </c>
      <c r="C26" t="str">
        <f t="shared" si="3"/>
        <v xml:space="preserve">00A9 </v>
      </c>
      <c r="D26">
        <f t="shared" si="4"/>
        <v>5</v>
      </c>
      <c r="E26" t="str">
        <f t="shared" si="0"/>
        <v xml:space="preserve"> © E0.6 copyright</v>
      </c>
      <c r="F26" t="b">
        <f t="shared" si="5"/>
        <v>0</v>
      </c>
      <c r="G26" t="str">
        <f t="shared" si="1"/>
        <v>00A9</v>
      </c>
      <c r="I26">
        <f>HEX2DEC(Table1[[#This Row],[utf8]])</f>
        <v>169</v>
      </c>
      <c r="J26" t="str">
        <f>_xlfn.UNICHAR(HEX2DEC(Table1[[#This Row],[utf8]]))</f>
        <v>©</v>
      </c>
      <c r="K26" s="3" t="str" cm="1">
        <f t="array" ref="K26">"Case "&amp;wRandomLetter()&amp;wRandomLetter()&amp;I26&amp;":    UniConst = ChrW(" &amp; I26 &amp;")"</f>
        <v>Case WG169:    UniConst = ChrW(169)</v>
      </c>
    </row>
    <row r="27" spans="1:11">
      <c r="A27" t="s">
        <v>4316</v>
      </c>
      <c r="B27" t="str">
        <f t="shared" si="2"/>
        <v>00A9 FE0F ; fully-qualified # ©️ E0.6 copyright</v>
      </c>
      <c r="C27" t="str">
        <f t="shared" si="3"/>
        <v xml:space="preserve">00A9 FE0F </v>
      </c>
      <c r="D27">
        <f t="shared" si="4"/>
        <v>10</v>
      </c>
      <c r="E27" t="str">
        <f t="shared" si="0"/>
        <v xml:space="preserve"> ©️ E0.6 copyright</v>
      </c>
      <c r="F27" t="b">
        <f t="shared" si="5"/>
        <v>0</v>
      </c>
      <c r="G27" t="str">
        <f t="shared" si="1"/>
        <v>00A9</v>
      </c>
      <c r="I27">
        <f>HEX2DEC(Table1[[#This Row],[utf8]])</f>
        <v>169</v>
      </c>
      <c r="J27" t="str">
        <f>_xlfn.UNICHAR(HEX2DEC(Table1[[#This Row],[utf8]]))</f>
        <v>©</v>
      </c>
      <c r="K27" s="3" t="str" cm="1">
        <f t="array" ref="K27">"Case "&amp;wRandomLetter()&amp;wRandomLetter()&amp;I27&amp;":    UniConst = ChrW(" &amp; I27 &amp;")"</f>
        <v>Case EQ169:    UniConst = ChrW(169)</v>
      </c>
    </row>
    <row r="28" spans="1:11">
      <c r="A28" t="s">
        <v>4319</v>
      </c>
      <c r="B28" t="str">
        <f t="shared" si="2"/>
        <v>00AE ; unqualified # ® E0.6 registered</v>
      </c>
      <c r="C28" t="str">
        <f t="shared" si="3"/>
        <v xml:space="preserve">00AE </v>
      </c>
      <c r="D28">
        <f t="shared" si="4"/>
        <v>5</v>
      </c>
      <c r="E28" t="str">
        <f t="shared" si="0"/>
        <v xml:space="preserve"> ® E0.6 registered</v>
      </c>
      <c r="F28" t="b">
        <f t="shared" si="5"/>
        <v>0</v>
      </c>
      <c r="G28" t="str">
        <f t="shared" si="1"/>
        <v>00AE</v>
      </c>
      <c r="I28">
        <f>HEX2DEC(Table1[[#This Row],[utf8]])</f>
        <v>174</v>
      </c>
      <c r="J28" t="str">
        <f>_xlfn.UNICHAR(HEX2DEC(Table1[[#This Row],[utf8]]))</f>
        <v>®</v>
      </c>
      <c r="K28" s="3" t="str" cm="1">
        <f t="array" ref="K28">"Case "&amp;wRandomLetter()&amp;wRandomLetter()&amp;I28&amp;":    UniConst = ChrW(" &amp; I28 &amp;")"</f>
        <v>Case WI174:    UniConst = ChrW(174)</v>
      </c>
    </row>
    <row r="29" spans="1:11">
      <c r="A29" t="s">
        <v>4318</v>
      </c>
      <c r="B29" t="str">
        <f t="shared" si="2"/>
        <v>00AE FE0F ; fully-qualified # ®️ E0.6 registered</v>
      </c>
      <c r="C29" t="str">
        <f t="shared" si="3"/>
        <v xml:space="preserve">00AE FE0F </v>
      </c>
      <c r="D29">
        <f t="shared" si="4"/>
        <v>10</v>
      </c>
      <c r="E29" t="str">
        <f t="shared" si="0"/>
        <v xml:space="preserve"> ®️ E0.6 registered</v>
      </c>
      <c r="F29" t="b">
        <f t="shared" si="5"/>
        <v>0</v>
      </c>
      <c r="G29" t="str">
        <f t="shared" si="1"/>
        <v>00AE</v>
      </c>
      <c r="I29">
        <f>HEX2DEC(Table1[[#This Row],[utf8]])</f>
        <v>174</v>
      </c>
      <c r="J29" t="str">
        <f>_xlfn.UNICHAR(HEX2DEC(Table1[[#This Row],[utf8]]))</f>
        <v>®</v>
      </c>
      <c r="K29" s="3" t="str" cm="1">
        <f t="array" ref="K29">"Case "&amp;wRandomLetter()&amp;wRandomLetter()&amp;I29&amp;":    UniConst = ChrW(" &amp; I29 &amp;")"</f>
        <v>Case ij174:    UniConst = ChrW(174)</v>
      </c>
    </row>
    <row r="30" spans="1:11" hidden="1">
      <c r="A30" t="s">
        <v>3788</v>
      </c>
      <c r="B30" t="str">
        <f t="shared" si="2"/>
        <v>1F004 ; fully-qualified # 🀄 E0.6 mahjong red dragon</v>
      </c>
      <c r="C30" t="str">
        <f t="shared" si="3"/>
        <v xml:space="preserve">1F004 </v>
      </c>
      <c r="D30">
        <f t="shared" si="4"/>
        <v>6</v>
      </c>
      <c r="E30" t="str">
        <f t="shared" si="0"/>
        <v xml:space="preserve"> 🀄 E0.6 mahjong red dragon</v>
      </c>
      <c r="F30" t="b">
        <f t="shared" si="5"/>
        <v>1</v>
      </c>
      <c r="G30" t="str">
        <f t="shared" si="1"/>
        <v>1F004</v>
      </c>
      <c r="I30">
        <f>HEX2DEC(Table1[[#This Row],[utf8]])</f>
        <v>126980</v>
      </c>
      <c r="J30" t="str">
        <f>_xlfn.UNICHAR(HEX2DEC(Table1[[#This Row],[utf8]]))</f>
        <v>🀄</v>
      </c>
      <c r="K30" s="3" t="str" cm="1">
        <f t="array" ref="K30">"Case "&amp;wRandomLetter()&amp;wRandomLetter()&amp;I30&amp;":    UniConst = ChrW(" &amp; I30 &amp;")"</f>
        <v>Case WI126980:    UniConst = ChrW(126980)</v>
      </c>
    </row>
    <row r="31" spans="1:11" hidden="1">
      <c r="A31" t="s">
        <v>3787</v>
      </c>
      <c r="B31" t="str">
        <f t="shared" si="2"/>
        <v>1F0CF ; fully-qualified # 🃏 E0.6 joker</v>
      </c>
      <c r="C31" t="str">
        <f t="shared" si="3"/>
        <v xml:space="preserve">1F0CF </v>
      </c>
      <c r="D31">
        <f t="shared" si="4"/>
        <v>6</v>
      </c>
      <c r="E31" t="str">
        <f t="shared" si="0"/>
        <v xml:space="preserve"> 🃏 E0.6 joker</v>
      </c>
      <c r="F31" t="b">
        <f t="shared" si="5"/>
        <v>1</v>
      </c>
      <c r="G31" t="str">
        <f t="shared" si="1"/>
        <v>1F0CF</v>
      </c>
      <c r="I31">
        <f>HEX2DEC(Table1[[#This Row],[utf8]])</f>
        <v>127183</v>
      </c>
      <c r="J31" t="str">
        <f>_xlfn.UNICHAR(HEX2DEC(Table1[[#This Row],[utf8]]))</f>
        <v>🃏</v>
      </c>
      <c r="K31" s="3" t="str" cm="1">
        <f t="array" ref="K31">"Case "&amp;wRandomLetter()&amp;wRandomLetter()&amp;I31&amp;":    UniConst = ChrW(" &amp; I31 &amp;")"</f>
        <v>Case Xs127183:    UniConst = ChrW(127183)</v>
      </c>
    </row>
    <row r="32" spans="1:11" hidden="1">
      <c r="A32" t="s">
        <v>4355</v>
      </c>
      <c r="B32" t="str">
        <f t="shared" si="2"/>
        <v>1F170 ; unqualified # 🅰 E0.6 A button (blood type)</v>
      </c>
      <c r="C32" t="str">
        <f t="shared" si="3"/>
        <v xml:space="preserve">1F170 </v>
      </c>
      <c r="D32">
        <f t="shared" si="4"/>
        <v>6</v>
      </c>
      <c r="E32" t="str">
        <f t="shared" si="0"/>
        <v xml:space="preserve"> 🅰 E0.6 A button (blood type)</v>
      </c>
      <c r="F32" t="b">
        <f t="shared" si="5"/>
        <v>1</v>
      </c>
      <c r="G32" t="str">
        <f t="shared" si="1"/>
        <v>1F170</v>
      </c>
      <c r="I32">
        <f>HEX2DEC(Table1[[#This Row],[utf8]])</f>
        <v>127344</v>
      </c>
      <c r="J32" t="str">
        <f>_xlfn.UNICHAR(HEX2DEC(Table1[[#This Row],[utf8]]))</f>
        <v>🅰</v>
      </c>
      <c r="K32" s="3" t="str" cm="1">
        <f t="array" ref="K32">"Case "&amp;wRandomLetter()&amp;wRandomLetter()&amp;I32&amp;":    UniConst = ChrW(" &amp; I32 &amp;")"</f>
        <v>Case eI127344:    UniConst = ChrW(127344)</v>
      </c>
    </row>
    <row r="33" spans="1:11" hidden="1">
      <c r="A33" t="s">
        <v>4354</v>
      </c>
      <c r="B33" t="str">
        <f t="shared" si="2"/>
        <v>1F170 FE0F ; fully-qualified # 🅰️ E0.6 A button (blood type)</v>
      </c>
      <c r="C33" t="str">
        <f t="shared" si="3"/>
        <v xml:space="preserve">1F170 FE0F </v>
      </c>
      <c r="D33">
        <f t="shared" si="4"/>
        <v>11</v>
      </c>
      <c r="E33" t="str">
        <f t="shared" si="0"/>
        <v xml:space="preserve"> 🅰️ E0.6 A button (blood type)</v>
      </c>
      <c r="F33" t="b">
        <f t="shared" si="5"/>
        <v>1</v>
      </c>
      <c r="G33" t="str">
        <f t="shared" si="1"/>
        <v>1F170</v>
      </c>
      <c r="I33">
        <f>HEX2DEC(Table1[[#This Row],[utf8]])</f>
        <v>127344</v>
      </c>
      <c r="J33" t="str">
        <f>_xlfn.UNICHAR(HEX2DEC(Table1[[#This Row],[utf8]]))</f>
        <v>🅰</v>
      </c>
      <c r="K33" s="3" t="str" cm="1">
        <f t="array" ref="K33">"Case "&amp;wRandomLetter()&amp;wRandomLetter()&amp;I33&amp;":    UniConst = ChrW(" &amp; I33 &amp;")"</f>
        <v>Case eI127344:    UniConst = ChrW(127344)</v>
      </c>
    </row>
    <row r="34" spans="1:11" hidden="1">
      <c r="A34" t="s">
        <v>4358</v>
      </c>
      <c r="B34" t="str">
        <f t="shared" si="2"/>
        <v>1F171 ; unqualified # 🅱 E0.6 B button (blood type)</v>
      </c>
      <c r="C34" t="str">
        <f t="shared" si="3"/>
        <v xml:space="preserve">1F171 </v>
      </c>
      <c r="D34">
        <f t="shared" si="4"/>
        <v>6</v>
      </c>
      <c r="E34" t="str">
        <f t="shared" si="0"/>
        <v xml:space="preserve"> 🅱 E0.6 B button (blood type)</v>
      </c>
      <c r="F34" t="b">
        <f t="shared" si="5"/>
        <v>1</v>
      </c>
      <c r="G34" t="str">
        <f t="shared" si="1"/>
        <v>1F171</v>
      </c>
      <c r="I34">
        <f>HEX2DEC(Table1[[#This Row],[utf8]])</f>
        <v>127345</v>
      </c>
      <c r="J34" t="str">
        <f>_xlfn.UNICHAR(HEX2DEC(Table1[[#This Row],[utf8]]))</f>
        <v>🅱</v>
      </c>
      <c r="K34" s="3" t="str" cm="1">
        <f t="array" ref="K34">"Case "&amp;wRandomLetter()&amp;wRandomLetter()&amp;I34&amp;":    UniConst = ChrW(" &amp; I34 &amp;")"</f>
        <v>Case JP127345:    UniConst = ChrW(127345)</v>
      </c>
    </row>
    <row r="35" spans="1:11" hidden="1">
      <c r="A35" t="s">
        <v>4357</v>
      </c>
      <c r="B35" t="str">
        <f t="shared" si="2"/>
        <v>1F171 FE0F ; fully-qualified # 🅱️ E0.6 B button (blood type)</v>
      </c>
      <c r="C35" t="str">
        <f t="shared" si="3"/>
        <v xml:space="preserve">1F171 FE0F </v>
      </c>
      <c r="D35">
        <f t="shared" si="4"/>
        <v>11</v>
      </c>
      <c r="E35" t="str">
        <f t="shared" si="0"/>
        <v xml:space="preserve"> 🅱️ E0.6 B button (blood type)</v>
      </c>
      <c r="F35" t="b">
        <f t="shared" si="5"/>
        <v>1</v>
      </c>
      <c r="G35" t="str">
        <f t="shared" si="1"/>
        <v>1F171</v>
      </c>
      <c r="I35">
        <f>HEX2DEC(Table1[[#This Row],[utf8]])</f>
        <v>127345</v>
      </c>
      <c r="J35" t="str">
        <f>_xlfn.UNICHAR(HEX2DEC(Table1[[#This Row],[utf8]]))</f>
        <v>🅱</v>
      </c>
      <c r="K35" s="3" t="str" cm="1">
        <f t="array" ref="K35">"Case "&amp;wRandomLetter()&amp;wRandomLetter()&amp;I35&amp;":    UniConst = ChrW(" &amp; I35 &amp;")"</f>
        <v>Case gq127345:    UniConst = ChrW(127345)</v>
      </c>
    </row>
    <row r="36" spans="1:11" hidden="1">
      <c r="A36" t="s">
        <v>4370</v>
      </c>
      <c r="B36" t="str">
        <f t="shared" si="2"/>
        <v>1F17E ; unqualified # 🅾 E0.6 O button (blood type)</v>
      </c>
      <c r="C36" t="str">
        <f t="shared" si="3"/>
        <v xml:space="preserve">1F17E </v>
      </c>
      <c r="D36">
        <f t="shared" si="4"/>
        <v>6</v>
      </c>
      <c r="E36" t="str">
        <f t="shared" si="0"/>
        <v xml:space="preserve"> 🅾 E0.6 O button (blood type)</v>
      </c>
      <c r="F36" t="b">
        <f t="shared" si="5"/>
        <v>1</v>
      </c>
      <c r="G36" t="str">
        <f t="shared" si="1"/>
        <v>1F17E</v>
      </c>
      <c r="I36">
        <f>HEX2DEC(Table1[[#This Row],[utf8]])</f>
        <v>127358</v>
      </c>
      <c r="J36" t="str">
        <f>_xlfn.UNICHAR(HEX2DEC(Table1[[#This Row],[utf8]]))</f>
        <v>🅾</v>
      </c>
      <c r="K36" s="3" t="str" cm="1">
        <f t="array" ref="K36">"Case "&amp;wRandomLetter()&amp;wRandomLetter()&amp;I36&amp;":    UniConst = ChrW(" &amp; I36 &amp;")"</f>
        <v>Case yq127358:    UniConst = ChrW(127358)</v>
      </c>
    </row>
    <row r="37" spans="1:11" hidden="1">
      <c r="A37" t="s">
        <v>4369</v>
      </c>
      <c r="B37" t="str">
        <f t="shared" si="2"/>
        <v>1F17E FE0F ; fully-qualified # 🅾️ E0.6 O button (blood type)</v>
      </c>
      <c r="C37" t="str">
        <f t="shared" si="3"/>
        <v xml:space="preserve">1F17E FE0F </v>
      </c>
      <c r="D37">
        <f t="shared" si="4"/>
        <v>11</v>
      </c>
      <c r="E37" t="str">
        <f t="shared" si="0"/>
        <v xml:space="preserve"> 🅾️ E0.6 O button (blood type)</v>
      </c>
      <c r="F37" t="b">
        <f t="shared" si="5"/>
        <v>1</v>
      </c>
      <c r="G37" t="str">
        <f t="shared" si="1"/>
        <v>1F17E</v>
      </c>
      <c r="I37">
        <f>HEX2DEC(Table1[[#This Row],[utf8]])</f>
        <v>127358</v>
      </c>
      <c r="J37" t="str">
        <f>_xlfn.UNICHAR(HEX2DEC(Table1[[#This Row],[utf8]]))</f>
        <v>🅾</v>
      </c>
      <c r="K37" s="3" t="str" cm="1">
        <f t="array" ref="K37">"Case "&amp;wRandomLetter()&amp;wRandomLetter()&amp;I37&amp;":    UniConst = ChrW(" &amp; I37 &amp;")"</f>
        <v>Case DS127358:    UniConst = ChrW(127358)</v>
      </c>
    </row>
    <row r="38" spans="1:11" hidden="1">
      <c r="A38" t="s">
        <v>4373</v>
      </c>
      <c r="B38" t="str">
        <f t="shared" si="2"/>
        <v>1F17F ; unqualified # 🅿 E0.6 P button</v>
      </c>
      <c r="C38" t="str">
        <f t="shared" si="3"/>
        <v xml:space="preserve">1F17F </v>
      </c>
      <c r="D38">
        <f t="shared" si="4"/>
        <v>6</v>
      </c>
      <c r="E38" t="str">
        <f t="shared" si="0"/>
        <v xml:space="preserve"> 🅿 E0.6 P button</v>
      </c>
      <c r="F38" t="b">
        <f t="shared" si="5"/>
        <v>1</v>
      </c>
      <c r="G38" t="str">
        <f t="shared" si="1"/>
        <v>1F17F</v>
      </c>
      <c r="I38">
        <f>HEX2DEC(Table1[[#This Row],[utf8]])</f>
        <v>127359</v>
      </c>
      <c r="J38" t="str">
        <f>_xlfn.UNICHAR(HEX2DEC(Table1[[#This Row],[utf8]]))</f>
        <v>🅿</v>
      </c>
      <c r="K38" s="3" t="str" cm="1">
        <f t="array" ref="K38">"Case "&amp;wRandomLetter()&amp;wRandomLetter()&amp;I38&amp;":    UniConst = ChrW(" &amp; I38 &amp;")"</f>
        <v>Case IO127359:    UniConst = ChrW(127359)</v>
      </c>
    </row>
    <row r="39" spans="1:11" hidden="1">
      <c r="A39" t="s">
        <v>4372</v>
      </c>
      <c r="B39" t="str">
        <f t="shared" si="2"/>
        <v>1F17F FE0F ; fully-qualified # 🅿️ E0.6 P button</v>
      </c>
      <c r="C39" t="str">
        <f t="shared" si="3"/>
        <v xml:space="preserve">1F17F FE0F </v>
      </c>
      <c r="D39">
        <f t="shared" si="4"/>
        <v>11</v>
      </c>
      <c r="E39" t="str">
        <f t="shared" si="0"/>
        <v xml:space="preserve"> 🅿️ E0.6 P button</v>
      </c>
      <c r="F39" t="b">
        <f t="shared" si="5"/>
        <v>1</v>
      </c>
      <c r="G39" t="str">
        <f t="shared" si="1"/>
        <v>1F17F</v>
      </c>
      <c r="I39">
        <f>HEX2DEC(Table1[[#This Row],[utf8]])</f>
        <v>127359</v>
      </c>
      <c r="J39" t="str">
        <f>_xlfn.UNICHAR(HEX2DEC(Table1[[#This Row],[utf8]]))</f>
        <v>🅿</v>
      </c>
      <c r="K39" s="3" t="str" cm="1">
        <f t="array" ref="K39">"Case "&amp;wRandomLetter()&amp;wRandomLetter()&amp;I39&amp;":    UniConst = ChrW(" &amp; I39 &amp;")"</f>
        <v>Case kS127359:    UniConst = ChrW(127359)</v>
      </c>
    </row>
    <row r="40" spans="1:11" hidden="1">
      <c r="A40" t="s">
        <v>4356</v>
      </c>
      <c r="B40" t="str">
        <f t="shared" si="2"/>
        <v>1F18E ; fully-qualified # 🆎 E0.6 AB button (blood type)</v>
      </c>
      <c r="C40" t="str">
        <f t="shared" si="3"/>
        <v xml:space="preserve">1F18E </v>
      </c>
      <c r="D40">
        <f t="shared" si="4"/>
        <v>6</v>
      </c>
      <c r="E40" t="str">
        <f t="shared" si="0"/>
        <v xml:space="preserve"> 🆎 E0.6 AB button (blood type)</v>
      </c>
      <c r="F40" t="b">
        <f t="shared" si="5"/>
        <v>1</v>
      </c>
      <c r="G40" t="str">
        <f t="shared" si="1"/>
        <v>1F18E</v>
      </c>
      <c r="I40">
        <f>HEX2DEC(Table1[[#This Row],[utf8]])</f>
        <v>127374</v>
      </c>
      <c r="J40" t="str">
        <f>_xlfn.UNICHAR(HEX2DEC(Table1[[#This Row],[utf8]]))</f>
        <v>🆎</v>
      </c>
      <c r="K40" s="3" t="str" cm="1">
        <f t="array" ref="K40">"Case "&amp;wRandomLetter()&amp;wRandomLetter()&amp;I40&amp;":    UniConst = ChrW(" &amp; I40 &amp;")"</f>
        <v>Case my127374:    UniConst = ChrW(127374)</v>
      </c>
    </row>
    <row r="41" spans="1:11" hidden="1">
      <c r="A41" t="s">
        <v>4359</v>
      </c>
      <c r="B41" t="str">
        <f t="shared" si="2"/>
        <v>1F191 ; fully-qualified # 🆑 E0.6 CL button</v>
      </c>
      <c r="C41" t="str">
        <f t="shared" si="3"/>
        <v xml:space="preserve">1F191 </v>
      </c>
      <c r="D41">
        <f t="shared" si="4"/>
        <v>6</v>
      </c>
      <c r="E41" t="str">
        <f t="shared" si="0"/>
        <v xml:space="preserve"> 🆑 E0.6 CL button</v>
      </c>
      <c r="F41" t="b">
        <f t="shared" si="5"/>
        <v>1</v>
      </c>
      <c r="G41" t="str">
        <f t="shared" si="1"/>
        <v>1F191</v>
      </c>
      <c r="I41">
        <f>HEX2DEC(Table1[[#This Row],[utf8]])</f>
        <v>127377</v>
      </c>
      <c r="J41" t="str">
        <f>_xlfn.UNICHAR(HEX2DEC(Table1[[#This Row],[utf8]]))</f>
        <v>🆑</v>
      </c>
      <c r="K41" s="3" t="str" cm="1">
        <f t="array" ref="K41">"Case "&amp;wRandomLetter()&amp;wRandomLetter()&amp;I41&amp;":    UniConst = ChrW(" &amp; I41 &amp;")"</f>
        <v>Case EQ127377:    UniConst = ChrW(127377)</v>
      </c>
    </row>
    <row r="42" spans="1:11" hidden="1">
      <c r="A42" t="s">
        <v>4360</v>
      </c>
      <c r="B42" t="str">
        <f t="shared" si="2"/>
        <v>1F192 ; fully-qualified # 🆒 E0.6 COOL button</v>
      </c>
      <c r="C42" t="str">
        <f t="shared" si="3"/>
        <v xml:space="preserve">1F192 </v>
      </c>
      <c r="D42">
        <f t="shared" si="4"/>
        <v>6</v>
      </c>
      <c r="E42" t="str">
        <f t="shared" si="0"/>
        <v xml:space="preserve"> 🆒 E0.6 COOL button</v>
      </c>
      <c r="F42" t="b">
        <f t="shared" si="5"/>
        <v>1</v>
      </c>
      <c r="G42" t="str">
        <f t="shared" si="1"/>
        <v>1F192</v>
      </c>
      <c r="I42">
        <f>HEX2DEC(Table1[[#This Row],[utf8]])</f>
        <v>127378</v>
      </c>
      <c r="J42" t="str">
        <f>_xlfn.UNICHAR(HEX2DEC(Table1[[#This Row],[utf8]]))</f>
        <v>🆒</v>
      </c>
      <c r="K42" s="3" t="str" cm="1">
        <f t="array" ref="K42">"Case "&amp;wRandomLetter()&amp;wRandomLetter()&amp;I42&amp;":    UniConst = ChrW(" &amp; I42 &amp;")"</f>
        <v>Case ne127378:    UniConst = ChrW(127378)</v>
      </c>
    </row>
    <row r="43" spans="1:11" hidden="1">
      <c r="A43" t="s">
        <v>4361</v>
      </c>
      <c r="B43" t="str">
        <f t="shared" si="2"/>
        <v>1F193 ; fully-qualified # 🆓 E0.6 FREE button</v>
      </c>
      <c r="C43" t="str">
        <f t="shared" si="3"/>
        <v xml:space="preserve">1F193 </v>
      </c>
      <c r="D43">
        <f t="shared" si="4"/>
        <v>6</v>
      </c>
      <c r="E43" t="str">
        <f t="shared" si="0"/>
        <v xml:space="preserve"> 🆓 E0.6 FREE button</v>
      </c>
      <c r="F43" t="b">
        <f t="shared" si="5"/>
        <v>1</v>
      </c>
      <c r="G43" t="str">
        <f t="shared" si="1"/>
        <v>1F193</v>
      </c>
      <c r="I43">
        <f>HEX2DEC(Table1[[#This Row],[utf8]])</f>
        <v>127379</v>
      </c>
      <c r="J43" t="str">
        <f>_xlfn.UNICHAR(HEX2DEC(Table1[[#This Row],[utf8]]))</f>
        <v>🆓</v>
      </c>
      <c r="K43" s="3" t="str" cm="1">
        <f t="array" ref="K43">"Case "&amp;wRandomLetter()&amp;wRandomLetter()&amp;I43&amp;":    UniConst = ChrW(" &amp; I43 &amp;")"</f>
        <v>Case Ak127379:    UniConst = ChrW(127379)</v>
      </c>
    </row>
    <row r="44" spans="1:11" hidden="1">
      <c r="A44" t="s">
        <v>4364</v>
      </c>
      <c r="B44" t="str">
        <f t="shared" si="2"/>
        <v>1F194 ; fully-qualified # 🆔 E0.6 ID button</v>
      </c>
      <c r="C44" t="str">
        <f t="shared" si="3"/>
        <v xml:space="preserve">1F194 </v>
      </c>
      <c r="D44">
        <f t="shared" si="4"/>
        <v>6</v>
      </c>
      <c r="E44" t="str">
        <f t="shared" si="0"/>
        <v xml:space="preserve"> 🆔 E0.6 ID button</v>
      </c>
      <c r="F44" t="b">
        <f t="shared" si="5"/>
        <v>1</v>
      </c>
      <c r="G44" t="str">
        <f t="shared" si="1"/>
        <v>1F194</v>
      </c>
      <c r="I44">
        <f>HEX2DEC(Table1[[#This Row],[utf8]])</f>
        <v>127380</v>
      </c>
      <c r="J44" t="str">
        <f>_xlfn.UNICHAR(HEX2DEC(Table1[[#This Row],[utf8]]))</f>
        <v>🆔</v>
      </c>
      <c r="K44" s="3" t="str" cm="1">
        <f t="array" ref="K44">"Case "&amp;wRandomLetter()&amp;wRandomLetter()&amp;I44&amp;":    UniConst = ChrW(" &amp; I44 &amp;")"</f>
        <v>Case UH127380:    UniConst = ChrW(127380)</v>
      </c>
    </row>
    <row r="45" spans="1:11" hidden="1">
      <c r="A45" t="s">
        <v>4367</v>
      </c>
      <c r="B45" t="str">
        <f t="shared" si="2"/>
        <v>1F195 ; fully-qualified # 🆕 E0.6 NEW button</v>
      </c>
      <c r="C45" t="str">
        <f t="shared" si="3"/>
        <v xml:space="preserve">1F195 </v>
      </c>
      <c r="D45">
        <f t="shared" si="4"/>
        <v>6</v>
      </c>
      <c r="E45" t="str">
        <f t="shared" si="0"/>
        <v xml:space="preserve"> 🆕 E0.6 NEW button</v>
      </c>
      <c r="F45" t="b">
        <f t="shared" si="5"/>
        <v>1</v>
      </c>
      <c r="G45" t="str">
        <f t="shared" si="1"/>
        <v>1F195</v>
      </c>
      <c r="I45">
        <f>HEX2DEC(Table1[[#This Row],[utf8]])</f>
        <v>127381</v>
      </c>
      <c r="J45" t="str">
        <f>_xlfn.UNICHAR(HEX2DEC(Table1[[#This Row],[utf8]]))</f>
        <v>🆕</v>
      </c>
      <c r="K45" s="3" t="str" cm="1">
        <f t="array" ref="K45">"Case "&amp;wRandomLetter()&amp;wRandomLetter()&amp;I45&amp;":    UniConst = ChrW(" &amp; I45 &amp;")"</f>
        <v>Case bC127381:    UniConst = ChrW(127381)</v>
      </c>
    </row>
    <row r="46" spans="1:11" hidden="1">
      <c r="A46" t="s">
        <v>4368</v>
      </c>
      <c r="B46" t="str">
        <f t="shared" si="2"/>
        <v>1F196 ; fully-qualified # 🆖 E0.6 NG button</v>
      </c>
      <c r="C46" t="str">
        <f t="shared" si="3"/>
        <v xml:space="preserve">1F196 </v>
      </c>
      <c r="D46">
        <f t="shared" si="4"/>
        <v>6</v>
      </c>
      <c r="E46" t="str">
        <f t="shared" si="0"/>
        <v xml:space="preserve"> 🆖 E0.6 NG button</v>
      </c>
      <c r="F46" t="b">
        <f t="shared" si="5"/>
        <v>1</v>
      </c>
      <c r="G46" t="str">
        <f t="shared" si="1"/>
        <v>1F196</v>
      </c>
      <c r="I46">
        <f>HEX2DEC(Table1[[#This Row],[utf8]])</f>
        <v>127382</v>
      </c>
      <c r="J46" t="str">
        <f>_xlfn.UNICHAR(HEX2DEC(Table1[[#This Row],[utf8]]))</f>
        <v>🆖</v>
      </c>
      <c r="K46" s="3" t="str" cm="1">
        <f t="array" ref="K46">"Case "&amp;wRandomLetter()&amp;wRandomLetter()&amp;I46&amp;":    UniConst = ChrW(" &amp; I46 &amp;")"</f>
        <v>Case DG127382:    UniConst = ChrW(127382)</v>
      </c>
    </row>
    <row r="47" spans="1:11" hidden="1">
      <c r="A47" t="s">
        <v>4371</v>
      </c>
      <c r="B47" t="str">
        <f t="shared" si="2"/>
        <v>1F197 ; fully-qualified # 🆗 E0.6 OK button</v>
      </c>
      <c r="C47" t="str">
        <f t="shared" si="3"/>
        <v xml:space="preserve">1F197 </v>
      </c>
      <c r="D47">
        <f t="shared" si="4"/>
        <v>6</v>
      </c>
      <c r="E47" t="str">
        <f t="shared" si="0"/>
        <v xml:space="preserve"> 🆗 E0.6 OK button</v>
      </c>
      <c r="F47" t="b">
        <f t="shared" si="5"/>
        <v>1</v>
      </c>
      <c r="G47" t="str">
        <f t="shared" si="1"/>
        <v>1F197</v>
      </c>
      <c r="I47">
        <f>HEX2DEC(Table1[[#This Row],[utf8]])</f>
        <v>127383</v>
      </c>
      <c r="J47" t="str">
        <f>_xlfn.UNICHAR(HEX2DEC(Table1[[#This Row],[utf8]]))</f>
        <v>🆗</v>
      </c>
      <c r="K47" s="3" t="str" cm="1">
        <f t="array" ref="K47">"Case "&amp;wRandomLetter()&amp;wRandomLetter()&amp;I47&amp;":    UniConst = ChrW(" &amp; I47 &amp;")"</f>
        <v>Case sK127383:    UniConst = ChrW(127383)</v>
      </c>
    </row>
    <row r="48" spans="1:11" hidden="1">
      <c r="A48" t="s">
        <v>4374</v>
      </c>
      <c r="B48" t="str">
        <f t="shared" si="2"/>
        <v>1F198 ; fully-qualified # 🆘 E0.6 SOS button</v>
      </c>
      <c r="C48" t="str">
        <f t="shared" si="3"/>
        <v xml:space="preserve">1F198 </v>
      </c>
      <c r="D48">
        <f t="shared" si="4"/>
        <v>6</v>
      </c>
      <c r="E48" t="str">
        <f t="shared" si="0"/>
        <v xml:space="preserve"> 🆘 E0.6 SOS button</v>
      </c>
      <c r="F48" t="b">
        <f t="shared" si="5"/>
        <v>1</v>
      </c>
      <c r="G48" t="str">
        <f t="shared" si="1"/>
        <v>1F198</v>
      </c>
      <c r="I48">
        <f>HEX2DEC(Table1[[#This Row],[utf8]])</f>
        <v>127384</v>
      </c>
      <c r="J48" t="str">
        <f>_xlfn.UNICHAR(HEX2DEC(Table1[[#This Row],[utf8]]))</f>
        <v>🆘</v>
      </c>
      <c r="K48" s="3" t="str" cm="1">
        <f t="array" ref="K48">"Case "&amp;wRandomLetter()&amp;wRandomLetter()&amp;I48&amp;":    UniConst = ChrW(" &amp; I48 &amp;")"</f>
        <v>Case fb127384:    UniConst = ChrW(127384)</v>
      </c>
    </row>
    <row r="49" spans="1:11" hidden="1">
      <c r="A49" t="s">
        <v>4375</v>
      </c>
      <c r="B49" t="str">
        <f t="shared" si="2"/>
        <v>1F199 ; fully-qualified # 🆙 E0.6 UP! button</v>
      </c>
      <c r="C49" t="str">
        <f t="shared" si="3"/>
        <v xml:space="preserve">1F199 </v>
      </c>
      <c r="D49">
        <f t="shared" si="4"/>
        <v>6</v>
      </c>
      <c r="E49" t="str">
        <f t="shared" si="0"/>
        <v xml:space="preserve"> 🆙 E0.6 UP! button</v>
      </c>
      <c r="F49" t="b">
        <f t="shared" si="5"/>
        <v>1</v>
      </c>
      <c r="G49" t="str">
        <f t="shared" si="1"/>
        <v>1F199</v>
      </c>
      <c r="I49">
        <f>HEX2DEC(Table1[[#This Row],[utf8]])</f>
        <v>127385</v>
      </c>
      <c r="J49" t="str">
        <f>_xlfn.UNICHAR(HEX2DEC(Table1[[#This Row],[utf8]]))</f>
        <v>🆙</v>
      </c>
      <c r="K49" s="3" t="str" cm="1">
        <f t="array" ref="K49">"Case "&amp;wRandomLetter()&amp;wRandomLetter()&amp;I49&amp;":    UniConst = ChrW(" &amp; I49 &amp;")"</f>
        <v>Case ts127385:    UniConst = ChrW(127385)</v>
      </c>
    </row>
    <row r="50" spans="1:11" hidden="1">
      <c r="A50" t="s">
        <v>4376</v>
      </c>
      <c r="B50" t="str">
        <f t="shared" si="2"/>
        <v>1F19A ; fully-qualified # 🆚 E0.6 VS button</v>
      </c>
      <c r="C50" t="str">
        <f t="shared" si="3"/>
        <v xml:space="preserve">1F19A </v>
      </c>
      <c r="D50">
        <f t="shared" si="4"/>
        <v>6</v>
      </c>
      <c r="E50" t="str">
        <f t="shared" si="0"/>
        <v xml:space="preserve"> 🆚 E0.6 VS button</v>
      </c>
      <c r="F50" t="b">
        <f t="shared" si="5"/>
        <v>1</v>
      </c>
      <c r="G50" t="str">
        <f t="shared" si="1"/>
        <v>1F19A</v>
      </c>
      <c r="I50">
        <f>HEX2DEC(Table1[[#This Row],[utf8]])</f>
        <v>127386</v>
      </c>
      <c r="J50" t="str">
        <f>_xlfn.UNICHAR(HEX2DEC(Table1[[#This Row],[utf8]]))</f>
        <v>🆚</v>
      </c>
      <c r="K50" s="3" t="str" cm="1">
        <f t="array" ref="K50">"Case "&amp;wRandomLetter()&amp;wRandomLetter()&amp;I50&amp;":    UniConst = ChrW(" &amp; I50 &amp;")"</f>
        <v>Case IO127386:    UniConst = ChrW(127386)</v>
      </c>
    </row>
    <row r="51" spans="1:11" hidden="1">
      <c r="A51" t="s">
        <v>4377</v>
      </c>
      <c r="B51" t="str">
        <f t="shared" si="2"/>
        <v>1F201 ; fully-qualified # 🈁 E0.6 Japanese “here” button</v>
      </c>
      <c r="C51" t="str">
        <f t="shared" si="3"/>
        <v xml:space="preserve">1F201 </v>
      </c>
      <c r="D51">
        <f t="shared" si="4"/>
        <v>6</v>
      </c>
      <c r="E51" t="str">
        <f t="shared" si="0"/>
        <v xml:space="preserve"> 🈁 E0.6 Japanese “here” button</v>
      </c>
      <c r="F51" t="b">
        <f t="shared" si="5"/>
        <v>1</v>
      </c>
      <c r="G51" t="str">
        <f t="shared" si="1"/>
        <v>1F201</v>
      </c>
      <c r="I51">
        <f>HEX2DEC(Table1[[#This Row],[utf8]])</f>
        <v>127489</v>
      </c>
      <c r="J51" t="str">
        <f>_xlfn.UNICHAR(HEX2DEC(Table1[[#This Row],[utf8]]))</f>
        <v>🈁</v>
      </c>
      <c r="K51" s="3" t="str" cm="1">
        <f t="array" ref="K51">"Case "&amp;wRandomLetter()&amp;wRandomLetter()&amp;I51&amp;":    UniConst = ChrW(" &amp; I51 &amp;")"</f>
        <v>Case GB127489:    UniConst = ChrW(127489)</v>
      </c>
    </row>
    <row r="52" spans="1:11" hidden="1">
      <c r="A52" t="s">
        <v>4379</v>
      </c>
      <c r="B52" t="str">
        <f t="shared" si="2"/>
        <v>1F202 ; unqualified # 🈂 E0.6 Japanese “service charge” button</v>
      </c>
      <c r="C52" t="str">
        <f t="shared" si="3"/>
        <v xml:space="preserve">1F202 </v>
      </c>
      <c r="D52">
        <f t="shared" si="4"/>
        <v>6</v>
      </c>
      <c r="E52" t="str">
        <f t="shared" si="0"/>
        <v xml:space="preserve"> 🈂 E0.6 Japanese “service charge” button</v>
      </c>
      <c r="F52" t="b">
        <f t="shared" si="5"/>
        <v>1</v>
      </c>
      <c r="G52" t="str">
        <f t="shared" si="1"/>
        <v>1F202</v>
      </c>
      <c r="I52">
        <f>HEX2DEC(Table1[[#This Row],[utf8]])</f>
        <v>127490</v>
      </c>
      <c r="J52" t="str">
        <f>_xlfn.UNICHAR(HEX2DEC(Table1[[#This Row],[utf8]]))</f>
        <v>🈂</v>
      </c>
      <c r="K52" s="3" t="str" cm="1">
        <f t="array" ref="K52">"Case "&amp;wRandomLetter()&amp;wRandomLetter()&amp;I52&amp;":    UniConst = ChrW(" &amp; I52 &amp;")"</f>
        <v>Case to127490:    UniConst = ChrW(127490)</v>
      </c>
    </row>
    <row r="53" spans="1:11" hidden="1">
      <c r="A53" t="s">
        <v>4378</v>
      </c>
      <c r="B53" t="str">
        <f t="shared" si="2"/>
        <v>1F202 FE0F ; fully-qualified # 🈂️ E0.6 Japanese “service charge” button</v>
      </c>
      <c r="C53" t="str">
        <f t="shared" si="3"/>
        <v xml:space="preserve">1F202 FE0F </v>
      </c>
      <c r="D53">
        <f t="shared" si="4"/>
        <v>11</v>
      </c>
      <c r="E53" t="str">
        <f t="shared" si="0"/>
        <v xml:space="preserve"> 🈂️ E0.6 Japanese “service charge” button</v>
      </c>
      <c r="F53" t="b">
        <f t="shared" si="5"/>
        <v>1</v>
      </c>
      <c r="G53" t="str">
        <f t="shared" si="1"/>
        <v>1F202</v>
      </c>
      <c r="I53">
        <f>HEX2DEC(Table1[[#This Row],[utf8]])</f>
        <v>127490</v>
      </c>
      <c r="J53" t="str">
        <f>_xlfn.UNICHAR(HEX2DEC(Table1[[#This Row],[utf8]]))</f>
        <v>🈂</v>
      </c>
      <c r="K53" s="3" t="str" cm="1">
        <f t="array" ref="K53">"Case "&amp;wRandomLetter()&amp;wRandomLetter()&amp;I53&amp;":    UniConst = ChrW(" &amp; I53 &amp;")"</f>
        <v>Case hy127490:    UniConst = ChrW(127490)</v>
      </c>
    </row>
    <row r="54" spans="1:11" hidden="1">
      <c r="A54" t="s">
        <v>4386</v>
      </c>
      <c r="B54" t="str">
        <f t="shared" si="2"/>
        <v>1F21A ; fully-qualified # 🈚 E0.6 Japanese “free of charge” button</v>
      </c>
      <c r="C54" t="str">
        <f t="shared" si="3"/>
        <v xml:space="preserve">1F21A </v>
      </c>
      <c r="D54">
        <f t="shared" si="4"/>
        <v>6</v>
      </c>
      <c r="E54" t="str">
        <f t="shared" si="0"/>
        <v xml:space="preserve"> 🈚 E0.6 Japanese “free of charge” button</v>
      </c>
      <c r="F54" t="b">
        <f t="shared" si="5"/>
        <v>1</v>
      </c>
      <c r="G54" t="str">
        <f t="shared" si="1"/>
        <v>1F21A</v>
      </c>
      <c r="I54">
        <f>HEX2DEC(Table1[[#This Row],[utf8]])</f>
        <v>127514</v>
      </c>
      <c r="J54" t="str">
        <f>_xlfn.UNICHAR(HEX2DEC(Table1[[#This Row],[utf8]]))</f>
        <v>🈚</v>
      </c>
      <c r="K54" s="3" t="str" cm="1">
        <f t="array" ref="K54">"Case "&amp;wRandomLetter()&amp;wRandomLetter()&amp;I54&amp;":    UniConst = ChrW(" &amp; I54 &amp;")"</f>
        <v>Case Mu127514:    UniConst = ChrW(127514)</v>
      </c>
    </row>
    <row r="55" spans="1:11" hidden="1">
      <c r="A55" t="s">
        <v>4383</v>
      </c>
      <c r="B55" t="str">
        <f t="shared" si="2"/>
        <v>1F22F ; fully-qualified # 🈯 E0.6 Japanese “reserved” button</v>
      </c>
      <c r="C55" t="str">
        <f t="shared" si="3"/>
        <v xml:space="preserve">1F22F </v>
      </c>
      <c r="D55">
        <f t="shared" si="4"/>
        <v>6</v>
      </c>
      <c r="E55" t="str">
        <f t="shared" si="0"/>
        <v xml:space="preserve"> 🈯 E0.6 Japanese “reserved” button</v>
      </c>
      <c r="F55" t="b">
        <f t="shared" si="5"/>
        <v>1</v>
      </c>
      <c r="G55" t="str">
        <f t="shared" si="1"/>
        <v>1F22F</v>
      </c>
      <c r="I55">
        <f>HEX2DEC(Table1[[#This Row],[utf8]])</f>
        <v>127535</v>
      </c>
      <c r="J55" t="str">
        <f>_xlfn.UNICHAR(HEX2DEC(Table1[[#This Row],[utf8]]))</f>
        <v>🈯</v>
      </c>
      <c r="K55" s="3" t="str" cm="1">
        <f t="array" ref="K55">"Case "&amp;wRandomLetter()&amp;wRandomLetter()&amp;I55&amp;":    UniConst = ChrW(" &amp; I55 &amp;")"</f>
        <v>Case yr127535:    UniConst = ChrW(127535)</v>
      </c>
    </row>
    <row r="56" spans="1:11" hidden="1">
      <c r="A56" t="s">
        <v>4387</v>
      </c>
      <c r="B56" t="str">
        <f t="shared" si="2"/>
        <v>1F232 ; fully-qualified # 🈲 E0.6 Japanese “prohibited” button</v>
      </c>
      <c r="C56" t="str">
        <f t="shared" si="3"/>
        <v xml:space="preserve">1F232 </v>
      </c>
      <c r="D56">
        <f t="shared" si="4"/>
        <v>6</v>
      </c>
      <c r="E56" t="str">
        <f t="shared" si="0"/>
        <v xml:space="preserve"> 🈲 E0.6 Japanese “prohibited” button</v>
      </c>
      <c r="F56" t="b">
        <f t="shared" si="5"/>
        <v>1</v>
      </c>
      <c r="G56" t="str">
        <f t="shared" si="1"/>
        <v>1F232</v>
      </c>
      <c r="I56">
        <f>HEX2DEC(Table1[[#This Row],[utf8]])</f>
        <v>127538</v>
      </c>
      <c r="J56" t="str">
        <f>_xlfn.UNICHAR(HEX2DEC(Table1[[#This Row],[utf8]]))</f>
        <v>🈲</v>
      </c>
      <c r="K56" s="3" t="str" cm="1">
        <f t="array" ref="K56">"Case "&amp;wRandomLetter()&amp;wRandomLetter()&amp;I56&amp;":    UniConst = ChrW(" &amp; I56 &amp;")"</f>
        <v>Case qN127538:    UniConst = ChrW(127538)</v>
      </c>
    </row>
    <row r="57" spans="1:11" hidden="1">
      <c r="A57" t="s">
        <v>4391</v>
      </c>
      <c r="B57" t="str">
        <f t="shared" si="2"/>
        <v>1F233 ; fully-qualified # 🈳 E0.6 Japanese “vacancy” button</v>
      </c>
      <c r="C57" t="str">
        <f t="shared" si="3"/>
        <v xml:space="preserve">1F233 </v>
      </c>
      <c r="D57">
        <f t="shared" si="4"/>
        <v>6</v>
      </c>
      <c r="E57" t="str">
        <f t="shared" si="0"/>
        <v xml:space="preserve"> 🈳 E0.6 Japanese “vacancy” button</v>
      </c>
      <c r="F57" t="b">
        <f t="shared" si="5"/>
        <v>1</v>
      </c>
      <c r="G57" t="str">
        <f t="shared" si="1"/>
        <v>1F233</v>
      </c>
      <c r="I57">
        <f>HEX2DEC(Table1[[#This Row],[utf8]])</f>
        <v>127539</v>
      </c>
      <c r="J57" t="str">
        <f>_xlfn.UNICHAR(HEX2DEC(Table1[[#This Row],[utf8]]))</f>
        <v>🈳</v>
      </c>
      <c r="K57" s="3" t="str" cm="1">
        <f t="array" ref="K57">"Case "&amp;wRandomLetter()&amp;wRandomLetter()&amp;I57&amp;":    UniConst = ChrW(" &amp; I57 &amp;")"</f>
        <v>Case Pl127539:    UniConst = ChrW(127539)</v>
      </c>
    </row>
    <row r="58" spans="1:11" hidden="1">
      <c r="A58" t="s">
        <v>4390</v>
      </c>
      <c r="B58" t="str">
        <f t="shared" si="2"/>
        <v>1F234 ; fully-qualified # 🈴 E0.6 Japanese “passing grade” button</v>
      </c>
      <c r="C58" t="str">
        <f t="shared" si="3"/>
        <v xml:space="preserve">1F234 </v>
      </c>
      <c r="D58">
        <f t="shared" si="4"/>
        <v>6</v>
      </c>
      <c r="E58" t="str">
        <f t="shared" si="0"/>
        <v xml:space="preserve"> 🈴 E0.6 Japanese “passing grade” button</v>
      </c>
      <c r="F58" t="b">
        <f t="shared" si="5"/>
        <v>1</v>
      </c>
      <c r="G58" t="str">
        <f t="shared" si="1"/>
        <v>1F234</v>
      </c>
      <c r="I58">
        <f>HEX2DEC(Table1[[#This Row],[utf8]])</f>
        <v>127540</v>
      </c>
      <c r="J58" t="str">
        <f>_xlfn.UNICHAR(HEX2DEC(Table1[[#This Row],[utf8]]))</f>
        <v>🈴</v>
      </c>
      <c r="K58" s="3" t="str" cm="1">
        <f t="array" ref="K58">"Case "&amp;wRandomLetter()&amp;wRandomLetter()&amp;I58&amp;":    UniConst = ChrW(" &amp; I58 &amp;")"</f>
        <v>Case JQ127540:    UniConst = ChrW(127540)</v>
      </c>
    </row>
    <row r="59" spans="1:11" hidden="1">
      <c r="A59" t="s">
        <v>4397</v>
      </c>
      <c r="B59" t="str">
        <f t="shared" si="2"/>
        <v>1F235 ; fully-qualified # 🈵 E0.6 Japanese “no vacancy” button</v>
      </c>
      <c r="C59" t="str">
        <f t="shared" si="3"/>
        <v xml:space="preserve">1F235 </v>
      </c>
      <c r="D59">
        <f t="shared" si="4"/>
        <v>6</v>
      </c>
      <c r="E59" t="str">
        <f t="shared" si="0"/>
        <v xml:space="preserve"> 🈵 E0.6 Japanese “no vacancy” button</v>
      </c>
      <c r="F59" t="b">
        <f t="shared" si="5"/>
        <v>1</v>
      </c>
      <c r="G59" t="str">
        <f t="shared" si="1"/>
        <v>1F235</v>
      </c>
      <c r="I59">
        <f>HEX2DEC(Table1[[#This Row],[utf8]])</f>
        <v>127541</v>
      </c>
      <c r="J59" t="str">
        <f>_xlfn.UNICHAR(HEX2DEC(Table1[[#This Row],[utf8]]))</f>
        <v>🈵</v>
      </c>
      <c r="K59" s="3" t="str" cm="1">
        <f t="array" ref="K59">"Case "&amp;wRandomLetter()&amp;wRandomLetter()&amp;I59&amp;":    UniConst = ChrW(" &amp; I59 &amp;")"</f>
        <v>Case Ir127541:    UniConst = ChrW(127541)</v>
      </c>
    </row>
    <row r="60" spans="1:11" hidden="1">
      <c r="A60" t="s">
        <v>4382</v>
      </c>
      <c r="B60" t="str">
        <f t="shared" si="2"/>
        <v>1F236 ; fully-qualified # 🈶 E0.6 Japanese “not free of charge” button</v>
      </c>
      <c r="C60" t="str">
        <f t="shared" si="3"/>
        <v xml:space="preserve">1F236 </v>
      </c>
      <c r="D60">
        <f t="shared" si="4"/>
        <v>6</v>
      </c>
      <c r="E60" t="str">
        <f t="shared" si="0"/>
        <v xml:space="preserve"> 🈶 E0.6 Japanese “not free of charge” button</v>
      </c>
      <c r="F60" t="b">
        <f t="shared" si="5"/>
        <v>1</v>
      </c>
      <c r="G60" t="str">
        <f t="shared" si="1"/>
        <v>1F236</v>
      </c>
      <c r="I60">
        <f>HEX2DEC(Table1[[#This Row],[utf8]])</f>
        <v>127542</v>
      </c>
      <c r="J60" t="str">
        <f>_xlfn.UNICHAR(HEX2DEC(Table1[[#This Row],[utf8]]))</f>
        <v>🈶</v>
      </c>
      <c r="K60" s="3" t="str" cm="1">
        <f t="array" ref="K60">"Case "&amp;wRandomLetter()&amp;wRandomLetter()&amp;I60&amp;":    UniConst = ChrW(" &amp; I60 &amp;")"</f>
        <v>Case rM127542:    UniConst = ChrW(127542)</v>
      </c>
    </row>
    <row r="61" spans="1:11" hidden="1">
      <c r="A61" t="s">
        <v>4381</v>
      </c>
      <c r="B61" t="str">
        <f t="shared" si="2"/>
        <v>1F237 ; unqualified # 🈷 E0.6 Japanese “monthly amount” button</v>
      </c>
      <c r="C61" t="str">
        <f t="shared" si="3"/>
        <v xml:space="preserve">1F237 </v>
      </c>
      <c r="D61">
        <f t="shared" si="4"/>
        <v>6</v>
      </c>
      <c r="E61" t="str">
        <f t="shared" si="0"/>
        <v xml:space="preserve"> 🈷 E0.6 Japanese “monthly amount” button</v>
      </c>
      <c r="F61" t="b">
        <f t="shared" si="5"/>
        <v>1</v>
      </c>
      <c r="G61" t="str">
        <f t="shared" si="1"/>
        <v>1F237</v>
      </c>
      <c r="I61">
        <f>HEX2DEC(Table1[[#This Row],[utf8]])</f>
        <v>127543</v>
      </c>
      <c r="J61" t="str">
        <f>_xlfn.UNICHAR(HEX2DEC(Table1[[#This Row],[utf8]]))</f>
        <v>🈷</v>
      </c>
      <c r="K61" s="3" t="str" cm="1">
        <f t="array" ref="K61">"Case "&amp;wRandomLetter()&amp;wRandomLetter()&amp;I61&amp;":    UniConst = ChrW(" &amp; I61 &amp;")"</f>
        <v>Case YC127543:    UniConst = ChrW(127543)</v>
      </c>
    </row>
    <row r="62" spans="1:11" hidden="1">
      <c r="A62" t="s">
        <v>4380</v>
      </c>
      <c r="B62" t="str">
        <f t="shared" si="2"/>
        <v>1F237 FE0F ; fully-qualified # 🈷️ E0.6 Japanese “monthly amount” button</v>
      </c>
      <c r="C62" t="str">
        <f t="shared" si="3"/>
        <v xml:space="preserve">1F237 FE0F </v>
      </c>
      <c r="D62">
        <f t="shared" si="4"/>
        <v>11</v>
      </c>
      <c r="E62" t="str">
        <f t="shared" si="0"/>
        <v xml:space="preserve"> 🈷️ E0.6 Japanese “monthly amount” button</v>
      </c>
      <c r="F62" t="b">
        <f t="shared" si="5"/>
        <v>1</v>
      </c>
      <c r="G62" t="str">
        <f t="shared" si="1"/>
        <v>1F237</v>
      </c>
      <c r="I62">
        <f>HEX2DEC(Table1[[#This Row],[utf8]])</f>
        <v>127543</v>
      </c>
      <c r="J62" t="str">
        <f>_xlfn.UNICHAR(HEX2DEC(Table1[[#This Row],[utf8]]))</f>
        <v>🈷</v>
      </c>
      <c r="K62" s="3" t="str" cm="1">
        <f t="array" ref="K62">"Case "&amp;wRandomLetter()&amp;wRandomLetter()&amp;I62&amp;":    UniConst = ChrW(" &amp; I62 &amp;")"</f>
        <v>Case kp127543:    UniConst = ChrW(127543)</v>
      </c>
    </row>
    <row r="63" spans="1:11" hidden="1">
      <c r="A63" t="s">
        <v>4389</v>
      </c>
      <c r="B63" t="str">
        <f t="shared" si="2"/>
        <v>1F238 ; fully-qualified # 🈸 E0.6 Japanese “application” button</v>
      </c>
      <c r="C63" t="str">
        <f t="shared" si="3"/>
        <v xml:space="preserve">1F238 </v>
      </c>
      <c r="D63">
        <f t="shared" si="4"/>
        <v>6</v>
      </c>
      <c r="E63" t="str">
        <f t="shared" si="0"/>
        <v xml:space="preserve"> 🈸 E0.6 Japanese “application” button</v>
      </c>
      <c r="F63" t="b">
        <f t="shared" si="5"/>
        <v>1</v>
      </c>
      <c r="G63" t="str">
        <f t="shared" si="1"/>
        <v>1F238</v>
      </c>
      <c r="I63">
        <f>HEX2DEC(Table1[[#This Row],[utf8]])</f>
        <v>127544</v>
      </c>
      <c r="J63" t="str">
        <f>_xlfn.UNICHAR(HEX2DEC(Table1[[#This Row],[utf8]]))</f>
        <v>🈸</v>
      </c>
      <c r="K63" s="3" t="str" cm="1">
        <f t="array" ref="K63">"Case "&amp;wRandomLetter()&amp;wRandomLetter()&amp;I63&amp;":    UniConst = ChrW(" &amp; I63 &amp;")"</f>
        <v>Case Ct127544:    UniConst = ChrW(127544)</v>
      </c>
    </row>
    <row r="64" spans="1:11" hidden="1">
      <c r="A64" t="s">
        <v>4385</v>
      </c>
      <c r="B64" t="str">
        <f t="shared" si="2"/>
        <v>1F239 ; fully-qualified # 🈹 E0.6 Japanese “discount” button</v>
      </c>
      <c r="C64" t="str">
        <f t="shared" si="3"/>
        <v xml:space="preserve">1F239 </v>
      </c>
      <c r="D64">
        <f t="shared" si="4"/>
        <v>6</v>
      </c>
      <c r="E64" t="str">
        <f t="shared" si="0"/>
        <v xml:space="preserve"> 🈹 E0.6 Japanese “discount” button</v>
      </c>
      <c r="F64" t="b">
        <f t="shared" si="5"/>
        <v>1</v>
      </c>
      <c r="G64" t="str">
        <f t="shared" si="1"/>
        <v>1F239</v>
      </c>
      <c r="I64">
        <f>HEX2DEC(Table1[[#This Row],[utf8]])</f>
        <v>127545</v>
      </c>
      <c r="J64" t="str">
        <f>_xlfn.UNICHAR(HEX2DEC(Table1[[#This Row],[utf8]]))</f>
        <v>🈹</v>
      </c>
      <c r="K64" s="3" t="str" cm="1">
        <f t="array" ref="K64">"Case "&amp;wRandomLetter()&amp;wRandomLetter()&amp;I64&amp;":    UniConst = ChrW(" &amp; I64 &amp;")"</f>
        <v>Case Li127545:    UniConst = ChrW(127545)</v>
      </c>
    </row>
    <row r="65" spans="1:11" hidden="1">
      <c r="A65" t="s">
        <v>4396</v>
      </c>
      <c r="B65" t="str">
        <f t="shared" si="2"/>
        <v>1F23A ; fully-qualified # 🈺 E0.6 Japanese “open for business” button</v>
      </c>
      <c r="C65" t="str">
        <f t="shared" si="3"/>
        <v xml:space="preserve">1F23A </v>
      </c>
      <c r="D65">
        <f t="shared" si="4"/>
        <v>6</v>
      </c>
      <c r="E65" t="str">
        <f t="shared" si="0"/>
        <v xml:space="preserve"> 🈺 E0.6 Japanese “open for business” button</v>
      </c>
      <c r="F65" t="b">
        <f t="shared" si="5"/>
        <v>1</v>
      </c>
      <c r="G65" t="str">
        <f t="shared" si="1"/>
        <v>1F23A</v>
      </c>
      <c r="I65">
        <f>HEX2DEC(Table1[[#This Row],[utf8]])</f>
        <v>127546</v>
      </c>
      <c r="J65" t="str">
        <f>_xlfn.UNICHAR(HEX2DEC(Table1[[#This Row],[utf8]]))</f>
        <v>🈺</v>
      </c>
      <c r="K65" s="3" t="str" cm="1">
        <f t="array" ref="K65">"Case "&amp;wRandomLetter()&amp;wRandomLetter()&amp;I65&amp;":    UniConst = ChrW(" &amp; I65 &amp;")"</f>
        <v>Case PP127546:    UniConst = ChrW(127546)</v>
      </c>
    </row>
    <row r="66" spans="1:11" hidden="1">
      <c r="A66" t="s">
        <v>4384</v>
      </c>
      <c r="B66" t="str">
        <f t="shared" si="2"/>
        <v>1F250 ; fully-qualified # 🉐 E0.6 Japanese “bargain” button</v>
      </c>
      <c r="C66" t="str">
        <f t="shared" si="3"/>
        <v xml:space="preserve">1F250 </v>
      </c>
      <c r="D66">
        <f t="shared" si="4"/>
        <v>6</v>
      </c>
      <c r="E66" t="str">
        <f t="shared" ref="E66:E129" si="6">MID(A66,FIND("#",A66)+1,256)</f>
        <v xml:space="preserve"> 🉐 E0.6 Japanese “bargain” button</v>
      </c>
      <c r="F66" t="b">
        <f t="shared" si="5"/>
        <v>1</v>
      </c>
      <c r="G66" t="str">
        <f t="shared" ref="G66:G129" si="7">LEFT(C66,(FIND(" ",C66,1)-1))</f>
        <v>1F250</v>
      </c>
      <c r="I66">
        <f>HEX2DEC(Table1[[#This Row],[utf8]])</f>
        <v>127568</v>
      </c>
      <c r="J66" t="str">
        <f>_xlfn.UNICHAR(HEX2DEC(Table1[[#This Row],[utf8]]))</f>
        <v>🉐</v>
      </c>
      <c r="K66" s="3" t="str" cm="1">
        <f t="array" ref="K66">"Case "&amp;wRandomLetter()&amp;wRandomLetter()&amp;I66&amp;":    UniConst = ChrW(" &amp; I66 &amp;")"</f>
        <v>Case fd127568:    UniConst = ChrW(127568)</v>
      </c>
    </row>
    <row r="67" spans="1:11" hidden="1">
      <c r="A67" t="s">
        <v>4388</v>
      </c>
      <c r="B67" t="str">
        <f t="shared" ref="B67:B130" si="8">TRIM(A67)</f>
        <v>1F251 ; fully-qualified # 🉑 E0.6 Japanese “acceptable” button</v>
      </c>
      <c r="C67" t="str">
        <f t="shared" ref="C67:C130" si="9">LEFT(B67,(FIND(";",B67,1)-1))</f>
        <v xml:space="preserve">1F251 </v>
      </c>
      <c r="D67">
        <f t="shared" ref="D67:D130" si="10">LEN(C67)</f>
        <v>6</v>
      </c>
      <c r="E67" t="str">
        <f t="shared" si="6"/>
        <v xml:space="preserve"> 🉑 E0.6 Japanese “acceptable” button</v>
      </c>
      <c r="F67" t="b">
        <f t="shared" ref="F67:F130" si="11">IF(LEFT(C67,2)="1F",TRUE,FALSE)</f>
        <v>1</v>
      </c>
      <c r="G67" t="str">
        <f t="shared" si="7"/>
        <v>1F251</v>
      </c>
      <c r="I67">
        <f>HEX2DEC(Table1[[#This Row],[utf8]])</f>
        <v>127569</v>
      </c>
      <c r="J67" t="str">
        <f>_xlfn.UNICHAR(HEX2DEC(Table1[[#This Row],[utf8]]))</f>
        <v>🉑</v>
      </c>
      <c r="K67" s="3" t="str" cm="1">
        <f t="array" ref="K67">"Case "&amp;wRandomLetter()&amp;wRandomLetter()&amp;I67&amp;":    UniConst = ChrW(" &amp; I67 &amp;")"</f>
        <v>Case Hg127569:    UniConst = ChrW(127569)</v>
      </c>
    </row>
    <row r="68" spans="1:11" hidden="1">
      <c r="A68" t="s">
        <v>3677</v>
      </c>
      <c r="B68" t="str">
        <f t="shared" si="8"/>
        <v>1F300 ; fully-qualified # 🌀 E0.6 cyclone</v>
      </c>
      <c r="C68" t="str">
        <f t="shared" si="9"/>
        <v xml:space="preserve">1F300 </v>
      </c>
      <c r="D68">
        <f t="shared" si="10"/>
        <v>6</v>
      </c>
      <c r="E68" t="str">
        <f t="shared" si="6"/>
        <v xml:space="preserve"> 🌀 E0.6 cyclone</v>
      </c>
      <c r="F68" t="b">
        <f t="shared" si="11"/>
        <v>1</v>
      </c>
      <c r="G68" t="str">
        <f t="shared" si="7"/>
        <v>1F300</v>
      </c>
      <c r="I68">
        <f>HEX2DEC(Table1[[#This Row],[utf8]])</f>
        <v>127744</v>
      </c>
      <c r="J68" t="str">
        <f>_xlfn.UNICHAR(HEX2DEC(Table1[[#This Row],[utf8]]))</f>
        <v>🌀</v>
      </c>
      <c r="K68" s="3" t="str" cm="1">
        <f t="array" ref="K68">"Case "&amp;wRandomLetter()&amp;wRandomLetter()&amp;I68&amp;":    UniConst = ChrW(" &amp; I68 &amp;")"</f>
        <v>Case je127744:    UniConst = ChrW(127744)</v>
      </c>
    </row>
    <row r="69" spans="1:11" hidden="1">
      <c r="A69" t="s">
        <v>3491</v>
      </c>
      <c r="B69" t="str">
        <f t="shared" si="8"/>
        <v>1F301 ; fully-qualified # 🌁 E0.6 foggy</v>
      </c>
      <c r="C69" t="str">
        <f t="shared" si="9"/>
        <v xml:space="preserve">1F301 </v>
      </c>
      <c r="D69">
        <f t="shared" si="10"/>
        <v>6</v>
      </c>
      <c r="E69" t="str">
        <f t="shared" si="6"/>
        <v xml:space="preserve"> 🌁 E0.6 foggy</v>
      </c>
      <c r="F69" t="b">
        <f t="shared" si="11"/>
        <v>1</v>
      </c>
      <c r="G69" t="str">
        <f t="shared" si="7"/>
        <v>1F301</v>
      </c>
      <c r="I69">
        <f>HEX2DEC(Table1[[#This Row],[utf8]])</f>
        <v>127745</v>
      </c>
      <c r="J69" t="str">
        <f>_xlfn.UNICHAR(HEX2DEC(Table1[[#This Row],[utf8]]))</f>
        <v>🌁</v>
      </c>
      <c r="K69" s="3" t="str" cm="1">
        <f t="array" ref="K69">"Case "&amp;wRandomLetter()&amp;wRandomLetter()&amp;I69&amp;":    UniConst = ChrW(" &amp; I69 &amp;")"</f>
        <v>Case Hu127745:    UniConst = ChrW(127745)</v>
      </c>
    </row>
    <row r="70" spans="1:11" hidden="1">
      <c r="A70" t="s">
        <v>3679</v>
      </c>
      <c r="B70" t="str">
        <f t="shared" si="8"/>
        <v>1F302 ; fully-qualified # 🌂 E0.6 closed umbrella</v>
      </c>
      <c r="C70" t="str">
        <f t="shared" si="9"/>
        <v xml:space="preserve">1F302 </v>
      </c>
      <c r="D70">
        <f t="shared" si="10"/>
        <v>6</v>
      </c>
      <c r="E70" t="str">
        <f t="shared" si="6"/>
        <v xml:space="preserve"> 🌂 E0.6 closed umbrella</v>
      </c>
      <c r="F70" t="b">
        <f t="shared" si="11"/>
        <v>1</v>
      </c>
      <c r="G70" t="str">
        <f t="shared" si="7"/>
        <v>1F302</v>
      </c>
      <c r="I70">
        <f>HEX2DEC(Table1[[#This Row],[utf8]])</f>
        <v>127746</v>
      </c>
      <c r="J70" t="str">
        <f>_xlfn.UNICHAR(HEX2DEC(Table1[[#This Row],[utf8]]))</f>
        <v>🌂</v>
      </c>
      <c r="K70" s="3" t="str" cm="1">
        <f t="array" ref="K70">"Case "&amp;wRandomLetter()&amp;wRandomLetter()&amp;I70&amp;":    UniConst = ChrW(" &amp; I70 &amp;")"</f>
        <v>Case yf127746:    UniConst = ChrW(127746)</v>
      </c>
    </row>
    <row r="71" spans="1:11" hidden="1">
      <c r="A71" t="s">
        <v>3492</v>
      </c>
      <c r="B71" t="str">
        <f t="shared" si="8"/>
        <v>1F303 ; fully-qualified # 🌃 E0.6 night with stars</v>
      </c>
      <c r="C71" t="str">
        <f t="shared" si="9"/>
        <v xml:space="preserve">1F303 </v>
      </c>
      <c r="D71">
        <f t="shared" si="10"/>
        <v>6</v>
      </c>
      <c r="E71" t="str">
        <f t="shared" si="6"/>
        <v xml:space="preserve"> 🌃 E0.6 night with stars</v>
      </c>
      <c r="F71" t="b">
        <f t="shared" si="11"/>
        <v>1</v>
      </c>
      <c r="G71" t="str">
        <f t="shared" si="7"/>
        <v>1F303</v>
      </c>
      <c r="I71">
        <f>HEX2DEC(Table1[[#This Row],[utf8]])</f>
        <v>127747</v>
      </c>
      <c r="J71" t="str">
        <f>_xlfn.UNICHAR(HEX2DEC(Table1[[#This Row],[utf8]]))</f>
        <v>🌃</v>
      </c>
      <c r="K71" s="3" t="str" cm="1">
        <f t="array" ref="K71">"Case "&amp;wRandomLetter()&amp;wRandomLetter()&amp;I71&amp;":    UniConst = ChrW(" &amp; I71 &amp;")"</f>
        <v>Case Xq127747:    UniConst = ChrW(127747)</v>
      </c>
    </row>
    <row r="72" spans="1:11" hidden="1">
      <c r="A72" t="s">
        <v>3495</v>
      </c>
      <c r="B72" t="str">
        <f t="shared" si="8"/>
        <v>1F304 ; fully-qualified # 🌄 E0.6 sunrise over mountains</v>
      </c>
      <c r="C72" t="str">
        <f t="shared" si="9"/>
        <v xml:space="preserve">1F304 </v>
      </c>
      <c r="D72">
        <f t="shared" si="10"/>
        <v>6</v>
      </c>
      <c r="E72" t="str">
        <f t="shared" si="6"/>
        <v xml:space="preserve"> 🌄 E0.6 sunrise over mountains</v>
      </c>
      <c r="F72" t="b">
        <f t="shared" si="11"/>
        <v>1</v>
      </c>
      <c r="G72" t="str">
        <f t="shared" si="7"/>
        <v>1F304</v>
      </c>
      <c r="I72">
        <f>HEX2DEC(Table1[[#This Row],[utf8]])</f>
        <v>127748</v>
      </c>
      <c r="J72" t="str">
        <f>_xlfn.UNICHAR(HEX2DEC(Table1[[#This Row],[utf8]]))</f>
        <v>🌄</v>
      </c>
      <c r="K72" s="3" t="str" cm="1">
        <f t="array" ref="K72">"Case "&amp;wRandomLetter()&amp;wRandomLetter()&amp;I72&amp;":    UniConst = ChrW(" &amp; I72 &amp;")"</f>
        <v>Case vN127748:    UniConst = ChrW(127748)</v>
      </c>
    </row>
    <row r="73" spans="1:11" hidden="1">
      <c r="A73" t="s">
        <v>3496</v>
      </c>
      <c r="B73" t="str">
        <f t="shared" si="8"/>
        <v>1F305 ; fully-qualified # 🌅 E0.6 sunrise</v>
      </c>
      <c r="C73" t="str">
        <f t="shared" si="9"/>
        <v xml:space="preserve">1F305 </v>
      </c>
      <c r="D73">
        <f t="shared" si="10"/>
        <v>6</v>
      </c>
      <c r="E73" t="str">
        <f t="shared" si="6"/>
        <v xml:space="preserve"> 🌅 E0.6 sunrise</v>
      </c>
      <c r="F73" t="b">
        <f t="shared" si="11"/>
        <v>1</v>
      </c>
      <c r="G73" t="str">
        <f t="shared" si="7"/>
        <v>1F305</v>
      </c>
      <c r="I73">
        <f>HEX2DEC(Table1[[#This Row],[utf8]])</f>
        <v>127749</v>
      </c>
      <c r="J73" t="str">
        <f>_xlfn.UNICHAR(HEX2DEC(Table1[[#This Row],[utf8]]))</f>
        <v>🌅</v>
      </c>
      <c r="K73" s="3" t="str" cm="1">
        <f t="array" ref="K73">"Case "&amp;wRandomLetter()&amp;wRandomLetter()&amp;I73&amp;":    UniConst = ChrW(" &amp; I73 &amp;")"</f>
        <v>Case MH127749:    UniConst = ChrW(127749)</v>
      </c>
    </row>
    <row r="74" spans="1:11" hidden="1">
      <c r="A74" t="s">
        <v>3497</v>
      </c>
      <c r="B74" t="str">
        <f t="shared" si="8"/>
        <v>1F306 ; fully-qualified # 🌆 E0.6 cityscape at dusk</v>
      </c>
      <c r="C74" t="str">
        <f t="shared" si="9"/>
        <v xml:space="preserve">1F306 </v>
      </c>
      <c r="D74">
        <f t="shared" si="10"/>
        <v>6</v>
      </c>
      <c r="E74" t="str">
        <f t="shared" si="6"/>
        <v xml:space="preserve"> 🌆 E0.6 cityscape at dusk</v>
      </c>
      <c r="F74" t="b">
        <f t="shared" si="11"/>
        <v>1</v>
      </c>
      <c r="G74" t="str">
        <f t="shared" si="7"/>
        <v>1F306</v>
      </c>
      <c r="I74">
        <f>HEX2DEC(Table1[[#This Row],[utf8]])</f>
        <v>127750</v>
      </c>
      <c r="J74" t="str">
        <f>_xlfn.UNICHAR(HEX2DEC(Table1[[#This Row],[utf8]]))</f>
        <v>🌆</v>
      </c>
      <c r="K74" s="3" t="str" cm="1">
        <f t="array" ref="K74">"Case "&amp;wRandomLetter()&amp;wRandomLetter()&amp;I74&amp;":    UniConst = ChrW(" &amp; I74 &amp;")"</f>
        <v>Case qo127750:    UniConst = ChrW(127750)</v>
      </c>
    </row>
    <row r="75" spans="1:11" hidden="1">
      <c r="A75" t="s">
        <v>3498</v>
      </c>
      <c r="B75" t="str">
        <f t="shared" si="8"/>
        <v>1F307 ; fully-qualified # 🌇 E0.6 sunset</v>
      </c>
      <c r="C75" t="str">
        <f t="shared" si="9"/>
        <v xml:space="preserve">1F307 </v>
      </c>
      <c r="D75">
        <f t="shared" si="10"/>
        <v>6</v>
      </c>
      <c r="E75" t="str">
        <f t="shared" si="6"/>
        <v xml:space="preserve"> 🌇 E0.6 sunset</v>
      </c>
      <c r="F75" t="b">
        <f t="shared" si="11"/>
        <v>1</v>
      </c>
      <c r="G75" t="str">
        <f t="shared" si="7"/>
        <v>1F307</v>
      </c>
      <c r="I75">
        <f>HEX2DEC(Table1[[#This Row],[utf8]])</f>
        <v>127751</v>
      </c>
      <c r="J75" t="str">
        <f>_xlfn.UNICHAR(HEX2DEC(Table1[[#This Row],[utf8]]))</f>
        <v>🌇</v>
      </c>
      <c r="K75" s="3" t="str" cm="1">
        <f t="array" ref="K75">"Case "&amp;wRandomLetter()&amp;wRandomLetter()&amp;I75&amp;":    UniConst = ChrW(" &amp; I75 &amp;")"</f>
        <v>Case hN127751:    UniConst = ChrW(127751)</v>
      </c>
    </row>
    <row r="76" spans="1:11" hidden="1">
      <c r="A76" t="s">
        <v>3678</v>
      </c>
      <c r="B76" t="str">
        <f t="shared" si="8"/>
        <v>1F308 ; fully-qualified # 🌈 E0.6 rainbow</v>
      </c>
      <c r="C76" t="str">
        <f t="shared" si="9"/>
        <v xml:space="preserve">1F308 </v>
      </c>
      <c r="D76">
        <f t="shared" si="10"/>
        <v>6</v>
      </c>
      <c r="E76" t="str">
        <f t="shared" si="6"/>
        <v xml:space="preserve"> 🌈 E0.6 rainbow</v>
      </c>
      <c r="F76" t="b">
        <f t="shared" si="11"/>
        <v>1</v>
      </c>
      <c r="G76" t="str">
        <f t="shared" si="7"/>
        <v>1F308</v>
      </c>
      <c r="I76">
        <f>HEX2DEC(Table1[[#This Row],[utf8]])</f>
        <v>127752</v>
      </c>
      <c r="J76" t="str">
        <f>_xlfn.UNICHAR(HEX2DEC(Table1[[#This Row],[utf8]]))</f>
        <v>🌈</v>
      </c>
      <c r="K76" s="3" t="str" cm="1">
        <f t="array" ref="K76">"Case "&amp;wRandomLetter()&amp;wRandomLetter()&amp;I76&amp;":    UniConst = ChrW(" &amp; I76 &amp;")"</f>
        <v>Case PM127752:    UniConst = ChrW(127752)</v>
      </c>
    </row>
    <row r="77" spans="1:11" hidden="1">
      <c r="A77" t="s">
        <v>3499</v>
      </c>
      <c r="B77" t="str">
        <f t="shared" si="8"/>
        <v>1F309 ; fully-qualified # 🌉 E0.6 bridge at night</v>
      </c>
      <c r="C77" t="str">
        <f t="shared" si="9"/>
        <v xml:space="preserve">1F309 </v>
      </c>
      <c r="D77">
        <f t="shared" si="10"/>
        <v>6</v>
      </c>
      <c r="E77" t="str">
        <f t="shared" si="6"/>
        <v xml:space="preserve"> 🌉 E0.6 bridge at night</v>
      </c>
      <c r="F77" t="b">
        <f t="shared" si="11"/>
        <v>1</v>
      </c>
      <c r="G77" t="str">
        <f t="shared" si="7"/>
        <v>1F309</v>
      </c>
      <c r="I77">
        <f>HEX2DEC(Table1[[#This Row],[utf8]])</f>
        <v>127753</v>
      </c>
      <c r="J77" t="str">
        <f>_xlfn.UNICHAR(HEX2DEC(Table1[[#This Row],[utf8]]))</f>
        <v>🌉</v>
      </c>
      <c r="K77" s="3" t="str" cm="1">
        <f t="array" ref="K77">"Case "&amp;wRandomLetter()&amp;wRandomLetter()&amp;I77&amp;":    UniConst = ChrW(" &amp; I77 &amp;")"</f>
        <v>Case uB127753:    UniConst = ChrW(127753)</v>
      </c>
    </row>
    <row r="78" spans="1:11" hidden="1">
      <c r="A78" t="s">
        <v>3695</v>
      </c>
      <c r="B78" t="str">
        <f t="shared" si="8"/>
        <v>1F30A ; fully-qualified # 🌊 E0.6 water wave</v>
      </c>
      <c r="C78" t="str">
        <f t="shared" si="9"/>
        <v xml:space="preserve">1F30A </v>
      </c>
      <c r="D78">
        <f t="shared" si="10"/>
        <v>6</v>
      </c>
      <c r="E78" t="str">
        <f t="shared" si="6"/>
        <v xml:space="preserve"> 🌊 E0.6 water wave</v>
      </c>
      <c r="F78" t="b">
        <f t="shared" si="11"/>
        <v>1</v>
      </c>
      <c r="G78" t="str">
        <f t="shared" si="7"/>
        <v>1F30A</v>
      </c>
      <c r="I78">
        <f>HEX2DEC(Table1[[#This Row],[utf8]])</f>
        <v>127754</v>
      </c>
      <c r="J78" t="str">
        <f>_xlfn.UNICHAR(HEX2DEC(Table1[[#This Row],[utf8]]))</f>
        <v>🌊</v>
      </c>
      <c r="K78" s="3" t="str" cm="1">
        <f t="array" ref="K78">"Case "&amp;wRandomLetter()&amp;wRandomLetter()&amp;I78&amp;":    UniConst = ChrW(" &amp; I78 &amp;")"</f>
        <v>Case Ol127754:    UniConst = ChrW(127754)</v>
      </c>
    </row>
    <row r="79" spans="1:11" hidden="1">
      <c r="A79" t="s">
        <v>3435</v>
      </c>
      <c r="B79" t="str">
        <f t="shared" si="8"/>
        <v>1F30B ; fully-qualified # 🌋 E0.6 volcano</v>
      </c>
      <c r="C79" t="str">
        <f t="shared" si="9"/>
        <v xml:space="preserve">1F30B </v>
      </c>
      <c r="D79">
        <f t="shared" si="10"/>
        <v>6</v>
      </c>
      <c r="E79" t="str">
        <f t="shared" si="6"/>
        <v xml:space="preserve"> 🌋 E0.6 volcano</v>
      </c>
      <c r="F79" t="b">
        <f t="shared" si="11"/>
        <v>1</v>
      </c>
      <c r="G79" t="str">
        <f t="shared" si="7"/>
        <v>1F30B</v>
      </c>
      <c r="I79">
        <f>HEX2DEC(Table1[[#This Row],[utf8]])</f>
        <v>127755</v>
      </c>
      <c r="J79" t="str">
        <f>_xlfn.UNICHAR(HEX2DEC(Table1[[#This Row],[utf8]]))</f>
        <v>🌋</v>
      </c>
      <c r="K79" s="3" t="str" cm="1">
        <f t="array" ref="K79">"Case "&amp;wRandomLetter()&amp;wRandomLetter()&amp;I79&amp;":    UniConst = ChrW(" &amp; I79 &amp;")"</f>
        <v>Case PN127755:    UniConst = ChrW(127755)</v>
      </c>
    </row>
    <row r="80" spans="1:11" hidden="1">
      <c r="A80" t="s">
        <v>3653</v>
      </c>
      <c r="B80" t="str">
        <f t="shared" si="8"/>
        <v>1F30C ; fully-qualified # 🌌 E0.6 milky way</v>
      </c>
      <c r="C80" t="str">
        <f t="shared" si="9"/>
        <v xml:space="preserve">1F30C </v>
      </c>
      <c r="D80">
        <f t="shared" si="10"/>
        <v>6</v>
      </c>
      <c r="E80" t="str">
        <f t="shared" si="6"/>
        <v xml:space="preserve"> 🌌 E0.6 milky way</v>
      </c>
      <c r="F80" t="b">
        <f t="shared" si="11"/>
        <v>1</v>
      </c>
      <c r="G80" t="str">
        <f t="shared" si="7"/>
        <v>1F30C</v>
      </c>
      <c r="I80">
        <f>HEX2DEC(Table1[[#This Row],[utf8]])</f>
        <v>127756</v>
      </c>
      <c r="J80" t="str">
        <f>_xlfn.UNICHAR(HEX2DEC(Table1[[#This Row],[utf8]]))</f>
        <v>🌌</v>
      </c>
      <c r="K80" s="3" t="str" cm="1">
        <f t="array" ref="K80">"Case "&amp;wRandomLetter()&amp;wRandomLetter()&amp;I80&amp;":    UniConst = ChrW(" &amp; I80 &amp;")"</f>
        <v>Case hM127756:    UniConst = ChrW(127756)</v>
      </c>
    </row>
    <row r="81" spans="1:11" hidden="1">
      <c r="A81" t="s">
        <v>3422</v>
      </c>
      <c r="B81" t="str">
        <f t="shared" si="8"/>
        <v>1F30D ; fully-qualified # 🌍 E0.7 globe showing Europe-Africa</v>
      </c>
      <c r="C81" t="str">
        <f t="shared" si="9"/>
        <v xml:space="preserve">1F30D </v>
      </c>
      <c r="D81">
        <f t="shared" si="10"/>
        <v>6</v>
      </c>
      <c r="E81" t="str">
        <f t="shared" si="6"/>
        <v xml:space="preserve"> 🌍 E0.7 globe showing Europe-Africa</v>
      </c>
      <c r="F81" t="b">
        <f t="shared" si="11"/>
        <v>1</v>
      </c>
      <c r="G81" t="str">
        <f t="shared" si="7"/>
        <v>1F30D</v>
      </c>
      <c r="I81">
        <f>HEX2DEC(Table1[[#This Row],[utf8]])</f>
        <v>127757</v>
      </c>
      <c r="J81" t="str">
        <f>_xlfn.UNICHAR(HEX2DEC(Table1[[#This Row],[utf8]]))</f>
        <v>🌍</v>
      </c>
      <c r="K81" s="3" t="str" cm="1">
        <f t="array" ref="K81">"Case "&amp;wRandomLetter()&amp;wRandomLetter()&amp;I81&amp;":    UniConst = ChrW(" &amp; I81 &amp;")"</f>
        <v>Case DV127757:    UniConst = ChrW(127757)</v>
      </c>
    </row>
    <row r="82" spans="1:11" hidden="1">
      <c r="A82" t="s">
        <v>3423</v>
      </c>
      <c r="B82" t="str">
        <f t="shared" si="8"/>
        <v>1F30E ; fully-qualified # 🌎 E0.7 globe showing Americas</v>
      </c>
      <c r="C82" t="str">
        <f t="shared" si="9"/>
        <v xml:space="preserve">1F30E </v>
      </c>
      <c r="D82">
        <f t="shared" si="10"/>
        <v>6</v>
      </c>
      <c r="E82" t="str">
        <f t="shared" si="6"/>
        <v xml:space="preserve"> 🌎 E0.7 globe showing Americas</v>
      </c>
      <c r="F82" t="b">
        <f t="shared" si="11"/>
        <v>1</v>
      </c>
      <c r="G82" t="str">
        <f t="shared" si="7"/>
        <v>1F30E</v>
      </c>
      <c r="I82">
        <f>HEX2DEC(Table1[[#This Row],[utf8]])</f>
        <v>127758</v>
      </c>
      <c r="J82" t="str">
        <f>_xlfn.UNICHAR(HEX2DEC(Table1[[#This Row],[utf8]]))</f>
        <v>🌎</v>
      </c>
      <c r="K82" s="3" t="str" cm="1">
        <f t="array" ref="K82">"Case "&amp;wRandomLetter()&amp;wRandomLetter()&amp;I82&amp;":    UniConst = ChrW(" &amp; I82 &amp;")"</f>
        <v>Case uD127758:    UniConst = ChrW(127758)</v>
      </c>
    </row>
    <row r="83" spans="1:11" hidden="1">
      <c r="A83" t="s">
        <v>3424</v>
      </c>
      <c r="B83" t="str">
        <f t="shared" si="8"/>
        <v>1F30F ; fully-qualified # 🌏 E0.6 globe showing Asia-Australia</v>
      </c>
      <c r="C83" t="str">
        <f t="shared" si="9"/>
        <v xml:space="preserve">1F30F </v>
      </c>
      <c r="D83">
        <f t="shared" si="10"/>
        <v>6</v>
      </c>
      <c r="E83" t="str">
        <f t="shared" si="6"/>
        <v xml:space="preserve"> 🌏 E0.6 globe showing Asia-Australia</v>
      </c>
      <c r="F83" t="b">
        <f t="shared" si="11"/>
        <v>1</v>
      </c>
      <c r="G83" t="str">
        <f t="shared" si="7"/>
        <v>1F30F</v>
      </c>
      <c r="I83">
        <f>HEX2DEC(Table1[[#This Row],[utf8]])</f>
        <v>127759</v>
      </c>
      <c r="J83" t="str">
        <f>_xlfn.UNICHAR(HEX2DEC(Table1[[#This Row],[utf8]]))</f>
        <v>🌏</v>
      </c>
      <c r="K83" s="3" t="str" cm="1">
        <f t="array" ref="K83">"Case "&amp;wRandomLetter()&amp;wRandomLetter()&amp;I83&amp;":    UniConst = ChrW(" &amp; I83 &amp;")"</f>
        <v>Case qP127759:    UniConst = ChrW(127759)</v>
      </c>
    </row>
    <row r="84" spans="1:11" hidden="1">
      <c r="A84" t="s">
        <v>3425</v>
      </c>
      <c r="B84" t="str">
        <f t="shared" si="8"/>
        <v>1F310 ; fully-qualified # 🌐 E1.0 globe with meridians</v>
      </c>
      <c r="C84" t="str">
        <f t="shared" si="9"/>
        <v xml:space="preserve">1F310 </v>
      </c>
      <c r="D84">
        <f t="shared" si="10"/>
        <v>6</v>
      </c>
      <c r="E84" t="str">
        <f t="shared" si="6"/>
        <v xml:space="preserve"> 🌐 E1.0 globe with meridians</v>
      </c>
      <c r="F84" t="b">
        <f t="shared" si="11"/>
        <v>1</v>
      </c>
      <c r="G84" t="str">
        <f t="shared" si="7"/>
        <v>1F310</v>
      </c>
      <c r="I84">
        <f>HEX2DEC(Table1[[#This Row],[utf8]])</f>
        <v>127760</v>
      </c>
      <c r="J84" t="str">
        <f>_xlfn.UNICHAR(HEX2DEC(Table1[[#This Row],[utf8]]))</f>
        <v>🌐</v>
      </c>
      <c r="K84" s="3" t="str" cm="1">
        <f t="array" ref="K84">"Case "&amp;wRandomLetter()&amp;wRandomLetter()&amp;I84&amp;":    UniConst = ChrW(" &amp; I84 &amp;")"</f>
        <v>Case aG127760:    UniConst = ChrW(127760)</v>
      </c>
    </row>
    <row r="85" spans="1:11" hidden="1">
      <c r="A85" t="s">
        <v>3631</v>
      </c>
      <c r="B85" t="str">
        <f t="shared" si="8"/>
        <v>1F311 ; fully-qualified # 🌑 E0.6 new moon</v>
      </c>
      <c r="C85" t="str">
        <f t="shared" si="9"/>
        <v xml:space="preserve">1F311 </v>
      </c>
      <c r="D85">
        <f t="shared" si="10"/>
        <v>6</v>
      </c>
      <c r="E85" t="str">
        <f t="shared" si="6"/>
        <v xml:space="preserve"> 🌑 E0.6 new moon</v>
      </c>
      <c r="F85" t="b">
        <f t="shared" si="11"/>
        <v>1</v>
      </c>
      <c r="G85" t="str">
        <f t="shared" si="7"/>
        <v>1F311</v>
      </c>
      <c r="I85">
        <f>HEX2DEC(Table1[[#This Row],[utf8]])</f>
        <v>127761</v>
      </c>
      <c r="J85" t="str">
        <f>_xlfn.UNICHAR(HEX2DEC(Table1[[#This Row],[utf8]]))</f>
        <v>🌑</v>
      </c>
      <c r="K85" s="3" t="str" cm="1">
        <f t="array" ref="K85">"Case "&amp;wRandomLetter()&amp;wRandomLetter()&amp;I85&amp;":    UniConst = ChrW(" &amp; I85 &amp;")"</f>
        <v>Case RI127761:    UniConst = ChrW(127761)</v>
      </c>
    </row>
    <row r="86" spans="1:11" hidden="1">
      <c r="A86" t="s">
        <v>3632</v>
      </c>
      <c r="B86" t="str">
        <f t="shared" si="8"/>
        <v>1F312 ; fully-qualified # 🌒 E1.0 waxing crescent moon</v>
      </c>
      <c r="C86" t="str">
        <f t="shared" si="9"/>
        <v xml:space="preserve">1F312 </v>
      </c>
      <c r="D86">
        <f t="shared" si="10"/>
        <v>6</v>
      </c>
      <c r="E86" t="str">
        <f t="shared" si="6"/>
        <v xml:space="preserve"> 🌒 E1.0 waxing crescent moon</v>
      </c>
      <c r="F86" t="b">
        <f t="shared" si="11"/>
        <v>1</v>
      </c>
      <c r="G86" t="str">
        <f t="shared" si="7"/>
        <v>1F312</v>
      </c>
      <c r="I86">
        <f>HEX2DEC(Table1[[#This Row],[utf8]])</f>
        <v>127762</v>
      </c>
      <c r="J86" t="str">
        <f>_xlfn.UNICHAR(HEX2DEC(Table1[[#This Row],[utf8]]))</f>
        <v>🌒</v>
      </c>
      <c r="K86" s="3" t="str" cm="1">
        <f t="array" ref="K86">"Case "&amp;wRandomLetter()&amp;wRandomLetter()&amp;I86&amp;":    UniConst = ChrW(" &amp; I86 &amp;")"</f>
        <v>Case Kk127762:    UniConst = ChrW(127762)</v>
      </c>
    </row>
    <row r="87" spans="1:11" hidden="1">
      <c r="A87" t="s">
        <v>3633</v>
      </c>
      <c r="B87" t="str">
        <f t="shared" si="8"/>
        <v>1F313 ; fully-qualified # 🌓 E0.6 first quarter moon</v>
      </c>
      <c r="C87" t="str">
        <f t="shared" si="9"/>
        <v xml:space="preserve">1F313 </v>
      </c>
      <c r="D87">
        <f t="shared" si="10"/>
        <v>6</v>
      </c>
      <c r="E87" t="str">
        <f t="shared" si="6"/>
        <v xml:space="preserve"> 🌓 E0.6 first quarter moon</v>
      </c>
      <c r="F87" t="b">
        <f t="shared" si="11"/>
        <v>1</v>
      </c>
      <c r="G87" t="str">
        <f t="shared" si="7"/>
        <v>1F313</v>
      </c>
      <c r="I87">
        <f>HEX2DEC(Table1[[#This Row],[utf8]])</f>
        <v>127763</v>
      </c>
      <c r="J87" t="str">
        <f>_xlfn.UNICHAR(HEX2DEC(Table1[[#This Row],[utf8]]))</f>
        <v>🌓</v>
      </c>
      <c r="K87" s="3" t="str" cm="1">
        <f t="array" ref="K87">"Case "&amp;wRandomLetter()&amp;wRandomLetter()&amp;I87&amp;":    UniConst = ChrW(" &amp; I87 &amp;")"</f>
        <v>Case Ny127763:    UniConst = ChrW(127763)</v>
      </c>
    </row>
    <row r="88" spans="1:11" hidden="1">
      <c r="A88" t="s">
        <v>3634</v>
      </c>
      <c r="B88" t="str">
        <f t="shared" si="8"/>
        <v>1F314 ; fully-qualified # 🌔 E0.6 waxing gibbous moon</v>
      </c>
      <c r="C88" t="str">
        <f t="shared" si="9"/>
        <v xml:space="preserve">1F314 </v>
      </c>
      <c r="D88">
        <f t="shared" si="10"/>
        <v>6</v>
      </c>
      <c r="E88" t="str">
        <f t="shared" si="6"/>
        <v xml:space="preserve"> 🌔 E0.6 waxing gibbous moon</v>
      </c>
      <c r="F88" t="b">
        <f t="shared" si="11"/>
        <v>1</v>
      </c>
      <c r="G88" t="str">
        <f t="shared" si="7"/>
        <v>1F314</v>
      </c>
      <c r="I88">
        <f>HEX2DEC(Table1[[#This Row],[utf8]])</f>
        <v>127764</v>
      </c>
      <c r="J88" t="str">
        <f>_xlfn.UNICHAR(HEX2DEC(Table1[[#This Row],[utf8]]))</f>
        <v>🌔</v>
      </c>
      <c r="K88" s="3" t="str" cm="1">
        <f t="array" ref="K88">"Case "&amp;wRandomLetter()&amp;wRandomLetter()&amp;I88&amp;":    UniConst = ChrW(" &amp; I88 &amp;")"</f>
        <v>Case TC127764:    UniConst = ChrW(127764)</v>
      </c>
    </row>
    <row r="89" spans="1:11" hidden="1">
      <c r="A89" t="s">
        <v>3635</v>
      </c>
      <c r="B89" t="str">
        <f t="shared" si="8"/>
        <v>1F315 ; fully-qualified # 🌕 E0.6 full moon</v>
      </c>
      <c r="C89" t="str">
        <f t="shared" si="9"/>
        <v xml:space="preserve">1F315 </v>
      </c>
      <c r="D89">
        <f t="shared" si="10"/>
        <v>6</v>
      </c>
      <c r="E89" t="str">
        <f t="shared" si="6"/>
        <v xml:space="preserve"> 🌕 E0.6 full moon</v>
      </c>
      <c r="F89" t="b">
        <f t="shared" si="11"/>
        <v>1</v>
      </c>
      <c r="G89" t="str">
        <f t="shared" si="7"/>
        <v>1F315</v>
      </c>
      <c r="I89">
        <f>HEX2DEC(Table1[[#This Row],[utf8]])</f>
        <v>127765</v>
      </c>
      <c r="J89" t="str">
        <f>_xlfn.UNICHAR(HEX2DEC(Table1[[#This Row],[utf8]]))</f>
        <v>🌕</v>
      </c>
      <c r="K89" s="3" t="str" cm="1">
        <f t="array" ref="K89">"Case "&amp;wRandomLetter()&amp;wRandomLetter()&amp;I89&amp;":    UniConst = ChrW(" &amp; I89 &amp;")"</f>
        <v>Case iw127765:    UniConst = ChrW(127765)</v>
      </c>
    </row>
    <row r="90" spans="1:11" hidden="1">
      <c r="A90" t="s">
        <v>3636</v>
      </c>
      <c r="B90" t="str">
        <f t="shared" si="8"/>
        <v>1F316 ; fully-qualified # 🌖 E1.0 waning gibbous moon</v>
      </c>
      <c r="C90" t="str">
        <f t="shared" si="9"/>
        <v xml:space="preserve">1F316 </v>
      </c>
      <c r="D90">
        <f t="shared" si="10"/>
        <v>6</v>
      </c>
      <c r="E90" t="str">
        <f t="shared" si="6"/>
        <v xml:space="preserve"> 🌖 E1.0 waning gibbous moon</v>
      </c>
      <c r="F90" t="b">
        <f t="shared" si="11"/>
        <v>1</v>
      </c>
      <c r="G90" t="str">
        <f t="shared" si="7"/>
        <v>1F316</v>
      </c>
      <c r="I90">
        <f>HEX2DEC(Table1[[#This Row],[utf8]])</f>
        <v>127766</v>
      </c>
      <c r="J90" t="str">
        <f>_xlfn.UNICHAR(HEX2DEC(Table1[[#This Row],[utf8]]))</f>
        <v>🌖</v>
      </c>
      <c r="K90" s="3" t="str" cm="1">
        <f t="array" ref="K90">"Case "&amp;wRandomLetter()&amp;wRandomLetter()&amp;I90&amp;":    UniConst = ChrW(" &amp; I90 &amp;")"</f>
        <v>Case To127766:    UniConst = ChrW(127766)</v>
      </c>
    </row>
    <row r="91" spans="1:11" hidden="1">
      <c r="A91" t="s">
        <v>3637</v>
      </c>
      <c r="B91" t="str">
        <f t="shared" si="8"/>
        <v>1F317 ; fully-qualified # 🌗 E1.0 last quarter moon</v>
      </c>
      <c r="C91" t="str">
        <f t="shared" si="9"/>
        <v xml:space="preserve">1F317 </v>
      </c>
      <c r="D91">
        <f t="shared" si="10"/>
        <v>6</v>
      </c>
      <c r="E91" t="str">
        <f t="shared" si="6"/>
        <v xml:space="preserve"> 🌗 E1.0 last quarter moon</v>
      </c>
      <c r="F91" t="b">
        <f t="shared" si="11"/>
        <v>1</v>
      </c>
      <c r="G91" t="str">
        <f t="shared" si="7"/>
        <v>1F317</v>
      </c>
      <c r="I91">
        <f>HEX2DEC(Table1[[#This Row],[utf8]])</f>
        <v>127767</v>
      </c>
      <c r="J91" t="str">
        <f>_xlfn.UNICHAR(HEX2DEC(Table1[[#This Row],[utf8]]))</f>
        <v>🌗</v>
      </c>
      <c r="K91" s="3" t="str" cm="1">
        <f t="array" ref="K91">"Case "&amp;wRandomLetter()&amp;wRandomLetter()&amp;I91&amp;":    UniConst = ChrW(" &amp; I91 &amp;")"</f>
        <v>Case cu127767:    UniConst = ChrW(127767)</v>
      </c>
    </row>
    <row r="92" spans="1:11" hidden="1">
      <c r="A92" t="s">
        <v>3638</v>
      </c>
      <c r="B92" t="str">
        <f t="shared" si="8"/>
        <v>1F318 ; fully-qualified # 🌘 E1.0 waning crescent moon</v>
      </c>
      <c r="C92" t="str">
        <f t="shared" si="9"/>
        <v xml:space="preserve">1F318 </v>
      </c>
      <c r="D92">
        <f t="shared" si="10"/>
        <v>6</v>
      </c>
      <c r="E92" t="str">
        <f t="shared" si="6"/>
        <v xml:space="preserve"> 🌘 E1.0 waning crescent moon</v>
      </c>
      <c r="F92" t="b">
        <f t="shared" si="11"/>
        <v>1</v>
      </c>
      <c r="G92" t="str">
        <f t="shared" si="7"/>
        <v>1F318</v>
      </c>
      <c r="I92">
        <f>HEX2DEC(Table1[[#This Row],[utf8]])</f>
        <v>127768</v>
      </c>
      <c r="J92" t="str">
        <f>_xlfn.UNICHAR(HEX2DEC(Table1[[#This Row],[utf8]]))</f>
        <v>🌘</v>
      </c>
      <c r="K92" s="3" t="str" cm="1">
        <f t="array" ref="K92">"Case "&amp;wRandomLetter()&amp;wRandomLetter()&amp;I92&amp;":    UniConst = ChrW(" &amp; I92 &amp;")"</f>
        <v>Case Sp127768:    UniConst = ChrW(127768)</v>
      </c>
    </row>
    <row r="93" spans="1:11" hidden="1">
      <c r="A93" t="s">
        <v>3639</v>
      </c>
      <c r="B93" t="str">
        <f t="shared" si="8"/>
        <v>1F319 ; fully-qualified # 🌙 E0.6 crescent moon</v>
      </c>
      <c r="C93" t="str">
        <f t="shared" si="9"/>
        <v xml:space="preserve">1F319 </v>
      </c>
      <c r="D93">
        <f t="shared" si="10"/>
        <v>6</v>
      </c>
      <c r="E93" t="str">
        <f t="shared" si="6"/>
        <v xml:space="preserve"> 🌙 E0.6 crescent moon</v>
      </c>
      <c r="F93" t="b">
        <f t="shared" si="11"/>
        <v>1</v>
      </c>
      <c r="G93" t="str">
        <f t="shared" si="7"/>
        <v>1F319</v>
      </c>
      <c r="I93">
        <f>HEX2DEC(Table1[[#This Row],[utf8]])</f>
        <v>127769</v>
      </c>
      <c r="J93" t="str">
        <f>_xlfn.UNICHAR(HEX2DEC(Table1[[#This Row],[utf8]]))</f>
        <v>🌙</v>
      </c>
      <c r="K93" s="3" t="str" cm="1">
        <f t="array" ref="K93">"Case "&amp;wRandomLetter()&amp;wRandomLetter()&amp;I93&amp;":    UniConst = ChrW(" &amp; I93 &amp;")"</f>
        <v>Case Ar127769:    UniConst = ChrW(127769)</v>
      </c>
    </row>
    <row r="94" spans="1:11" hidden="1">
      <c r="A94" t="s">
        <v>3640</v>
      </c>
      <c r="B94" t="str">
        <f t="shared" si="8"/>
        <v>1F31A ; fully-qualified # 🌚 E1.0 new moon face</v>
      </c>
      <c r="C94" t="str">
        <f t="shared" si="9"/>
        <v xml:space="preserve">1F31A </v>
      </c>
      <c r="D94">
        <f t="shared" si="10"/>
        <v>6</v>
      </c>
      <c r="E94" t="str">
        <f t="shared" si="6"/>
        <v xml:space="preserve"> 🌚 E1.0 new moon face</v>
      </c>
      <c r="F94" t="b">
        <f t="shared" si="11"/>
        <v>1</v>
      </c>
      <c r="G94" t="str">
        <f t="shared" si="7"/>
        <v>1F31A</v>
      </c>
      <c r="I94">
        <f>HEX2DEC(Table1[[#This Row],[utf8]])</f>
        <v>127770</v>
      </c>
      <c r="J94" t="str">
        <f>_xlfn.UNICHAR(HEX2DEC(Table1[[#This Row],[utf8]]))</f>
        <v>🌚</v>
      </c>
      <c r="K94" s="3" t="str" cm="1">
        <f t="array" ref="K94">"Case "&amp;wRandomLetter()&amp;wRandomLetter()&amp;I94&amp;":    UniConst = ChrW(" &amp; I94 &amp;")"</f>
        <v>Case Kx127770:    UniConst = ChrW(127770)</v>
      </c>
    </row>
    <row r="95" spans="1:11" hidden="1">
      <c r="A95" t="s">
        <v>3641</v>
      </c>
      <c r="B95" t="str">
        <f t="shared" si="8"/>
        <v>1F31B ; fully-qualified # 🌛 E0.6 first quarter moon face</v>
      </c>
      <c r="C95" t="str">
        <f t="shared" si="9"/>
        <v xml:space="preserve">1F31B </v>
      </c>
      <c r="D95">
        <f t="shared" si="10"/>
        <v>6</v>
      </c>
      <c r="E95" t="str">
        <f t="shared" si="6"/>
        <v xml:space="preserve"> 🌛 E0.6 first quarter moon face</v>
      </c>
      <c r="F95" t="b">
        <f t="shared" si="11"/>
        <v>1</v>
      </c>
      <c r="G95" t="str">
        <f t="shared" si="7"/>
        <v>1F31B</v>
      </c>
      <c r="I95">
        <f>HEX2DEC(Table1[[#This Row],[utf8]])</f>
        <v>127771</v>
      </c>
      <c r="J95" t="str">
        <f>_xlfn.UNICHAR(HEX2DEC(Table1[[#This Row],[utf8]]))</f>
        <v>🌛</v>
      </c>
      <c r="K95" s="3" t="str" cm="1">
        <f t="array" ref="K95">"Case "&amp;wRandomLetter()&amp;wRandomLetter()&amp;I95&amp;":    UniConst = ChrW(" &amp; I95 &amp;")"</f>
        <v>Case pp127771:    UniConst = ChrW(127771)</v>
      </c>
    </row>
    <row r="96" spans="1:11" hidden="1">
      <c r="A96" t="s">
        <v>3642</v>
      </c>
      <c r="B96" t="str">
        <f t="shared" si="8"/>
        <v>1F31C ; fully-qualified # 🌜 E0.7 last quarter moon face</v>
      </c>
      <c r="C96" t="str">
        <f t="shared" si="9"/>
        <v xml:space="preserve">1F31C </v>
      </c>
      <c r="D96">
        <f t="shared" si="10"/>
        <v>6</v>
      </c>
      <c r="E96" t="str">
        <f t="shared" si="6"/>
        <v xml:space="preserve"> 🌜 E0.7 last quarter moon face</v>
      </c>
      <c r="F96" t="b">
        <f t="shared" si="11"/>
        <v>1</v>
      </c>
      <c r="G96" t="str">
        <f t="shared" si="7"/>
        <v>1F31C</v>
      </c>
      <c r="I96">
        <f>HEX2DEC(Table1[[#This Row],[utf8]])</f>
        <v>127772</v>
      </c>
      <c r="J96" t="str">
        <f>_xlfn.UNICHAR(HEX2DEC(Table1[[#This Row],[utf8]]))</f>
        <v>🌜</v>
      </c>
      <c r="K96" s="3" t="str" cm="1">
        <f t="array" ref="K96">"Case "&amp;wRandomLetter()&amp;wRandomLetter()&amp;I96&amp;":    UniConst = ChrW(" &amp; I96 &amp;")"</f>
        <v>Case yT127772:    UniConst = ChrW(127772)</v>
      </c>
    </row>
    <row r="97" spans="1:11" hidden="1">
      <c r="A97" t="s">
        <v>3647</v>
      </c>
      <c r="B97" t="str">
        <f t="shared" si="8"/>
        <v>1F31D ; fully-qualified # 🌝 E1.0 full moon face</v>
      </c>
      <c r="C97" t="str">
        <f t="shared" si="9"/>
        <v xml:space="preserve">1F31D </v>
      </c>
      <c r="D97">
        <f t="shared" si="10"/>
        <v>6</v>
      </c>
      <c r="E97" t="str">
        <f t="shared" si="6"/>
        <v xml:space="preserve"> 🌝 E1.0 full moon face</v>
      </c>
      <c r="F97" t="b">
        <f t="shared" si="11"/>
        <v>1</v>
      </c>
      <c r="G97" t="str">
        <f t="shared" si="7"/>
        <v>1F31D</v>
      </c>
      <c r="I97">
        <f>HEX2DEC(Table1[[#This Row],[utf8]])</f>
        <v>127773</v>
      </c>
      <c r="J97" t="str">
        <f>_xlfn.UNICHAR(HEX2DEC(Table1[[#This Row],[utf8]]))</f>
        <v>🌝</v>
      </c>
      <c r="K97" s="3" t="str" cm="1">
        <f t="array" ref="K97">"Case "&amp;wRandomLetter()&amp;wRandomLetter()&amp;I97&amp;":    UniConst = ChrW(" &amp; I97 &amp;")"</f>
        <v>Case zR127773:    UniConst = ChrW(127773)</v>
      </c>
    </row>
    <row r="98" spans="1:11" hidden="1">
      <c r="A98" t="s">
        <v>3648</v>
      </c>
      <c r="B98" t="str">
        <f t="shared" si="8"/>
        <v>1F31E ; fully-qualified # 🌞 E1.0 sun with face</v>
      </c>
      <c r="C98" t="str">
        <f t="shared" si="9"/>
        <v xml:space="preserve">1F31E </v>
      </c>
      <c r="D98">
        <f t="shared" si="10"/>
        <v>6</v>
      </c>
      <c r="E98" t="str">
        <f t="shared" si="6"/>
        <v xml:space="preserve"> 🌞 E1.0 sun with face</v>
      </c>
      <c r="F98" t="b">
        <f t="shared" si="11"/>
        <v>1</v>
      </c>
      <c r="G98" t="str">
        <f t="shared" si="7"/>
        <v>1F31E</v>
      </c>
      <c r="I98">
        <f>HEX2DEC(Table1[[#This Row],[utf8]])</f>
        <v>127774</v>
      </c>
      <c r="J98" t="str">
        <f>_xlfn.UNICHAR(HEX2DEC(Table1[[#This Row],[utf8]]))</f>
        <v>🌞</v>
      </c>
      <c r="K98" s="3" t="str" cm="1">
        <f t="array" ref="K98">"Case "&amp;wRandomLetter()&amp;wRandomLetter()&amp;I98&amp;":    UniConst = ChrW(" &amp; I98 &amp;")"</f>
        <v>Case YC127774:    UniConst = ChrW(127774)</v>
      </c>
    </row>
    <row r="99" spans="1:11" hidden="1">
      <c r="A99" t="s">
        <v>3651</v>
      </c>
      <c r="B99" t="str">
        <f t="shared" si="8"/>
        <v>1F31F ; fully-qualified # 🌟 E0.6 glowing star</v>
      </c>
      <c r="C99" t="str">
        <f t="shared" si="9"/>
        <v xml:space="preserve">1F31F </v>
      </c>
      <c r="D99">
        <f t="shared" si="10"/>
        <v>6</v>
      </c>
      <c r="E99" t="str">
        <f t="shared" si="6"/>
        <v xml:space="preserve"> 🌟 E0.6 glowing star</v>
      </c>
      <c r="F99" t="b">
        <f t="shared" si="11"/>
        <v>1</v>
      </c>
      <c r="G99" t="str">
        <f t="shared" si="7"/>
        <v>1F31F</v>
      </c>
      <c r="I99">
        <f>HEX2DEC(Table1[[#This Row],[utf8]])</f>
        <v>127775</v>
      </c>
      <c r="J99" t="str">
        <f>_xlfn.UNICHAR(HEX2DEC(Table1[[#This Row],[utf8]]))</f>
        <v>🌟</v>
      </c>
      <c r="K99" s="3" t="str" cm="1">
        <f t="array" ref="K99">"Case "&amp;wRandomLetter()&amp;wRandomLetter()&amp;I99&amp;":    UniConst = ChrW(" &amp; I99 &amp;")"</f>
        <v>Case KU127775:    UniConst = ChrW(127775)</v>
      </c>
    </row>
    <row r="100" spans="1:11" hidden="1">
      <c r="A100" t="s">
        <v>3652</v>
      </c>
      <c r="B100" t="str">
        <f t="shared" si="8"/>
        <v>1F320 ; fully-qualified # 🌠 E0.6 shooting star</v>
      </c>
      <c r="C100" t="str">
        <f t="shared" si="9"/>
        <v xml:space="preserve">1F320 </v>
      </c>
      <c r="D100">
        <f t="shared" si="10"/>
        <v>6</v>
      </c>
      <c r="E100" t="str">
        <f t="shared" si="6"/>
        <v xml:space="preserve"> 🌠 E0.6 shooting star</v>
      </c>
      <c r="F100" t="b">
        <f t="shared" si="11"/>
        <v>1</v>
      </c>
      <c r="G100" t="str">
        <f t="shared" si="7"/>
        <v>1F320</v>
      </c>
      <c r="I100">
        <f>HEX2DEC(Table1[[#This Row],[utf8]])</f>
        <v>127776</v>
      </c>
      <c r="J100" t="str">
        <f>_xlfn.UNICHAR(HEX2DEC(Table1[[#This Row],[utf8]]))</f>
        <v>🌠</v>
      </c>
      <c r="K100" s="3" t="str" cm="1">
        <f t="array" ref="K100">"Case "&amp;wRandomLetter()&amp;wRandomLetter()&amp;I100&amp;":    UniConst = ChrW(" &amp; I100 &amp;")"</f>
        <v>Case Jn127776:    UniConst = ChrW(127776)</v>
      </c>
    </row>
    <row r="101" spans="1:11" hidden="1">
      <c r="A101" t="s">
        <v>3644</v>
      </c>
      <c r="B101" t="str">
        <f t="shared" si="8"/>
        <v>1F321 ; unqualified # 🌡 E0.7 thermometer</v>
      </c>
      <c r="C101" t="str">
        <f t="shared" si="9"/>
        <v xml:space="preserve">1F321 </v>
      </c>
      <c r="D101">
        <f t="shared" si="10"/>
        <v>6</v>
      </c>
      <c r="E101" t="str">
        <f t="shared" si="6"/>
        <v xml:space="preserve"> 🌡 E0.7 thermometer</v>
      </c>
      <c r="F101" t="b">
        <f t="shared" si="11"/>
        <v>1</v>
      </c>
      <c r="G101" t="str">
        <f t="shared" si="7"/>
        <v>1F321</v>
      </c>
      <c r="I101">
        <f>HEX2DEC(Table1[[#This Row],[utf8]])</f>
        <v>127777</v>
      </c>
      <c r="J101" t="str">
        <f>_xlfn.UNICHAR(HEX2DEC(Table1[[#This Row],[utf8]]))</f>
        <v>🌡</v>
      </c>
      <c r="K101" s="3" t="str" cm="1">
        <f t="array" ref="K101">"Case "&amp;wRandomLetter()&amp;wRandomLetter()&amp;I101&amp;":    UniConst = ChrW(" &amp; I101 &amp;")"</f>
        <v>Case nu127777:    UniConst = ChrW(127777)</v>
      </c>
    </row>
    <row r="102" spans="1:11" hidden="1">
      <c r="A102" t="s">
        <v>3643</v>
      </c>
      <c r="B102" t="str">
        <f t="shared" si="8"/>
        <v>1F321 FE0F ; fully-qualified # 🌡️ E0.7 thermometer</v>
      </c>
      <c r="C102" t="str">
        <f t="shared" si="9"/>
        <v xml:space="preserve">1F321 FE0F </v>
      </c>
      <c r="D102">
        <f t="shared" si="10"/>
        <v>11</v>
      </c>
      <c r="E102" t="str">
        <f t="shared" si="6"/>
        <v xml:space="preserve"> 🌡️ E0.7 thermometer</v>
      </c>
      <c r="F102" t="b">
        <f t="shared" si="11"/>
        <v>1</v>
      </c>
      <c r="G102" t="str">
        <f t="shared" si="7"/>
        <v>1F321</v>
      </c>
      <c r="I102">
        <f>HEX2DEC(Table1[[#This Row],[utf8]])</f>
        <v>127777</v>
      </c>
      <c r="J102" t="str">
        <f>_xlfn.UNICHAR(HEX2DEC(Table1[[#This Row],[utf8]]))</f>
        <v>🌡</v>
      </c>
      <c r="K102" s="3" t="str" cm="1">
        <f t="array" ref="K102">"Case "&amp;wRandomLetter()&amp;wRandomLetter()&amp;I102&amp;":    UniConst = ChrW(" &amp; I102 &amp;")"</f>
        <v>Case jJ127777:    UniConst = ChrW(127777)</v>
      </c>
    </row>
    <row r="103" spans="1:11" hidden="1">
      <c r="A103" t="s">
        <v>3660</v>
      </c>
      <c r="B103" t="str">
        <f t="shared" si="8"/>
        <v>1F324 ; unqualified # 🌤 E0.7 sun behind small cloud</v>
      </c>
      <c r="C103" t="str">
        <f t="shared" si="9"/>
        <v xml:space="preserve">1F324 </v>
      </c>
      <c r="D103">
        <f t="shared" si="10"/>
        <v>6</v>
      </c>
      <c r="E103" t="str">
        <f t="shared" si="6"/>
        <v xml:space="preserve"> 🌤 E0.7 sun behind small cloud</v>
      </c>
      <c r="F103" t="b">
        <f t="shared" si="11"/>
        <v>1</v>
      </c>
      <c r="G103" t="str">
        <f t="shared" si="7"/>
        <v>1F324</v>
      </c>
      <c r="I103">
        <f>HEX2DEC(Table1[[#This Row],[utf8]])</f>
        <v>127780</v>
      </c>
      <c r="J103" t="str">
        <f>_xlfn.UNICHAR(HEX2DEC(Table1[[#This Row],[utf8]]))</f>
        <v>🌤</v>
      </c>
      <c r="K103" s="3" t="str" cm="1">
        <f t="array" ref="K103">"Case "&amp;wRandomLetter()&amp;wRandomLetter()&amp;I103&amp;":    UniConst = ChrW(" &amp; I103 &amp;")"</f>
        <v>Case DF127780:    UniConst = ChrW(127780)</v>
      </c>
    </row>
    <row r="104" spans="1:11" hidden="1">
      <c r="A104" t="s">
        <v>3659</v>
      </c>
      <c r="B104" t="str">
        <f t="shared" si="8"/>
        <v>1F324 FE0F ; fully-qualified # 🌤️ E0.7 sun behind small cloud</v>
      </c>
      <c r="C104" t="str">
        <f t="shared" si="9"/>
        <v xml:space="preserve">1F324 FE0F </v>
      </c>
      <c r="D104">
        <f t="shared" si="10"/>
        <v>11</v>
      </c>
      <c r="E104" t="str">
        <f t="shared" si="6"/>
        <v xml:space="preserve"> 🌤️ E0.7 sun behind small cloud</v>
      </c>
      <c r="F104" t="b">
        <f t="shared" si="11"/>
        <v>1</v>
      </c>
      <c r="G104" t="str">
        <f t="shared" si="7"/>
        <v>1F324</v>
      </c>
      <c r="I104">
        <f>HEX2DEC(Table1[[#This Row],[utf8]])</f>
        <v>127780</v>
      </c>
      <c r="J104" t="str">
        <f>_xlfn.UNICHAR(HEX2DEC(Table1[[#This Row],[utf8]]))</f>
        <v>🌤</v>
      </c>
      <c r="K104" s="3" t="str" cm="1">
        <f t="array" ref="K104">"Case "&amp;wRandomLetter()&amp;wRandomLetter()&amp;I104&amp;":    UniConst = ChrW(" &amp; I104 &amp;")"</f>
        <v>Case rK127780:    UniConst = ChrW(127780)</v>
      </c>
    </row>
    <row r="105" spans="1:11" hidden="1">
      <c r="A105" t="s">
        <v>3662</v>
      </c>
      <c r="B105" t="str">
        <f t="shared" si="8"/>
        <v>1F325 ; unqualified # 🌥 E0.7 sun behind large cloud</v>
      </c>
      <c r="C105" t="str">
        <f t="shared" si="9"/>
        <v xml:space="preserve">1F325 </v>
      </c>
      <c r="D105">
        <f t="shared" si="10"/>
        <v>6</v>
      </c>
      <c r="E105" t="str">
        <f t="shared" si="6"/>
        <v xml:space="preserve"> 🌥 E0.7 sun behind large cloud</v>
      </c>
      <c r="F105" t="b">
        <f t="shared" si="11"/>
        <v>1</v>
      </c>
      <c r="G105" t="str">
        <f t="shared" si="7"/>
        <v>1F325</v>
      </c>
      <c r="I105">
        <f>HEX2DEC(Table1[[#This Row],[utf8]])</f>
        <v>127781</v>
      </c>
      <c r="J105" t="str">
        <f>_xlfn.UNICHAR(HEX2DEC(Table1[[#This Row],[utf8]]))</f>
        <v>🌥</v>
      </c>
      <c r="K105" s="3" t="str" cm="1">
        <f t="array" ref="K105">"Case "&amp;wRandomLetter()&amp;wRandomLetter()&amp;I105&amp;":    UniConst = ChrW(" &amp; I105 &amp;")"</f>
        <v>Case yV127781:    UniConst = ChrW(127781)</v>
      </c>
    </row>
    <row r="106" spans="1:11" hidden="1">
      <c r="A106" t="s">
        <v>3661</v>
      </c>
      <c r="B106" t="str">
        <f t="shared" si="8"/>
        <v>1F325 FE0F ; fully-qualified # 🌥️ E0.7 sun behind large cloud</v>
      </c>
      <c r="C106" t="str">
        <f t="shared" si="9"/>
        <v xml:space="preserve">1F325 FE0F </v>
      </c>
      <c r="D106">
        <f t="shared" si="10"/>
        <v>11</v>
      </c>
      <c r="E106" t="str">
        <f t="shared" si="6"/>
        <v xml:space="preserve"> 🌥️ E0.7 sun behind large cloud</v>
      </c>
      <c r="F106" t="b">
        <f t="shared" si="11"/>
        <v>1</v>
      </c>
      <c r="G106" t="str">
        <f t="shared" si="7"/>
        <v>1F325</v>
      </c>
      <c r="I106">
        <f>HEX2DEC(Table1[[#This Row],[utf8]])</f>
        <v>127781</v>
      </c>
      <c r="J106" t="str">
        <f>_xlfn.UNICHAR(HEX2DEC(Table1[[#This Row],[utf8]]))</f>
        <v>🌥</v>
      </c>
      <c r="K106" s="3" t="str" cm="1">
        <f t="array" ref="K106">"Case "&amp;wRandomLetter()&amp;wRandomLetter()&amp;I106&amp;":    UniConst = ChrW(" &amp; I106 &amp;")"</f>
        <v>Case nX127781:    UniConst = ChrW(127781)</v>
      </c>
    </row>
    <row r="107" spans="1:11" hidden="1">
      <c r="A107" t="s">
        <v>3664</v>
      </c>
      <c r="B107" t="str">
        <f t="shared" si="8"/>
        <v>1F326 ; unqualified # 🌦 E0.7 sun behind rain cloud</v>
      </c>
      <c r="C107" t="str">
        <f t="shared" si="9"/>
        <v xml:space="preserve">1F326 </v>
      </c>
      <c r="D107">
        <f t="shared" si="10"/>
        <v>6</v>
      </c>
      <c r="E107" t="str">
        <f t="shared" si="6"/>
        <v xml:space="preserve"> 🌦 E0.7 sun behind rain cloud</v>
      </c>
      <c r="F107" t="b">
        <f t="shared" si="11"/>
        <v>1</v>
      </c>
      <c r="G107" t="str">
        <f t="shared" si="7"/>
        <v>1F326</v>
      </c>
      <c r="I107">
        <f>HEX2DEC(Table1[[#This Row],[utf8]])</f>
        <v>127782</v>
      </c>
      <c r="J107" t="str">
        <f>_xlfn.UNICHAR(HEX2DEC(Table1[[#This Row],[utf8]]))</f>
        <v>🌦</v>
      </c>
      <c r="K107" s="3" t="str" cm="1">
        <f t="array" ref="K107">"Case "&amp;wRandomLetter()&amp;wRandomLetter()&amp;I107&amp;":    UniConst = ChrW(" &amp; I107 &amp;")"</f>
        <v>Case XC127782:    UniConst = ChrW(127782)</v>
      </c>
    </row>
    <row r="108" spans="1:11" hidden="1">
      <c r="A108" t="s">
        <v>3663</v>
      </c>
      <c r="B108" t="str">
        <f t="shared" si="8"/>
        <v>1F326 FE0F ; fully-qualified # 🌦️ E0.7 sun behind rain cloud</v>
      </c>
      <c r="C108" t="str">
        <f t="shared" si="9"/>
        <v xml:space="preserve">1F326 FE0F </v>
      </c>
      <c r="D108">
        <f t="shared" si="10"/>
        <v>11</v>
      </c>
      <c r="E108" t="str">
        <f t="shared" si="6"/>
        <v xml:space="preserve"> 🌦️ E0.7 sun behind rain cloud</v>
      </c>
      <c r="F108" t="b">
        <f t="shared" si="11"/>
        <v>1</v>
      </c>
      <c r="G108" t="str">
        <f t="shared" si="7"/>
        <v>1F326</v>
      </c>
      <c r="I108">
        <f>HEX2DEC(Table1[[#This Row],[utf8]])</f>
        <v>127782</v>
      </c>
      <c r="J108" t="str">
        <f>_xlfn.UNICHAR(HEX2DEC(Table1[[#This Row],[utf8]]))</f>
        <v>🌦</v>
      </c>
      <c r="K108" s="3" t="str" cm="1">
        <f t="array" ref="K108">"Case "&amp;wRandomLetter()&amp;wRandomLetter()&amp;I108&amp;":    UniConst = ChrW(" &amp; I108 &amp;")"</f>
        <v>Case PN127782:    UniConst = ChrW(127782)</v>
      </c>
    </row>
    <row r="109" spans="1:11" hidden="1">
      <c r="A109" t="s">
        <v>3666</v>
      </c>
      <c r="B109" t="str">
        <f t="shared" si="8"/>
        <v>1F327 ; unqualified # 🌧 E0.7 cloud with rain</v>
      </c>
      <c r="C109" t="str">
        <f t="shared" si="9"/>
        <v xml:space="preserve">1F327 </v>
      </c>
      <c r="D109">
        <f t="shared" si="10"/>
        <v>6</v>
      </c>
      <c r="E109" t="str">
        <f t="shared" si="6"/>
        <v xml:space="preserve"> 🌧 E0.7 cloud with rain</v>
      </c>
      <c r="F109" t="b">
        <f t="shared" si="11"/>
        <v>1</v>
      </c>
      <c r="G109" t="str">
        <f t="shared" si="7"/>
        <v>1F327</v>
      </c>
      <c r="I109">
        <f>HEX2DEC(Table1[[#This Row],[utf8]])</f>
        <v>127783</v>
      </c>
      <c r="J109" t="str">
        <f>_xlfn.UNICHAR(HEX2DEC(Table1[[#This Row],[utf8]]))</f>
        <v>🌧</v>
      </c>
      <c r="K109" s="3" t="str" cm="1">
        <f t="array" ref="K109">"Case "&amp;wRandomLetter()&amp;wRandomLetter()&amp;I109&amp;":    UniConst = ChrW(" &amp; I109 &amp;")"</f>
        <v>Case eH127783:    UniConst = ChrW(127783)</v>
      </c>
    </row>
    <row r="110" spans="1:11" hidden="1">
      <c r="A110" t="s">
        <v>3665</v>
      </c>
      <c r="B110" t="str">
        <f t="shared" si="8"/>
        <v>1F327 FE0F ; fully-qualified # 🌧️ E0.7 cloud with rain</v>
      </c>
      <c r="C110" t="str">
        <f t="shared" si="9"/>
        <v xml:space="preserve">1F327 FE0F </v>
      </c>
      <c r="D110">
        <f t="shared" si="10"/>
        <v>11</v>
      </c>
      <c r="E110" t="str">
        <f t="shared" si="6"/>
        <v xml:space="preserve"> 🌧️ E0.7 cloud with rain</v>
      </c>
      <c r="F110" t="b">
        <f t="shared" si="11"/>
        <v>1</v>
      </c>
      <c r="G110" t="str">
        <f t="shared" si="7"/>
        <v>1F327</v>
      </c>
      <c r="I110">
        <f>HEX2DEC(Table1[[#This Row],[utf8]])</f>
        <v>127783</v>
      </c>
      <c r="J110" t="str">
        <f>_xlfn.UNICHAR(HEX2DEC(Table1[[#This Row],[utf8]]))</f>
        <v>🌧</v>
      </c>
      <c r="K110" s="3" t="str" cm="1">
        <f t="array" ref="K110">"Case "&amp;wRandomLetter()&amp;wRandomLetter()&amp;I110&amp;":    UniConst = ChrW(" &amp; I110 &amp;")"</f>
        <v>Case ml127783:    UniConst = ChrW(127783)</v>
      </c>
    </row>
    <row r="111" spans="1:11" hidden="1">
      <c r="A111" t="s">
        <v>3668</v>
      </c>
      <c r="B111" t="str">
        <f t="shared" si="8"/>
        <v>1F328 ; unqualified # 🌨 E0.7 cloud with snow</v>
      </c>
      <c r="C111" t="str">
        <f t="shared" si="9"/>
        <v xml:space="preserve">1F328 </v>
      </c>
      <c r="D111">
        <f t="shared" si="10"/>
        <v>6</v>
      </c>
      <c r="E111" t="str">
        <f t="shared" si="6"/>
        <v xml:space="preserve"> 🌨 E0.7 cloud with snow</v>
      </c>
      <c r="F111" t="b">
        <f t="shared" si="11"/>
        <v>1</v>
      </c>
      <c r="G111" t="str">
        <f t="shared" si="7"/>
        <v>1F328</v>
      </c>
      <c r="I111">
        <f>HEX2DEC(Table1[[#This Row],[utf8]])</f>
        <v>127784</v>
      </c>
      <c r="J111" t="str">
        <f>_xlfn.UNICHAR(HEX2DEC(Table1[[#This Row],[utf8]]))</f>
        <v>🌨</v>
      </c>
      <c r="K111" s="3" t="str" cm="1">
        <f t="array" ref="K111">"Case "&amp;wRandomLetter()&amp;wRandomLetter()&amp;I111&amp;":    UniConst = ChrW(" &amp; I111 &amp;")"</f>
        <v>Case Uz127784:    UniConst = ChrW(127784)</v>
      </c>
    </row>
    <row r="112" spans="1:11" hidden="1">
      <c r="A112" t="s">
        <v>3667</v>
      </c>
      <c r="B112" t="str">
        <f t="shared" si="8"/>
        <v>1F328 FE0F ; fully-qualified # 🌨️ E0.7 cloud with snow</v>
      </c>
      <c r="C112" t="str">
        <f t="shared" si="9"/>
        <v xml:space="preserve">1F328 FE0F </v>
      </c>
      <c r="D112">
        <f t="shared" si="10"/>
        <v>11</v>
      </c>
      <c r="E112" t="str">
        <f t="shared" si="6"/>
        <v xml:space="preserve"> 🌨️ E0.7 cloud with snow</v>
      </c>
      <c r="F112" t="b">
        <f t="shared" si="11"/>
        <v>1</v>
      </c>
      <c r="G112" t="str">
        <f t="shared" si="7"/>
        <v>1F328</v>
      </c>
      <c r="I112">
        <f>HEX2DEC(Table1[[#This Row],[utf8]])</f>
        <v>127784</v>
      </c>
      <c r="J112" t="str">
        <f>_xlfn.UNICHAR(HEX2DEC(Table1[[#This Row],[utf8]]))</f>
        <v>🌨</v>
      </c>
      <c r="K112" s="3" t="str" cm="1">
        <f t="array" ref="K112">"Case "&amp;wRandomLetter()&amp;wRandomLetter()&amp;I112&amp;":    UniConst = ChrW(" &amp; I112 &amp;")"</f>
        <v>Case Hu127784:    UniConst = ChrW(127784)</v>
      </c>
    </row>
    <row r="113" spans="1:11" hidden="1">
      <c r="A113" t="s">
        <v>3670</v>
      </c>
      <c r="B113" t="str">
        <f t="shared" si="8"/>
        <v>1F329 ; unqualified # 🌩 E0.7 cloud with lightning</v>
      </c>
      <c r="C113" t="str">
        <f t="shared" si="9"/>
        <v xml:space="preserve">1F329 </v>
      </c>
      <c r="D113">
        <f t="shared" si="10"/>
        <v>6</v>
      </c>
      <c r="E113" t="str">
        <f t="shared" si="6"/>
        <v xml:space="preserve"> 🌩 E0.7 cloud with lightning</v>
      </c>
      <c r="F113" t="b">
        <f t="shared" si="11"/>
        <v>1</v>
      </c>
      <c r="G113" t="str">
        <f t="shared" si="7"/>
        <v>1F329</v>
      </c>
      <c r="I113">
        <f>HEX2DEC(Table1[[#This Row],[utf8]])</f>
        <v>127785</v>
      </c>
      <c r="J113" t="str">
        <f>_xlfn.UNICHAR(HEX2DEC(Table1[[#This Row],[utf8]]))</f>
        <v>🌩</v>
      </c>
      <c r="K113" s="3" t="str" cm="1">
        <f t="array" ref="K113">"Case "&amp;wRandomLetter()&amp;wRandomLetter()&amp;I113&amp;":    UniConst = ChrW(" &amp; I113 &amp;")"</f>
        <v>Case df127785:    UniConst = ChrW(127785)</v>
      </c>
    </row>
    <row r="114" spans="1:11" hidden="1">
      <c r="A114" t="s">
        <v>3669</v>
      </c>
      <c r="B114" t="str">
        <f t="shared" si="8"/>
        <v>1F329 FE0F ; fully-qualified # 🌩️ E0.7 cloud with lightning</v>
      </c>
      <c r="C114" t="str">
        <f t="shared" si="9"/>
        <v xml:space="preserve">1F329 FE0F </v>
      </c>
      <c r="D114">
        <f t="shared" si="10"/>
        <v>11</v>
      </c>
      <c r="E114" t="str">
        <f t="shared" si="6"/>
        <v xml:space="preserve"> 🌩️ E0.7 cloud with lightning</v>
      </c>
      <c r="F114" t="b">
        <f t="shared" si="11"/>
        <v>1</v>
      </c>
      <c r="G114" t="str">
        <f t="shared" si="7"/>
        <v>1F329</v>
      </c>
      <c r="I114">
        <f>HEX2DEC(Table1[[#This Row],[utf8]])</f>
        <v>127785</v>
      </c>
      <c r="J114" t="str">
        <f>_xlfn.UNICHAR(HEX2DEC(Table1[[#This Row],[utf8]]))</f>
        <v>🌩</v>
      </c>
      <c r="K114" s="3" t="str" cm="1">
        <f t="array" ref="K114">"Case "&amp;wRandomLetter()&amp;wRandomLetter()&amp;I114&amp;":    UniConst = ChrW(" &amp; I114 &amp;")"</f>
        <v>Case mA127785:    UniConst = ChrW(127785)</v>
      </c>
    </row>
    <row r="115" spans="1:11" hidden="1">
      <c r="A115" t="s">
        <v>3672</v>
      </c>
      <c r="B115" t="str">
        <f t="shared" si="8"/>
        <v>1F32A ; unqualified # 🌪 E0.7 tornado</v>
      </c>
      <c r="C115" t="str">
        <f t="shared" si="9"/>
        <v xml:space="preserve">1F32A </v>
      </c>
      <c r="D115">
        <f t="shared" si="10"/>
        <v>6</v>
      </c>
      <c r="E115" t="str">
        <f t="shared" si="6"/>
        <v xml:space="preserve"> 🌪 E0.7 tornado</v>
      </c>
      <c r="F115" t="b">
        <f t="shared" si="11"/>
        <v>1</v>
      </c>
      <c r="G115" t="str">
        <f t="shared" si="7"/>
        <v>1F32A</v>
      </c>
      <c r="I115">
        <f>HEX2DEC(Table1[[#This Row],[utf8]])</f>
        <v>127786</v>
      </c>
      <c r="J115" t="str">
        <f>_xlfn.UNICHAR(HEX2DEC(Table1[[#This Row],[utf8]]))</f>
        <v>🌪</v>
      </c>
      <c r="K115" s="3" t="str" cm="1">
        <f t="array" ref="K115">"Case "&amp;wRandomLetter()&amp;wRandomLetter()&amp;I115&amp;":    UniConst = ChrW(" &amp; I115 &amp;")"</f>
        <v>Case AN127786:    UniConst = ChrW(127786)</v>
      </c>
    </row>
    <row r="116" spans="1:11" hidden="1">
      <c r="A116" t="s">
        <v>3671</v>
      </c>
      <c r="B116" t="str">
        <f t="shared" si="8"/>
        <v>1F32A FE0F ; fully-qualified # 🌪️ E0.7 tornado</v>
      </c>
      <c r="C116" t="str">
        <f t="shared" si="9"/>
        <v xml:space="preserve">1F32A FE0F </v>
      </c>
      <c r="D116">
        <f t="shared" si="10"/>
        <v>11</v>
      </c>
      <c r="E116" t="str">
        <f t="shared" si="6"/>
        <v xml:space="preserve"> 🌪️ E0.7 tornado</v>
      </c>
      <c r="F116" t="b">
        <f t="shared" si="11"/>
        <v>1</v>
      </c>
      <c r="G116" t="str">
        <f t="shared" si="7"/>
        <v>1F32A</v>
      </c>
      <c r="I116">
        <f>HEX2DEC(Table1[[#This Row],[utf8]])</f>
        <v>127786</v>
      </c>
      <c r="J116" t="str">
        <f>_xlfn.UNICHAR(HEX2DEC(Table1[[#This Row],[utf8]]))</f>
        <v>🌪</v>
      </c>
      <c r="K116" s="3" t="str" cm="1">
        <f t="array" ref="K116">"Case "&amp;wRandomLetter()&amp;wRandomLetter()&amp;I116&amp;":    UniConst = ChrW(" &amp; I116 &amp;")"</f>
        <v>Case ar127786:    UniConst = ChrW(127786)</v>
      </c>
    </row>
    <row r="117" spans="1:11" hidden="1">
      <c r="A117" t="s">
        <v>3674</v>
      </c>
      <c r="B117" t="str">
        <f t="shared" si="8"/>
        <v>1F32B ; unqualified # 🌫 E0.7 fog</v>
      </c>
      <c r="C117" t="str">
        <f t="shared" si="9"/>
        <v xml:space="preserve">1F32B </v>
      </c>
      <c r="D117">
        <f t="shared" si="10"/>
        <v>6</v>
      </c>
      <c r="E117" t="str">
        <f t="shared" si="6"/>
        <v xml:space="preserve"> 🌫 E0.7 fog</v>
      </c>
      <c r="F117" t="b">
        <f t="shared" si="11"/>
        <v>1</v>
      </c>
      <c r="G117" t="str">
        <f t="shared" si="7"/>
        <v>1F32B</v>
      </c>
      <c r="I117">
        <f>HEX2DEC(Table1[[#This Row],[utf8]])</f>
        <v>127787</v>
      </c>
      <c r="J117" t="str">
        <f>_xlfn.UNICHAR(HEX2DEC(Table1[[#This Row],[utf8]]))</f>
        <v>🌫</v>
      </c>
      <c r="K117" s="3" t="str" cm="1">
        <f t="array" ref="K117">"Case "&amp;wRandomLetter()&amp;wRandomLetter()&amp;I117&amp;":    UniConst = ChrW(" &amp; I117 &amp;")"</f>
        <v>Case et127787:    UniConst = ChrW(127787)</v>
      </c>
    </row>
    <row r="118" spans="1:11" hidden="1">
      <c r="A118" t="s">
        <v>3673</v>
      </c>
      <c r="B118" t="str">
        <f t="shared" si="8"/>
        <v>1F32B FE0F ; fully-qualified # 🌫️ E0.7 fog</v>
      </c>
      <c r="C118" t="str">
        <f t="shared" si="9"/>
        <v xml:space="preserve">1F32B FE0F </v>
      </c>
      <c r="D118">
        <f t="shared" si="10"/>
        <v>11</v>
      </c>
      <c r="E118" t="str">
        <f t="shared" si="6"/>
        <v xml:space="preserve"> 🌫️ E0.7 fog</v>
      </c>
      <c r="F118" t="b">
        <f t="shared" si="11"/>
        <v>1</v>
      </c>
      <c r="G118" t="str">
        <f t="shared" si="7"/>
        <v>1F32B</v>
      </c>
      <c r="I118">
        <f>HEX2DEC(Table1[[#This Row],[utf8]])</f>
        <v>127787</v>
      </c>
      <c r="J118" t="str">
        <f>_xlfn.UNICHAR(HEX2DEC(Table1[[#This Row],[utf8]]))</f>
        <v>🌫</v>
      </c>
      <c r="K118" s="3" t="str" cm="1">
        <f t="array" ref="K118">"Case "&amp;wRandomLetter()&amp;wRandomLetter()&amp;I118&amp;":    UniConst = ChrW(" &amp; I118 &amp;")"</f>
        <v>Case rd127787:    UniConst = ChrW(127787)</v>
      </c>
    </row>
    <row r="119" spans="1:11" hidden="1">
      <c r="A119" t="s">
        <v>3676</v>
      </c>
      <c r="B119" t="str">
        <f t="shared" si="8"/>
        <v>1F32C ; unqualified # 🌬 E0.7 wind face</v>
      </c>
      <c r="C119" t="str">
        <f t="shared" si="9"/>
        <v xml:space="preserve">1F32C </v>
      </c>
      <c r="D119">
        <f t="shared" si="10"/>
        <v>6</v>
      </c>
      <c r="E119" t="str">
        <f t="shared" si="6"/>
        <v xml:space="preserve"> 🌬 E0.7 wind face</v>
      </c>
      <c r="F119" t="b">
        <f t="shared" si="11"/>
        <v>1</v>
      </c>
      <c r="G119" t="str">
        <f t="shared" si="7"/>
        <v>1F32C</v>
      </c>
      <c r="I119">
        <f>HEX2DEC(Table1[[#This Row],[utf8]])</f>
        <v>127788</v>
      </c>
      <c r="J119" t="str">
        <f>_xlfn.UNICHAR(HEX2DEC(Table1[[#This Row],[utf8]]))</f>
        <v>🌬</v>
      </c>
      <c r="K119" s="3" t="str" cm="1">
        <f t="array" ref="K119">"Case "&amp;wRandomLetter()&amp;wRandomLetter()&amp;I119&amp;":    UniConst = ChrW(" &amp; I119 &amp;")"</f>
        <v>Case Ie127788:    UniConst = ChrW(127788)</v>
      </c>
    </row>
    <row r="120" spans="1:11" hidden="1">
      <c r="A120" t="s">
        <v>3675</v>
      </c>
      <c r="B120" t="str">
        <f t="shared" si="8"/>
        <v>1F32C FE0F ; fully-qualified # 🌬️ E0.7 wind face</v>
      </c>
      <c r="C120" t="str">
        <f t="shared" si="9"/>
        <v xml:space="preserve">1F32C FE0F </v>
      </c>
      <c r="D120">
        <f t="shared" si="10"/>
        <v>11</v>
      </c>
      <c r="E120" t="str">
        <f t="shared" si="6"/>
        <v xml:space="preserve"> 🌬️ E0.7 wind face</v>
      </c>
      <c r="F120" t="b">
        <f t="shared" si="11"/>
        <v>1</v>
      </c>
      <c r="G120" t="str">
        <f t="shared" si="7"/>
        <v>1F32C</v>
      </c>
      <c r="I120">
        <f>HEX2DEC(Table1[[#This Row],[utf8]])</f>
        <v>127788</v>
      </c>
      <c r="J120" t="str">
        <f>_xlfn.UNICHAR(HEX2DEC(Table1[[#This Row],[utf8]]))</f>
        <v>🌬</v>
      </c>
      <c r="K120" s="3" t="str" cm="1">
        <f t="array" ref="K120">"Case "&amp;wRandomLetter()&amp;wRandomLetter()&amp;I120&amp;":    UniConst = ChrW(" &amp; I120 &amp;")"</f>
        <v>Case Ir127788:    UniConst = ChrW(127788)</v>
      </c>
    </row>
    <row r="121" spans="1:11" hidden="1">
      <c r="A121" t="s">
        <v>3333</v>
      </c>
      <c r="B121" t="str">
        <f t="shared" si="8"/>
        <v>1F32D ; fully-qualified # 🌭 E1.0 hot dog</v>
      </c>
      <c r="C121" t="str">
        <f t="shared" si="9"/>
        <v xml:space="preserve">1F32D </v>
      </c>
      <c r="D121">
        <f t="shared" si="10"/>
        <v>6</v>
      </c>
      <c r="E121" t="str">
        <f t="shared" si="6"/>
        <v xml:space="preserve"> 🌭 E1.0 hot dog</v>
      </c>
      <c r="F121" t="b">
        <f t="shared" si="11"/>
        <v>1</v>
      </c>
      <c r="G121" t="str">
        <f t="shared" si="7"/>
        <v>1F32D</v>
      </c>
      <c r="I121">
        <f>HEX2DEC(Table1[[#This Row],[utf8]])</f>
        <v>127789</v>
      </c>
      <c r="J121" t="str">
        <f>_xlfn.UNICHAR(HEX2DEC(Table1[[#This Row],[utf8]]))</f>
        <v>🌭</v>
      </c>
      <c r="K121" s="3" t="str" cm="1">
        <f t="array" ref="K121">"Case "&amp;wRandomLetter()&amp;wRandomLetter()&amp;I121&amp;":    UniConst = ChrW(" &amp; I121 &amp;")"</f>
        <v>Case YB127789:    UniConst = ChrW(127789)</v>
      </c>
    </row>
    <row r="122" spans="1:11" hidden="1">
      <c r="A122" t="s">
        <v>3335</v>
      </c>
      <c r="B122" t="str">
        <f t="shared" si="8"/>
        <v>1F32E ; fully-qualified # 🌮 E1.0 taco</v>
      </c>
      <c r="C122" t="str">
        <f t="shared" si="9"/>
        <v xml:space="preserve">1F32E </v>
      </c>
      <c r="D122">
        <f t="shared" si="10"/>
        <v>6</v>
      </c>
      <c r="E122" t="str">
        <f t="shared" si="6"/>
        <v xml:space="preserve"> 🌮 E1.0 taco</v>
      </c>
      <c r="F122" t="b">
        <f t="shared" si="11"/>
        <v>1</v>
      </c>
      <c r="G122" t="str">
        <f t="shared" si="7"/>
        <v>1F32E</v>
      </c>
      <c r="I122">
        <f>HEX2DEC(Table1[[#This Row],[utf8]])</f>
        <v>127790</v>
      </c>
      <c r="J122" t="str">
        <f>_xlfn.UNICHAR(HEX2DEC(Table1[[#This Row],[utf8]]))</f>
        <v>🌮</v>
      </c>
      <c r="K122" s="3" t="str" cm="1">
        <f t="array" ref="K122">"Case "&amp;wRandomLetter()&amp;wRandomLetter()&amp;I122&amp;":    UniConst = ChrW(" &amp; I122 &amp;")"</f>
        <v>Case lD127790:    UniConst = ChrW(127790)</v>
      </c>
    </row>
    <row r="123" spans="1:11" hidden="1">
      <c r="A123" t="s">
        <v>3336</v>
      </c>
      <c r="B123" t="str">
        <f t="shared" si="8"/>
        <v>1F32F ; fully-qualified # 🌯 E1.0 burrito</v>
      </c>
      <c r="C123" t="str">
        <f t="shared" si="9"/>
        <v xml:space="preserve">1F32F </v>
      </c>
      <c r="D123">
        <f t="shared" si="10"/>
        <v>6</v>
      </c>
      <c r="E123" t="str">
        <f t="shared" si="6"/>
        <v xml:space="preserve"> 🌯 E1.0 burrito</v>
      </c>
      <c r="F123" t="b">
        <f t="shared" si="11"/>
        <v>1</v>
      </c>
      <c r="G123" t="str">
        <f t="shared" si="7"/>
        <v>1F32F</v>
      </c>
      <c r="I123">
        <f>HEX2DEC(Table1[[#This Row],[utf8]])</f>
        <v>127791</v>
      </c>
      <c r="J123" t="str">
        <f>_xlfn.UNICHAR(HEX2DEC(Table1[[#This Row],[utf8]]))</f>
        <v>🌯</v>
      </c>
      <c r="K123" s="3" t="str" cm="1">
        <f t="array" ref="K123">"Case "&amp;wRandomLetter()&amp;wRandomLetter()&amp;I123&amp;":    UniConst = ChrW(" &amp; I123 &amp;")"</f>
        <v>Case Ia127791:    UniConst = ChrW(127791)</v>
      </c>
    </row>
    <row r="124" spans="1:11" hidden="1">
      <c r="A124" t="s">
        <v>3315</v>
      </c>
      <c r="B124" t="str">
        <f t="shared" si="8"/>
        <v>1F330 ; fully-qualified # 🌰 E0.6 chestnut</v>
      </c>
      <c r="C124" t="str">
        <f t="shared" si="9"/>
        <v xml:space="preserve">1F330 </v>
      </c>
      <c r="D124">
        <f t="shared" si="10"/>
        <v>6</v>
      </c>
      <c r="E124" t="str">
        <f t="shared" si="6"/>
        <v xml:space="preserve"> 🌰 E0.6 chestnut</v>
      </c>
      <c r="F124" t="b">
        <f t="shared" si="11"/>
        <v>1</v>
      </c>
      <c r="G124" t="str">
        <f t="shared" si="7"/>
        <v>1F330</v>
      </c>
      <c r="I124">
        <f>HEX2DEC(Table1[[#This Row],[utf8]])</f>
        <v>127792</v>
      </c>
      <c r="J124" t="str">
        <f>_xlfn.UNICHAR(HEX2DEC(Table1[[#This Row],[utf8]]))</f>
        <v>🌰</v>
      </c>
      <c r="K124" s="3" t="str" cm="1">
        <f t="array" ref="K124">"Case "&amp;wRandomLetter()&amp;wRandomLetter()&amp;I124&amp;":    UniConst = ChrW(" &amp; I124 &amp;")"</f>
        <v>Case cA127792:    UniConst = ChrW(127792)</v>
      </c>
    </row>
    <row r="125" spans="1:11" hidden="1">
      <c r="A125" t="s">
        <v>3262</v>
      </c>
      <c r="B125" t="str">
        <f t="shared" si="8"/>
        <v>1F331 ; fully-qualified # 🌱 E0.6 seedling</v>
      </c>
      <c r="C125" t="str">
        <f t="shared" si="9"/>
        <v xml:space="preserve">1F331 </v>
      </c>
      <c r="D125">
        <f t="shared" si="10"/>
        <v>6</v>
      </c>
      <c r="E125" t="str">
        <f t="shared" si="6"/>
        <v xml:space="preserve"> 🌱 E0.6 seedling</v>
      </c>
      <c r="F125" t="b">
        <f t="shared" si="11"/>
        <v>1</v>
      </c>
      <c r="G125" t="str">
        <f t="shared" si="7"/>
        <v>1F331</v>
      </c>
      <c r="I125">
        <f>HEX2DEC(Table1[[#This Row],[utf8]])</f>
        <v>127793</v>
      </c>
      <c r="J125" t="str">
        <f>_xlfn.UNICHAR(HEX2DEC(Table1[[#This Row],[utf8]]))</f>
        <v>🌱</v>
      </c>
      <c r="K125" s="3" t="str" cm="1">
        <f t="array" ref="K125">"Case "&amp;wRandomLetter()&amp;wRandomLetter()&amp;I125&amp;":    UniConst = ChrW(" &amp; I125 &amp;")"</f>
        <v>Case pT127793:    UniConst = ChrW(127793)</v>
      </c>
    </row>
    <row r="126" spans="1:11" hidden="1">
      <c r="A126" t="s">
        <v>3264</v>
      </c>
      <c r="B126" t="str">
        <f t="shared" si="8"/>
        <v>1F332 ; fully-qualified # 🌲 E1.0 evergreen tree</v>
      </c>
      <c r="C126" t="str">
        <f t="shared" si="9"/>
        <v xml:space="preserve">1F332 </v>
      </c>
      <c r="D126">
        <f t="shared" si="10"/>
        <v>6</v>
      </c>
      <c r="E126" t="str">
        <f t="shared" si="6"/>
        <v xml:space="preserve"> 🌲 E1.0 evergreen tree</v>
      </c>
      <c r="F126" t="b">
        <f t="shared" si="11"/>
        <v>1</v>
      </c>
      <c r="G126" t="str">
        <f t="shared" si="7"/>
        <v>1F332</v>
      </c>
      <c r="I126">
        <f>HEX2DEC(Table1[[#This Row],[utf8]])</f>
        <v>127794</v>
      </c>
      <c r="J126" t="str">
        <f>_xlfn.UNICHAR(HEX2DEC(Table1[[#This Row],[utf8]]))</f>
        <v>🌲</v>
      </c>
      <c r="K126" s="3" t="str" cm="1">
        <f t="array" ref="K126">"Case "&amp;wRandomLetter()&amp;wRandomLetter()&amp;I126&amp;":    UniConst = ChrW(" &amp; I126 &amp;")"</f>
        <v>Case gq127794:    UniConst = ChrW(127794)</v>
      </c>
    </row>
    <row r="127" spans="1:11" hidden="1">
      <c r="A127" t="s">
        <v>3265</v>
      </c>
      <c r="B127" t="str">
        <f t="shared" si="8"/>
        <v>1F333 ; fully-qualified # 🌳 E1.0 deciduous tree</v>
      </c>
      <c r="C127" t="str">
        <f t="shared" si="9"/>
        <v xml:space="preserve">1F333 </v>
      </c>
      <c r="D127">
        <f t="shared" si="10"/>
        <v>6</v>
      </c>
      <c r="E127" t="str">
        <f t="shared" si="6"/>
        <v xml:space="preserve"> 🌳 E1.0 deciduous tree</v>
      </c>
      <c r="F127" t="b">
        <f t="shared" si="11"/>
        <v>1</v>
      </c>
      <c r="G127" t="str">
        <f t="shared" si="7"/>
        <v>1F333</v>
      </c>
      <c r="I127">
        <f>HEX2DEC(Table1[[#This Row],[utf8]])</f>
        <v>127795</v>
      </c>
      <c r="J127" t="str">
        <f>_xlfn.UNICHAR(HEX2DEC(Table1[[#This Row],[utf8]]))</f>
        <v>🌳</v>
      </c>
      <c r="K127" s="3" t="str" cm="1">
        <f t="array" ref="K127">"Case "&amp;wRandomLetter()&amp;wRandomLetter()&amp;I127&amp;":    UniConst = ChrW(" &amp; I127 &amp;")"</f>
        <v>Case MI127795:    UniConst = ChrW(127795)</v>
      </c>
    </row>
    <row r="128" spans="1:11" hidden="1">
      <c r="A128" t="s">
        <v>3266</v>
      </c>
      <c r="B128" t="str">
        <f t="shared" si="8"/>
        <v>1F334 ; fully-qualified # 🌴 E0.6 palm tree</v>
      </c>
      <c r="C128" t="str">
        <f t="shared" si="9"/>
        <v xml:space="preserve">1F334 </v>
      </c>
      <c r="D128">
        <f t="shared" si="10"/>
        <v>6</v>
      </c>
      <c r="E128" t="str">
        <f t="shared" si="6"/>
        <v xml:space="preserve"> 🌴 E0.6 palm tree</v>
      </c>
      <c r="F128" t="b">
        <f t="shared" si="11"/>
        <v>1</v>
      </c>
      <c r="G128" t="str">
        <f t="shared" si="7"/>
        <v>1F334</v>
      </c>
      <c r="I128">
        <f>HEX2DEC(Table1[[#This Row],[utf8]])</f>
        <v>127796</v>
      </c>
      <c r="J128" t="str">
        <f>_xlfn.UNICHAR(HEX2DEC(Table1[[#This Row],[utf8]]))</f>
        <v>🌴</v>
      </c>
      <c r="K128" s="3" t="str" cm="1">
        <f t="array" ref="K128">"Case "&amp;wRandomLetter()&amp;wRandomLetter()&amp;I128&amp;":    UniConst = ChrW(" &amp; I128 &amp;")"</f>
        <v>Case cO127796:    UniConst = ChrW(127796)</v>
      </c>
    </row>
    <row r="129" spans="1:11" hidden="1">
      <c r="A129" t="s">
        <v>3267</v>
      </c>
      <c r="B129" t="str">
        <f t="shared" si="8"/>
        <v>1F335 ; fully-qualified # 🌵 E0.6 cactus</v>
      </c>
      <c r="C129" t="str">
        <f t="shared" si="9"/>
        <v xml:space="preserve">1F335 </v>
      </c>
      <c r="D129">
        <f t="shared" si="10"/>
        <v>6</v>
      </c>
      <c r="E129" t="str">
        <f t="shared" si="6"/>
        <v xml:space="preserve"> 🌵 E0.6 cactus</v>
      </c>
      <c r="F129" t="b">
        <f t="shared" si="11"/>
        <v>1</v>
      </c>
      <c r="G129" t="str">
        <f t="shared" si="7"/>
        <v>1F335</v>
      </c>
      <c r="I129">
        <f>HEX2DEC(Table1[[#This Row],[utf8]])</f>
        <v>127797</v>
      </c>
      <c r="J129" t="str">
        <f>_xlfn.UNICHAR(HEX2DEC(Table1[[#This Row],[utf8]]))</f>
        <v>🌵</v>
      </c>
      <c r="K129" s="3" t="str" cm="1">
        <f t="array" ref="K129">"Case "&amp;wRandomLetter()&amp;wRandomLetter()&amp;I129&amp;":    UniConst = ChrW(" &amp; I129 &amp;")"</f>
        <v>Case ou127797:    UniConst = ChrW(127797)</v>
      </c>
    </row>
    <row r="130" spans="1:11" hidden="1">
      <c r="A130" t="s">
        <v>3306</v>
      </c>
      <c r="B130" t="str">
        <f t="shared" si="8"/>
        <v>1F336 ; unqualified # 🌶 E0.7 hot pepper</v>
      </c>
      <c r="C130" t="str">
        <f t="shared" si="9"/>
        <v xml:space="preserve">1F336 </v>
      </c>
      <c r="D130">
        <f t="shared" si="10"/>
        <v>6</v>
      </c>
      <c r="E130" t="str">
        <f t="shared" ref="E130:E193" si="12">MID(A130,FIND("#",A130)+1,256)</f>
        <v xml:space="preserve"> 🌶 E0.7 hot pepper</v>
      </c>
      <c r="F130" t="b">
        <f t="shared" si="11"/>
        <v>1</v>
      </c>
      <c r="G130" t="str">
        <f t="shared" ref="G130:G193" si="13">LEFT(C130,(FIND(" ",C130,1)-1))</f>
        <v>1F336</v>
      </c>
      <c r="I130">
        <f>HEX2DEC(Table1[[#This Row],[utf8]])</f>
        <v>127798</v>
      </c>
      <c r="J130" t="str">
        <f>_xlfn.UNICHAR(HEX2DEC(Table1[[#This Row],[utf8]]))</f>
        <v>🌶</v>
      </c>
      <c r="K130" s="3" t="str" cm="1">
        <f t="array" ref="K130">"Case "&amp;wRandomLetter()&amp;wRandomLetter()&amp;I130&amp;":    UniConst = ChrW(" &amp; I130 &amp;")"</f>
        <v>Case Zk127798:    UniConst = ChrW(127798)</v>
      </c>
    </row>
    <row r="131" spans="1:11" hidden="1">
      <c r="A131" t="s">
        <v>3305</v>
      </c>
      <c r="B131" t="str">
        <f t="shared" ref="B131:B194" si="14">TRIM(A131)</f>
        <v>1F336 FE0F ; fully-qualified # 🌶️ E0.7 hot pepper</v>
      </c>
      <c r="C131" t="str">
        <f t="shared" ref="C131:C194" si="15">LEFT(B131,(FIND(";",B131,1)-1))</f>
        <v xml:space="preserve">1F336 FE0F </v>
      </c>
      <c r="D131">
        <f t="shared" ref="D131:D194" si="16">LEN(C131)</f>
        <v>11</v>
      </c>
      <c r="E131" t="str">
        <f t="shared" si="12"/>
        <v xml:space="preserve"> 🌶️ E0.7 hot pepper</v>
      </c>
      <c r="F131" t="b">
        <f t="shared" ref="F131:F194" si="17">IF(LEFT(C131,2)="1F",TRUE,FALSE)</f>
        <v>1</v>
      </c>
      <c r="G131" t="str">
        <f t="shared" si="13"/>
        <v>1F336</v>
      </c>
      <c r="I131">
        <f>HEX2DEC(Table1[[#This Row],[utf8]])</f>
        <v>127798</v>
      </c>
      <c r="J131" t="str">
        <f>_xlfn.UNICHAR(HEX2DEC(Table1[[#This Row],[utf8]]))</f>
        <v>🌶</v>
      </c>
      <c r="K131" s="3" t="str" cm="1">
        <f t="array" ref="K131">"Case "&amp;wRandomLetter()&amp;wRandomLetter()&amp;I131&amp;":    UniConst = ChrW(" &amp; I131 &amp;")"</f>
        <v>Case fb127798:    UniConst = ChrW(127798)</v>
      </c>
    </row>
    <row r="132" spans="1:11" hidden="1">
      <c r="A132" t="s">
        <v>3260</v>
      </c>
      <c r="B132" t="str">
        <f t="shared" si="14"/>
        <v>1F337 ; fully-qualified # 🌷 E0.6 tulip</v>
      </c>
      <c r="C132" t="str">
        <f t="shared" si="15"/>
        <v xml:space="preserve">1F337 </v>
      </c>
      <c r="D132">
        <f t="shared" si="16"/>
        <v>6</v>
      </c>
      <c r="E132" t="str">
        <f t="shared" si="12"/>
        <v xml:space="preserve"> 🌷 E0.6 tulip</v>
      </c>
      <c r="F132" t="b">
        <f t="shared" si="17"/>
        <v>1</v>
      </c>
      <c r="G132" t="str">
        <f t="shared" si="13"/>
        <v>1F337</v>
      </c>
      <c r="I132">
        <f>HEX2DEC(Table1[[#This Row],[utf8]])</f>
        <v>127799</v>
      </c>
      <c r="J132" t="str">
        <f>_xlfn.UNICHAR(HEX2DEC(Table1[[#This Row],[utf8]]))</f>
        <v>🌷</v>
      </c>
      <c r="K132" s="3" t="str" cm="1">
        <f t="array" ref="K132">"Case "&amp;wRandomLetter()&amp;wRandomLetter()&amp;I132&amp;":    UniConst = ChrW(" &amp; I132 &amp;")"</f>
        <v>Case oH127799:    UniConst = ChrW(127799)</v>
      </c>
    </row>
    <row r="133" spans="1:11" hidden="1">
      <c r="A133" t="s">
        <v>3251</v>
      </c>
      <c r="B133" t="str">
        <f t="shared" si="14"/>
        <v>1F338 ; fully-qualified # 🌸 E0.6 cherry blossom</v>
      </c>
      <c r="C133" t="str">
        <f t="shared" si="15"/>
        <v xml:space="preserve">1F338 </v>
      </c>
      <c r="D133">
        <f t="shared" si="16"/>
        <v>6</v>
      </c>
      <c r="E133" t="str">
        <f t="shared" si="12"/>
        <v xml:space="preserve"> 🌸 E0.6 cherry blossom</v>
      </c>
      <c r="F133" t="b">
        <f t="shared" si="17"/>
        <v>1</v>
      </c>
      <c r="G133" t="str">
        <f t="shared" si="13"/>
        <v>1F338</v>
      </c>
      <c r="I133">
        <f>HEX2DEC(Table1[[#This Row],[utf8]])</f>
        <v>127800</v>
      </c>
      <c r="J133" t="str">
        <f>_xlfn.UNICHAR(HEX2DEC(Table1[[#This Row],[utf8]]))</f>
        <v>🌸</v>
      </c>
      <c r="K133" s="3" t="str" cm="1">
        <f t="array" ref="K133">"Case "&amp;wRandomLetter()&amp;wRandomLetter()&amp;I133&amp;":    UniConst = ChrW(" &amp; I133 &amp;")"</f>
        <v>Case Pi127800:    UniConst = ChrW(127800)</v>
      </c>
    </row>
    <row r="134" spans="1:11" hidden="1">
      <c r="A134" t="s">
        <v>3255</v>
      </c>
      <c r="B134" t="str">
        <f t="shared" si="14"/>
        <v>1F339 ; fully-qualified # 🌹 E0.6 rose</v>
      </c>
      <c r="C134" t="str">
        <f t="shared" si="15"/>
        <v xml:space="preserve">1F339 </v>
      </c>
      <c r="D134">
        <f t="shared" si="16"/>
        <v>6</v>
      </c>
      <c r="E134" t="str">
        <f t="shared" si="12"/>
        <v xml:space="preserve"> 🌹 E0.6 rose</v>
      </c>
      <c r="F134" t="b">
        <f t="shared" si="17"/>
        <v>1</v>
      </c>
      <c r="G134" t="str">
        <f t="shared" si="13"/>
        <v>1F339</v>
      </c>
      <c r="I134">
        <f>HEX2DEC(Table1[[#This Row],[utf8]])</f>
        <v>127801</v>
      </c>
      <c r="J134" t="str">
        <f>_xlfn.UNICHAR(HEX2DEC(Table1[[#This Row],[utf8]]))</f>
        <v>🌹</v>
      </c>
      <c r="K134" s="3" t="str" cm="1">
        <f t="array" ref="K134">"Case "&amp;wRandomLetter()&amp;wRandomLetter()&amp;I134&amp;":    UniConst = ChrW(" &amp; I134 &amp;")"</f>
        <v>Case MG127801:    UniConst = ChrW(127801)</v>
      </c>
    </row>
    <row r="135" spans="1:11" hidden="1">
      <c r="A135" t="s">
        <v>3257</v>
      </c>
      <c r="B135" t="str">
        <f t="shared" si="14"/>
        <v>1F33A ; fully-qualified # 🌺 E0.6 hibiscus</v>
      </c>
      <c r="C135" t="str">
        <f t="shared" si="15"/>
        <v xml:space="preserve">1F33A </v>
      </c>
      <c r="D135">
        <f t="shared" si="16"/>
        <v>6</v>
      </c>
      <c r="E135" t="str">
        <f t="shared" si="12"/>
        <v xml:space="preserve"> 🌺 E0.6 hibiscus</v>
      </c>
      <c r="F135" t="b">
        <f t="shared" si="17"/>
        <v>1</v>
      </c>
      <c r="G135" t="str">
        <f t="shared" si="13"/>
        <v>1F33A</v>
      </c>
      <c r="I135">
        <f>HEX2DEC(Table1[[#This Row],[utf8]])</f>
        <v>127802</v>
      </c>
      <c r="J135" t="str">
        <f>_xlfn.UNICHAR(HEX2DEC(Table1[[#This Row],[utf8]]))</f>
        <v>🌺</v>
      </c>
      <c r="K135" s="3" t="str" cm="1">
        <f t="array" ref="K135">"Case "&amp;wRandomLetter()&amp;wRandomLetter()&amp;I135&amp;":    UniConst = ChrW(" &amp; I135 &amp;")"</f>
        <v>Case Gv127802:    UniConst = ChrW(127802)</v>
      </c>
    </row>
    <row r="136" spans="1:11" hidden="1">
      <c r="A136" t="s">
        <v>3258</v>
      </c>
      <c r="B136" t="str">
        <f t="shared" si="14"/>
        <v>1F33B ; fully-qualified # 🌻 E0.6 sunflower</v>
      </c>
      <c r="C136" t="str">
        <f t="shared" si="15"/>
        <v xml:space="preserve">1F33B </v>
      </c>
      <c r="D136">
        <f t="shared" si="16"/>
        <v>6</v>
      </c>
      <c r="E136" t="str">
        <f t="shared" si="12"/>
        <v xml:space="preserve"> 🌻 E0.6 sunflower</v>
      </c>
      <c r="F136" t="b">
        <f t="shared" si="17"/>
        <v>1</v>
      </c>
      <c r="G136" t="str">
        <f t="shared" si="13"/>
        <v>1F33B</v>
      </c>
      <c r="I136">
        <f>HEX2DEC(Table1[[#This Row],[utf8]])</f>
        <v>127803</v>
      </c>
      <c r="J136" t="str">
        <f>_xlfn.UNICHAR(HEX2DEC(Table1[[#This Row],[utf8]]))</f>
        <v>🌻</v>
      </c>
      <c r="K136" s="3" t="str" cm="1">
        <f t="array" ref="K136">"Case "&amp;wRandomLetter()&amp;wRandomLetter()&amp;I136&amp;":    UniConst = ChrW(" &amp; I136 &amp;")"</f>
        <v>Case ZN127803:    UniConst = ChrW(127803)</v>
      </c>
    </row>
    <row r="137" spans="1:11" hidden="1">
      <c r="A137" t="s">
        <v>3259</v>
      </c>
      <c r="B137" t="str">
        <f t="shared" si="14"/>
        <v>1F33C ; fully-qualified # 🌼 E0.6 blossom</v>
      </c>
      <c r="C137" t="str">
        <f t="shared" si="15"/>
        <v xml:space="preserve">1F33C </v>
      </c>
      <c r="D137">
        <f t="shared" si="16"/>
        <v>6</v>
      </c>
      <c r="E137" t="str">
        <f t="shared" si="12"/>
        <v xml:space="preserve"> 🌼 E0.6 blossom</v>
      </c>
      <c r="F137" t="b">
        <f t="shared" si="17"/>
        <v>1</v>
      </c>
      <c r="G137" t="str">
        <f t="shared" si="13"/>
        <v>1F33C</v>
      </c>
      <c r="I137">
        <f>HEX2DEC(Table1[[#This Row],[utf8]])</f>
        <v>127804</v>
      </c>
      <c r="J137" t="str">
        <f>_xlfn.UNICHAR(HEX2DEC(Table1[[#This Row],[utf8]]))</f>
        <v>🌼</v>
      </c>
      <c r="K137" s="3" t="str" cm="1">
        <f t="array" ref="K137">"Case "&amp;wRandomLetter()&amp;wRandomLetter()&amp;I137&amp;":    UniConst = ChrW(" &amp; I137 &amp;")"</f>
        <v>Case NJ127804:    UniConst = ChrW(127804)</v>
      </c>
    </row>
    <row r="138" spans="1:11" hidden="1">
      <c r="A138" t="s">
        <v>3304</v>
      </c>
      <c r="B138" t="str">
        <f t="shared" si="14"/>
        <v>1F33D ; fully-qualified # 🌽 E0.6 ear of corn</v>
      </c>
      <c r="C138" t="str">
        <f t="shared" si="15"/>
        <v xml:space="preserve">1F33D </v>
      </c>
      <c r="D138">
        <f t="shared" si="16"/>
        <v>6</v>
      </c>
      <c r="E138" t="str">
        <f t="shared" si="12"/>
        <v xml:space="preserve"> 🌽 E0.6 ear of corn</v>
      </c>
      <c r="F138" t="b">
        <f t="shared" si="17"/>
        <v>1</v>
      </c>
      <c r="G138" t="str">
        <f t="shared" si="13"/>
        <v>1F33D</v>
      </c>
      <c r="I138">
        <f>HEX2DEC(Table1[[#This Row],[utf8]])</f>
        <v>127805</v>
      </c>
      <c r="J138" t="str">
        <f>_xlfn.UNICHAR(HEX2DEC(Table1[[#This Row],[utf8]]))</f>
        <v>🌽</v>
      </c>
      <c r="K138" s="3" t="str" cm="1">
        <f t="array" ref="K138">"Case "&amp;wRandomLetter()&amp;wRandomLetter()&amp;I138&amp;":    UniConst = ChrW(" &amp; I138 &amp;")"</f>
        <v>Case cM127805:    UniConst = ChrW(127805)</v>
      </c>
    </row>
    <row r="139" spans="1:11" hidden="1">
      <c r="A139" t="s">
        <v>3268</v>
      </c>
      <c r="B139" t="str">
        <f t="shared" si="14"/>
        <v>1F33E ; fully-qualified # 🌾 E0.6 sheaf of rice</v>
      </c>
      <c r="C139" t="str">
        <f t="shared" si="15"/>
        <v xml:space="preserve">1F33E </v>
      </c>
      <c r="D139">
        <f t="shared" si="16"/>
        <v>6</v>
      </c>
      <c r="E139" t="str">
        <f t="shared" si="12"/>
        <v xml:space="preserve"> 🌾 E0.6 sheaf of rice</v>
      </c>
      <c r="F139" t="b">
        <f t="shared" si="17"/>
        <v>1</v>
      </c>
      <c r="G139" t="str">
        <f t="shared" si="13"/>
        <v>1F33E</v>
      </c>
      <c r="I139">
        <f>HEX2DEC(Table1[[#This Row],[utf8]])</f>
        <v>127806</v>
      </c>
      <c r="J139" t="str">
        <f>_xlfn.UNICHAR(HEX2DEC(Table1[[#This Row],[utf8]]))</f>
        <v>🌾</v>
      </c>
      <c r="K139" s="3" t="str" cm="1">
        <f t="array" ref="K139">"Case "&amp;wRandomLetter()&amp;wRandomLetter()&amp;I139&amp;":    UniConst = ChrW(" &amp; I139 &amp;")"</f>
        <v>Case cM127806:    UniConst = ChrW(127806)</v>
      </c>
    </row>
    <row r="140" spans="1:11" hidden="1">
      <c r="A140" t="s">
        <v>3269</v>
      </c>
      <c r="B140" t="str">
        <f t="shared" si="14"/>
        <v>1F33F ; fully-qualified # 🌿 E0.6 herb</v>
      </c>
      <c r="C140" t="str">
        <f t="shared" si="15"/>
        <v xml:space="preserve">1F33F </v>
      </c>
      <c r="D140">
        <f t="shared" si="16"/>
        <v>6</v>
      </c>
      <c r="E140" t="str">
        <f t="shared" si="12"/>
        <v xml:space="preserve"> 🌿 E0.6 herb</v>
      </c>
      <c r="F140" t="b">
        <f t="shared" si="17"/>
        <v>1</v>
      </c>
      <c r="G140" t="str">
        <f t="shared" si="13"/>
        <v>1F33F</v>
      </c>
      <c r="I140">
        <f>HEX2DEC(Table1[[#This Row],[utf8]])</f>
        <v>127807</v>
      </c>
      <c r="J140" t="str">
        <f>_xlfn.UNICHAR(HEX2DEC(Table1[[#This Row],[utf8]]))</f>
        <v>🌿</v>
      </c>
      <c r="K140" s="3" t="str" cm="1">
        <f t="array" ref="K140">"Case "&amp;wRandomLetter()&amp;wRandomLetter()&amp;I140&amp;":    UniConst = ChrW(" &amp; I140 &amp;")"</f>
        <v>Case cx127807:    UniConst = ChrW(127807)</v>
      </c>
    </row>
    <row r="141" spans="1:11" hidden="1">
      <c r="A141" t="s">
        <v>3272</v>
      </c>
      <c r="B141" t="str">
        <f t="shared" si="14"/>
        <v>1F340 ; fully-qualified # 🍀 E0.6 four leaf clover</v>
      </c>
      <c r="C141" t="str">
        <f t="shared" si="15"/>
        <v xml:space="preserve">1F340 </v>
      </c>
      <c r="D141">
        <f t="shared" si="16"/>
        <v>6</v>
      </c>
      <c r="E141" t="str">
        <f t="shared" si="12"/>
        <v xml:space="preserve"> 🍀 E0.6 four leaf clover</v>
      </c>
      <c r="F141" t="b">
        <f t="shared" si="17"/>
        <v>1</v>
      </c>
      <c r="G141" t="str">
        <f t="shared" si="13"/>
        <v>1F340</v>
      </c>
      <c r="I141">
        <f>HEX2DEC(Table1[[#This Row],[utf8]])</f>
        <v>127808</v>
      </c>
      <c r="J141" t="str">
        <f>_xlfn.UNICHAR(HEX2DEC(Table1[[#This Row],[utf8]]))</f>
        <v>🍀</v>
      </c>
      <c r="K141" s="3" t="str" cm="1">
        <f t="array" ref="K141">"Case "&amp;wRandomLetter()&amp;wRandomLetter()&amp;I141&amp;":    UniConst = ChrW(" &amp; I141 &amp;")"</f>
        <v>Case ys127808:    UniConst = ChrW(127808)</v>
      </c>
    </row>
    <row r="142" spans="1:11" hidden="1">
      <c r="A142" t="s">
        <v>3273</v>
      </c>
      <c r="B142" t="str">
        <f t="shared" si="14"/>
        <v>1F341 ; fully-qualified # 🍁 E0.6 maple leaf</v>
      </c>
      <c r="C142" t="str">
        <f t="shared" si="15"/>
        <v xml:space="preserve">1F341 </v>
      </c>
      <c r="D142">
        <f t="shared" si="16"/>
        <v>6</v>
      </c>
      <c r="E142" t="str">
        <f t="shared" si="12"/>
        <v xml:space="preserve"> 🍁 E0.6 maple leaf</v>
      </c>
      <c r="F142" t="b">
        <f t="shared" si="17"/>
        <v>1</v>
      </c>
      <c r="G142" t="str">
        <f t="shared" si="13"/>
        <v>1F341</v>
      </c>
      <c r="I142">
        <f>HEX2DEC(Table1[[#This Row],[utf8]])</f>
        <v>127809</v>
      </c>
      <c r="J142" t="str">
        <f>_xlfn.UNICHAR(HEX2DEC(Table1[[#This Row],[utf8]]))</f>
        <v>🍁</v>
      </c>
      <c r="K142" s="3" t="str" cm="1">
        <f t="array" ref="K142">"Case "&amp;wRandomLetter()&amp;wRandomLetter()&amp;I142&amp;":    UniConst = ChrW(" &amp; I142 &amp;")"</f>
        <v>Case vm127809:    UniConst = ChrW(127809)</v>
      </c>
    </row>
    <row r="143" spans="1:11" hidden="1">
      <c r="A143" t="s">
        <v>3274</v>
      </c>
      <c r="B143" t="str">
        <f t="shared" si="14"/>
        <v>1F342 ; fully-qualified # 🍂 E0.6 fallen leaf</v>
      </c>
      <c r="C143" t="str">
        <f t="shared" si="15"/>
        <v xml:space="preserve">1F342 </v>
      </c>
      <c r="D143">
        <f t="shared" si="16"/>
        <v>6</v>
      </c>
      <c r="E143" t="str">
        <f t="shared" si="12"/>
        <v xml:space="preserve"> 🍂 E0.6 fallen leaf</v>
      </c>
      <c r="F143" t="b">
        <f t="shared" si="17"/>
        <v>1</v>
      </c>
      <c r="G143" t="str">
        <f t="shared" si="13"/>
        <v>1F342</v>
      </c>
      <c r="I143">
        <f>HEX2DEC(Table1[[#This Row],[utf8]])</f>
        <v>127810</v>
      </c>
      <c r="J143" t="str">
        <f>_xlfn.UNICHAR(HEX2DEC(Table1[[#This Row],[utf8]]))</f>
        <v>🍂</v>
      </c>
      <c r="K143" s="3" t="str" cm="1">
        <f t="array" ref="K143">"Case "&amp;wRandomLetter()&amp;wRandomLetter()&amp;I143&amp;":    UniConst = ChrW(" &amp; I143 &amp;")"</f>
        <v>Case yT127810:    UniConst = ChrW(127810)</v>
      </c>
    </row>
    <row r="144" spans="1:11" hidden="1">
      <c r="A144" t="s">
        <v>3275</v>
      </c>
      <c r="B144" t="str">
        <f t="shared" si="14"/>
        <v>1F343 ; fully-qualified # 🍃 E0.6 leaf fluttering in wind</v>
      </c>
      <c r="C144" t="str">
        <f t="shared" si="15"/>
        <v xml:space="preserve">1F343 </v>
      </c>
      <c r="D144">
        <f t="shared" si="16"/>
        <v>6</v>
      </c>
      <c r="E144" t="str">
        <f t="shared" si="12"/>
        <v xml:space="preserve"> 🍃 E0.6 leaf fluttering in wind</v>
      </c>
      <c r="F144" t="b">
        <f t="shared" si="17"/>
        <v>1</v>
      </c>
      <c r="G144" t="str">
        <f t="shared" si="13"/>
        <v>1F343</v>
      </c>
      <c r="I144">
        <f>HEX2DEC(Table1[[#This Row],[utf8]])</f>
        <v>127811</v>
      </c>
      <c r="J144" t="str">
        <f>_xlfn.UNICHAR(HEX2DEC(Table1[[#This Row],[utf8]]))</f>
        <v>🍃</v>
      </c>
      <c r="K144" s="3" t="str" cm="1">
        <f t="array" ref="K144">"Case "&amp;wRandomLetter()&amp;wRandomLetter()&amp;I144&amp;":    UniConst = ChrW(" &amp; I144 &amp;")"</f>
        <v>Case YA127811:    UniConst = ChrW(127811)</v>
      </c>
    </row>
    <row r="145" spans="1:11" hidden="1">
      <c r="A145" t="s">
        <v>3313</v>
      </c>
      <c r="B145" t="str">
        <f t="shared" si="14"/>
        <v>1F344 ; fully-qualified # 🍄 E0.6 mushroom</v>
      </c>
      <c r="C145" t="str">
        <f t="shared" si="15"/>
        <v xml:space="preserve">1F344 </v>
      </c>
      <c r="D145">
        <f t="shared" si="16"/>
        <v>6</v>
      </c>
      <c r="E145" t="str">
        <f t="shared" si="12"/>
        <v xml:space="preserve"> 🍄 E0.6 mushroom</v>
      </c>
      <c r="F145" t="b">
        <f t="shared" si="17"/>
        <v>1</v>
      </c>
      <c r="G145" t="str">
        <f t="shared" si="13"/>
        <v>1F344</v>
      </c>
      <c r="I145">
        <f>HEX2DEC(Table1[[#This Row],[utf8]])</f>
        <v>127812</v>
      </c>
      <c r="J145" t="str">
        <f>_xlfn.UNICHAR(HEX2DEC(Table1[[#This Row],[utf8]]))</f>
        <v>🍄</v>
      </c>
      <c r="K145" s="3" t="str" cm="1">
        <f t="array" ref="K145">"Case "&amp;wRandomLetter()&amp;wRandomLetter()&amp;I145&amp;":    UniConst = ChrW(" &amp; I145 &amp;")"</f>
        <v>Case pa127812:    UniConst = ChrW(127812)</v>
      </c>
    </row>
    <row r="146" spans="1:11" hidden="1">
      <c r="A146" t="s">
        <v>3296</v>
      </c>
      <c r="B146" t="str">
        <f t="shared" si="14"/>
        <v>1F345 ; fully-qualified # 🍅 E0.6 tomato</v>
      </c>
      <c r="C146" t="str">
        <f t="shared" si="15"/>
        <v xml:space="preserve">1F345 </v>
      </c>
      <c r="D146">
        <f t="shared" si="16"/>
        <v>6</v>
      </c>
      <c r="E146" t="str">
        <f t="shared" si="12"/>
        <v xml:space="preserve"> 🍅 E0.6 tomato</v>
      </c>
      <c r="F146" t="b">
        <f t="shared" si="17"/>
        <v>1</v>
      </c>
      <c r="G146" t="str">
        <f t="shared" si="13"/>
        <v>1F345</v>
      </c>
      <c r="I146">
        <f>HEX2DEC(Table1[[#This Row],[utf8]])</f>
        <v>127813</v>
      </c>
      <c r="J146" t="str">
        <f>_xlfn.UNICHAR(HEX2DEC(Table1[[#This Row],[utf8]]))</f>
        <v>🍅</v>
      </c>
      <c r="K146" s="3" t="str" cm="1">
        <f t="array" ref="K146">"Case "&amp;wRandomLetter()&amp;wRandomLetter()&amp;I146&amp;":    UniConst = ChrW(" &amp; I146 &amp;")"</f>
        <v>Case MX127813:    UniConst = ChrW(127813)</v>
      </c>
    </row>
    <row r="147" spans="1:11" hidden="1">
      <c r="A147" t="s">
        <v>3301</v>
      </c>
      <c r="B147" t="str">
        <f t="shared" si="14"/>
        <v>1F346 ; fully-qualified # 🍆 E0.6 eggplant</v>
      </c>
      <c r="C147" t="str">
        <f t="shared" si="15"/>
        <v xml:space="preserve">1F346 </v>
      </c>
      <c r="D147">
        <f t="shared" si="16"/>
        <v>6</v>
      </c>
      <c r="E147" t="str">
        <f t="shared" si="12"/>
        <v xml:space="preserve"> 🍆 E0.6 eggplant</v>
      </c>
      <c r="F147" t="b">
        <f t="shared" si="17"/>
        <v>1</v>
      </c>
      <c r="G147" t="str">
        <f t="shared" si="13"/>
        <v>1F346</v>
      </c>
      <c r="I147">
        <f>HEX2DEC(Table1[[#This Row],[utf8]])</f>
        <v>127814</v>
      </c>
      <c r="J147" t="str">
        <f>_xlfn.UNICHAR(HEX2DEC(Table1[[#This Row],[utf8]]))</f>
        <v>🍆</v>
      </c>
      <c r="K147" s="3" t="str" cm="1">
        <f t="array" ref="K147">"Case "&amp;wRandomLetter()&amp;wRandomLetter()&amp;I147&amp;":    UniConst = ChrW(" &amp; I147 &amp;")"</f>
        <v>Case Qh127814:    UniConst = ChrW(127814)</v>
      </c>
    </row>
    <row r="148" spans="1:11" hidden="1">
      <c r="A148" t="s">
        <v>3280</v>
      </c>
      <c r="B148" t="str">
        <f t="shared" si="14"/>
        <v>1F347 ; fully-qualified # 🍇 E0.6 grapes</v>
      </c>
      <c r="C148" t="str">
        <f t="shared" si="15"/>
        <v xml:space="preserve">1F347 </v>
      </c>
      <c r="D148">
        <f t="shared" si="16"/>
        <v>6</v>
      </c>
      <c r="E148" t="str">
        <f t="shared" si="12"/>
        <v xml:space="preserve"> 🍇 E0.6 grapes</v>
      </c>
      <c r="F148" t="b">
        <f t="shared" si="17"/>
        <v>1</v>
      </c>
      <c r="G148" t="str">
        <f t="shared" si="13"/>
        <v>1F347</v>
      </c>
      <c r="I148">
        <f>HEX2DEC(Table1[[#This Row],[utf8]])</f>
        <v>127815</v>
      </c>
      <c r="J148" t="str">
        <f>_xlfn.UNICHAR(HEX2DEC(Table1[[#This Row],[utf8]]))</f>
        <v>🍇</v>
      </c>
      <c r="K148" s="3" t="str" cm="1">
        <f t="array" ref="K148">"Case "&amp;wRandomLetter()&amp;wRandomLetter()&amp;I148&amp;":    UniConst = ChrW(" &amp; I148 &amp;")"</f>
        <v>Case ZN127815:    UniConst = ChrW(127815)</v>
      </c>
    </row>
    <row r="149" spans="1:11" hidden="1">
      <c r="A149" t="s">
        <v>3281</v>
      </c>
      <c r="B149" t="str">
        <f t="shared" si="14"/>
        <v>1F348 ; fully-qualified # 🍈 E0.6 melon</v>
      </c>
      <c r="C149" t="str">
        <f t="shared" si="15"/>
        <v xml:space="preserve">1F348 </v>
      </c>
      <c r="D149">
        <f t="shared" si="16"/>
        <v>6</v>
      </c>
      <c r="E149" t="str">
        <f t="shared" si="12"/>
        <v xml:space="preserve"> 🍈 E0.6 melon</v>
      </c>
      <c r="F149" t="b">
        <f t="shared" si="17"/>
        <v>1</v>
      </c>
      <c r="G149" t="str">
        <f t="shared" si="13"/>
        <v>1F348</v>
      </c>
      <c r="I149">
        <f>HEX2DEC(Table1[[#This Row],[utf8]])</f>
        <v>127816</v>
      </c>
      <c r="J149" t="str">
        <f>_xlfn.UNICHAR(HEX2DEC(Table1[[#This Row],[utf8]]))</f>
        <v>🍈</v>
      </c>
      <c r="K149" s="3" t="str" cm="1">
        <f t="array" ref="K149">"Case "&amp;wRandomLetter()&amp;wRandomLetter()&amp;I149&amp;":    UniConst = ChrW(" &amp; I149 &amp;")"</f>
        <v>Case dj127816:    UniConst = ChrW(127816)</v>
      </c>
    </row>
    <row r="150" spans="1:11" hidden="1">
      <c r="A150" t="s">
        <v>3282</v>
      </c>
      <c r="B150" t="str">
        <f t="shared" si="14"/>
        <v>1F349 ; fully-qualified # 🍉 E0.6 watermelon</v>
      </c>
      <c r="C150" t="str">
        <f t="shared" si="15"/>
        <v xml:space="preserve">1F349 </v>
      </c>
      <c r="D150">
        <f t="shared" si="16"/>
        <v>6</v>
      </c>
      <c r="E150" t="str">
        <f t="shared" si="12"/>
        <v xml:space="preserve"> 🍉 E0.6 watermelon</v>
      </c>
      <c r="F150" t="b">
        <f t="shared" si="17"/>
        <v>1</v>
      </c>
      <c r="G150" t="str">
        <f t="shared" si="13"/>
        <v>1F349</v>
      </c>
      <c r="I150">
        <f>HEX2DEC(Table1[[#This Row],[utf8]])</f>
        <v>127817</v>
      </c>
      <c r="J150" t="str">
        <f>_xlfn.UNICHAR(HEX2DEC(Table1[[#This Row],[utf8]]))</f>
        <v>🍉</v>
      </c>
      <c r="K150" s="3" t="str" cm="1">
        <f t="array" ref="K150">"Case "&amp;wRandomLetter()&amp;wRandomLetter()&amp;I150&amp;":    UniConst = ChrW(" &amp; I150 &amp;")"</f>
        <v>Case Hq127817:    UniConst = ChrW(127817)</v>
      </c>
    </row>
    <row r="151" spans="1:11" hidden="1">
      <c r="A151" t="s">
        <v>3283</v>
      </c>
      <c r="B151" t="str">
        <f t="shared" si="14"/>
        <v>1F34A ; fully-qualified # 🍊 E0.6 tangerine</v>
      </c>
      <c r="C151" t="str">
        <f t="shared" si="15"/>
        <v xml:space="preserve">1F34A </v>
      </c>
      <c r="D151">
        <f t="shared" si="16"/>
        <v>6</v>
      </c>
      <c r="E151" t="str">
        <f t="shared" si="12"/>
        <v xml:space="preserve"> 🍊 E0.6 tangerine</v>
      </c>
      <c r="F151" t="b">
        <f t="shared" si="17"/>
        <v>1</v>
      </c>
      <c r="G151" t="str">
        <f t="shared" si="13"/>
        <v>1F34A</v>
      </c>
      <c r="I151">
        <f>HEX2DEC(Table1[[#This Row],[utf8]])</f>
        <v>127818</v>
      </c>
      <c r="J151" t="str">
        <f>_xlfn.UNICHAR(HEX2DEC(Table1[[#This Row],[utf8]]))</f>
        <v>🍊</v>
      </c>
      <c r="K151" s="3" t="str" cm="1">
        <f t="array" ref="K151">"Case "&amp;wRandomLetter()&amp;wRandomLetter()&amp;I151&amp;":    UniConst = ChrW(" &amp; I151 &amp;")"</f>
        <v>Case uC127818:    UniConst = ChrW(127818)</v>
      </c>
    </row>
    <row r="152" spans="1:11" hidden="1">
      <c r="A152" t="s">
        <v>3284</v>
      </c>
      <c r="B152" t="str">
        <f t="shared" si="14"/>
        <v>1F34B ; fully-qualified # 🍋 E1.0 lemon</v>
      </c>
      <c r="C152" t="str">
        <f t="shared" si="15"/>
        <v xml:space="preserve">1F34B </v>
      </c>
      <c r="D152">
        <f t="shared" si="16"/>
        <v>6</v>
      </c>
      <c r="E152" t="str">
        <f t="shared" si="12"/>
        <v xml:space="preserve"> 🍋 E1.0 lemon</v>
      </c>
      <c r="F152" t="b">
        <f t="shared" si="17"/>
        <v>1</v>
      </c>
      <c r="G152" t="str">
        <f t="shared" si="13"/>
        <v>1F34B</v>
      </c>
      <c r="I152">
        <f>HEX2DEC(Table1[[#This Row],[utf8]])</f>
        <v>127819</v>
      </c>
      <c r="J152" t="str">
        <f>_xlfn.UNICHAR(HEX2DEC(Table1[[#This Row],[utf8]]))</f>
        <v>🍋</v>
      </c>
      <c r="K152" s="3" t="str" cm="1">
        <f t="array" ref="K152">"Case "&amp;wRandomLetter()&amp;wRandomLetter()&amp;I152&amp;":    UniConst = ChrW(" &amp; I152 &amp;")"</f>
        <v>Case Lg127819:    UniConst = ChrW(127819)</v>
      </c>
    </row>
    <row r="153" spans="1:11" hidden="1">
      <c r="A153" t="s">
        <v>3285</v>
      </c>
      <c r="B153" t="str">
        <f t="shared" si="14"/>
        <v>1F34C ; fully-qualified # 🍌 E0.6 banana</v>
      </c>
      <c r="C153" t="str">
        <f t="shared" si="15"/>
        <v xml:space="preserve">1F34C </v>
      </c>
      <c r="D153">
        <f t="shared" si="16"/>
        <v>6</v>
      </c>
      <c r="E153" t="str">
        <f t="shared" si="12"/>
        <v xml:space="preserve"> 🍌 E0.6 banana</v>
      </c>
      <c r="F153" t="b">
        <f t="shared" si="17"/>
        <v>1</v>
      </c>
      <c r="G153" t="str">
        <f t="shared" si="13"/>
        <v>1F34C</v>
      </c>
      <c r="I153">
        <f>HEX2DEC(Table1[[#This Row],[utf8]])</f>
        <v>127820</v>
      </c>
      <c r="J153" t="str">
        <f>_xlfn.UNICHAR(HEX2DEC(Table1[[#This Row],[utf8]]))</f>
        <v>🍌</v>
      </c>
      <c r="K153" s="3" t="str" cm="1">
        <f t="array" ref="K153">"Case "&amp;wRandomLetter()&amp;wRandomLetter()&amp;I153&amp;":    UniConst = ChrW(" &amp; I153 &amp;")"</f>
        <v>Case Ja127820:    UniConst = ChrW(127820)</v>
      </c>
    </row>
    <row r="154" spans="1:11" hidden="1">
      <c r="A154" t="s">
        <v>3286</v>
      </c>
      <c r="B154" t="str">
        <f t="shared" si="14"/>
        <v>1F34D ; fully-qualified # 🍍 E0.6 pineapple</v>
      </c>
      <c r="C154" t="str">
        <f t="shared" si="15"/>
        <v xml:space="preserve">1F34D </v>
      </c>
      <c r="D154">
        <f t="shared" si="16"/>
        <v>6</v>
      </c>
      <c r="E154" t="str">
        <f t="shared" si="12"/>
        <v xml:space="preserve"> 🍍 E0.6 pineapple</v>
      </c>
      <c r="F154" t="b">
        <f t="shared" si="17"/>
        <v>1</v>
      </c>
      <c r="G154" t="str">
        <f t="shared" si="13"/>
        <v>1F34D</v>
      </c>
      <c r="I154">
        <f>HEX2DEC(Table1[[#This Row],[utf8]])</f>
        <v>127821</v>
      </c>
      <c r="J154" t="str">
        <f>_xlfn.UNICHAR(HEX2DEC(Table1[[#This Row],[utf8]]))</f>
        <v>🍍</v>
      </c>
      <c r="K154" s="3" t="str" cm="1">
        <f t="array" ref="K154">"Case "&amp;wRandomLetter()&amp;wRandomLetter()&amp;I154&amp;":    UniConst = ChrW(" &amp; I154 &amp;")"</f>
        <v>Case VL127821:    UniConst = ChrW(127821)</v>
      </c>
    </row>
    <row r="155" spans="1:11" hidden="1">
      <c r="A155" t="s">
        <v>3288</v>
      </c>
      <c r="B155" t="str">
        <f t="shared" si="14"/>
        <v>1F34E ; fully-qualified # 🍎 E0.6 red apple</v>
      </c>
      <c r="C155" t="str">
        <f t="shared" si="15"/>
        <v xml:space="preserve">1F34E </v>
      </c>
      <c r="D155">
        <f t="shared" si="16"/>
        <v>6</v>
      </c>
      <c r="E155" t="str">
        <f t="shared" si="12"/>
        <v xml:space="preserve"> 🍎 E0.6 red apple</v>
      </c>
      <c r="F155" t="b">
        <f t="shared" si="17"/>
        <v>1</v>
      </c>
      <c r="G155" t="str">
        <f t="shared" si="13"/>
        <v>1F34E</v>
      </c>
      <c r="I155">
        <f>HEX2DEC(Table1[[#This Row],[utf8]])</f>
        <v>127822</v>
      </c>
      <c r="J155" t="str">
        <f>_xlfn.UNICHAR(HEX2DEC(Table1[[#This Row],[utf8]]))</f>
        <v>🍎</v>
      </c>
      <c r="K155" s="3" t="str" cm="1">
        <f t="array" ref="K155">"Case "&amp;wRandomLetter()&amp;wRandomLetter()&amp;I155&amp;":    UniConst = ChrW(" &amp; I155 &amp;")"</f>
        <v>Case PO127822:    UniConst = ChrW(127822)</v>
      </c>
    </row>
    <row r="156" spans="1:11" hidden="1">
      <c r="A156" t="s">
        <v>3289</v>
      </c>
      <c r="B156" t="str">
        <f t="shared" si="14"/>
        <v>1F34F ; fully-qualified # 🍏 E0.6 green apple</v>
      </c>
      <c r="C156" t="str">
        <f t="shared" si="15"/>
        <v xml:space="preserve">1F34F </v>
      </c>
      <c r="D156">
        <f t="shared" si="16"/>
        <v>6</v>
      </c>
      <c r="E156" t="str">
        <f t="shared" si="12"/>
        <v xml:space="preserve"> 🍏 E0.6 green apple</v>
      </c>
      <c r="F156" t="b">
        <f t="shared" si="17"/>
        <v>1</v>
      </c>
      <c r="G156" t="str">
        <f t="shared" si="13"/>
        <v>1F34F</v>
      </c>
      <c r="I156">
        <f>HEX2DEC(Table1[[#This Row],[utf8]])</f>
        <v>127823</v>
      </c>
      <c r="J156" t="str">
        <f>_xlfn.UNICHAR(HEX2DEC(Table1[[#This Row],[utf8]]))</f>
        <v>🍏</v>
      </c>
      <c r="K156" s="3" t="str" cm="1">
        <f t="array" ref="K156">"Case "&amp;wRandomLetter()&amp;wRandomLetter()&amp;I156&amp;":    UniConst = ChrW(" &amp; I156 &amp;")"</f>
        <v>Case as127823:    UniConst = ChrW(127823)</v>
      </c>
    </row>
    <row r="157" spans="1:11" hidden="1">
      <c r="A157" t="s">
        <v>3290</v>
      </c>
      <c r="B157" t="str">
        <f t="shared" si="14"/>
        <v>1F350 ; fully-qualified # 🍐 E1.0 pear</v>
      </c>
      <c r="C157" t="str">
        <f t="shared" si="15"/>
        <v xml:space="preserve">1F350 </v>
      </c>
      <c r="D157">
        <f t="shared" si="16"/>
        <v>6</v>
      </c>
      <c r="E157" t="str">
        <f t="shared" si="12"/>
        <v xml:space="preserve"> 🍐 E1.0 pear</v>
      </c>
      <c r="F157" t="b">
        <f t="shared" si="17"/>
        <v>1</v>
      </c>
      <c r="G157" t="str">
        <f t="shared" si="13"/>
        <v>1F350</v>
      </c>
      <c r="I157">
        <f>HEX2DEC(Table1[[#This Row],[utf8]])</f>
        <v>127824</v>
      </c>
      <c r="J157" t="str">
        <f>_xlfn.UNICHAR(HEX2DEC(Table1[[#This Row],[utf8]]))</f>
        <v>🍐</v>
      </c>
      <c r="K157" s="3" t="str" cm="1">
        <f t="array" ref="K157">"Case "&amp;wRandomLetter()&amp;wRandomLetter()&amp;I157&amp;":    UniConst = ChrW(" &amp; I157 &amp;")"</f>
        <v>Case KF127824:    UniConst = ChrW(127824)</v>
      </c>
    </row>
    <row r="158" spans="1:11" hidden="1">
      <c r="A158" t="s">
        <v>3291</v>
      </c>
      <c r="B158" t="str">
        <f t="shared" si="14"/>
        <v>1F351 ; fully-qualified # 🍑 E0.6 peach</v>
      </c>
      <c r="C158" t="str">
        <f t="shared" si="15"/>
        <v xml:space="preserve">1F351 </v>
      </c>
      <c r="D158">
        <f t="shared" si="16"/>
        <v>6</v>
      </c>
      <c r="E158" t="str">
        <f t="shared" si="12"/>
        <v xml:space="preserve"> 🍑 E0.6 peach</v>
      </c>
      <c r="F158" t="b">
        <f t="shared" si="17"/>
        <v>1</v>
      </c>
      <c r="G158" t="str">
        <f t="shared" si="13"/>
        <v>1F351</v>
      </c>
      <c r="I158">
        <f>HEX2DEC(Table1[[#This Row],[utf8]])</f>
        <v>127825</v>
      </c>
      <c r="J158" t="str">
        <f>_xlfn.UNICHAR(HEX2DEC(Table1[[#This Row],[utf8]]))</f>
        <v>🍑</v>
      </c>
      <c r="K158" s="3" t="str" cm="1">
        <f t="array" ref="K158">"Case "&amp;wRandomLetter()&amp;wRandomLetter()&amp;I158&amp;":    UniConst = ChrW(" &amp; I158 &amp;")"</f>
        <v>Case FN127825:    UniConst = ChrW(127825)</v>
      </c>
    </row>
    <row r="159" spans="1:11" hidden="1">
      <c r="A159" t="s">
        <v>3292</v>
      </c>
      <c r="B159" t="str">
        <f t="shared" si="14"/>
        <v>1F352 ; fully-qualified # 🍒 E0.6 cherries</v>
      </c>
      <c r="C159" t="str">
        <f t="shared" si="15"/>
        <v xml:space="preserve">1F352 </v>
      </c>
      <c r="D159">
        <f t="shared" si="16"/>
        <v>6</v>
      </c>
      <c r="E159" t="str">
        <f t="shared" si="12"/>
        <v xml:space="preserve"> 🍒 E0.6 cherries</v>
      </c>
      <c r="F159" t="b">
        <f t="shared" si="17"/>
        <v>1</v>
      </c>
      <c r="G159" t="str">
        <f t="shared" si="13"/>
        <v>1F352</v>
      </c>
      <c r="I159">
        <f>HEX2DEC(Table1[[#This Row],[utf8]])</f>
        <v>127826</v>
      </c>
      <c r="J159" t="str">
        <f>_xlfn.UNICHAR(HEX2DEC(Table1[[#This Row],[utf8]]))</f>
        <v>🍒</v>
      </c>
      <c r="K159" s="3" t="str" cm="1">
        <f t="array" ref="K159">"Case "&amp;wRandomLetter()&amp;wRandomLetter()&amp;I159&amp;":    UniConst = ChrW(" &amp; I159 &amp;")"</f>
        <v>Case gD127826:    UniConst = ChrW(127826)</v>
      </c>
    </row>
    <row r="160" spans="1:11" hidden="1">
      <c r="A160" t="s">
        <v>3293</v>
      </c>
      <c r="B160" t="str">
        <f t="shared" si="14"/>
        <v>1F353 ; fully-qualified # 🍓 E0.6 strawberry</v>
      </c>
      <c r="C160" t="str">
        <f t="shared" si="15"/>
        <v xml:space="preserve">1F353 </v>
      </c>
      <c r="D160">
        <f t="shared" si="16"/>
        <v>6</v>
      </c>
      <c r="E160" t="str">
        <f t="shared" si="12"/>
        <v xml:space="preserve"> 🍓 E0.6 strawberry</v>
      </c>
      <c r="F160" t="b">
        <f t="shared" si="17"/>
        <v>1</v>
      </c>
      <c r="G160" t="str">
        <f t="shared" si="13"/>
        <v>1F353</v>
      </c>
      <c r="I160">
        <f>HEX2DEC(Table1[[#This Row],[utf8]])</f>
        <v>127827</v>
      </c>
      <c r="J160" t="str">
        <f>_xlfn.UNICHAR(HEX2DEC(Table1[[#This Row],[utf8]]))</f>
        <v>🍓</v>
      </c>
      <c r="K160" s="3" t="str" cm="1">
        <f t="array" ref="K160">"Case "&amp;wRandomLetter()&amp;wRandomLetter()&amp;I160&amp;":    UniConst = ChrW(" &amp; I160 &amp;")"</f>
        <v>Case VY127827:    UniConst = ChrW(127827)</v>
      </c>
    </row>
    <row r="161" spans="1:11" hidden="1">
      <c r="A161" t="s">
        <v>3330</v>
      </c>
      <c r="B161" t="str">
        <f t="shared" si="14"/>
        <v>1F354 ; fully-qualified # 🍔 E0.6 hamburger</v>
      </c>
      <c r="C161" t="str">
        <f t="shared" si="15"/>
        <v xml:space="preserve">1F354 </v>
      </c>
      <c r="D161">
        <f t="shared" si="16"/>
        <v>6</v>
      </c>
      <c r="E161" t="str">
        <f t="shared" si="12"/>
        <v xml:space="preserve"> 🍔 E0.6 hamburger</v>
      </c>
      <c r="F161" t="b">
        <f t="shared" si="17"/>
        <v>1</v>
      </c>
      <c r="G161" t="str">
        <f t="shared" si="13"/>
        <v>1F354</v>
      </c>
      <c r="I161">
        <f>HEX2DEC(Table1[[#This Row],[utf8]])</f>
        <v>127828</v>
      </c>
      <c r="J161" t="str">
        <f>_xlfn.UNICHAR(HEX2DEC(Table1[[#This Row],[utf8]]))</f>
        <v>🍔</v>
      </c>
      <c r="K161" s="3" t="str" cm="1">
        <f t="array" ref="K161">"Case "&amp;wRandomLetter()&amp;wRandomLetter()&amp;I161&amp;":    UniConst = ChrW(" &amp; I161 &amp;")"</f>
        <v>Case sf127828:    UniConst = ChrW(127828)</v>
      </c>
    </row>
    <row r="162" spans="1:11" hidden="1">
      <c r="A162" t="s">
        <v>3332</v>
      </c>
      <c r="B162" t="str">
        <f t="shared" si="14"/>
        <v>1F355 ; fully-qualified # 🍕 E0.6 pizza</v>
      </c>
      <c r="C162" t="str">
        <f t="shared" si="15"/>
        <v xml:space="preserve">1F355 </v>
      </c>
      <c r="D162">
        <f t="shared" si="16"/>
        <v>6</v>
      </c>
      <c r="E162" t="str">
        <f t="shared" si="12"/>
        <v xml:space="preserve"> 🍕 E0.6 pizza</v>
      </c>
      <c r="F162" t="b">
        <f t="shared" si="17"/>
        <v>1</v>
      </c>
      <c r="G162" t="str">
        <f t="shared" si="13"/>
        <v>1F355</v>
      </c>
      <c r="I162">
        <f>HEX2DEC(Table1[[#This Row],[utf8]])</f>
        <v>127829</v>
      </c>
      <c r="J162" t="str">
        <f>_xlfn.UNICHAR(HEX2DEC(Table1[[#This Row],[utf8]]))</f>
        <v>🍕</v>
      </c>
      <c r="K162" s="3" t="str" cm="1">
        <f t="array" ref="K162">"Case "&amp;wRandomLetter()&amp;wRandomLetter()&amp;I162&amp;":    UniConst = ChrW(" &amp; I162 &amp;")"</f>
        <v>Case mw127829:    UniConst = ChrW(127829)</v>
      </c>
    </row>
    <row r="163" spans="1:11" hidden="1">
      <c r="A163" t="s">
        <v>3326</v>
      </c>
      <c r="B163" t="str">
        <f t="shared" si="14"/>
        <v>1F356 ; fully-qualified # 🍖 E0.6 meat on bone</v>
      </c>
      <c r="C163" t="str">
        <f t="shared" si="15"/>
        <v xml:space="preserve">1F356 </v>
      </c>
      <c r="D163">
        <f t="shared" si="16"/>
        <v>6</v>
      </c>
      <c r="E163" t="str">
        <f t="shared" si="12"/>
        <v xml:space="preserve"> 🍖 E0.6 meat on bone</v>
      </c>
      <c r="F163" t="b">
        <f t="shared" si="17"/>
        <v>1</v>
      </c>
      <c r="G163" t="str">
        <f t="shared" si="13"/>
        <v>1F356</v>
      </c>
      <c r="I163">
        <f>HEX2DEC(Table1[[#This Row],[utf8]])</f>
        <v>127830</v>
      </c>
      <c r="J163" t="str">
        <f>_xlfn.UNICHAR(HEX2DEC(Table1[[#This Row],[utf8]]))</f>
        <v>🍖</v>
      </c>
      <c r="K163" s="3" t="str" cm="1">
        <f t="array" ref="K163">"Case "&amp;wRandomLetter()&amp;wRandomLetter()&amp;I163&amp;":    UniConst = ChrW(" &amp; I163 &amp;")"</f>
        <v>Case xt127830:    UniConst = ChrW(127830)</v>
      </c>
    </row>
    <row r="164" spans="1:11" hidden="1">
      <c r="A164" t="s">
        <v>3327</v>
      </c>
      <c r="B164" t="str">
        <f t="shared" si="14"/>
        <v>1F357 ; fully-qualified # 🍗 E0.6 poultry leg</v>
      </c>
      <c r="C164" t="str">
        <f t="shared" si="15"/>
        <v xml:space="preserve">1F357 </v>
      </c>
      <c r="D164">
        <f t="shared" si="16"/>
        <v>6</v>
      </c>
      <c r="E164" t="str">
        <f t="shared" si="12"/>
        <v xml:space="preserve"> 🍗 E0.6 poultry leg</v>
      </c>
      <c r="F164" t="b">
        <f t="shared" si="17"/>
        <v>1</v>
      </c>
      <c r="G164" t="str">
        <f t="shared" si="13"/>
        <v>1F357</v>
      </c>
      <c r="I164">
        <f>HEX2DEC(Table1[[#This Row],[utf8]])</f>
        <v>127831</v>
      </c>
      <c r="J164" t="str">
        <f>_xlfn.UNICHAR(HEX2DEC(Table1[[#This Row],[utf8]]))</f>
        <v>🍗</v>
      </c>
      <c r="K164" s="3" t="str" cm="1">
        <f t="array" ref="K164">"Case "&amp;wRandomLetter()&amp;wRandomLetter()&amp;I164&amp;":    UniConst = ChrW(" &amp; I164 &amp;")"</f>
        <v>Case Ct127831:    UniConst = ChrW(127831)</v>
      </c>
    </row>
    <row r="165" spans="1:11" hidden="1">
      <c r="A165" t="s">
        <v>3353</v>
      </c>
      <c r="B165" t="str">
        <f t="shared" si="14"/>
        <v>1F358 ; fully-qualified # 🍘 E0.6 rice cracker</v>
      </c>
      <c r="C165" t="str">
        <f t="shared" si="15"/>
        <v xml:space="preserve">1F358 </v>
      </c>
      <c r="D165">
        <f t="shared" si="16"/>
        <v>6</v>
      </c>
      <c r="E165" t="str">
        <f t="shared" si="12"/>
        <v xml:space="preserve"> 🍘 E0.6 rice cracker</v>
      </c>
      <c r="F165" t="b">
        <f t="shared" si="17"/>
        <v>1</v>
      </c>
      <c r="G165" t="str">
        <f t="shared" si="13"/>
        <v>1F358</v>
      </c>
      <c r="I165">
        <f>HEX2DEC(Table1[[#This Row],[utf8]])</f>
        <v>127832</v>
      </c>
      <c r="J165" t="str">
        <f>_xlfn.UNICHAR(HEX2DEC(Table1[[#This Row],[utf8]]))</f>
        <v>🍘</v>
      </c>
      <c r="K165" s="3" t="str" cm="1">
        <f t="array" ref="K165">"Case "&amp;wRandomLetter()&amp;wRandomLetter()&amp;I165&amp;":    UniConst = ChrW(" &amp; I165 &amp;")"</f>
        <v>Case Dr127832:    UniConst = ChrW(127832)</v>
      </c>
    </row>
    <row r="166" spans="1:11" hidden="1">
      <c r="A166" t="s">
        <v>3354</v>
      </c>
      <c r="B166" t="str">
        <f t="shared" si="14"/>
        <v>1F359 ; fully-qualified # 🍙 E0.6 rice ball</v>
      </c>
      <c r="C166" t="str">
        <f t="shared" si="15"/>
        <v xml:space="preserve">1F359 </v>
      </c>
      <c r="D166">
        <f t="shared" si="16"/>
        <v>6</v>
      </c>
      <c r="E166" t="str">
        <f t="shared" si="12"/>
        <v xml:space="preserve"> 🍙 E0.6 rice ball</v>
      </c>
      <c r="F166" t="b">
        <f t="shared" si="17"/>
        <v>1</v>
      </c>
      <c r="G166" t="str">
        <f t="shared" si="13"/>
        <v>1F359</v>
      </c>
      <c r="I166">
        <f>HEX2DEC(Table1[[#This Row],[utf8]])</f>
        <v>127833</v>
      </c>
      <c r="J166" t="str">
        <f>_xlfn.UNICHAR(HEX2DEC(Table1[[#This Row],[utf8]]))</f>
        <v>🍙</v>
      </c>
      <c r="K166" s="3" t="str" cm="1">
        <f t="array" ref="K166">"Case "&amp;wRandomLetter()&amp;wRandomLetter()&amp;I166&amp;":    UniConst = ChrW(" &amp; I166 &amp;")"</f>
        <v>Case cn127833:    UniConst = ChrW(127833)</v>
      </c>
    </row>
    <row r="167" spans="1:11" hidden="1">
      <c r="A167" t="s">
        <v>3355</v>
      </c>
      <c r="B167" t="str">
        <f t="shared" si="14"/>
        <v>1F35A ; fully-qualified # 🍚 E0.6 cooked rice</v>
      </c>
      <c r="C167" t="str">
        <f t="shared" si="15"/>
        <v xml:space="preserve">1F35A </v>
      </c>
      <c r="D167">
        <f t="shared" si="16"/>
        <v>6</v>
      </c>
      <c r="E167" t="str">
        <f t="shared" si="12"/>
        <v xml:space="preserve"> 🍚 E0.6 cooked rice</v>
      </c>
      <c r="F167" t="b">
        <f t="shared" si="17"/>
        <v>1</v>
      </c>
      <c r="G167" t="str">
        <f t="shared" si="13"/>
        <v>1F35A</v>
      </c>
      <c r="I167">
        <f>HEX2DEC(Table1[[#This Row],[utf8]])</f>
        <v>127834</v>
      </c>
      <c r="J167" t="str">
        <f>_xlfn.UNICHAR(HEX2DEC(Table1[[#This Row],[utf8]]))</f>
        <v>🍚</v>
      </c>
      <c r="K167" s="3" t="str" cm="1">
        <f t="array" ref="K167">"Case "&amp;wRandomLetter()&amp;wRandomLetter()&amp;I167&amp;":    UniConst = ChrW(" &amp; I167 &amp;")"</f>
        <v>Case sx127834:    UniConst = ChrW(127834)</v>
      </c>
    </row>
    <row r="168" spans="1:11" hidden="1">
      <c r="A168" t="s">
        <v>3356</v>
      </c>
      <c r="B168" t="str">
        <f t="shared" si="14"/>
        <v>1F35B ; fully-qualified # 🍛 E0.6 curry rice</v>
      </c>
      <c r="C168" t="str">
        <f t="shared" si="15"/>
        <v xml:space="preserve">1F35B </v>
      </c>
      <c r="D168">
        <f t="shared" si="16"/>
        <v>6</v>
      </c>
      <c r="E168" t="str">
        <f t="shared" si="12"/>
        <v xml:space="preserve"> 🍛 E0.6 curry rice</v>
      </c>
      <c r="F168" t="b">
        <f t="shared" si="17"/>
        <v>1</v>
      </c>
      <c r="G168" t="str">
        <f t="shared" si="13"/>
        <v>1F35B</v>
      </c>
      <c r="I168">
        <f>HEX2DEC(Table1[[#This Row],[utf8]])</f>
        <v>127835</v>
      </c>
      <c r="J168" t="str">
        <f>_xlfn.UNICHAR(HEX2DEC(Table1[[#This Row],[utf8]]))</f>
        <v>🍛</v>
      </c>
      <c r="K168" s="3" t="str" cm="1">
        <f t="array" ref="K168">"Case "&amp;wRandomLetter()&amp;wRandomLetter()&amp;I168&amp;":    UniConst = ChrW(" &amp; I168 &amp;")"</f>
        <v>Case wk127835:    UniConst = ChrW(127835)</v>
      </c>
    </row>
    <row r="169" spans="1:11" hidden="1">
      <c r="A169" t="s">
        <v>3357</v>
      </c>
      <c r="B169" t="str">
        <f t="shared" si="14"/>
        <v>1F35C ; fully-qualified # 🍜 E0.6 steaming bowl</v>
      </c>
      <c r="C169" t="str">
        <f t="shared" si="15"/>
        <v xml:space="preserve">1F35C </v>
      </c>
      <c r="D169">
        <f t="shared" si="16"/>
        <v>6</v>
      </c>
      <c r="E169" t="str">
        <f t="shared" si="12"/>
        <v xml:space="preserve"> 🍜 E0.6 steaming bowl</v>
      </c>
      <c r="F169" t="b">
        <f t="shared" si="17"/>
        <v>1</v>
      </c>
      <c r="G169" t="str">
        <f t="shared" si="13"/>
        <v>1F35C</v>
      </c>
      <c r="I169">
        <f>HEX2DEC(Table1[[#This Row],[utf8]])</f>
        <v>127836</v>
      </c>
      <c r="J169" t="str">
        <f>_xlfn.UNICHAR(HEX2DEC(Table1[[#This Row],[utf8]]))</f>
        <v>🍜</v>
      </c>
      <c r="K169" s="3" t="str" cm="1">
        <f t="array" ref="K169">"Case "&amp;wRandomLetter()&amp;wRandomLetter()&amp;I169&amp;":    UniConst = ChrW(" &amp; I169 &amp;")"</f>
        <v>Case Fc127836:    UniConst = ChrW(127836)</v>
      </c>
    </row>
    <row r="170" spans="1:11" hidden="1">
      <c r="A170" t="s">
        <v>3358</v>
      </c>
      <c r="B170" t="str">
        <f t="shared" si="14"/>
        <v>1F35D ; fully-qualified # 🍝 E0.6 spaghetti</v>
      </c>
      <c r="C170" t="str">
        <f t="shared" si="15"/>
        <v xml:space="preserve">1F35D </v>
      </c>
      <c r="D170">
        <f t="shared" si="16"/>
        <v>6</v>
      </c>
      <c r="E170" t="str">
        <f t="shared" si="12"/>
        <v xml:space="preserve"> 🍝 E0.6 spaghetti</v>
      </c>
      <c r="F170" t="b">
        <f t="shared" si="17"/>
        <v>1</v>
      </c>
      <c r="G170" t="str">
        <f t="shared" si="13"/>
        <v>1F35D</v>
      </c>
      <c r="I170">
        <f>HEX2DEC(Table1[[#This Row],[utf8]])</f>
        <v>127837</v>
      </c>
      <c r="J170" t="str">
        <f>_xlfn.UNICHAR(HEX2DEC(Table1[[#This Row],[utf8]]))</f>
        <v>🍝</v>
      </c>
      <c r="K170" s="3" t="str" cm="1">
        <f t="array" ref="K170">"Case "&amp;wRandomLetter()&amp;wRandomLetter()&amp;I170&amp;":    UniConst = ChrW(" &amp; I170 &amp;")"</f>
        <v>Case kS127837:    UniConst = ChrW(127837)</v>
      </c>
    </row>
    <row r="171" spans="1:11" hidden="1">
      <c r="A171" t="s">
        <v>3317</v>
      </c>
      <c r="B171" t="str">
        <f t="shared" si="14"/>
        <v>1F35E ; fully-qualified # 🍞 E0.6 bread</v>
      </c>
      <c r="C171" t="str">
        <f t="shared" si="15"/>
        <v xml:space="preserve">1F35E </v>
      </c>
      <c r="D171">
        <f t="shared" si="16"/>
        <v>6</v>
      </c>
      <c r="E171" t="str">
        <f t="shared" si="12"/>
        <v xml:space="preserve"> 🍞 E0.6 bread</v>
      </c>
      <c r="F171" t="b">
        <f t="shared" si="17"/>
        <v>1</v>
      </c>
      <c r="G171" t="str">
        <f t="shared" si="13"/>
        <v>1F35E</v>
      </c>
      <c r="I171">
        <f>HEX2DEC(Table1[[#This Row],[utf8]])</f>
        <v>127838</v>
      </c>
      <c r="J171" t="str">
        <f>_xlfn.UNICHAR(HEX2DEC(Table1[[#This Row],[utf8]]))</f>
        <v>🍞</v>
      </c>
      <c r="K171" s="3" t="str" cm="1">
        <f t="array" ref="K171">"Case "&amp;wRandomLetter()&amp;wRandomLetter()&amp;I171&amp;":    UniConst = ChrW(" &amp; I171 &amp;")"</f>
        <v>Case Hm127838:    UniConst = ChrW(127838)</v>
      </c>
    </row>
    <row r="172" spans="1:11" hidden="1">
      <c r="A172" t="s">
        <v>3331</v>
      </c>
      <c r="B172" t="str">
        <f t="shared" si="14"/>
        <v>1F35F ; fully-qualified # 🍟 E0.6 french fries</v>
      </c>
      <c r="C172" t="str">
        <f t="shared" si="15"/>
        <v xml:space="preserve">1F35F </v>
      </c>
      <c r="D172">
        <f t="shared" si="16"/>
        <v>6</v>
      </c>
      <c r="E172" t="str">
        <f t="shared" si="12"/>
        <v xml:space="preserve"> 🍟 E0.6 french fries</v>
      </c>
      <c r="F172" t="b">
        <f t="shared" si="17"/>
        <v>1</v>
      </c>
      <c r="G172" t="str">
        <f t="shared" si="13"/>
        <v>1F35F</v>
      </c>
      <c r="I172">
        <f>HEX2DEC(Table1[[#This Row],[utf8]])</f>
        <v>127839</v>
      </c>
      <c r="J172" t="str">
        <f>_xlfn.UNICHAR(HEX2DEC(Table1[[#This Row],[utf8]]))</f>
        <v>🍟</v>
      </c>
      <c r="K172" s="3" t="str" cm="1">
        <f t="array" ref="K172">"Case "&amp;wRandomLetter()&amp;wRandomLetter()&amp;I172&amp;":    UniConst = ChrW(" &amp; I172 &amp;")"</f>
        <v>Case ev127839:    UniConst = ChrW(127839)</v>
      </c>
    </row>
    <row r="173" spans="1:11" hidden="1">
      <c r="A173" t="s">
        <v>3359</v>
      </c>
      <c r="B173" t="str">
        <f t="shared" si="14"/>
        <v>1F360 ; fully-qualified # 🍠 E0.6 roasted sweet potato</v>
      </c>
      <c r="C173" t="str">
        <f t="shared" si="15"/>
        <v xml:space="preserve">1F360 </v>
      </c>
      <c r="D173">
        <f t="shared" si="16"/>
        <v>6</v>
      </c>
      <c r="E173" t="str">
        <f t="shared" si="12"/>
        <v xml:space="preserve"> 🍠 E0.6 roasted sweet potato</v>
      </c>
      <c r="F173" t="b">
        <f t="shared" si="17"/>
        <v>1</v>
      </c>
      <c r="G173" t="str">
        <f t="shared" si="13"/>
        <v>1F360</v>
      </c>
      <c r="I173">
        <f>HEX2DEC(Table1[[#This Row],[utf8]])</f>
        <v>127840</v>
      </c>
      <c r="J173" t="str">
        <f>_xlfn.UNICHAR(HEX2DEC(Table1[[#This Row],[utf8]]))</f>
        <v>🍠</v>
      </c>
      <c r="K173" s="3" t="str" cm="1">
        <f t="array" ref="K173">"Case "&amp;wRandomLetter()&amp;wRandomLetter()&amp;I173&amp;":    UniConst = ChrW(" &amp; I173 &amp;")"</f>
        <v>Case YQ127840:    UniConst = ChrW(127840)</v>
      </c>
    </row>
    <row r="174" spans="1:11" hidden="1">
      <c r="A174" t="s">
        <v>3365</v>
      </c>
      <c r="B174" t="str">
        <f t="shared" si="14"/>
        <v>1F361 ; fully-qualified # 🍡 E0.6 dango</v>
      </c>
      <c r="C174" t="str">
        <f t="shared" si="15"/>
        <v xml:space="preserve">1F361 </v>
      </c>
      <c r="D174">
        <f t="shared" si="16"/>
        <v>6</v>
      </c>
      <c r="E174" t="str">
        <f t="shared" si="12"/>
        <v xml:space="preserve"> 🍡 E0.6 dango</v>
      </c>
      <c r="F174" t="b">
        <f t="shared" si="17"/>
        <v>1</v>
      </c>
      <c r="G174" t="str">
        <f t="shared" si="13"/>
        <v>1F361</v>
      </c>
      <c r="I174">
        <f>HEX2DEC(Table1[[#This Row],[utf8]])</f>
        <v>127841</v>
      </c>
      <c r="J174" t="str">
        <f>_xlfn.UNICHAR(HEX2DEC(Table1[[#This Row],[utf8]]))</f>
        <v>🍡</v>
      </c>
      <c r="K174" s="3" t="str" cm="1">
        <f t="array" ref="K174">"Case "&amp;wRandomLetter()&amp;wRandomLetter()&amp;I174&amp;":    UniConst = ChrW(" &amp; I174 &amp;")"</f>
        <v>Case lD127841:    UniConst = ChrW(127841)</v>
      </c>
    </row>
    <row r="175" spans="1:11" hidden="1">
      <c r="A175" t="s">
        <v>3360</v>
      </c>
      <c r="B175" t="str">
        <f t="shared" si="14"/>
        <v>1F362 ; fully-qualified # 🍢 E0.6 oden</v>
      </c>
      <c r="C175" t="str">
        <f t="shared" si="15"/>
        <v xml:space="preserve">1F362 </v>
      </c>
      <c r="D175">
        <f t="shared" si="16"/>
        <v>6</v>
      </c>
      <c r="E175" t="str">
        <f t="shared" si="12"/>
        <v xml:space="preserve"> 🍢 E0.6 oden</v>
      </c>
      <c r="F175" t="b">
        <f t="shared" si="17"/>
        <v>1</v>
      </c>
      <c r="G175" t="str">
        <f t="shared" si="13"/>
        <v>1F362</v>
      </c>
      <c r="I175">
        <f>HEX2DEC(Table1[[#This Row],[utf8]])</f>
        <v>127842</v>
      </c>
      <c r="J175" t="str">
        <f>_xlfn.UNICHAR(HEX2DEC(Table1[[#This Row],[utf8]]))</f>
        <v>🍢</v>
      </c>
      <c r="K175" s="3" t="str" cm="1">
        <f t="array" ref="K175">"Case "&amp;wRandomLetter()&amp;wRandomLetter()&amp;I175&amp;":    UniConst = ChrW(" &amp; I175 &amp;")"</f>
        <v>Case Tm127842:    UniConst = ChrW(127842)</v>
      </c>
    </row>
    <row r="176" spans="1:11" hidden="1">
      <c r="A176" t="s">
        <v>3361</v>
      </c>
      <c r="B176" t="str">
        <f t="shared" si="14"/>
        <v>1F363 ; fully-qualified # 🍣 E0.6 sushi</v>
      </c>
      <c r="C176" t="str">
        <f t="shared" si="15"/>
        <v xml:space="preserve">1F363 </v>
      </c>
      <c r="D176">
        <f t="shared" si="16"/>
        <v>6</v>
      </c>
      <c r="E176" t="str">
        <f t="shared" si="12"/>
        <v xml:space="preserve"> 🍣 E0.6 sushi</v>
      </c>
      <c r="F176" t="b">
        <f t="shared" si="17"/>
        <v>1</v>
      </c>
      <c r="G176" t="str">
        <f t="shared" si="13"/>
        <v>1F363</v>
      </c>
      <c r="I176">
        <f>HEX2DEC(Table1[[#This Row],[utf8]])</f>
        <v>127843</v>
      </c>
      <c r="J176" t="str">
        <f>_xlfn.UNICHAR(HEX2DEC(Table1[[#This Row],[utf8]]))</f>
        <v>🍣</v>
      </c>
      <c r="K176" s="3" t="str" cm="1">
        <f t="array" ref="K176">"Case "&amp;wRandomLetter()&amp;wRandomLetter()&amp;I176&amp;":    UniConst = ChrW(" &amp; I176 &amp;")"</f>
        <v>Case tV127843:    UniConst = ChrW(127843)</v>
      </c>
    </row>
    <row r="177" spans="1:11" hidden="1">
      <c r="A177" t="s">
        <v>3362</v>
      </c>
      <c r="B177" t="str">
        <f t="shared" si="14"/>
        <v>1F364 ; fully-qualified # 🍤 E0.6 fried shrimp</v>
      </c>
      <c r="C177" t="str">
        <f t="shared" si="15"/>
        <v xml:space="preserve">1F364 </v>
      </c>
      <c r="D177">
        <f t="shared" si="16"/>
        <v>6</v>
      </c>
      <c r="E177" t="str">
        <f t="shared" si="12"/>
        <v xml:space="preserve"> 🍤 E0.6 fried shrimp</v>
      </c>
      <c r="F177" t="b">
        <f t="shared" si="17"/>
        <v>1</v>
      </c>
      <c r="G177" t="str">
        <f t="shared" si="13"/>
        <v>1F364</v>
      </c>
      <c r="I177">
        <f>HEX2DEC(Table1[[#This Row],[utf8]])</f>
        <v>127844</v>
      </c>
      <c r="J177" t="str">
        <f>_xlfn.UNICHAR(HEX2DEC(Table1[[#This Row],[utf8]]))</f>
        <v>🍤</v>
      </c>
      <c r="K177" s="3" t="str" cm="1">
        <f t="array" ref="K177">"Case "&amp;wRandomLetter()&amp;wRandomLetter()&amp;I177&amp;":    UniConst = ChrW(" &amp; I177 &amp;")"</f>
        <v>Case Km127844:    UniConst = ChrW(127844)</v>
      </c>
    </row>
    <row r="178" spans="1:11" hidden="1">
      <c r="A178" t="s">
        <v>3363</v>
      </c>
      <c r="B178" t="str">
        <f t="shared" si="14"/>
        <v>1F365 ; fully-qualified # 🍥 E0.6 fish cake with swirl</v>
      </c>
      <c r="C178" t="str">
        <f t="shared" si="15"/>
        <v xml:space="preserve">1F365 </v>
      </c>
      <c r="D178">
        <f t="shared" si="16"/>
        <v>6</v>
      </c>
      <c r="E178" t="str">
        <f t="shared" si="12"/>
        <v xml:space="preserve"> 🍥 E0.6 fish cake with swirl</v>
      </c>
      <c r="F178" t="b">
        <f t="shared" si="17"/>
        <v>1</v>
      </c>
      <c r="G178" t="str">
        <f t="shared" si="13"/>
        <v>1F365</v>
      </c>
      <c r="I178">
        <f>HEX2DEC(Table1[[#This Row],[utf8]])</f>
        <v>127845</v>
      </c>
      <c r="J178" t="str">
        <f>_xlfn.UNICHAR(HEX2DEC(Table1[[#This Row],[utf8]]))</f>
        <v>🍥</v>
      </c>
      <c r="K178" s="3" t="str" cm="1">
        <f t="array" ref="K178">"Case "&amp;wRandomLetter()&amp;wRandomLetter()&amp;I178&amp;":    UniConst = ChrW(" &amp; I178 &amp;")"</f>
        <v>Case Xc127845:    UniConst = ChrW(127845)</v>
      </c>
    </row>
    <row r="179" spans="1:11" hidden="1">
      <c r="A179" t="s">
        <v>3376</v>
      </c>
      <c r="B179" t="str">
        <f t="shared" si="14"/>
        <v>1F366 ; fully-qualified # 🍦 E0.6 soft ice cream</v>
      </c>
      <c r="C179" t="str">
        <f t="shared" si="15"/>
        <v xml:space="preserve">1F366 </v>
      </c>
      <c r="D179">
        <f t="shared" si="16"/>
        <v>6</v>
      </c>
      <c r="E179" t="str">
        <f t="shared" si="12"/>
        <v xml:space="preserve"> 🍦 E0.6 soft ice cream</v>
      </c>
      <c r="F179" t="b">
        <f t="shared" si="17"/>
        <v>1</v>
      </c>
      <c r="G179" t="str">
        <f t="shared" si="13"/>
        <v>1F366</v>
      </c>
      <c r="I179">
        <f>HEX2DEC(Table1[[#This Row],[utf8]])</f>
        <v>127846</v>
      </c>
      <c r="J179" t="str">
        <f>_xlfn.UNICHAR(HEX2DEC(Table1[[#This Row],[utf8]]))</f>
        <v>🍦</v>
      </c>
      <c r="K179" s="3" t="str" cm="1">
        <f t="array" ref="K179">"Case "&amp;wRandomLetter()&amp;wRandomLetter()&amp;I179&amp;":    UniConst = ChrW(" &amp; I179 &amp;")"</f>
        <v>Case uE127846:    UniConst = ChrW(127846)</v>
      </c>
    </row>
    <row r="180" spans="1:11" hidden="1">
      <c r="A180" t="s">
        <v>3377</v>
      </c>
      <c r="B180" t="str">
        <f t="shared" si="14"/>
        <v>1F367 ; fully-qualified # 🍧 E0.6 shaved ice</v>
      </c>
      <c r="C180" t="str">
        <f t="shared" si="15"/>
        <v xml:space="preserve">1F367 </v>
      </c>
      <c r="D180">
        <f t="shared" si="16"/>
        <v>6</v>
      </c>
      <c r="E180" t="str">
        <f t="shared" si="12"/>
        <v xml:space="preserve"> 🍧 E0.6 shaved ice</v>
      </c>
      <c r="F180" t="b">
        <f t="shared" si="17"/>
        <v>1</v>
      </c>
      <c r="G180" t="str">
        <f t="shared" si="13"/>
        <v>1F367</v>
      </c>
      <c r="I180">
        <f>HEX2DEC(Table1[[#This Row],[utf8]])</f>
        <v>127847</v>
      </c>
      <c r="J180" t="str">
        <f>_xlfn.UNICHAR(HEX2DEC(Table1[[#This Row],[utf8]]))</f>
        <v>🍧</v>
      </c>
      <c r="K180" s="3" t="str" cm="1">
        <f t="array" ref="K180">"Case "&amp;wRandomLetter()&amp;wRandomLetter()&amp;I180&amp;":    UniConst = ChrW(" &amp; I180 &amp;")"</f>
        <v>Case dK127847:    UniConst = ChrW(127847)</v>
      </c>
    </row>
    <row r="181" spans="1:11" hidden="1">
      <c r="A181" t="s">
        <v>3378</v>
      </c>
      <c r="B181" t="str">
        <f t="shared" si="14"/>
        <v>1F368 ; fully-qualified # 🍨 E0.6 ice cream</v>
      </c>
      <c r="C181" t="str">
        <f t="shared" si="15"/>
        <v xml:space="preserve">1F368 </v>
      </c>
      <c r="D181">
        <f t="shared" si="16"/>
        <v>6</v>
      </c>
      <c r="E181" t="str">
        <f t="shared" si="12"/>
        <v xml:space="preserve"> 🍨 E0.6 ice cream</v>
      </c>
      <c r="F181" t="b">
        <f t="shared" si="17"/>
        <v>1</v>
      </c>
      <c r="G181" t="str">
        <f t="shared" si="13"/>
        <v>1F368</v>
      </c>
      <c r="I181">
        <f>HEX2DEC(Table1[[#This Row],[utf8]])</f>
        <v>127848</v>
      </c>
      <c r="J181" t="str">
        <f>_xlfn.UNICHAR(HEX2DEC(Table1[[#This Row],[utf8]]))</f>
        <v>🍨</v>
      </c>
      <c r="K181" s="3" t="str" cm="1">
        <f t="array" ref="K181">"Case "&amp;wRandomLetter()&amp;wRandomLetter()&amp;I181&amp;":    UniConst = ChrW(" &amp; I181 &amp;")"</f>
        <v>Case PW127848:    UniConst = ChrW(127848)</v>
      </c>
    </row>
    <row r="182" spans="1:11" hidden="1">
      <c r="A182" t="s">
        <v>3379</v>
      </c>
      <c r="B182" t="str">
        <f t="shared" si="14"/>
        <v>1F369 ; fully-qualified # 🍩 E0.6 doughnut</v>
      </c>
      <c r="C182" t="str">
        <f t="shared" si="15"/>
        <v xml:space="preserve">1F369 </v>
      </c>
      <c r="D182">
        <f t="shared" si="16"/>
        <v>6</v>
      </c>
      <c r="E182" t="str">
        <f t="shared" si="12"/>
        <v xml:space="preserve"> 🍩 E0.6 doughnut</v>
      </c>
      <c r="F182" t="b">
        <f t="shared" si="17"/>
        <v>1</v>
      </c>
      <c r="G182" t="str">
        <f t="shared" si="13"/>
        <v>1F369</v>
      </c>
      <c r="I182">
        <f>HEX2DEC(Table1[[#This Row],[utf8]])</f>
        <v>127849</v>
      </c>
      <c r="J182" t="str">
        <f>_xlfn.UNICHAR(HEX2DEC(Table1[[#This Row],[utf8]]))</f>
        <v>🍩</v>
      </c>
      <c r="K182" s="3" t="str" cm="1">
        <f t="array" ref="K182">"Case "&amp;wRandomLetter()&amp;wRandomLetter()&amp;I182&amp;":    UniConst = ChrW(" &amp; I182 &amp;")"</f>
        <v>Case TC127849:    UniConst = ChrW(127849)</v>
      </c>
    </row>
    <row r="183" spans="1:11" hidden="1">
      <c r="A183" t="s">
        <v>3380</v>
      </c>
      <c r="B183" t="str">
        <f t="shared" si="14"/>
        <v>1F36A ; fully-qualified # 🍪 E0.6 cookie</v>
      </c>
      <c r="C183" t="str">
        <f t="shared" si="15"/>
        <v xml:space="preserve">1F36A </v>
      </c>
      <c r="D183">
        <f t="shared" si="16"/>
        <v>6</v>
      </c>
      <c r="E183" t="str">
        <f t="shared" si="12"/>
        <v xml:space="preserve"> 🍪 E0.6 cookie</v>
      </c>
      <c r="F183" t="b">
        <f t="shared" si="17"/>
        <v>1</v>
      </c>
      <c r="G183" t="str">
        <f t="shared" si="13"/>
        <v>1F36A</v>
      </c>
      <c r="I183">
        <f>HEX2DEC(Table1[[#This Row],[utf8]])</f>
        <v>127850</v>
      </c>
      <c r="J183" t="str">
        <f>_xlfn.UNICHAR(HEX2DEC(Table1[[#This Row],[utf8]]))</f>
        <v>🍪</v>
      </c>
      <c r="K183" s="3" t="str" cm="1">
        <f t="array" ref="K183">"Case "&amp;wRandomLetter()&amp;wRandomLetter()&amp;I183&amp;":    UniConst = ChrW(" &amp; I183 &amp;")"</f>
        <v>Case sX127850:    UniConst = ChrW(127850)</v>
      </c>
    </row>
    <row r="184" spans="1:11" hidden="1">
      <c r="A184" t="s">
        <v>3385</v>
      </c>
      <c r="B184" t="str">
        <f t="shared" si="14"/>
        <v>1F36B ; fully-qualified # 🍫 E0.6 chocolate bar</v>
      </c>
      <c r="C184" t="str">
        <f t="shared" si="15"/>
        <v xml:space="preserve">1F36B </v>
      </c>
      <c r="D184">
        <f t="shared" si="16"/>
        <v>6</v>
      </c>
      <c r="E184" t="str">
        <f t="shared" si="12"/>
        <v xml:space="preserve"> 🍫 E0.6 chocolate bar</v>
      </c>
      <c r="F184" t="b">
        <f t="shared" si="17"/>
        <v>1</v>
      </c>
      <c r="G184" t="str">
        <f t="shared" si="13"/>
        <v>1F36B</v>
      </c>
      <c r="I184">
        <f>HEX2DEC(Table1[[#This Row],[utf8]])</f>
        <v>127851</v>
      </c>
      <c r="J184" t="str">
        <f>_xlfn.UNICHAR(HEX2DEC(Table1[[#This Row],[utf8]]))</f>
        <v>🍫</v>
      </c>
      <c r="K184" s="3" t="str" cm="1">
        <f t="array" ref="K184">"Case "&amp;wRandomLetter()&amp;wRandomLetter()&amp;I184&amp;":    UniConst = ChrW(" &amp; I184 &amp;")"</f>
        <v>Case mk127851:    UniConst = ChrW(127851)</v>
      </c>
    </row>
    <row r="185" spans="1:11" hidden="1">
      <c r="A185" t="s">
        <v>3386</v>
      </c>
      <c r="B185" t="str">
        <f t="shared" si="14"/>
        <v>1F36C ; fully-qualified # 🍬 E0.6 candy</v>
      </c>
      <c r="C185" t="str">
        <f t="shared" si="15"/>
        <v xml:space="preserve">1F36C </v>
      </c>
      <c r="D185">
        <f t="shared" si="16"/>
        <v>6</v>
      </c>
      <c r="E185" t="str">
        <f t="shared" si="12"/>
        <v xml:space="preserve"> 🍬 E0.6 candy</v>
      </c>
      <c r="F185" t="b">
        <f t="shared" si="17"/>
        <v>1</v>
      </c>
      <c r="G185" t="str">
        <f t="shared" si="13"/>
        <v>1F36C</v>
      </c>
      <c r="I185">
        <f>HEX2DEC(Table1[[#This Row],[utf8]])</f>
        <v>127852</v>
      </c>
      <c r="J185" t="str">
        <f>_xlfn.UNICHAR(HEX2DEC(Table1[[#This Row],[utf8]]))</f>
        <v>🍬</v>
      </c>
      <c r="K185" s="3" t="str" cm="1">
        <f t="array" ref="K185">"Case "&amp;wRandomLetter()&amp;wRandomLetter()&amp;I185&amp;":    UniConst = ChrW(" &amp; I185 &amp;")"</f>
        <v>Case HI127852:    UniConst = ChrW(127852)</v>
      </c>
    </row>
    <row r="186" spans="1:11" hidden="1">
      <c r="A186" t="s">
        <v>3387</v>
      </c>
      <c r="B186" t="str">
        <f t="shared" si="14"/>
        <v>1F36D ; fully-qualified # 🍭 E0.6 lollipop</v>
      </c>
      <c r="C186" t="str">
        <f t="shared" si="15"/>
        <v xml:space="preserve">1F36D </v>
      </c>
      <c r="D186">
        <f t="shared" si="16"/>
        <v>6</v>
      </c>
      <c r="E186" t="str">
        <f t="shared" si="12"/>
        <v xml:space="preserve"> 🍭 E0.6 lollipop</v>
      </c>
      <c r="F186" t="b">
        <f t="shared" si="17"/>
        <v>1</v>
      </c>
      <c r="G186" t="str">
        <f t="shared" si="13"/>
        <v>1F36D</v>
      </c>
      <c r="I186">
        <f>HEX2DEC(Table1[[#This Row],[utf8]])</f>
        <v>127853</v>
      </c>
      <c r="J186" t="str">
        <f>_xlfn.UNICHAR(HEX2DEC(Table1[[#This Row],[utf8]]))</f>
        <v>🍭</v>
      </c>
      <c r="K186" s="3" t="str" cm="1">
        <f t="array" ref="K186">"Case "&amp;wRandomLetter()&amp;wRandomLetter()&amp;I186&amp;":    UniConst = ChrW(" &amp; I186 &amp;")"</f>
        <v>Case DF127853:    UniConst = ChrW(127853)</v>
      </c>
    </row>
    <row r="187" spans="1:11" hidden="1">
      <c r="A187" t="s">
        <v>3388</v>
      </c>
      <c r="B187" t="str">
        <f t="shared" si="14"/>
        <v>1F36E ; fully-qualified # 🍮 E0.6 custard</v>
      </c>
      <c r="C187" t="str">
        <f t="shared" si="15"/>
        <v xml:space="preserve">1F36E </v>
      </c>
      <c r="D187">
        <f t="shared" si="16"/>
        <v>6</v>
      </c>
      <c r="E187" t="str">
        <f t="shared" si="12"/>
        <v xml:space="preserve"> 🍮 E0.6 custard</v>
      </c>
      <c r="F187" t="b">
        <f t="shared" si="17"/>
        <v>1</v>
      </c>
      <c r="G187" t="str">
        <f t="shared" si="13"/>
        <v>1F36E</v>
      </c>
      <c r="I187">
        <f>HEX2DEC(Table1[[#This Row],[utf8]])</f>
        <v>127854</v>
      </c>
      <c r="J187" t="str">
        <f>_xlfn.UNICHAR(HEX2DEC(Table1[[#This Row],[utf8]]))</f>
        <v>🍮</v>
      </c>
      <c r="K187" s="3" t="str" cm="1">
        <f t="array" ref="K187">"Case "&amp;wRandomLetter()&amp;wRandomLetter()&amp;I187&amp;":    UniConst = ChrW(" &amp; I187 &amp;")"</f>
        <v>Case Oa127854:    UniConst = ChrW(127854)</v>
      </c>
    </row>
    <row r="188" spans="1:11" hidden="1">
      <c r="A188" t="s">
        <v>3389</v>
      </c>
      <c r="B188" t="str">
        <f t="shared" si="14"/>
        <v>1F36F ; fully-qualified # 🍯 E0.6 honey pot</v>
      </c>
      <c r="C188" t="str">
        <f t="shared" si="15"/>
        <v xml:space="preserve">1F36F </v>
      </c>
      <c r="D188">
        <f t="shared" si="16"/>
        <v>6</v>
      </c>
      <c r="E188" t="str">
        <f t="shared" si="12"/>
        <v xml:space="preserve"> 🍯 E0.6 honey pot</v>
      </c>
      <c r="F188" t="b">
        <f t="shared" si="17"/>
        <v>1</v>
      </c>
      <c r="G188" t="str">
        <f t="shared" si="13"/>
        <v>1F36F</v>
      </c>
      <c r="I188">
        <f>HEX2DEC(Table1[[#This Row],[utf8]])</f>
        <v>127855</v>
      </c>
      <c r="J188" t="str">
        <f>_xlfn.UNICHAR(HEX2DEC(Table1[[#This Row],[utf8]]))</f>
        <v>🍯</v>
      </c>
      <c r="K188" s="3" t="str" cm="1">
        <f t="array" ref="K188">"Case "&amp;wRandomLetter()&amp;wRandomLetter()&amp;I188&amp;":    UniConst = ChrW(" &amp; I188 &amp;")"</f>
        <v>Case MJ127855:    UniConst = ChrW(127855)</v>
      </c>
    </row>
    <row r="189" spans="1:11" hidden="1">
      <c r="A189" t="s">
        <v>3382</v>
      </c>
      <c r="B189" t="str">
        <f t="shared" si="14"/>
        <v>1F370 ; fully-qualified # 🍰 E0.6 shortcake</v>
      </c>
      <c r="C189" t="str">
        <f t="shared" si="15"/>
        <v xml:space="preserve">1F370 </v>
      </c>
      <c r="D189">
        <f t="shared" si="16"/>
        <v>6</v>
      </c>
      <c r="E189" t="str">
        <f t="shared" si="12"/>
        <v xml:space="preserve"> 🍰 E0.6 shortcake</v>
      </c>
      <c r="F189" t="b">
        <f t="shared" si="17"/>
        <v>1</v>
      </c>
      <c r="G189" t="str">
        <f t="shared" si="13"/>
        <v>1F370</v>
      </c>
      <c r="I189">
        <f>HEX2DEC(Table1[[#This Row],[utf8]])</f>
        <v>127856</v>
      </c>
      <c r="J189" t="str">
        <f>_xlfn.UNICHAR(HEX2DEC(Table1[[#This Row],[utf8]]))</f>
        <v>🍰</v>
      </c>
      <c r="K189" s="3" t="str" cm="1">
        <f t="array" ref="K189">"Case "&amp;wRandomLetter()&amp;wRandomLetter()&amp;I189&amp;":    UniConst = ChrW(" &amp; I189 &amp;")"</f>
        <v>Case xv127856:    UniConst = ChrW(127856)</v>
      </c>
    </row>
    <row r="190" spans="1:11" hidden="1">
      <c r="A190" t="s">
        <v>3352</v>
      </c>
      <c r="B190" t="str">
        <f t="shared" si="14"/>
        <v>1F371 ; fully-qualified # 🍱 E0.6 bento box</v>
      </c>
      <c r="C190" t="str">
        <f t="shared" si="15"/>
        <v xml:space="preserve">1F371 </v>
      </c>
      <c r="D190">
        <f t="shared" si="16"/>
        <v>6</v>
      </c>
      <c r="E190" t="str">
        <f t="shared" si="12"/>
        <v xml:space="preserve"> 🍱 E0.6 bento box</v>
      </c>
      <c r="F190" t="b">
        <f t="shared" si="17"/>
        <v>1</v>
      </c>
      <c r="G190" t="str">
        <f t="shared" si="13"/>
        <v>1F371</v>
      </c>
      <c r="I190">
        <f>HEX2DEC(Table1[[#This Row],[utf8]])</f>
        <v>127857</v>
      </c>
      <c r="J190" t="str">
        <f>_xlfn.UNICHAR(HEX2DEC(Table1[[#This Row],[utf8]]))</f>
        <v>🍱</v>
      </c>
      <c r="K190" s="3" t="str" cm="1">
        <f t="array" ref="K190">"Case "&amp;wRandomLetter()&amp;wRandomLetter()&amp;I190&amp;":    UniConst = ChrW(" &amp; I190 &amp;")"</f>
        <v>Case bn127857:    UniConst = ChrW(127857)</v>
      </c>
    </row>
    <row r="191" spans="1:11" hidden="1">
      <c r="A191" t="s">
        <v>3343</v>
      </c>
      <c r="B191" t="str">
        <f t="shared" si="14"/>
        <v>1F372 ; fully-qualified # 🍲 E0.6 pot of food</v>
      </c>
      <c r="C191" t="str">
        <f t="shared" si="15"/>
        <v xml:space="preserve">1F372 </v>
      </c>
      <c r="D191">
        <f t="shared" si="16"/>
        <v>6</v>
      </c>
      <c r="E191" t="str">
        <f t="shared" si="12"/>
        <v xml:space="preserve"> 🍲 E0.6 pot of food</v>
      </c>
      <c r="F191" t="b">
        <f t="shared" si="17"/>
        <v>1</v>
      </c>
      <c r="G191" t="str">
        <f t="shared" si="13"/>
        <v>1F372</v>
      </c>
      <c r="I191">
        <f>HEX2DEC(Table1[[#This Row],[utf8]])</f>
        <v>127858</v>
      </c>
      <c r="J191" t="str">
        <f>_xlfn.UNICHAR(HEX2DEC(Table1[[#This Row],[utf8]]))</f>
        <v>🍲</v>
      </c>
      <c r="K191" s="3" t="str" cm="1">
        <f t="array" ref="K191">"Case "&amp;wRandomLetter()&amp;wRandomLetter()&amp;I191&amp;":    UniConst = ChrW(" &amp; I191 &amp;")"</f>
        <v>Case qn127858:    UniConst = ChrW(127858)</v>
      </c>
    </row>
    <row r="192" spans="1:11" hidden="1">
      <c r="A192" t="s">
        <v>3341</v>
      </c>
      <c r="B192" t="str">
        <f t="shared" si="14"/>
        <v>1F373 ; fully-qualified # 🍳 E0.6 cooking</v>
      </c>
      <c r="C192" t="str">
        <f t="shared" si="15"/>
        <v xml:space="preserve">1F373 </v>
      </c>
      <c r="D192">
        <f t="shared" si="16"/>
        <v>6</v>
      </c>
      <c r="E192" t="str">
        <f t="shared" si="12"/>
        <v xml:space="preserve"> 🍳 E0.6 cooking</v>
      </c>
      <c r="F192" t="b">
        <f t="shared" si="17"/>
        <v>1</v>
      </c>
      <c r="G192" t="str">
        <f t="shared" si="13"/>
        <v>1F373</v>
      </c>
      <c r="I192">
        <f>HEX2DEC(Table1[[#This Row],[utf8]])</f>
        <v>127859</v>
      </c>
      <c r="J192" t="str">
        <f>_xlfn.UNICHAR(HEX2DEC(Table1[[#This Row],[utf8]]))</f>
        <v>🍳</v>
      </c>
      <c r="K192" s="3" t="str" cm="1">
        <f t="array" ref="K192">"Case "&amp;wRandomLetter()&amp;wRandomLetter()&amp;I192&amp;":    UniConst = ChrW(" &amp; I192 &amp;")"</f>
        <v>Case SG127859:    UniConst = ChrW(127859)</v>
      </c>
    </row>
    <row r="193" spans="1:11" hidden="1">
      <c r="A193" t="s">
        <v>3414</v>
      </c>
      <c r="B193" t="str">
        <f t="shared" si="14"/>
        <v>1F374 ; fully-qualified # 🍴 E0.6 fork and knife</v>
      </c>
      <c r="C193" t="str">
        <f t="shared" si="15"/>
        <v xml:space="preserve">1F374 </v>
      </c>
      <c r="D193">
        <f t="shared" si="16"/>
        <v>6</v>
      </c>
      <c r="E193" t="str">
        <f t="shared" si="12"/>
        <v xml:space="preserve"> 🍴 E0.6 fork and knife</v>
      </c>
      <c r="F193" t="b">
        <f t="shared" si="17"/>
        <v>1</v>
      </c>
      <c r="G193" t="str">
        <f t="shared" si="13"/>
        <v>1F374</v>
      </c>
      <c r="I193">
        <f>HEX2DEC(Table1[[#This Row],[utf8]])</f>
        <v>127860</v>
      </c>
      <c r="J193" t="str">
        <f>_xlfn.UNICHAR(HEX2DEC(Table1[[#This Row],[utf8]]))</f>
        <v>🍴</v>
      </c>
      <c r="K193" s="3" t="str" cm="1">
        <f t="array" ref="K193">"Case "&amp;wRandomLetter()&amp;wRandomLetter()&amp;I193&amp;":    UniConst = ChrW(" &amp; I193 &amp;")"</f>
        <v>Case qB127860:    UniConst = ChrW(127860)</v>
      </c>
    </row>
    <row r="194" spans="1:11" hidden="1">
      <c r="A194" t="s">
        <v>3395</v>
      </c>
      <c r="B194" t="str">
        <f t="shared" si="14"/>
        <v>1F375 ; fully-qualified # 🍵 E0.6 teacup without handle</v>
      </c>
      <c r="C194" t="str">
        <f t="shared" si="15"/>
        <v xml:space="preserve">1F375 </v>
      </c>
      <c r="D194">
        <f t="shared" si="16"/>
        <v>6</v>
      </c>
      <c r="E194" t="str">
        <f t="shared" ref="E194:E257" si="18">MID(A194,FIND("#",A194)+1,256)</f>
        <v xml:space="preserve"> 🍵 E0.6 teacup without handle</v>
      </c>
      <c r="F194" t="b">
        <f t="shared" si="17"/>
        <v>1</v>
      </c>
      <c r="G194" t="str">
        <f t="shared" ref="G194:G257" si="19">LEFT(C194,(FIND(" ",C194,1)-1))</f>
        <v>1F375</v>
      </c>
      <c r="I194">
        <f>HEX2DEC(Table1[[#This Row],[utf8]])</f>
        <v>127861</v>
      </c>
      <c r="J194" t="str">
        <f>_xlfn.UNICHAR(HEX2DEC(Table1[[#This Row],[utf8]]))</f>
        <v>🍵</v>
      </c>
      <c r="K194" s="3" t="str" cm="1">
        <f t="array" ref="K194">"Case "&amp;wRandomLetter()&amp;wRandomLetter()&amp;I194&amp;":    UniConst = ChrW(" &amp; I194 &amp;")"</f>
        <v>Case OA127861:    UniConst = ChrW(127861)</v>
      </c>
    </row>
    <row r="195" spans="1:11" hidden="1">
      <c r="A195" t="s">
        <v>3396</v>
      </c>
      <c r="B195" t="str">
        <f t="shared" ref="B195:B258" si="20">TRIM(A195)</f>
        <v>1F376 ; fully-qualified # 🍶 E0.6 sake</v>
      </c>
      <c r="C195" t="str">
        <f t="shared" ref="C195:C258" si="21">LEFT(B195,(FIND(";",B195,1)-1))</f>
        <v xml:space="preserve">1F376 </v>
      </c>
      <c r="D195">
        <f t="shared" ref="D195:D258" si="22">LEN(C195)</f>
        <v>6</v>
      </c>
      <c r="E195" t="str">
        <f t="shared" si="18"/>
        <v xml:space="preserve"> 🍶 E0.6 sake</v>
      </c>
      <c r="F195" t="b">
        <f t="shared" ref="F195:F258" si="23">IF(LEFT(C195,2)="1F",TRUE,FALSE)</f>
        <v>1</v>
      </c>
      <c r="G195" t="str">
        <f t="shared" si="19"/>
        <v>1F376</v>
      </c>
      <c r="I195">
        <f>HEX2DEC(Table1[[#This Row],[utf8]])</f>
        <v>127862</v>
      </c>
      <c r="J195" t="str">
        <f>_xlfn.UNICHAR(HEX2DEC(Table1[[#This Row],[utf8]]))</f>
        <v>🍶</v>
      </c>
      <c r="K195" s="3" t="str" cm="1">
        <f t="array" ref="K195">"Case "&amp;wRandomLetter()&amp;wRandomLetter()&amp;I195&amp;":    UniConst = ChrW(" &amp; I195 &amp;")"</f>
        <v>Case Ce127862:    UniConst = ChrW(127862)</v>
      </c>
    </row>
    <row r="196" spans="1:11" hidden="1">
      <c r="A196" t="s">
        <v>3398</v>
      </c>
      <c r="B196" t="str">
        <f t="shared" si="20"/>
        <v>1F377 ; fully-qualified # 🍷 E0.6 wine glass</v>
      </c>
      <c r="C196" t="str">
        <f t="shared" si="21"/>
        <v xml:space="preserve">1F377 </v>
      </c>
      <c r="D196">
        <f t="shared" si="22"/>
        <v>6</v>
      </c>
      <c r="E196" t="str">
        <f t="shared" si="18"/>
        <v xml:space="preserve"> 🍷 E0.6 wine glass</v>
      </c>
      <c r="F196" t="b">
        <f t="shared" si="23"/>
        <v>1</v>
      </c>
      <c r="G196" t="str">
        <f t="shared" si="19"/>
        <v>1F377</v>
      </c>
      <c r="I196">
        <f>HEX2DEC(Table1[[#This Row],[utf8]])</f>
        <v>127863</v>
      </c>
      <c r="J196" t="str">
        <f>_xlfn.UNICHAR(HEX2DEC(Table1[[#This Row],[utf8]]))</f>
        <v>🍷</v>
      </c>
      <c r="K196" s="3" t="str" cm="1">
        <f t="array" ref="K196">"Case "&amp;wRandomLetter()&amp;wRandomLetter()&amp;I196&amp;":    UniConst = ChrW(" &amp; I196 &amp;")"</f>
        <v>Case wx127863:    UniConst = ChrW(127863)</v>
      </c>
    </row>
    <row r="197" spans="1:11" hidden="1">
      <c r="A197" t="s">
        <v>3399</v>
      </c>
      <c r="B197" t="str">
        <f t="shared" si="20"/>
        <v>1F378 ; fully-qualified # 🍸 E0.6 cocktail glass</v>
      </c>
      <c r="C197" t="str">
        <f t="shared" si="21"/>
        <v xml:space="preserve">1F378 </v>
      </c>
      <c r="D197">
        <f t="shared" si="22"/>
        <v>6</v>
      </c>
      <c r="E197" t="str">
        <f t="shared" si="18"/>
        <v xml:space="preserve"> 🍸 E0.6 cocktail glass</v>
      </c>
      <c r="F197" t="b">
        <f t="shared" si="23"/>
        <v>1</v>
      </c>
      <c r="G197" t="str">
        <f t="shared" si="19"/>
        <v>1F378</v>
      </c>
      <c r="I197">
        <f>HEX2DEC(Table1[[#This Row],[utf8]])</f>
        <v>127864</v>
      </c>
      <c r="J197" t="str">
        <f>_xlfn.UNICHAR(HEX2DEC(Table1[[#This Row],[utf8]]))</f>
        <v>🍸</v>
      </c>
      <c r="K197" s="3" t="str" cm="1">
        <f t="array" ref="K197">"Case "&amp;wRandomLetter()&amp;wRandomLetter()&amp;I197&amp;":    UniConst = ChrW(" &amp; I197 &amp;")"</f>
        <v>Case hf127864:    UniConst = ChrW(127864)</v>
      </c>
    </row>
    <row r="198" spans="1:11" hidden="1">
      <c r="A198" t="s">
        <v>3400</v>
      </c>
      <c r="B198" t="str">
        <f t="shared" si="20"/>
        <v>1F379 ; fully-qualified # 🍹 E0.6 tropical drink</v>
      </c>
      <c r="C198" t="str">
        <f t="shared" si="21"/>
        <v xml:space="preserve">1F379 </v>
      </c>
      <c r="D198">
        <f t="shared" si="22"/>
        <v>6</v>
      </c>
      <c r="E198" t="str">
        <f t="shared" si="18"/>
        <v xml:space="preserve"> 🍹 E0.6 tropical drink</v>
      </c>
      <c r="F198" t="b">
        <f t="shared" si="23"/>
        <v>1</v>
      </c>
      <c r="G198" t="str">
        <f t="shared" si="19"/>
        <v>1F379</v>
      </c>
      <c r="I198">
        <f>HEX2DEC(Table1[[#This Row],[utf8]])</f>
        <v>127865</v>
      </c>
      <c r="J198" t="str">
        <f>_xlfn.UNICHAR(HEX2DEC(Table1[[#This Row],[utf8]]))</f>
        <v>🍹</v>
      </c>
      <c r="K198" s="3" t="str" cm="1">
        <f t="array" ref="K198">"Case "&amp;wRandomLetter()&amp;wRandomLetter()&amp;I198&amp;":    UniConst = ChrW(" &amp; I198 &amp;")"</f>
        <v>Case FO127865:    UniConst = ChrW(127865)</v>
      </c>
    </row>
    <row r="199" spans="1:11" hidden="1">
      <c r="A199" t="s">
        <v>3401</v>
      </c>
      <c r="B199" t="str">
        <f t="shared" si="20"/>
        <v>1F37A ; fully-qualified # 🍺 E0.6 beer mug</v>
      </c>
      <c r="C199" t="str">
        <f t="shared" si="21"/>
        <v xml:space="preserve">1F37A </v>
      </c>
      <c r="D199">
        <f t="shared" si="22"/>
        <v>6</v>
      </c>
      <c r="E199" t="str">
        <f t="shared" si="18"/>
        <v xml:space="preserve"> 🍺 E0.6 beer mug</v>
      </c>
      <c r="F199" t="b">
        <f t="shared" si="23"/>
        <v>1</v>
      </c>
      <c r="G199" t="str">
        <f t="shared" si="19"/>
        <v>1F37A</v>
      </c>
      <c r="I199">
        <f>HEX2DEC(Table1[[#This Row],[utf8]])</f>
        <v>127866</v>
      </c>
      <c r="J199" t="str">
        <f>_xlfn.UNICHAR(HEX2DEC(Table1[[#This Row],[utf8]]))</f>
        <v>🍺</v>
      </c>
      <c r="K199" s="3" t="str" cm="1">
        <f t="array" ref="K199">"Case "&amp;wRandomLetter()&amp;wRandomLetter()&amp;I199&amp;":    UniConst = ChrW(" &amp; I199 &amp;")"</f>
        <v>Case RI127866:    UniConst = ChrW(127866)</v>
      </c>
    </row>
    <row r="200" spans="1:11" hidden="1">
      <c r="A200" t="s">
        <v>3402</v>
      </c>
      <c r="B200" t="str">
        <f t="shared" si="20"/>
        <v>1F37B ; fully-qualified # 🍻 E0.6 clinking beer mugs</v>
      </c>
      <c r="C200" t="str">
        <f t="shared" si="21"/>
        <v xml:space="preserve">1F37B </v>
      </c>
      <c r="D200">
        <f t="shared" si="22"/>
        <v>6</v>
      </c>
      <c r="E200" t="str">
        <f t="shared" si="18"/>
        <v xml:space="preserve"> 🍻 E0.6 clinking beer mugs</v>
      </c>
      <c r="F200" t="b">
        <f t="shared" si="23"/>
        <v>1</v>
      </c>
      <c r="G200" t="str">
        <f t="shared" si="19"/>
        <v>1F37B</v>
      </c>
      <c r="I200">
        <f>HEX2DEC(Table1[[#This Row],[utf8]])</f>
        <v>127867</v>
      </c>
      <c r="J200" t="str">
        <f>_xlfn.UNICHAR(HEX2DEC(Table1[[#This Row],[utf8]]))</f>
        <v>🍻</v>
      </c>
      <c r="K200" s="3" t="str" cm="1">
        <f t="array" ref="K200">"Case "&amp;wRandomLetter()&amp;wRandomLetter()&amp;I200&amp;":    UniConst = ChrW(" &amp; I200 &amp;")"</f>
        <v>Case MG127867:    UniConst = ChrW(127867)</v>
      </c>
    </row>
    <row r="201" spans="1:11" hidden="1">
      <c r="A201" t="s">
        <v>3391</v>
      </c>
      <c r="B201" t="str">
        <f t="shared" si="20"/>
        <v>1F37C ; fully-qualified # 🍼 E1.0 baby bottle</v>
      </c>
      <c r="C201" t="str">
        <f t="shared" si="21"/>
        <v xml:space="preserve">1F37C </v>
      </c>
      <c r="D201">
        <f t="shared" si="22"/>
        <v>6</v>
      </c>
      <c r="E201" t="str">
        <f t="shared" si="18"/>
        <v xml:space="preserve"> 🍼 E1.0 baby bottle</v>
      </c>
      <c r="F201" t="b">
        <f t="shared" si="23"/>
        <v>1</v>
      </c>
      <c r="G201" t="str">
        <f t="shared" si="19"/>
        <v>1F37C</v>
      </c>
      <c r="I201">
        <f>HEX2DEC(Table1[[#This Row],[utf8]])</f>
        <v>127868</v>
      </c>
      <c r="J201" t="str">
        <f>_xlfn.UNICHAR(HEX2DEC(Table1[[#This Row],[utf8]]))</f>
        <v>🍼</v>
      </c>
      <c r="K201" s="3" t="str" cm="1">
        <f t="array" ref="K201">"Case "&amp;wRandomLetter()&amp;wRandomLetter()&amp;I201&amp;":    UniConst = ChrW(" &amp; I201 &amp;")"</f>
        <v>Case EQ127868:    UniConst = ChrW(127868)</v>
      </c>
    </row>
    <row r="202" spans="1:11" hidden="1">
      <c r="A202" t="s">
        <v>3413</v>
      </c>
      <c r="B202" t="str">
        <f t="shared" si="20"/>
        <v>1F37D ; unqualified # 🍽 E0.7 fork and knife with plate</v>
      </c>
      <c r="C202" t="str">
        <f t="shared" si="21"/>
        <v xml:space="preserve">1F37D </v>
      </c>
      <c r="D202">
        <f t="shared" si="22"/>
        <v>6</v>
      </c>
      <c r="E202" t="str">
        <f t="shared" si="18"/>
        <v xml:space="preserve"> 🍽 E0.7 fork and knife with plate</v>
      </c>
      <c r="F202" t="b">
        <f t="shared" si="23"/>
        <v>1</v>
      </c>
      <c r="G202" t="str">
        <f t="shared" si="19"/>
        <v>1F37D</v>
      </c>
      <c r="I202">
        <f>HEX2DEC(Table1[[#This Row],[utf8]])</f>
        <v>127869</v>
      </c>
      <c r="J202" t="str">
        <f>_xlfn.UNICHAR(HEX2DEC(Table1[[#This Row],[utf8]]))</f>
        <v>🍽</v>
      </c>
      <c r="K202" s="3" t="str" cm="1">
        <f t="array" ref="K202">"Case "&amp;wRandomLetter()&amp;wRandomLetter()&amp;I202&amp;":    UniConst = ChrW(" &amp; I202 &amp;")"</f>
        <v>Case UR127869:    UniConst = ChrW(127869)</v>
      </c>
    </row>
    <row r="203" spans="1:11" hidden="1">
      <c r="A203" t="s">
        <v>3412</v>
      </c>
      <c r="B203" t="str">
        <f t="shared" si="20"/>
        <v>1F37D FE0F ; fully-qualified # 🍽️ E0.7 fork and knife with plate</v>
      </c>
      <c r="C203" t="str">
        <f t="shared" si="21"/>
        <v xml:space="preserve">1F37D FE0F </v>
      </c>
      <c r="D203">
        <f t="shared" si="22"/>
        <v>11</v>
      </c>
      <c r="E203" t="str">
        <f t="shared" si="18"/>
        <v xml:space="preserve"> 🍽️ E0.7 fork and knife with plate</v>
      </c>
      <c r="F203" t="b">
        <f t="shared" si="23"/>
        <v>1</v>
      </c>
      <c r="G203" t="str">
        <f t="shared" si="19"/>
        <v>1F37D</v>
      </c>
      <c r="I203">
        <f>HEX2DEC(Table1[[#This Row],[utf8]])</f>
        <v>127869</v>
      </c>
      <c r="J203" t="str">
        <f>_xlfn.UNICHAR(HEX2DEC(Table1[[#This Row],[utf8]]))</f>
        <v>🍽</v>
      </c>
      <c r="K203" s="3" t="str" cm="1">
        <f t="array" ref="K203">"Case "&amp;wRandomLetter()&amp;wRandomLetter()&amp;I203&amp;":    UniConst = ChrW(" &amp; I203 &amp;")"</f>
        <v>Case Om127869:    UniConst = ChrW(127869)</v>
      </c>
    </row>
    <row r="204" spans="1:11" hidden="1">
      <c r="A204" t="s">
        <v>3397</v>
      </c>
      <c r="B204" t="str">
        <f t="shared" si="20"/>
        <v>1F37E ; fully-qualified # 🍾 E1.0 bottle with popping cork</v>
      </c>
      <c r="C204" t="str">
        <f t="shared" si="21"/>
        <v xml:space="preserve">1F37E </v>
      </c>
      <c r="D204">
        <f t="shared" si="22"/>
        <v>6</v>
      </c>
      <c r="E204" t="str">
        <f t="shared" si="18"/>
        <v xml:space="preserve"> 🍾 E1.0 bottle with popping cork</v>
      </c>
      <c r="F204" t="b">
        <f t="shared" si="23"/>
        <v>1</v>
      </c>
      <c r="G204" t="str">
        <f t="shared" si="19"/>
        <v>1F37E</v>
      </c>
      <c r="I204">
        <f>HEX2DEC(Table1[[#This Row],[utf8]])</f>
        <v>127870</v>
      </c>
      <c r="J204" t="str">
        <f>_xlfn.UNICHAR(HEX2DEC(Table1[[#This Row],[utf8]]))</f>
        <v>🍾</v>
      </c>
      <c r="K204" s="3" t="str" cm="1">
        <f t="array" ref="K204">"Case "&amp;wRandomLetter()&amp;wRandomLetter()&amp;I204&amp;":    UniConst = ChrW(" &amp; I204 &amp;")"</f>
        <v>Case sw127870:    UniConst = ChrW(127870)</v>
      </c>
    </row>
    <row r="205" spans="1:11" hidden="1">
      <c r="A205" t="s">
        <v>3347</v>
      </c>
      <c r="B205" t="str">
        <f t="shared" si="20"/>
        <v>1F37F ; fully-qualified # 🍿 E1.0 popcorn</v>
      </c>
      <c r="C205" t="str">
        <f t="shared" si="21"/>
        <v xml:space="preserve">1F37F </v>
      </c>
      <c r="D205">
        <f t="shared" si="22"/>
        <v>6</v>
      </c>
      <c r="E205" t="str">
        <f t="shared" si="18"/>
        <v xml:space="preserve"> 🍿 E1.0 popcorn</v>
      </c>
      <c r="F205" t="b">
        <f t="shared" si="23"/>
        <v>1</v>
      </c>
      <c r="G205" t="str">
        <f t="shared" si="19"/>
        <v>1F37F</v>
      </c>
      <c r="I205">
        <f>HEX2DEC(Table1[[#This Row],[utf8]])</f>
        <v>127871</v>
      </c>
      <c r="J205" t="str">
        <f>_xlfn.UNICHAR(HEX2DEC(Table1[[#This Row],[utf8]]))</f>
        <v>🍿</v>
      </c>
      <c r="K205" s="3" t="str" cm="1">
        <f t="array" ref="K205">"Case "&amp;wRandomLetter()&amp;wRandomLetter()&amp;I205&amp;":    UniConst = ChrW(" &amp; I205 &amp;")"</f>
        <v>Case PC127871:    UniConst = ChrW(127871)</v>
      </c>
    </row>
    <row r="206" spans="1:11" hidden="1">
      <c r="A206" t="s">
        <v>3716</v>
      </c>
      <c r="B206" t="str">
        <f t="shared" si="20"/>
        <v>1F380 ; fully-qualified # 🎀 E0.6 ribbon</v>
      </c>
      <c r="C206" t="str">
        <f t="shared" si="21"/>
        <v xml:space="preserve">1F380 </v>
      </c>
      <c r="D206">
        <f t="shared" si="22"/>
        <v>6</v>
      </c>
      <c r="E206" t="str">
        <f t="shared" si="18"/>
        <v xml:space="preserve"> 🎀 E0.6 ribbon</v>
      </c>
      <c r="F206" t="b">
        <f t="shared" si="23"/>
        <v>1</v>
      </c>
      <c r="G206" t="str">
        <f t="shared" si="19"/>
        <v>1F380</v>
      </c>
      <c r="I206">
        <f>HEX2DEC(Table1[[#This Row],[utf8]])</f>
        <v>127872</v>
      </c>
      <c r="J206" t="str">
        <f>_xlfn.UNICHAR(HEX2DEC(Table1[[#This Row],[utf8]]))</f>
        <v>🎀</v>
      </c>
      <c r="K206" s="3" t="str" cm="1">
        <f t="array" ref="K206">"Case "&amp;wRandomLetter()&amp;wRandomLetter()&amp;I206&amp;":    UniConst = ChrW(" &amp; I206 &amp;")"</f>
        <v>Case XT127872:    UniConst = ChrW(127872)</v>
      </c>
    </row>
    <row r="207" spans="1:11" hidden="1">
      <c r="A207" t="s">
        <v>3717</v>
      </c>
      <c r="B207" t="str">
        <f t="shared" si="20"/>
        <v>1F381 ; fully-qualified # 🎁 E0.6 wrapped gift</v>
      </c>
      <c r="C207" t="str">
        <f t="shared" si="21"/>
        <v xml:space="preserve">1F381 </v>
      </c>
      <c r="D207">
        <f t="shared" si="22"/>
        <v>6</v>
      </c>
      <c r="E207" t="str">
        <f t="shared" si="18"/>
        <v xml:space="preserve"> 🎁 E0.6 wrapped gift</v>
      </c>
      <c r="F207" t="b">
        <f t="shared" si="23"/>
        <v>1</v>
      </c>
      <c r="G207" t="str">
        <f t="shared" si="19"/>
        <v>1F381</v>
      </c>
      <c r="I207">
        <f>HEX2DEC(Table1[[#This Row],[utf8]])</f>
        <v>127873</v>
      </c>
      <c r="J207" t="str">
        <f>_xlfn.UNICHAR(HEX2DEC(Table1[[#This Row],[utf8]]))</f>
        <v>🎁</v>
      </c>
      <c r="K207" s="3" t="str" cm="1">
        <f t="array" ref="K207">"Case "&amp;wRandomLetter()&amp;wRandomLetter()&amp;I207&amp;":    UniConst = ChrW(" &amp; I207 &amp;")"</f>
        <v>Case kE127873:    UniConst = ChrW(127873)</v>
      </c>
    </row>
    <row r="208" spans="1:11" hidden="1">
      <c r="A208" t="s">
        <v>3381</v>
      </c>
      <c r="B208" t="str">
        <f t="shared" si="20"/>
        <v>1F382 ; fully-qualified # 🎂 E0.6 birthday cake</v>
      </c>
      <c r="C208" t="str">
        <f t="shared" si="21"/>
        <v xml:space="preserve">1F382 </v>
      </c>
      <c r="D208">
        <f t="shared" si="22"/>
        <v>6</v>
      </c>
      <c r="E208" t="str">
        <f t="shared" si="18"/>
        <v xml:space="preserve"> 🎂 E0.6 birthday cake</v>
      </c>
      <c r="F208" t="b">
        <f t="shared" si="23"/>
        <v>1</v>
      </c>
      <c r="G208" t="str">
        <f t="shared" si="19"/>
        <v>1F382</v>
      </c>
      <c r="I208">
        <f>HEX2DEC(Table1[[#This Row],[utf8]])</f>
        <v>127874</v>
      </c>
      <c r="J208" t="str">
        <f>_xlfn.UNICHAR(HEX2DEC(Table1[[#This Row],[utf8]]))</f>
        <v>🎂</v>
      </c>
      <c r="K208" s="3" t="str" cm="1">
        <f t="array" ref="K208">"Case "&amp;wRandomLetter()&amp;wRandomLetter()&amp;I208&amp;":    UniConst = ChrW(" &amp; I208 &amp;")"</f>
        <v>Case gB127874:    UniConst = ChrW(127874)</v>
      </c>
    </row>
    <row r="209" spans="1:11" hidden="1">
      <c r="A209" t="s">
        <v>3700</v>
      </c>
      <c r="B209" t="str">
        <f t="shared" si="20"/>
        <v>1F383 ; fully-qualified # 🎃 E0.6 jack-o-lantern</v>
      </c>
      <c r="C209" t="str">
        <f t="shared" si="21"/>
        <v xml:space="preserve">1F383 </v>
      </c>
      <c r="D209">
        <f t="shared" si="22"/>
        <v>6</v>
      </c>
      <c r="E209" t="str">
        <f t="shared" si="18"/>
        <v xml:space="preserve"> 🎃 E0.6 jack-o-lantern</v>
      </c>
      <c r="F209" t="b">
        <f t="shared" si="23"/>
        <v>1</v>
      </c>
      <c r="G209" t="str">
        <f t="shared" si="19"/>
        <v>1F383</v>
      </c>
      <c r="I209">
        <f>HEX2DEC(Table1[[#This Row],[utf8]])</f>
        <v>127875</v>
      </c>
      <c r="J209" t="str">
        <f>_xlfn.UNICHAR(HEX2DEC(Table1[[#This Row],[utf8]]))</f>
        <v>🎃</v>
      </c>
      <c r="K209" s="3" t="str" cm="1">
        <f t="array" ref="K209">"Case "&amp;wRandomLetter()&amp;wRandomLetter()&amp;I209&amp;":    UniConst = ChrW(" &amp; I209 &amp;")"</f>
        <v>Case ao127875:    UniConst = ChrW(127875)</v>
      </c>
    </row>
    <row r="210" spans="1:11" hidden="1">
      <c r="A210" t="s">
        <v>3701</v>
      </c>
      <c r="B210" t="str">
        <f t="shared" si="20"/>
        <v>1F384 ; fully-qualified # 🎄 E0.6 Christmas tree</v>
      </c>
      <c r="C210" t="str">
        <f t="shared" si="21"/>
        <v xml:space="preserve">1F384 </v>
      </c>
      <c r="D210">
        <f t="shared" si="22"/>
        <v>6</v>
      </c>
      <c r="E210" t="str">
        <f t="shared" si="18"/>
        <v xml:space="preserve"> 🎄 E0.6 Christmas tree</v>
      </c>
      <c r="F210" t="b">
        <f t="shared" si="23"/>
        <v>1</v>
      </c>
      <c r="G210" t="str">
        <f t="shared" si="19"/>
        <v>1F384</v>
      </c>
      <c r="I210">
        <f>HEX2DEC(Table1[[#This Row],[utf8]])</f>
        <v>127876</v>
      </c>
      <c r="J210" t="str">
        <f>_xlfn.UNICHAR(HEX2DEC(Table1[[#This Row],[utf8]]))</f>
        <v>🎄</v>
      </c>
      <c r="K210" s="3" t="str" cm="1">
        <f t="array" ref="K210">"Case "&amp;wRandomLetter()&amp;wRandomLetter()&amp;I210&amp;":    UniConst = ChrW(" &amp; I210 &amp;")"</f>
        <v>Case Ct127876:    UniConst = ChrW(127876)</v>
      </c>
    </row>
    <row r="211" spans="1:11" hidden="1">
      <c r="A211" t="s">
        <v>1566</v>
      </c>
      <c r="B211" t="str">
        <f t="shared" si="20"/>
        <v>1F385 ; fully-qualified # 🎅 E0.6 Santa Claus</v>
      </c>
      <c r="C211" t="str">
        <f t="shared" si="21"/>
        <v xml:space="preserve">1F385 </v>
      </c>
      <c r="D211">
        <f t="shared" si="22"/>
        <v>6</v>
      </c>
      <c r="E211" t="str">
        <f t="shared" si="18"/>
        <v xml:space="preserve"> 🎅 E0.6 Santa Claus</v>
      </c>
      <c r="F211" t="b">
        <f t="shared" si="23"/>
        <v>1</v>
      </c>
      <c r="G211" t="str">
        <f t="shared" si="19"/>
        <v>1F385</v>
      </c>
      <c r="I211">
        <f>HEX2DEC(Table1[[#This Row],[utf8]])</f>
        <v>127877</v>
      </c>
      <c r="J211" t="str">
        <f>_xlfn.UNICHAR(HEX2DEC(Table1[[#This Row],[utf8]]))</f>
        <v>🎅</v>
      </c>
      <c r="K211" s="3" t="str" cm="1">
        <f t="array" ref="K211">"Case "&amp;wRandomLetter()&amp;wRandomLetter()&amp;I211&amp;":    UniConst = ChrW(" &amp; I211 &amp;")"</f>
        <v>Case PL127877:    UniConst = ChrW(127877)</v>
      </c>
    </row>
    <row r="212" spans="1:11" hidden="1">
      <c r="A212" t="s">
        <v>1567</v>
      </c>
      <c r="B212" t="str">
        <f t="shared" si="20"/>
        <v>1F385 1F3FB ; fully-qualified # 🎅🏻 E1.0 Santa Claus: light skin tone</v>
      </c>
      <c r="C212" t="str">
        <f t="shared" si="21"/>
        <v xml:space="preserve">1F385 1F3FB </v>
      </c>
      <c r="D212">
        <f t="shared" si="22"/>
        <v>12</v>
      </c>
      <c r="E212" t="str">
        <f t="shared" si="18"/>
        <v xml:space="preserve"> 🎅🏻 E1.0 Santa Claus: light skin tone</v>
      </c>
      <c r="F212" t="b">
        <f t="shared" si="23"/>
        <v>1</v>
      </c>
      <c r="G212" t="str">
        <f t="shared" si="19"/>
        <v>1F385</v>
      </c>
      <c r="I212">
        <f>HEX2DEC(Table1[[#This Row],[utf8]])</f>
        <v>127877</v>
      </c>
      <c r="J212" t="str">
        <f>_xlfn.UNICHAR(HEX2DEC(Table1[[#This Row],[utf8]]))</f>
        <v>🎅</v>
      </c>
      <c r="K212" s="3" t="str" cm="1">
        <f t="array" ref="K212">"Case "&amp;wRandomLetter()&amp;wRandomLetter()&amp;I212&amp;":    UniConst = ChrW(" &amp; I212 &amp;")"</f>
        <v>Case cx127877:    UniConst = ChrW(127877)</v>
      </c>
    </row>
    <row r="213" spans="1:11" hidden="1">
      <c r="A213" t="s">
        <v>1568</v>
      </c>
      <c r="B213" t="str">
        <f t="shared" si="20"/>
        <v>1F385 1F3FC ; fully-qualified # 🎅🏼 E1.0 Santa Claus: medium-light skin tone</v>
      </c>
      <c r="C213" t="str">
        <f t="shared" si="21"/>
        <v xml:space="preserve">1F385 1F3FC </v>
      </c>
      <c r="D213">
        <f t="shared" si="22"/>
        <v>12</v>
      </c>
      <c r="E213" t="str">
        <f t="shared" si="18"/>
        <v xml:space="preserve"> 🎅🏼 E1.0 Santa Claus: medium-light skin tone</v>
      </c>
      <c r="F213" t="b">
        <f t="shared" si="23"/>
        <v>1</v>
      </c>
      <c r="G213" t="str">
        <f t="shared" si="19"/>
        <v>1F385</v>
      </c>
      <c r="I213">
        <f>HEX2DEC(Table1[[#This Row],[utf8]])</f>
        <v>127877</v>
      </c>
      <c r="J213" t="str">
        <f>_xlfn.UNICHAR(HEX2DEC(Table1[[#This Row],[utf8]]))</f>
        <v>🎅</v>
      </c>
      <c r="K213" s="3" t="str" cm="1">
        <f t="array" ref="K213">"Case "&amp;wRandomLetter()&amp;wRandomLetter()&amp;I213&amp;":    UniConst = ChrW(" &amp; I213 &amp;")"</f>
        <v>Case sL127877:    UniConst = ChrW(127877)</v>
      </c>
    </row>
    <row r="214" spans="1:11" hidden="1">
      <c r="A214" t="s">
        <v>1569</v>
      </c>
      <c r="B214" t="str">
        <f t="shared" si="20"/>
        <v>1F385 1F3FD ; fully-qualified # 🎅🏽 E1.0 Santa Claus: medium skin tone</v>
      </c>
      <c r="C214" t="str">
        <f t="shared" si="21"/>
        <v xml:space="preserve">1F385 1F3FD </v>
      </c>
      <c r="D214">
        <f t="shared" si="22"/>
        <v>12</v>
      </c>
      <c r="E214" t="str">
        <f t="shared" si="18"/>
        <v xml:space="preserve"> 🎅🏽 E1.0 Santa Claus: medium skin tone</v>
      </c>
      <c r="F214" t="b">
        <f t="shared" si="23"/>
        <v>1</v>
      </c>
      <c r="G214" t="str">
        <f t="shared" si="19"/>
        <v>1F385</v>
      </c>
      <c r="I214">
        <f>HEX2DEC(Table1[[#This Row],[utf8]])</f>
        <v>127877</v>
      </c>
      <c r="J214" t="str">
        <f>_xlfn.UNICHAR(HEX2DEC(Table1[[#This Row],[utf8]]))</f>
        <v>🎅</v>
      </c>
      <c r="K214" s="3" t="str" cm="1">
        <f t="array" ref="K214">"Case "&amp;wRandomLetter()&amp;wRandomLetter()&amp;I214&amp;":    UniConst = ChrW(" &amp; I214 &amp;")"</f>
        <v>Case hl127877:    UniConst = ChrW(127877)</v>
      </c>
    </row>
    <row r="215" spans="1:11" hidden="1">
      <c r="A215" t="s">
        <v>1570</v>
      </c>
      <c r="B215" t="str">
        <f t="shared" si="20"/>
        <v>1F385 1F3FE ; fully-qualified # 🎅🏾 E1.0 Santa Claus: medium-dark skin tone</v>
      </c>
      <c r="C215" t="str">
        <f t="shared" si="21"/>
        <v xml:space="preserve">1F385 1F3FE </v>
      </c>
      <c r="D215">
        <f t="shared" si="22"/>
        <v>12</v>
      </c>
      <c r="E215" t="str">
        <f t="shared" si="18"/>
        <v xml:space="preserve"> 🎅🏾 E1.0 Santa Claus: medium-dark skin tone</v>
      </c>
      <c r="F215" t="b">
        <f t="shared" si="23"/>
        <v>1</v>
      </c>
      <c r="G215" t="str">
        <f t="shared" si="19"/>
        <v>1F385</v>
      </c>
      <c r="I215">
        <f>HEX2DEC(Table1[[#This Row],[utf8]])</f>
        <v>127877</v>
      </c>
      <c r="J215" t="str">
        <f>_xlfn.UNICHAR(HEX2DEC(Table1[[#This Row],[utf8]]))</f>
        <v>🎅</v>
      </c>
      <c r="K215" s="3" t="str" cm="1">
        <f t="array" ref="K215">"Case "&amp;wRandomLetter()&amp;wRandomLetter()&amp;I215&amp;":    UniConst = ChrW(" &amp; I215 &amp;")"</f>
        <v>Case QY127877:    UniConst = ChrW(127877)</v>
      </c>
    </row>
    <row r="216" spans="1:11" hidden="1">
      <c r="A216" t="s">
        <v>1571</v>
      </c>
      <c r="B216" t="str">
        <f t="shared" si="20"/>
        <v>1F385 1F3FF ; fully-qualified # 🎅🏿 E1.0 Santa Claus: dark skin tone</v>
      </c>
      <c r="C216" t="str">
        <f t="shared" si="21"/>
        <v xml:space="preserve">1F385 1F3FF </v>
      </c>
      <c r="D216">
        <f t="shared" si="22"/>
        <v>12</v>
      </c>
      <c r="E216" t="str">
        <f t="shared" si="18"/>
        <v xml:space="preserve"> 🎅🏿 E1.0 Santa Claus: dark skin tone</v>
      </c>
      <c r="F216" t="b">
        <f t="shared" si="23"/>
        <v>1</v>
      </c>
      <c r="G216" t="str">
        <f t="shared" si="19"/>
        <v>1F385</v>
      </c>
      <c r="I216">
        <f>HEX2DEC(Table1[[#This Row],[utf8]])</f>
        <v>127877</v>
      </c>
      <c r="J216" t="str">
        <f>_xlfn.UNICHAR(HEX2DEC(Table1[[#This Row],[utf8]]))</f>
        <v>🎅</v>
      </c>
      <c r="K216" s="3" t="str" cm="1">
        <f t="array" ref="K216">"Case "&amp;wRandomLetter()&amp;wRandomLetter()&amp;I216&amp;":    UniConst = ChrW(" &amp; I216 &amp;")"</f>
        <v>Case ng127877:    UniConst = ChrW(127877)</v>
      </c>
    </row>
    <row r="217" spans="1:11" hidden="1">
      <c r="A217" t="s">
        <v>3702</v>
      </c>
      <c r="B217" t="str">
        <f t="shared" si="20"/>
        <v>1F386 ; fully-qualified # 🎆 E0.6 fireworks</v>
      </c>
      <c r="C217" t="str">
        <f t="shared" si="21"/>
        <v xml:space="preserve">1F386 </v>
      </c>
      <c r="D217">
        <f t="shared" si="22"/>
        <v>6</v>
      </c>
      <c r="E217" t="str">
        <f t="shared" si="18"/>
        <v xml:space="preserve"> 🎆 E0.6 fireworks</v>
      </c>
      <c r="F217" t="b">
        <f t="shared" si="23"/>
        <v>1</v>
      </c>
      <c r="G217" t="str">
        <f t="shared" si="19"/>
        <v>1F386</v>
      </c>
      <c r="I217">
        <f>HEX2DEC(Table1[[#This Row],[utf8]])</f>
        <v>127878</v>
      </c>
      <c r="J217" t="str">
        <f>_xlfn.UNICHAR(HEX2DEC(Table1[[#This Row],[utf8]]))</f>
        <v>🎆</v>
      </c>
      <c r="K217" s="3" t="str" cm="1">
        <f t="array" ref="K217">"Case "&amp;wRandomLetter()&amp;wRandomLetter()&amp;I217&amp;":    UniConst = ChrW(" &amp; I217 &amp;")"</f>
        <v>Case vP127878:    UniConst = ChrW(127878)</v>
      </c>
    </row>
    <row r="218" spans="1:11" hidden="1">
      <c r="A218" t="s">
        <v>3703</v>
      </c>
      <c r="B218" t="str">
        <f t="shared" si="20"/>
        <v>1F387 ; fully-qualified # 🎇 E0.6 sparkler</v>
      </c>
      <c r="C218" t="str">
        <f t="shared" si="21"/>
        <v xml:space="preserve">1F387 </v>
      </c>
      <c r="D218">
        <f t="shared" si="22"/>
        <v>6</v>
      </c>
      <c r="E218" t="str">
        <f t="shared" si="18"/>
        <v xml:space="preserve"> 🎇 E0.6 sparkler</v>
      </c>
      <c r="F218" t="b">
        <f t="shared" si="23"/>
        <v>1</v>
      </c>
      <c r="G218" t="str">
        <f t="shared" si="19"/>
        <v>1F387</v>
      </c>
      <c r="I218">
        <f>HEX2DEC(Table1[[#This Row],[utf8]])</f>
        <v>127879</v>
      </c>
      <c r="J218" t="str">
        <f>_xlfn.UNICHAR(HEX2DEC(Table1[[#This Row],[utf8]]))</f>
        <v>🎇</v>
      </c>
      <c r="K218" s="3" t="str" cm="1">
        <f t="array" ref="K218">"Case "&amp;wRandomLetter()&amp;wRandomLetter()&amp;I218&amp;":    UniConst = ChrW(" &amp; I218 &amp;")"</f>
        <v>Case lQ127879:    UniConst = ChrW(127879)</v>
      </c>
    </row>
    <row r="219" spans="1:11" hidden="1">
      <c r="A219" t="s">
        <v>3706</v>
      </c>
      <c r="B219" t="str">
        <f t="shared" si="20"/>
        <v>1F388 ; fully-qualified # 🎈 E0.6 balloon</v>
      </c>
      <c r="C219" t="str">
        <f t="shared" si="21"/>
        <v xml:space="preserve">1F388 </v>
      </c>
      <c r="D219">
        <f t="shared" si="22"/>
        <v>6</v>
      </c>
      <c r="E219" t="str">
        <f t="shared" si="18"/>
        <v xml:space="preserve"> 🎈 E0.6 balloon</v>
      </c>
      <c r="F219" t="b">
        <f t="shared" si="23"/>
        <v>1</v>
      </c>
      <c r="G219" t="str">
        <f t="shared" si="19"/>
        <v>1F388</v>
      </c>
      <c r="I219">
        <f>HEX2DEC(Table1[[#This Row],[utf8]])</f>
        <v>127880</v>
      </c>
      <c r="J219" t="str">
        <f>_xlfn.UNICHAR(HEX2DEC(Table1[[#This Row],[utf8]]))</f>
        <v>🎈</v>
      </c>
      <c r="K219" s="3" t="str" cm="1">
        <f t="array" ref="K219">"Case "&amp;wRandomLetter()&amp;wRandomLetter()&amp;I219&amp;":    UniConst = ChrW(" &amp; I219 &amp;")"</f>
        <v>Case kC127880:    UniConst = ChrW(127880)</v>
      </c>
    </row>
    <row r="220" spans="1:11" hidden="1">
      <c r="A220" t="s">
        <v>3707</v>
      </c>
      <c r="B220" t="str">
        <f t="shared" si="20"/>
        <v>1F389 ; fully-qualified # 🎉 E0.6 party popper</v>
      </c>
      <c r="C220" t="str">
        <f t="shared" si="21"/>
        <v xml:space="preserve">1F389 </v>
      </c>
      <c r="D220">
        <f t="shared" si="22"/>
        <v>6</v>
      </c>
      <c r="E220" t="str">
        <f t="shared" si="18"/>
        <v xml:space="preserve"> 🎉 E0.6 party popper</v>
      </c>
      <c r="F220" t="b">
        <f t="shared" si="23"/>
        <v>1</v>
      </c>
      <c r="G220" t="str">
        <f t="shared" si="19"/>
        <v>1F389</v>
      </c>
      <c r="I220">
        <f>HEX2DEC(Table1[[#This Row],[utf8]])</f>
        <v>127881</v>
      </c>
      <c r="J220" t="str">
        <f>_xlfn.UNICHAR(HEX2DEC(Table1[[#This Row],[utf8]]))</f>
        <v>🎉</v>
      </c>
      <c r="K220" s="3" t="str" cm="1">
        <f t="array" ref="K220">"Case "&amp;wRandomLetter()&amp;wRandomLetter()&amp;I220&amp;":    UniConst = ChrW(" &amp; I220 &amp;")"</f>
        <v>Case PO127881:    UniConst = ChrW(127881)</v>
      </c>
    </row>
    <row r="221" spans="1:11" hidden="1">
      <c r="A221" t="s">
        <v>3708</v>
      </c>
      <c r="B221" t="str">
        <f t="shared" si="20"/>
        <v>1F38A ; fully-qualified # 🎊 E0.6 confetti ball</v>
      </c>
      <c r="C221" t="str">
        <f t="shared" si="21"/>
        <v xml:space="preserve">1F38A </v>
      </c>
      <c r="D221">
        <f t="shared" si="22"/>
        <v>6</v>
      </c>
      <c r="E221" t="str">
        <f t="shared" si="18"/>
        <v xml:space="preserve"> 🎊 E0.6 confetti ball</v>
      </c>
      <c r="F221" t="b">
        <f t="shared" si="23"/>
        <v>1</v>
      </c>
      <c r="G221" t="str">
        <f t="shared" si="19"/>
        <v>1F38A</v>
      </c>
      <c r="I221">
        <f>HEX2DEC(Table1[[#This Row],[utf8]])</f>
        <v>127882</v>
      </c>
      <c r="J221" t="str">
        <f>_xlfn.UNICHAR(HEX2DEC(Table1[[#This Row],[utf8]]))</f>
        <v>🎊</v>
      </c>
      <c r="K221" s="3" t="str" cm="1">
        <f t="array" ref="K221">"Case "&amp;wRandomLetter()&amp;wRandomLetter()&amp;I221&amp;":    UniConst = ChrW(" &amp; I221 &amp;")"</f>
        <v>Case hx127882:    UniConst = ChrW(127882)</v>
      </c>
    </row>
    <row r="222" spans="1:11" hidden="1">
      <c r="A222" t="s">
        <v>3709</v>
      </c>
      <c r="B222" t="str">
        <f t="shared" si="20"/>
        <v>1F38B ; fully-qualified # 🎋 E0.6 tanabata tree</v>
      </c>
      <c r="C222" t="str">
        <f t="shared" si="21"/>
        <v xml:space="preserve">1F38B </v>
      </c>
      <c r="D222">
        <f t="shared" si="22"/>
        <v>6</v>
      </c>
      <c r="E222" t="str">
        <f t="shared" si="18"/>
        <v xml:space="preserve"> 🎋 E0.6 tanabata tree</v>
      </c>
      <c r="F222" t="b">
        <f t="shared" si="23"/>
        <v>1</v>
      </c>
      <c r="G222" t="str">
        <f t="shared" si="19"/>
        <v>1F38B</v>
      </c>
      <c r="I222">
        <f>HEX2DEC(Table1[[#This Row],[utf8]])</f>
        <v>127883</v>
      </c>
      <c r="J222" t="str">
        <f>_xlfn.UNICHAR(HEX2DEC(Table1[[#This Row],[utf8]]))</f>
        <v>🎋</v>
      </c>
      <c r="K222" s="3" t="str" cm="1">
        <f t="array" ref="K222">"Case "&amp;wRandomLetter()&amp;wRandomLetter()&amp;I222&amp;":    UniConst = ChrW(" &amp; I222 &amp;")"</f>
        <v>Case bF127883:    UniConst = ChrW(127883)</v>
      </c>
    </row>
    <row r="223" spans="1:11" hidden="1">
      <c r="A223" t="s">
        <v>3710</v>
      </c>
      <c r="B223" t="str">
        <f t="shared" si="20"/>
        <v>1F38D ; fully-qualified # 🎍 E0.6 pine decoration</v>
      </c>
      <c r="C223" t="str">
        <f t="shared" si="21"/>
        <v xml:space="preserve">1F38D </v>
      </c>
      <c r="D223">
        <f t="shared" si="22"/>
        <v>6</v>
      </c>
      <c r="E223" t="str">
        <f t="shared" si="18"/>
        <v xml:space="preserve"> 🎍 E0.6 pine decoration</v>
      </c>
      <c r="F223" t="b">
        <f t="shared" si="23"/>
        <v>1</v>
      </c>
      <c r="G223" t="str">
        <f t="shared" si="19"/>
        <v>1F38D</v>
      </c>
      <c r="I223">
        <f>HEX2DEC(Table1[[#This Row],[utf8]])</f>
        <v>127885</v>
      </c>
      <c r="J223" t="str">
        <f>_xlfn.UNICHAR(HEX2DEC(Table1[[#This Row],[utf8]]))</f>
        <v>🎍</v>
      </c>
      <c r="K223" s="3" t="str" cm="1">
        <f t="array" ref="K223">"Case "&amp;wRandomLetter()&amp;wRandomLetter()&amp;I223&amp;":    UniConst = ChrW(" &amp; I223 &amp;")"</f>
        <v>Case HU127885:    UniConst = ChrW(127885)</v>
      </c>
    </row>
    <row r="224" spans="1:11" hidden="1">
      <c r="A224" t="s">
        <v>3711</v>
      </c>
      <c r="B224" t="str">
        <f t="shared" si="20"/>
        <v>1F38E ; fully-qualified # 🎎 E0.6 Japanese dolls</v>
      </c>
      <c r="C224" t="str">
        <f t="shared" si="21"/>
        <v xml:space="preserve">1F38E </v>
      </c>
      <c r="D224">
        <f t="shared" si="22"/>
        <v>6</v>
      </c>
      <c r="E224" t="str">
        <f t="shared" si="18"/>
        <v xml:space="preserve"> 🎎 E0.6 Japanese dolls</v>
      </c>
      <c r="F224" t="b">
        <f t="shared" si="23"/>
        <v>1</v>
      </c>
      <c r="G224" t="str">
        <f t="shared" si="19"/>
        <v>1F38E</v>
      </c>
      <c r="I224">
        <f>HEX2DEC(Table1[[#This Row],[utf8]])</f>
        <v>127886</v>
      </c>
      <c r="J224" t="str">
        <f>_xlfn.UNICHAR(HEX2DEC(Table1[[#This Row],[utf8]]))</f>
        <v>🎎</v>
      </c>
      <c r="K224" s="3" t="str" cm="1">
        <f t="array" ref="K224">"Case "&amp;wRandomLetter()&amp;wRandomLetter()&amp;I224&amp;":    UniConst = ChrW(" &amp; I224 &amp;")"</f>
        <v>Case Dc127886:    UniConst = ChrW(127886)</v>
      </c>
    </row>
    <row r="225" spans="1:11" hidden="1">
      <c r="A225" t="s">
        <v>3712</v>
      </c>
      <c r="B225" t="str">
        <f t="shared" si="20"/>
        <v>1F38F ; fully-qualified # 🎏 E0.6 carp streamer</v>
      </c>
      <c r="C225" t="str">
        <f t="shared" si="21"/>
        <v xml:space="preserve">1F38F </v>
      </c>
      <c r="D225">
        <f t="shared" si="22"/>
        <v>6</v>
      </c>
      <c r="E225" t="str">
        <f t="shared" si="18"/>
        <v xml:space="preserve"> 🎏 E0.6 carp streamer</v>
      </c>
      <c r="F225" t="b">
        <f t="shared" si="23"/>
        <v>1</v>
      </c>
      <c r="G225" t="str">
        <f t="shared" si="19"/>
        <v>1F38F</v>
      </c>
      <c r="I225">
        <f>HEX2DEC(Table1[[#This Row],[utf8]])</f>
        <v>127887</v>
      </c>
      <c r="J225" t="str">
        <f>_xlfn.UNICHAR(HEX2DEC(Table1[[#This Row],[utf8]]))</f>
        <v>🎏</v>
      </c>
      <c r="K225" s="3" t="str" cm="1">
        <f t="array" ref="K225">"Case "&amp;wRandomLetter()&amp;wRandomLetter()&amp;I225&amp;":    UniConst = ChrW(" &amp; I225 &amp;")"</f>
        <v>Case RW127887:    UniConst = ChrW(127887)</v>
      </c>
    </row>
    <row r="226" spans="1:11" hidden="1">
      <c r="A226" t="s">
        <v>3713</v>
      </c>
      <c r="B226" t="str">
        <f t="shared" si="20"/>
        <v>1F390 ; fully-qualified # 🎐 E0.6 wind chime</v>
      </c>
      <c r="C226" t="str">
        <f t="shared" si="21"/>
        <v xml:space="preserve">1F390 </v>
      </c>
      <c r="D226">
        <f t="shared" si="22"/>
        <v>6</v>
      </c>
      <c r="E226" t="str">
        <f t="shared" si="18"/>
        <v xml:space="preserve"> 🎐 E0.6 wind chime</v>
      </c>
      <c r="F226" t="b">
        <f t="shared" si="23"/>
        <v>1</v>
      </c>
      <c r="G226" t="str">
        <f t="shared" si="19"/>
        <v>1F390</v>
      </c>
      <c r="I226">
        <f>HEX2DEC(Table1[[#This Row],[utf8]])</f>
        <v>127888</v>
      </c>
      <c r="J226" t="str">
        <f>_xlfn.UNICHAR(HEX2DEC(Table1[[#This Row],[utf8]]))</f>
        <v>🎐</v>
      </c>
      <c r="K226" s="3" t="str" cm="1">
        <f t="array" ref="K226">"Case "&amp;wRandomLetter()&amp;wRandomLetter()&amp;I226&amp;":    UniConst = ChrW(" &amp; I226 &amp;")"</f>
        <v>Case zm127888:    UniConst = ChrW(127888)</v>
      </c>
    </row>
    <row r="227" spans="1:11" hidden="1">
      <c r="A227" t="s">
        <v>3714</v>
      </c>
      <c r="B227" t="str">
        <f t="shared" si="20"/>
        <v>1F391 ; fully-qualified # 🎑 E0.6 moon viewing ceremony</v>
      </c>
      <c r="C227" t="str">
        <f t="shared" si="21"/>
        <v xml:space="preserve">1F391 </v>
      </c>
      <c r="D227">
        <f t="shared" si="22"/>
        <v>6</v>
      </c>
      <c r="E227" t="str">
        <f t="shared" si="18"/>
        <v xml:space="preserve"> 🎑 E0.6 moon viewing ceremony</v>
      </c>
      <c r="F227" t="b">
        <f t="shared" si="23"/>
        <v>1</v>
      </c>
      <c r="G227" t="str">
        <f t="shared" si="19"/>
        <v>1F391</v>
      </c>
      <c r="I227">
        <f>HEX2DEC(Table1[[#This Row],[utf8]])</f>
        <v>127889</v>
      </c>
      <c r="J227" t="str">
        <f>_xlfn.UNICHAR(HEX2DEC(Table1[[#This Row],[utf8]]))</f>
        <v>🎑</v>
      </c>
      <c r="K227" s="3" t="str" cm="1">
        <f t="array" ref="K227">"Case "&amp;wRandomLetter()&amp;wRandomLetter()&amp;I227&amp;":    UniConst = ChrW(" &amp; I227 &amp;")"</f>
        <v>Case Uk127889:    UniConst = ChrW(127889)</v>
      </c>
    </row>
    <row r="228" spans="1:11" hidden="1">
      <c r="A228" t="s">
        <v>3829</v>
      </c>
      <c r="B228" t="str">
        <f t="shared" si="20"/>
        <v>1F392 ; fully-qualified # 🎒 E0.6 backpack</v>
      </c>
      <c r="C228" t="str">
        <f t="shared" si="21"/>
        <v xml:space="preserve">1F392 </v>
      </c>
      <c r="D228">
        <f t="shared" si="22"/>
        <v>6</v>
      </c>
      <c r="E228" t="str">
        <f t="shared" si="18"/>
        <v xml:space="preserve"> 🎒 E0.6 backpack</v>
      </c>
      <c r="F228" t="b">
        <f t="shared" si="23"/>
        <v>1</v>
      </c>
      <c r="G228" t="str">
        <f t="shared" si="19"/>
        <v>1F392</v>
      </c>
      <c r="I228">
        <f>HEX2DEC(Table1[[#This Row],[utf8]])</f>
        <v>127890</v>
      </c>
      <c r="J228" t="str">
        <f>_xlfn.UNICHAR(HEX2DEC(Table1[[#This Row],[utf8]]))</f>
        <v>🎒</v>
      </c>
      <c r="K228" s="3" t="str" cm="1">
        <f t="array" ref="K228">"Case "&amp;wRandomLetter()&amp;wRandomLetter()&amp;I228&amp;":    UniConst = ChrW(" &amp; I228 &amp;")"</f>
        <v>Case Gi127890:    UniConst = ChrW(127890)</v>
      </c>
    </row>
    <row r="229" spans="1:11" hidden="1">
      <c r="A229" t="s">
        <v>3842</v>
      </c>
      <c r="B229" t="str">
        <f t="shared" si="20"/>
        <v>1F393 ; fully-qualified # 🎓 E0.6 graduation cap</v>
      </c>
      <c r="C229" t="str">
        <f t="shared" si="21"/>
        <v xml:space="preserve">1F393 </v>
      </c>
      <c r="D229">
        <f t="shared" si="22"/>
        <v>6</v>
      </c>
      <c r="E229" t="str">
        <f t="shared" si="18"/>
        <v xml:space="preserve"> 🎓 E0.6 graduation cap</v>
      </c>
      <c r="F229" t="b">
        <f t="shared" si="23"/>
        <v>1</v>
      </c>
      <c r="G229" t="str">
        <f t="shared" si="19"/>
        <v>1F393</v>
      </c>
      <c r="I229">
        <f>HEX2DEC(Table1[[#This Row],[utf8]])</f>
        <v>127891</v>
      </c>
      <c r="J229" t="str">
        <f>_xlfn.UNICHAR(HEX2DEC(Table1[[#This Row],[utf8]]))</f>
        <v>🎓</v>
      </c>
      <c r="K229" s="3" t="str" cm="1">
        <f t="array" ref="K229">"Case "&amp;wRandomLetter()&amp;wRandomLetter()&amp;I229&amp;":    UniConst = ChrW(" &amp; I229 &amp;")"</f>
        <v>Case XS127891:    UniConst = ChrW(127891)</v>
      </c>
    </row>
    <row r="230" spans="1:11" hidden="1">
      <c r="A230" t="s">
        <v>3725</v>
      </c>
      <c r="B230" t="str">
        <f t="shared" si="20"/>
        <v>1F396 ; unqualified # 🎖 E0.7 military medal</v>
      </c>
      <c r="C230" t="str">
        <f t="shared" si="21"/>
        <v xml:space="preserve">1F396 </v>
      </c>
      <c r="D230">
        <f t="shared" si="22"/>
        <v>6</v>
      </c>
      <c r="E230" t="str">
        <f t="shared" si="18"/>
        <v xml:space="preserve"> 🎖 E0.7 military medal</v>
      </c>
      <c r="F230" t="b">
        <f t="shared" si="23"/>
        <v>1</v>
      </c>
      <c r="G230" t="str">
        <f t="shared" si="19"/>
        <v>1F396</v>
      </c>
      <c r="I230">
        <f>HEX2DEC(Table1[[#This Row],[utf8]])</f>
        <v>127894</v>
      </c>
      <c r="J230" t="str">
        <f>_xlfn.UNICHAR(HEX2DEC(Table1[[#This Row],[utf8]]))</f>
        <v>🎖</v>
      </c>
      <c r="K230" s="3" t="str" cm="1">
        <f t="array" ref="K230">"Case "&amp;wRandomLetter()&amp;wRandomLetter()&amp;I230&amp;":    UniConst = ChrW(" &amp; I230 &amp;")"</f>
        <v>Case fN127894:    UniConst = ChrW(127894)</v>
      </c>
    </row>
    <row r="231" spans="1:11" hidden="1">
      <c r="A231" t="s">
        <v>3724</v>
      </c>
      <c r="B231" t="str">
        <f t="shared" si="20"/>
        <v>1F396 FE0F ; fully-qualified # 🎖️ E0.7 military medal</v>
      </c>
      <c r="C231" t="str">
        <f t="shared" si="21"/>
        <v xml:space="preserve">1F396 FE0F </v>
      </c>
      <c r="D231">
        <f t="shared" si="22"/>
        <v>11</v>
      </c>
      <c r="E231" t="str">
        <f t="shared" si="18"/>
        <v xml:space="preserve"> 🎖️ E0.7 military medal</v>
      </c>
      <c r="F231" t="b">
        <f t="shared" si="23"/>
        <v>1</v>
      </c>
      <c r="G231" t="str">
        <f t="shared" si="19"/>
        <v>1F396</v>
      </c>
      <c r="I231">
        <f>HEX2DEC(Table1[[#This Row],[utf8]])</f>
        <v>127894</v>
      </c>
      <c r="J231" t="str">
        <f>_xlfn.UNICHAR(HEX2DEC(Table1[[#This Row],[utf8]]))</f>
        <v>🎖</v>
      </c>
      <c r="K231" s="3" t="str" cm="1">
        <f t="array" ref="K231">"Case "&amp;wRandomLetter()&amp;wRandomLetter()&amp;I231&amp;":    UniConst = ChrW(" &amp; I231 &amp;")"</f>
        <v>Case mM127894:    UniConst = ChrW(127894)</v>
      </c>
    </row>
    <row r="232" spans="1:11" hidden="1">
      <c r="A232" t="s">
        <v>3719</v>
      </c>
      <c r="B232" t="str">
        <f t="shared" si="20"/>
        <v>1F397 ; unqualified # 🎗 E0.7 reminder ribbon</v>
      </c>
      <c r="C232" t="str">
        <f t="shared" si="21"/>
        <v xml:space="preserve">1F397 </v>
      </c>
      <c r="D232">
        <f t="shared" si="22"/>
        <v>6</v>
      </c>
      <c r="E232" t="str">
        <f t="shared" si="18"/>
        <v xml:space="preserve"> 🎗 E0.7 reminder ribbon</v>
      </c>
      <c r="F232" t="b">
        <f t="shared" si="23"/>
        <v>1</v>
      </c>
      <c r="G232" t="str">
        <f t="shared" si="19"/>
        <v>1F397</v>
      </c>
      <c r="I232">
        <f>HEX2DEC(Table1[[#This Row],[utf8]])</f>
        <v>127895</v>
      </c>
      <c r="J232" t="str">
        <f>_xlfn.UNICHAR(HEX2DEC(Table1[[#This Row],[utf8]]))</f>
        <v>🎗</v>
      </c>
      <c r="K232" s="3" t="str" cm="1">
        <f t="array" ref="K232">"Case "&amp;wRandomLetter()&amp;wRandomLetter()&amp;I232&amp;":    UniConst = ChrW(" &amp; I232 &amp;")"</f>
        <v>Case kc127895:    UniConst = ChrW(127895)</v>
      </c>
    </row>
    <row r="233" spans="1:11" hidden="1">
      <c r="A233" t="s">
        <v>3718</v>
      </c>
      <c r="B233" t="str">
        <f t="shared" si="20"/>
        <v>1F397 FE0F ; fully-qualified # 🎗️ E0.7 reminder ribbon</v>
      </c>
      <c r="C233" t="str">
        <f t="shared" si="21"/>
        <v xml:space="preserve">1F397 FE0F </v>
      </c>
      <c r="D233">
        <f t="shared" si="22"/>
        <v>11</v>
      </c>
      <c r="E233" t="str">
        <f t="shared" si="18"/>
        <v xml:space="preserve"> 🎗️ E0.7 reminder ribbon</v>
      </c>
      <c r="F233" t="b">
        <f t="shared" si="23"/>
        <v>1</v>
      </c>
      <c r="G233" t="str">
        <f t="shared" si="19"/>
        <v>1F397</v>
      </c>
      <c r="I233">
        <f>HEX2DEC(Table1[[#This Row],[utf8]])</f>
        <v>127895</v>
      </c>
      <c r="J233" t="str">
        <f>_xlfn.UNICHAR(HEX2DEC(Table1[[#This Row],[utf8]]))</f>
        <v>🎗</v>
      </c>
      <c r="K233" s="3" t="str" cm="1">
        <f t="array" ref="K233">"Case "&amp;wRandomLetter()&amp;wRandomLetter()&amp;I233&amp;":    UniConst = ChrW(" &amp; I233 &amp;")"</f>
        <v>Case NV127895:    UniConst = ChrW(127895)</v>
      </c>
    </row>
    <row r="234" spans="1:11" hidden="1">
      <c r="A234" t="s">
        <v>3866</v>
      </c>
      <c r="B234" t="str">
        <f t="shared" si="20"/>
        <v>1F399 ; unqualified # 🎙 E0.7 studio microphone</v>
      </c>
      <c r="C234" t="str">
        <f t="shared" si="21"/>
        <v xml:space="preserve">1F399 </v>
      </c>
      <c r="D234">
        <f t="shared" si="22"/>
        <v>6</v>
      </c>
      <c r="E234" t="str">
        <f t="shared" si="18"/>
        <v xml:space="preserve"> 🎙 E0.7 studio microphone</v>
      </c>
      <c r="F234" t="b">
        <f t="shared" si="23"/>
        <v>1</v>
      </c>
      <c r="G234" t="str">
        <f t="shared" si="19"/>
        <v>1F399</v>
      </c>
      <c r="I234">
        <f>HEX2DEC(Table1[[#This Row],[utf8]])</f>
        <v>127897</v>
      </c>
      <c r="J234" t="str">
        <f>_xlfn.UNICHAR(HEX2DEC(Table1[[#This Row],[utf8]]))</f>
        <v>🎙</v>
      </c>
      <c r="K234" s="3" t="str" cm="1">
        <f t="array" ref="K234">"Case "&amp;wRandomLetter()&amp;wRandomLetter()&amp;I234&amp;":    UniConst = ChrW(" &amp; I234 &amp;")"</f>
        <v>Case cM127897:    UniConst = ChrW(127897)</v>
      </c>
    </row>
    <row r="235" spans="1:11" hidden="1">
      <c r="A235" t="s">
        <v>3865</v>
      </c>
      <c r="B235" t="str">
        <f t="shared" si="20"/>
        <v>1F399 FE0F ; fully-qualified # 🎙️ E0.7 studio microphone</v>
      </c>
      <c r="C235" t="str">
        <f t="shared" si="21"/>
        <v xml:space="preserve">1F399 FE0F </v>
      </c>
      <c r="D235">
        <f t="shared" si="22"/>
        <v>11</v>
      </c>
      <c r="E235" t="str">
        <f t="shared" si="18"/>
        <v xml:space="preserve"> 🎙️ E0.7 studio microphone</v>
      </c>
      <c r="F235" t="b">
        <f t="shared" si="23"/>
        <v>1</v>
      </c>
      <c r="G235" t="str">
        <f t="shared" si="19"/>
        <v>1F399</v>
      </c>
      <c r="I235">
        <f>HEX2DEC(Table1[[#This Row],[utf8]])</f>
        <v>127897</v>
      </c>
      <c r="J235" t="str">
        <f>_xlfn.UNICHAR(HEX2DEC(Table1[[#This Row],[utf8]]))</f>
        <v>🎙</v>
      </c>
      <c r="K235" s="3" t="str" cm="1">
        <f t="array" ref="K235">"Case "&amp;wRandomLetter()&amp;wRandomLetter()&amp;I235&amp;":    UniConst = ChrW(" &amp; I235 &amp;")"</f>
        <v>Case VL127897:    UniConst = ChrW(127897)</v>
      </c>
    </row>
    <row r="236" spans="1:11" hidden="1">
      <c r="A236" t="s">
        <v>3868</v>
      </c>
      <c r="B236" t="str">
        <f t="shared" si="20"/>
        <v>1F39A ; unqualified # 🎚 E0.7 level slider</v>
      </c>
      <c r="C236" t="str">
        <f t="shared" si="21"/>
        <v xml:space="preserve">1F39A </v>
      </c>
      <c r="D236">
        <f t="shared" si="22"/>
        <v>6</v>
      </c>
      <c r="E236" t="str">
        <f t="shared" si="18"/>
        <v xml:space="preserve"> 🎚 E0.7 level slider</v>
      </c>
      <c r="F236" t="b">
        <f t="shared" si="23"/>
        <v>1</v>
      </c>
      <c r="G236" t="str">
        <f t="shared" si="19"/>
        <v>1F39A</v>
      </c>
      <c r="I236">
        <f>HEX2DEC(Table1[[#This Row],[utf8]])</f>
        <v>127898</v>
      </c>
      <c r="J236" t="str">
        <f>_xlfn.UNICHAR(HEX2DEC(Table1[[#This Row],[utf8]]))</f>
        <v>🎚</v>
      </c>
      <c r="K236" s="3" t="str" cm="1">
        <f t="array" ref="K236">"Case "&amp;wRandomLetter()&amp;wRandomLetter()&amp;I236&amp;":    UniConst = ChrW(" &amp; I236 &amp;")"</f>
        <v>Case HW127898:    UniConst = ChrW(127898)</v>
      </c>
    </row>
    <row r="237" spans="1:11" hidden="1">
      <c r="A237" t="s">
        <v>3867</v>
      </c>
      <c r="B237" t="str">
        <f t="shared" si="20"/>
        <v>1F39A FE0F ; fully-qualified # 🎚️ E0.7 level slider</v>
      </c>
      <c r="C237" t="str">
        <f t="shared" si="21"/>
        <v xml:space="preserve">1F39A FE0F </v>
      </c>
      <c r="D237">
        <f t="shared" si="22"/>
        <v>11</v>
      </c>
      <c r="E237" t="str">
        <f t="shared" si="18"/>
        <v xml:space="preserve"> 🎚️ E0.7 level slider</v>
      </c>
      <c r="F237" t="b">
        <f t="shared" si="23"/>
        <v>1</v>
      </c>
      <c r="G237" t="str">
        <f t="shared" si="19"/>
        <v>1F39A</v>
      </c>
      <c r="I237">
        <f>HEX2DEC(Table1[[#This Row],[utf8]])</f>
        <v>127898</v>
      </c>
      <c r="J237" t="str">
        <f>_xlfn.UNICHAR(HEX2DEC(Table1[[#This Row],[utf8]]))</f>
        <v>🎚</v>
      </c>
      <c r="K237" s="3" t="str" cm="1">
        <f t="array" ref="K237">"Case "&amp;wRandomLetter()&amp;wRandomLetter()&amp;I237&amp;":    UniConst = ChrW(" &amp; I237 &amp;")"</f>
        <v>Case qm127898:    UniConst = ChrW(127898)</v>
      </c>
    </row>
    <row r="238" spans="1:11" hidden="1">
      <c r="A238" t="s">
        <v>3870</v>
      </c>
      <c r="B238" t="str">
        <f t="shared" si="20"/>
        <v>1F39B ; unqualified # 🎛 E0.7 control knobs</v>
      </c>
      <c r="C238" t="str">
        <f t="shared" si="21"/>
        <v xml:space="preserve">1F39B </v>
      </c>
      <c r="D238">
        <f t="shared" si="22"/>
        <v>6</v>
      </c>
      <c r="E238" t="str">
        <f t="shared" si="18"/>
        <v xml:space="preserve"> 🎛 E0.7 control knobs</v>
      </c>
      <c r="F238" t="b">
        <f t="shared" si="23"/>
        <v>1</v>
      </c>
      <c r="G238" t="str">
        <f t="shared" si="19"/>
        <v>1F39B</v>
      </c>
      <c r="I238">
        <f>HEX2DEC(Table1[[#This Row],[utf8]])</f>
        <v>127899</v>
      </c>
      <c r="J238" t="str">
        <f>_xlfn.UNICHAR(HEX2DEC(Table1[[#This Row],[utf8]]))</f>
        <v>🎛</v>
      </c>
      <c r="K238" s="3" t="str" cm="1">
        <f t="array" ref="K238">"Case "&amp;wRandomLetter()&amp;wRandomLetter()&amp;I238&amp;":    UniConst = ChrW(" &amp; I238 &amp;")"</f>
        <v>Case bm127899:    UniConst = ChrW(127899)</v>
      </c>
    </row>
    <row r="239" spans="1:11" hidden="1">
      <c r="A239" t="s">
        <v>3869</v>
      </c>
      <c r="B239" t="str">
        <f t="shared" si="20"/>
        <v>1F39B FE0F ; fully-qualified # 🎛️ E0.7 control knobs</v>
      </c>
      <c r="C239" t="str">
        <f t="shared" si="21"/>
        <v xml:space="preserve">1F39B FE0F </v>
      </c>
      <c r="D239">
        <f t="shared" si="22"/>
        <v>11</v>
      </c>
      <c r="E239" t="str">
        <f t="shared" si="18"/>
        <v xml:space="preserve"> 🎛️ E0.7 control knobs</v>
      </c>
      <c r="F239" t="b">
        <f t="shared" si="23"/>
        <v>1</v>
      </c>
      <c r="G239" t="str">
        <f t="shared" si="19"/>
        <v>1F39B</v>
      </c>
      <c r="I239">
        <f>HEX2DEC(Table1[[#This Row],[utf8]])</f>
        <v>127899</v>
      </c>
      <c r="J239" t="str">
        <f>_xlfn.UNICHAR(HEX2DEC(Table1[[#This Row],[utf8]]))</f>
        <v>🎛</v>
      </c>
      <c r="K239" s="3" t="str" cm="1">
        <f t="array" ref="K239">"Case "&amp;wRandomLetter()&amp;wRandomLetter()&amp;I239&amp;":    UniConst = ChrW(" &amp; I239 &amp;")"</f>
        <v>Case De127899:    UniConst = ChrW(127899)</v>
      </c>
    </row>
    <row r="240" spans="1:11" hidden="1">
      <c r="A240" t="s">
        <v>3914</v>
      </c>
      <c r="B240" t="str">
        <f t="shared" si="20"/>
        <v>1F39E ; unqualified # 🎞 E0.7 film frames</v>
      </c>
      <c r="C240" t="str">
        <f t="shared" si="21"/>
        <v xml:space="preserve">1F39E </v>
      </c>
      <c r="D240">
        <f t="shared" si="22"/>
        <v>6</v>
      </c>
      <c r="E240" t="str">
        <f t="shared" si="18"/>
        <v xml:space="preserve"> 🎞 E0.7 film frames</v>
      </c>
      <c r="F240" t="b">
        <f t="shared" si="23"/>
        <v>1</v>
      </c>
      <c r="G240" t="str">
        <f t="shared" si="19"/>
        <v>1F39E</v>
      </c>
      <c r="I240">
        <f>HEX2DEC(Table1[[#This Row],[utf8]])</f>
        <v>127902</v>
      </c>
      <c r="J240" t="str">
        <f>_xlfn.UNICHAR(HEX2DEC(Table1[[#This Row],[utf8]]))</f>
        <v>🎞</v>
      </c>
      <c r="K240" s="3" t="str" cm="1">
        <f t="array" ref="K240">"Case "&amp;wRandomLetter()&amp;wRandomLetter()&amp;I240&amp;":    UniConst = ChrW(" &amp; I240 &amp;")"</f>
        <v>Case jG127902:    UniConst = ChrW(127902)</v>
      </c>
    </row>
    <row r="241" spans="1:11" hidden="1">
      <c r="A241" t="s">
        <v>3913</v>
      </c>
      <c r="B241" t="str">
        <f t="shared" si="20"/>
        <v>1F39E FE0F ; fully-qualified # 🎞️ E0.7 film frames</v>
      </c>
      <c r="C241" t="str">
        <f t="shared" si="21"/>
        <v xml:space="preserve">1F39E FE0F </v>
      </c>
      <c r="D241">
        <f t="shared" si="22"/>
        <v>11</v>
      </c>
      <c r="E241" t="str">
        <f t="shared" si="18"/>
        <v xml:space="preserve"> 🎞️ E0.7 film frames</v>
      </c>
      <c r="F241" t="b">
        <f t="shared" si="23"/>
        <v>1</v>
      </c>
      <c r="G241" t="str">
        <f t="shared" si="19"/>
        <v>1F39E</v>
      </c>
      <c r="I241">
        <f>HEX2DEC(Table1[[#This Row],[utf8]])</f>
        <v>127902</v>
      </c>
      <c r="J241" t="str">
        <f>_xlfn.UNICHAR(HEX2DEC(Table1[[#This Row],[utf8]]))</f>
        <v>🎞</v>
      </c>
      <c r="K241" s="3" t="str" cm="1">
        <f t="array" ref="K241">"Case "&amp;wRandomLetter()&amp;wRandomLetter()&amp;I241&amp;":    UniConst = ChrW(" &amp; I241 &amp;")"</f>
        <v>Case pn127902:    UniConst = ChrW(127902)</v>
      </c>
    </row>
    <row r="242" spans="1:11" hidden="1">
      <c r="A242" t="s">
        <v>3721</v>
      </c>
      <c r="B242" t="str">
        <f t="shared" si="20"/>
        <v>1F39F ; unqualified # 🎟 E0.7 admission tickets</v>
      </c>
      <c r="C242" t="str">
        <f t="shared" si="21"/>
        <v xml:space="preserve">1F39F </v>
      </c>
      <c r="D242">
        <f t="shared" si="22"/>
        <v>6</v>
      </c>
      <c r="E242" t="str">
        <f t="shared" si="18"/>
        <v xml:space="preserve"> 🎟 E0.7 admission tickets</v>
      </c>
      <c r="F242" t="b">
        <f t="shared" si="23"/>
        <v>1</v>
      </c>
      <c r="G242" t="str">
        <f t="shared" si="19"/>
        <v>1F39F</v>
      </c>
      <c r="I242">
        <f>HEX2DEC(Table1[[#This Row],[utf8]])</f>
        <v>127903</v>
      </c>
      <c r="J242" t="str">
        <f>_xlfn.UNICHAR(HEX2DEC(Table1[[#This Row],[utf8]]))</f>
        <v>🎟</v>
      </c>
      <c r="K242" s="3" t="str" cm="1">
        <f t="array" ref="K242">"Case "&amp;wRandomLetter()&amp;wRandomLetter()&amp;I242&amp;":    UniConst = ChrW(" &amp; I242 &amp;")"</f>
        <v>Case gq127903:    UniConst = ChrW(127903)</v>
      </c>
    </row>
    <row r="243" spans="1:11" hidden="1">
      <c r="A243" t="s">
        <v>3720</v>
      </c>
      <c r="B243" t="str">
        <f t="shared" si="20"/>
        <v>1F39F FE0F ; fully-qualified # 🎟️ E0.7 admission tickets</v>
      </c>
      <c r="C243" t="str">
        <f t="shared" si="21"/>
        <v xml:space="preserve">1F39F FE0F </v>
      </c>
      <c r="D243">
        <f t="shared" si="22"/>
        <v>11</v>
      </c>
      <c r="E243" t="str">
        <f t="shared" si="18"/>
        <v xml:space="preserve"> 🎟️ E0.7 admission tickets</v>
      </c>
      <c r="F243" t="b">
        <f t="shared" si="23"/>
        <v>1</v>
      </c>
      <c r="G243" t="str">
        <f t="shared" si="19"/>
        <v>1F39F</v>
      </c>
      <c r="I243">
        <f>HEX2DEC(Table1[[#This Row],[utf8]])</f>
        <v>127903</v>
      </c>
      <c r="J243" t="str">
        <f>_xlfn.UNICHAR(HEX2DEC(Table1[[#This Row],[utf8]]))</f>
        <v>🎟</v>
      </c>
      <c r="K243" s="3" t="str" cm="1">
        <f t="array" ref="K243">"Case "&amp;wRandomLetter()&amp;wRandomLetter()&amp;I243&amp;":    UniConst = ChrW(" &amp; I243 &amp;")"</f>
        <v>Case yJ127903:    UniConst = ChrW(127903)</v>
      </c>
    </row>
    <row r="244" spans="1:11" hidden="1">
      <c r="A244" t="s">
        <v>3502</v>
      </c>
      <c r="B244" t="str">
        <f t="shared" si="20"/>
        <v>1F3A0 ; fully-qualified # 🎠 E0.6 carousel horse</v>
      </c>
      <c r="C244" t="str">
        <f t="shared" si="21"/>
        <v xml:space="preserve">1F3A0 </v>
      </c>
      <c r="D244">
        <f t="shared" si="22"/>
        <v>6</v>
      </c>
      <c r="E244" t="str">
        <f t="shared" si="18"/>
        <v xml:space="preserve"> 🎠 E0.6 carousel horse</v>
      </c>
      <c r="F244" t="b">
        <f t="shared" si="23"/>
        <v>1</v>
      </c>
      <c r="G244" t="str">
        <f t="shared" si="19"/>
        <v>1F3A0</v>
      </c>
      <c r="I244">
        <f>HEX2DEC(Table1[[#This Row],[utf8]])</f>
        <v>127904</v>
      </c>
      <c r="J244" t="str">
        <f>_xlfn.UNICHAR(HEX2DEC(Table1[[#This Row],[utf8]]))</f>
        <v>🎠</v>
      </c>
      <c r="K244" s="3" t="str" cm="1">
        <f t="array" ref="K244">"Case "&amp;wRandomLetter()&amp;wRandomLetter()&amp;I244&amp;":    UniConst = ChrW(" &amp; I244 &amp;")"</f>
        <v>Case zb127904:    UniConst = ChrW(127904)</v>
      </c>
    </row>
    <row r="245" spans="1:11" hidden="1">
      <c r="A245" t="s">
        <v>3503</v>
      </c>
      <c r="B245" t="str">
        <f t="shared" si="20"/>
        <v>1F3A1 ; fully-qualified # 🎡 E0.6 ferris wheel</v>
      </c>
      <c r="C245" t="str">
        <f t="shared" si="21"/>
        <v xml:space="preserve">1F3A1 </v>
      </c>
      <c r="D245">
        <f t="shared" si="22"/>
        <v>6</v>
      </c>
      <c r="E245" t="str">
        <f t="shared" si="18"/>
        <v xml:space="preserve"> 🎡 E0.6 ferris wheel</v>
      </c>
      <c r="F245" t="b">
        <f t="shared" si="23"/>
        <v>1</v>
      </c>
      <c r="G245" t="str">
        <f t="shared" si="19"/>
        <v>1F3A1</v>
      </c>
      <c r="I245">
        <f>HEX2DEC(Table1[[#This Row],[utf8]])</f>
        <v>127905</v>
      </c>
      <c r="J245" t="str">
        <f>_xlfn.UNICHAR(HEX2DEC(Table1[[#This Row],[utf8]]))</f>
        <v>🎡</v>
      </c>
      <c r="K245" s="3" t="str" cm="1">
        <f t="array" ref="K245">"Case "&amp;wRandomLetter()&amp;wRandomLetter()&amp;I245&amp;":    UniConst = ChrW(" &amp; I245 &amp;")"</f>
        <v>Case XD127905:    UniConst = ChrW(127905)</v>
      </c>
    </row>
    <row r="246" spans="1:11" hidden="1">
      <c r="A246" t="s">
        <v>3504</v>
      </c>
      <c r="B246" t="str">
        <f t="shared" si="20"/>
        <v>1F3A2 ; fully-qualified # 🎢 E0.6 roller coaster</v>
      </c>
      <c r="C246" t="str">
        <f t="shared" si="21"/>
        <v xml:space="preserve">1F3A2 </v>
      </c>
      <c r="D246">
        <f t="shared" si="22"/>
        <v>6</v>
      </c>
      <c r="E246" t="str">
        <f t="shared" si="18"/>
        <v xml:space="preserve"> 🎢 E0.6 roller coaster</v>
      </c>
      <c r="F246" t="b">
        <f t="shared" si="23"/>
        <v>1</v>
      </c>
      <c r="G246" t="str">
        <f t="shared" si="19"/>
        <v>1F3A2</v>
      </c>
      <c r="I246">
        <f>HEX2DEC(Table1[[#This Row],[utf8]])</f>
        <v>127906</v>
      </c>
      <c r="J246" t="str">
        <f>_xlfn.UNICHAR(HEX2DEC(Table1[[#This Row],[utf8]]))</f>
        <v>🎢</v>
      </c>
      <c r="K246" s="3" t="str" cm="1">
        <f t="array" ref="K246">"Case "&amp;wRandomLetter()&amp;wRandomLetter()&amp;I246&amp;":    UniConst = ChrW(" &amp; I246 &amp;")"</f>
        <v>Case ig127906:    UniConst = ChrW(127906)</v>
      </c>
    </row>
    <row r="247" spans="1:11" hidden="1">
      <c r="A247" t="s">
        <v>3754</v>
      </c>
      <c r="B247" t="str">
        <f t="shared" si="20"/>
        <v>1F3A3 ; fully-qualified # 🎣 E0.6 fishing pole</v>
      </c>
      <c r="C247" t="str">
        <f t="shared" si="21"/>
        <v xml:space="preserve">1F3A3 </v>
      </c>
      <c r="D247">
        <f t="shared" si="22"/>
        <v>6</v>
      </c>
      <c r="E247" t="str">
        <f t="shared" si="18"/>
        <v xml:space="preserve"> 🎣 E0.6 fishing pole</v>
      </c>
      <c r="F247" t="b">
        <f t="shared" si="23"/>
        <v>1</v>
      </c>
      <c r="G247" t="str">
        <f t="shared" si="19"/>
        <v>1F3A3</v>
      </c>
      <c r="I247">
        <f>HEX2DEC(Table1[[#This Row],[utf8]])</f>
        <v>127907</v>
      </c>
      <c r="J247" t="str">
        <f>_xlfn.UNICHAR(HEX2DEC(Table1[[#This Row],[utf8]]))</f>
        <v>🎣</v>
      </c>
      <c r="K247" s="3" t="str" cm="1">
        <f t="array" ref="K247">"Case "&amp;wRandomLetter()&amp;wRandomLetter()&amp;I247&amp;":    UniConst = ChrW(" &amp; I247 &amp;")"</f>
        <v>Case yq127907:    UniConst = ChrW(127907)</v>
      </c>
    </row>
    <row r="248" spans="1:11" hidden="1">
      <c r="A248" t="s">
        <v>3871</v>
      </c>
      <c r="B248" t="str">
        <f t="shared" si="20"/>
        <v>1F3A4 ; fully-qualified # 🎤 E0.6 microphone</v>
      </c>
      <c r="C248" t="str">
        <f t="shared" si="21"/>
        <v xml:space="preserve">1F3A4 </v>
      </c>
      <c r="D248">
        <f t="shared" si="22"/>
        <v>6</v>
      </c>
      <c r="E248" t="str">
        <f t="shared" si="18"/>
        <v xml:space="preserve"> 🎤 E0.6 microphone</v>
      </c>
      <c r="F248" t="b">
        <f t="shared" si="23"/>
        <v>1</v>
      </c>
      <c r="G248" t="str">
        <f t="shared" si="19"/>
        <v>1F3A4</v>
      </c>
      <c r="I248">
        <f>HEX2DEC(Table1[[#This Row],[utf8]])</f>
        <v>127908</v>
      </c>
      <c r="J248" t="str">
        <f>_xlfn.UNICHAR(HEX2DEC(Table1[[#This Row],[utf8]]))</f>
        <v>🎤</v>
      </c>
      <c r="K248" s="3" t="str" cm="1">
        <f t="array" ref="K248">"Case "&amp;wRandomLetter()&amp;wRandomLetter()&amp;I248&amp;":    UniConst = ChrW(" &amp; I248 &amp;")"</f>
        <v>Case fc127908:    UniConst = ChrW(127908)</v>
      </c>
    </row>
    <row r="249" spans="1:11" hidden="1">
      <c r="A249" t="s">
        <v>3912</v>
      </c>
      <c r="B249" t="str">
        <f t="shared" si="20"/>
        <v>1F3A5 ; fully-qualified # 🎥 E0.6 movie camera</v>
      </c>
      <c r="C249" t="str">
        <f t="shared" si="21"/>
        <v xml:space="preserve">1F3A5 </v>
      </c>
      <c r="D249">
        <f t="shared" si="22"/>
        <v>6</v>
      </c>
      <c r="E249" t="str">
        <f t="shared" si="18"/>
        <v xml:space="preserve"> 🎥 E0.6 movie camera</v>
      </c>
      <c r="F249" t="b">
        <f t="shared" si="23"/>
        <v>1</v>
      </c>
      <c r="G249" t="str">
        <f t="shared" si="19"/>
        <v>1F3A5</v>
      </c>
      <c r="I249">
        <f>HEX2DEC(Table1[[#This Row],[utf8]])</f>
        <v>127909</v>
      </c>
      <c r="J249" t="str">
        <f>_xlfn.UNICHAR(HEX2DEC(Table1[[#This Row],[utf8]]))</f>
        <v>🎥</v>
      </c>
      <c r="K249" s="3" t="str" cm="1">
        <f t="array" ref="K249">"Case "&amp;wRandomLetter()&amp;wRandomLetter()&amp;I249&amp;":    UniConst = ChrW(" &amp; I249 &amp;")"</f>
        <v>Case Xa127909:    UniConst = ChrW(127909)</v>
      </c>
    </row>
    <row r="250" spans="1:11" hidden="1">
      <c r="A250" t="s">
        <v>4253</v>
      </c>
      <c r="B250" t="str">
        <f t="shared" si="20"/>
        <v>1F3A6 ; fully-qualified # 🎦 E0.6 cinema</v>
      </c>
      <c r="C250" t="str">
        <f t="shared" si="21"/>
        <v xml:space="preserve">1F3A6 </v>
      </c>
      <c r="D250">
        <f t="shared" si="22"/>
        <v>6</v>
      </c>
      <c r="E250" t="str">
        <f t="shared" si="18"/>
        <v xml:space="preserve"> 🎦 E0.6 cinema</v>
      </c>
      <c r="F250" t="b">
        <f t="shared" si="23"/>
        <v>1</v>
      </c>
      <c r="G250" t="str">
        <f t="shared" si="19"/>
        <v>1F3A6</v>
      </c>
      <c r="I250">
        <f>HEX2DEC(Table1[[#This Row],[utf8]])</f>
        <v>127910</v>
      </c>
      <c r="J250" t="str">
        <f>_xlfn.UNICHAR(HEX2DEC(Table1[[#This Row],[utf8]]))</f>
        <v>🎦</v>
      </c>
      <c r="K250" s="3" t="str" cm="1">
        <f t="array" ref="K250">"Case "&amp;wRandomLetter()&amp;wRandomLetter()&amp;I250&amp;":    UniConst = ChrW(" &amp; I250 &amp;")"</f>
        <v>Case Xs127910:    UniConst = ChrW(127910)</v>
      </c>
    </row>
    <row r="251" spans="1:11" hidden="1">
      <c r="A251" t="s">
        <v>3872</v>
      </c>
      <c r="B251" t="str">
        <f t="shared" si="20"/>
        <v>1F3A7 ; fully-qualified # 🎧 E0.6 headphone</v>
      </c>
      <c r="C251" t="str">
        <f t="shared" si="21"/>
        <v xml:space="preserve">1F3A7 </v>
      </c>
      <c r="D251">
        <f t="shared" si="22"/>
        <v>6</v>
      </c>
      <c r="E251" t="str">
        <f t="shared" si="18"/>
        <v xml:space="preserve"> 🎧 E0.6 headphone</v>
      </c>
      <c r="F251" t="b">
        <f t="shared" si="23"/>
        <v>1</v>
      </c>
      <c r="G251" t="str">
        <f t="shared" si="19"/>
        <v>1F3A7</v>
      </c>
      <c r="I251">
        <f>HEX2DEC(Table1[[#This Row],[utf8]])</f>
        <v>127911</v>
      </c>
      <c r="J251" t="str">
        <f>_xlfn.UNICHAR(HEX2DEC(Table1[[#This Row],[utf8]]))</f>
        <v>🎧</v>
      </c>
      <c r="K251" s="3" t="str" cm="1">
        <f t="array" ref="K251">"Case "&amp;wRandomLetter()&amp;wRandomLetter()&amp;I251&amp;":    UniConst = ChrW(" &amp; I251 &amp;")"</f>
        <v>Case uD127911:    UniConst = ChrW(127911)</v>
      </c>
    </row>
    <row r="252" spans="1:11" hidden="1">
      <c r="A252" t="s">
        <v>3794</v>
      </c>
      <c r="B252" t="str">
        <f t="shared" si="20"/>
        <v>1F3A8 ; fully-qualified # 🎨 E0.6 artist palette</v>
      </c>
      <c r="C252" t="str">
        <f t="shared" si="21"/>
        <v xml:space="preserve">1F3A8 </v>
      </c>
      <c r="D252">
        <f t="shared" si="22"/>
        <v>6</v>
      </c>
      <c r="E252" t="str">
        <f t="shared" si="18"/>
        <v xml:space="preserve"> 🎨 E0.6 artist palette</v>
      </c>
      <c r="F252" t="b">
        <f t="shared" si="23"/>
        <v>1</v>
      </c>
      <c r="G252" t="str">
        <f t="shared" si="19"/>
        <v>1F3A8</v>
      </c>
      <c r="I252">
        <f>HEX2DEC(Table1[[#This Row],[utf8]])</f>
        <v>127912</v>
      </c>
      <c r="J252" t="str">
        <f>_xlfn.UNICHAR(HEX2DEC(Table1[[#This Row],[utf8]]))</f>
        <v>🎨</v>
      </c>
      <c r="K252" s="3" t="str" cm="1">
        <f t="array" ref="K252">"Case "&amp;wRandomLetter()&amp;wRandomLetter()&amp;I252&amp;":    UniConst = ChrW(" &amp; I252 &amp;")"</f>
        <v>Case sI127912:    UniConst = ChrW(127912)</v>
      </c>
    </row>
    <row r="253" spans="1:11" hidden="1">
      <c r="A253" t="s">
        <v>3841</v>
      </c>
      <c r="B253" t="str">
        <f t="shared" si="20"/>
        <v>1F3A9 ; fully-qualified # 🎩 E0.6 top hat</v>
      </c>
      <c r="C253" t="str">
        <f t="shared" si="21"/>
        <v xml:space="preserve">1F3A9 </v>
      </c>
      <c r="D253">
        <f t="shared" si="22"/>
        <v>6</v>
      </c>
      <c r="E253" t="str">
        <f t="shared" si="18"/>
        <v xml:space="preserve"> 🎩 E0.6 top hat</v>
      </c>
      <c r="F253" t="b">
        <f t="shared" si="23"/>
        <v>1</v>
      </c>
      <c r="G253" t="str">
        <f t="shared" si="19"/>
        <v>1F3A9</v>
      </c>
      <c r="I253">
        <f>HEX2DEC(Table1[[#This Row],[utf8]])</f>
        <v>127913</v>
      </c>
      <c r="J253" t="str">
        <f>_xlfn.UNICHAR(HEX2DEC(Table1[[#This Row],[utf8]]))</f>
        <v>🎩</v>
      </c>
      <c r="K253" s="3" t="str" cm="1">
        <f t="array" ref="K253">"Case "&amp;wRandomLetter()&amp;wRandomLetter()&amp;I253&amp;":    UniConst = ChrW(" &amp; I253 &amp;")"</f>
        <v>Case Aw127913:    UniConst = ChrW(127913)</v>
      </c>
    </row>
    <row r="254" spans="1:11" hidden="1">
      <c r="A254" t="s">
        <v>3506</v>
      </c>
      <c r="B254" t="str">
        <f t="shared" si="20"/>
        <v>1F3AA ; fully-qualified # 🎪 E0.6 circus tent</v>
      </c>
      <c r="C254" t="str">
        <f t="shared" si="21"/>
        <v xml:space="preserve">1F3AA </v>
      </c>
      <c r="D254">
        <f t="shared" si="22"/>
        <v>6</v>
      </c>
      <c r="E254" t="str">
        <f t="shared" si="18"/>
        <v xml:space="preserve"> 🎪 E0.6 circus tent</v>
      </c>
      <c r="F254" t="b">
        <f t="shared" si="23"/>
        <v>1</v>
      </c>
      <c r="G254" t="str">
        <f t="shared" si="19"/>
        <v>1F3AA</v>
      </c>
      <c r="I254">
        <f>HEX2DEC(Table1[[#This Row],[utf8]])</f>
        <v>127914</v>
      </c>
      <c r="J254" t="str">
        <f>_xlfn.UNICHAR(HEX2DEC(Table1[[#This Row],[utf8]]))</f>
        <v>🎪</v>
      </c>
      <c r="K254" s="3" t="str" cm="1">
        <f t="array" ref="K254">"Case "&amp;wRandomLetter()&amp;wRandomLetter()&amp;I254&amp;":    UniConst = ChrW(" &amp; I254 &amp;")"</f>
        <v>Case vm127914:    UniConst = ChrW(127914)</v>
      </c>
    </row>
    <row r="255" spans="1:11" hidden="1">
      <c r="A255" t="s">
        <v>3722</v>
      </c>
      <c r="B255" t="str">
        <f t="shared" si="20"/>
        <v>1F3AB ; fully-qualified # 🎫 E0.6 ticket</v>
      </c>
      <c r="C255" t="str">
        <f t="shared" si="21"/>
        <v xml:space="preserve">1F3AB </v>
      </c>
      <c r="D255">
        <f t="shared" si="22"/>
        <v>6</v>
      </c>
      <c r="E255" t="str">
        <f t="shared" si="18"/>
        <v xml:space="preserve"> 🎫 E0.6 ticket</v>
      </c>
      <c r="F255" t="b">
        <f t="shared" si="23"/>
        <v>1</v>
      </c>
      <c r="G255" t="str">
        <f t="shared" si="19"/>
        <v>1F3AB</v>
      </c>
      <c r="I255">
        <f>HEX2DEC(Table1[[#This Row],[utf8]])</f>
        <v>127915</v>
      </c>
      <c r="J255" t="str">
        <f>_xlfn.UNICHAR(HEX2DEC(Table1[[#This Row],[utf8]]))</f>
        <v>🎫</v>
      </c>
      <c r="K255" s="3" t="str" cm="1">
        <f t="array" ref="K255">"Case "&amp;wRandomLetter()&amp;wRandomLetter()&amp;I255&amp;":    UniConst = ChrW(" &amp; I255 &amp;")"</f>
        <v>Case kp127915:    UniConst = ChrW(127915)</v>
      </c>
    </row>
    <row r="256" spans="1:11" hidden="1">
      <c r="A256" t="s">
        <v>3917</v>
      </c>
      <c r="B256" t="str">
        <f t="shared" si="20"/>
        <v>1F3AC ; fully-qualified # 🎬 E0.6 clapper board</v>
      </c>
      <c r="C256" t="str">
        <f t="shared" si="21"/>
        <v xml:space="preserve">1F3AC </v>
      </c>
      <c r="D256">
        <f t="shared" si="22"/>
        <v>6</v>
      </c>
      <c r="E256" t="str">
        <f t="shared" si="18"/>
        <v xml:space="preserve"> 🎬 E0.6 clapper board</v>
      </c>
      <c r="F256" t="b">
        <f t="shared" si="23"/>
        <v>1</v>
      </c>
      <c r="G256" t="str">
        <f t="shared" si="19"/>
        <v>1F3AC</v>
      </c>
      <c r="I256">
        <f>HEX2DEC(Table1[[#This Row],[utf8]])</f>
        <v>127916</v>
      </c>
      <c r="J256" t="str">
        <f>_xlfn.UNICHAR(HEX2DEC(Table1[[#This Row],[utf8]]))</f>
        <v>🎬</v>
      </c>
      <c r="K256" s="3" t="str" cm="1">
        <f t="array" ref="K256">"Case "&amp;wRandomLetter()&amp;wRandomLetter()&amp;I256&amp;":    UniConst = ChrW(" &amp; I256 &amp;")"</f>
        <v>Case zE127916:    UniConst = ChrW(127916)</v>
      </c>
    </row>
    <row r="257" spans="1:11" hidden="1">
      <c r="A257" t="s">
        <v>3791</v>
      </c>
      <c r="B257" t="str">
        <f t="shared" si="20"/>
        <v>1F3AD ; fully-qualified # 🎭 E0.6 performing arts</v>
      </c>
      <c r="C257" t="str">
        <f t="shared" si="21"/>
        <v xml:space="preserve">1F3AD </v>
      </c>
      <c r="D257">
        <f t="shared" si="22"/>
        <v>6</v>
      </c>
      <c r="E257" t="str">
        <f t="shared" si="18"/>
        <v xml:space="preserve"> 🎭 E0.6 performing arts</v>
      </c>
      <c r="F257" t="b">
        <f t="shared" si="23"/>
        <v>1</v>
      </c>
      <c r="G257" t="str">
        <f t="shared" si="19"/>
        <v>1F3AD</v>
      </c>
      <c r="I257">
        <f>HEX2DEC(Table1[[#This Row],[utf8]])</f>
        <v>127917</v>
      </c>
      <c r="J257" t="str">
        <f>_xlfn.UNICHAR(HEX2DEC(Table1[[#This Row],[utf8]]))</f>
        <v>🎭</v>
      </c>
      <c r="K257" s="3" t="str" cm="1">
        <f t="array" ref="K257">"Case "&amp;wRandomLetter()&amp;wRandomLetter()&amp;I257&amp;":    UniConst = ChrW(" &amp; I257 &amp;")"</f>
        <v>Case yV127917:    UniConst = ChrW(127917)</v>
      </c>
    </row>
    <row r="258" spans="1:11" hidden="1">
      <c r="A258" t="s">
        <v>3768</v>
      </c>
      <c r="B258" t="str">
        <f t="shared" si="20"/>
        <v>1F3AE ; fully-qualified # 🎮 E0.6 video game</v>
      </c>
      <c r="C258" t="str">
        <f t="shared" si="21"/>
        <v xml:space="preserve">1F3AE </v>
      </c>
      <c r="D258">
        <f t="shared" si="22"/>
        <v>6</v>
      </c>
      <c r="E258" t="str">
        <f t="shared" ref="E258:E321" si="24">MID(A258,FIND("#",A258)+1,256)</f>
        <v xml:space="preserve"> 🎮 E0.6 video game</v>
      </c>
      <c r="F258" t="b">
        <f t="shared" si="23"/>
        <v>1</v>
      </c>
      <c r="G258" t="str">
        <f t="shared" ref="G258:G321" si="25">LEFT(C258,(FIND(" ",C258,1)-1))</f>
        <v>1F3AE</v>
      </c>
      <c r="I258">
        <f>HEX2DEC(Table1[[#This Row],[utf8]])</f>
        <v>127918</v>
      </c>
      <c r="J258" t="str">
        <f>_xlfn.UNICHAR(HEX2DEC(Table1[[#This Row],[utf8]]))</f>
        <v>🎮</v>
      </c>
      <c r="K258" s="3" t="str" cm="1">
        <f t="array" ref="K258">"Case "&amp;wRandomLetter()&amp;wRandomLetter()&amp;I258&amp;":    UniConst = ChrW(" &amp; I258 &amp;")"</f>
        <v>Case KM127918:    UniConst = ChrW(127918)</v>
      </c>
    </row>
    <row r="259" spans="1:11" hidden="1">
      <c r="A259" t="s">
        <v>3761</v>
      </c>
      <c r="B259" t="str">
        <f t="shared" ref="B259:B322" si="26">TRIM(A259)</f>
        <v>1F3AF ; fully-qualified # 🎯 E0.6 bullseye</v>
      </c>
      <c r="C259" t="str">
        <f t="shared" ref="C259:C322" si="27">LEFT(B259,(FIND(";",B259,1)-1))</f>
        <v xml:space="preserve">1F3AF </v>
      </c>
      <c r="D259">
        <f t="shared" ref="D259:D322" si="28">LEN(C259)</f>
        <v>6</v>
      </c>
      <c r="E259" t="str">
        <f t="shared" si="24"/>
        <v xml:space="preserve"> 🎯 E0.6 bullseye</v>
      </c>
      <c r="F259" t="b">
        <f t="shared" ref="F259:F322" si="29">IF(LEFT(C259,2)="1F",TRUE,FALSE)</f>
        <v>1</v>
      </c>
      <c r="G259" t="str">
        <f t="shared" si="25"/>
        <v>1F3AF</v>
      </c>
      <c r="I259">
        <f>HEX2DEC(Table1[[#This Row],[utf8]])</f>
        <v>127919</v>
      </c>
      <c r="J259" t="str">
        <f>_xlfn.UNICHAR(HEX2DEC(Table1[[#This Row],[utf8]]))</f>
        <v>🎯</v>
      </c>
      <c r="K259" s="3" t="str" cm="1">
        <f t="array" ref="K259">"Case "&amp;wRandomLetter()&amp;wRandomLetter()&amp;I259&amp;":    UniConst = ChrW(" &amp; I259 &amp;")"</f>
        <v>Case wU127919:    UniConst = ChrW(127919)</v>
      </c>
    </row>
    <row r="260" spans="1:11" hidden="1">
      <c r="A260" t="s">
        <v>3771</v>
      </c>
      <c r="B260" t="str">
        <f t="shared" si="26"/>
        <v>1F3B0 ; fully-qualified # 🎰 E0.6 slot machine</v>
      </c>
      <c r="C260" t="str">
        <f t="shared" si="27"/>
        <v xml:space="preserve">1F3B0 </v>
      </c>
      <c r="D260">
        <f t="shared" si="28"/>
        <v>6</v>
      </c>
      <c r="E260" t="str">
        <f t="shared" si="24"/>
        <v xml:space="preserve"> 🎰 E0.6 slot machine</v>
      </c>
      <c r="F260" t="b">
        <f t="shared" si="29"/>
        <v>1</v>
      </c>
      <c r="G260" t="str">
        <f t="shared" si="25"/>
        <v>1F3B0</v>
      </c>
      <c r="I260">
        <f>HEX2DEC(Table1[[#This Row],[utf8]])</f>
        <v>127920</v>
      </c>
      <c r="J260" t="str">
        <f>_xlfn.UNICHAR(HEX2DEC(Table1[[#This Row],[utf8]]))</f>
        <v>🎰</v>
      </c>
      <c r="K260" s="3" t="str" cm="1">
        <f t="array" ref="K260">"Case "&amp;wRandomLetter()&amp;wRandomLetter()&amp;I260&amp;":    UniConst = ChrW(" &amp; I260 &amp;")"</f>
        <v>Case kb127920:    UniConst = ChrW(127920)</v>
      </c>
    </row>
    <row r="261" spans="1:11" hidden="1">
      <c r="A261" t="s">
        <v>3764</v>
      </c>
      <c r="B261" t="str">
        <f t="shared" si="26"/>
        <v>1F3B1 ; fully-qualified # 🎱 E0.6 pool 8 ball</v>
      </c>
      <c r="C261" t="str">
        <f t="shared" si="27"/>
        <v xml:space="preserve">1F3B1 </v>
      </c>
      <c r="D261">
        <f t="shared" si="28"/>
        <v>6</v>
      </c>
      <c r="E261" t="str">
        <f t="shared" si="24"/>
        <v xml:space="preserve"> 🎱 E0.6 pool 8 ball</v>
      </c>
      <c r="F261" t="b">
        <f t="shared" si="29"/>
        <v>1</v>
      </c>
      <c r="G261" t="str">
        <f t="shared" si="25"/>
        <v>1F3B1</v>
      </c>
      <c r="I261">
        <f>HEX2DEC(Table1[[#This Row],[utf8]])</f>
        <v>127921</v>
      </c>
      <c r="J261" t="str">
        <f>_xlfn.UNICHAR(HEX2DEC(Table1[[#This Row],[utf8]]))</f>
        <v>🎱</v>
      </c>
      <c r="K261" s="3" t="str" cm="1">
        <f t="array" ref="K261">"Case "&amp;wRandomLetter()&amp;wRandomLetter()&amp;I261&amp;":    UniConst = ChrW(" &amp; I261 &amp;")"</f>
        <v>Case yd127921:    UniConst = ChrW(127921)</v>
      </c>
    </row>
    <row r="262" spans="1:11" hidden="1">
      <c r="A262" t="s">
        <v>3772</v>
      </c>
      <c r="B262" t="str">
        <f t="shared" si="26"/>
        <v>1F3B2 ; fully-qualified # 🎲 E0.6 game die</v>
      </c>
      <c r="C262" t="str">
        <f t="shared" si="27"/>
        <v xml:space="preserve">1F3B2 </v>
      </c>
      <c r="D262">
        <f t="shared" si="28"/>
        <v>6</v>
      </c>
      <c r="E262" t="str">
        <f t="shared" si="24"/>
        <v xml:space="preserve"> 🎲 E0.6 game die</v>
      </c>
      <c r="F262" t="b">
        <f t="shared" si="29"/>
        <v>1</v>
      </c>
      <c r="G262" t="str">
        <f t="shared" si="25"/>
        <v>1F3B2</v>
      </c>
      <c r="I262">
        <f>HEX2DEC(Table1[[#This Row],[utf8]])</f>
        <v>127922</v>
      </c>
      <c r="J262" t="str">
        <f>_xlfn.UNICHAR(HEX2DEC(Table1[[#This Row],[utf8]]))</f>
        <v>🎲</v>
      </c>
      <c r="K262" s="3" t="str" cm="1">
        <f t="array" ref="K262">"Case "&amp;wRandomLetter()&amp;wRandomLetter()&amp;I262&amp;":    UniConst = ChrW(" &amp; I262 &amp;")"</f>
        <v>Case wd127922:    UniConst = ChrW(127922)</v>
      </c>
    </row>
    <row r="263" spans="1:11" hidden="1">
      <c r="A263" t="s">
        <v>3741</v>
      </c>
      <c r="B263" t="str">
        <f t="shared" si="26"/>
        <v>1F3B3 ; fully-qualified # 🎳 E0.6 bowling</v>
      </c>
      <c r="C263" t="str">
        <f t="shared" si="27"/>
        <v xml:space="preserve">1F3B3 </v>
      </c>
      <c r="D263">
        <f t="shared" si="28"/>
        <v>6</v>
      </c>
      <c r="E263" t="str">
        <f t="shared" si="24"/>
        <v xml:space="preserve"> 🎳 E0.6 bowling</v>
      </c>
      <c r="F263" t="b">
        <f t="shared" si="29"/>
        <v>1</v>
      </c>
      <c r="G263" t="str">
        <f t="shared" si="25"/>
        <v>1F3B3</v>
      </c>
      <c r="I263">
        <f>HEX2DEC(Table1[[#This Row],[utf8]])</f>
        <v>127923</v>
      </c>
      <c r="J263" t="str">
        <f>_xlfn.UNICHAR(HEX2DEC(Table1[[#This Row],[utf8]]))</f>
        <v>🎳</v>
      </c>
      <c r="K263" s="3" t="str" cm="1">
        <f t="array" ref="K263">"Case "&amp;wRandomLetter()&amp;wRandomLetter()&amp;I263&amp;":    UniConst = ChrW(" &amp; I263 &amp;")"</f>
        <v>Case NN127923:    UniConst = ChrW(127923)</v>
      </c>
    </row>
    <row r="264" spans="1:11" hidden="1">
      <c r="A264" t="s">
        <v>3789</v>
      </c>
      <c r="B264" t="str">
        <f t="shared" si="26"/>
        <v>1F3B4 ; fully-qualified # 🎴 E0.6 flower playing cards</v>
      </c>
      <c r="C264" t="str">
        <f t="shared" si="27"/>
        <v xml:space="preserve">1F3B4 </v>
      </c>
      <c r="D264">
        <f t="shared" si="28"/>
        <v>6</v>
      </c>
      <c r="E264" t="str">
        <f t="shared" si="24"/>
        <v xml:space="preserve"> 🎴 E0.6 flower playing cards</v>
      </c>
      <c r="F264" t="b">
        <f t="shared" si="29"/>
        <v>1</v>
      </c>
      <c r="G264" t="str">
        <f t="shared" si="25"/>
        <v>1F3B4</v>
      </c>
      <c r="I264">
        <f>HEX2DEC(Table1[[#This Row],[utf8]])</f>
        <v>127924</v>
      </c>
      <c r="J264" t="str">
        <f>_xlfn.UNICHAR(HEX2DEC(Table1[[#This Row],[utf8]]))</f>
        <v>🎴</v>
      </c>
      <c r="K264" s="3" t="str" cm="1">
        <f t="array" ref="K264">"Case "&amp;wRandomLetter()&amp;wRandomLetter()&amp;I264&amp;":    UniConst = ChrW(" &amp; I264 &amp;")"</f>
        <v>Case zs127924:    UniConst = ChrW(127924)</v>
      </c>
    </row>
    <row r="265" spans="1:11" hidden="1">
      <c r="A265" t="s">
        <v>3863</v>
      </c>
      <c r="B265" t="str">
        <f t="shared" si="26"/>
        <v>1F3B5 ; fully-qualified # 🎵 E0.6 musical note</v>
      </c>
      <c r="C265" t="str">
        <f t="shared" si="27"/>
        <v xml:space="preserve">1F3B5 </v>
      </c>
      <c r="D265">
        <f t="shared" si="28"/>
        <v>6</v>
      </c>
      <c r="E265" t="str">
        <f t="shared" si="24"/>
        <v xml:space="preserve"> 🎵 E0.6 musical note</v>
      </c>
      <c r="F265" t="b">
        <f t="shared" si="29"/>
        <v>1</v>
      </c>
      <c r="G265" t="str">
        <f t="shared" si="25"/>
        <v>1F3B5</v>
      </c>
      <c r="I265">
        <f>HEX2DEC(Table1[[#This Row],[utf8]])</f>
        <v>127925</v>
      </c>
      <c r="J265" t="str">
        <f>_xlfn.UNICHAR(HEX2DEC(Table1[[#This Row],[utf8]]))</f>
        <v>🎵</v>
      </c>
      <c r="K265" s="3" t="str" cm="1">
        <f t="array" ref="K265">"Case "&amp;wRandomLetter()&amp;wRandomLetter()&amp;I265&amp;":    UniConst = ChrW(" &amp; I265 &amp;")"</f>
        <v>Case HI127925:    UniConst = ChrW(127925)</v>
      </c>
    </row>
    <row r="266" spans="1:11" hidden="1">
      <c r="A266" t="s">
        <v>3864</v>
      </c>
      <c r="B266" t="str">
        <f t="shared" si="26"/>
        <v>1F3B6 ; fully-qualified # 🎶 E0.6 musical notes</v>
      </c>
      <c r="C266" t="str">
        <f t="shared" si="27"/>
        <v xml:space="preserve">1F3B6 </v>
      </c>
      <c r="D266">
        <f t="shared" si="28"/>
        <v>6</v>
      </c>
      <c r="E266" t="str">
        <f t="shared" si="24"/>
        <v xml:space="preserve"> 🎶 E0.6 musical notes</v>
      </c>
      <c r="F266" t="b">
        <f t="shared" si="29"/>
        <v>1</v>
      </c>
      <c r="G266" t="str">
        <f t="shared" si="25"/>
        <v>1F3B6</v>
      </c>
      <c r="I266">
        <f>HEX2DEC(Table1[[#This Row],[utf8]])</f>
        <v>127926</v>
      </c>
      <c r="J266" t="str">
        <f>_xlfn.UNICHAR(HEX2DEC(Table1[[#This Row],[utf8]]))</f>
        <v>🎶</v>
      </c>
      <c r="K266" s="3" t="str" cm="1">
        <f t="array" ref="K266">"Case "&amp;wRandomLetter()&amp;wRandomLetter()&amp;I266&amp;":    UniConst = ChrW(" &amp; I266 &amp;")"</f>
        <v>Case jg127926:    UniConst = ChrW(127926)</v>
      </c>
    </row>
    <row r="267" spans="1:11" hidden="1">
      <c r="A267" t="s">
        <v>3875</v>
      </c>
      <c r="B267" t="str">
        <f t="shared" si="26"/>
        <v>1F3B7 ; fully-qualified # 🎷 E0.6 saxophone</v>
      </c>
      <c r="C267" t="str">
        <f t="shared" si="27"/>
        <v xml:space="preserve">1F3B7 </v>
      </c>
      <c r="D267">
        <f t="shared" si="28"/>
        <v>6</v>
      </c>
      <c r="E267" t="str">
        <f t="shared" si="24"/>
        <v xml:space="preserve"> 🎷 E0.6 saxophone</v>
      </c>
      <c r="F267" t="b">
        <f t="shared" si="29"/>
        <v>1</v>
      </c>
      <c r="G267" t="str">
        <f t="shared" si="25"/>
        <v>1F3B7</v>
      </c>
      <c r="I267">
        <f>HEX2DEC(Table1[[#This Row],[utf8]])</f>
        <v>127927</v>
      </c>
      <c r="J267" t="str">
        <f>_xlfn.UNICHAR(HEX2DEC(Table1[[#This Row],[utf8]]))</f>
        <v>🎷</v>
      </c>
      <c r="K267" s="3" t="str" cm="1">
        <f t="array" ref="K267">"Case "&amp;wRandomLetter()&amp;wRandomLetter()&amp;I267&amp;":    UniConst = ChrW(" &amp; I267 &amp;")"</f>
        <v>Case Re127927:    UniConst = ChrW(127927)</v>
      </c>
    </row>
    <row r="268" spans="1:11" hidden="1">
      <c r="A268" t="s">
        <v>3877</v>
      </c>
      <c r="B268" t="str">
        <f t="shared" si="26"/>
        <v>1F3B8 ; fully-qualified # 🎸 E0.6 guitar</v>
      </c>
      <c r="C268" t="str">
        <f t="shared" si="27"/>
        <v xml:space="preserve">1F3B8 </v>
      </c>
      <c r="D268">
        <f t="shared" si="28"/>
        <v>6</v>
      </c>
      <c r="E268" t="str">
        <f t="shared" si="24"/>
        <v xml:space="preserve"> 🎸 E0.6 guitar</v>
      </c>
      <c r="F268" t="b">
        <f t="shared" si="29"/>
        <v>1</v>
      </c>
      <c r="G268" t="str">
        <f t="shared" si="25"/>
        <v>1F3B8</v>
      </c>
      <c r="I268">
        <f>HEX2DEC(Table1[[#This Row],[utf8]])</f>
        <v>127928</v>
      </c>
      <c r="J268" t="str">
        <f>_xlfn.UNICHAR(HEX2DEC(Table1[[#This Row],[utf8]]))</f>
        <v>🎸</v>
      </c>
      <c r="K268" s="3" t="str" cm="1">
        <f t="array" ref="K268">"Case "&amp;wRandomLetter()&amp;wRandomLetter()&amp;I268&amp;":    UniConst = ChrW(" &amp; I268 &amp;")"</f>
        <v>Case Al127928:    UniConst = ChrW(127928)</v>
      </c>
    </row>
    <row r="269" spans="1:11" hidden="1">
      <c r="A269" t="s">
        <v>3878</v>
      </c>
      <c r="B269" t="str">
        <f t="shared" si="26"/>
        <v>1F3B9 ; fully-qualified # 🎹 E0.6 musical keyboard</v>
      </c>
      <c r="C269" t="str">
        <f t="shared" si="27"/>
        <v xml:space="preserve">1F3B9 </v>
      </c>
      <c r="D269">
        <f t="shared" si="28"/>
        <v>6</v>
      </c>
      <c r="E269" t="str">
        <f t="shared" si="24"/>
        <v xml:space="preserve"> 🎹 E0.6 musical keyboard</v>
      </c>
      <c r="F269" t="b">
        <f t="shared" si="29"/>
        <v>1</v>
      </c>
      <c r="G269" t="str">
        <f t="shared" si="25"/>
        <v>1F3B9</v>
      </c>
      <c r="I269">
        <f>HEX2DEC(Table1[[#This Row],[utf8]])</f>
        <v>127929</v>
      </c>
      <c r="J269" t="str">
        <f>_xlfn.UNICHAR(HEX2DEC(Table1[[#This Row],[utf8]]))</f>
        <v>🎹</v>
      </c>
      <c r="K269" s="3" t="str" cm="1">
        <f t="array" ref="K269">"Case "&amp;wRandomLetter()&amp;wRandomLetter()&amp;I269&amp;":    UniConst = ChrW(" &amp; I269 &amp;")"</f>
        <v>Case xt127929:    UniConst = ChrW(127929)</v>
      </c>
    </row>
    <row r="270" spans="1:11" hidden="1">
      <c r="A270" t="s">
        <v>3879</v>
      </c>
      <c r="B270" t="str">
        <f t="shared" si="26"/>
        <v>1F3BA ; fully-qualified # 🎺 E0.6 trumpet</v>
      </c>
      <c r="C270" t="str">
        <f t="shared" si="27"/>
        <v xml:space="preserve">1F3BA </v>
      </c>
      <c r="D270">
        <f t="shared" si="28"/>
        <v>6</v>
      </c>
      <c r="E270" t="str">
        <f t="shared" si="24"/>
        <v xml:space="preserve"> 🎺 E0.6 trumpet</v>
      </c>
      <c r="F270" t="b">
        <f t="shared" si="29"/>
        <v>1</v>
      </c>
      <c r="G270" t="str">
        <f t="shared" si="25"/>
        <v>1F3BA</v>
      </c>
      <c r="I270">
        <f>HEX2DEC(Table1[[#This Row],[utf8]])</f>
        <v>127930</v>
      </c>
      <c r="J270" t="str">
        <f>_xlfn.UNICHAR(HEX2DEC(Table1[[#This Row],[utf8]]))</f>
        <v>🎺</v>
      </c>
      <c r="K270" s="3" t="str" cm="1">
        <f t="array" ref="K270">"Case "&amp;wRandomLetter()&amp;wRandomLetter()&amp;I270&amp;":    UniConst = ChrW(" &amp; I270 &amp;")"</f>
        <v>Case yT127930:    UniConst = ChrW(127930)</v>
      </c>
    </row>
    <row r="271" spans="1:11" hidden="1">
      <c r="A271" t="s">
        <v>3880</v>
      </c>
      <c r="B271" t="str">
        <f t="shared" si="26"/>
        <v>1F3BB ; fully-qualified # 🎻 E0.6 violin</v>
      </c>
      <c r="C271" t="str">
        <f t="shared" si="27"/>
        <v xml:space="preserve">1F3BB </v>
      </c>
      <c r="D271">
        <f t="shared" si="28"/>
        <v>6</v>
      </c>
      <c r="E271" t="str">
        <f t="shared" si="24"/>
        <v xml:space="preserve"> 🎻 E0.6 violin</v>
      </c>
      <c r="F271" t="b">
        <f t="shared" si="29"/>
        <v>1</v>
      </c>
      <c r="G271" t="str">
        <f t="shared" si="25"/>
        <v>1F3BB</v>
      </c>
      <c r="I271">
        <f>HEX2DEC(Table1[[#This Row],[utf8]])</f>
        <v>127931</v>
      </c>
      <c r="J271" t="str">
        <f>_xlfn.UNICHAR(HEX2DEC(Table1[[#This Row],[utf8]]))</f>
        <v>🎻</v>
      </c>
      <c r="K271" s="3" t="str" cm="1">
        <f t="array" ref="K271">"Case "&amp;wRandomLetter()&amp;wRandomLetter()&amp;I271&amp;":    UniConst = ChrW(" &amp; I271 &amp;")"</f>
        <v>Case SQ127931:    UniConst = ChrW(127931)</v>
      </c>
    </row>
    <row r="272" spans="1:11" hidden="1">
      <c r="A272" t="s">
        <v>3862</v>
      </c>
      <c r="B272" t="str">
        <f t="shared" si="26"/>
        <v>1F3BC ; fully-qualified # 🎼 E0.6 musical score</v>
      </c>
      <c r="C272" t="str">
        <f t="shared" si="27"/>
        <v xml:space="preserve">1F3BC </v>
      </c>
      <c r="D272">
        <f t="shared" si="28"/>
        <v>6</v>
      </c>
      <c r="E272" t="str">
        <f t="shared" si="24"/>
        <v xml:space="preserve"> 🎼 E0.6 musical score</v>
      </c>
      <c r="F272" t="b">
        <f t="shared" si="29"/>
        <v>1</v>
      </c>
      <c r="G272" t="str">
        <f t="shared" si="25"/>
        <v>1F3BC</v>
      </c>
      <c r="I272">
        <f>HEX2DEC(Table1[[#This Row],[utf8]])</f>
        <v>127932</v>
      </c>
      <c r="J272" t="str">
        <f>_xlfn.UNICHAR(HEX2DEC(Table1[[#This Row],[utf8]]))</f>
        <v>🎼</v>
      </c>
      <c r="K272" s="3" t="str" cm="1">
        <f t="array" ref="K272">"Case "&amp;wRandomLetter()&amp;wRandomLetter()&amp;I272&amp;":    UniConst = ChrW(" &amp; I272 &amp;")"</f>
        <v>Case vm127932:    UniConst = ChrW(127932)</v>
      </c>
    </row>
    <row r="273" spans="1:11" hidden="1">
      <c r="A273" t="s">
        <v>3756</v>
      </c>
      <c r="B273" t="str">
        <f t="shared" si="26"/>
        <v>1F3BD ; fully-qualified # 🎽 E0.6 running shirt</v>
      </c>
      <c r="C273" t="str">
        <f t="shared" si="27"/>
        <v xml:space="preserve">1F3BD </v>
      </c>
      <c r="D273">
        <f t="shared" si="28"/>
        <v>6</v>
      </c>
      <c r="E273" t="str">
        <f t="shared" si="24"/>
        <v xml:space="preserve"> 🎽 E0.6 running shirt</v>
      </c>
      <c r="F273" t="b">
        <f t="shared" si="29"/>
        <v>1</v>
      </c>
      <c r="G273" t="str">
        <f t="shared" si="25"/>
        <v>1F3BD</v>
      </c>
      <c r="I273">
        <f>HEX2DEC(Table1[[#This Row],[utf8]])</f>
        <v>127933</v>
      </c>
      <c r="J273" t="str">
        <f>_xlfn.UNICHAR(HEX2DEC(Table1[[#This Row],[utf8]]))</f>
        <v>🎽</v>
      </c>
      <c r="K273" s="3" t="str" cm="1">
        <f t="array" ref="K273">"Case "&amp;wRandomLetter()&amp;wRandomLetter()&amp;I273&amp;":    UniConst = ChrW(" &amp; I273 &amp;")"</f>
        <v>Case mr127933:    UniConst = ChrW(127933)</v>
      </c>
    </row>
    <row r="274" spans="1:11" hidden="1">
      <c r="A274" t="s">
        <v>3739</v>
      </c>
      <c r="B274" t="str">
        <f t="shared" si="26"/>
        <v>1F3BE ; fully-qualified # 🎾 E0.6 tennis</v>
      </c>
      <c r="C274" t="str">
        <f t="shared" si="27"/>
        <v xml:space="preserve">1F3BE </v>
      </c>
      <c r="D274">
        <f t="shared" si="28"/>
        <v>6</v>
      </c>
      <c r="E274" t="str">
        <f t="shared" si="24"/>
        <v xml:space="preserve"> 🎾 E0.6 tennis</v>
      </c>
      <c r="F274" t="b">
        <f t="shared" si="29"/>
        <v>1</v>
      </c>
      <c r="G274" t="str">
        <f t="shared" si="25"/>
        <v>1F3BE</v>
      </c>
      <c r="I274">
        <f>HEX2DEC(Table1[[#This Row],[utf8]])</f>
        <v>127934</v>
      </c>
      <c r="J274" t="str">
        <f>_xlfn.UNICHAR(HEX2DEC(Table1[[#This Row],[utf8]]))</f>
        <v>🎾</v>
      </c>
      <c r="K274" s="3" t="str" cm="1">
        <f t="array" ref="K274">"Case "&amp;wRandomLetter()&amp;wRandomLetter()&amp;I274&amp;":    UniConst = ChrW(" &amp; I274 &amp;")"</f>
        <v>Case bf127934:    UniConst = ChrW(127934)</v>
      </c>
    </row>
    <row r="275" spans="1:11" hidden="1">
      <c r="A275" t="s">
        <v>3757</v>
      </c>
      <c r="B275" t="str">
        <f t="shared" si="26"/>
        <v>1F3BF ; fully-qualified # 🎿 E0.6 skis</v>
      </c>
      <c r="C275" t="str">
        <f t="shared" si="27"/>
        <v xml:space="preserve">1F3BF </v>
      </c>
      <c r="D275">
        <f t="shared" si="28"/>
        <v>6</v>
      </c>
      <c r="E275" t="str">
        <f t="shared" si="24"/>
        <v xml:space="preserve"> 🎿 E0.6 skis</v>
      </c>
      <c r="F275" t="b">
        <f t="shared" si="29"/>
        <v>1</v>
      </c>
      <c r="G275" t="str">
        <f t="shared" si="25"/>
        <v>1F3BF</v>
      </c>
      <c r="I275">
        <f>HEX2DEC(Table1[[#This Row],[utf8]])</f>
        <v>127935</v>
      </c>
      <c r="J275" t="str">
        <f>_xlfn.UNICHAR(HEX2DEC(Table1[[#This Row],[utf8]]))</f>
        <v>🎿</v>
      </c>
      <c r="K275" s="3" t="str" cm="1">
        <f t="array" ref="K275">"Case "&amp;wRandomLetter()&amp;wRandomLetter()&amp;I275&amp;":    UniConst = ChrW(" &amp; I275 &amp;")"</f>
        <v>Case Is127935:    UniConst = ChrW(127935)</v>
      </c>
    </row>
    <row r="276" spans="1:11" hidden="1">
      <c r="A276" t="s">
        <v>3735</v>
      </c>
      <c r="B276" t="str">
        <f t="shared" si="26"/>
        <v>1F3C0 ; fully-qualified # 🏀 E0.6 basketball</v>
      </c>
      <c r="C276" t="str">
        <f t="shared" si="27"/>
        <v xml:space="preserve">1F3C0 </v>
      </c>
      <c r="D276">
        <f t="shared" si="28"/>
        <v>6</v>
      </c>
      <c r="E276" t="str">
        <f t="shared" si="24"/>
        <v xml:space="preserve"> 🏀 E0.6 basketball</v>
      </c>
      <c r="F276" t="b">
        <f t="shared" si="29"/>
        <v>1</v>
      </c>
      <c r="G276" t="str">
        <f t="shared" si="25"/>
        <v>1F3C0</v>
      </c>
      <c r="I276">
        <f>HEX2DEC(Table1[[#This Row],[utf8]])</f>
        <v>127936</v>
      </c>
      <c r="J276" t="str">
        <f>_xlfn.UNICHAR(HEX2DEC(Table1[[#This Row],[utf8]]))</f>
        <v>🏀</v>
      </c>
      <c r="K276" s="3" t="str" cm="1">
        <f t="array" ref="K276">"Case "&amp;wRandomLetter()&amp;wRandomLetter()&amp;I276&amp;":    UniConst = ChrW(" &amp; I276 &amp;")"</f>
        <v>Case Fk127936:    UniConst = ChrW(127936)</v>
      </c>
    </row>
    <row r="277" spans="1:11" hidden="1">
      <c r="A277" t="s">
        <v>2133</v>
      </c>
      <c r="B277" t="str">
        <f t="shared" si="26"/>
        <v>1F3C2 ; fully-qualified # 🏂 E0.6 snowboarder</v>
      </c>
      <c r="C277" t="str">
        <f t="shared" si="27"/>
        <v xml:space="preserve">1F3C2 </v>
      </c>
      <c r="D277">
        <f t="shared" si="28"/>
        <v>6</v>
      </c>
      <c r="E277" t="str">
        <f t="shared" si="24"/>
        <v xml:space="preserve"> 🏂 E0.6 snowboarder</v>
      </c>
      <c r="F277" t="b">
        <f t="shared" si="29"/>
        <v>1</v>
      </c>
      <c r="G277" t="str">
        <f t="shared" si="25"/>
        <v>1F3C2</v>
      </c>
      <c r="I277">
        <f>HEX2DEC(Table1[[#This Row],[utf8]])</f>
        <v>127938</v>
      </c>
      <c r="J277" t="str">
        <f>_xlfn.UNICHAR(HEX2DEC(Table1[[#This Row],[utf8]]))</f>
        <v>🏂</v>
      </c>
      <c r="K277" s="3" t="str" cm="1">
        <f t="array" ref="K277">"Case "&amp;wRandomLetter()&amp;wRandomLetter()&amp;I277&amp;":    UniConst = ChrW(" &amp; I277 &amp;")"</f>
        <v>Case Vt127938:    UniConst = ChrW(127938)</v>
      </c>
    </row>
    <row r="278" spans="1:11" hidden="1">
      <c r="A278" t="s">
        <v>2134</v>
      </c>
      <c r="B278" t="str">
        <f t="shared" si="26"/>
        <v>1F3C2 1F3FB ; fully-qualified # 🏂🏻 E1.0 snowboarder: light skin tone</v>
      </c>
      <c r="C278" t="str">
        <f t="shared" si="27"/>
        <v xml:space="preserve">1F3C2 1F3FB </v>
      </c>
      <c r="D278">
        <f t="shared" si="28"/>
        <v>12</v>
      </c>
      <c r="E278" t="str">
        <f t="shared" si="24"/>
        <v xml:space="preserve"> 🏂🏻 E1.0 snowboarder: light skin tone</v>
      </c>
      <c r="F278" t="b">
        <f t="shared" si="29"/>
        <v>1</v>
      </c>
      <c r="G278" t="str">
        <f t="shared" si="25"/>
        <v>1F3C2</v>
      </c>
      <c r="I278">
        <f>HEX2DEC(Table1[[#This Row],[utf8]])</f>
        <v>127938</v>
      </c>
      <c r="J278" t="str">
        <f>_xlfn.UNICHAR(HEX2DEC(Table1[[#This Row],[utf8]]))</f>
        <v>🏂</v>
      </c>
      <c r="K278" s="3" t="str" cm="1">
        <f t="array" ref="K278">"Case "&amp;wRandomLetter()&amp;wRandomLetter()&amp;I278&amp;":    UniConst = ChrW(" &amp; I278 &amp;")"</f>
        <v>Case WG127938:    UniConst = ChrW(127938)</v>
      </c>
    </row>
    <row r="279" spans="1:11" hidden="1">
      <c r="A279" t="s">
        <v>2135</v>
      </c>
      <c r="B279" t="str">
        <f t="shared" si="26"/>
        <v>1F3C2 1F3FC ; fully-qualified # 🏂🏼 E1.0 snowboarder: medium-light skin tone</v>
      </c>
      <c r="C279" t="str">
        <f t="shared" si="27"/>
        <v xml:space="preserve">1F3C2 1F3FC </v>
      </c>
      <c r="D279">
        <f t="shared" si="28"/>
        <v>12</v>
      </c>
      <c r="E279" t="str">
        <f t="shared" si="24"/>
        <v xml:space="preserve"> 🏂🏼 E1.0 snowboarder: medium-light skin tone</v>
      </c>
      <c r="F279" t="b">
        <f t="shared" si="29"/>
        <v>1</v>
      </c>
      <c r="G279" t="str">
        <f t="shared" si="25"/>
        <v>1F3C2</v>
      </c>
      <c r="I279">
        <f>HEX2DEC(Table1[[#This Row],[utf8]])</f>
        <v>127938</v>
      </c>
      <c r="J279" t="str">
        <f>_xlfn.UNICHAR(HEX2DEC(Table1[[#This Row],[utf8]]))</f>
        <v>🏂</v>
      </c>
      <c r="K279" s="3" t="str" cm="1">
        <f t="array" ref="K279">"Case "&amp;wRandomLetter()&amp;wRandomLetter()&amp;I279&amp;":    UniConst = ChrW(" &amp; I279 &amp;")"</f>
        <v>Case RV127938:    UniConst = ChrW(127938)</v>
      </c>
    </row>
    <row r="280" spans="1:11" hidden="1">
      <c r="A280" t="s">
        <v>2136</v>
      </c>
      <c r="B280" t="str">
        <f t="shared" si="26"/>
        <v>1F3C2 1F3FD ; fully-qualified # 🏂🏽 E1.0 snowboarder: medium skin tone</v>
      </c>
      <c r="C280" t="str">
        <f t="shared" si="27"/>
        <v xml:space="preserve">1F3C2 1F3FD </v>
      </c>
      <c r="D280">
        <f t="shared" si="28"/>
        <v>12</v>
      </c>
      <c r="E280" t="str">
        <f t="shared" si="24"/>
        <v xml:space="preserve"> 🏂🏽 E1.0 snowboarder: medium skin tone</v>
      </c>
      <c r="F280" t="b">
        <f t="shared" si="29"/>
        <v>1</v>
      </c>
      <c r="G280" t="str">
        <f t="shared" si="25"/>
        <v>1F3C2</v>
      </c>
      <c r="I280">
        <f>HEX2DEC(Table1[[#This Row],[utf8]])</f>
        <v>127938</v>
      </c>
      <c r="J280" t="str">
        <f>_xlfn.UNICHAR(HEX2DEC(Table1[[#This Row],[utf8]]))</f>
        <v>🏂</v>
      </c>
      <c r="K280" s="3" t="str" cm="1">
        <f t="array" ref="K280">"Case "&amp;wRandomLetter()&amp;wRandomLetter()&amp;I280&amp;":    UniConst = ChrW(" &amp; I280 &amp;")"</f>
        <v>Case Fk127938:    UniConst = ChrW(127938)</v>
      </c>
    </row>
    <row r="281" spans="1:11" hidden="1">
      <c r="A281" t="s">
        <v>2137</v>
      </c>
      <c r="B281" t="str">
        <f t="shared" si="26"/>
        <v>1F3C2 1F3FE ; fully-qualified # 🏂🏾 E1.0 snowboarder: medium-dark skin tone</v>
      </c>
      <c r="C281" t="str">
        <f t="shared" si="27"/>
        <v xml:space="preserve">1F3C2 1F3FE </v>
      </c>
      <c r="D281">
        <f t="shared" si="28"/>
        <v>12</v>
      </c>
      <c r="E281" t="str">
        <f t="shared" si="24"/>
        <v xml:space="preserve"> 🏂🏾 E1.0 snowboarder: medium-dark skin tone</v>
      </c>
      <c r="F281" t="b">
        <f t="shared" si="29"/>
        <v>1</v>
      </c>
      <c r="G281" t="str">
        <f t="shared" si="25"/>
        <v>1F3C2</v>
      </c>
      <c r="I281">
        <f>HEX2DEC(Table1[[#This Row],[utf8]])</f>
        <v>127938</v>
      </c>
      <c r="J281" t="str">
        <f>_xlfn.UNICHAR(HEX2DEC(Table1[[#This Row],[utf8]]))</f>
        <v>🏂</v>
      </c>
      <c r="K281" s="3" t="str" cm="1">
        <f t="array" ref="K281">"Case "&amp;wRandomLetter()&amp;wRandomLetter()&amp;I281&amp;":    UniConst = ChrW(" &amp; I281 &amp;")"</f>
        <v>Case QK127938:    UniConst = ChrW(127938)</v>
      </c>
    </row>
    <row r="282" spans="1:11" hidden="1">
      <c r="A282" t="s">
        <v>2138</v>
      </c>
      <c r="B282" t="str">
        <f t="shared" si="26"/>
        <v>1F3C2 1F3FF ; fully-qualified # 🏂🏿 E1.0 snowboarder: dark skin tone</v>
      </c>
      <c r="C282" t="str">
        <f t="shared" si="27"/>
        <v xml:space="preserve">1F3C2 1F3FF </v>
      </c>
      <c r="D282">
        <f t="shared" si="28"/>
        <v>12</v>
      </c>
      <c r="E282" t="str">
        <f t="shared" si="24"/>
        <v xml:space="preserve"> 🏂🏿 E1.0 snowboarder: dark skin tone</v>
      </c>
      <c r="F282" t="b">
        <f t="shared" si="29"/>
        <v>1</v>
      </c>
      <c r="G282" t="str">
        <f t="shared" si="25"/>
        <v>1F3C2</v>
      </c>
      <c r="I282">
        <f>HEX2DEC(Table1[[#This Row],[utf8]])</f>
        <v>127938</v>
      </c>
      <c r="J282" t="str">
        <f>_xlfn.UNICHAR(HEX2DEC(Table1[[#This Row],[utf8]]))</f>
        <v>🏂</v>
      </c>
      <c r="K282" s="3" t="str" cm="1">
        <f t="array" ref="K282">"Case "&amp;wRandomLetter()&amp;wRandomLetter()&amp;I282&amp;":    UniConst = ChrW(" &amp; I282 &amp;")"</f>
        <v>Case ae127938:    UniConst = ChrW(127938)</v>
      </c>
    </row>
    <row r="283" spans="1:11" hidden="1">
      <c r="A283" t="s">
        <v>2009</v>
      </c>
      <c r="B283" t="str">
        <f t="shared" si="26"/>
        <v>1F3C3 ; fully-qualified # 🏃 E0.6 person running</v>
      </c>
      <c r="C283" t="str">
        <f t="shared" si="27"/>
        <v xml:space="preserve">1F3C3 </v>
      </c>
      <c r="D283">
        <f t="shared" si="28"/>
        <v>6</v>
      </c>
      <c r="E283" t="str">
        <f t="shared" si="24"/>
        <v xml:space="preserve"> 🏃 E0.6 person running</v>
      </c>
      <c r="F283" t="b">
        <f t="shared" si="29"/>
        <v>1</v>
      </c>
      <c r="G283" t="str">
        <f t="shared" si="25"/>
        <v>1F3C3</v>
      </c>
      <c r="I283">
        <f>HEX2DEC(Table1[[#This Row],[utf8]])</f>
        <v>127939</v>
      </c>
      <c r="J283" t="str">
        <f>_xlfn.UNICHAR(HEX2DEC(Table1[[#This Row],[utf8]]))</f>
        <v>🏃</v>
      </c>
      <c r="K283" s="3" t="str" cm="1">
        <f t="array" ref="K283">"Case "&amp;wRandomLetter()&amp;wRandomLetter()&amp;I283&amp;":    UniConst = ChrW(" &amp; I283 &amp;")"</f>
        <v>Case hE127939:    UniConst = ChrW(127939)</v>
      </c>
    </row>
    <row r="284" spans="1:11" hidden="1">
      <c r="A284" t="s">
        <v>2010</v>
      </c>
      <c r="B284" t="str">
        <f t="shared" si="26"/>
        <v>1F3C3 1F3FB ; fully-qualified # 🏃🏻 E1.0 person running: light skin tone</v>
      </c>
      <c r="C284" t="str">
        <f t="shared" si="27"/>
        <v xml:space="preserve">1F3C3 1F3FB </v>
      </c>
      <c r="D284">
        <f t="shared" si="28"/>
        <v>12</v>
      </c>
      <c r="E284" t="str">
        <f t="shared" si="24"/>
        <v xml:space="preserve"> 🏃🏻 E1.0 person running: light skin tone</v>
      </c>
      <c r="F284" t="b">
        <f t="shared" si="29"/>
        <v>1</v>
      </c>
      <c r="G284" t="str">
        <f t="shared" si="25"/>
        <v>1F3C3</v>
      </c>
      <c r="I284">
        <f>HEX2DEC(Table1[[#This Row],[utf8]])</f>
        <v>127939</v>
      </c>
      <c r="J284" t="str">
        <f>_xlfn.UNICHAR(HEX2DEC(Table1[[#This Row],[utf8]]))</f>
        <v>🏃</v>
      </c>
      <c r="K284" s="3" t="str" cm="1">
        <f t="array" ref="K284">"Case "&amp;wRandomLetter()&amp;wRandomLetter()&amp;I284&amp;":    UniConst = ChrW(" &amp; I284 &amp;")"</f>
        <v>Case LG127939:    UniConst = ChrW(127939)</v>
      </c>
    </row>
    <row r="285" spans="1:11" hidden="1">
      <c r="A285" t="s">
        <v>2030</v>
      </c>
      <c r="B285" t="str">
        <f t="shared" si="26"/>
        <v>1F3C3 1F3FB 200D 2640 ; minimally-qualified # 🏃🏻‍♀ E4.0 woman running: light skin tone</v>
      </c>
      <c r="C285" t="str">
        <f t="shared" si="27"/>
        <v xml:space="preserve">1F3C3 1F3FB 200D 2640 </v>
      </c>
      <c r="D285">
        <f t="shared" si="28"/>
        <v>22</v>
      </c>
      <c r="E285" t="str">
        <f t="shared" si="24"/>
        <v xml:space="preserve"> 🏃🏻‍♀ E4.0 woman running: light skin tone</v>
      </c>
      <c r="F285" t="b">
        <f t="shared" si="29"/>
        <v>1</v>
      </c>
      <c r="G285" t="str">
        <f t="shared" si="25"/>
        <v>1F3C3</v>
      </c>
      <c r="I285">
        <f>HEX2DEC(Table1[[#This Row],[utf8]])</f>
        <v>127939</v>
      </c>
      <c r="J285" t="str">
        <f>_xlfn.UNICHAR(HEX2DEC(Table1[[#This Row],[utf8]]))</f>
        <v>🏃</v>
      </c>
      <c r="K285" s="3" t="str" cm="1">
        <f t="array" ref="K285">"Case "&amp;wRandomLetter()&amp;wRandomLetter()&amp;I285&amp;":    UniConst = ChrW(" &amp; I285 &amp;")"</f>
        <v>Case hL127939:    UniConst = ChrW(127939)</v>
      </c>
    </row>
    <row r="286" spans="1:11" hidden="1">
      <c r="A286" t="s">
        <v>2029</v>
      </c>
      <c r="B286" t="str">
        <f t="shared" si="26"/>
        <v>1F3C3 1F3FB 200D 2640 FE0F ; fully-qualified # 🏃🏻‍♀️ E4.0 woman running: light skin tone</v>
      </c>
      <c r="C286" t="str">
        <f t="shared" si="27"/>
        <v xml:space="preserve">1F3C3 1F3FB 200D 2640 FE0F </v>
      </c>
      <c r="D286">
        <f t="shared" si="28"/>
        <v>27</v>
      </c>
      <c r="E286" t="str">
        <f t="shared" si="24"/>
        <v xml:space="preserve"> 🏃🏻‍♀️ E4.0 woman running: light skin tone</v>
      </c>
      <c r="F286" t="b">
        <f t="shared" si="29"/>
        <v>1</v>
      </c>
      <c r="G286" t="str">
        <f t="shared" si="25"/>
        <v>1F3C3</v>
      </c>
      <c r="I286">
        <f>HEX2DEC(Table1[[#This Row],[utf8]])</f>
        <v>127939</v>
      </c>
      <c r="J286" t="str">
        <f>_xlfn.UNICHAR(HEX2DEC(Table1[[#This Row],[utf8]]))</f>
        <v>🏃</v>
      </c>
      <c r="K286" s="3" t="str" cm="1">
        <f t="array" ref="K286">"Case "&amp;wRandomLetter()&amp;wRandomLetter()&amp;I286&amp;":    UniConst = ChrW(" &amp; I286 &amp;")"</f>
        <v>Case ev127939:    UniConst = ChrW(127939)</v>
      </c>
    </row>
    <row r="287" spans="1:11" hidden="1">
      <c r="A287" t="s">
        <v>2018</v>
      </c>
      <c r="B287" t="str">
        <f t="shared" si="26"/>
        <v>1F3C3 1F3FB 200D 2642 ; minimally-qualified # 🏃🏻‍♂ E4.0 man running: light skin tone</v>
      </c>
      <c r="C287" t="str">
        <f t="shared" si="27"/>
        <v xml:space="preserve">1F3C3 1F3FB 200D 2642 </v>
      </c>
      <c r="D287">
        <f t="shared" si="28"/>
        <v>22</v>
      </c>
      <c r="E287" t="str">
        <f t="shared" si="24"/>
        <v xml:space="preserve"> 🏃🏻‍♂ E4.0 man running: light skin tone</v>
      </c>
      <c r="F287" t="b">
        <f t="shared" si="29"/>
        <v>1</v>
      </c>
      <c r="G287" t="str">
        <f t="shared" si="25"/>
        <v>1F3C3</v>
      </c>
      <c r="I287">
        <f>HEX2DEC(Table1[[#This Row],[utf8]])</f>
        <v>127939</v>
      </c>
      <c r="J287" t="str">
        <f>_xlfn.UNICHAR(HEX2DEC(Table1[[#This Row],[utf8]]))</f>
        <v>🏃</v>
      </c>
      <c r="K287" s="3" t="str" cm="1">
        <f t="array" ref="K287">"Case "&amp;wRandomLetter()&amp;wRandomLetter()&amp;I287&amp;":    UniConst = ChrW(" &amp; I287 &amp;")"</f>
        <v>Case nZ127939:    UniConst = ChrW(127939)</v>
      </c>
    </row>
    <row r="288" spans="1:11" hidden="1">
      <c r="A288" t="s">
        <v>2017</v>
      </c>
      <c r="B288" t="str">
        <f t="shared" si="26"/>
        <v>1F3C3 1F3FB 200D 2642 FE0F ; fully-qualified # 🏃🏻‍♂️ E4.0 man running: light skin tone</v>
      </c>
      <c r="C288" t="str">
        <f t="shared" si="27"/>
        <v xml:space="preserve">1F3C3 1F3FB 200D 2642 FE0F </v>
      </c>
      <c r="D288">
        <f t="shared" si="28"/>
        <v>27</v>
      </c>
      <c r="E288" t="str">
        <f t="shared" si="24"/>
        <v xml:space="preserve"> 🏃🏻‍♂️ E4.0 man running: light skin tone</v>
      </c>
      <c r="F288" t="b">
        <f t="shared" si="29"/>
        <v>1</v>
      </c>
      <c r="G288" t="str">
        <f t="shared" si="25"/>
        <v>1F3C3</v>
      </c>
      <c r="I288">
        <f>HEX2DEC(Table1[[#This Row],[utf8]])</f>
        <v>127939</v>
      </c>
      <c r="J288" t="str">
        <f>_xlfn.UNICHAR(HEX2DEC(Table1[[#This Row],[utf8]]))</f>
        <v>🏃</v>
      </c>
      <c r="K288" s="3" t="str" cm="1">
        <f t="array" ref="K288">"Case "&amp;wRandomLetter()&amp;wRandomLetter()&amp;I288&amp;":    UniConst = ChrW(" &amp; I288 &amp;")"</f>
        <v>Case ka127939:    UniConst = ChrW(127939)</v>
      </c>
    </row>
    <row r="289" spans="1:11" hidden="1">
      <c r="A289" t="s">
        <v>2011</v>
      </c>
      <c r="B289" t="str">
        <f t="shared" si="26"/>
        <v>1F3C3 1F3FC ; fully-qualified # 🏃🏼 E1.0 person running: medium-light skin tone</v>
      </c>
      <c r="C289" t="str">
        <f t="shared" si="27"/>
        <v xml:space="preserve">1F3C3 1F3FC </v>
      </c>
      <c r="D289">
        <f t="shared" si="28"/>
        <v>12</v>
      </c>
      <c r="E289" t="str">
        <f t="shared" si="24"/>
        <v xml:space="preserve"> 🏃🏼 E1.0 person running: medium-light skin tone</v>
      </c>
      <c r="F289" t="b">
        <f t="shared" si="29"/>
        <v>1</v>
      </c>
      <c r="G289" t="str">
        <f t="shared" si="25"/>
        <v>1F3C3</v>
      </c>
      <c r="I289">
        <f>HEX2DEC(Table1[[#This Row],[utf8]])</f>
        <v>127939</v>
      </c>
      <c r="J289" t="str">
        <f>_xlfn.UNICHAR(HEX2DEC(Table1[[#This Row],[utf8]]))</f>
        <v>🏃</v>
      </c>
      <c r="K289" s="3" t="str" cm="1">
        <f t="array" ref="K289">"Case "&amp;wRandomLetter()&amp;wRandomLetter()&amp;I289&amp;":    UniConst = ChrW(" &amp; I289 &amp;")"</f>
        <v>Case Kk127939:    UniConst = ChrW(127939)</v>
      </c>
    </row>
    <row r="290" spans="1:11" hidden="1">
      <c r="A290" t="s">
        <v>2032</v>
      </c>
      <c r="B290" t="str">
        <f t="shared" si="26"/>
        <v>1F3C3 1F3FC 200D 2640 ; minimally-qualified # 🏃🏼‍♀ E4.0 woman running: medium-light skin tone</v>
      </c>
      <c r="C290" t="str">
        <f t="shared" si="27"/>
        <v xml:space="preserve">1F3C3 1F3FC 200D 2640 </v>
      </c>
      <c r="D290">
        <f t="shared" si="28"/>
        <v>22</v>
      </c>
      <c r="E290" t="str">
        <f t="shared" si="24"/>
        <v xml:space="preserve"> 🏃🏼‍♀ E4.0 woman running: medium-light skin tone</v>
      </c>
      <c r="F290" t="b">
        <f t="shared" si="29"/>
        <v>1</v>
      </c>
      <c r="G290" t="str">
        <f t="shared" si="25"/>
        <v>1F3C3</v>
      </c>
      <c r="I290">
        <f>HEX2DEC(Table1[[#This Row],[utf8]])</f>
        <v>127939</v>
      </c>
      <c r="J290" t="str">
        <f>_xlfn.UNICHAR(HEX2DEC(Table1[[#This Row],[utf8]]))</f>
        <v>🏃</v>
      </c>
      <c r="K290" s="3" t="str" cm="1">
        <f t="array" ref="K290">"Case "&amp;wRandomLetter()&amp;wRandomLetter()&amp;I290&amp;":    UniConst = ChrW(" &amp; I290 &amp;")"</f>
        <v>Case at127939:    UniConst = ChrW(127939)</v>
      </c>
    </row>
    <row r="291" spans="1:11" hidden="1">
      <c r="A291" t="s">
        <v>2031</v>
      </c>
      <c r="B291" t="str">
        <f t="shared" si="26"/>
        <v>1F3C3 1F3FC 200D 2640 FE0F ; fully-qualified # 🏃🏼‍♀️ E4.0 woman running: medium-light skin tone</v>
      </c>
      <c r="C291" t="str">
        <f t="shared" si="27"/>
        <v xml:space="preserve">1F3C3 1F3FC 200D 2640 FE0F </v>
      </c>
      <c r="D291">
        <f t="shared" si="28"/>
        <v>27</v>
      </c>
      <c r="E291" t="str">
        <f t="shared" si="24"/>
        <v xml:space="preserve"> 🏃🏼‍♀️ E4.0 woman running: medium-light skin tone</v>
      </c>
      <c r="F291" t="b">
        <f t="shared" si="29"/>
        <v>1</v>
      </c>
      <c r="G291" t="str">
        <f t="shared" si="25"/>
        <v>1F3C3</v>
      </c>
      <c r="I291">
        <f>HEX2DEC(Table1[[#This Row],[utf8]])</f>
        <v>127939</v>
      </c>
      <c r="J291" t="str">
        <f>_xlfn.UNICHAR(HEX2DEC(Table1[[#This Row],[utf8]]))</f>
        <v>🏃</v>
      </c>
      <c r="K291" s="3" t="str" cm="1">
        <f t="array" ref="K291">"Case "&amp;wRandomLetter()&amp;wRandomLetter()&amp;I291&amp;":    UniConst = ChrW(" &amp; I291 &amp;")"</f>
        <v>Case QI127939:    UniConst = ChrW(127939)</v>
      </c>
    </row>
    <row r="292" spans="1:11" hidden="1">
      <c r="A292" t="s">
        <v>2020</v>
      </c>
      <c r="B292" t="str">
        <f t="shared" si="26"/>
        <v>1F3C3 1F3FC 200D 2642 ; minimally-qualified # 🏃🏼‍♂ E4.0 man running: medium-light skin tone</v>
      </c>
      <c r="C292" t="str">
        <f t="shared" si="27"/>
        <v xml:space="preserve">1F3C3 1F3FC 200D 2642 </v>
      </c>
      <c r="D292">
        <f t="shared" si="28"/>
        <v>22</v>
      </c>
      <c r="E292" t="str">
        <f t="shared" si="24"/>
        <v xml:space="preserve"> 🏃🏼‍♂ E4.0 man running: medium-light skin tone</v>
      </c>
      <c r="F292" t="b">
        <f t="shared" si="29"/>
        <v>1</v>
      </c>
      <c r="G292" t="str">
        <f t="shared" si="25"/>
        <v>1F3C3</v>
      </c>
      <c r="I292">
        <f>HEX2DEC(Table1[[#This Row],[utf8]])</f>
        <v>127939</v>
      </c>
      <c r="J292" t="str">
        <f>_xlfn.UNICHAR(HEX2DEC(Table1[[#This Row],[utf8]]))</f>
        <v>🏃</v>
      </c>
      <c r="K292" s="3" t="str" cm="1">
        <f t="array" ref="K292">"Case "&amp;wRandomLetter()&amp;wRandomLetter()&amp;I292&amp;":    UniConst = ChrW(" &amp; I292 &amp;")"</f>
        <v>Case Ut127939:    UniConst = ChrW(127939)</v>
      </c>
    </row>
    <row r="293" spans="1:11" hidden="1">
      <c r="A293" t="s">
        <v>2019</v>
      </c>
      <c r="B293" t="str">
        <f t="shared" si="26"/>
        <v>1F3C3 1F3FC 200D 2642 FE0F ; fully-qualified # 🏃🏼‍♂️ E4.0 man running: medium-light skin tone</v>
      </c>
      <c r="C293" t="str">
        <f t="shared" si="27"/>
        <v xml:space="preserve">1F3C3 1F3FC 200D 2642 FE0F </v>
      </c>
      <c r="D293">
        <f t="shared" si="28"/>
        <v>27</v>
      </c>
      <c r="E293" t="str">
        <f t="shared" si="24"/>
        <v xml:space="preserve"> 🏃🏼‍♂️ E4.0 man running: medium-light skin tone</v>
      </c>
      <c r="F293" t="b">
        <f t="shared" si="29"/>
        <v>1</v>
      </c>
      <c r="G293" t="str">
        <f t="shared" si="25"/>
        <v>1F3C3</v>
      </c>
      <c r="I293">
        <f>HEX2DEC(Table1[[#This Row],[utf8]])</f>
        <v>127939</v>
      </c>
      <c r="J293" t="str">
        <f>_xlfn.UNICHAR(HEX2DEC(Table1[[#This Row],[utf8]]))</f>
        <v>🏃</v>
      </c>
      <c r="K293" s="3" t="str" cm="1">
        <f t="array" ref="K293">"Case "&amp;wRandomLetter()&amp;wRandomLetter()&amp;I293&amp;":    UniConst = ChrW(" &amp; I293 &amp;")"</f>
        <v>Case tI127939:    UniConst = ChrW(127939)</v>
      </c>
    </row>
    <row r="294" spans="1:11" hidden="1">
      <c r="A294" t="s">
        <v>2012</v>
      </c>
      <c r="B294" t="str">
        <f t="shared" si="26"/>
        <v>1F3C3 1F3FD ; fully-qualified # 🏃🏽 E1.0 person running: medium skin tone</v>
      </c>
      <c r="C294" t="str">
        <f t="shared" si="27"/>
        <v xml:space="preserve">1F3C3 1F3FD </v>
      </c>
      <c r="D294">
        <f t="shared" si="28"/>
        <v>12</v>
      </c>
      <c r="E294" t="str">
        <f t="shared" si="24"/>
        <v xml:space="preserve"> 🏃🏽 E1.0 person running: medium skin tone</v>
      </c>
      <c r="F294" t="b">
        <f t="shared" si="29"/>
        <v>1</v>
      </c>
      <c r="G294" t="str">
        <f t="shared" si="25"/>
        <v>1F3C3</v>
      </c>
      <c r="I294">
        <f>HEX2DEC(Table1[[#This Row],[utf8]])</f>
        <v>127939</v>
      </c>
      <c r="J294" t="str">
        <f>_xlfn.UNICHAR(HEX2DEC(Table1[[#This Row],[utf8]]))</f>
        <v>🏃</v>
      </c>
      <c r="K294" s="3" t="str" cm="1">
        <f t="array" ref="K294">"Case "&amp;wRandomLetter()&amp;wRandomLetter()&amp;I294&amp;":    UniConst = ChrW(" &amp; I294 &amp;")"</f>
        <v>Case ZM127939:    UniConst = ChrW(127939)</v>
      </c>
    </row>
    <row r="295" spans="1:11" hidden="1">
      <c r="A295" t="s">
        <v>2034</v>
      </c>
      <c r="B295" t="str">
        <f t="shared" si="26"/>
        <v>1F3C3 1F3FD 200D 2640 ; minimally-qualified # 🏃🏽‍♀ E4.0 woman running: medium skin tone</v>
      </c>
      <c r="C295" t="str">
        <f t="shared" si="27"/>
        <v xml:space="preserve">1F3C3 1F3FD 200D 2640 </v>
      </c>
      <c r="D295">
        <f t="shared" si="28"/>
        <v>22</v>
      </c>
      <c r="E295" t="str">
        <f t="shared" si="24"/>
        <v xml:space="preserve"> 🏃🏽‍♀ E4.0 woman running: medium skin tone</v>
      </c>
      <c r="F295" t="b">
        <f t="shared" si="29"/>
        <v>1</v>
      </c>
      <c r="G295" t="str">
        <f t="shared" si="25"/>
        <v>1F3C3</v>
      </c>
      <c r="I295">
        <f>HEX2DEC(Table1[[#This Row],[utf8]])</f>
        <v>127939</v>
      </c>
      <c r="J295" t="str">
        <f>_xlfn.UNICHAR(HEX2DEC(Table1[[#This Row],[utf8]]))</f>
        <v>🏃</v>
      </c>
      <c r="K295" s="3" t="str" cm="1">
        <f t="array" ref="K295">"Case "&amp;wRandomLetter()&amp;wRandomLetter()&amp;I295&amp;":    UniConst = ChrW(" &amp; I295 &amp;")"</f>
        <v>Case dh127939:    UniConst = ChrW(127939)</v>
      </c>
    </row>
    <row r="296" spans="1:11" hidden="1">
      <c r="A296" t="s">
        <v>2033</v>
      </c>
      <c r="B296" t="str">
        <f t="shared" si="26"/>
        <v>1F3C3 1F3FD 200D 2640 FE0F ; fully-qualified # 🏃🏽‍♀️ E4.0 woman running: medium skin tone</v>
      </c>
      <c r="C296" t="str">
        <f t="shared" si="27"/>
        <v xml:space="preserve">1F3C3 1F3FD 200D 2640 FE0F </v>
      </c>
      <c r="D296">
        <f t="shared" si="28"/>
        <v>27</v>
      </c>
      <c r="E296" t="str">
        <f t="shared" si="24"/>
        <v xml:space="preserve"> 🏃🏽‍♀️ E4.0 woman running: medium skin tone</v>
      </c>
      <c r="F296" t="b">
        <f t="shared" si="29"/>
        <v>1</v>
      </c>
      <c r="G296" t="str">
        <f t="shared" si="25"/>
        <v>1F3C3</v>
      </c>
      <c r="I296">
        <f>HEX2DEC(Table1[[#This Row],[utf8]])</f>
        <v>127939</v>
      </c>
      <c r="J296" t="str">
        <f>_xlfn.UNICHAR(HEX2DEC(Table1[[#This Row],[utf8]]))</f>
        <v>🏃</v>
      </c>
      <c r="K296" s="3" t="str" cm="1">
        <f t="array" ref="K296">"Case "&amp;wRandomLetter()&amp;wRandomLetter()&amp;I296&amp;":    UniConst = ChrW(" &amp; I296 &amp;")"</f>
        <v>Case Zy127939:    UniConst = ChrW(127939)</v>
      </c>
    </row>
    <row r="297" spans="1:11" hidden="1">
      <c r="A297" t="s">
        <v>2022</v>
      </c>
      <c r="B297" t="str">
        <f t="shared" si="26"/>
        <v>1F3C3 1F3FD 200D 2642 ; minimally-qualified # 🏃🏽‍♂ E4.0 man running: medium skin tone</v>
      </c>
      <c r="C297" t="str">
        <f t="shared" si="27"/>
        <v xml:space="preserve">1F3C3 1F3FD 200D 2642 </v>
      </c>
      <c r="D297">
        <f t="shared" si="28"/>
        <v>22</v>
      </c>
      <c r="E297" t="str">
        <f t="shared" si="24"/>
        <v xml:space="preserve"> 🏃🏽‍♂ E4.0 man running: medium skin tone</v>
      </c>
      <c r="F297" t="b">
        <f t="shared" si="29"/>
        <v>1</v>
      </c>
      <c r="G297" t="str">
        <f t="shared" si="25"/>
        <v>1F3C3</v>
      </c>
      <c r="I297">
        <f>HEX2DEC(Table1[[#This Row],[utf8]])</f>
        <v>127939</v>
      </c>
      <c r="J297" t="str">
        <f>_xlfn.UNICHAR(HEX2DEC(Table1[[#This Row],[utf8]]))</f>
        <v>🏃</v>
      </c>
      <c r="K297" s="3" t="str" cm="1">
        <f t="array" ref="K297">"Case "&amp;wRandomLetter()&amp;wRandomLetter()&amp;I297&amp;":    UniConst = ChrW(" &amp; I297 &amp;")"</f>
        <v>Case Hh127939:    UniConst = ChrW(127939)</v>
      </c>
    </row>
    <row r="298" spans="1:11" hidden="1">
      <c r="A298" t="s">
        <v>2021</v>
      </c>
      <c r="B298" t="str">
        <f t="shared" si="26"/>
        <v>1F3C3 1F3FD 200D 2642 FE0F ; fully-qualified # 🏃🏽‍♂️ E4.0 man running: medium skin tone</v>
      </c>
      <c r="C298" t="str">
        <f t="shared" si="27"/>
        <v xml:space="preserve">1F3C3 1F3FD 200D 2642 FE0F </v>
      </c>
      <c r="D298">
        <f t="shared" si="28"/>
        <v>27</v>
      </c>
      <c r="E298" t="str">
        <f t="shared" si="24"/>
        <v xml:space="preserve"> 🏃🏽‍♂️ E4.0 man running: medium skin tone</v>
      </c>
      <c r="F298" t="b">
        <f t="shared" si="29"/>
        <v>1</v>
      </c>
      <c r="G298" t="str">
        <f t="shared" si="25"/>
        <v>1F3C3</v>
      </c>
      <c r="I298">
        <f>HEX2DEC(Table1[[#This Row],[utf8]])</f>
        <v>127939</v>
      </c>
      <c r="J298" t="str">
        <f>_xlfn.UNICHAR(HEX2DEC(Table1[[#This Row],[utf8]]))</f>
        <v>🏃</v>
      </c>
      <c r="K298" s="3" t="str" cm="1">
        <f t="array" ref="K298">"Case "&amp;wRandomLetter()&amp;wRandomLetter()&amp;I298&amp;":    UniConst = ChrW(" &amp; I298 &amp;")"</f>
        <v>Case zY127939:    UniConst = ChrW(127939)</v>
      </c>
    </row>
    <row r="299" spans="1:11" hidden="1">
      <c r="A299" t="s">
        <v>2013</v>
      </c>
      <c r="B299" t="str">
        <f t="shared" si="26"/>
        <v>1F3C3 1F3FE ; fully-qualified # 🏃🏾 E1.0 person running: medium-dark skin tone</v>
      </c>
      <c r="C299" t="str">
        <f t="shared" si="27"/>
        <v xml:space="preserve">1F3C3 1F3FE </v>
      </c>
      <c r="D299">
        <f t="shared" si="28"/>
        <v>12</v>
      </c>
      <c r="E299" t="str">
        <f t="shared" si="24"/>
        <v xml:space="preserve"> 🏃🏾 E1.0 person running: medium-dark skin tone</v>
      </c>
      <c r="F299" t="b">
        <f t="shared" si="29"/>
        <v>1</v>
      </c>
      <c r="G299" t="str">
        <f t="shared" si="25"/>
        <v>1F3C3</v>
      </c>
      <c r="I299">
        <f>HEX2DEC(Table1[[#This Row],[utf8]])</f>
        <v>127939</v>
      </c>
      <c r="J299" t="str">
        <f>_xlfn.UNICHAR(HEX2DEC(Table1[[#This Row],[utf8]]))</f>
        <v>🏃</v>
      </c>
      <c r="K299" s="3" t="str" cm="1">
        <f t="array" ref="K299">"Case "&amp;wRandomLetter()&amp;wRandomLetter()&amp;I299&amp;":    UniConst = ChrW(" &amp; I299 &amp;")"</f>
        <v>Case NJ127939:    UniConst = ChrW(127939)</v>
      </c>
    </row>
    <row r="300" spans="1:11" hidden="1">
      <c r="A300" t="s">
        <v>2036</v>
      </c>
      <c r="B300" t="str">
        <f t="shared" si="26"/>
        <v>1F3C3 1F3FE 200D 2640 ; minimally-qualified # 🏃🏾‍♀ E4.0 woman running: medium-dark skin tone</v>
      </c>
      <c r="C300" t="str">
        <f t="shared" si="27"/>
        <v xml:space="preserve">1F3C3 1F3FE 200D 2640 </v>
      </c>
      <c r="D300">
        <f t="shared" si="28"/>
        <v>22</v>
      </c>
      <c r="E300" t="str">
        <f t="shared" si="24"/>
        <v xml:space="preserve"> 🏃🏾‍♀ E4.0 woman running: medium-dark skin tone</v>
      </c>
      <c r="F300" t="b">
        <f t="shared" si="29"/>
        <v>1</v>
      </c>
      <c r="G300" t="str">
        <f t="shared" si="25"/>
        <v>1F3C3</v>
      </c>
      <c r="I300">
        <f>HEX2DEC(Table1[[#This Row],[utf8]])</f>
        <v>127939</v>
      </c>
      <c r="J300" t="str">
        <f>_xlfn.UNICHAR(HEX2DEC(Table1[[#This Row],[utf8]]))</f>
        <v>🏃</v>
      </c>
      <c r="K300" s="3" t="str" cm="1">
        <f t="array" ref="K300">"Case "&amp;wRandomLetter()&amp;wRandomLetter()&amp;I300&amp;":    UniConst = ChrW(" &amp; I300 &amp;")"</f>
        <v>Case bm127939:    UniConst = ChrW(127939)</v>
      </c>
    </row>
    <row r="301" spans="1:11" hidden="1">
      <c r="A301" t="s">
        <v>2035</v>
      </c>
      <c r="B301" t="str">
        <f t="shared" si="26"/>
        <v>1F3C3 1F3FE 200D 2640 FE0F ; fully-qualified # 🏃🏾‍♀️ E4.0 woman running: medium-dark skin tone</v>
      </c>
      <c r="C301" t="str">
        <f t="shared" si="27"/>
        <v xml:space="preserve">1F3C3 1F3FE 200D 2640 FE0F </v>
      </c>
      <c r="D301">
        <f t="shared" si="28"/>
        <v>27</v>
      </c>
      <c r="E301" t="str">
        <f t="shared" si="24"/>
        <v xml:space="preserve"> 🏃🏾‍♀️ E4.0 woman running: medium-dark skin tone</v>
      </c>
      <c r="F301" t="b">
        <f t="shared" si="29"/>
        <v>1</v>
      </c>
      <c r="G301" t="str">
        <f t="shared" si="25"/>
        <v>1F3C3</v>
      </c>
      <c r="I301">
        <f>HEX2DEC(Table1[[#This Row],[utf8]])</f>
        <v>127939</v>
      </c>
      <c r="J301" t="str">
        <f>_xlfn.UNICHAR(HEX2DEC(Table1[[#This Row],[utf8]]))</f>
        <v>🏃</v>
      </c>
      <c r="K301" s="3" t="str" cm="1">
        <f t="array" ref="K301">"Case "&amp;wRandomLetter()&amp;wRandomLetter()&amp;I301&amp;":    UniConst = ChrW(" &amp; I301 &amp;")"</f>
        <v>Case XD127939:    UniConst = ChrW(127939)</v>
      </c>
    </row>
    <row r="302" spans="1:11" hidden="1">
      <c r="A302" t="s">
        <v>2024</v>
      </c>
      <c r="B302" t="str">
        <f t="shared" si="26"/>
        <v>1F3C3 1F3FE 200D 2642 ; minimally-qualified # 🏃🏾‍♂ E4.0 man running: medium-dark skin tone</v>
      </c>
      <c r="C302" t="str">
        <f t="shared" si="27"/>
        <v xml:space="preserve">1F3C3 1F3FE 200D 2642 </v>
      </c>
      <c r="D302">
        <f t="shared" si="28"/>
        <v>22</v>
      </c>
      <c r="E302" t="str">
        <f t="shared" si="24"/>
        <v xml:space="preserve"> 🏃🏾‍♂ E4.0 man running: medium-dark skin tone</v>
      </c>
      <c r="F302" t="b">
        <f t="shared" si="29"/>
        <v>1</v>
      </c>
      <c r="G302" t="str">
        <f t="shared" si="25"/>
        <v>1F3C3</v>
      </c>
      <c r="I302">
        <f>HEX2DEC(Table1[[#This Row],[utf8]])</f>
        <v>127939</v>
      </c>
      <c r="J302" t="str">
        <f>_xlfn.UNICHAR(HEX2DEC(Table1[[#This Row],[utf8]]))</f>
        <v>🏃</v>
      </c>
      <c r="K302" s="3" t="str" cm="1">
        <f t="array" ref="K302">"Case "&amp;wRandomLetter()&amp;wRandomLetter()&amp;I302&amp;":    UniConst = ChrW(" &amp; I302 &amp;")"</f>
        <v>Case DH127939:    UniConst = ChrW(127939)</v>
      </c>
    </row>
    <row r="303" spans="1:11" hidden="1">
      <c r="A303" t="s">
        <v>2023</v>
      </c>
      <c r="B303" t="str">
        <f t="shared" si="26"/>
        <v>1F3C3 1F3FE 200D 2642 FE0F ; fully-qualified # 🏃🏾‍♂️ E4.0 man running: medium-dark skin tone</v>
      </c>
      <c r="C303" t="str">
        <f t="shared" si="27"/>
        <v xml:space="preserve">1F3C3 1F3FE 200D 2642 FE0F </v>
      </c>
      <c r="D303">
        <f t="shared" si="28"/>
        <v>27</v>
      </c>
      <c r="E303" t="str">
        <f t="shared" si="24"/>
        <v xml:space="preserve"> 🏃🏾‍♂️ E4.0 man running: medium-dark skin tone</v>
      </c>
      <c r="F303" t="b">
        <f t="shared" si="29"/>
        <v>1</v>
      </c>
      <c r="G303" t="str">
        <f t="shared" si="25"/>
        <v>1F3C3</v>
      </c>
      <c r="I303">
        <f>HEX2DEC(Table1[[#This Row],[utf8]])</f>
        <v>127939</v>
      </c>
      <c r="J303" t="str">
        <f>_xlfn.UNICHAR(HEX2DEC(Table1[[#This Row],[utf8]]))</f>
        <v>🏃</v>
      </c>
      <c r="K303" s="3" t="str" cm="1">
        <f t="array" ref="K303">"Case "&amp;wRandomLetter()&amp;wRandomLetter()&amp;I303&amp;":    UniConst = ChrW(" &amp; I303 &amp;")"</f>
        <v>Case qN127939:    UniConst = ChrW(127939)</v>
      </c>
    </row>
    <row r="304" spans="1:11" hidden="1">
      <c r="A304" t="s">
        <v>2014</v>
      </c>
      <c r="B304" t="str">
        <f t="shared" si="26"/>
        <v>1F3C3 1F3FF ; fully-qualified # 🏃🏿 E1.0 person running: dark skin tone</v>
      </c>
      <c r="C304" t="str">
        <f t="shared" si="27"/>
        <v xml:space="preserve">1F3C3 1F3FF </v>
      </c>
      <c r="D304">
        <f t="shared" si="28"/>
        <v>12</v>
      </c>
      <c r="E304" t="str">
        <f t="shared" si="24"/>
        <v xml:space="preserve"> 🏃🏿 E1.0 person running: dark skin tone</v>
      </c>
      <c r="F304" t="b">
        <f t="shared" si="29"/>
        <v>1</v>
      </c>
      <c r="G304" t="str">
        <f t="shared" si="25"/>
        <v>1F3C3</v>
      </c>
      <c r="I304">
        <f>HEX2DEC(Table1[[#This Row],[utf8]])</f>
        <v>127939</v>
      </c>
      <c r="J304" t="str">
        <f>_xlfn.UNICHAR(HEX2DEC(Table1[[#This Row],[utf8]]))</f>
        <v>🏃</v>
      </c>
      <c r="K304" s="3" t="str" cm="1">
        <f t="array" ref="K304">"Case "&amp;wRandomLetter()&amp;wRandomLetter()&amp;I304&amp;":    UniConst = ChrW(" &amp; I304 &amp;")"</f>
        <v>Case qN127939:    UniConst = ChrW(127939)</v>
      </c>
    </row>
    <row r="305" spans="1:11" hidden="1">
      <c r="A305" t="s">
        <v>2038</v>
      </c>
      <c r="B305" t="str">
        <f t="shared" si="26"/>
        <v>1F3C3 1F3FF 200D 2640 ; minimally-qualified # 🏃🏿‍♀ E4.0 woman running: dark skin tone</v>
      </c>
      <c r="C305" t="str">
        <f t="shared" si="27"/>
        <v xml:space="preserve">1F3C3 1F3FF 200D 2640 </v>
      </c>
      <c r="D305">
        <f t="shared" si="28"/>
        <v>22</v>
      </c>
      <c r="E305" t="str">
        <f t="shared" si="24"/>
        <v xml:space="preserve"> 🏃🏿‍♀ E4.0 woman running: dark skin tone</v>
      </c>
      <c r="F305" t="b">
        <f t="shared" si="29"/>
        <v>1</v>
      </c>
      <c r="G305" t="str">
        <f t="shared" si="25"/>
        <v>1F3C3</v>
      </c>
      <c r="I305">
        <f>HEX2DEC(Table1[[#This Row],[utf8]])</f>
        <v>127939</v>
      </c>
      <c r="J305" t="str">
        <f>_xlfn.UNICHAR(HEX2DEC(Table1[[#This Row],[utf8]]))</f>
        <v>🏃</v>
      </c>
      <c r="K305" s="3" t="str" cm="1">
        <f t="array" ref="K305">"Case "&amp;wRandomLetter()&amp;wRandomLetter()&amp;I305&amp;":    UniConst = ChrW(" &amp; I305 &amp;")"</f>
        <v>Case UZ127939:    UniConst = ChrW(127939)</v>
      </c>
    </row>
    <row r="306" spans="1:11" hidden="1">
      <c r="A306" t="s">
        <v>2037</v>
      </c>
      <c r="B306" t="str">
        <f t="shared" si="26"/>
        <v>1F3C3 1F3FF 200D 2640 FE0F ; fully-qualified # 🏃🏿‍♀️ E4.0 woman running: dark skin tone</v>
      </c>
      <c r="C306" t="str">
        <f t="shared" si="27"/>
        <v xml:space="preserve">1F3C3 1F3FF 200D 2640 FE0F </v>
      </c>
      <c r="D306">
        <f t="shared" si="28"/>
        <v>27</v>
      </c>
      <c r="E306" t="str">
        <f t="shared" si="24"/>
        <v xml:space="preserve"> 🏃🏿‍♀️ E4.0 woman running: dark skin tone</v>
      </c>
      <c r="F306" t="b">
        <f t="shared" si="29"/>
        <v>1</v>
      </c>
      <c r="G306" t="str">
        <f t="shared" si="25"/>
        <v>1F3C3</v>
      </c>
      <c r="I306">
        <f>HEX2DEC(Table1[[#This Row],[utf8]])</f>
        <v>127939</v>
      </c>
      <c r="J306" t="str">
        <f>_xlfn.UNICHAR(HEX2DEC(Table1[[#This Row],[utf8]]))</f>
        <v>🏃</v>
      </c>
      <c r="K306" s="3" t="str" cm="1">
        <f t="array" ref="K306">"Case "&amp;wRandomLetter()&amp;wRandomLetter()&amp;I306&amp;":    UniConst = ChrW(" &amp; I306 &amp;")"</f>
        <v>Case ts127939:    UniConst = ChrW(127939)</v>
      </c>
    </row>
    <row r="307" spans="1:11" hidden="1">
      <c r="A307" t="s">
        <v>2026</v>
      </c>
      <c r="B307" t="str">
        <f t="shared" si="26"/>
        <v>1F3C3 1F3FF 200D 2642 ; minimally-qualified # 🏃🏿‍♂ E4.0 man running: dark skin tone</v>
      </c>
      <c r="C307" t="str">
        <f t="shared" si="27"/>
        <v xml:space="preserve">1F3C3 1F3FF 200D 2642 </v>
      </c>
      <c r="D307">
        <f t="shared" si="28"/>
        <v>22</v>
      </c>
      <c r="E307" t="str">
        <f t="shared" si="24"/>
        <v xml:space="preserve"> 🏃🏿‍♂ E4.0 man running: dark skin tone</v>
      </c>
      <c r="F307" t="b">
        <f t="shared" si="29"/>
        <v>1</v>
      </c>
      <c r="G307" t="str">
        <f t="shared" si="25"/>
        <v>1F3C3</v>
      </c>
      <c r="I307">
        <f>HEX2DEC(Table1[[#This Row],[utf8]])</f>
        <v>127939</v>
      </c>
      <c r="J307" t="str">
        <f>_xlfn.UNICHAR(HEX2DEC(Table1[[#This Row],[utf8]]))</f>
        <v>🏃</v>
      </c>
      <c r="K307" s="3" t="str" cm="1">
        <f t="array" ref="K307">"Case "&amp;wRandomLetter()&amp;wRandomLetter()&amp;I307&amp;":    UniConst = ChrW(" &amp; I307 &amp;")"</f>
        <v>Case oV127939:    UniConst = ChrW(127939)</v>
      </c>
    </row>
    <row r="308" spans="1:11" hidden="1">
      <c r="A308" t="s">
        <v>2025</v>
      </c>
      <c r="B308" t="str">
        <f t="shared" si="26"/>
        <v>1F3C3 1F3FF 200D 2642 FE0F ; fully-qualified # 🏃🏿‍♂️ E4.0 man running: dark skin tone</v>
      </c>
      <c r="C308" t="str">
        <f t="shared" si="27"/>
        <v xml:space="preserve">1F3C3 1F3FF 200D 2642 FE0F </v>
      </c>
      <c r="D308">
        <f t="shared" si="28"/>
        <v>27</v>
      </c>
      <c r="E308" t="str">
        <f t="shared" si="24"/>
        <v xml:space="preserve"> 🏃🏿‍♂️ E4.0 man running: dark skin tone</v>
      </c>
      <c r="F308" t="b">
        <f t="shared" si="29"/>
        <v>1</v>
      </c>
      <c r="G308" t="str">
        <f t="shared" si="25"/>
        <v>1F3C3</v>
      </c>
      <c r="I308">
        <f>HEX2DEC(Table1[[#This Row],[utf8]])</f>
        <v>127939</v>
      </c>
      <c r="J308" t="str">
        <f>_xlfn.UNICHAR(HEX2DEC(Table1[[#This Row],[utf8]]))</f>
        <v>🏃</v>
      </c>
      <c r="K308" s="3" t="str" cm="1">
        <f t="array" ref="K308">"Case "&amp;wRandomLetter()&amp;wRandomLetter()&amp;I308&amp;":    UniConst = ChrW(" &amp; I308 &amp;")"</f>
        <v>Case RG127939:    UniConst = ChrW(127939)</v>
      </c>
    </row>
    <row r="309" spans="1:11" hidden="1">
      <c r="A309" t="s">
        <v>2028</v>
      </c>
      <c r="B309" t="str">
        <f t="shared" si="26"/>
        <v>1F3C3 200D 2640 ; minimally-qualified # 🏃‍♀ E4.0 woman running</v>
      </c>
      <c r="C309" t="str">
        <f t="shared" si="27"/>
        <v xml:space="preserve">1F3C3 200D 2640 </v>
      </c>
      <c r="D309">
        <f t="shared" si="28"/>
        <v>16</v>
      </c>
      <c r="E309" t="str">
        <f t="shared" si="24"/>
        <v xml:space="preserve"> 🏃‍♀ E4.0 woman running</v>
      </c>
      <c r="F309" t="b">
        <f t="shared" si="29"/>
        <v>1</v>
      </c>
      <c r="G309" t="str">
        <f t="shared" si="25"/>
        <v>1F3C3</v>
      </c>
      <c r="I309">
        <f>HEX2DEC(Table1[[#This Row],[utf8]])</f>
        <v>127939</v>
      </c>
      <c r="J309" t="str">
        <f>_xlfn.UNICHAR(HEX2DEC(Table1[[#This Row],[utf8]]))</f>
        <v>🏃</v>
      </c>
      <c r="K309" s="3" t="str" cm="1">
        <f t="array" ref="K309">"Case "&amp;wRandomLetter()&amp;wRandomLetter()&amp;I309&amp;":    UniConst = ChrW(" &amp; I309 &amp;")"</f>
        <v>Case WG127939:    UniConst = ChrW(127939)</v>
      </c>
    </row>
    <row r="310" spans="1:11" hidden="1">
      <c r="A310" t="s">
        <v>2027</v>
      </c>
      <c r="B310" t="str">
        <f t="shared" si="26"/>
        <v>1F3C3 200D 2640 FE0F ; fully-qualified # 🏃‍♀️ E4.0 woman running</v>
      </c>
      <c r="C310" t="str">
        <f t="shared" si="27"/>
        <v xml:space="preserve">1F3C3 200D 2640 FE0F </v>
      </c>
      <c r="D310">
        <f t="shared" si="28"/>
        <v>21</v>
      </c>
      <c r="E310" t="str">
        <f t="shared" si="24"/>
        <v xml:space="preserve"> 🏃‍♀️ E4.0 woman running</v>
      </c>
      <c r="F310" t="b">
        <f t="shared" si="29"/>
        <v>1</v>
      </c>
      <c r="G310" t="str">
        <f t="shared" si="25"/>
        <v>1F3C3</v>
      </c>
      <c r="I310">
        <f>HEX2DEC(Table1[[#This Row],[utf8]])</f>
        <v>127939</v>
      </c>
      <c r="J310" t="str">
        <f>_xlfn.UNICHAR(HEX2DEC(Table1[[#This Row],[utf8]]))</f>
        <v>🏃</v>
      </c>
      <c r="K310" s="3" t="str" cm="1">
        <f t="array" ref="K310">"Case "&amp;wRandomLetter()&amp;wRandomLetter()&amp;I310&amp;":    UniConst = ChrW(" &amp; I310 &amp;")"</f>
        <v>Case VY127939:    UniConst = ChrW(127939)</v>
      </c>
    </row>
    <row r="311" spans="1:11" hidden="1">
      <c r="A311" t="s">
        <v>2016</v>
      </c>
      <c r="B311" t="str">
        <f t="shared" si="26"/>
        <v>1F3C3 200D 2642 ; minimally-qualified # 🏃‍♂ E4.0 man running</v>
      </c>
      <c r="C311" t="str">
        <f t="shared" si="27"/>
        <v xml:space="preserve">1F3C3 200D 2642 </v>
      </c>
      <c r="D311">
        <f t="shared" si="28"/>
        <v>16</v>
      </c>
      <c r="E311" t="str">
        <f t="shared" si="24"/>
        <v xml:space="preserve"> 🏃‍♂ E4.0 man running</v>
      </c>
      <c r="F311" t="b">
        <f t="shared" si="29"/>
        <v>1</v>
      </c>
      <c r="G311" t="str">
        <f t="shared" si="25"/>
        <v>1F3C3</v>
      </c>
      <c r="I311">
        <f>HEX2DEC(Table1[[#This Row],[utf8]])</f>
        <v>127939</v>
      </c>
      <c r="J311" t="str">
        <f>_xlfn.UNICHAR(HEX2DEC(Table1[[#This Row],[utf8]]))</f>
        <v>🏃</v>
      </c>
      <c r="K311" s="3" t="str" cm="1">
        <f t="array" ref="K311">"Case "&amp;wRandomLetter()&amp;wRandomLetter()&amp;I311&amp;":    UniConst = ChrW(" &amp; I311 &amp;")"</f>
        <v>Case sw127939:    UniConst = ChrW(127939)</v>
      </c>
    </row>
    <row r="312" spans="1:11" hidden="1">
      <c r="A312" t="s">
        <v>2015</v>
      </c>
      <c r="B312" t="str">
        <f t="shared" si="26"/>
        <v>1F3C3 200D 2642 FE0F ; fully-qualified # 🏃‍♂️ E4.0 man running</v>
      </c>
      <c r="C312" t="str">
        <f t="shared" si="27"/>
        <v xml:space="preserve">1F3C3 200D 2642 FE0F </v>
      </c>
      <c r="D312">
        <f t="shared" si="28"/>
        <v>21</v>
      </c>
      <c r="E312" t="str">
        <f t="shared" si="24"/>
        <v xml:space="preserve"> 🏃‍♂️ E4.0 man running</v>
      </c>
      <c r="F312" t="b">
        <f t="shared" si="29"/>
        <v>1</v>
      </c>
      <c r="G312" t="str">
        <f t="shared" si="25"/>
        <v>1F3C3</v>
      </c>
      <c r="I312">
        <f>HEX2DEC(Table1[[#This Row],[utf8]])</f>
        <v>127939</v>
      </c>
      <c r="J312" t="str">
        <f>_xlfn.UNICHAR(HEX2DEC(Table1[[#This Row],[utf8]]))</f>
        <v>🏃</v>
      </c>
      <c r="K312" s="3" t="str" cm="1">
        <f t="array" ref="K312">"Case "&amp;wRandomLetter()&amp;wRandomLetter()&amp;I312&amp;":    UniConst = ChrW(" &amp; I312 &amp;")"</f>
        <v>Case Uf127939:    UniConst = ChrW(127939)</v>
      </c>
    </row>
    <row r="313" spans="1:11" hidden="1">
      <c r="A313" t="s">
        <v>2174</v>
      </c>
      <c r="B313" t="str">
        <f t="shared" si="26"/>
        <v>1F3C4 ; fully-qualified # 🏄 E0.6 person surfing</v>
      </c>
      <c r="C313" t="str">
        <f t="shared" si="27"/>
        <v xml:space="preserve">1F3C4 </v>
      </c>
      <c r="D313">
        <f t="shared" si="28"/>
        <v>6</v>
      </c>
      <c r="E313" t="str">
        <f t="shared" si="24"/>
        <v xml:space="preserve"> 🏄 E0.6 person surfing</v>
      </c>
      <c r="F313" t="b">
        <f t="shared" si="29"/>
        <v>1</v>
      </c>
      <c r="G313" t="str">
        <f t="shared" si="25"/>
        <v>1F3C4</v>
      </c>
      <c r="I313">
        <f>HEX2DEC(Table1[[#This Row],[utf8]])</f>
        <v>127940</v>
      </c>
      <c r="J313" t="str">
        <f>_xlfn.UNICHAR(HEX2DEC(Table1[[#This Row],[utf8]]))</f>
        <v>🏄</v>
      </c>
      <c r="K313" s="3" t="str" cm="1">
        <f t="array" ref="K313">"Case "&amp;wRandomLetter()&amp;wRandomLetter()&amp;I313&amp;":    UniConst = ChrW(" &amp; I313 &amp;")"</f>
        <v>Case OR127940:    UniConst = ChrW(127940)</v>
      </c>
    </row>
    <row r="314" spans="1:11" hidden="1">
      <c r="A314" t="s">
        <v>2175</v>
      </c>
      <c r="B314" t="str">
        <f t="shared" si="26"/>
        <v>1F3C4 1F3FB ; fully-qualified # 🏄🏻 E1.0 person surfing: light skin tone</v>
      </c>
      <c r="C314" t="str">
        <f t="shared" si="27"/>
        <v xml:space="preserve">1F3C4 1F3FB </v>
      </c>
      <c r="D314">
        <f t="shared" si="28"/>
        <v>12</v>
      </c>
      <c r="E314" t="str">
        <f t="shared" si="24"/>
        <v xml:space="preserve"> 🏄🏻 E1.0 person surfing: light skin tone</v>
      </c>
      <c r="F314" t="b">
        <f t="shared" si="29"/>
        <v>1</v>
      </c>
      <c r="G314" t="str">
        <f t="shared" si="25"/>
        <v>1F3C4</v>
      </c>
      <c r="I314">
        <f>HEX2DEC(Table1[[#This Row],[utf8]])</f>
        <v>127940</v>
      </c>
      <c r="J314" t="str">
        <f>_xlfn.UNICHAR(HEX2DEC(Table1[[#This Row],[utf8]]))</f>
        <v>🏄</v>
      </c>
      <c r="K314" s="3" t="str" cm="1">
        <f t="array" ref="K314">"Case "&amp;wRandomLetter()&amp;wRandomLetter()&amp;I314&amp;":    UniConst = ChrW(" &amp; I314 &amp;")"</f>
        <v>Case TH127940:    UniConst = ChrW(127940)</v>
      </c>
    </row>
    <row r="315" spans="1:11" hidden="1">
      <c r="A315" t="s">
        <v>2195</v>
      </c>
      <c r="B315" t="str">
        <f t="shared" si="26"/>
        <v>1F3C4 1F3FB 200D 2640 ; minimally-qualified # 🏄🏻‍♀ E4.0 woman surfing: light skin tone</v>
      </c>
      <c r="C315" t="str">
        <f t="shared" si="27"/>
        <v xml:space="preserve">1F3C4 1F3FB 200D 2640 </v>
      </c>
      <c r="D315">
        <f t="shared" si="28"/>
        <v>22</v>
      </c>
      <c r="E315" t="str">
        <f t="shared" si="24"/>
        <v xml:space="preserve"> 🏄🏻‍♀ E4.0 woman surfing: light skin tone</v>
      </c>
      <c r="F315" t="b">
        <f t="shared" si="29"/>
        <v>1</v>
      </c>
      <c r="G315" t="str">
        <f t="shared" si="25"/>
        <v>1F3C4</v>
      </c>
      <c r="I315">
        <f>HEX2DEC(Table1[[#This Row],[utf8]])</f>
        <v>127940</v>
      </c>
      <c r="J315" t="str">
        <f>_xlfn.UNICHAR(HEX2DEC(Table1[[#This Row],[utf8]]))</f>
        <v>🏄</v>
      </c>
      <c r="K315" s="3" t="str" cm="1">
        <f t="array" ref="K315">"Case "&amp;wRandomLetter()&amp;wRandomLetter()&amp;I315&amp;":    UniConst = ChrW(" &amp; I315 &amp;")"</f>
        <v>Case IE127940:    UniConst = ChrW(127940)</v>
      </c>
    </row>
    <row r="316" spans="1:11" hidden="1">
      <c r="A316" t="s">
        <v>2194</v>
      </c>
      <c r="B316" t="str">
        <f t="shared" si="26"/>
        <v>1F3C4 1F3FB 200D 2640 FE0F ; fully-qualified # 🏄🏻‍♀️ E4.0 woman surfing: light skin tone</v>
      </c>
      <c r="C316" t="str">
        <f t="shared" si="27"/>
        <v xml:space="preserve">1F3C4 1F3FB 200D 2640 FE0F </v>
      </c>
      <c r="D316">
        <f t="shared" si="28"/>
        <v>27</v>
      </c>
      <c r="E316" t="str">
        <f t="shared" si="24"/>
        <v xml:space="preserve"> 🏄🏻‍♀️ E4.0 woman surfing: light skin tone</v>
      </c>
      <c r="F316" t="b">
        <f t="shared" si="29"/>
        <v>1</v>
      </c>
      <c r="G316" t="str">
        <f t="shared" si="25"/>
        <v>1F3C4</v>
      </c>
      <c r="I316">
        <f>HEX2DEC(Table1[[#This Row],[utf8]])</f>
        <v>127940</v>
      </c>
      <c r="J316" t="str">
        <f>_xlfn.UNICHAR(HEX2DEC(Table1[[#This Row],[utf8]]))</f>
        <v>🏄</v>
      </c>
      <c r="K316" s="3" t="str" cm="1">
        <f t="array" ref="K316">"Case "&amp;wRandomLetter()&amp;wRandomLetter()&amp;I316&amp;":    UniConst = ChrW(" &amp; I316 &amp;")"</f>
        <v>Case Rf127940:    UniConst = ChrW(127940)</v>
      </c>
    </row>
    <row r="317" spans="1:11" hidden="1">
      <c r="A317" t="s">
        <v>2183</v>
      </c>
      <c r="B317" t="str">
        <f t="shared" si="26"/>
        <v>1F3C4 1F3FB 200D 2642 ; minimally-qualified # 🏄🏻‍♂ E4.0 man surfing: light skin tone</v>
      </c>
      <c r="C317" t="str">
        <f t="shared" si="27"/>
        <v xml:space="preserve">1F3C4 1F3FB 200D 2642 </v>
      </c>
      <c r="D317">
        <f t="shared" si="28"/>
        <v>22</v>
      </c>
      <c r="E317" t="str">
        <f t="shared" si="24"/>
        <v xml:space="preserve"> 🏄🏻‍♂ E4.0 man surfing: light skin tone</v>
      </c>
      <c r="F317" t="b">
        <f t="shared" si="29"/>
        <v>1</v>
      </c>
      <c r="G317" t="str">
        <f t="shared" si="25"/>
        <v>1F3C4</v>
      </c>
      <c r="I317">
        <f>HEX2DEC(Table1[[#This Row],[utf8]])</f>
        <v>127940</v>
      </c>
      <c r="J317" t="str">
        <f>_xlfn.UNICHAR(HEX2DEC(Table1[[#This Row],[utf8]]))</f>
        <v>🏄</v>
      </c>
      <c r="K317" s="3" t="str" cm="1">
        <f t="array" ref="K317">"Case "&amp;wRandomLetter()&amp;wRandomLetter()&amp;I317&amp;":    UniConst = ChrW(" &amp; I317 &amp;")"</f>
        <v>Case rM127940:    UniConst = ChrW(127940)</v>
      </c>
    </row>
    <row r="318" spans="1:11" hidden="1">
      <c r="A318" t="s">
        <v>2182</v>
      </c>
      <c r="B318" t="str">
        <f t="shared" si="26"/>
        <v>1F3C4 1F3FB 200D 2642 FE0F ; fully-qualified # 🏄🏻‍♂️ E4.0 man surfing: light skin tone</v>
      </c>
      <c r="C318" t="str">
        <f t="shared" si="27"/>
        <v xml:space="preserve">1F3C4 1F3FB 200D 2642 FE0F </v>
      </c>
      <c r="D318">
        <f t="shared" si="28"/>
        <v>27</v>
      </c>
      <c r="E318" t="str">
        <f t="shared" si="24"/>
        <v xml:space="preserve"> 🏄🏻‍♂️ E4.0 man surfing: light skin tone</v>
      </c>
      <c r="F318" t="b">
        <f t="shared" si="29"/>
        <v>1</v>
      </c>
      <c r="G318" t="str">
        <f t="shared" si="25"/>
        <v>1F3C4</v>
      </c>
      <c r="I318">
        <f>HEX2DEC(Table1[[#This Row],[utf8]])</f>
        <v>127940</v>
      </c>
      <c r="J318" t="str">
        <f>_xlfn.UNICHAR(HEX2DEC(Table1[[#This Row],[utf8]]))</f>
        <v>🏄</v>
      </c>
      <c r="K318" s="3" t="str" cm="1">
        <f t="array" ref="K318">"Case "&amp;wRandomLetter()&amp;wRandomLetter()&amp;I318&amp;":    UniConst = ChrW(" &amp; I318 &amp;")"</f>
        <v>Case yb127940:    UniConst = ChrW(127940)</v>
      </c>
    </row>
    <row r="319" spans="1:11" hidden="1">
      <c r="A319" t="s">
        <v>2176</v>
      </c>
      <c r="B319" t="str">
        <f t="shared" si="26"/>
        <v>1F3C4 1F3FC ; fully-qualified # 🏄🏼 E1.0 person surfing: medium-light skin tone</v>
      </c>
      <c r="C319" t="str">
        <f t="shared" si="27"/>
        <v xml:space="preserve">1F3C4 1F3FC </v>
      </c>
      <c r="D319">
        <f t="shared" si="28"/>
        <v>12</v>
      </c>
      <c r="E319" t="str">
        <f t="shared" si="24"/>
        <v xml:space="preserve"> 🏄🏼 E1.0 person surfing: medium-light skin tone</v>
      </c>
      <c r="F319" t="b">
        <f t="shared" si="29"/>
        <v>1</v>
      </c>
      <c r="G319" t="str">
        <f t="shared" si="25"/>
        <v>1F3C4</v>
      </c>
      <c r="I319">
        <f>HEX2DEC(Table1[[#This Row],[utf8]])</f>
        <v>127940</v>
      </c>
      <c r="J319" t="str">
        <f>_xlfn.UNICHAR(HEX2DEC(Table1[[#This Row],[utf8]]))</f>
        <v>🏄</v>
      </c>
      <c r="K319" s="3" t="str" cm="1">
        <f t="array" ref="K319">"Case "&amp;wRandomLetter()&amp;wRandomLetter()&amp;I319&amp;":    UniConst = ChrW(" &amp; I319 &amp;")"</f>
        <v>Case Bv127940:    UniConst = ChrW(127940)</v>
      </c>
    </row>
    <row r="320" spans="1:11" hidden="1">
      <c r="A320" t="s">
        <v>2197</v>
      </c>
      <c r="B320" t="str">
        <f t="shared" si="26"/>
        <v>1F3C4 1F3FC 200D 2640 ; minimally-qualified # 🏄🏼‍♀ E4.0 woman surfing: medium-light skin tone</v>
      </c>
      <c r="C320" t="str">
        <f t="shared" si="27"/>
        <v xml:space="preserve">1F3C4 1F3FC 200D 2640 </v>
      </c>
      <c r="D320">
        <f t="shared" si="28"/>
        <v>22</v>
      </c>
      <c r="E320" t="str">
        <f t="shared" si="24"/>
        <v xml:space="preserve"> 🏄🏼‍♀ E4.0 woman surfing: medium-light skin tone</v>
      </c>
      <c r="F320" t="b">
        <f t="shared" si="29"/>
        <v>1</v>
      </c>
      <c r="G320" t="str">
        <f t="shared" si="25"/>
        <v>1F3C4</v>
      </c>
      <c r="I320">
        <f>HEX2DEC(Table1[[#This Row],[utf8]])</f>
        <v>127940</v>
      </c>
      <c r="J320" t="str">
        <f>_xlfn.UNICHAR(HEX2DEC(Table1[[#This Row],[utf8]]))</f>
        <v>🏄</v>
      </c>
      <c r="K320" s="3" t="str" cm="1">
        <f t="array" ref="K320">"Case "&amp;wRandomLetter()&amp;wRandomLetter()&amp;I320&amp;":    UniConst = ChrW(" &amp; I320 &amp;")"</f>
        <v>Case Ep127940:    UniConst = ChrW(127940)</v>
      </c>
    </row>
    <row r="321" spans="1:11" hidden="1">
      <c r="A321" t="s">
        <v>2196</v>
      </c>
      <c r="B321" t="str">
        <f t="shared" si="26"/>
        <v>1F3C4 1F3FC 200D 2640 FE0F ; fully-qualified # 🏄🏼‍♀️ E4.0 woman surfing: medium-light skin tone</v>
      </c>
      <c r="C321" t="str">
        <f t="shared" si="27"/>
        <v xml:space="preserve">1F3C4 1F3FC 200D 2640 FE0F </v>
      </c>
      <c r="D321">
        <f t="shared" si="28"/>
        <v>27</v>
      </c>
      <c r="E321" t="str">
        <f t="shared" si="24"/>
        <v xml:space="preserve"> 🏄🏼‍♀️ E4.0 woman surfing: medium-light skin tone</v>
      </c>
      <c r="F321" t="b">
        <f t="shared" si="29"/>
        <v>1</v>
      </c>
      <c r="G321" t="str">
        <f t="shared" si="25"/>
        <v>1F3C4</v>
      </c>
      <c r="I321">
        <f>HEX2DEC(Table1[[#This Row],[utf8]])</f>
        <v>127940</v>
      </c>
      <c r="J321" t="str">
        <f>_xlfn.UNICHAR(HEX2DEC(Table1[[#This Row],[utf8]]))</f>
        <v>🏄</v>
      </c>
      <c r="K321" s="3" t="str" cm="1">
        <f t="array" ref="K321">"Case "&amp;wRandomLetter()&amp;wRandomLetter()&amp;I321&amp;":    UniConst = ChrW(" &amp; I321 &amp;")"</f>
        <v>Case PM127940:    UniConst = ChrW(127940)</v>
      </c>
    </row>
    <row r="322" spans="1:11" hidden="1">
      <c r="A322" t="s">
        <v>2185</v>
      </c>
      <c r="B322" t="str">
        <f t="shared" si="26"/>
        <v>1F3C4 1F3FC 200D 2642 ; minimally-qualified # 🏄🏼‍♂ E4.0 man surfing: medium-light skin tone</v>
      </c>
      <c r="C322" t="str">
        <f t="shared" si="27"/>
        <v xml:space="preserve">1F3C4 1F3FC 200D 2642 </v>
      </c>
      <c r="D322">
        <f t="shared" si="28"/>
        <v>22</v>
      </c>
      <c r="E322" t="str">
        <f t="shared" ref="E322:E385" si="30">MID(A322,FIND("#",A322)+1,256)</f>
        <v xml:space="preserve"> 🏄🏼‍♂ E4.0 man surfing: medium-light skin tone</v>
      </c>
      <c r="F322" t="b">
        <f t="shared" si="29"/>
        <v>1</v>
      </c>
      <c r="G322" t="str">
        <f t="shared" ref="G322:G385" si="31">LEFT(C322,(FIND(" ",C322,1)-1))</f>
        <v>1F3C4</v>
      </c>
      <c r="I322">
        <f>HEX2DEC(Table1[[#This Row],[utf8]])</f>
        <v>127940</v>
      </c>
      <c r="J322" t="str">
        <f>_xlfn.UNICHAR(HEX2DEC(Table1[[#This Row],[utf8]]))</f>
        <v>🏄</v>
      </c>
      <c r="K322" s="3" t="str" cm="1">
        <f t="array" ref="K322">"Case "&amp;wRandomLetter()&amp;wRandomLetter()&amp;I322&amp;":    UniConst = ChrW(" &amp; I322 &amp;")"</f>
        <v>Case WV127940:    UniConst = ChrW(127940)</v>
      </c>
    </row>
    <row r="323" spans="1:11" hidden="1">
      <c r="A323" t="s">
        <v>2184</v>
      </c>
      <c r="B323" t="str">
        <f t="shared" ref="B323:B386" si="32">TRIM(A323)</f>
        <v>1F3C4 1F3FC 200D 2642 FE0F ; fully-qualified # 🏄🏼‍♂️ E4.0 man surfing: medium-light skin tone</v>
      </c>
      <c r="C323" t="str">
        <f t="shared" ref="C323:C386" si="33">LEFT(B323,(FIND(";",B323,1)-1))</f>
        <v xml:space="preserve">1F3C4 1F3FC 200D 2642 FE0F </v>
      </c>
      <c r="D323">
        <f t="shared" ref="D323:D386" si="34">LEN(C323)</f>
        <v>27</v>
      </c>
      <c r="E323" t="str">
        <f t="shared" si="30"/>
        <v xml:space="preserve"> 🏄🏼‍♂️ E4.0 man surfing: medium-light skin tone</v>
      </c>
      <c r="F323" t="b">
        <f t="shared" ref="F323:F386" si="35">IF(LEFT(C323,2)="1F",TRUE,FALSE)</f>
        <v>1</v>
      </c>
      <c r="G323" t="str">
        <f t="shared" si="31"/>
        <v>1F3C4</v>
      </c>
      <c r="I323">
        <f>HEX2DEC(Table1[[#This Row],[utf8]])</f>
        <v>127940</v>
      </c>
      <c r="J323" t="str">
        <f>_xlfn.UNICHAR(HEX2DEC(Table1[[#This Row],[utf8]]))</f>
        <v>🏄</v>
      </c>
      <c r="K323" s="3" t="str" cm="1">
        <f t="array" ref="K323">"Case "&amp;wRandomLetter()&amp;wRandomLetter()&amp;I323&amp;":    UniConst = ChrW(" &amp; I323 &amp;")"</f>
        <v>Case dw127940:    UniConst = ChrW(127940)</v>
      </c>
    </row>
    <row r="324" spans="1:11" hidden="1">
      <c r="A324" t="s">
        <v>2177</v>
      </c>
      <c r="B324" t="str">
        <f t="shared" si="32"/>
        <v>1F3C4 1F3FD ; fully-qualified # 🏄🏽 E1.0 person surfing: medium skin tone</v>
      </c>
      <c r="C324" t="str">
        <f t="shared" si="33"/>
        <v xml:space="preserve">1F3C4 1F3FD </v>
      </c>
      <c r="D324">
        <f t="shared" si="34"/>
        <v>12</v>
      </c>
      <c r="E324" t="str">
        <f t="shared" si="30"/>
        <v xml:space="preserve"> 🏄🏽 E1.0 person surfing: medium skin tone</v>
      </c>
      <c r="F324" t="b">
        <f t="shared" si="35"/>
        <v>1</v>
      </c>
      <c r="G324" t="str">
        <f t="shared" si="31"/>
        <v>1F3C4</v>
      </c>
      <c r="I324">
        <f>HEX2DEC(Table1[[#This Row],[utf8]])</f>
        <v>127940</v>
      </c>
      <c r="J324" t="str">
        <f>_xlfn.UNICHAR(HEX2DEC(Table1[[#This Row],[utf8]]))</f>
        <v>🏄</v>
      </c>
      <c r="K324" s="3" t="str" cm="1">
        <f t="array" ref="K324">"Case "&amp;wRandomLetter()&amp;wRandomLetter()&amp;I324&amp;":    UniConst = ChrW(" &amp; I324 &amp;")"</f>
        <v>Case mq127940:    UniConst = ChrW(127940)</v>
      </c>
    </row>
    <row r="325" spans="1:11" hidden="1">
      <c r="A325" t="s">
        <v>2199</v>
      </c>
      <c r="B325" t="str">
        <f t="shared" si="32"/>
        <v>1F3C4 1F3FD 200D 2640 ; minimally-qualified # 🏄🏽‍♀ E4.0 woman surfing: medium skin tone</v>
      </c>
      <c r="C325" t="str">
        <f t="shared" si="33"/>
        <v xml:space="preserve">1F3C4 1F3FD 200D 2640 </v>
      </c>
      <c r="D325">
        <f t="shared" si="34"/>
        <v>22</v>
      </c>
      <c r="E325" t="str">
        <f t="shared" si="30"/>
        <v xml:space="preserve"> 🏄🏽‍♀ E4.0 woman surfing: medium skin tone</v>
      </c>
      <c r="F325" t="b">
        <f t="shared" si="35"/>
        <v>1</v>
      </c>
      <c r="G325" t="str">
        <f t="shared" si="31"/>
        <v>1F3C4</v>
      </c>
      <c r="I325">
        <f>HEX2DEC(Table1[[#This Row],[utf8]])</f>
        <v>127940</v>
      </c>
      <c r="J325" t="str">
        <f>_xlfn.UNICHAR(HEX2DEC(Table1[[#This Row],[utf8]]))</f>
        <v>🏄</v>
      </c>
      <c r="K325" s="3" t="str" cm="1">
        <f t="array" ref="K325">"Case "&amp;wRandomLetter()&amp;wRandomLetter()&amp;I325&amp;":    UniConst = ChrW(" &amp; I325 &amp;")"</f>
        <v>Case hl127940:    UniConst = ChrW(127940)</v>
      </c>
    </row>
    <row r="326" spans="1:11" hidden="1">
      <c r="A326" t="s">
        <v>2198</v>
      </c>
      <c r="B326" t="str">
        <f t="shared" si="32"/>
        <v>1F3C4 1F3FD 200D 2640 FE0F ; fully-qualified # 🏄🏽‍♀️ E4.0 woman surfing: medium skin tone</v>
      </c>
      <c r="C326" t="str">
        <f t="shared" si="33"/>
        <v xml:space="preserve">1F3C4 1F3FD 200D 2640 FE0F </v>
      </c>
      <c r="D326">
        <f t="shared" si="34"/>
        <v>27</v>
      </c>
      <c r="E326" t="str">
        <f t="shared" si="30"/>
        <v xml:space="preserve"> 🏄🏽‍♀️ E4.0 woman surfing: medium skin tone</v>
      </c>
      <c r="F326" t="b">
        <f t="shared" si="35"/>
        <v>1</v>
      </c>
      <c r="G326" t="str">
        <f t="shared" si="31"/>
        <v>1F3C4</v>
      </c>
      <c r="I326">
        <f>HEX2DEC(Table1[[#This Row],[utf8]])</f>
        <v>127940</v>
      </c>
      <c r="J326" t="str">
        <f>_xlfn.UNICHAR(HEX2DEC(Table1[[#This Row],[utf8]]))</f>
        <v>🏄</v>
      </c>
      <c r="K326" s="3" t="str" cm="1">
        <f t="array" ref="K326">"Case "&amp;wRandomLetter()&amp;wRandomLetter()&amp;I326&amp;":    UniConst = ChrW(" &amp; I326 &amp;")"</f>
        <v>Case HU127940:    UniConst = ChrW(127940)</v>
      </c>
    </row>
    <row r="327" spans="1:11" hidden="1">
      <c r="A327" t="s">
        <v>2187</v>
      </c>
      <c r="B327" t="str">
        <f t="shared" si="32"/>
        <v>1F3C4 1F3FD 200D 2642 ; minimally-qualified # 🏄🏽‍♂ E4.0 man surfing: medium skin tone</v>
      </c>
      <c r="C327" t="str">
        <f t="shared" si="33"/>
        <v xml:space="preserve">1F3C4 1F3FD 200D 2642 </v>
      </c>
      <c r="D327">
        <f t="shared" si="34"/>
        <v>22</v>
      </c>
      <c r="E327" t="str">
        <f t="shared" si="30"/>
        <v xml:space="preserve"> 🏄🏽‍♂ E4.0 man surfing: medium skin tone</v>
      </c>
      <c r="F327" t="b">
        <f t="shared" si="35"/>
        <v>1</v>
      </c>
      <c r="G327" t="str">
        <f t="shared" si="31"/>
        <v>1F3C4</v>
      </c>
      <c r="I327">
        <f>HEX2DEC(Table1[[#This Row],[utf8]])</f>
        <v>127940</v>
      </c>
      <c r="J327" t="str">
        <f>_xlfn.UNICHAR(HEX2DEC(Table1[[#This Row],[utf8]]))</f>
        <v>🏄</v>
      </c>
      <c r="K327" s="3" t="str" cm="1">
        <f t="array" ref="K327">"Case "&amp;wRandomLetter()&amp;wRandomLetter()&amp;I327&amp;":    UniConst = ChrW(" &amp; I327 &amp;")"</f>
        <v>Case vA127940:    UniConst = ChrW(127940)</v>
      </c>
    </row>
    <row r="328" spans="1:11" hidden="1">
      <c r="A328" t="s">
        <v>2186</v>
      </c>
      <c r="B328" t="str">
        <f t="shared" si="32"/>
        <v>1F3C4 1F3FD 200D 2642 FE0F ; fully-qualified # 🏄🏽‍♂️ E4.0 man surfing: medium skin tone</v>
      </c>
      <c r="C328" t="str">
        <f t="shared" si="33"/>
        <v xml:space="preserve">1F3C4 1F3FD 200D 2642 FE0F </v>
      </c>
      <c r="D328">
        <f t="shared" si="34"/>
        <v>27</v>
      </c>
      <c r="E328" t="str">
        <f t="shared" si="30"/>
        <v xml:space="preserve"> 🏄🏽‍♂️ E4.0 man surfing: medium skin tone</v>
      </c>
      <c r="F328" t="b">
        <f t="shared" si="35"/>
        <v>1</v>
      </c>
      <c r="G328" t="str">
        <f t="shared" si="31"/>
        <v>1F3C4</v>
      </c>
      <c r="I328">
        <f>HEX2DEC(Table1[[#This Row],[utf8]])</f>
        <v>127940</v>
      </c>
      <c r="J328" t="str">
        <f>_xlfn.UNICHAR(HEX2DEC(Table1[[#This Row],[utf8]]))</f>
        <v>🏄</v>
      </c>
      <c r="K328" s="3" t="str" cm="1">
        <f t="array" ref="K328">"Case "&amp;wRandomLetter()&amp;wRandomLetter()&amp;I328&amp;":    UniConst = ChrW(" &amp; I328 &amp;")"</f>
        <v>Case AN127940:    UniConst = ChrW(127940)</v>
      </c>
    </row>
    <row r="329" spans="1:11" hidden="1">
      <c r="A329" t="s">
        <v>2178</v>
      </c>
      <c r="B329" t="str">
        <f t="shared" si="32"/>
        <v>1F3C4 1F3FE ; fully-qualified # 🏄🏾 E1.0 person surfing: medium-dark skin tone</v>
      </c>
      <c r="C329" t="str">
        <f t="shared" si="33"/>
        <v xml:space="preserve">1F3C4 1F3FE </v>
      </c>
      <c r="D329">
        <f t="shared" si="34"/>
        <v>12</v>
      </c>
      <c r="E329" t="str">
        <f t="shared" si="30"/>
        <v xml:space="preserve"> 🏄🏾 E1.0 person surfing: medium-dark skin tone</v>
      </c>
      <c r="F329" t="b">
        <f t="shared" si="35"/>
        <v>1</v>
      </c>
      <c r="G329" t="str">
        <f t="shared" si="31"/>
        <v>1F3C4</v>
      </c>
      <c r="I329">
        <f>HEX2DEC(Table1[[#This Row],[utf8]])</f>
        <v>127940</v>
      </c>
      <c r="J329" t="str">
        <f>_xlfn.UNICHAR(HEX2DEC(Table1[[#This Row],[utf8]]))</f>
        <v>🏄</v>
      </c>
      <c r="K329" s="3" t="str" cm="1">
        <f t="array" ref="K329">"Case "&amp;wRandomLetter()&amp;wRandomLetter()&amp;I329&amp;":    UniConst = ChrW(" &amp; I329 &amp;")"</f>
        <v>Case wj127940:    UniConst = ChrW(127940)</v>
      </c>
    </row>
    <row r="330" spans="1:11" hidden="1">
      <c r="A330" t="s">
        <v>2201</v>
      </c>
      <c r="B330" t="str">
        <f t="shared" si="32"/>
        <v>1F3C4 1F3FE 200D 2640 ; minimally-qualified # 🏄🏾‍♀ E4.0 woman surfing: medium-dark skin tone</v>
      </c>
      <c r="C330" t="str">
        <f t="shared" si="33"/>
        <v xml:space="preserve">1F3C4 1F3FE 200D 2640 </v>
      </c>
      <c r="D330">
        <f t="shared" si="34"/>
        <v>22</v>
      </c>
      <c r="E330" t="str">
        <f t="shared" si="30"/>
        <v xml:space="preserve"> 🏄🏾‍♀ E4.0 woman surfing: medium-dark skin tone</v>
      </c>
      <c r="F330" t="b">
        <f t="shared" si="35"/>
        <v>1</v>
      </c>
      <c r="G330" t="str">
        <f t="shared" si="31"/>
        <v>1F3C4</v>
      </c>
      <c r="I330">
        <f>HEX2DEC(Table1[[#This Row],[utf8]])</f>
        <v>127940</v>
      </c>
      <c r="J330" t="str">
        <f>_xlfn.UNICHAR(HEX2DEC(Table1[[#This Row],[utf8]]))</f>
        <v>🏄</v>
      </c>
      <c r="K330" s="3" t="str" cm="1">
        <f t="array" ref="K330">"Case "&amp;wRandomLetter()&amp;wRandomLetter()&amp;I330&amp;":    UniConst = ChrW(" &amp; I330 &amp;")"</f>
        <v>Case lO127940:    UniConst = ChrW(127940)</v>
      </c>
    </row>
    <row r="331" spans="1:11" hidden="1">
      <c r="A331" t="s">
        <v>2200</v>
      </c>
      <c r="B331" t="str">
        <f t="shared" si="32"/>
        <v>1F3C4 1F3FE 200D 2640 FE0F ; fully-qualified # 🏄🏾‍♀️ E4.0 woman surfing: medium-dark skin tone</v>
      </c>
      <c r="C331" t="str">
        <f t="shared" si="33"/>
        <v xml:space="preserve">1F3C4 1F3FE 200D 2640 FE0F </v>
      </c>
      <c r="D331">
        <f t="shared" si="34"/>
        <v>27</v>
      </c>
      <c r="E331" t="str">
        <f t="shared" si="30"/>
        <v xml:space="preserve"> 🏄🏾‍♀️ E4.0 woman surfing: medium-dark skin tone</v>
      </c>
      <c r="F331" t="b">
        <f t="shared" si="35"/>
        <v>1</v>
      </c>
      <c r="G331" t="str">
        <f t="shared" si="31"/>
        <v>1F3C4</v>
      </c>
      <c r="I331">
        <f>HEX2DEC(Table1[[#This Row],[utf8]])</f>
        <v>127940</v>
      </c>
      <c r="J331" t="str">
        <f>_xlfn.UNICHAR(HEX2DEC(Table1[[#This Row],[utf8]]))</f>
        <v>🏄</v>
      </c>
      <c r="K331" s="3" t="str" cm="1">
        <f t="array" ref="K331">"Case "&amp;wRandomLetter()&amp;wRandomLetter()&amp;I331&amp;":    UniConst = ChrW(" &amp; I331 &amp;")"</f>
        <v>Case sI127940:    UniConst = ChrW(127940)</v>
      </c>
    </row>
    <row r="332" spans="1:11" hidden="1">
      <c r="A332" t="s">
        <v>2189</v>
      </c>
      <c r="B332" t="str">
        <f t="shared" si="32"/>
        <v>1F3C4 1F3FE 200D 2642 ; minimally-qualified # 🏄🏾‍♂ E4.0 man surfing: medium-dark skin tone</v>
      </c>
      <c r="C332" t="str">
        <f t="shared" si="33"/>
        <v xml:space="preserve">1F3C4 1F3FE 200D 2642 </v>
      </c>
      <c r="D332">
        <f t="shared" si="34"/>
        <v>22</v>
      </c>
      <c r="E332" t="str">
        <f t="shared" si="30"/>
        <v xml:space="preserve"> 🏄🏾‍♂ E4.0 man surfing: medium-dark skin tone</v>
      </c>
      <c r="F332" t="b">
        <f t="shared" si="35"/>
        <v>1</v>
      </c>
      <c r="G332" t="str">
        <f t="shared" si="31"/>
        <v>1F3C4</v>
      </c>
      <c r="I332">
        <f>HEX2DEC(Table1[[#This Row],[utf8]])</f>
        <v>127940</v>
      </c>
      <c r="J332" t="str">
        <f>_xlfn.UNICHAR(HEX2DEC(Table1[[#This Row],[utf8]]))</f>
        <v>🏄</v>
      </c>
      <c r="K332" s="3" t="str" cm="1">
        <f t="array" ref="K332">"Case "&amp;wRandomLetter()&amp;wRandomLetter()&amp;I332&amp;":    UniConst = ChrW(" &amp; I332 &amp;")"</f>
        <v>Case Ic127940:    UniConst = ChrW(127940)</v>
      </c>
    </row>
    <row r="333" spans="1:11" hidden="1">
      <c r="A333" t="s">
        <v>2188</v>
      </c>
      <c r="B333" t="str">
        <f t="shared" si="32"/>
        <v>1F3C4 1F3FE 200D 2642 FE0F ; fully-qualified # 🏄🏾‍♂️ E4.0 man surfing: medium-dark skin tone</v>
      </c>
      <c r="C333" t="str">
        <f t="shared" si="33"/>
        <v xml:space="preserve">1F3C4 1F3FE 200D 2642 FE0F </v>
      </c>
      <c r="D333">
        <f t="shared" si="34"/>
        <v>27</v>
      </c>
      <c r="E333" t="str">
        <f t="shared" si="30"/>
        <v xml:space="preserve"> 🏄🏾‍♂️ E4.0 man surfing: medium-dark skin tone</v>
      </c>
      <c r="F333" t="b">
        <f t="shared" si="35"/>
        <v>1</v>
      </c>
      <c r="G333" t="str">
        <f t="shared" si="31"/>
        <v>1F3C4</v>
      </c>
      <c r="I333">
        <f>HEX2DEC(Table1[[#This Row],[utf8]])</f>
        <v>127940</v>
      </c>
      <c r="J333" t="str">
        <f>_xlfn.UNICHAR(HEX2DEC(Table1[[#This Row],[utf8]]))</f>
        <v>🏄</v>
      </c>
      <c r="K333" s="3" t="str" cm="1">
        <f t="array" ref="K333">"Case "&amp;wRandomLetter()&amp;wRandomLetter()&amp;I333&amp;":    UniConst = ChrW(" &amp; I333 &amp;")"</f>
        <v>Case KO127940:    UniConst = ChrW(127940)</v>
      </c>
    </row>
    <row r="334" spans="1:11" hidden="1">
      <c r="A334" t="s">
        <v>2179</v>
      </c>
      <c r="B334" t="str">
        <f t="shared" si="32"/>
        <v>1F3C4 1F3FF ; fully-qualified # 🏄🏿 E1.0 person surfing: dark skin tone</v>
      </c>
      <c r="C334" t="str">
        <f t="shared" si="33"/>
        <v xml:space="preserve">1F3C4 1F3FF </v>
      </c>
      <c r="D334">
        <f t="shared" si="34"/>
        <v>12</v>
      </c>
      <c r="E334" t="str">
        <f t="shared" si="30"/>
        <v xml:space="preserve"> 🏄🏿 E1.0 person surfing: dark skin tone</v>
      </c>
      <c r="F334" t="b">
        <f t="shared" si="35"/>
        <v>1</v>
      </c>
      <c r="G334" t="str">
        <f t="shared" si="31"/>
        <v>1F3C4</v>
      </c>
      <c r="I334">
        <f>HEX2DEC(Table1[[#This Row],[utf8]])</f>
        <v>127940</v>
      </c>
      <c r="J334" t="str">
        <f>_xlfn.UNICHAR(HEX2DEC(Table1[[#This Row],[utf8]]))</f>
        <v>🏄</v>
      </c>
      <c r="K334" s="3" t="str" cm="1">
        <f t="array" ref="K334">"Case "&amp;wRandomLetter()&amp;wRandomLetter()&amp;I334&amp;":    UniConst = ChrW(" &amp; I334 &amp;")"</f>
        <v>Case Hm127940:    UniConst = ChrW(127940)</v>
      </c>
    </row>
    <row r="335" spans="1:11" hidden="1">
      <c r="A335" t="s">
        <v>2203</v>
      </c>
      <c r="B335" t="str">
        <f t="shared" si="32"/>
        <v>1F3C4 1F3FF 200D 2640 ; minimally-qualified # 🏄🏿‍♀ E4.0 woman surfing: dark skin tone</v>
      </c>
      <c r="C335" t="str">
        <f t="shared" si="33"/>
        <v xml:space="preserve">1F3C4 1F3FF 200D 2640 </v>
      </c>
      <c r="D335">
        <f t="shared" si="34"/>
        <v>22</v>
      </c>
      <c r="E335" t="str">
        <f t="shared" si="30"/>
        <v xml:space="preserve"> 🏄🏿‍♀ E4.0 woman surfing: dark skin tone</v>
      </c>
      <c r="F335" t="b">
        <f t="shared" si="35"/>
        <v>1</v>
      </c>
      <c r="G335" t="str">
        <f t="shared" si="31"/>
        <v>1F3C4</v>
      </c>
      <c r="I335">
        <f>HEX2DEC(Table1[[#This Row],[utf8]])</f>
        <v>127940</v>
      </c>
      <c r="J335" t="str">
        <f>_xlfn.UNICHAR(HEX2DEC(Table1[[#This Row],[utf8]]))</f>
        <v>🏄</v>
      </c>
      <c r="K335" s="3" t="str" cm="1">
        <f t="array" ref="K335">"Case "&amp;wRandomLetter()&amp;wRandomLetter()&amp;I335&amp;":    UniConst = ChrW(" &amp; I335 &amp;")"</f>
        <v>Case Me127940:    UniConst = ChrW(127940)</v>
      </c>
    </row>
    <row r="336" spans="1:11" hidden="1">
      <c r="A336" t="s">
        <v>2202</v>
      </c>
      <c r="B336" t="str">
        <f t="shared" si="32"/>
        <v>1F3C4 1F3FF 200D 2640 FE0F ; fully-qualified # 🏄🏿‍♀️ E4.0 woman surfing: dark skin tone</v>
      </c>
      <c r="C336" t="str">
        <f t="shared" si="33"/>
        <v xml:space="preserve">1F3C4 1F3FF 200D 2640 FE0F </v>
      </c>
      <c r="D336">
        <f t="shared" si="34"/>
        <v>27</v>
      </c>
      <c r="E336" t="str">
        <f t="shared" si="30"/>
        <v xml:space="preserve"> 🏄🏿‍♀️ E4.0 woman surfing: dark skin tone</v>
      </c>
      <c r="F336" t="b">
        <f t="shared" si="35"/>
        <v>1</v>
      </c>
      <c r="G336" t="str">
        <f t="shared" si="31"/>
        <v>1F3C4</v>
      </c>
      <c r="I336">
        <f>HEX2DEC(Table1[[#This Row],[utf8]])</f>
        <v>127940</v>
      </c>
      <c r="J336" t="str">
        <f>_xlfn.UNICHAR(HEX2DEC(Table1[[#This Row],[utf8]]))</f>
        <v>🏄</v>
      </c>
      <c r="K336" s="3" t="str" cm="1">
        <f t="array" ref="K336">"Case "&amp;wRandomLetter()&amp;wRandomLetter()&amp;I336&amp;":    UniConst = ChrW(" &amp; I336 &amp;")"</f>
        <v>Case LK127940:    UniConst = ChrW(127940)</v>
      </c>
    </row>
    <row r="337" spans="1:11" hidden="1">
      <c r="A337" t="s">
        <v>2191</v>
      </c>
      <c r="B337" t="str">
        <f t="shared" si="32"/>
        <v>1F3C4 1F3FF 200D 2642 ; minimally-qualified # 🏄🏿‍♂ E4.0 man surfing: dark skin tone</v>
      </c>
      <c r="C337" t="str">
        <f t="shared" si="33"/>
        <v xml:space="preserve">1F3C4 1F3FF 200D 2642 </v>
      </c>
      <c r="D337">
        <f t="shared" si="34"/>
        <v>22</v>
      </c>
      <c r="E337" t="str">
        <f t="shared" si="30"/>
        <v xml:space="preserve"> 🏄🏿‍♂ E4.0 man surfing: dark skin tone</v>
      </c>
      <c r="F337" t="b">
        <f t="shared" si="35"/>
        <v>1</v>
      </c>
      <c r="G337" t="str">
        <f t="shared" si="31"/>
        <v>1F3C4</v>
      </c>
      <c r="I337">
        <f>HEX2DEC(Table1[[#This Row],[utf8]])</f>
        <v>127940</v>
      </c>
      <c r="J337" t="str">
        <f>_xlfn.UNICHAR(HEX2DEC(Table1[[#This Row],[utf8]]))</f>
        <v>🏄</v>
      </c>
      <c r="K337" s="3" t="str" cm="1">
        <f t="array" ref="K337">"Case "&amp;wRandomLetter()&amp;wRandomLetter()&amp;I337&amp;":    UniConst = ChrW(" &amp; I337 &amp;")"</f>
        <v>Case Cs127940:    UniConst = ChrW(127940)</v>
      </c>
    </row>
    <row r="338" spans="1:11" hidden="1">
      <c r="A338" t="s">
        <v>2190</v>
      </c>
      <c r="B338" t="str">
        <f t="shared" si="32"/>
        <v>1F3C4 1F3FF 200D 2642 FE0F ; fully-qualified # 🏄🏿‍♂️ E4.0 man surfing: dark skin tone</v>
      </c>
      <c r="C338" t="str">
        <f t="shared" si="33"/>
        <v xml:space="preserve">1F3C4 1F3FF 200D 2642 FE0F </v>
      </c>
      <c r="D338">
        <f t="shared" si="34"/>
        <v>27</v>
      </c>
      <c r="E338" t="str">
        <f t="shared" si="30"/>
        <v xml:space="preserve"> 🏄🏿‍♂️ E4.0 man surfing: dark skin tone</v>
      </c>
      <c r="F338" t="b">
        <f t="shared" si="35"/>
        <v>1</v>
      </c>
      <c r="G338" t="str">
        <f t="shared" si="31"/>
        <v>1F3C4</v>
      </c>
      <c r="I338">
        <f>HEX2DEC(Table1[[#This Row],[utf8]])</f>
        <v>127940</v>
      </c>
      <c r="J338" t="str">
        <f>_xlfn.UNICHAR(HEX2DEC(Table1[[#This Row],[utf8]]))</f>
        <v>🏄</v>
      </c>
      <c r="K338" s="3" t="str" cm="1">
        <f t="array" ref="K338">"Case "&amp;wRandomLetter()&amp;wRandomLetter()&amp;I338&amp;":    UniConst = ChrW(" &amp; I338 &amp;")"</f>
        <v>Case Ul127940:    UniConst = ChrW(127940)</v>
      </c>
    </row>
    <row r="339" spans="1:11" hidden="1">
      <c r="A339" t="s">
        <v>2193</v>
      </c>
      <c r="B339" t="str">
        <f t="shared" si="32"/>
        <v>1F3C4 200D 2640 ; minimally-qualified # 🏄‍♀ E4.0 woman surfing</v>
      </c>
      <c r="C339" t="str">
        <f t="shared" si="33"/>
        <v xml:space="preserve">1F3C4 200D 2640 </v>
      </c>
      <c r="D339">
        <f t="shared" si="34"/>
        <v>16</v>
      </c>
      <c r="E339" t="str">
        <f t="shared" si="30"/>
        <v xml:space="preserve"> 🏄‍♀ E4.0 woman surfing</v>
      </c>
      <c r="F339" t="b">
        <f t="shared" si="35"/>
        <v>1</v>
      </c>
      <c r="G339" t="str">
        <f t="shared" si="31"/>
        <v>1F3C4</v>
      </c>
      <c r="I339">
        <f>HEX2DEC(Table1[[#This Row],[utf8]])</f>
        <v>127940</v>
      </c>
      <c r="J339" t="str">
        <f>_xlfn.UNICHAR(HEX2DEC(Table1[[#This Row],[utf8]]))</f>
        <v>🏄</v>
      </c>
      <c r="K339" s="3" t="str" cm="1">
        <f t="array" ref="K339">"Case "&amp;wRandomLetter()&amp;wRandomLetter()&amp;I339&amp;":    UniConst = ChrW(" &amp; I339 &amp;")"</f>
        <v>Case my127940:    UniConst = ChrW(127940)</v>
      </c>
    </row>
    <row r="340" spans="1:11" hidden="1">
      <c r="A340" t="s">
        <v>2192</v>
      </c>
      <c r="B340" t="str">
        <f t="shared" si="32"/>
        <v>1F3C4 200D 2640 FE0F ; fully-qualified # 🏄‍♀️ E4.0 woman surfing</v>
      </c>
      <c r="C340" t="str">
        <f t="shared" si="33"/>
        <v xml:space="preserve">1F3C4 200D 2640 FE0F </v>
      </c>
      <c r="D340">
        <f t="shared" si="34"/>
        <v>21</v>
      </c>
      <c r="E340" t="str">
        <f t="shared" si="30"/>
        <v xml:space="preserve"> 🏄‍♀️ E4.0 woman surfing</v>
      </c>
      <c r="F340" t="b">
        <f t="shared" si="35"/>
        <v>1</v>
      </c>
      <c r="G340" t="str">
        <f t="shared" si="31"/>
        <v>1F3C4</v>
      </c>
      <c r="I340">
        <f>HEX2DEC(Table1[[#This Row],[utf8]])</f>
        <v>127940</v>
      </c>
      <c r="J340" t="str">
        <f>_xlfn.UNICHAR(HEX2DEC(Table1[[#This Row],[utf8]]))</f>
        <v>🏄</v>
      </c>
      <c r="K340" s="3" t="str" cm="1">
        <f t="array" ref="K340">"Case "&amp;wRandomLetter()&amp;wRandomLetter()&amp;I340&amp;":    UniConst = ChrW(" &amp; I340 &amp;")"</f>
        <v>Case cz127940:    UniConst = ChrW(127940)</v>
      </c>
    </row>
    <row r="341" spans="1:11" hidden="1">
      <c r="A341" t="s">
        <v>2181</v>
      </c>
      <c r="B341" t="str">
        <f t="shared" si="32"/>
        <v>1F3C4 200D 2642 ; minimally-qualified # 🏄‍♂ E4.0 man surfing</v>
      </c>
      <c r="C341" t="str">
        <f t="shared" si="33"/>
        <v xml:space="preserve">1F3C4 200D 2642 </v>
      </c>
      <c r="D341">
        <f t="shared" si="34"/>
        <v>16</v>
      </c>
      <c r="E341" t="str">
        <f t="shared" si="30"/>
        <v xml:space="preserve"> 🏄‍♂ E4.0 man surfing</v>
      </c>
      <c r="F341" t="b">
        <f t="shared" si="35"/>
        <v>1</v>
      </c>
      <c r="G341" t="str">
        <f t="shared" si="31"/>
        <v>1F3C4</v>
      </c>
      <c r="I341">
        <f>HEX2DEC(Table1[[#This Row],[utf8]])</f>
        <v>127940</v>
      </c>
      <c r="J341" t="str">
        <f>_xlfn.UNICHAR(HEX2DEC(Table1[[#This Row],[utf8]]))</f>
        <v>🏄</v>
      </c>
      <c r="K341" s="3" t="str" cm="1">
        <f t="array" ref="K341">"Case "&amp;wRandomLetter()&amp;wRandomLetter()&amp;I341&amp;":    UniConst = ChrW(" &amp; I341 &amp;")"</f>
        <v>Case Zi127940:    UniConst = ChrW(127940)</v>
      </c>
    </row>
    <row r="342" spans="1:11" hidden="1">
      <c r="A342" t="s">
        <v>2180</v>
      </c>
      <c r="B342" t="str">
        <f t="shared" si="32"/>
        <v>1F3C4 200D 2642 FE0F ; fully-qualified # 🏄‍♂️ E4.0 man surfing</v>
      </c>
      <c r="C342" t="str">
        <f t="shared" si="33"/>
        <v xml:space="preserve">1F3C4 200D 2642 FE0F </v>
      </c>
      <c r="D342">
        <f t="shared" si="34"/>
        <v>21</v>
      </c>
      <c r="E342" t="str">
        <f t="shared" si="30"/>
        <v xml:space="preserve"> 🏄‍♂️ E4.0 man surfing</v>
      </c>
      <c r="F342" t="b">
        <f t="shared" si="35"/>
        <v>1</v>
      </c>
      <c r="G342" t="str">
        <f t="shared" si="31"/>
        <v>1F3C4</v>
      </c>
      <c r="I342">
        <f>HEX2DEC(Table1[[#This Row],[utf8]])</f>
        <v>127940</v>
      </c>
      <c r="J342" t="str">
        <f>_xlfn.UNICHAR(HEX2DEC(Table1[[#This Row],[utf8]]))</f>
        <v>🏄</v>
      </c>
      <c r="K342" s="3" t="str" cm="1">
        <f t="array" ref="K342">"Case "&amp;wRandomLetter()&amp;wRandomLetter()&amp;I342&amp;":    UniConst = ChrW(" &amp; I342 &amp;")"</f>
        <v>Case XC127940:    UniConst = ChrW(127940)</v>
      </c>
    </row>
    <row r="343" spans="1:11" hidden="1">
      <c r="A343" t="s">
        <v>3727</v>
      </c>
      <c r="B343" t="str">
        <f t="shared" si="32"/>
        <v>1F3C5 ; fully-qualified # 🏅 E1.0 sports medal</v>
      </c>
      <c r="C343" t="str">
        <f t="shared" si="33"/>
        <v xml:space="preserve">1F3C5 </v>
      </c>
      <c r="D343">
        <f t="shared" si="34"/>
        <v>6</v>
      </c>
      <c r="E343" t="str">
        <f t="shared" si="30"/>
        <v xml:space="preserve"> 🏅 E1.0 sports medal</v>
      </c>
      <c r="F343" t="b">
        <f t="shared" si="35"/>
        <v>1</v>
      </c>
      <c r="G343" t="str">
        <f t="shared" si="31"/>
        <v>1F3C5</v>
      </c>
      <c r="I343">
        <f>HEX2DEC(Table1[[#This Row],[utf8]])</f>
        <v>127941</v>
      </c>
      <c r="J343" t="str">
        <f>_xlfn.UNICHAR(HEX2DEC(Table1[[#This Row],[utf8]]))</f>
        <v>🏅</v>
      </c>
      <c r="K343" s="3" t="str" cm="1">
        <f t="array" ref="K343">"Case "&amp;wRandomLetter()&amp;wRandomLetter()&amp;I343&amp;":    UniConst = ChrW(" &amp; I343 &amp;")"</f>
        <v>Case jr127941:    UniConst = ChrW(127941)</v>
      </c>
    </row>
    <row r="344" spans="1:11" hidden="1">
      <c r="A344" t="s">
        <v>3726</v>
      </c>
      <c r="B344" t="str">
        <f t="shared" si="32"/>
        <v>1F3C6 ; fully-qualified # 🏆 E0.6 trophy</v>
      </c>
      <c r="C344" t="str">
        <f t="shared" si="33"/>
        <v xml:space="preserve">1F3C6 </v>
      </c>
      <c r="D344">
        <f t="shared" si="34"/>
        <v>6</v>
      </c>
      <c r="E344" t="str">
        <f t="shared" si="30"/>
        <v xml:space="preserve"> 🏆 E0.6 trophy</v>
      </c>
      <c r="F344" t="b">
        <f t="shared" si="35"/>
        <v>1</v>
      </c>
      <c r="G344" t="str">
        <f t="shared" si="31"/>
        <v>1F3C6</v>
      </c>
      <c r="I344">
        <f>HEX2DEC(Table1[[#This Row],[utf8]])</f>
        <v>127942</v>
      </c>
      <c r="J344" t="str">
        <f>_xlfn.UNICHAR(HEX2DEC(Table1[[#This Row],[utf8]]))</f>
        <v>🏆</v>
      </c>
      <c r="K344" s="3" t="str" cm="1">
        <f t="array" ref="K344">"Case "&amp;wRandomLetter()&amp;wRandomLetter()&amp;I344&amp;":    UniConst = ChrW(" &amp; I344 &amp;")"</f>
        <v>Case Fn127942:    UniConst = ChrW(127942)</v>
      </c>
    </row>
    <row r="345" spans="1:11" hidden="1">
      <c r="A345" t="s">
        <v>2125</v>
      </c>
      <c r="B345" t="str">
        <f t="shared" si="32"/>
        <v>1F3C7 ; fully-qualified # 🏇 E1.0 horse racing</v>
      </c>
      <c r="C345" t="str">
        <f t="shared" si="33"/>
        <v xml:space="preserve">1F3C7 </v>
      </c>
      <c r="D345">
        <f t="shared" si="34"/>
        <v>6</v>
      </c>
      <c r="E345" t="str">
        <f t="shared" si="30"/>
        <v xml:space="preserve"> 🏇 E1.0 horse racing</v>
      </c>
      <c r="F345" t="b">
        <f t="shared" si="35"/>
        <v>1</v>
      </c>
      <c r="G345" t="str">
        <f t="shared" si="31"/>
        <v>1F3C7</v>
      </c>
      <c r="I345">
        <f>HEX2DEC(Table1[[#This Row],[utf8]])</f>
        <v>127943</v>
      </c>
      <c r="J345" t="str">
        <f>_xlfn.UNICHAR(HEX2DEC(Table1[[#This Row],[utf8]]))</f>
        <v>🏇</v>
      </c>
      <c r="K345" s="3" t="str" cm="1">
        <f t="array" ref="K345">"Case "&amp;wRandomLetter()&amp;wRandomLetter()&amp;I345&amp;":    UniConst = ChrW(" &amp; I345 &amp;")"</f>
        <v>Case rO127943:    UniConst = ChrW(127943)</v>
      </c>
    </row>
    <row r="346" spans="1:11" hidden="1">
      <c r="A346" t="s">
        <v>2126</v>
      </c>
      <c r="B346" t="str">
        <f t="shared" si="32"/>
        <v>1F3C7 1F3FB ; fully-qualified # 🏇🏻 E1.0 horse racing: light skin tone</v>
      </c>
      <c r="C346" t="str">
        <f t="shared" si="33"/>
        <v xml:space="preserve">1F3C7 1F3FB </v>
      </c>
      <c r="D346">
        <f t="shared" si="34"/>
        <v>12</v>
      </c>
      <c r="E346" t="str">
        <f t="shared" si="30"/>
        <v xml:space="preserve"> 🏇🏻 E1.0 horse racing: light skin tone</v>
      </c>
      <c r="F346" t="b">
        <f t="shared" si="35"/>
        <v>1</v>
      </c>
      <c r="G346" t="str">
        <f t="shared" si="31"/>
        <v>1F3C7</v>
      </c>
      <c r="I346">
        <f>HEX2DEC(Table1[[#This Row],[utf8]])</f>
        <v>127943</v>
      </c>
      <c r="J346" t="str">
        <f>_xlfn.UNICHAR(HEX2DEC(Table1[[#This Row],[utf8]]))</f>
        <v>🏇</v>
      </c>
      <c r="K346" s="3" t="str" cm="1">
        <f t="array" ref="K346">"Case "&amp;wRandomLetter()&amp;wRandomLetter()&amp;I346&amp;":    UniConst = ChrW(" &amp; I346 &amp;")"</f>
        <v>Case iH127943:    UniConst = ChrW(127943)</v>
      </c>
    </row>
    <row r="347" spans="1:11" hidden="1">
      <c r="A347" t="s">
        <v>2127</v>
      </c>
      <c r="B347" t="str">
        <f t="shared" si="32"/>
        <v>1F3C7 1F3FC ; fully-qualified # 🏇🏼 E1.0 horse racing: medium-light skin tone</v>
      </c>
      <c r="C347" t="str">
        <f t="shared" si="33"/>
        <v xml:space="preserve">1F3C7 1F3FC </v>
      </c>
      <c r="D347">
        <f t="shared" si="34"/>
        <v>12</v>
      </c>
      <c r="E347" t="str">
        <f t="shared" si="30"/>
        <v xml:space="preserve"> 🏇🏼 E1.0 horse racing: medium-light skin tone</v>
      </c>
      <c r="F347" t="b">
        <f t="shared" si="35"/>
        <v>1</v>
      </c>
      <c r="G347" t="str">
        <f t="shared" si="31"/>
        <v>1F3C7</v>
      </c>
      <c r="I347">
        <f>HEX2DEC(Table1[[#This Row],[utf8]])</f>
        <v>127943</v>
      </c>
      <c r="J347" t="str">
        <f>_xlfn.UNICHAR(HEX2DEC(Table1[[#This Row],[utf8]]))</f>
        <v>🏇</v>
      </c>
      <c r="K347" s="3" t="str" cm="1">
        <f t="array" ref="K347">"Case "&amp;wRandomLetter()&amp;wRandomLetter()&amp;I347&amp;":    UniConst = ChrW(" &amp; I347 &amp;")"</f>
        <v>Case dY127943:    UniConst = ChrW(127943)</v>
      </c>
    </row>
    <row r="348" spans="1:11" hidden="1">
      <c r="A348" t="s">
        <v>2128</v>
      </c>
      <c r="B348" t="str">
        <f t="shared" si="32"/>
        <v>1F3C7 1F3FD ; fully-qualified # 🏇🏽 E1.0 horse racing: medium skin tone</v>
      </c>
      <c r="C348" t="str">
        <f t="shared" si="33"/>
        <v xml:space="preserve">1F3C7 1F3FD </v>
      </c>
      <c r="D348">
        <f t="shared" si="34"/>
        <v>12</v>
      </c>
      <c r="E348" t="str">
        <f t="shared" si="30"/>
        <v xml:space="preserve"> 🏇🏽 E1.0 horse racing: medium skin tone</v>
      </c>
      <c r="F348" t="b">
        <f t="shared" si="35"/>
        <v>1</v>
      </c>
      <c r="G348" t="str">
        <f t="shared" si="31"/>
        <v>1F3C7</v>
      </c>
      <c r="I348">
        <f>HEX2DEC(Table1[[#This Row],[utf8]])</f>
        <v>127943</v>
      </c>
      <c r="J348" t="str">
        <f>_xlfn.UNICHAR(HEX2DEC(Table1[[#This Row],[utf8]]))</f>
        <v>🏇</v>
      </c>
      <c r="K348" s="3" t="str" cm="1">
        <f t="array" ref="K348">"Case "&amp;wRandomLetter()&amp;wRandomLetter()&amp;I348&amp;":    UniConst = ChrW(" &amp; I348 &amp;")"</f>
        <v>Case Kk127943:    UniConst = ChrW(127943)</v>
      </c>
    </row>
    <row r="349" spans="1:11" hidden="1">
      <c r="A349" t="s">
        <v>2129</v>
      </c>
      <c r="B349" t="str">
        <f t="shared" si="32"/>
        <v>1F3C7 1F3FE ; fully-qualified # 🏇🏾 E1.0 horse racing: medium-dark skin tone</v>
      </c>
      <c r="C349" t="str">
        <f t="shared" si="33"/>
        <v xml:space="preserve">1F3C7 1F3FE </v>
      </c>
      <c r="D349">
        <f t="shared" si="34"/>
        <v>12</v>
      </c>
      <c r="E349" t="str">
        <f t="shared" si="30"/>
        <v xml:space="preserve"> 🏇🏾 E1.0 horse racing: medium-dark skin tone</v>
      </c>
      <c r="F349" t="b">
        <f t="shared" si="35"/>
        <v>1</v>
      </c>
      <c r="G349" t="str">
        <f t="shared" si="31"/>
        <v>1F3C7</v>
      </c>
      <c r="I349">
        <f>HEX2DEC(Table1[[#This Row],[utf8]])</f>
        <v>127943</v>
      </c>
      <c r="J349" t="str">
        <f>_xlfn.UNICHAR(HEX2DEC(Table1[[#This Row],[utf8]]))</f>
        <v>🏇</v>
      </c>
      <c r="K349" s="3" t="str" cm="1">
        <f t="array" ref="K349">"Case "&amp;wRandomLetter()&amp;wRandomLetter()&amp;I349&amp;":    UniConst = ChrW(" &amp; I349 &amp;")"</f>
        <v>Case Fk127943:    UniConst = ChrW(127943)</v>
      </c>
    </row>
    <row r="350" spans="1:11" hidden="1">
      <c r="A350" t="s">
        <v>2130</v>
      </c>
      <c r="B350" t="str">
        <f t="shared" si="32"/>
        <v>1F3C7 1F3FF ; fully-qualified # 🏇🏿 E1.0 horse racing: dark skin tone</v>
      </c>
      <c r="C350" t="str">
        <f t="shared" si="33"/>
        <v xml:space="preserve">1F3C7 1F3FF </v>
      </c>
      <c r="D350">
        <f t="shared" si="34"/>
        <v>12</v>
      </c>
      <c r="E350" t="str">
        <f t="shared" si="30"/>
        <v xml:space="preserve"> 🏇🏿 E1.0 horse racing: dark skin tone</v>
      </c>
      <c r="F350" t="b">
        <f t="shared" si="35"/>
        <v>1</v>
      </c>
      <c r="G350" t="str">
        <f t="shared" si="31"/>
        <v>1F3C7</v>
      </c>
      <c r="I350">
        <f>HEX2DEC(Table1[[#This Row],[utf8]])</f>
        <v>127943</v>
      </c>
      <c r="J350" t="str">
        <f>_xlfn.UNICHAR(HEX2DEC(Table1[[#This Row],[utf8]]))</f>
        <v>🏇</v>
      </c>
      <c r="K350" s="3" t="str" cm="1">
        <f t="array" ref="K350">"Case "&amp;wRandomLetter()&amp;wRandomLetter()&amp;I350&amp;":    UniConst = ChrW(" &amp; I350 &amp;")"</f>
        <v>Case fE127943:    UniConst = ChrW(127943)</v>
      </c>
    </row>
    <row r="351" spans="1:11" hidden="1">
      <c r="A351" t="s">
        <v>3737</v>
      </c>
      <c r="B351" t="str">
        <f t="shared" si="32"/>
        <v>1F3C8 ; fully-qualified # 🏈 E0.6 american football</v>
      </c>
      <c r="C351" t="str">
        <f t="shared" si="33"/>
        <v xml:space="preserve">1F3C8 </v>
      </c>
      <c r="D351">
        <f t="shared" si="34"/>
        <v>6</v>
      </c>
      <c r="E351" t="str">
        <f t="shared" si="30"/>
        <v xml:space="preserve"> 🏈 E0.6 american football</v>
      </c>
      <c r="F351" t="b">
        <f t="shared" si="35"/>
        <v>1</v>
      </c>
      <c r="G351" t="str">
        <f t="shared" si="31"/>
        <v>1F3C8</v>
      </c>
      <c r="I351">
        <f>HEX2DEC(Table1[[#This Row],[utf8]])</f>
        <v>127944</v>
      </c>
      <c r="J351" t="str">
        <f>_xlfn.UNICHAR(HEX2DEC(Table1[[#This Row],[utf8]]))</f>
        <v>🏈</v>
      </c>
      <c r="K351" s="3" t="str" cm="1">
        <f t="array" ref="K351">"Case "&amp;wRandomLetter()&amp;wRandomLetter()&amp;I351&amp;":    UniConst = ChrW(" &amp; I351 &amp;")"</f>
        <v>Case Xc127944:    UniConst = ChrW(127944)</v>
      </c>
    </row>
    <row r="352" spans="1:11" hidden="1">
      <c r="A352" t="s">
        <v>3738</v>
      </c>
      <c r="B352" t="str">
        <f t="shared" si="32"/>
        <v>1F3C9 ; fully-qualified # 🏉 E1.0 rugby football</v>
      </c>
      <c r="C352" t="str">
        <f t="shared" si="33"/>
        <v xml:space="preserve">1F3C9 </v>
      </c>
      <c r="D352">
        <f t="shared" si="34"/>
        <v>6</v>
      </c>
      <c r="E352" t="str">
        <f t="shared" si="30"/>
        <v xml:space="preserve"> 🏉 E1.0 rugby football</v>
      </c>
      <c r="F352" t="b">
        <f t="shared" si="35"/>
        <v>1</v>
      </c>
      <c r="G352" t="str">
        <f t="shared" si="31"/>
        <v>1F3C9</v>
      </c>
      <c r="I352">
        <f>HEX2DEC(Table1[[#This Row],[utf8]])</f>
        <v>127945</v>
      </c>
      <c r="J352" t="str">
        <f>_xlfn.UNICHAR(HEX2DEC(Table1[[#This Row],[utf8]]))</f>
        <v>🏉</v>
      </c>
      <c r="K352" s="3" t="str" cm="1">
        <f t="array" ref="K352">"Case "&amp;wRandomLetter()&amp;wRandomLetter()&amp;I352&amp;":    UniConst = ChrW(" &amp; I352 &amp;")"</f>
        <v>Case zR127945:    UniConst = ChrW(127945)</v>
      </c>
    </row>
    <row r="353" spans="1:11" hidden="1">
      <c r="A353" t="s">
        <v>2234</v>
      </c>
      <c r="B353" t="str">
        <f t="shared" si="32"/>
        <v>1F3CA ; fully-qualified # 🏊 E0.6 person swimming</v>
      </c>
      <c r="C353" t="str">
        <f t="shared" si="33"/>
        <v xml:space="preserve">1F3CA </v>
      </c>
      <c r="D353">
        <f t="shared" si="34"/>
        <v>6</v>
      </c>
      <c r="E353" t="str">
        <f t="shared" si="30"/>
        <v xml:space="preserve"> 🏊 E0.6 person swimming</v>
      </c>
      <c r="F353" t="b">
        <f t="shared" si="35"/>
        <v>1</v>
      </c>
      <c r="G353" t="str">
        <f t="shared" si="31"/>
        <v>1F3CA</v>
      </c>
      <c r="I353">
        <f>HEX2DEC(Table1[[#This Row],[utf8]])</f>
        <v>127946</v>
      </c>
      <c r="J353" t="str">
        <f>_xlfn.UNICHAR(HEX2DEC(Table1[[#This Row],[utf8]]))</f>
        <v>🏊</v>
      </c>
      <c r="K353" s="3" t="str" cm="1">
        <f t="array" ref="K353">"Case "&amp;wRandomLetter()&amp;wRandomLetter()&amp;I353&amp;":    UniConst = ChrW(" &amp; I353 &amp;")"</f>
        <v>Case SS127946:    UniConst = ChrW(127946)</v>
      </c>
    </row>
    <row r="354" spans="1:11" hidden="1">
      <c r="A354" t="s">
        <v>2235</v>
      </c>
      <c r="B354" t="str">
        <f t="shared" si="32"/>
        <v>1F3CA 1F3FB ; fully-qualified # 🏊🏻 E1.0 person swimming: light skin tone</v>
      </c>
      <c r="C354" t="str">
        <f t="shared" si="33"/>
        <v xml:space="preserve">1F3CA 1F3FB </v>
      </c>
      <c r="D354">
        <f t="shared" si="34"/>
        <v>12</v>
      </c>
      <c r="E354" t="str">
        <f t="shared" si="30"/>
        <v xml:space="preserve"> 🏊🏻 E1.0 person swimming: light skin tone</v>
      </c>
      <c r="F354" t="b">
        <f t="shared" si="35"/>
        <v>1</v>
      </c>
      <c r="G354" t="str">
        <f t="shared" si="31"/>
        <v>1F3CA</v>
      </c>
      <c r="I354">
        <f>HEX2DEC(Table1[[#This Row],[utf8]])</f>
        <v>127946</v>
      </c>
      <c r="J354" t="str">
        <f>_xlfn.UNICHAR(HEX2DEC(Table1[[#This Row],[utf8]]))</f>
        <v>🏊</v>
      </c>
      <c r="K354" s="3" t="str" cm="1">
        <f t="array" ref="K354">"Case "&amp;wRandomLetter()&amp;wRandomLetter()&amp;I354&amp;":    UniConst = ChrW(" &amp; I354 &amp;")"</f>
        <v>Case qN127946:    UniConst = ChrW(127946)</v>
      </c>
    </row>
    <row r="355" spans="1:11" hidden="1">
      <c r="A355" t="s">
        <v>2255</v>
      </c>
      <c r="B355" t="str">
        <f t="shared" si="32"/>
        <v>1F3CA 1F3FB 200D 2640 ; minimally-qualified # 🏊🏻‍♀ E4.0 woman swimming: light skin tone</v>
      </c>
      <c r="C355" t="str">
        <f t="shared" si="33"/>
        <v xml:space="preserve">1F3CA 1F3FB 200D 2640 </v>
      </c>
      <c r="D355">
        <f t="shared" si="34"/>
        <v>22</v>
      </c>
      <c r="E355" t="str">
        <f t="shared" si="30"/>
        <v xml:space="preserve"> 🏊🏻‍♀ E4.0 woman swimming: light skin tone</v>
      </c>
      <c r="F355" t="b">
        <f t="shared" si="35"/>
        <v>1</v>
      </c>
      <c r="G355" t="str">
        <f t="shared" si="31"/>
        <v>1F3CA</v>
      </c>
      <c r="I355">
        <f>HEX2DEC(Table1[[#This Row],[utf8]])</f>
        <v>127946</v>
      </c>
      <c r="J355" t="str">
        <f>_xlfn.UNICHAR(HEX2DEC(Table1[[#This Row],[utf8]]))</f>
        <v>🏊</v>
      </c>
      <c r="K355" s="3" t="str" cm="1">
        <f t="array" ref="K355">"Case "&amp;wRandomLetter()&amp;wRandomLetter()&amp;I355&amp;":    UniConst = ChrW(" &amp; I355 &amp;")"</f>
        <v>Case Fq127946:    UniConst = ChrW(127946)</v>
      </c>
    </row>
    <row r="356" spans="1:11" hidden="1">
      <c r="A356" t="s">
        <v>2254</v>
      </c>
      <c r="B356" t="str">
        <f t="shared" si="32"/>
        <v>1F3CA 1F3FB 200D 2640 FE0F ; fully-qualified # 🏊🏻‍♀️ E4.0 woman swimming: light skin tone</v>
      </c>
      <c r="C356" t="str">
        <f t="shared" si="33"/>
        <v xml:space="preserve">1F3CA 1F3FB 200D 2640 FE0F </v>
      </c>
      <c r="D356">
        <f t="shared" si="34"/>
        <v>27</v>
      </c>
      <c r="E356" t="str">
        <f t="shared" si="30"/>
        <v xml:space="preserve"> 🏊🏻‍♀️ E4.0 woman swimming: light skin tone</v>
      </c>
      <c r="F356" t="b">
        <f t="shared" si="35"/>
        <v>1</v>
      </c>
      <c r="G356" t="str">
        <f t="shared" si="31"/>
        <v>1F3CA</v>
      </c>
      <c r="I356">
        <f>HEX2DEC(Table1[[#This Row],[utf8]])</f>
        <v>127946</v>
      </c>
      <c r="J356" t="str">
        <f>_xlfn.UNICHAR(HEX2DEC(Table1[[#This Row],[utf8]]))</f>
        <v>🏊</v>
      </c>
      <c r="K356" s="3" t="str" cm="1">
        <f t="array" ref="K356">"Case "&amp;wRandomLetter()&amp;wRandomLetter()&amp;I356&amp;":    UniConst = ChrW(" &amp; I356 &amp;")"</f>
        <v>Case Mw127946:    UniConst = ChrW(127946)</v>
      </c>
    </row>
    <row r="357" spans="1:11" hidden="1">
      <c r="A357" t="s">
        <v>2243</v>
      </c>
      <c r="B357" t="str">
        <f t="shared" si="32"/>
        <v>1F3CA 1F3FB 200D 2642 ; minimally-qualified # 🏊🏻‍♂ E4.0 man swimming: light skin tone</v>
      </c>
      <c r="C357" t="str">
        <f t="shared" si="33"/>
        <v xml:space="preserve">1F3CA 1F3FB 200D 2642 </v>
      </c>
      <c r="D357">
        <f t="shared" si="34"/>
        <v>22</v>
      </c>
      <c r="E357" t="str">
        <f t="shared" si="30"/>
        <v xml:space="preserve"> 🏊🏻‍♂ E4.0 man swimming: light skin tone</v>
      </c>
      <c r="F357" t="b">
        <f t="shared" si="35"/>
        <v>1</v>
      </c>
      <c r="G357" t="str">
        <f t="shared" si="31"/>
        <v>1F3CA</v>
      </c>
      <c r="I357">
        <f>HEX2DEC(Table1[[#This Row],[utf8]])</f>
        <v>127946</v>
      </c>
      <c r="J357" t="str">
        <f>_xlfn.UNICHAR(HEX2DEC(Table1[[#This Row],[utf8]]))</f>
        <v>🏊</v>
      </c>
      <c r="K357" s="3" t="str" cm="1">
        <f t="array" ref="K357">"Case "&amp;wRandomLetter()&amp;wRandomLetter()&amp;I357&amp;":    UniConst = ChrW(" &amp; I357 &amp;")"</f>
        <v>Case ny127946:    UniConst = ChrW(127946)</v>
      </c>
    </row>
    <row r="358" spans="1:11" hidden="1">
      <c r="A358" t="s">
        <v>2242</v>
      </c>
      <c r="B358" t="str">
        <f t="shared" si="32"/>
        <v>1F3CA 1F3FB 200D 2642 FE0F ; fully-qualified # 🏊🏻‍♂️ E4.0 man swimming: light skin tone</v>
      </c>
      <c r="C358" t="str">
        <f t="shared" si="33"/>
        <v xml:space="preserve">1F3CA 1F3FB 200D 2642 FE0F </v>
      </c>
      <c r="D358">
        <f t="shared" si="34"/>
        <v>27</v>
      </c>
      <c r="E358" t="str">
        <f t="shared" si="30"/>
        <v xml:space="preserve"> 🏊🏻‍♂️ E4.0 man swimming: light skin tone</v>
      </c>
      <c r="F358" t="b">
        <f t="shared" si="35"/>
        <v>1</v>
      </c>
      <c r="G358" t="str">
        <f t="shared" si="31"/>
        <v>1F3CA</v>
      </c>
      <c r="I358">
        <f>HEX2DEC(Table1[[#This Row],[utf8]])</f>
        <v>127946</v>
      </c>
      <c r="J358" t="str">
        <f>_xlfn.UNICHAR(HEX2DEC(Table1[[#This Row],[utf8]]))</f>
        <v>🏊</v>
      </c>
      <c r="K358" s="3" t="str" cm="1">
        <f t="array" ref="K358">"Case "&amp;wRandomLetter()&amp;wRandomLetter()&amp;I358&amp;":    UniConst = ChrW(" &amp; I358 &amp;")"</f>
        <v>Case dJ127946:    UniConst = ChrW(127946)</v>
      </c>
    </row>
    <row r="359" spans="1:11" hidden="1">
      <c r="A359" t="s">
        <v>2236</v>
      </c>
      <c r="B359" t="str">
        <f t="shared" si="32"/>
        <v>1F3CA 1F3FC ; fully-qualified # 🏊🏼 E1.0 person swimming: medium-light skin tone</v>
      </c>
      <c r="C359" t="str">
        <f t="shared" si="33"/>
        <v xml:space="preserve">1F3CA 1F3FC </v>
      </c>
      <c r="D359">
        <f t="shared" si="34"/>
        <v>12</v>
      </c>
      <c r="E359" t="str">
        <f t="shared" si="30"/>
        <v xml:space="preserve"> 🏊🏼 E1.0 person swimming: medium-light skin tone</v>
      </c>
      <c r="F359" t="b">
        <f t="shared" si="35"/>
        <v>1</v>
      </c>
      <c r="G359" t="str">
        <f t="shared" si="31"/>
        <v>1F3CA</v>
      </c>
      <c r="I359">
        <f>HEX2DEC(Table1[[#This Row],[utf8]])</f>
        <v>127946</v>
      </c>
      <c r="J359" t="str">
        <f>_xlfn.UNICHAR(HEX2DEC(Table1[[#This Row],[utf8]]))</f>
        <v>🏊</v>
      </c>
      <c r="K359" s="3" t="str" cm="1">
        <f t="array" ref="K359">"Case "&amp;wRandomLetter()&amp;wRandomLetter()&amp;I359&amp;":    UniConst = ChrW(" &amp; I359 &amp;")"</f>
        <v>Case UN127946:    UniConst = ChrW(127946)</v>
      </c>
    </row>
    <row r="360" spans="1:11" hidden="1">
      <c r="A360" t="s">
        <v>2257</v>
      </c>
      <c r="B360" t="str">
        <f t="shared" si="32"/>
        <v>1F3CA 1F3FC 200D 2640 ; minimally-qualified # 🏊🏼‍♀ E4.0 woman swimming: medium-light skin tone</v>
      </c>
      <c r="C360" t="str">
        <f t="shared" si="33"/>
        <v xml:space="preserve">1F3CA 1F3FC 200D 2640 </v>
      </c>
      <c r="D360">
        <f t="shared" si="34"/>
        <v>22</v>
      </c>
      <c r="E360" t="str">
        <f t="shared" si="30"/>
        <v xml:space="preserve"> 🏊🏼‍♀ E4.0 woman swimming: medium-light skin tone</v>
      </c>
      <c r="F360" t="b">
        <f t="shared" si="35"/>
        <v>1</v>
      </c>
      <c r="G360" t="str">
        <f t="shared" si="31"/>
        <v>1F3CA</v>
      </c>
      <c r="I360">
        <f>HEX2DEC(Table1[[#This Row],[utf8]])</f>
        <v>127946</v>
      </c>
      <c r="J360" t="str">
        <f>_xlfn.UNICHAR(HEX2DEC(Table1[[#This Row],[utf8]]))</f>
        <v>🏊</v>
      </c>
      <c r="K360" s="3" t="str" cm="1">
        <f t="array" ref="K360">"Case "&amp;wRandomLetter()&amp;wRandomLetter()&amp;I360&amp;":    UniConst = ChrW(" &amp; I360 &amp;")"</f>
        <v>Case Ar127946:    UniConst = ChrW(127946)</v>
      </c>
    </row>
    <row r="361" spans="1:11" hidden="1">
      <c r="A361" t="s">
        <v>2256</v>
      </c>
      <c r="B361" t="str">
        <f t="shared" si="32"/>
        <v>1F3CA 1F3FC 200D 2640 FE0F ; fully-qualified # 🏊🏼‍♀️ E4.0 woman swimming: medium-light skin tone</v>
      </c>
      <c r="C361" t="str">
        <f t="shared" si="33"/>
        <v xml:space="preserve">1F3CA 1F3FC 200D 2640 FE0F </v>
      </c>
      <c r="D361">
        <f t="shared" si="34"/>
        <v>27</v>
      </c>
      <c r="E361" t="str">
        <f t="shared" si="30"/>
        <v xml:space="preserve"> 🏊🏼‍♀️ E4.0 woman swimming: medium-light skin tone</v>
      </c>
      <c r="F361" t="b">
        <f t="shared" si="35"/>
        <v>1</v>
      </c>
      <c r="G361" t="str">
        <f t="shared" si="31"/>
        <v>1F3CA</v>
      </c>
      <c r="I361">
        <f>HEX2DEC(Table1[[#This Row],[utf8]])</f>
        <v>127946</v>
      </c>
      <c r="J361" t="str">
        <f>_xlfn.UNICHAR(HEX2DEC(Table1[[#This Row],[utf8]]))</f>
        <v>🏊</v>
      </c>
      <c r="K361" s="3" t="str" cm="1">
        <f t="array" ref="K361">"Case "&amp;wRandomLetter()&amp;wRandomLetter()&amp;I361&amp;":    UniConst = ChrW(" &amp; I361 &amp;")"</f>
        <v>Case gP127946:    UniConst = ChrW(127946)</v>
      </c>
    </row>
    <row r="362" spans="1:11" hidden="1">
      <c r="A362" t="s">
        <v>2245</v>
      </c>
      <c r="B362" t="str">
        <f t="shared" si="32"/>
        <v>1F3CA 1F3FC 200D 2642 ; minimally-qualified # 🏊🏼‍♂ E4.0 man swimming: medium-light skin tone</v>
      </c>
      <c r="C362" t="str">
        <f t="shared" si="33"/>
        <v xml:space="preserve">1F3CA 1F3FC 200D 2642 </v>
      </c>
      <c r="D362">
        <f t="shared" si="34"/>
        <v>22</v>
      </c>
      <c r="E362" t="str">
        <f t="shared" si="30"/>
        <v xml:space="preserve"> 🏊🏼‍♂ E4.0 man swimming: medium-light skin tone</v>
      </c>
      <c r="F362" t="b">
        <f t="shared" si="35"/>
        <v>1</v>
      </c>
      <c r="G362" t="str">
        <f t="shared" si="31"/>
        <v>1F3CA</v>
      </c>
      <c r="I362">
        <f>HEX2DEC(Table1[[#This Row],[utf8]])</f>
        <v>127946</v>
      </c>
      <c r="J362" t="str">
        <f>_xlfn.UNICHAR(HEX2DEC(Table1[[#This Row],[utf8]]))</f>
        <v>🏊</v>
      </c>
      <c r="K362" s="3" t="str" cm="1">
        <f t="array" ref="K362">"Case "&amp;wRandomLetter()&amp;wRandomLetter()&amp;I362&amp;":    UniConst = ChrW(" &amp; I362 &amp;")"</f>
        <v>Case iw127946:    UniConst = ChrW(127946)</v>
      </c>
    </row>
    <row r="363" spans="1:11" hidden="1">
      <c r="A363" t="s">
        <v>2244</v>
      </c>
      <c r="B363" t="str">
        <f t="shared" si="32"/>
        <v>1F3CA 1F3FC 200D 2642 FE0F ; fully-qualified # 🏊🏼‍♂️ E4.0 man swimming: medium-light skin tone</v>
      </c>
      <c r="C363" t="str">
        <f t="shared" si="33"/>
        <v xml:space="preserve">1F3CA 1F3FC 200D 2642 FE0F </v>
      </c>
      <c r="D363">
        <f t="shared" si="34"/>
        <v>27</v>
      </c>
      <c r="E363" t="str">
        <f t="shared" si="30"/>
        <v xml:space="preserve"> 🏊🏼‍♂️ E4.0 man swimming: medium-light skin tone</v>
      </c>
      <c r="F363" t="b">
        <f t="shared" si="35"/>
        <v>1</v>
      </c>
      <c r="G363" t="str">
        <f t="shared" si="31"/>
        <v>1F3CA</v>
      </c>
      <c r="I363">
        <f>HEX2DEC(Table1[[#This Row],[utf8]])</f>
        <v>127946</v>
      </c>
      <c r="J363" t="str">
        <f>_xlfn.UNICHAR(HEX2DEC(Table1[[#This Row],[utf8]]))</f>
        <v>🏊</v>
      </c>
      <c r="K363" s="3" t="str" cm="1">
        <f t="array" ref="K363">"Case "&amp;wRandomLetter()&amp;wRandomLetter()&amp;I363&amp;":    UniConst = ChrW(" &amp; I363 &amp;")"</f>
        <v>Case Ja127946:    UniConst = ChrW(127946)</v>
      </c>
    </row>
    <row r="364" spans="1:11" hidden="1">
      <c r="A364" t="s">
        <v>2237</v>
      </c>
      <c r="B364" t="str">
        <f t="shared" si="32"/>
        <v>1F3CA 1F3FD ; fully-qualified # 🏊🏽 E1.0 person swimming: medium skin tone</v>
      </c>
      <c r="C364" t="str">
        <f t="shared" si="33"/>
        <v xml:space="preserve">1F3CA 1F3FD </v>
      </c>
      <c r="D364">
        <f t="shared" si="34"/>
        <v>12</v>
      </c>
      <c r="E364" t="str">
        <f t="shared" si="30"/>
        <v xml:space="preserve"> 🏊🏽 E1.0 person swimming: medium skin tone</v>
      </c>
      <c r="F364" t="b">
        <f t="shared" si="35"/>
        <v>1</v>
      </c>
      <c r="G364" t="str">
        <f t="shared" si="31"/>
        <v>1F3CA</v>
      </c>
      <c r="I364">
        <f>HEX2DEC(Table1[[#This Row],[utf8]])</f>
        <v>127946</v>
      </c>
      <c r="J364" t="str">
        <f>_xlfn.UNICHAR(HEX2DEC(Table1[[#This Row],[utf8]]))</f>
        <v>🏊</v>
      </c>
      <c r="K364" s="3" t="str" cm="1">
        <f t="array" ref="K364">"Case "&amp;wRandomLetter()&amp;wRandomLetter()&amp;I364&amp;":    UniConst = ChrW(" &amp; I364 &amp;")"</f>
        <v>Case FO127946:    UniConst = ChrW(127946)</v>
      </c>
    </row>
    <row r="365" spans="1:11" hidden="1">
      <c r="A365" t="s">
        <v>2259</v>
      </c>
      <c r="B365" t="str">
        <f t="shared" si="32"/>
        <v>1F3CA 1F3FD 200D 2640 ; minimally-qualified # 🏊🏽‍♀ E4.0 woman swimming: medium skin tone</v>
      </c>
      <c r="C365" t="str">
        <f t="shared" si="33"/>
        <v xml:space="preserve">1F3CA 1F3FD 200D 2640 </v>
      </c>
      <c r="D365">
        <f t="shared" si="34"/>
        <v>22</v>
      </c>
      <c r="E365" t="str">
        <f t="shared" si="30"/>
        <v xml:space="preserve"> 🏊🏽‍♀ E4.0 woman swimming: medium skin tone</v>
      </c>
      <c r="F365" t="b">
        <f t="shared" si="35"/>
        <v>1</v>
      </c>
      <c r="G365" t="str">
        <f t="shared" si="31"/>
        <v>1F3CA</v>
      </c>
      <c r="I365">
        <f>HEX2DEC(Table1[[#This Row],[utf8]])</f>
        <v>127946</v>
      </c>
      <c r="J365" t="str">
        <f>_xlfn.UNICHAR(HEX2DEC(Table1[[#This Row],[utf8]]))</f>
        <v>🏊</v>
      </c>
      <c r="K365" s="3" t="str" cm="1">
        <f t="array" ref="K365">"Case "&amp;wRandomLetter()&amp;wRandomLetter()&amp;I365&amp;":    UniConst = ChrW(" &amp; I365 &amp;")"</f>
        <v>Case hy127946:    UniConst = ChrW(127946)</v>
      </c>
    </row>
    <row r="366" spans="1:11" hidden="1">
      <c r="A366" t="s">
        <v>2258</v>
      </c>
      <c r="B366" t="str">
        <f t="shared" si="32"/>
        <v>1F3CA 1F3FD 200D 2640 FE0F ; fully-qualified # 🏊🏽‍♀️ E4.0 woman swimming: medium skin tone</v>
      </c>
      <c r="C366" t="str">
        <f t="shared" si="33"/>
        <v xml:space="preserve">1F3CA 1F3FD 200D 2640 FE0F </v>
      </c>
      <c r="D366">
        <f t="shared" si="34"/>
        <v>27</v>
      </c>
      <c r="E366" t="str">
        <f t="shared" si="30"/>
        <v xml:space="preserve"> 🏊🏽‍♀️ E4.0 woman swimming: medium skin tone</v>
      </c>
      <c r="F366" t="b">
        <f t="shared" si="35"/>
        <v>1</v>
      </c>
      <c r="G366" t="str">
        <f t="shared" si="31"/>
        <v>1F3CA</v>
      </c>
      <c r="I366">
        <f>HEX2DEC(Table1[[#This Row],[utf8]])</f>
        <v>127946</v>
      </c>
      <c r="J366" t="str">
        <f>_xlfn.UNICHAR(HEX2DEC(Table1[[#This Row],[utf8]]))</f>
        <v>🏊</v>
      </c>
      <c r="K366" s="3" t="str" cm="1">
        <f t="array" ref="K366">"Case "&amp;wRandomLetter()&amp;wRandomLetter()&amp;I366&amp;":    UniConst = ChrW(" &amp; I366 &amp;")"</f>
        <v>Case DU127946:    UniConst = ChrW(127946)</v>
      </c>
    </row>
    <row r="367" spans="1:11" hidden="1">
      <c r="A367" t="s">
        <v>2247</v>
      </c>
      <c r="B367" t="str">
        <f t="shared" si="32"/>
        <v>1F3CA 1F3FD 200D 2642 ; minimally-qualified # 🏊🏽‍♂ E4.0 man swimming: medium skin tone</v>
      </c>
      <c r="C367" t="str">
        <f t="shared" si="33"/>
        <v xml:space="preserve">1F3CA 1F3FD 200D 2642 </v>
      </c>
      <c r="D367">
        <f t="shared" si="34"/>
        <v>22</v>
      </c>
      <c r="E367" t="str">
        <f t="shared" si="30"/>
        <v xml:space="preserve"> 🏊🏽‍♂ E4.0 man swimming: medium skin tone</v>
      </c>
      <c r="F367" t="b">
        <f t="shared" si="35"/>
        <v>1</v>
      </c>
      <c r="G367" t="str">
        <f t="shared" si="31"/>
        <v>1F3CA</v>
      </c>
      <c r="I367">
        <f>HEX2DEC(Table1[[#This Row],[utf8]])</f>
        <v>127946</v>
      </c>
      <c r="J367" t="str">
        <f>_xlfn.UNICHAR(HEX2DEC(Table1[[#This Row],[utf8]]))</f>
        <v>🏊</v>
      </c>
      <c r="K367" s="3" t="str" cm="1">
        <f t="array" ref="K367">"Case "&amp;wRandomLetter()&amp;wRandomLetter()&amp;I367&amp;":    UniConst = ChrW(" &amp; I367 &amp;")"</f>
        <v>Case Cg127946:    UniConst = ChrW(127946)</v>
      </c>
    </row>
    <row r="368" spans="1:11" hidden="1">
      <c r="A368" t="s">
        <v>2246</v>
      </c>
      <c r="B368" t="str">
        <f t="shared" si="32"/>
        <v>1F3CA 1F3FD 200D 2642 FE0F ; fully-qualified # 🏊🏽‍♂️ E4.0 man swimming: medium skin tone</v>
      </c>
      <c r="C368" t="str">
        <f t="shared" si="33"/>
        <v xml:space="preserve">1F3CA 1F3FD 200D 2642 FE0F </v>
      </c>
      <c r="D368">
        <f t="shared" si="34"/>
        <v>27</v>
      </c>
      <c r="E368" t="str">
        <f t="shared" si="30"/>
        <v xml:space="preserve"> 🏊🏽‍♂️ E4.0 man swimming: medium skin tone</v>
      </c>
      <c r="F368" t="b">
        <f t="shared" si="35"/>
        <v>1</v>
      </c>
      <c r="G368" t="str">
        <f t="shared" si="31"/>
        <v>1F3CA</v>
      </c>
      <c r="I368">
        <f>HEX2DEC(Table1[[#This Row],[utf8]])</f>
        <v>127946</v>
      </c>
      <c r="J368" t="str">
        <f>_xlfn.UNICHAR(HEX2DEC(Table1[[#This Row],[utf8]]))</f>
        <v>🏊</v>
      </c>
      <c r="K368" s="3" t="str" cm="1">
        <f t="array" ref="K368">"Case "&amp;wRandomLetter()&amp;wRandomLetter()&amp;I368&amp;":    UniConst = ChrW(" &amp; I368 &amp;")"</f>
        <v>Case Hv127946:    UniConst = ChrW(127946)</v>
      </c>
    </row>
    <row r="369" spans="1:11" hidden="1">
      <c r="A369" t="s">
        <v>2238</v>
      </c>
      <c r="B369" t="str">
        <f t="shared" si="32"/>
        <v>1F3CA 1F3FE ; fully-qualified # 🏊🏾 E1.0 person swimming: medium-dark skin tone</v>
      </c>
      <c r="C369" t="str">
        <f t="shared" si="33"/>
        <v xml:space="preserve">1F3CA 1F3FE </v>
      </c>
      <c r="D369">
        <f t="shared" si="34"/>
        <v>12</v>
      </c>
      <c r="E369" t="str">
        <f t="shared" si="30"/>
        <v xml:space="preserve"> 🏊🏾 E1.0 person swimming: medium-dark skin tone</v>
      </c>
      <c r="F369" t="b">
        <f t="shared" si="35"/>
        <v>1</v>
      </c>
      <c r="G369" t="str">
        <f t="shared" si="31"/>
        <v>1F3CA</v>
      </c>
      <c r="I369">
        <f>HEX2DEC(Table1[[#This Row],[utf8]])</f>
        <v>127946</v>
      </c>
      <c r="J369" t="str">
        <f>_xlfn.UNICHAR(HEX2DEC(Table1[[#This Row],[utf8]]))</f>
        <v>🏊</v>
      </c>
      <c r="K369" s="3" t="str" cm="1">
        <f t="array" ref="K369">"Case "&amp;wRandomLetter()&amp;wRandomLetter()&amp;I369&amp;":    UniConst = ChrW(" &amp; I369 &amp;")"</f>
        <v>Case DH127946:    UniConst = ChrW(127946)</v>
      </c>
    </row>
    <row r="370" spans="1:11" hidden="1">
      <c r="A370" t="s">
        <v>2261</v>
      </c>
      <c r="B370" t="str">
        <f t="shared" si="32"/>
        <v>1F3CA 1F3FE 200D 2640 ; minimally-qualified # 🏊🏾‍♀ E4.0 woman swimming: medium-dark skin tone</v>
      </c>
      <c r="C370" t="str">
        <f t="shared" si="33"/>
        <v xml:space="preserve">1F3CA 1F3FE 200D 2640 </v>
      </c>
      <c r="D370">
        <f t="shared" si="34"/>
        <v>22</v>
      </c>
      <c r="E370" t="str">
        <f t="shared" si="30"/>
        <v xml:space="preserve"> 🏊🏾‍♀ E4.0 woman swimming: medium-dark skin tone</v>
      </c>
      <c r="F370" t="b">
        <f t="shared" si="35"/>
        <v>1</v>
      </c>
      <c r="G370" t="str">
        <f t="shared" si="31"/>
        <v>1F3CA</v>
      </c>
      <c r="I370">
        <f>HEX2DEC(Table1[[#This Row],[utf8]])</f>
        <v>127946</v>
      </c>
      <c r="J370" t="str">
        <f>_xlfn.UNICHAR(HEX2DEC(Table1[[#This Row],[utf8]]))</f>
        <v>🏊</v>
      </c>
      <c r="K370" s="3" t="str" cm="1">
        <f t="array" ref="K370">"Case "&amp;wRandomLetter()&amp;wRandomLetter()&amp;I370&amp;":    UniConst = ChrW(" &amp; I370 &amp;")"</f>
        <v>Case Bv127946:    UniConst = ChrW(127946)</v>
      </c>
    </row>
    <row r="371" spans="1:11" hidden="1">
      <c r="A371" t="s">
        <v>2260</v>
      </c>
      <c r="B371" t="str">
        <f t="shared" si="32"/>
        <v>1F3CA 1F3FE 200D 2640 FE0F ; fully-qualified # 🏊🏾‍♀️ E4.0 woman swimming: medium-dark skin tone</v>
      </c>
      <c r="C371" t="str">
        <f t="shared" si="33"/>
        <v xml:space="preserve">1F3CA 1F3FE 200D 2640 FE0F </v>
      </c>
      <c r="D371">
        <f t="shared" si="34"/>
        <v>27</v>
      </c>
      <c r="E371" t="str">
        <f t="shared" si="30"/>
        <v xml:space="preserve"> 🏊🏾‍♀️ E4.0 woman swimming: medium-dark skin tone</v>
      </c>
      <c r="F371" t="b">
        <f t="shared" si="35"/>
        <v>1</v>
      </c>
      <c r="G371" t="str">
        <f t="shared" si="31"/>
        <v>1F3CA</v>
      </c>
      <c r="I371">
        <f>HEX2DEC(Table1[[#This Row],[utf8]])</f>
        <v>127946</v>
      </c>
      <c r="J371" t="str">
        <f>_xlfn.UNICHAR(HEX2DEC(Table1[[#This Row],[utf8]]))</f>
        <v>🏊</v>
      </c>
      <c r="K371" s="3" t="str" cm="1">
        <f t="array" ref="K371">"Case "&amp;wRandomLetter()&amp;wRandomLetter()&amp;I371&amp;":    UniConst = ChrW(" &amp; I371 &amp;")"</f>
        <v>Case jJ127946:    UniConst = ChrW(127946)</v>
      </c>
    </row>
    <row r="372" spans="1:11" hidden="1">
      <c r="A372" t="s">
        <v>2249</v>
      </c>
      <c r="B372" t="str">
        <f t="shared" si="32"/>
        <v>1F3CA 1F3FE 200D 2642 ; minimally-qualified # 🏊🏾‍♂ E4.0 man swimming: medium-dark skin tone</v>
      </c>
      <c r="C372" t="str">
        <f t="shared" si="33"/>
        <v xml:space="preserve">1F3CA 1F3FE 200D 2642 </v>
      </c>
      <c r="D372">
        <f t="shared" si="34"/>
        <v>22</v>
      </c>
      <c r="E372" t="str">
        <f t="shared" si="30"/>
        <v xml:space="preserve"> 🏊🏾‍♂ E4.0 man swimming: medium-dark skin tone</v>
      </c>
      <c r="F372" t="b">
        <f t="shared" si="35"/>
        <v>1</v>
      </c>
      <c r="G372" t="str">
        <f t="shared" si="31"/>
        <v>1F3CA</v>
      </c>
      <c r="I372">
        <f>HEX2DEC(Table1[[#This Row],[utf8]])</f>
        <v>127946</v>
      </c>
      <c r="J372" t="str">
        <f>_xlfn.UNICHAR(HEX2DEC(Table1[[#This Row],[utf8]]))</f>
        <v>🏊</v>
      </c>
      <c r="K372" s="3" t="str" cm="1">
        <f t="array" ref="K372">"Case "&amp;wRandomLetter()&amp;wRandomLetter()&amp;I372&amp;":    UniConst = ChrW(" &amp; I372 &amp;")"</f>
        <v>Case NT127946:    UniConst = ChrW(127946)</v>
      </c>
    </row>
    <row r="373" spans="1:11" hidden="1">
      <c r="A373" t="s">
        <v>2248</v>
      </c>
      <c r="B373" t="str">
        <f t="shared" si="32"/>
        <v>1F3CA 1F3FE 200D 2642 FE0F ; fully-qualified # 🏊🏾‍♂️ E4.0 man swimming: medium-dark skin tone</v>
      </c>
      <c r="C373" t="str">
        <f t="shared" si="33"/>
        <v xml:space="preserve">1F3CA 1F3FE 200D 2642 FE0F </v>
      </c>
      <c r="D373">
        <f t="shared" si="34"/>
        <v>27</v>
      </c>
      <c r="E373" t="str">
        <f t="shared" si="30"/>
        <v xml:space="preserve"> 🏊🏾‍♂️ E4.0 man swimming: medium-dark skin tone</v>
      </c>
      <c r="F373" t="b">
        <f t="shared" si="35"/>
        <v>1</v>
      </c>
      <c r="G373" t="str">
        <f t="shared" si="31"/>
        <v>1F3CA</v>
      </c>
      <c r="I373">
        <f>HEX2DEC(Table1[[#This Row],[utf8]])</f>
        <v>127946</v>
      </c>
      <c r="J373" t="str">
        <f>_xlfn.UNICHAR(HEX2DEC(Table1[[#This Row],[utf8]]))</f>
        <v>🏊</v>
      </c>
      <c r="K373" s="3" t="str" cm="1">
        <f t="array" ref="K373">"Case "&amp;wRandomLetter()&amp;wRandomLetter()&amp;I373&amp;":    UniConst = ChrW(" &amp; I373 &amp;")"</f>
        <v>Case Lg127946:    UniConst = ChrW(127946)</v>
      </c>
    </row>
    <row r="374" spans="1:11" hidden="1">
      <c r="A374" t="s">
        <v>2239</v>
      </c>
      <c r="B374" t="str">
        <f t="shared" si="32"/>
        <v>1F3CA 1F3FF ; fully-qualified # 🏊🏿 E1.0 person swimming: dark skin tone</v>
      </c>
      <c r="C374" t="str">
        <f t="shared" si="33"/>
        <v xml:space="preserve">1F3CA 1F3FF </v>
      </c>
      <c r="D374">
        <f t="shared" si="34"/>
        <v>12</v>
      </c>
      <c r="E374" t="str">
        <f t="shared" si="30"/>
        <v xml:space="preserve"> 🏊🏿 E1.0 person swimming: dark skin tone</v>
      </c>
      <c r="F374" t="b">
        <f t="shared" si="35"/>
        <v>1</v>
      </c>
      <c r="G374" t="str">
        <f t="shared" si="31"/>
        <v>1F3CA</v>
      </c>
      <c r="I374">
        <f>HEX2DEC(Table1[[#This Row],[utf8]])</f>
        <v>127946</v>
      </c>
      <c r="J374" t="str">
        <f>_xlfn.UNICHAR(HEX2DEC(Table1[[#This Row],[utf8]]))</f>
        <v>🏊</v>
      </c>
      <c r="K374" s="3" t="str" cm="1">
        <f t="array" ref="K374">"Case "&amp;wRandomLetter()&amp;wRandomLetter()&amp;I374&amp;":    UniConst = ChrW(" &amp; I374 &amp;")"</f>
        <v>Case aG127946:    UniConst = ChrW(127946)</v>
      </c>
    </row>
    <row r="375" spans="1:11" hidden="1">
      <c r="A375" t="s">
        <v>2263</v>
      </c>
      <c r="B375" t="str">
        <f t="shared" si="32"/>
        <v>1F3CA 1F3FF 200D 2640 ; minimally-qualified # 🏊🏿‍♀ E4.0 woman swimming: dark skin tone</v>
      </c>
      <c r="C375" t="str">
        <f t="shared" si="33"/>
        <v xml:space="preserve">1F3CA 1F3FF 200D 2640 </v>
      </c>
      <c r="D375">
        <f t="shared" si="34"/>
        <v>22</v>
      </c>
      <c r="E375" t="str">
        <f t="shared" si="30"/>
        <v xml:space="preserve"> 🏊🏿‍♀ E4.0 woman swimming: dark skin tone</v>
      </c>
      <c r="F375" t="b">
        <f t="shared" si="35"/>
        <v>1</v>
      </c>
      <c r="G375" t="str">
        <f t="shared" si="31"/>
        <v>1F3CA</v>
      </c>
      <c r="I375">
        <f>HEX2DEC(Table1[[#This Row],[utf8]])</f>
        <v>127946</v>
      </c>
      <c r="J375" t="str">
        <f>_xlfn.UNICHAR(HEX2DEC(Table1[[#This Row],[utf8]]))</f>
        <v>🏊</v>
      </c>
      <c r="K375" s="3" t="str" cm="1">
        <f t="array" ref="K375">"Case "&amp;wRandomLetter()&amp;wRandomLetter()&amp;I375&amp;":    UniConst = ChrW(" &amp; I375 &amp;")"</f>
        <v>Case Li127946:    UniConst = ChrW(127946)</v>
      </c>
    </row>
    <row r="376" spans="1:11" hidden="1">
      <c r="A376" t="s">
        <v>2262</v>
      </c>
      <c r="B376" t="str">
        <f t="shared" si="32"/>
        <v>1F3CA 1F3FF 200D 2640 FE0F ; fully-qualified # 🏊🏿‍♀️ E4.0 woman swimming: dark skin tone</v>
      </c>
      <c r="C376" t="str">
        <f t="shared" si="33"/>
        <v xml:space="preserve">1F3CA 1F3FF 200D 2640 FE0F </v>
      </c>
      <c r="D376">
        <f t="shared" si="34"/>
        <v>27</v>
      </c>
      <c r="E376" t="str">
        <f t="shared" si="30"/>
        <v xml:space="preserve"> 🏊🏿‍♀️ E4.0 woman swimming: dark skin tone</v>
      </c>
      <c r="F376" t="b">
        <f t="shared" si="35"/>
        <v>1</v>
      </c>
      <c r="G376" t="str">
        <f t="shared" si="31"/>
        <v>1F3CA</v>
      </c>
      <c r="I376">
        <f>HEX2DEC(Table1[[#This Row],[utf8]])</f>
        <v>127946</v>
      </c>
      <c r="J376" t="str">
        <f>_xlfn.UNICHAR(HEX2DEC(Table1[[#This Row],[utf8]]))</f>
        <v>🏊</v>
      </c>
      <c r="K376" s="3" t="str" cm="1">
        <f t="array" ref="K376">"Case "&amp;wRandomLetter()&amp;wRandomLetter()&amp;I376&amp;":    UniConst = ChrW(" &amp; I376 &amp;")"</f>
        <v>Case jU127946:    UniConst = ChrW(127946)</v>
      </c>
    </row>
    <row r="377" spans="1:11" hidden="1">
      <c r="A377" t="s">
        <v>2251</v>
      </c>
      <c r="B377" t="str">
        <f t="shared" si="32"/>
        <v>1F3CA 1F3FF 200D 2642 ; minimally-qualified # 🏊🏿‍♂ E4.0 man swimming: dark skin tone</v>
      </c>
      <c r="C377" t="str">
        <f t="shared" si="33"/>
        <v xml:space="preserve">1F3CA 1F3FF 200D 2642 </v>
      </c>
      <c r="D377">
        <f t="shared" si="34"/>
        <v>22</v>
      </c>
      <c r="E377" t="str">
        <f t="shared" si="30"/>
        <v xml:space="preserve"> 🏊🏿‍♂ E4.0 man swimming: dark skin tone</v>
      </c>
      <c r="F377" t="b">
        <f t="shared" si="35"/>
        <v>1</v>
      </c>
      <c r="G377" t="str">
        <f t="shared" si="31"/>
        <v>1F3CA</v>
      </c>
      <c r="I377">
        <f>HEX2DEC(Table1[[#This Row],[utf8]])</f>
        <v>127946</v>
      </c>
      <c r="J377" t="str">
        <f>_xlfn.UNICHAR(HEX2DEC(Table1[[#This Row],[utf8]]))</f>
        <v>🏊</v>
      </c>
      <c r="K377" s="3" t="str" cm="1">
        <f t="array" ref="K377">"Case "&amp;wRandomLetter()&amp;wRandomLetter()&amp;I377&amp;":    UniConst = ChrW(" &amp; I377 &amp;")"</f>
        <v>Case LL127946:    UniConst = ChrW(127946)</v>
      </c>
    </row>
    <row r="378" spans="1:11" hidden="1">
      <c r="A378" t="s">
        <v>2250</v>
      </c>
      <c r="B378" t="str">
        <f t="shared" si="32"/>
        <v>1F3CA 1F3FF 200D 2642 FE0F ; fully-qualified # 🏊🏿‍♂️ E4.0 man swimming: dark skin tone</v>
      </c>
      <c r="C378" t="str">
        <f t="shared" si="33"/>
        <v xml:space="preserve">1F3CA 1F3FF 200D 2642 FE0F </v>
      </c>
      <c r="D378">
        <f t="shared" si="34"/>
        <v>27</v>
      </c>
      <c r="E378" t="str">
        <f t="shared" si="30"/>
        <v xml:space="preserve"> 🏊🏿‍♂️ E4.0 man swimming: dark skin tone</v>
      </c>
      <c r="F378" t="b">
        <f t="shared" si="35"/>
        <v>1</v>
      </c>
      <c r="G378" t="str">
        <f t="shared" si="31"/>
        <v>1F3CA</v>
      </c>
      <c r="I378">
        <f>HEX2DEC(Table1[[#This Row],[utf8]])</f>
        <v>127946</v>
      </c>
      <c r="J378" t="str">
        <f>_xlfn.UNICHAR(HEX2DEC(Table1[[#This Row],[utf8]]))</f>
        <v>🏊</v>
      </c>
      <c r="K378" s="3" t="str" cm="1">
        <f t="array" ref="K378">"Case "&amp;wRandomLetter()&amp;wRandomLetter()&amp;I378&amp;":    UniConst = ChrW(" &amp; I378 &amp;")"</f>
        <v>Case lH127946:    UniConst = ChrW(127946)</v>
      </c>
    </row>
    <row r="379" spans="1:11" hidden="1">
      <c r="A379" t="s">
        <v>2253</v>
      </c>
      <c r="B379" t="str">
        <f t="shared" si="32"/>
        <v>1F3CA 200D 2640 ; minimally-qualified # 🏊‍♀ E4.0 woman swimming</v>
      </c>
      <c r="C379" t="str">
        <f t="shared" si="33"/>
        <v xml:space="preserve">1F3CA 200D 2640 </v>
      </c>
      <c r="D379">
        <f t="shared" si="34"/>
        <v>16</v>
      </c>
      <c r="E379" t="str">
        <f t="shared" si="30"/>
        <v xml:space="preserve"> 🏊‍♀ E4.0 woman swimming</v>
      </c>
      <c r="F379" t="b">
        <f t="shared" si="35"/>
        <v>1</v>
      </c>
      <c r="G379" t="str">
        <f t="shared" si="31"/>
        <v>1F3CA</v>
      </c>
      <c r="I379">
        <f>HEX2DEC(Table1[[#This Row],[utf8]])</f>
        <v>127946</v>
      </c>
      <c r="J379" t="str">
        <f>_xlfn.UNICHAR(HEX2DEC(Table1[[#This Row],[utf8]]))</f>
        <v>🏊</v>
      </c>
      <c r="K379" s="3" t="str" cm="1">
        <f t="array" ref="K379">"Case "&amp;wRandomLetter()&amp;wRandomLetter()&amp;I379&amp;":    UniConst = ChrW(" &amp; I379 &amp;")"</f>
        <v>Case UL127946:    UniConst = ChrW(127946)</v>
      </c>
    </row>
    <row r="380" spans="1:11" hidden="1">
      <c r="A380" t="s">
        <v>2252</v>
      </c>
      <c r="B380" t="str">
        <f t="shared" si="32"/>
        <v>1F3CA 200D 2640 FE0F ; fully-qualified # 🏊‍♀️ E4.0 woman swimming</v>
      </c>
      <c r="C380" t="str">
        <f t="shared" si="33"/>
        <v xml:space="preserve">1F3CA 200D 2640 FE0F </v>
      </c>
      <c r="D380">
        <f t="shared" si="34"/>
        <v>21</v>
      </c>
      <c r="E380" t="str">
        <f t="shared" si="30"/>
        <v xml:space="preserve"> 🏊‍♀️ E4.0 woman swimming</v>
      </c>
      <c r="F380" t="b">
        <f t="shared" si="35"/>
        <v>1</v>
      </c>
      <c r="G380" t="str">
        <f t="shared" si="31"/>
        <v>1F3CA</v>
      </c>
      <c r="I380">
        <f>HEX2DEC(Table1[[#This Row],[utf8]])</f>
        <v>127946</v>
      </c>
      <c r="J380" t="str">
        <f>_xlfn.UNICHAR(HEX2DEC(Table1[[#This Row],[utf8]]))</f>
        <v>🏊</v>
      </c>
      <c r="K380" s="3" t="str" cm="1">
        <f t="array" ref="K380">"Case "&amp;wRandomLetter()&amp;wRandomLetter()&amp;I380&amp;":    UniConst = ChrW(" &amp; I380 &amp;")"</f>
        <v>Case YO127946:    UniConst = ChrW(127946)</v>
      </c>
    </row>
    <row r="381" spans="1:11" hidden="1">
      <c r="A381" t="s">
        <v>2241</v>
      </c>
      <c r="B381" t="str">
        <f t="shared" si="32"/>
        <v>1F3CA 200D 2642 ; minimally-qualified # 🏊‍♂ E4.0 man swimming</v>
      </c>
      <c r="C381" t="str">
        <f t="shared" si="33"/>
        <v xml:space="preserve">1F3CA 200D 2642 </v>
      </c>
      <c r="D381">
        <f t="shared" si="34"/>
        <v>16</v>
      </c>
      <c r="E381" t="str">
        <f t="shared" si="30"/>
        <v xml:space="preserve"> 🏊‍♂ E4.0 man swimming</v>
      </c>
      <c r="F381" t="b">
        <f t="shared" si="35"/>
        <v>1</v>
      </c>
      <c r="G381" t="str">
        <f t="shared" si="31"/>
        <v>1F3CA</v>
      </c>
      <c r="I381">
        <f>HEX2DEC(Table1[[#This Row],[utf8]])</f>
        <v>127946</v>
      </c>
      <c r="J381" t="str">
        <f>_xlfn.UNICHAR(HEX2DEC(Table1[[#This Row],[utf8]]))</f>
        <v>🏊</v>
      </c>
      <c r="K381" s="3" t="str" cm="1">
        <f t="array" ref="K381">"Case "&amp;wRandomLetter()&amp;wRandomLetter()&amp;I381&amp;":    UniConst = ChrW(" &amp; I381 &amp;")"</f>
        <v>Case EC127946:    UniConst = ChrW(127946)</v>
      </c>
    </row>
    <row r="382" spans="1:11" hidden="1">
      <c r="A382" t="s">
        <v>2240</v>
      </c>
      <c r="B382" t="str">
        <f t="shared" si="32"/>
        <v>1F3CA 200D 2642 FE0F ; fully-qualified # 🏊‍♂️ E4.0 man swimming</v>
      </c>
      <c r="C382" t="str">
        <f t="shared" si="33"/>
        <v xml:space="preserve">1F3CA 200D 2642 FE0F </v>
      </c>
      <c r="D382">
        <f t="shared" si="34"/>
        <v>21</v>
      </c>
      <c r="E382" t="str">
        <f t="shared" si="30"/>
        <v xml:space="preserve"> 🏊‍♂️ E4.0 man swimming</v>
      </c>
      <c r="F382" t="b">
        <f t="shared" si="35"/>
        <v>1</v>
      </c>
      <c r="G382" t="str">
        <f t="shared" si="31"/>
        <v>1F3CA</v>
      </c>
      <c r="I382">
        <f>HEX2DEC(Table1[[#This Row],[utf8]])</f>
        <v>127946</v>
      </c>
      <c r="J382" t="str">
        <f>_xlfn.UNICHAR(HEX2DEC(Table1[[#This Row],[utf8]]))</f>
        <v>🏊</v>
      </c>
      <c r="K382" s="3" t="str" cm="1">
        <f t="array" ref="K382">"Case "&amp;wRandomLetter()&amp;wRandomLetter()&amp;I382&amp;":    UniConst = ChrW(" &amp; I382 &amp;")"</f>
        <v>Case Gv127946:    UniConst = ChrW(127946)</v>
      </c>
    </row>
    <row r="383" spans="1:11" hidden="1">
      <c r="A383" t="s">
        <v>2300</v>
      </c>
      <c r="B383" t="str">
        <f t="shared" si="32"/>
        <v>1F3CB ; unqualified # 🏋 E0.7 person lifting weights</v>
      </c>
      <c r="C383" t="str">
        <f t="shared" si="33"/>
        <v xml:space="preserve">1F3CB </v>
      </c>
      <c r="D383">
        <f t="shared" si="34"/>
        <v>6</v>
      </c>
      <c r="E383" t="str">
        <f t="shared" si="30"/>
        <v xml:space="preserve"> 🏋 E0.7 person lifting weights</v>
      </c>
      <c r="F383" t="b">
        <f t="shared" si="35"/>
        <v>1</v>
      </c>
      <c r="G383" t="str">
        <f t="shared" si="31"/>
        <v>1F3CB</v>
      </c>
      <c r="I383">
        <f>HEX2DEC(Table1[[#This Row],[utf8]])</f>
        <v>127947</v>
      </c>
      <c r="J383" t="str">
        <f>_xlfn.UNICHAR(HEX2DEC(Table1[[#This Row],[utf8]]))</f>
        <v>🏋</v>
      </c>
      <c r="K383" s="3" t="str" cm="1">
        <f t="array" ref="K383">"Case "&amp;wRandomLetter()&amp;wRandomLetter()&amp;I383&amp;":    UniConst = ChrW(" &amp; I383 &amp;")"</f>
        <v>Case Wt127947:    UniConst = ChrW(127947)</v>
      </c>
    </row>
    <row r="384" spans="1:11" hidden="1">
      <c r="A384" t="s">
        <v>2301</v>
      </c>
      <c r="B384" t="str">
        <f t="shared" si="32"/>
        <v>1F3CB 1F3FB ; fully-qualified # 🏋🏻 E2.0 person lifting weights: light skin tone</v>
      </c>
      <c r="C384" t="str">
        <f t="shared" si="33"/>
        <v xml:space="preserve">1F3CB 1F3FB </v>
      </c>
      <c r="D384">
        <f t="shared" si="34"/>
        <v>12</v>
      </c>
      <c r="E384" t="str">
        <f t="shared" si="30"/>
        <v xml:space="preserve"> 🏋🏻 E2.0 person lifting weights: light skin tone</v>
      </c>
      <c r="F384" t="b">
        <f t="shared" si="35"/>
        <v>1</v>
      </c>
      <c r="G384" t="str">
        <f t="shared" si="31"/>
        <v>1F3CB</v>
      </c>
      <c r="I384">
        <f>HEX2DEC(Table1[[#This Row],[utf8]])</f>
        <v>127947</v>
      </c>
      <c r="J384" t="str">
        <f>_xlfn.UNICHAR(HEX2DEC(Table1[[#This Row],[utf8]]))</f>
        <v>🏋</v>
      </c>
      <c r="K384" s="3" t="str" cm="1">
        <f t="array" ref="K384">"Case "&amp;wRandomLetter()&amp;wRandomLetter()&amp;I384&amp;":    UniConst = ChrW(" &amp; I384 &amp;")"</f>
        <v>Case sV127947:    UniConst = ChrW(127947)</v>
      </c>
    </row>
    <row r="385" spans="1:11" hidden="1">
      <c r="A385" t="s">
        <v>2325</v>
      </c>
      <c r="B385" t="str">
        <f t="shared" si="32"/>
        <v>1F3CB 1F3FB 200D 2640 ; minimally-qualified # 🏋🏻‍♀ E4.0 woman lifting weights: light skin tone</v>
      </c>
      <c r="C385" t="str">
        <f t="shared" si="33"/>
        <v xml:space="preserve">1F3CB 1F3FB 200D 2640 </v>
      </c>
      <c r="D385">
        <f t="shared" si="34"/>
        <v>22</v>
      </c>
      <c r="E385" t="str">
        <f t="shared" si="30"/>
        <v xml:space="preserve"> 🏋🏻‍♀ E4.0 woman lifting weights: light skin tone</v>
      </c>
      <c r="F385" t="b">
        <f t="shared" si="35"/>
        <v>1</v>
      </c>
      <c r="G385" t="str">
        <f t="shared" si="31"/>
        <v>1F3CB</v>
      </c>
      <c r="I385">
        <f>HEX2DEC(Table1[[#This Row],[utf8]])</f>
        <v>127947</v>
      </c>
      <c r="J385" t="str">
        <f>_xlfn.UNICHAR(HEX2DEC(Table1[[#This Row],[utf8]]))</f>
        <v>🏋</v>
      </c>
      <c r="K385" s="3" t="str" cm="1">
        <f t="array" ref="K385">"Case "&amp;wRandomLetter()&amp;wRandomLetter()&amp;I385&amp;":    UniConst = ChrW(" &amp; I385 &amp;")"</f>
        <v>Case Xa127947:    UniConst = ChrW(127947)</v>
      </c>
    </row>
    <row r="386" spans="1:11" hidden="1">
      <c r="A386" t="s">
        <v>2324</v>
      </c>
      <c r="B386" t="str">
        <f t="shared" si="32"/>
        <v>1F3CB 1F3FB 200D 2640 FE0F ; fully-qualified # 🏋🏻‍♀️ E4.0 woman lifting weights: light skin tone</v>
      </c>
      <c r="C386" t="str">
        <f t="shared" si="33"/>
        <v xml:space="preserve">1F3CB 1F3FB 200D 2640 FE0F </v>
      </c>
      <c r="D386">
        <f t="shared" si="34"/>
        <v>27</v>
      </c>
      <c r="E386" t="str">
        <f t="shared" ref="E386:E449" si="36">MID(A386,FIND("#",A386)+1,256)</f>
        <v xml:space="preserve"> 🏋🏻‍♀️ E4.0 woman lifting weights: light skin tone</v>
      </c>
      <c r="F386" t="b">
        <f t="shared" si="35"/>
        <v>1</v>
      </c>
      <c r="G386" t="str">
        <f t="shared" ref="G386:G449" si="37">LEFT(C386,(FIND(" ",C386,1)-1))</f>
        <v>1F3CB</v>
      </c>
      <c r="I386">
        <f>HEX2DEC(Table1[[#This Row],[utf8]])</f>
        <v>127947</v>
      </c>
      <c r="J386" t="str">
        <f>_xlfn.UNICHAR(HEX2DEC(Table1[[#This Row],[utf8]]))</f>
        <v>🏋</v>
      </c>
      <c r="K386" s="3" t="str" cm="1">
        <f t="array" ref="K386">"Case "&amp;wRandomLetter()&amp;wRandomLetter()&amp;I386&amp;":    UniConst = ChrW(" &amp; I386 &amp;")"</f>
        <v>Case sZ127947:    UniConst = ChrW(127947)</v>
      </c>
    </row>
    <row r="387" spans="1:11" hidden="1">
      <c r="A387" t="s">
        <v>2311</v>
      </c>
      <c r="B387" t="str">
        <f t="shared" ref="B387:B450" si="38">TRIM(A387)</f>
        <v>1F3CB 1F3FB 200D 2642 ; minimally-qualified # 🏋🏻‍♂ E4.0 man lifting weights: light skin tone</v>
      </c>
      <c r="C387" t="str">
        <f t="shared" ref="C387:C450" si="39">LEFT(B387,(FIND(";",B387,1)-1))</f>
        <v xml:space="preserve">1F3CB 1F3FB 200D 2642 </v>
      </c>
      <c r="D387">
        <f t="shared" ref="D387:D450" si="40">LEN(C387)</f>
        <v>22</v>
      </c>
      <c r="E387" t="str">
        <f t="shared" si="36"/>
        <v xml:space="preserve"> 🏋🏻‍♂ E4.0 man lifting weights: light skin tone</v>
      </c>
      <c r="F387" t="b">
        <f t="shared" ref="F387:F450" si="41">IF(LEFT(C387,2)="1F",TRUE,FALSE)</f>
        <v>1</v>
      </c>
      <c r="G387" t="str">
        <f t="shared" si="37"/>
        <v>1F3CB</v>
      </c>
      <c r="I387">
        <f>HEX2DEC(Table1[[#This Row],[utf8]])</f>
        <v>127947</v>
      </c>
      <c r="J387" t="str">
        <f>_xlfn.UNICHAR(HEX2DEC(Table1[[#This Row],[utf8]]))</f>
        <v>🏋</v>
      </c>
      <c r="K387" s="3" t="str" cm="1">
        <f t="array" ref="K387">"Case "&amp;wRandomLetter()&amp;wRandomLetter()&amp;I387&amp;":    UniConst = ChrW(" &amp; I387 &amp;")"</f>
        <v>Case KA127947:    UniConst = ChrW(127947)</v>
      </c>
    </row>
    <row r="388" spans="1:11" hidden="1">
      <c r="A388" t="s">
        <v>2310</v>
      </c>
      <c r="B388" t="str">
        <f t="shared" si="38"/>
        <v>1F3CB 1F3FB 200D 2642 FE0F ; fully-qualified # 🏋🏻‍♂️ E4.0 man lifting weights: light skin tone</v>
      </c>
      <c r="C388" t="str">
        <f t="shared" si="39"/>
        <v xml:space="preserve">1F3CB 1F3FB 200D 2642 FE0F </v>
      </c>
      <c r="D388">
        <f t="shared" si="40"/>
        <v>27</v>
      </c>
      <c r="E388" t="str">
        <f t="shared" si="36"/>
        <v xml:space="preserve"> 🏋🏻‍♂️ E4.0 man lifting weights: light skin tone</v>
      </c>
      <c r="F388" t="b">
        <f t="shared" si="41"/>
        <v>1</v>
      </c>
      <c r="G388" t="str">
        <f t="shared" si="37"/>
        <v>1F3CB</v>
      </c>
      <c r="I388">
        <f>HEX2DEC(Table1[[#This Row],[utf8]])</f>
        <v>127947</v>
      </c>
      <c r="J388" t="str">
        <f>_xlfn.UNICHAR(HEX2DEC(Table1[[#This Row],[utf8]]))</f>
        <v>🏋</v>
      </c>
      <c r="K388" s="3" t="str" cm="1">
        <f t="array" ref="K388">"Case "&amp;wRandomLetter()&amp;wRandomLetter()&amp;I388&amp;":    UniConst = ChrW(" &amp; I388 &amp;")"</f>
        <v>Case NS127947:    UniConst = ChrW(127947)</v>
      </c>
    </row>
    <row r="389" spans="1:11" hidden="1">
      <c r="A389" t="s">
        <v>2302</v>
      </c>
      <c r="B389" t="str">
        <f t="shared" si="38"/>
        <v>1F3CB 1F3FC ; fully-qualified # 🏋🏼 E2.0 person lifting weights: medium-light skin tone</v>
      </c>
      <c r="C389" t="str">
        <f t="shared" si="39"/>
        <v xml:space="preserve">1F3CB 1F3FC </v>
      </c>
      <c r="D389">
        <f t="shared" si="40"/>
        <v>12</v>
      </c>
      <c r="E389" t="str">
        <f t="shared" si="36"/>
        <v xml:space="preserve"> 🏋🏼 E2.0 person lifting weights: medium-light skin tone</v>
      </c>
      <c r="F389" t="b">
        <f t="shared" si="41"/>
        <v>1</v>
      </c>
      <c r="G389" t="str">
        <f t="shared" si="37"/>
        <v>1F3CB</v>
      </c>
      <c r="I389">
        <f>HEX2DEC(Table1[[#This Row],[utf8]])</f>
        <v>127947</v>
      </c>
      <c r="J389" t="str">
        <f>_xlfn.UNICHAR(HEX2DEC(Table1[[#This Row],[utf8]]))</f>
        <v>🏋</v>
      </c>
      <c r="K389" s="3" t="str" cm="1">
        <f t="array" ref="K389">"Case "&amp;wRandomLetter()&amp;wRandomLetter()&amp;I389&amp;":    UniConst = ChrW(" &amp; I389 &amp;")"</f>
        <v>Case Gk127947:    UniConst = ChrW(127947)</v>
      </c>
    </row>
    <row r="390" spans="1:11" hidden="1">
      <c r="A390" t="s">
        <v>2327</v>
      </c>
      <c r="B390" t="str">
        <f t="shared" si="38"/>
        <v>1F3CB 1F3FC 200D 2640 ; minimally-qualified # 🏋🏼‍♀ E4.0 woman lifting weights: medium-light skin tone</v>
      </c>
      <c r="C390" t="str">
        <f t="shared" si="39"/>
        <v xml:space="preserve">1F3CB 1F3FC 200D 2640 </v>
      </c>
      <c r="D390">
        <f t="shared" si="40"/>
        <v>22</v>
      </c>
      <c r="E390" t="str">
        <f t="shared" si="36"/>
        <v xml:space="preserve"> 🏋🏼‍♀ E4.0 woman lifting weights: medium-light skin tone</v>
      </c>
      <c r="F390" t="b">
        <f t="shared" si="41"/>
        <v>1</v>
      </c>
      <c r="G390" t="str">
        <f t="shared" si="37"/>
        <v>1F3CB</v>
      </c>
      <c r="I390">
        <f>HEX2DEC(Table1[[#This Row],[utf8]])</f>
        <v>127947</v>
      </c>
      <c r="J390" t="str">
        <f>_xlfn.UNICHAR(HEX2DEC(Table1[[#This Row],[utf8]]))</f>
        <v>🏋</v>
      </c>
      <c r="K390" s="3" t="str" cm="1">
        <f t="array" ref="K390">"Case "&amp;wRandomLetter()&amp;wRandomLetter()&amp;I390&amp;":    UniConst = ChrW(" &amp; I390 &amp;")"</f>
        <v>Case Zx127947:    UniConst = ChrW(127947)</v>
      </c>
    </row>
    <row r="391" spans="1:11" hidden="1">
      <c r="A391" t="s">
        <v>2326</v>
      </c>
      <c r="B391" t="str">
        <f t="shared" si="38"/>
        <v>1F3CB 1F3FC 200D 2640 FE0F ; fully-qualified # 🏋🏼‍♀️ E4.0 woman lifting weights: medium-light skin tone</v>
      </c>
      <c r="C391" t="str">
        <f t="shared" si="39"/>
        <v xml:space="preserve">1F3CB 1F3FC 200D 2640 FE0F </v>
      </c>
      <c r="D391">
        <f t="shared" si="40"/>
        <v>27</v>
      </c>
      <c r="E391" t="str">
        <f t="shared" si="36"/>
        <v xml:space="preserve"> 🏋🏼‍♀️ E4.0 woman lifting weights: medium-light skin tone</v>
      </c>
      <c r="F391" t="b">
        <f t="shared" si="41"/>
        <v>1</v>
      </c>
      <c r="G391" t="str">
        <f t="shared" si="37"/>
        <v>1F3CB</v>
      </c>
      <c r="I391">
        <f>HEX2DEC(Table1[[#This Row],[utf8]])</f>
        <v>127947</v>
      </c>
      <c r="J391" t="str">
        <f>_xlfn.UNICHAR(HEX2DEC(Table1[[#This Row],[utf8]]))</f>
        <v>🏋</v>
      </c>
      <c r="K391" s="3" t="str" cm="1">
        <f t="array" ref="K391">"Case "&amp;wRandomLetter()&amp;wRandomLetter()&amp;I391&amp;":    UniConst = ChrW(" &amp; I391 &amp;")"</f>
        <v>Case yd127947:    UniConst = ChrW(127947)</v>
      </c>
    </row>
    <row r="392" spans="1:11" hidden="1">
      <c r="A392" t="s">
        <v>2313</v>
      </c>
      <c r="B392" t="str">
        <f t="shared" si="38"/>
        <v>1F3CB 1F3FC 200D 2642 ; minimally-qualified # 🏋🏼‍♂ E4.0 man lifting weights: medium-light skin tone</v>
      </c>
      <c r="C392" t="str">
        <f t="shared" si="39"/>
        <v xml:space="preserve">1F3CB 1F3FC 200D 2642 </v>
      </c>
      <c r="D392">
        <f t="shared" si="40"/>
        <v>22</v>
      </c>
      <c r="E392" t="str">
        <f t="shared" si="36"/>
        <v xml:space="preserve"> 🏋🏼‍♂ E4.0 man lifting weights: medium-light skin tone</v>
      </c>
      <c r="F392" t="b">
        <f t="shared" si="41"/>
        <v>1</v>
      </c>
      <c r="G392" t="str">
        <f t="shared" si="37"/>
        <v>1F3CB</v>
      </c>
      <c r="I392">
        <f>HEX2DEC(Table1[[#This Row],[utf8]])</f>
        <v>127947</v>
      </c>
      <c r="J392" t="str">
        <f>_xlfn.UNICHAR(HEX2DEC(Table1[[#This Row],[utf8]]))</f>
        <v>🏋</v>
      </c>
      <c r="K392" s="3" t="str" cm="1">
        <f t="array" ref="K392">"Case "&amp;wRandomLetter()&amp;wRandomLetter()&amp;I392&amp;":    UniConst = ChrW(" &amp; I392 &amp;")"</f>
        <v>Case sB127947:    UniConst = ChrW(127947)</v>
      </c>
    </row>
    <row r="393" spans="1:11" hidden="1">
      <c r="A393" t="s">
        <v>2312</v>
      </c>
      <c r="B393" t="str">
        <f t="shared" si="38"/>
        <v>1F3CB 1F3FC 200D 2642 FE0F ; fully-qualified # 🏋🏼‍♂️ E4.0 man lifting weights: medium-light skin tone</v>
      </c>
      <c r="C393" t="str">
        <f t="shared" si="39"/>
        <v xml:space="preserve">1F3CB 1F3FC 200D 2642 FE0F </v>
      </c>
      <c r="D393">
        <f t="shared" si="40"/>
        <v>27</v>
      </c>
      <c r="E393" t="str">
        <f t="shared" si="36"/>
        <v xml:space="preserve"> 🏋🏼‍♂️ E4.0 man lifting weights: medium-light skin tone</v>
      </c>
      <c r="F393" t="b">
        <f t="shared" si="41"/>
        <v>1</v>
      </c>
      <c r="G393" t="str">
        <f t="shared" si="37"/>
        <v>1F3CB</v>
      </c>
      <c r="I393">
        <f>HEX2DEC(Table1[[#This Row],[utf8]])</f>
        <v>127947</v>
      </c>
      <c r="J393" t="str">
        <f>_xlfn.UNICHAR(HEX2DEC(Table1[[#This Row],[utf8]]))</f>
        <v>🏋</v>
      </c>
      <c r="K393" s="3" t="str" cm="1">
        <f t="array" ref="K393">"Case "&amp;wRandomLetter()&amp;wRandomLetter()&amp;I393&amp;":    UniConst = ChrW(" &amp; I393 &amp;")"</f>
        <v>Case mo127947:    UniConst = ChrW(127947)</v>
      </c>
    </row>
    <row r="394" spans="1:11" hidden="1">
      <c r="A394" t="s">
        <v>2303</v>
      </c>
      <c r="B394" t="str">
        <f t="shared" si="38"/>
        <v>1F3CB 1F3FD ; fully-qualified # 🏋🏽 E2.0 person lifting weights: medium skin tone</v>
      </c>
      <c r="C394" t="str">
        <f t="shared" si="39"/>
        <v xml:space="preserve">1F3CB 1F3FD </v>
      </c>
      <c r="D394">
        <f t="shared" si="40"/>
        <v>12</v>
      </c>
      <c r="E394" t="str">
        <f t="shared" si="36"/>
        <v xml:space="preserve"> 🏋🏽 E2.0 person lifting weights: medium skin tone</v>
      </c>
      <c r="F394" t="b">
        <f t="shared" si="41"/>
        <v>1</v>
      </c>
      <c r="G394" t="str">
        <f t="shared" si="37"/>
        <v>1F3CB</v>
      </c>
      <c r="I394">
        <f>HEX2DEC(Table1[[#This Row],[utf8]])</f>
        <v>127947</v>
      </c>
      <c r="J394" t="str">
        <f>_xlfn.UNICHAR(HEX2DEC(Table1[[#This Row],[utf8]]))</f>
        <v>🏋</v>
      </c>
      <c r="K394" s="3" t="str" cm="1">
        <f t="array" ref="K394">"Case "&amp;wRandomLetter()&amp;wRandomLetter()&amp;I394&amp;":    UniConst = ChrW(" &amp; I394 &amp;")"</f>
        <v>Case HH127947:    UniConst = ChrW(127947)</v>
      </c>
    </row>
    <row r="395" spans="1:11" hidden="1">
      <c r="A395" t="s">
        <v>2329</v>
      </c>
      <c r="B395" t="str">
        <f t="shared" si="38"/>
        <v>1F3CB 1F3FD 200D 2640 ; minimally-qualified # 🏋🏽‍♀ E4.0 woman lifting weights: medium skin tone</v>
      </c>
      <c r="C395" t="str">
        <f t="shared" si="39"/>
        <v xml:space="preserve">1F3CB 1F3FD 200D 2640 </v>
      </c>
      <c r="D395">
        <f t="shared" si="40"/>
        <v>22</v>
      </c>
      <c r="E395" t="str">
        <f t="shared" si="36"/>
        <v xml:space="preserve"> 🏋🏽‍♀ E4.0 woman lifting weights: medium skin tone</v>
      </c>
      <c r="F395" t="b">
        <f t="shared" si="41"/>
        <v>1</v>
      </c>
      <c r="G395" t="str">
        <f t="shared" si="37"/>
        <v>1F3CB</v>
      </c>
      <c r="I395">
        <f>HEX2DEC(Table1[[#This Row],[utf8]])</f>
        <v>127947</v>
      </c>
      <c r="J395" t="str">
        <f>_xlfn.UNICHAR(HEX2DEC(Table1[[#This Row],[utf8]]))</f>
        <v>🏋</v>
      </c>
      <c r="K395" s="3" t="str" cm="1">
        <f t="array" ref="K395">"Case "&amp;wRandomLetter()&amp;wRandomLetter()&amp;I395&amp;":    UniConst = ChrW(" &amp; I395 &amp;")"</f>
        <v>Case cI127947:    UniConst = ChrW(127947)</v>
      </c>
    </row>
    <row r="396" spans="1:11" hidden="1">
      <c r="A396" t="s">
        <v>2328</v>
      </c>
      <c r="B396" t="str">
        <f t="shared" si="38"/>
        <v>1F3CB 1F3FD 200D 2640 FE0F ; fully-qualified # 🏋🏽‍♀️ E4.0 woman lifting weights: medium skin tone</v>
      </c>
      <c r="C396" t="str">
        <f t="shared" si="39"/>
        <v xml:space="preserve">1F3CB 1F3FD 200D 2640 FE0F </v>
      </c>
      <c r="D396">
        <f t="shared" si="40"/>
        <v>27</v>
      </c>
      <c r="E396" t="str">
        <f t="shared" si="36"/>
        <v xml:space="preserve"> 🏋🏽‍♀️ E4.0 woman lifting weights: medium skin tone</v>
      </c>
      <c r="F396" t="b">
        <f t="shared" si="41"/>
        <v>1</v>
      </c>
      <c r="G396" t="str">
        <f t="shared" si="37"/>
        <v>1F3CB</v>
      </c>
      <c r="I396">
        <f>HEX2DEC(Table1[[#This Row],[utf8]])</f>
        <v>127947</v>
      </c>
      <c r="J396" t="str">
        <f>_xlfn.UNICHAR(HEX2DEC(Table1[[#This Row],[utf8]]))</f>
        <v>🏋</v>
      </c>
      <c r="K396" s="3" t="str" cm="1">
        <f t="array" ref="K396">"Case "&amp;wRandomLetter()&amp;wRandomLetter()&amp;I396&amp;":    UniConst = ChrW(" &amp; I396 &amp;")"</f>
        <v>Case Lj127947:    UniConst = ChrW(127947)</v>
      </c>
    </row>
    <row r="397" spans="1:11" hidden="1">
      <c r="A397" t="s">
        <v>2315</v>
      </c>
      <c r="B397" t="str">
        <f t="shared" si="38"/>
        <v>1F3CB 1F3FD 200D 2642 ; minimally-qualified # 🏋🏽‍♂ E4.0 man lifting weights: medium skin tone</v>
      </c>
      <c r="C397" t="str">
        <f t="shared" si="39"/>
        <v xml:space="preserve">1F3CB 1F3FD 200D 2642 </v>
      </c>
      <c r="D397">
        <f t="shared" si="40"/>
        <v>22</v>
      </c>
      <c r="E397" t="str">
        <f t="shared" si="36"/>
        <v xml:space="preserve"> 🏋🏽‍♂ E4.0 man lifting weights: medium skin tone</v>
      </c>
      <c r="F397" t="b">
        <f t="shared" si="41"/>
        <v>1</v>
      </c>
      <c r="G397" t="str">
        <f t="shared" si="37"/>
        <v>1F3CB</v>
      </c>
      <c r="I397">
        <f>HEX2DEC(Table1[[#This Row],[utf8]])</f>
        <v>127947</v>
      </c>
      <c r="J397" t="str">
        <f>_xlfn.UNICHAR(HEX2DEC(Table1[[#This Row],[utf8]]))</f>
        <v>🏋</v>
      </c>
      <c r="K397" s="3" t="str" cm="1">
        <f t="array" ref="K397">"Case "&amp;wRandomLetter()&amp;wRandomLetter()&amp;I397&amp;":    UniConst = ChrW(" &amp; I397 &amp;")"</f>
        <v>Case Xo127947:    UniConst = ChrW(127947)</v>
      </c>
    </row>
    <row r="398" spans="1:11" hidden="1">
      <c r="A398" t="s">
        <v>2314</v>
      </c>
      <c r="B398" t="str">
        <f t="shared" si="38"/>
        <v>1F3CB 1F3FD 200D 2642 FE0F ; fully-qualified # 🏋🏽‍♂️ E4.0 man lifting weights: medium skin tone</v>
      </c>
      <c r="C398" t="str">
        <f t="shared" si="39"/>
        <v xml:space="preserve">1F3CB 1F3FD 200D 2642 FE0F </v>
      </c>
      <c r="D398">
        <f t="shared" si="40"/>
        <v>27</v>
      </c>
      <c r="E398" t="str">
        <f t="shared" si="36"/>
        <v xml:space="preserve"> 🏋🏽‍♂️ E4.0 man lifting weights: medium skin tone</v>
      </c>
      <c r="F398" t="b">
        <f t="shared" si="41"/>
        <v>1</v>
      </c>
      <c r="G398" t="str">
        <f t="shared" si="37"/>
        <v>1F3CB</v>
      </c>
      <c r="I398">
        <f>HEX2DEC(Table1[[#This Row],[utf8]])</f>
        <v>127947</v>
      </c>
      <c r="J398" t="str">
        <f>_xlfn.UNICHAR(HEX2DEC(Table1[[#This Row],[utf8]]))</f>
        <v>🏋</v>
      </c>
      <c r="K398" s="3" t="str" cm="1">
        <f t="array" ref="K398">"Case "&amp;wRandomLetter()&amp;wRandomLetter()&amp;I398&amp;":    UniConst = ChrW(" &amp; I398 &amp;")"</f>
        <v>Case os127947:    UniConst = ChrW(127947)</v>
      </c>
    </row>
    <row r="399" spans="1:11" hidden="1">
      <c r="A399" t="s">
        <v>2304</v>
      </c>
      <c r="B399" t="str">
        <f t="shared" si="38"/>
        <v>1F3CB 1F3FE ; fully-qualified # 🏋🏾 E2.0 person lifting weights: medium-dark skin tone</v>
      </c>
      <c r="C399" t="str">
        <f t="shared" si="39"/>
        <v xml:space="preserve">1F3CB 1F3FE </v>
      </c>
      <c r="D399">
        <f t="shared" si="40"/>
        <v>12</v>
      </c>
      <c r="E399" t="str">
        <f t="shared" si="36"/>
        <v xml:space="preserve"> 🏋🏾 E2.0 person lifting weights: medium-dark skin tone</v>
      </c>
      <c r="F399" t="b">
        <f t="shared" si="41"/>
        <v>1</v>
      </c>
      <c r="G399" t="str">
        <f t="shared" si="37"/>
        <v>1F3CB</v>
      </c>
      <c r="I399">
        <f>HEX2DEC(Table1[[#This Row],[utf8]])</f>
        <v>127947</v>
      </c>
      <c r="J399" t="str">
        <f>_xlfn.UNICHAR(HEX2DEC(Table1[[#This Row],[utf8]]))</f>
        <v>🏋</v>
      </c>
      <c r="K399" s="3" t="str" cm="1">
        <f t="array" ref="K399">"Case "&amp;wRandomLetter()&amp;wRandomLetter()&amp;I399&amp;":    UniConst = ChrW(" &amp; I399 &amp;")"</f>
        <v>Case go127947:    UniConst = ChrW(127947)</v>
      </c>
    </row>
    <row r="400" spans="1:11" hidden="1">
      <c r="A400" t="s">
        <v>2331</v>
      </c>
      <c r="B400" t="str">
        <f t="shared" si="38"/>
        <v>1F3CB 1F3FE 200D 2640 ; minimally-qualified # 🏋🏾‍♀ E4.0 woman lifting weights: medium-dark skin tone</v>
      </c>
      <c r="C400" t="str">
        <f t="shared" si="39"/>
        <v xml:space="preserve">1F3CB 1F3FE 200D 2640 </v>
      </c>
      <c r="D400">
        <f t="shared" si="40"/>
        <v>22</v>
      </c>
      <c r="E400" t="str">
        <f t="shared" si="36"/>
        <v xml:space="preserve"> 🏋🏾‍♀ E4.0 woman lifting weights: medium-dark skin tone</v>
      </c>
      <c r="F400" t="b">
        <f t="shared" si="41"/>
        <v>1</v>
      </c>
      <c r="G400" t="str">
        <f t="shared" si="37"/>
        <v>1F3CB</v>
      </c>
      <c r="I400">
        <f>HEX2DEC(Table1[[#This Row],[utf8]])</f>
        <v>127947</v>
      </c>
      <c r="J400" t="str">
        <f>_xlfn.UNICHAR(HEX2DEC(Table1[[#This Row],[utf8]]))</f>
        <v>🏋</v>
      </c>
      <c r="K400" s="3" t="str" cm="1">
        <f t="array" ref="K400">"Case "&amp;wRandomLetter()&amp;wRandomLetter()&amp;I400&amp;":    UniConst = ChrW(" &amp; I400 &amp;")"</f>
        <v>Case ef127947:    UniConst = ChrW(127947)</v>
      </c>
    </row>
    <row r="401" spans="1:11" hidden="1">
      <c r="A401" t="s">
        <v>2330</v>
      </c>
      <c r="B401" t="str">
        <f t="shared" si="38"/>
        <v>1F3CB 1F3FE 200D 2640 FE0F ; fully-qualified # 🏋🏾‍♀️ E4.0 woman lifting weights: medium-dark skin tone</v>
      </c>
      <c r="C401" t="str">
        <f t="shared" si="39"/>
        <v xml:space="preserve">1F3CB 1F3FE 200D 2640 FE0F </v>
      </c>
      <c r="D401">
        <f t="shared" si="40"/>
        <v>27</v>
      </c>
      <c r="E401" t="str">
        <f t="shared" si="36"/>
        <v xml:space="preserve"> 🏋🏾‍♀️ E4.0 woman lifting weights: medium-dark skin tone</v>
      </c>
      <c r="F401" t="b">
        <f t="shared" si="41"/>
        <v>1</v>
      </c>
      <c r="G401" t="str">
        <f t="shared" si="37"/>
        <v>1F3CB</v>
      </c>
      <c r="I401">
        <f>HEX2DEC(Table1[[#This Row],[utf8]])</f>
        <v>127947</v>
      </c>
      <c r="J401" t="str">
        <f>_xlfn.UNICHAR(HEX2DEC(Table1[[#This Row],[utf8]]))</f>
        <v>🏋</v>
      </c>
      <c r="K401" s="3" t="str" cm="1">
        <f t="array" ref="K401">"Case "&amp;wRandomLetter()&amp;wRandomLetter()&amp;I401&amp;":    UniConst = ChrW(" &amp; I401 &amp;")"</f>
        <v>Case DS127947:    UniConst = ChrW(127947)</v>
      </c>
    </row>
    <row r="402" spans="1:11" hidden="1">
      <c r="A402" t="s">
        <v>2317</v>
      </c>
      <c r="B402" t="str">
        <f t="shared" si="38"/>
        <v>1F3CB 1F3FE 200D 2642 ; minimally-qualified # 🏋🏾‍♂ E4.0 man lifting weights: medium-dark skin tone</v>
      </c>
      <c r="C402" t="str">
        <f t="shared" si="39"/>
        <v xml:space="preserve">1F3CB 1F3FE 200D 2642 </v>
      </c>
      <c r="D402">
        <f t="shared" si="40"/>
        <v>22</v>
      </c>
      <c r="E402" t="str">
        <f t="shared" si="36"/>
        <v xml:space="preserve"> 🏋🏾‍♂ E4.0 man lifting weights: medium-dark skin tone</v>
      </c>
      <c r="F402" t="b">
        <f t="shared" si="41"/>
        <v>1</v>
      </c>
      <c r="G402" t="str">
        <f t="shared" si="37"/>
        <v>1F3CB</v>
      </c>
      <c r="I402">
        <f>HEX2DEC(Table1[[#This Row],[utf8]])</f>
        <v>127947</v>
      </c>
      <c r="J402" t="str">
        <f>_xlfn.UNICHAR(HEX2DEC(Table1[[#This Row],[utf8]]))</f>
        <v>🏋</v>
      </c>
      <c r="K402" s="3" t="str" cm="1">
        <f t="array" ref="K402">"Case "&amp;wRandomLetter()&amp;wRandomLetter()&amp;I402&amp;":    UniConst = ChrW(" &amp; I402 &amp;")"</f>
        <v>Case Tm127947:    UniConst = ChrW(127947)</v>
      </c>
    </row>
    <row r="403" spans="1:11" hidden="1">
      <c r="A403" t="s">
        <v>2316</v>
      </c>
      <c r="B403" t="str">
        <f t="shared" si="38"/>
        <v>1F3CB 1F3FE 200D 2642 FE0F ; fully-qualified # 🏋🏾‍♂️ E4.0 man lifting weights: medium-dark skin tone</v>
      </c>
      <c r="C403" t="str">
        <f t="shared" si="39"/>
        <v xml:space="preserve">1F3CB 1F3FE 200D 2642 FE0F </v>
      </c>
      <c r="D403">
        <f t="shared" si="40"/>
        <v>27</v>
      </c>
      <c r="E403" t="str">
        <f t="shared" si="36"/>
        <v xml:space="preserve"> 🏋🏾‍♂️ E4.0 man lifting weights: medium-dark skin tone</v>
      </c>
      <c r="F403" t="b">
        <f t="shared" si="41"/>
        <v>1</v>
      </c>
      <c r="G403" t="str">
        <f t="shared" si="37"/>
        <v>1F3CB</v>
      </c>
      <c r="I403">
        <f>HEX2DEC(Table1[[#This Row],[utf8]])</f>
        <v>127947</v>
      </c>
      <c r="J403" t="str">
        <f>_xlfn.UNICHAR(HEX2DEC(Table1[[#This Row],[utf8]]))</f>
        <v>🏋</v>
      </c>
      <c r="K403" s="3" t="str" cm="1">
        <f t="array" ref="K403">"Case "&amp;wRandomLetter()&amp;wRandomLetter()&amp;I403&amp;":    UniConst = ChrW(" &amp; I403 &amp;")"</f>
        <v>Case Ht127947:    UniConst = ChrW(127947)</v>
      </c>
    </row>
    <row r="404" spans="1:11" hidden="1">
      <c r="A404" t="s">
        <v>2305</v>
      </c>
      <c r="B404" t="str">
        <f t="shared" si="38"/>
        <v>1F3CB 1F3FF ; fully-qualified # 🏋🏿 E2.0 person lifting weights: dark skin tone</v>
      </c>
      <c r="C404" t="str">
        <f t="shared" si="39"/>
        <v xml:space="preserve">1F3CB 1F3FF </v>
      </c>
      <c r="D404">
        <f t="shared" si="40"/>
        <v>12</v>
      </c>
      <c r="E404" t="str">
        <f t="shared" si="36"/>
        <v xml:space="preserve"> 🏋🏿 E2.0 person lifting weights: dark skin tone</v>
      </c>
      <c r="F404" t="b">
        <f t="shared" si="41"/>
        <v>1</v>
      </c>
      <c r="G404" t="str">
        <f t="shared" si="37"/>
        <v>1F3CB</v>
      </c>
      <c r="I404">
        <f>HEX2DEC(Table1[[#This Row],[utf8]])</f>
        <v>127947</v>
      </c>
      <c r="J404" t="str">
        <f>_xlfn.UNICHAR(HEX2DEC(Table1[[#This Row],[utf8]]))</f>
        <v>🏋</v>
      </c>
      <c r="K404" s="3" t="str" cm="1">
        <f t="array" ref="K404">"Case "&amp;wRandomLetter()&amp;wRandomLetter()&amp;I404&amp;":    UniConst = ChrW(" &amp; I404 &amp;")"</f>
        <v>Case oH127947:    UniConst = ChrW(127947)</v>
      </c>
    </row>
    <row r="405" spans="1:11" hidden="1">
      <c r="A405" t="s">
        <v>2333</v>
      </c>
      <c r="B405" t="str">
        <f t="shared" si="38"/>
        <v>1F3CB 1F3FF 200D 2640 ; minimally-qualified # 🏋🏿‍♀ E4.0 woman lifting weights: dark skin tone</v>
      </c>
      <c r="C405" t="str">
        <f t="shared" si="39"/>
        <v xml:space="preserve">1F3CB 1F3FF 200D 2640 </v>
      </c>
      <c r="D405">
        <f t="shared" si="40"/>
        <v>22</v>
      </c>
      <c r="E405" t="str">
        <f t="shared" si="36"/>
        <v xml:space="preserve"> 🏋🏿‍♀ E4.0 woman lifting weights: dark skin tone</v>
      </c>
      <c r="F405" t="b">
        <f t="shared" si="41"/>
        <v>1</v>
      </c>
      <c r="G405" t="str">
        <f t="shared" si="37"/>
        <v>1F3CB</v>
      </c>
      <c r="I405">
        <f>HEX2DEC(Table1[[#This Row],[utf8]])</f>
        <v>127947</v>
      </c>
      <c r="J405" t="str">
        <f>_xlfn.UNICHAR(HEX2DEC(Table1[[#This Row],[utf8]]))</f>
        <v>🏋</v>
      </c>
      <c r="K405" s="3" t="str" cm="1">
        <f t="array" ref="K405">"Case "&amp;wRandomLetter()&amp;wRandomLetter()&amp;I405&amp;":    UniConst = ChrW(" &amp; I405 &amp;")"</f>
        <v>Case wy127947:    UniConst = ChrW(127947)</v>
      </c>
    </row>
    <row r="406" spans="1:11" hidden="1">
      <c r="A406" t="s">
        <v>2332</v>
      </c>
      <c r="B406" t="str">
        <f t="shared" si="38"/>
        <v>1F3CB 1F3FF 200D 2640 FE0F ; fully-qualified # 🏋🏿‍♀️ E4.0 woman lifting weights: dark skin tone</v>
      </c>
      <c r="C406" t="str">
        <f t="shared" si="39"/>
        <v xml:space="preserve">1F3CB 1F3FF 200D 2640 FE0F </v>
      </c>
      <c r="D406">
        <f t="shared" si="40"/>
        <v>27</v>
      </c>
      <c r="E406" t="str">
        <f t="shared" si="36"/>
        <v xml:space="preserve"> 🏋🏿‍♀️ E4.0 woman lifting weights: dark skin tone</v>
      </c>
      <c r="F406" t="b">
        <f t="shared" si="41"/>
        <v>1</v>
      </c>
      <c r="G406" t="str">
        <f t="shared" si="37"/>
        <v>1F3CB</v>
      </c>
      <c r="I406">
        <f>HEX2DEC(Table1[[#This Row],[utf8]])</f>
        <v>127947</v>
      </c>
      <c r="J406" t="str">
        <f>_xlfn.UNICHAR(HEX2DEC(Table1[[#This Row],[utf8]]))</f>
        <v>🏋</v>
      </c>
      <c r="K406" s="3" t="str" cm="1">
        <f t="array" ref="K406">"Case "&amp;wRandomLetter()&amp;wRandomLetter()&amp;I406&amp;":    UniConst = ChrW(" &amp; I406 &amp;")"</f>
        <v>Case JR127947:    UniConst = ChrW(127947)</v>
      </c>
    </row>
    <row r="407" spans="1:11" hidden="1">
      <c r="A407" t="s">
        <v>2319</v>
      </c>
      <c r="B407" t="str">
        <f t="shared" si="38"/>
        <v>1F3CB 1F3FF 200D 2642 ; minimally-qualified # 🏋🏿‍♂ E4.0 man lifting weights: dark skin tone</v>
      </c>
      <c r="C407" t="str">
        <f t="shared" si="39"/>
        <v xml:space="preserve">1F3CB 1F3FF 200D 2642 </v>
      </c>
      <c r="D407">
        <f t="shared" si="40"/>
        <v>22</v>
      </c>
      <c r="E407" t="str">
        <f t="shared" si="36"/>
        <v xml:space="preserve"> 🏋🏿‍♂ E4.0 man lifting weights: dark skin tone</v>
      </c>
      <c r="F407" t="b">
        <f t="shared" si="41"/>
        <v>1</v>
      </c>
      <c r="G407" t="str">
        <f t="shared" si="37"/>
        <v>1F3CB</v>
      </c>
      <c r="I407">
        <f>HEX2DEC(Table1[[#This Row],[utf8]])</f>
        <v>127947</v>
      </c>
      <c r="J407" t="str">
        <f>_xlfn.UNICHAR(HEX2DEC(Table1[[#This Row],[utf8]]))</f>
        <v>🏋</v>
      </c>
      <c r="K407" s="3" t="str" cm="1">
        <f t="array" ref="K407">"Case "&amp;wRandomLetter()&amp;wRandomLetter()&amp;I407&amp;":    UniConst = ChrW(" &amp; I407 &amp;")"</f>
        <v>Case PW127947:    UniConst = ChrW(127947)</v>
      </c>
    </row>
    <row r="408" spans="1:11" hidden="1">
      <c r="A408" t="s">
        <v>2318</v>
      </c>
      <c r="B408" t="str">
        <f t="shared" si="38"/>
        <v>1F3CB 1F3FF 200D 2642 FE0F ; fully-qualified # 🏋🏿‍♂️ E4.0 man lifting weights: dark skin tone</v>
      </c>
      <c r="C408" t="str">
        <f t="shared" si="39"/>
        <v xml:space="preserve">1F3CB 1F3FF 200D 2642 FE0F </v>
      </c>
      <c r="D408">
        <f t="shared" si="40"/>
        <v>27</v>
      </c>
      <c r="E408" t="str">
        <f t="shared" si="36"/>
        <v xml:space="preserve"> 🏋🏿‍♂️ E4.0 man lifting weights: dark skin tone</v>
      </c>
      <c r="F408" t="b">
        <f t="shared" si="41"/>
        <v>1</v>
      </c>
      <c r="G408" t="str">
        <f t="shared" si="37"/>
        <v>1F3CB</v>
      </c>
      <c r="I408">
        <f>HEX2DEC(Table1[[#This Row],[utf8]])</f>
        <v>127947</v>
      </c>
      <c r="J408" t="str">
        <f>_xlfn.UNICHAR(HEX2DEC(Table1[[#This Row],[utf8]]))</f>
        <v>🏋</v>
      </c>
      <c r="K408" s="3" t="str" cm="1">
        <f t="array" ref="K408">"Case "&amp;wRandomLetter()&amp;wRandomLetter()&amp;I408&amp;":    UniConst = ChrW(" &amp; I408 &amp;")"</f>
        <v>Case sX127947:    UniConst = ChrW(127947)</v>
      </c>
    </row>
    <row r="409" spans="1:11" hidden="1">
      <c r="A409" t="s">
        <v>2323</v>
      </c>
      <c r="B409" t="str">
        <f t="shared" si="38"/>
        <v>1F3CB 200D 2640 ; unqualified # 🏋‍♀ E4.0 woman lifting weights</v>
      </c>
      <c r="C409" t="str">
        <f t="shared" si="39"/>
        <v xml:space="preserve">1F3CB 200D 2640 </v>
      </c>
      <c r="D409">
        <f t="shared" si="40"/>
        <v>16</v>
      </c>
      <c r="E409" t="str">
        <f t="shared" si="36"/>
        <v xml:space="preserve"> 🏋‍♀ E4.0 woman lifting weights</v>
      </c>
      <c r="F409" t="b">
        <f t="shared" si="41"/>
        <v>1</v>
      </c>
      <c r="G409" t="str">
        <f t="shared" si="37"/>
        <v>1F3CB</v>
      </c>
      <c r="I409">
        <f>HEX2DEC(Table1[[#This Row],[utf8]])</f>
        <v>127947</v>
      </c>
      <c r="J409" t="str">
        <f>_xlfn.UNICHAR(HEX2DEC(Table1[[#This Row],[utf8]]))</f>
        <v>🏋</v>
      </c>
      <c r="K409" s="3" t="str" cm="1">
        <f t="array" ref="K409">"Case "&amp;wRandomLetter()&amp;wRandomLetter()&amp;I409&amp;":    UniConst = ChrW(" &amp; I409 &amp;")"</f>
        <v>Case cI127947:    UniConst = ChrW(127947)</v>
      </c>
    </row>
    <row r="410" spans="1:11" hidden="1">
      <c r="A410" t="s">
        <v>2321</v>
      </c>
      <c r="B410" t="str">
        <f t="shared" si="38"/>
        <v>1F3CB 200D 2640 FE0F ; unqualified # 🏋‍♀️ E4.0 woman lifting weights</v>
      </c>
      <c r="C410" t="str">
        <f t="shared" si="39"/>
        <v xml:space="preserve">1F3CB 200D 2640 FE0F </v>
      </c>
      <c r="D410">
        <f t="shared" si="40"/>
        <v>21</v>
      </c>
      <c r="E410" t="str">
        <f t="shared" si="36"/>
        <v xml:space="preserve"> 🏋‍♀️ E4.0 woman lifting weights</v>
      </c>
      <c r="F410" t="b">
        <f t="shared" si="41"/>
        <v>1</v>
      </c>
      <c r="G410" t="str">
        <f t="shared" si="37"/>
        <v>1F3CB</v>
      </c>
      <c r="I410">
        <f>HEX2DEC(Table1[[#This Row],[utf8]])</f>
        <v>127947</v>
      </c>
      <c r="J410" t="str">
        <f>_xlfn.UNICHAR(HEX2DEC(Table1[[#This Row],[utf8]]))</f>
        <v>🏋</v>
      </c>
      <c r="K410" s="3" t="str" cm="1">
        <f t="array" ref="K410">"Case "&amp;wRandomLetter()&amp;wRandomLetter()&amp;I410&amp;":    UniConst = ChrW(" &amp; I410 &amp;")"</f>
        <v>Case tG127947:    UniConst = ChrW(127947)</v>
      </c>
    </row>
    <row r="411" spans="1:11" hidden="1">
      <c r="A411" t="s">
        <v>2309</v>
      </c>
      <c r="B411" t="str">
        <f t="shared" si="38"/>
        <v>1F3CB 200D 2642 ; unqualified # 🏋‍♂ E4.0 man lifting weights</v>
      </c>
      <c r="C411" t="str">
        <f t="shared" si="39"/>
        <v xml:space="preserve">1F3CB 200D 2642 </v>
      </c>
      <c r="D411">
        <f t="shared" si="40"/>
        <v>16</v>
      </c>
      <c r="E411" t="str">
        <f t="shared" si="36"/>
        <v xml:space="preserve"> 🏋‍♂ E4.0 man lifting weights</v>
      </c>
      <c r="F411" t="b">
        <f t="shared" si="41"/>
        <v>1</v>
      </c>
      <c r="G411" t="str">
        <f t="shared" si="37"/>
        <v>1F3CB</v>
      </c>
      <c r="I411">
        <f>HEX2DEC(Table1[[#This Row],[utf8]])</f>
        <v>127947</v>
      </c>
      <c r="J411" t="str">
        <f>_xlfn.UNICHAR(HEX2DEC(Table1[[#This Row],[utf8]]))</f>
        <v>🏋</v>
      </c>
      <c r="K411" s="3" t="str" cm="1">
        <f t="array" ref="K411">"Case "&amp;wRandomLetter()&amp;wRandomLetter()&amp;I411&amp;":    UniConst = ChrW(" &amp; I411 &amp;")"</f>
        <v>Case vm127947:    UniConst = ChrW(127947)</v>
      </c>
    </row>
    <row r="412" spans="1:11" hidden="1">
      <c r="A412" t="s">
        <v>2307</v>
      </c>
      <c r="B412" t="str">
        <f t="shared" si="38"/>
        <v>1F3CB 200D 2642 FE0F ; unqualified # 🏋‍♂️ E4.0 man lifting weights</v>
      </c>
      <c r="C412" t="str">
        <f t="shared" si="39"/>
        <v xml:space="preserve">1F3CB 200D 2642 FE0F </v>
      </c>
      <c r="D412">
        <f t="shared" si="40"/>
        <v>21</v>
      </c>
      <c r="E412" t="str">
        <f t="shared" si="36"/>
        <v xml:space="preserve"> 🏋‍♂️ E4.0 man lifting weights</v>
      </c>
      <c r="F412" t="b">
        <f t="shared" si="41"/>
        <v>1</v>
      </c>
      <c r="G412" t="str">
        <f t="shared" si="37"/>
        <v>1F3CB</v>
      </c>
      <c r="I412">
        <f>HEX2DEC(Table1[[#This Row],[utf8]])</f>
        <v>127947</v>
      </c>
      <c r="J412" t="str">
        <f>_xlfn.UNICHAR(HEX2DEC(Table1[[#This Row],[utf8]]))</f>
        <v>🏋</v>
      </c>
      <c r="K412" s="3" t="str" cm="1">
        <f t="array" ref="K412">"Case "&amp;wRandomLetter()&amp;wRandomLetter()&amp;I412&amp;":    UniConst = ChrW(" &amp; I412 &amp;")"</f>
        <v>Case Lh127947:    UniConst = ChrW(127947)</v>
      </c>
    </row>
    <row r="413" spans="1:11" hidden="1">
      <c r="A413" t="s">
        <v>2299</v>
      </c>
      <c r="B413" t="str">
        <f t="shared" si="38"/>
        <v>1F3CB FE0F ; fully-qualified # 🏋️ E0.7 person lifting weights</v>
      </c>
      <c r="C413" t="str">
        <f t="shared" si="39"/>
        <v xml:space="preserve">1F3CB FE0F </v>
      </c>
      <c r="D413">
        <f t="shared" si="40"/>
        <v>11</v>
      </c>
      <c r="E413" t="str">
        <f t="shared" si="36"/>
        <v xml:space="preserve"> 🏋️ E0.7 person lifting weights</v>
      </c>
      <c r="F413" t="b">
        <f t="shared" si="41"/>
        <v>1</v>
      </c>
      <c r="G413" t="str">
        <f t="shared" si="37"/>
        <v>1F3CB</v>
      </c>
      <c r="I413">
        <f>HEX2DEC(Table1[[#This Row],[utf8]])</f>
        <v>127947</v>
      </c>
      <c r="J413" t="str">
        <f>_xlfn.UNICHAR(HEX2DEC(Table1[[#This Row],[utf8]]))</f>
        <v>🏋</v>
      </c>
      <c r="K413" s="3" t="str" cm="1">
        <f t="array" ref="K413">"Case "&amp;wRandomLetter()&amp;wRandomLetter()&amp;I413&amp;":    UniConst = ChrW(" &amp; I413 &amp;")"</f>
        <v>Case jr127947:    UniConst = ChrW(127947)</v>
      </c>
    </row>
    <row r="414" spans="1:11" hidden="1">
      <c r="A414" t="s">
        <v>2322</v>
      </c>
      <c r="B414" t="str">
        <f t="shared" si="38"/>
        <v>1F3CB FE0F 200D 2640 ; unqualified # 🏋️‍♀ E4.0 woman lifting weights</v>
      </c>
      <c r="C414" t="str">
        <f t="shared" si="39"/>
        <v xml:space="preserve">1F3CB FE0F 200D 2640 </v>
      </c>
      <c r="D414">
        <f t="shared" si="40"/>
        <v>21</v>
      </c>
      <c r="E414" t="str">
        <f t="shared" si="36"/>
        <v xml:space="preserve"> 🏋️‍♀ E4.0 woman lifting weights</v>
      </c>
      <c r="F414" t="b">
        <f t="shared" si="41"/>
        <v>1</v>
      </c>
      <c r="G414" t="str">
        <f t="shared" si="37"/>
        <v>1F3CB</v>
      </c>
      <c r="I414">
        <f>HEX2DEC(Table1[[#This Row],[utf8]])</f>
        <v>127947</v>
      </c>
      <c r="J414" t="str">
        <f>_xlfn.UNICHAR(HEX2DEC(Table1[[#This Row],[utf8]]))</f>
        <v>🏋</v>
      </c>
      <c r="K414" s="3" t="str" cm="1">
        <f t="array" ref="K414">"Case "&amp;wRandomLetter()&amp;wRandomLetter()&amp;I414&amp;":    UniConst = ChrW(" &amp; I414 &amp;")"</f>
        <v>Case ma127947:    UniConst = ChrW(127947)</v>
      </c>
    </row>
    <row r="415" spans="1:11" hidden="1">
      <c r="A415" t="s">
        <v>2320</v>
      </c>
      <c r="B415" t="str">
        <f t="shared" si="38"/>
        <v>1F3CB FE0F 200D 2640 FE0F ; fully-qualified # 🏋️‍♀️ E4.0 woman lifting weights</v>
      </c>
      <c r="C415" t="str">
        <f t="shared" si="39"/>
        <v xml:space="preserve">1F3CB FE0F 200D 2640 FE0F </v>
      </c>
      <c r="D415">
        <f t="shared" si="40"/>
        <v>26</v>
      </c>
      <c r="E415" t="str">
        <f t="shared" si="36"/>
        <v xml:space="preserve"> 🏋️‍♀️ E4.0 woman lifting weights</v>
      </c>
      <c r="F415" t="b">
        <f t="shared" si="41"/>
        <v>1</v>
      </c>
      <c r="G415" t="str">
        <f t="shared" si="37"/>
        <v>1F3CB</v>
      </c>
      <c r="I415">
        <f>HEX2DEC(Table1[[#This Row],[utf8]])</f>
        <v>127947</v>
      </c>
      <c r="J415" t="str">
        <f>_xlfn.UNICHAR(HEX2DEC(Table1[[#This Row],[utf8]]))</f>
        <v>🏋</v>
      </c>
      <c r="K415" s="3" t="str" cm="1">
        <f t="array" ref="K415">"Case "&amp;wRandomLetter()&amp;wRandomLetter()&amp;I415&amp;":    UniConst = ChrW(" &amp; I415 &amp;")"</f>
        <v>Case yb127947:    UniConst = ChrW(127947)</v>
      </c>
    </row>
    <row r="416" spans="1:11" hidden="1">
      <c r="A416" t="s">
        <v>2308</v>
      </c>
      <c r="B416" t="str">
        <f t="shared" si="38"/>
        <v>1F3CB FE0F 200D 2642 ; unqualified # 🏋️‍♂ E4.0 man lifting weights</v>
      </c>
      <c r="C416" t="str">
        <f t="shared" si="39"/>
        <v xml:space="preserve">1F3CB FE0F 200D 2642 </v>
      </c>
      <c r="D416">
        <f t="shared" si="40"/>
        <v>21</v>
      </c>
      <c r="E416" t="str">
        <f t="shared" si="36"/>
        <v xml:space="preserve"> 🏋️‍♂ E4.0 man lifting weights</v>
      </c>
      <c r="F416" t="b">
        <f t="shared" si="41"/>
        <v>1</v>
      </c>
      <c r="G416" t="str">
        <f t="shared" si="37"/>
        <v>1F3CB</v>
      </c>
      <c r="I416">
        <f>HEX2DEC(Table1[[#This Row],[utf8]])</f>
        <v>127947</v>
      </c>
      <c r="J416" t="str">
        <f>_xlfn.UNICHAR(HEX2DEC(Table1[[#This Row],[utf8]]))</f>
        <v>🏋</v>
      </c>
      <c r="K416" s="3" t="str" cm="1">
        <f t="array" ref="K416">"Case "&amp;wRandomLetter()&amp;wRandomLetter()&amp;I416&amp;":    UniConst = ChrW(" &amp; I416 &amp;")"</f>
        <v>Case hx127947:    UniConst = ChrW(127947)</v>
      </c>
    </row>
    <row r="417" spans="1:11" hidden="1">
      <c r="A417" t="s">
        <v>2306</v>
      </c>
      <c r="B417" t="str">
        <f t="shared" si="38"/>
        <v>1F3CB FE0F 200D 2642 FE0F ; fully-qualified # 🏋️‍♂️ E4.0 man lifting weights</v>
      </c>
      <c r="C417" t="str">
        <f t="shared" si="39"/>
        <v xml:space="preserve">1F3CB FE0F 200D 2642 FE0F </v>
      </c>
      <c r="D417">
        <f t="shared" si="40"/>
        <v>26</v>
      </c>
      <c r="E417" t="str">
        <f t="shared" si="36"/>
        <v xml:space="preserve"> 🏋️‍♂️ E4.0 man lifting weights</v>
      </c>
      <c r="F417" t="b">
        <f t="shared" si="41"/>
        <v>1</v>
      </c>
      <c r="G417" t="str">
        <f t="shared" si="37"/>
        <v>1F3CB</v>
      </c>
      <c r="I417">
        <f>HEX2DEC(Table1[[#This Row],[utf8]])</f>
        <v>127947</v>
      </c>
      <c r="J417" t="str">
        <f>_xlfn.UNICHAR(HEX2DEC(Table1[[#This Row],[utf8]]))</f>
        <v>🏋</v>
      </c>
      <c r="K417" s="3" t="str" cm="1">
        <f t="array" ref="K417">"Case "&amp;wRandomLetter()&amp;wRandomLetter()&amp;I417&amp;":    UniConst = ChrW(" &amp; I417 &amp;")"</f>
        <v>Case Fk127947:    UniConst = ChrW(127947)</v>
      </c>
    </row>
    <row r="418" spans="1:11" hidden="1">
      <c r="A418" t="s">
        <v>2140</v>
      </c>
      <c r="B418" t="str">
        <f t="shared" si="38"/>
        <v>1F3CC ; unqualified # 🏌 E0.7 person golfing</v>
      </c>
      <c r="C418" t="str">
        <f t="shared" si="39"/>
        <v xml:space="preserve">1F3CC </v>
      </c>
      <c r="D418">
        <f t="shared" si="40"/>
        <v>6</v>
      </c>
      <c r="E418" t="str">
        <f t="shared" si="36"/>
        <v xml:space="preserve"> 🏌 E0.7 person golfing</v>
      </c>
      <c r="F418" t="b">
        <f t="shared" si="41"/>
        <v>1</v>
      </c>
      <c r="G418" t="str">
        <f t="shared" si="37"/>
        <v>1F3CC</v>
      </c>
      <c r="I418">
        <f>HEX2DEC(Table1[[#This Row],[utf8]])</f>
        <v>127948</v>
      </c>
      <c r="J418" t="str">
        <f>_xlfn.UNICHAR(HEX2DEC(Table1[[#This Row],[utf8]]))</f>
        <v>🏌</v>
      </c>
      <c r="K418" s="3" t="str" cm="1">
        <f t="array" ref="K418">"Case "&amp;wRandomLetter()&amp;wRandomLetter()&amp;I418&amp;":    UniConst = ChrW(" &amp; I418 &amp;")"</f>
        <v>Case Vv127948:    UniConst = ChrW(127948)</v>
      </c>
    </row>
    <row r="419" spans="1:11" hidden="1">
      <c r="A419" t="s">
        <v>2141</v>
      </c>
      <c r="B419" t="str">
        <f t="shared" si="38"/>
        <v>1F3CC 1F3FB ; fully-qualified # 🏌🏻 E4.0 person golfing: light skin tone</v>
      </c>
      <c r="C419" t="str">
        <f t="shared" si="39"/>
        <v xml:space="preserve">1F3CC 1F3FB </v>
      </c>
      <c r="D419">
        <f t="shared" si="40"/>
        <v>12</v>
      </c>
      <c r="E419" t="str">
        <f t="shared" si="36"/>
        <v xml:space="preserve"> 🏌🏻 E4.0 person golfing: light skin tone</v>
      </c>
      <c r="F419" t="b">
        <f t="shared" si="41"/>
        <v>1</v>
      </c>
      <c r="G419" t="str">
        <f t="shared" si="37"/>
        <v>1F3CC</v>
      </c>
      <c r="I419">
        <f>HEX2DEC(Table1[[#This Row],[utf8]])</f>
        <v>127948</v>
      </c>
      <c r="J419" t="str">
        <f>_xlfn.UNICHAR(HEX2DEC(Table1[[#This Row],[utf8]]))</f>
        <v>🏌</v>
      </c>
      <c r="K419" s="3" t="str" cm="1">
        <f t="array" ref="K419">"Case "&amp;wRandomLetter()&amp;wRandomLetter()&amp;I419&amp;":    UniConst = ChrW(" &amp; I419 &amp;")"</f>
        <v>Case HH127948:    UniConst = ChrW(127948)</v>
      </c>
    </row>
    <row r="420" spans="1:11" hidden="1">
      <c r="A420" t="s">
        <v>2165</v>
      </c>
      <c r="B420" t="str">
        <f t="shared" si="38"/>
        <v>1F3CC 1F3FB 200D 2640 ; minimally-qualified # 🏌🏻‍♀ E4.0 woman golfing: light skin tone</v>
      </c>
      <c r="C420" t="str">
        <f t="shared" si="39"/>
        <v xml:space="preserve">1F3CC 1F3FB 200D 2640 </v>
      </c>
      <c r="D420">
        <f t="shared" si="40"/>
        <v>22</v>
      </c>
      <c r="E420" t="str">
        <f t="shared" si="36"/>
        <v xml:space="preserve"> 🏌🏻‍♀ E4.0 woman golfing: light skin tone</v>
      </c>
      <c r="F420" t="b">
        <f t="shared" si="41"/>
        <v>1</v>
      </c>
      <c r="G420" t="str">
        <f t="shared" si="37"/>
        <v>1F3CC</v>
      </c>
      <c r="I420">
        <f>HEX2DEC(Table1[[#This Row],[utf8]])</f>
        <v>127948</v>
      </c>
      <c r="J420" t="str">
        <f>_xlfn.UNICHAR(HEX2DEC(Table1[[#This Row],[utf8]]))</f>
        <v>🏌</v>
      </c>
      <c r="K420" s="3" t="str" cm="1">
        <f t="array" ref="K420">"Case "&amp;wRandomLetter()&amp;wRandomLetter()&amp;I420&amp;":    UniConst = ChrW(" &amp; I420 &amp;")"</f>
        <v>Case vz127948:    UniConst = ChrW(127948)</v>
      </c>
    </row>
    <row r="421" spans="1:11" hidden="1">
      <c r="A421" t="s">
        <v>2164</v>
      </c>
      <c r="B421" t="str">
        <f t="shared" si="38"/>
        <v>1F3CC 1F3FB 200D 2640 FE0F ; fully-qualified # 🏌🏻‍♀️ E4.0 woman golfing: light skin tone</v>
      </c>
      <c r="C421" t="str">
        <f t="shared" si="39"/>
        <v xml:space="preserve">1F3CC 1F3FB 200D 2640 FE0F </v>
      </c>
      <c r="D421">
        <f t="shared" si="40"/>
        <v>27</v>
      </c>
      <c r="E421" t="str">
        <f t="shared" si="36"/>
        <v xml:space="preserve"> 🏌🏻‍♀️ E4.0 woman golfing: light skin tone</v>
      </c>
      <c r="F421" t="b">
        <f t="shared" si="41"/>
        <v>1</v>
      </c>
      <c r="G421" t="str">
        <f t="shared" si="37"/>
        <v>1F3CC</v>
      </c>
      <c r="I421">
        <f>HEX2DEC(Table1[[#This Row],[utf8]])</f>
        <v>127948</v>
      </c>
      <c r="J421" t="str">
        <f>_xlfn.UNICHAR(HEX2DEC(Table1[[#This Row],[utf8]]))</f>
        <v>🏌</v>
      </c>
      <c r="K421" s="3" t="str" cm="1">
        <f t="array" ref="K421">"Case "&amp;wRandomLetter()&amp;wRandomLetter()&amp;I421&amp;":    UniConst = ChrW(" &amp; I421 &amp;")"</f>
        <v>Case OR127948:    UniConst = ChrW(127948)</v>
      </c>
    </row>
    <row r="422" spans="1:11" hidden="1">
      <c r="A422" t="s">
        <v>2151</v>
      </c>
      <c r="B422" t="str">
        <f t="shared" si="38"/>
        <v>1F3CC 1F3FB 200D 2642 ; minimally-qualified # 🏌🏻‍♂ E4.0 man golfing: light skin tone</v>
      </c>
      <c r="C422" t="str">
        <f t="shared" si="39"/>
        <v xml:space="preserve">1F3CC 1F3FB 200D 2642 </v>
      </c>
      <c r="D422">
        <f t="shared" si="40"/>
        <v>22</v>
      </c>
      <c r="E422" t="str">
        <f t="shared" si="36"/>
        <v xml:space="preserve"> 🏌🏻‍♂ E4.0 man golfing: light skin tone</v>
      </c>
      <c r="F422" t="b">
        <f t="shared" si="41"/>
        <v>1</v>
      </c>
      <c r="G422" t="str">
        <f t="shared" si="37"/>
        <v>1F3CC</v>
      </c>
      <c r="I422">
        <f>HEX2DEC(Table1[[#This Row],[utf8]])</f>
        <v>127948</v>
      </c>
      <c r="J422" t="str">
        <f>_xlfn.UNICHAR(HEX2DEC(Table1[[#This Row],[utf8]]))</f>
        <v>🏌</v>
      </c>
      <c r="K422" s="3" t="str" cm="1">
        <f t="array" ref="K422">"Case "&amp;wRandomLetter()&amp;wRandomLetter()&amp;I422&amp;":    UniConst = ChrW(" &amp; I422 &amp;")"</f>
        <v>Case OR127948:    UniConst = ChrW(127948)</v>
      </c>
    </row>
    <row r="423" spans="1:11" hidden="1">
      <c r="A423" t="s">
        <v>2150</v>
      </c>
      <c r="B423" t="str">
        <f t="shared" si="38"/>
        <v>1F3CC 1F3FB 200D 2642 FE0F ; fully-qualified # 🏌🏻‍♂️ E4.0 man golfing: light skin tone</v>
      </c>
      <c r="C423" t="str">
        <f t="shared" si="39"/>
        <v xml:space="preserve">1F3CC 1F3FB 200D 2642 FE0F </v>
      </c>
      <c r="D423">
        <f t="shared" si="40"/>
        <v>27</v>
      </c>
      <c r="E423" t="str">
        <f t="shared" si="36"/>
        <v xml:space="preserve"> 🏌🏻‍♂️ E4.0 man golfing: light skin tone</v>
      </c>
      <c r="F423" t="b">
        <f t="shared" si="41"/>
        <v>1</v>
      </c>
      <c r="G423" t="str">
        <f t="shared" si="37"/>
        <v>1F3CC</v>
      </c>
      <c r="I423">
        <f>HEX2DEC(Table1[[#This Row],[utf8]])</f>
        <v>127948</v>
      </c>
      <c r="J423" t="str">
        <f>_xlfn.UNICHAR(HEX2DEC(Table1[[#This Row],[utf8]]))</f>
        <v>🏌</v>
      </c>
      <c r="K423" s="3" t="str" cm="1">
        <f t="array" ref="K423">"Case "&amp;wRandomLetter()&amp;wRandomLetter()&amp;I423&amp;":    UniConst = ChrW(" &amp; I423 &amp;")"</f>
        <v>Case PP127948:    UniConst = ChrW(127948)</v>
      </c>
    </row>
    <row r="424" spans="1:11" hidden="1">
      <c r="A424" t="s">
        <v>2142</v>
      </c>
      <c r="B424" t="str">
        <f t="shared" si="38"/>
        <v>1F3CC 1F3FC ; fully-qualified # 🏌🏼 E4.0 person golfing: medium-light skin tone</v>
      </c>
      <c r="C424" t="str">
        <f t="shared" si="39"/>
        <v xml:space="preserve">1F3CC 1F3FC </v>
      </c>
      <c r="D424">
        <f t="shared" si="40"/>
        <v>12</v>
      </c>
      <c r="E424" t="str">
        <f t="shared" si="36"/>
        <v xml:space="preserve"> 🏌🏼 E4.0 person golfing: medium-light skin tone</v>
      </c>
      <c r="F424" t="b">
        <f t="shared" si="41"/>
        <v>1</v>
      </c>
      <c r="G424" t="str">
        <f t="shared" si="37"/>
        <v>1F3CC</v>
      </c>
      <c r="I424">
        <f>HEX2DEC(Table1[[#This Row],[utf8]])</f>
        <v>127948</v>
      </c>
      <c r="J424" t="str">
        <f>_xlfn.UNICHAR(HEX2DEC(Table1[[#This Row],[utf8]]))</f>
        <v>🏌</v>
      </c>
      <c r="K424" s="3" t="str" cm="1">
        <f t="array" ref="K424">"Case "&amp;wRandomLetter()&amp;wRandomLetter()&amp;I424&amp;":    UniConst = ChrW(" &amp; I424 &amp;")"</f>
        <v>Case MU127948:    UniConst = ChrW(127948)</v>
      </c>
    </row>
    <row r="425" spans="1:11" hidden="1">
      <c r="A425" t="s">
        <v>2167</v>
      </c>
      <c r="B425" t="str">
        <f t="shared" si="38"/>
        <v>1F3CC 1F3FC 200D 2640 ; minimally-qualified # 🏌🏼‍♀ E4.0 woman golfing: medium-light skin tone</v>
      </c>
      <c r="C425" t="str">
        <f t="shared" si="39"/>
        <v xml:space="preserve">1F3CC 1F3FC 200D 2640 </v>
      </c>
      <c r="D425">
        <f t="shared" si="40"/>
        <v>22</v>
      </c>
      <c r="E425" t="str">
        <f t="shared" si="36"/>
        <v xml:space="preserve"> 🏌🏼‍♀ E4.0 woman golfing: medium-light skin tone</v>
      </c>
      <c r="F425" t="b">
        <f t="shared" si="41"/>
        <v>1</v>
      </c>
      <c r="G425" t="str">
        <f t="shared" si="37"/>
        <v>1F3CC</v>
      </c>
      <c r="I425">
        <f>HEX2DEC(Table1[[#This Row],[utf8]])</f>
        <v>127948</v>
      </c>
      <c r="J425" t="str">
        <f>_xlfn.UNICHAR(HEX2DEC(Table1[[#This Row],[utf8]]))</f>
        <v>🏌</v>
      </c>
      <c r="K425" s="3" t="str" cm="1">
        <f t="array" ref="K425">"Case "&amp;wRandomLetter()&amp;wRandomLetter()&amp;I425&amp;":    UniConst = ChrW(" &amp; I425 &amp;")"</f>
        <v>Case Eb127948:    UniConst = ChrW(127948)</v>
      </c>
    </row>
    <row r="426" spans="1:11" hidden="1">
      <c r="A426" t="s">
        <v>2166</v>
      </c>
      <c r="B426" t="str">
        <f t="shared" si="38"/>
        <v>1F3CC 1F3FC 200D 2640 FE0F ; fully-qualified # 🏌🏼‍♀️ E4.0 woman golfing: medium-light skin tone</v>
      </c>
      <c r="C426" t="str">
        <f t="shared" si="39"/>
        <v xml:space="preserve">1F3CC 1F3FC 200D 2640 FE0F </v>
      </c>
      <c r="D426">
        <f t="shared" si="40"/>
        <v>27</v>
      </c>
      <c r="E426" t="str">
        <f t="shared" si="36"/>
        <v xml:space="preserve"> 🏌🏼‍♀️ E4.0 woman golfing: medium-light skin tone</v>
      </c>
      <c r="F426" t="b">
        <f t="shared" si="41"/>
        <v>1</v>
      </c>
      <c r="G426" t="str">
        <f t="shared" si="37"/>
        <v>1F3CC</v>
      </c>
      <c r="I426">
        <f>HEX2DEC(Table1[[#This Row],[utf8]])</f>
        <v>127948</v>
      </c>
      <c r="J426" t="str">
        <f>_xlfn.UNICHAR(HEX2DEC(Table1[[#This Row],[utf8]]))</f>
        <v>🏌</v>
      </c>
      <c r="K426" s="3" t="str" cm="1">
        <f t="array" ref="K426">"Case "&amp;wRandomLetter()&amp;wRandomLetter()&amp;I426&amp;":    UniConst = ChrW(" &amp; I426 &amp;")"</f>
        <v>Case AM127948:    UniConst = ChrW(127948)</v>
      </c>
    </row>
    <row r="427" spans="1:11" hidden="1">
      <c r="A427" t="s">
        <v>2153</v>
      </c>
      <c r="B427" t="str">
        <f t="shared" si="38"/>
        <v>1F3CC 1F3FC 200D 2642 ; minimally-qualified # 🏌🏼‍♂ E4.0 man golfing: medium-light skin tone</v>
      </c>
      <c r="C427" t="str">
        <f t="shared" si="39"/>
        <v xml:space="preserve">1F3CC 1F3FC 200D 2642 </v>
      </c>
      <c r="D427">
        <f t="shared" si="40"/>
        <v>22</v>
      </c>
      <c r="E427" t="str">
        <f t="shared" si="36"/>
        <v xml:space="preserve"> 🏌🏼‍♂ E4.0 man golfing: medium-light skin tone</v>
      </c>
      <c r="F427" t="b">
        <f t="shared" si="41"/>
        <v>1</v>
      </c>
      <c r="G427" t="str">
        <f t="shared" si="37"/>
        <v>1F3CC</v>
      </c>
      <c r="I427">
        <f>HEX2DEC(Table1[[#This Row],[utf8]])</f>
        <v>127948</v>
      </c>
      <c r="J427" t="str">
        <f>_xlfn.UNICHAR(HEX2DEC(Table1[[#This Row],[utf8]]))</f>
        <v>🏌</v>
      </c>
      <c r="K427" s="3" t="str" cm="1">
        <f t="array" ref="K427">"Case "&amp;wRandomLetter()&amp;wRandomLetter()&amp;I427&amp;":    UniConst = ChrW(" &amp; I427 &amp;")"</f>
        <v>Case Gk127948:    UniConst = ChrW(127948)</v>
      </c>
    </row>
    <row r="428" spans="1:11" hidden="1">
      <c r="A428" t="s">
        <v>2152</v>
      </c>
      <c r="B428" t="str">
        <f t="shared" si="38"/>
        <v>1F3CC 1F3FC 200D 2642 FE0F ; fully-qualified # 🏌🏼‍♂️ E4.0 man golfing: medium-light skin tone</v>
      </c>
      <c r="C428" t="str">
        <f t="shared" si="39"/>
        <v xml:space="preserve">1F3CC 1F3FC 200D 2642 FE0F </v>
      </c>
      <c r="D428">
        <f t="shared" si="40"/>
        <v>27</v>
      </c>
      <c r="E428" t="str">
        <f t="shared" si="36"/>
        <v xml:space="preserve"> 🏌🏼‍♂️ E4.0 man golfing: medium-light skin tone</v>
      </c>
      <c r="F428" t="b">
        <f t="shared" si="41"/>
        <v>1</v>
      </c>
      <c r="G428" t="str">
        <f t="shared" si="37"/>
        <v>1F3CC</v>
      </c>
      <c r="I428">
        <f>HEX2DEC(Table1[[#This Row],[utf8]])</f>
        <v>127948</v>
      </c>
      <c r="J428" t="str">
        <f>_xlfn.UNICHAR(HEX2DEC(Table1[[#This Row],[utf8]]))</f>
        <v>🏌</v>
      </c>
      <c r="K428" s="3" t="str" cm="1">
        <f t="array" ref="K428">"Case "&amp;wRandomLetter()&amp;wRandomLetter()&amp;I428&amp;":    UniConst = ChrW(" &amp; I428 &amp;")"</f>
        <v>Case Fi127948:    UniConst = ChrW(127948)</v>
      </c>
    </row>
    <row r="429" spans="1:11" hidden="1">
      <c r="A429" t="s">
        <v>2143</v>
      </c>
      <c r="B429" t="str">
        <f t="shared" si="38"/>
        <v>1F3CC 1F3FD ; fully-qualified # 🏌🏽 E4.0 person golfing: medium skin tone</v>
      </c>
      <c r="C429" t="str">
        <f t="shared" si="39"/>
        <v xml:space="preserve">1F3CC 1F3FD </v>
      </c>
      <c r="D429">
        <f t="shared" si="40"/>
        <v>12</v>
      </c>
      <c r="E429" t="str">
        <f t="shared" si="36"/>
        <v xml:space="preserve"> 🏌🏽 E4.0 person golfing: medium skin tone</v>
      </c>
      <c r="F429" t="b">
        <f t="shared" si="41"/>
        <v>1</v>
      </c>
      <c r="G429" t="str">
        <f t="shared" si="37"/>
        <v>1F3CC</v>
      </c>
      <c r="I429">
        <f>HEX2DEC(Table1[[#This Row],[utf8]])</f>
        <v>127948</v>
      </c>
      <c r="J429" t="str">
        <f>_xlfn.UNICHAR(HEX2DEC(Table1[[#This Row],[utf8]]))</f>
        <v>🏌</v>
      </c>
      <c r="K429" s="3" t="str" cm="1">
        <f t="array" ref="K429">"Case "&amp;wRandomLetter()&amp;wRandomLetter()&amp;I429&amp;":    UniConst = ChrW(" &amp; I429 &amp;")"</f>
        <v>Case AD127948:    UniConst = ChrW(127948)</v>
      </c>
    </row>
    <row r="430" spans="1:11" hidden="1">
      <c r="A430" t="s">
        <v>2169</v>
      </c>
      <c r="B430" t="str">
        <f t="shared" si="38"/>
        <v>1F3CC 1F3FD 200D 2640 ; minimally-qualified # 🏌🏽‍♀ E4.0 woman golfing: medium skin tone</v>
      </c>
      <c r="C430" t="str">
        <f t="shared" si="39"/>
        <v xml:space="preserve">1F3CC 1F3FD 200D 2640 </v>
      </c>
      <c r="D430">
        <f t="shared" si="40"/>
        <v>22</v>
      </c>
      <c r="E430" t="str">
        <f t="shared" si="36"/>
        <v xml:space="preserve"> 🏌🏽‍♀ E4.0 woman golfing: medium skin tone</v>
      </c>
      <c r="F430" t="b">
        <f t="shared" si="41"/>
        <v>1</v>
      </c>
      <c r="G430" t="str">
        <f t="shared" si="37"/>
        <v>1F3CC</v>
      </c>
      <c r="I430">
        <f>HEX2DEC(Table1[[#This Row],[utf8]])</f>
        <v>127948</v>
      </c>
      <c r="J430" t="str">
        <f>_xlfn.UNICHAR(HEX2DEC(Table1[[#This Row],[utf8]]))</f>
        <v>🏌</v>
      </c>
      <c r="K430" s="3" t="str" cm="1">
        <f t="array" ref="K430">"Case "&amp;wRandomLetter()&amp;wRandomLetter()&amp;I430&amp;":    UniConst = ChrW(" &amp; I430 &amp;")"</f>
        <v>Case Hg127948:    UniConst = ChrW(127948)</v>
      </c>
    </row>
    <row r="431" spans="1:11" hidden="1">
      <c r="A431" t="s">
        <v>2168</v>
      </c>
      <c r="B431" t="str">
        <f t="shared" si="38"/>
        <v>1F3CC 1F3FD 200D 2640 FE0F ; fully-qualified # 🏌🏽‍♀️ E4.0 woman golfing: medium skin tone</v>
      </c>
      <c r="C431" t="str">
        <f t="shared" si="39"/>
        <v xml:space="preserve">1F3CC 1F3FD 200D 2640 FE0F </v>
      </c>
      <c r="D431">
        <f t="shared" si="40"/>
        <v>27</v>
      </c>
      <c r="E431" t="str">
        <f t="shared" si="36"/>
        <v xml:space="preserve"> 🏌🏽‍♀️ E4.0 woman golfing: medium skin tone</v>
      </c>
      <c r="F431" t="b">
        <f t="shared" si="41"/>
        <v>1</v>
      </c>
      <c r="G431" t="str">
        <f t="shared" si="37"/>
        <v>1F3CC</v>
      </c>
      <c r="I431">
        <f>HEX2DEC(Table1[[#This Row],[utf8]])</f>
        <v>127948</v>
      </c>
      <c r="J431" t="str">
        <f>_xlfn.UNICHAR(HEX2DEC(Table1[[#This Row],[utf8]]))</f>
        <v>🏌</v>
      </c>
      <c r="K431" s="3" t="str" cm="1">
        <f t="array" ref="K431">"Case "&amp;wRandomLetter()&amp;wRandomLetter()&amp;I431&amp;":    UniConst = ChrW(" &amp; I431 &amp;")"</f>
        <v>Case OA127948:    UniConst = ChrW(127948)</v>
      </c>
    </row>
    <row r="432" spans="1:11" hidden="1">
      <c r="A432" t="s">
        <v>2155</v>
      </c>
      <c r="B432" t="str">
        <f t="shared" si="38"/>
        <v>1F3CC 1F3FD 200D 2642 ; minimally-qualified # 🏌🏽‍♂ E4.0 man golfing: medium skin tone</v>
      </c>
      <c r="C432" t="str">
        <f t="shared" si="39"/>
        <v xml:space="preserve">1F3CC 1F3FD 200D 2642 </v>
      </c>
      <c r="D432">
        <f t="shared" si="40"/>
        <v>22</v>
      </c>
      <c r="E432" t="str">
        <f t="shared" si="36"/>
        <v xml:space="preserve"> 🏌🏽‍♂ E4.0 man golfing: medium skin tone</v>
      </c>
      <c r="F432" t="b">
        <f t="shared" si="41"/>
        <v>1</v>
      </c>
      <c r="G432" t="str">
        <f t="shared" si="37"/>
        <v>1F3CC</v>
      </c>
      <c r="I432">
        <f>HEX2DEC(Table1[[#This Row],[utf8]])</f>
        <v>127948</v>
      </c>
      <c r="J432" t="str">
        <f>_xlfn.UNICHAR(HEX2DEC(Table1[[#This Row],[utf8]]))</f>
        <v>🏌</v>
      </c>
      <c r="K432" s="3" t="str" cm="1">
        <f t="array" ref="K432">"Case "&amp;wRandomLetter()&amp;wRandomLetter()&amp;I432&amp;":    UniConst = ChrW(" &amp; I432 &amp;")"</f>
        <v>Case Hd127948:    UniConst = ChrW(127948)</v>
      </c>
    </row>
    <row r="433" spans="1:11" hidden="1">
      <c r="A433" t="s">
        <v>2154</v>
      </c>
      <c r="B433" t="str">
        <f t="shared" si="38"/>
        <v>1F3CC 1F3FD 200D 2642 FE0F ; fully-qualified # 🏌🏽‍♂️ E4.0 man golfing: medium skin tone</v>
      </c>
      <c r="C433" t="str">
        <f t="shared" si="39"/>
        <v xml:space="preserve">1F3CC 1F3FD 200D 2642 FE0F </v>
      </c>
      <c r="D433">
        <f t="shared" si="40"/>
        <v>27</v>
      </c>
      <c r="E433" t="str">
        <f t="shared" si="36"/>
        <v xml:space="preserve"> 🏌🏽‍♂️ E4.0 man golfing: medium skin tone</v>
      </c>
      <c r="F433" t="b">
        <f t="shared" si="41"/>
        <v>1</v>
      </c>
      <c r="G433" t="str">
        <f t="shared" si="37"/>
        <v>1F3CC</v>
      </c>
      <c r="I433">
        <f>HEX2DEC(Table1[[#This Row],[utf8]])</f>
        <v>127948</v>
      </c>
      <c r="J433" t="str">
        <f>_xlfn.UNICHAR(HEX2DEC(Table1[[#This Row],[utf8]]))</f>
        <v>🏌</v>
      </c>
      <c r="K433" s="3" t="str" cm="1">
        <f t="array" ref="K433">"Case "&amp;wRandomLetter()&amp;wRandomLetter()&amp;I433&amp;":    UniConst = ChrW(" &amp; I433 &amp;")"</f>
        <v>Case Zu127948:    UniConst = ChrW(127948)</v>
      </c>
    </row>
    <row r="434" spans="1:11" hidden="1">
      <c r="A434" t="s">
        <v>2144</v>
      </c>
      <c r="B434" t="str">
        <f t="shared" si="38"/>
        <v>1F3CC 1F3FE ; fully-qualified # 🏌🏾 E4.0 person golfing: medium-dark skin tone</v>
      </c>
      <c r="C434" t="str">
        <f t="shared" si="39"/>
        <v xml:space="preserve">1F3CC 1F3FE </v>
      </c>
      <c r="D434">
        <f t="shared" si="40"/>
        <v>12</v>
      </c>
      <c r="E434" t="str">
        <f t="shared" si="36"/>
        <v xml:space="preserve"> 🏌🏾 E4.0 person golfing: medium-dark skin tone</v>
      </c>
      <c r="F434" t="b">
        <f t="shared" si="41"/>
        <v>1</v>
      </c>
      <c r="G434" t="str">
        <f t="shared" si="37"/>
        <v>1F3CC</v>
      </c>
      <c r="I434">
        <f>HEX2DEC(Table1[[#This Row],[utf8]])</f>
        <v>127948</v>
      </c>
      <c r="J434" t="str">
        <f>_xlfn.UNICHAR(HEX2DEC(Table1[[#This Row],[utf8]]))</f>
        <v>🏌</v>
      </c>
      <c r="K434" s="3" t="str" cm="1">
        <f t="array" ref="K434">"Case "&amp;wRandomLetter()&amp;wRandomLetter()&amp;I434&amp;":    UniConst = ChrW(" &amp; I434 &amp;")"</f>
        <v>Case eI127948:    UniConst = ChrW(127948)</v>
      </c>
    </row>
    <row r="435" spans="1:11" hidden="1">
      <c r="A435" t="s">
        <v>2171</v>
      </c>
      <c r="B435" t="str">
        <f t="shared" si="38"/>
        <v>1F3CC 1F3FE 200D 2640 ; minimally-qualified # 🏌🏾‍♀ E4.0 woman golfing: medium-dark skin tone</v>
      </c>
      <c r="C435" t="str">
        <f t="shared" si="39"/>
        <v xml:space="preserve">1F3CC 1F3FE 200D 2640 </v>
      </c>
      <c r="D435">
        <f t="shared" si="40"/>
        <v>22</v>
      </c>
      <c r="E435" t="str">
        <f t="shared" si="36"/>
        <v xml:space="preserve"> 🏌🏾‍♀ E4.0 woman golfing: medium-dark skin tone</v>
      </c>
      <c r="F435" t="b">
        <f t="shared" si="41"/>
        <v>1</v>
      </c>
      <c r="G435" t="str">
        <f t="shared" si="37"/>
        <v>1F3CC</v>
      </c>
      <c r="I435">
        <f>HEX2DEC(Table1[[#This Row],[utf8]])</f>
        <v>127948</v>
      </c>
      <c r="J435" t="str">
        <f>_xlfn.UNICHAR(HEX2DEC(Table1[[#This Row],[utf8]]))</f>
        <v>🏌</v>
      </c>
      <c r="K435" s="3" t="str" cm="1">
        <f t="array" ref="K435">"Case "&amp;wRandomLetter()&amp;wRandomLetter()&amp;I435&amp;":    UniConst = ChrW(" &amp; I435 &amp;")"</f>
        <v>Case kS127948:    UniConst = ChrW(127948)</v>
      </c>
    </row>
    <row r="436" spans="1:11" hidden="1">
      <c r="A436" t="s">
        <v>2170</v>
      </c>
      <c r="B436" t="str">
        <f t="shared" si="38"/>
        <v>1F3CC 1F3FE 200D 2640 FE0F ; fully-qualified # 🏌🏾‍♀️ E4.0 woman golfing: medium-dark skin tone</v>
      </c>
      <c r="C436" t="str">
        <f t="shared" si="39"/>
        <v xml:space="preserve">1F3CC 1F3FE 200D 2640 FE0F </v>
      </c>
      <c r="D436">
        <f t="shared" si="40"/>
        <v>27</v>
      </c>
      <c r="E436" t="str">
        <f t="shared" si="36"/>
        <v xml:space="preserve"> 🏌🏾‍♀️ E4.0 woman golfing: medium-dark skin tone</v>
      </c>
      <c r="F436" t="b">
        <f t="shared" si="41"/>
        <v>1</v>
      </c>
      <c r="G436" t="str">
        <f t="shared" si="37"/>
        <v>1F3CC</v>
      </c>
      <c r="I436">
        <f>HEX2DEC(Table1[[#This Row],[utf8]])</f>
        <v>127948</v>
      </c>
      <c r="J436" t="str">
        <f>_xlfn.UNICHAR(HEX2DEC(Table1[[#This Row],[utf8]]))</f>
        <v>🏌</v>
      </c>
      <c r="K436" s="3" t="str" cm="1">
        <f t="array" ref="K436">"Case "&amp;wRandomLetter()&amp;wRandomLetter()&amp;I436&amp;":    UniConst = ChrW(" &amp; I436 &amp;")"</f>
        <v>Case bE127948:    UniConst = ChrW(127948)</v>
      </c>
    </row>
    <row r="437" spans="1:11" hidden="1">
      <c r="A437" t="s">
        <v>2157</v>
      </c>
      <c r="B437" t="str">
        <f t="shared" si="38"/>
        <v>1F3CC 1F3FE 200D 2642 ; minimally-qualified # 🏌🏾‍♂ E4.0 man golfing: medium-dark skin tone</v>
      </c>
      <c r="C437" t="str">
        <f t="shared" si="39"/>
        <v xml:space="preserve">1F3CC 1F3FE 200D 2642 </v>
      </c>
      <c r="D437">
        <f t="shared" si="40"/>
        <v>22</v>
      </c>
      <c r="E437" t="str">
        <f t="shared" si="36"/>
        <v xml:space="preserve"> 🏌🏾‍♂ E4.0 man golfing: medium-dark skin tone</v>
      </c>
      <c r="F437" t="b">
        <f t="shared" si="41"/>
        <v>1</v>
      </c>
      <c r="G437" t="str">
        <f t="shared" si="37"/>
        <v>1F3CC</v>
      </c>
      <c r="I437">
        <f>HEX2DEC(Table1[[#This Row],[utf8]])</f>
        <v>127948</v>
      </c>
      <c r="J437" t="str">
        <f>_xlfn.UNICHAR(HEX2DEC(Table1[[#This Row],[utf8]]))</f>
        <v>🏌</v>
      </c>
      <c r="K437" s="3" t="str" cm="1">
        <f t="array" ref="K437">"Case "&amp;wRandomLetter()&amp;wRandomLetter()&amp;I437&amp;":    UniConst = ChrW(" &amp; I437 &amp;")"</f>
        <v>Case uS127948:    UniConst = ChrW(127948)</v>
      </c>
    </row>
    <row r="438" spans="1:11" hidden="1">
      <c r="A438" t="s">
        <v>2156</v>
      </c>
      <c r="B438" t="str">
        <f t="shared" si="38"/>
        <v>1F3CC 1F3FE 200D 2642 FE0F ; fully-qualified # 🏌🏾‍♂️ E4.0 man golfing: medium-dark skin tone</v>
      </c>
      <c r="C438" t="str">
        <f t="shared" si="39"/>
        <v xml:space="preserve">1F3CC 1F3FE 200D 2642 FE0F </v>
      </c>
      <c r="D438">
        <f t="shared" si="40"/>
        <v>27</v>
      </c>
      <c r="E438" t="str">
        <f t="shared" si="36"/>
        <v xml:space="preserve"> 🏌🏾‍♂️ E4.0 man golfing: medium-dark skin tone</v>
      </c>
      <c r="F438" t="b">
        <f t="shared" si="41"/>
        <v>1</v>
      </c>
      <c r="G438" t="str">
        <f t="shared" si="37"/>
        <v>1F3CC</v>
      </c>
      <c r="I438">
        <f>HEX2DEC(Table1[[#This Row],[utf8]])</f>
        <v>127948</v>
      </c>
      <c r="J438" t="str">
        <f>_xlfn.UNICHAR(HEX2DEC(Table1[[#This Row],[utf8]]))</f>
        <v>🏌</v>
      </c>
      <c r="K438" s="3" t="str" cm="1">
        <f t="array" ref="K438">"Case "&amp;wRandomLetter()&amp;wRandomLetter()&amp;I438&amp;":    UniConst = ChrW(" &amp; I438 &amp;")"</f>
        <v>Case Sb127948:    UniConst = ChrW(127948)</v>
      </c>
    </row>
    <row r="439" spans="1:11" hidden="1">
      <c r="A439" t="s">
        <v>2145</v>
      </c>
      <c r="B439" t="str">
        <f t="shared" si="38"/>
        <v>1F3CC 1F3FF ; fully-qualified # 🏌🏿 E4.0 person golfing: dark skin tone</v>
      </c>
      <c r="C439" t="str">
        <f t="shared" si="39"/>
        <v xml:space="preserve">1F3CC 1F3FF </v>
      </c>
      <c r="D439">
        <f t="shared" si="40"/>
        <v>12</v>
      </c>
      <c r="E439" t="str">
        <f t="shared" si="36"/>
        <v xml:space="preserve"> 🏌🏿 E4.0 person golfing: dark skin tone</v>
      </c>
      <c r="F439" t="b">
        <f t="shared" si="41"/>
        <v>1</v>
      </c>
      <c r="G439" t="str">
        <f t="shared" si="37"/>
        <v>1F3CC</v>
      </c>
      <c r="I439">
        <f>HEX2DEC(Table1[[#This Row],[utf8]])</f>
        <v>127948</v>
      </c>
      <c r="J439" t="str">
        <f>_xlfn.UNICHAR(HEX2DEC(Table1[[#This Row],[utf8]]))</f>
        <v>🏌</v>
      </c>
      <c r="K439" s="3" t="str" cm="1">
        <f t="array" ref="K439">"Case "&amp;wRandomLetter()&amp;wRandomLetter()&amp;I439&amp;":    UniConst = ChrW(" &amp; I439 &amp;")"</f>
        <v>Case pG127948:    UniConst = ChrW(127948)</v>
      </c>
    </row>
    <row r="440" spans="1:11" hidden="1">
      <c r="A440" t="s">
        <v>2173</v>
      </c>
      <c r="B440" t="str">
        <f t="shared" si="38"/>
        <v>1F3CC 1F3FF 200D 2640 ; minimally-qualified # 🏌🏿‍♀ E4.0 woman golfing: dark skin tone</v>
      </c>
      <c r="C440" t="str">
        <f t="shared" si="39"/>
        <v xml:space="preserve">1F3CC 1F3FF 200D 2640 </v>
      </c>
      <c r="D440">
        <f t="shared" si="40"/>
        <v>22</v>
      </c>
      <c r="E440" t="str">
        <f t="shared" si="36"/>
        <v xml:space="preserve"> 🏌🏿‍♀ E4.0 woman golfing: dark skin tone</v>
      </c>
      <c r="F440" t="b">
        <f t="shared" si="41"/>
        <v>1</v>
      </c>
      <c r="G440" t="str">
        <f t="shared" si="37"/>
        <v>1F3CC</v>
      </c>
      <c r="I440">
        <f>HEX2DEC(Table1[[#This Row],[utf8]])</f>
        <v>127948</v>
      </c>
      <c r="J440" t="str">
        <f>_xlfn.UNICHAR(HEX2DEC(Table1[[#This Row],[utf8]]))</f>
        <v>🏌</v>
      </c>
      <c r="K440" s="3" t="str" cm="1">
        <f t="array" ref="K440">"Case "&amp;wRandomLetter()&amp;wRandomLetter()&amp;I440&amp;":    UniConst = ChrW(" &amp; I440 &amp;")"</f>
        <v>Case ZZ127948:    UniConst = ChrW(127948)</v>
      </c>
    </row>
    <row r="441" spans="1:11" hidden="1">
      <c r="A441" t="s">
        <v>2172</v>
      </c>
      <c r="B441" t="str">
        <f t="shared" si="38"/>
        <v>1F3CC 1F3FF 200D 2640 FE0F ; fully-qualified # 🏌🏿‍♀️ E4.0 woman golfing: dark skin tone</v>
      </c>
      <c r="C441" t="str">
        <f t="shared" si="39"/>
        <v xml:space="preserve">1F3CC 1F3FF 200D 2640 FE0F </v>
      </c>
      <c r="D441">
        <f t="shared" si="40"/>
        <v>27</v>
      </c>
      <c r="E441" t="str">
        <f t="shared" si="36"/>
        <v xml:space="preserve"> 🏌🏿‍♀️ E4.0 woman golfing: dark skin tone</v>
      </c>
      <c r="F441" t="b">
        <f t="shared" si="41"/>
        <v>1</v>
      </c>
      <c r="G441" t="str">
        <f t="shared" si="37"/>
        <v>1F3CC</v>
      </c>
      <c r="I441">
        <f>HEX2DEC(Table1[[#This Row],[utf8]])</f>
        <v>127948</v>
      </c>
      <c r="J441" t="str">
        <f>_xlfn.UNICHAR(HEX2DEC(Table1[[#This Row],[utf8]]))</f>
        <v>🏌</v>
      </c>
      <c r="K441" s="3" t="str" cm="1">
        <f t="array" ref="K441">"Case "&amp;wRandomLetter()&amp;wRandomLetter()&amp;I441&amp;":    UniConst = ChrW(" &amp; I441 &amp;")"</f>
        <v>Case LH127948:    UniConst = ChrW(127948)</v>
      </c>
    </row>
    <row r="442" spans="1:11" hidden="1">
      <c r="A442" t="s">
        <v>2159</v>
      </c>
      <c r="B442" t="str">
        <f t="shared" si="38"/>
        <v>1F3CC 1F3FF 200D 2642 ; minimally-qualified # 🏌🏿‍♂ E4.0 man golfing: dark skin tone</v>
      </c>
      <c r="C442" t="str">
        <f t="shared" si="39"/>
        <v xml:space="preserve">1F3CC 1F3FF 200D 2642 </v>
      </c>
      <c r="D442">
        <f t="shared" si="40"/>
        <v>22</v>
      </c>
      <c r="E442" t="str">
        <f t="shared" si="36"/>
        <v xml:space="preserve"> 🏌🏿‍♂ E4.0 man golfing: dark skin tone</v>
      </c>
      <c r="F442" t="b">
        <f t="shared" si="41"/>
        <v>1</v>
      </c>
      <c r="G442" t="str">
        <f t="shared" si="37"/>
        <v>1F3CC</v>
      </c>
      <c r="I442">
        <f>HEX2DEC(Table1[[#This Row],[utf8]])</f>
        <v>127948</v>
      </c>
      <c r="J442" t="str">
        <f>_xlfn.UNICHAR(HEX2DEC(Table1[[#This Row],[utf8]]))</f>
        <v>🏌</v>
      </c>
      <c r="K442" s="3" t="str" cm="1">
        <f t="array" ref="K442">"Case "&amp;wRandomLetter()&amp;wRandomLetter()&amp;I442&amp;":    UniConst = ChrW(" &amp; I442 &amp;")"</f>
        <v>Case dh127948:    UniConst = ChrW(127948)</v>
      </c>
    </row>
    <row r="443" spans="1:11" hidden="1">
      <c r="A443" t="s">
        <v>2158</v>
      </c>
      <c r="B443" t="str">
        <f t="shared" si="38"/>
        <v>1F3CC 1F3FF 200D 2642 FE0F ; fully-qualified # 🏌🏿‍♂️ E4.0 man golfing: dark skin tone</v>
      </c>
      <c r="C443" t="str">
        <f t="shared" si="39"/>
        <v xml:space="preserve">1F3CC 1F3FF 200D 2642 FE0F </v>
      </c>
      <c r="D443">
        <f t="shared" si="40"/>
        <v>27</v>
      </c>
      <c r="E443" t="str">
        <f t="shared" si="36"/>
        <v xml:space="preserve"> 🏌🏿‍♂️ E4.0 man golfing: dark skin tone</v>
      </c>
      <c r="F443" t="b">
        <f t="shared" si="41"/>
        <v>1</v>
      </c>
      <c r="G443" t="str">
        <f t="shared" si="37"/>
        <v>1F3CC</v>
      </c>
      <c r="I443">
        <f>HEX2DEC(Table1[[#This Row],[utf8]])</f>
        <v>127948</v>
      </c>
      <c r="J443" t="str">
        <f>_xlfn.UNICHAR(HEX2DEC(Table1[[#This Row],[utf8]]))</f>
        <v>🏌</v>
      </c>
      <c r="K443" s="3" t="str" cm="1">
        <f t="array" ref="K443">"Case "&amp;wRandomLetter()&amp;wRandomLetter()&amp;I443&amp;":    UniConst = ChrW(" &amp; I443 &amp;")"</f>
        <v>Case NN127948:    UniConst = ChrW(127948)</v>
      </c>
    </row>
    <row r="444" spans="1:11" hidden="1">
      <c r="A444" t="s">
        <v>2163</v>
      </c>
      <c r="B444" t="str">
        <f t="shared" si="38"/>
        <v>1F3CC 200D 2640 ; unqualified # 🏌‍♀ E4.0 woman golfing</v>
      </c>
      <c r="C444" t="str">
        <f t="shared" si="39"/>
        <v xml:space="preserve">1F3CC 200D 2640 </v>
      </c>
      <c r="D444">
        <f t="shared" si="40"/>
        <v>16</v>
      </c>
      <c r="E444" t="str">
        <f t="shared" si="36"/>
        <v xml:space="preserve"> 🏌‍♀ E4.0 woman golfing</v>
      </c>
      <c r="F444" t="b">
        <f t="shared" si="41"/>
        <v>1</v>
      </c>
      <c r="G444" t="str">
        <f t="shared" si="37"/>
        <v>1F3CC</v>
      </c>
      <c r="I444">
        <f>HEX2DEC(Table1[[#This Row],[utf8]])</f>
        <v>127948</v>
      </c>
      <c r="J444" t="str">
        <f>_xlfn.UNICHAR(HEX2DEC(Table1[[#This Row],[utf8]]))</f>
        <v>🏌</v>
      </c>
      <c r="K444" s="3" t="str" cm="1">
        <f t="array" ref="K444">"Case "&amp;wRandomLetter()&amp;wRandomLetter()&amp;I444&amp;":    UniConst = ChrW(" &amp; I444 &amp;")"</f>
        <v>Case QK127948:    UniConst = ChrW(127948)</v>
      </c>
    </row>
    <row r="445" spans="1:11" hidden="1">
      <c r="A445" t="s">
        <v>2161</v>
      </c>
      <c r="B445" t="str">
        <f t="shared" si="38"/>
        <v>1F3CC 200D 2640 FE0F ; unqualified # 🏌‍♀️ E4.0 woman golfing</v>
      </c>
      <c r="C445" t="str">
        <f t="shared" si="39"/>
        <v xml:space="preserve">1F3CC 200D 2640 FE0F </v>
      </c>
      <c r="D445">
        <f t="shared" si="40"/>
        <v>21</v>
      </c>
      <c r="E445" t="str">
        <f t="shared" si="36"/>
        <v xml:space="preserve"> 🏌‍♀️ E4.0 woman golfing</v>
      </c>
      <c r="F445" t="b">
        <f t="shared" si="41"/>
        <v>1</v>
      </c>
      <c r="G445" t="str">
        <f t="shared" si="37"/>
        <v>1F3CC</v>
      </c>
      <c r="I445">
        <f>HEX2DEC(Table1[[#This Row],[utf8]])</f>
        <v>127948</v>
      </c>
      <c r="J445" t="str">
        <f>_xlfn.UNICHAR(HEX2DEC(Table1[[#This Row],[utf8]]))</f>
        <v>🏌</v>
      </c>
      <c r="K445" s="3" t="str" cm="1">
        <f t="array" ref="K445">"Case "&amp;wRandomLetter()&amp;wRandomLetter()&amp;I445&amp;":    UniConst = ChrW(" &amp; I445 &amp;")"</f>
        <v>Case sZ127948:    UniConst = ChrW(127948)</v>
      </c>
    </row>
    <row r="446" spans="1:11" hidden="1">
      <c r="A446" t="s">
        <v>2149</v>
      </c>
      <c r="B446" t="str">
        <f t="shared" si="38"/>
        <v>1F3CC 200D 2642 ; unqualified # 🏌‍♂ E4.0 man golfing</v>
      </c>
      <c r="C446" t="str">
        <f t="shared" si="39"/>
        <v xml:space="preserve">1F3CC 200D 2642 </v>
      </c>
      <c r="D446">
        <f t="shared" si="40"/>
        <v>16</v>
      </c>
      <c r="E446" t="str">
        <f t="shared" si="36"/>
        <v xml:space="preserve"> 🏌‍♂ E4.0 man golfing</v>
      </c>
      <c r="F446" t="b">
        <f t="shared" si="41"/>
        <v>1</v>
      </c>
      <c r="G446" t="str">
        <f t="shared" si="37"/>
        <v>1F3CC</v>
      </c>
      <c r="I446">
        <f>HEX2DEC(Table1[[#This Row],[utf8]])</f>
        <v>127948</v>
      </c>
      <c r="J446" t="str">
        <f>_xlfn.UNICHAR(HEX2DEC(Table1[[#This Row],[utf8]]))</f>
        <v>🏌</v>
      </c>
      <c r="K446" s="3" t="str" cm="1">
        <f t="array" ref="K446">"Case "&amp;wRandomLetter()&amp;wRandomLetter()&amp;I446&amp;":    UniConst = ChrW(" &amp; I446 &amp;")"</f>
        <v>Case dJ127948:    UniConst = ChrW(127948)</v>
      </c>
    </row>
    <row r="447" spans="1:11" hidden="1">
      <c r="A447" t="s">
        <v>2147</v>
      </c>
      <c r="B447" t="str">
        <f t="shared" si="38"/>
        <v>1F3CC 200D 2642 FE0F ; unqualified # 🏌‍♂️ E4.0 man golfing</v>
      </c>
      <c r="C447" t="str">
        <f t="shared" si="39"/>
        <v xml:space="preserve">1F3CC 200D 2642 FE0F </v>
      </c>
      <c r="D447">
        <f t="shared" si="40"/>
        <v>21</v>
      </c>
      <c r="E447" t="str">
        <f t="shared" si="36"/>
        <v xml:space="preserve"> 🏌‍♂️ E4.0 man golfing</v>
      </c>
      <c r="F447" t="b">
        <f t="shared" si="41"/>
        <v>1</v>
      </c>
      <c r="G447" t="str">
        <f t="shared" si="37"/>
        <v>1F3CC</v>
      </c>
      <c r="I447">
        <f>HEX2DEC(Table1[[#This Row],[utf8]])</f>
        <v>127948</v>
      </c>
      <c r="J447" t="str">
        <f>_xlfn.UNICHAR(HEX2DEC(Table1[[#This Row],[utf8]]))</f>
        <v>🏌</v>
      </c>
      <c r="K447" s="3" t="str" cm="1">
        <f t="array" ref="K447">"Case "&amp;wRandomLetter()&amp;wRandomLetter()&amp;I447&amp;":    UniConst = ChrW(" &amp; I447 &amp;")"</f>
        <v>Case eh127948:    UniConst = ChrW(127948)</v>
      </c>
    </row>
    <row r="448" spans="1:11" hidden="1">
      <c r="A448" t="s">
        <v>2139</v>
      </c>
      <c r="B448" t="str">
        <f t="shared" si="38"/>
        <v>1F3CC FE0F ; fully-qualified # 🏌️ E0.7 person golfing</v>
      </c>
      <c r="C448" t="str">
        <f t="shared" si="39"/>
        <v xml:space="preserve">1F3CC FE0F </v>
      </c>
      <c r="D448">
        <f t="shared" si="40"/>
        <v>11</v>
      </c>
      <c r="E448" t="str">
        <f t="shared" si="36"/>
        <v xml:space="preserve"> 🏌️ E0.7 person golfing</v>
      </c>
      <c r="F448" t="b">
        <f t="shared" si="41"/>
        <v>1</v>
      </c>
      <c r="G448" t="str">
        <f t="shared" si="37"/>
        <v>1F3CC</v>
      </c>
      <c r="I448">
        <f>HEX2DEC(Table1[[#This Row],[utf8]])</f>
        <v>127948</v>
      </c>
      <c r="J448" t="str">
        <f>_xlfn.UNICHAR(HEX2DEC(Table1[[#This Row],[utf8]]))</f>
        <v>🏌</v>
      </c>
      <c r="K448" s="3" t="str" cm="1">
        <f t="array" ref="K448">"Case "&amp;wRandomLetter()&amp;wRandomLetter()&amp;I448&amp;":    UniConst = ChrW(" &amp; I448 &amp;")"</f>
        <v>Case Hd127948:    UniConst = ChrW(127948)</v>
      </c>
    </row>
    <row r="449" spans="1:11" hidden="1">
      <c r="A449" t="s">
        <v>2162</v>
      </c>
      <c r="B449" t="str">
        <f t="shared" si="38"/>
        <v>1F3CC FE0F 200D 2640 ; unqualified # 🏌️‍♀ E4.0 woman golfing</v>
      </c>
      <c r="C449" t="str">
        <f t="shared" si="39"/>
        <v xml:space="preserve">1F3CC FE0F 200D 2640 </v>
      </c>
      <c r="D449">
        <f t="shared" si="40"/>
        <v>21</v>
      </c>
      <c r="E449" t="str">
        <f t="shared" si="36"/>
        <v xml:space="preserve"> 🏌️‍♀ E4.0 woman golfing</v>
      </c>
      <c r="F449" t="b">
        <f t="shared" si="41"/>
        <v>1</v>
      </c>
      <c r="G449" t="str">
        <f t="shared" si="37"/>
        <v>1F3CC</v>
      </c>
      <c r="I449">
        <f>HEX2DEC(Table1[[#This Row],[utf8]])</f>
        <v>127948</v>
      </c>
      <c r="J449" t="str">
        <f>_xlfn.UNICHAR(HEX2DEC(Table1[[#This Row],[utf8]]))</f>
        <v>🏌</v>
      </c>
      <c r="K449" s="3" t="str" cm="1">
        <f t="array" ref="K449">"Case "&amp;wRandomLetter()&amp;wRandomLetter()&amp;I449&amp;":    UniConst = ChrW(" &amp; I449 &amp;")"</f>
        <v>Case Wu127948:    UniConst = ChrW(127948)</v>
      </c>
    </row>
    <row r="450" spans="1:11" hidden="1">
      <c r="A450" t="s">
        <v>2160</v>
      </c>
      <c r="B450" t="str">
        <f t="shared" si="38"/>
        <v>1F3CC FE0F 200D 2640 FE0F ; fully-qualified # 🏌️‍♀️ E4.0 woman golfing</v>
      </c>
      <c r="C450" t="str">
        <f t="shared" si="39"/>
        <v xml:space="preserve">1F3CC FE0F 200D 2640 FE0F </v>
      </c>
      <c r="D450">
        <f t="shared" si="40"/>
        <v>26</v>
      </c>
      <c r="E450" t="str">
        <f t="shared" ref="E450:E513" si="42">MID(A450,FIND("#",A450)+1,256)</f>
        <v xml:space="preserve"> 🏌️‍♀️ E4.0 woman golfing</v>
      </c>
      <c r="F450" t="b">
        <f t="shared" si="41"/>
        <v>1</v>
      </c>
      <c r="G450" t="str">
        <f t="shared" ref="G450:G513" si="43">LEFT(C450,(FIND(" ",C450,1)-1))</f>
        <v>1F3CC</v>
      </c>
      <c r="I450">
        <f>HEX2DEC(Table1[[#This Row],[utf8]])</f>
        <v>127948</v>
      </c>
      <c r="J450" t="str">
        <f>_xlfn.UNICHAR(HEX2DEC(Table1[[#This Row],[utf8]]))</f>
        <v>🏌</v>
      </c>
      <c r="K450" s="3" t="str" cm="1">
        <f t="array" ref="K450">"Case "&amp;wRandomLetter()&amp;wRandomLetter()&amp;I450&amp;":    UniConst = ChrW(" &amp; I450 &amp;")"</f>
        <v>Case PM127948:    UniConst = ChrW(127948)</v>
      </c>
    </row>
    <row r="451" spans="1:11" hidden="1">
      <c r="A451" t="s">
        <v>2148</v>
      </c>
      <c r="B451" t="str">
        <f t="shared" ref="B451:B514" si="44">TRIM(A451)</f>
        <v>1F3CC FE0F 200D 2642 ; unqualified # 🏌️‍♂ E4.0 man golfing</v>
      </c>
      <c r="C451" t="str">
        <f t="shared" ref="C451:C514" si="45">LEFT(B451,(FIND(";",B451,1)-1))</f>
        <v xml:space="preserve">1F3CC FE0F 200D 2642 </v>
      </c>
      <c r="D451">
        <f t="shared" ref="D451:D514" si="46">LEN(C451)</f>
        <v>21</v>
      </c>
      <c r="E451" t="str">
        <f t="shared" si="42"/>
        <v xml:space="preserve"> 🏌️‍♂ E4.0 man golfing</v>
      </c>
      <c r="F451" t="b">
        <f t="shared" ref="F451:F514" si="47">IF(LEFT(C451,2)="1F",TRUE,FALSE)</f>
        <v>1</v>
      </c>
      <c r="G451" t="str">
        <f t="shared" si="43"/>
        <v>1F3CC</v>
      </c>
      <c r="I451">
        <f>HEX2DEC(Table1[[#This Row],[utf8]])</f>
        <v>127948</v>
      </c>
      <c r="J451" t="str">
        <f>_xlfn.UNICHAR(HEX2DEC(Table1[[#This Row],[utf8]]))</f>
        <v>🏌</v>
      </c>
      <c r="K451" s="3" t="str" cm="1">
        <f t="array" ref="K451">"Case "&amp;wRandomLetter()&amp;wRandomLetter()&amp;I451&amp;":    UniConst = ChrW(" &amp; I451 &amp;")"</f>
        <v>Case wj127948:    UniConst = ChrW(127948)</v>
      </c>
    </row>
    <row r="452" spans="1:11" hidden="1">
      <c r="A452" t="s">
        <v>2146</v>
      </c>
      <c r="B452" t="str">
        <f t="shared" si="44"/>
        <v>1F3CC FE0F 200D 2642 FE0F ; fully-qualified # 🏌️‍♂️ E4.0 man golfing</v>
      </c>
      <c r="C452" t="str">
        <f t="shared" si="45"/>
        <v xml:space="preserve">1F3CC FE0F 200D 2642 FE0F </v>
      </c>
      <c r="D452">
        <f t="shared" si="46"/>
        <v>26</v>
      </c>
      <c r="E452" t="str">
        <f t="shared" si="42"/>
        <v xml:space="preserve"> 🏌️‍♂️ E4.0 man golfing</v>
      </c>
      <c r="F452" t="b">
        <f t="shared" si="47"/>
        <v>1</v>
      </c>
      <c r="G452" t="str">
        <f t="shared" si="43"/>
        <v>1F3CC</v>
      </c>
      <c r="I452">
        <f>HEX2DEC(Table1[[#This Row],[utf8]])</f>
        <v>127948</v>
      </c>
      <c r="J452" t="str">
        <f>_xlfn.UNICHAR(HEX2DEC(Table1[[#This Row],[utf8]]))</f>
        <v>🏌</v>
      </c>
      <c r="K452" s="3" t="str" cm="1">
        <f t="array" ref="K452">"Case "&amp;wRandomLetter()&amp;wRandomLetter()&amp;I452&amp;":    UniConst = ChrW(" &amp; I452 &amp;")"</f>
        <v>Case Jn127948:    UniConst = ChrW(127948)</v>
      </c>
    </row>
    <row r="453" spans="1:11" hidden="1">
      <c r="A453" t="s">
        <v>3540</v>
      </c>
      <c r="B453" t="str">
        <f t="shared" si="44"/>
        <v>1F3CD ; unqualified # 🏍 E0.7 motorcycle</v>
      </c>
      <c r="C453" t="str">
        <f t="shared" si="45"/>
        <v xml:space="preserve">1F3CD </v>
      </c>
      <c r="D453">
        <f t="shared" si="46"/>
        <v>6</v>
      </c>
      <c r="E453" t="str">
        <f t="shared" si="42"/>
        <v xml:space="preserve"> 🏍 E0.7 motorcycle</v>
      </c>
      <c r="F453" t="b">
        <f t="shared" si="47"/>
        <v>1</v>
      </c>
      <c r="G453" t="str">
        <f t="shared" si="43"/>
        <v>1F3CD</v>
      </c>
      <c r="I453">
        <f>HEX2DEC(Table1[[#This Row],[utf8]])</f>
        <v>127949</v>
      </c>
      <c r="J453" t="str">
        <f>_xlfn.UNICHAR(HEX2DEC(Table1[[#This Row],[utf8]]))</f>
        <v>🏍</v>
      </c>
      <c r="K453" s="3" t="str" cm="1">
        <f t="array" ref="K453">"Case "&amp;wRandomLetter()&amp;wRandomLetter()&amp;I453&amp;":    UniConst = ChrW(" &amp; I453 &amp;")"</f>
        <v>Case sV127949:    UniConst = ChrW(127949)</v>
      </c>
    </row>
    <row r="454" spans="1:11" hidden="1">
      <c r="A454" t="s">
        <v>3539</v>
      </c>
      <c r="B454" t="str">
        <f t="shared" si="44"/>
        <v>1F3CD FE0F ; fully-qualified # 🏍️ E0.7 motorcycle</v>
      </c>
      <c r="C454" t="str">
        <f t="shared" si="45"/>
        <v xml:space="preserve">1F3CD FE0F </v>
      </c>
      <c r="D454">
        <f t="shared" si="46"/>
        <v>11</v>
      </c>
      <c r="E454" t="str">
        <f t="shared" si="42"/>
        <v xml:space="preserve"> 🏍️ E0.7 motorcycle</v>
      </c>
      <c r="F454" t="b">
        <f t="shared" si="47"/>
        <v>1</v>
      </c>
      <c r="G454" t="str">
        <f t="shared" si="43"/>
        <v>1F3CD</v>
      </c>
      <c r="I454">
        <f>HEX2DEC(Table1[[#This Row],[utf8]])</f>
        <v>127949</v>
      </c>
      <c r="J454" t="str">
        <f>_xlfn.UNICHAR(HEX2DEC(Table1[[#This Row],[utf8]]))</f>
        <v>🏍</v>
      </c>
      <c r="K454" s="3" t="str" cm="1">
        <f t="array" ref="K454">"Case "&amp;wRandomLetter()&amp;wRandomLetter()&amp;I454&amp;":    UniConst = ChrW(" &amp; I454 &amp;")"</f>
        <v>Case LH127949:    UniConst = ChrW(127949)</v>
      </c>
    </row>
    <row r="455" spans="1:11" hidden="1">
      <c r="A455" t="s">
        <v>3538</v>
      </c>
      <c r="B455" t="str">
        <f t="shared" si="44"/>
        <v>1F3CE ; unqualified # 🏎 E0.7 racing car</v>
      </c>
      <c r="C455" t="str">
        <f t="shared" si="45"/>
        <v xml:space="preserve">1F3CE </v>
      </c>
      <c r="D455">
        <f t="shared" si="46"/>
        <v>6</v>
      </c>
      <c r="E455" t="str">
        <f t="shared" si="42"/>
        <v xml:space="preserve"> 🏎 E0.7 racing car</v>
      </c>
      <c r="F455" t="b">
        <f t="shared" si="47"/>
        <v>1</v>
      </c>
      <c r="G455" t="str">
        <f t="shared" si="43"/>
        <v>1F3CE</v>
      </c>
      <c r="I455">
        <f>HEX2DEC(Table1[[#This Row],[utf8]])</f>
        <v>127950</v>
      </c>
      <c r="J455" t="str">
        <f>_xlfn.UNICHAR(HEX2DEC(Table1[[#This Row],[utf8]]))</f>
        <v>🏎</v>
      </c>
      <c r="K455" s="3" t="str" cm="1">
        <f t="array" ref="K455">"Case "&amp;wRandomLetter()&amp;wRandomLetter()&amp;I455&amp;":    UniConst = ChrW(" &amp; I455 &amp;")"</f>
        <v>Case ac127950:    UniConst = ChrW(127950)</v>
      </c>
    </row>
    <row r="456" spans="1:11" hidden="1">
      <c r="A456" t="s">
        <v>3537</v>
      </c>
      <c r="B456" t="str">
        <f t="shared" si="44"/>
        <v>1F3CE FE0F ; fully-qualified # 🏎️ E0.7 racing car</v>
      </c>
      <c r="C456" t="str">
        <f t="shared" si="45"/>
        <v xml:space="preserve">1F3CE FE0F </v>
      </c>
      <c r="D456">
        <f t="shared" si="46"/>
        <v>11</v>
      </c>
      <c r="E456" t="str">
        <f t="shared" si="42"/>
        <v xml:space="preserve"> 🏎️ E0.7 racing car</v>
      </c>
      <c r="F456" t="b">
        <f t="shared" si="47"/>
        <v>1</v>
      </c>
      <c r="G456" t="str">
        <f t="shared" si="43"/>
        <v>1F3CE</v>
      </c>
      <c r="I456">
        <f>HEX2DEC(Table1[[#This Row],[utf8]])</f>
        <v>127950</v>
      </c>
      <c r="J456" t="str">
        <f>_xlfn.UNICHAR(HEX2DEC(Table1[[#This Row],[utf8]]))</f>
        <v>🏎</v>
      </c>
      <c r="K456" s="3" t="str" cm="1">
        <f t="array" ref="K456">"Case "&amp;wRandomLetter()&amp;wRandomLetter()&amp;I456&amp;":    UniConst = ChrW(" &amp; I456 &amp;")"</f>
        <v>Case uC127950:    UniConst = ChrW(127950)</v>
      </c>
    </row>
    <row r="457" spans="1:11" hidden="1">
      <c r="A457" t="s">
        <v>3742</v>
      </c>
      <c r="B457" t="str">
        <f t="shared" si="44"/>
        <v>1F3CF ; fully-qualified # 🏏 E1.0 cricket game</v>
      </c>
      <c r="C457" t="str">
        <f t="shared" si="45"/>
        <v xml:space="preserve">1F3CF </v>
      </c>
      <c r="D457">
        <f t="shared" si="46"/>
        <v>6</v>
      </c>
      <c r="E457" t="str">
        <f t="shared" si="42"/>
        <v xml:space="preserve"> 🏏 E1.0 cricket game</v>
      </c>
      <c r="F457" t="b">
        <f t="shared" si="47"/>
        <v>1</v>
      </c>
      <c r="G457" t="str">
        <f t="shared" si="43"/>
        <v>1F3CF</v>
      </c>
      <c r="I457">
        <f>HEX2DEC(Table1[[#This Row],[utf8]])</f>
        <v>127951</v>
      </c>
      <c r="J457" t="str">
        <f>_xlfn.UNICHAR(HEX2DEC(Table1[[#This Row],[utf8]]))</f>
        <v>🏏</v>
      </c>
      <c r="K457" s="3" t="str" cm="1">
        <f t="array" ref="K457">"Case "&amp;wRandomLetter()&amp;wRandomLetter()&amp;I457&amp;":    UniConst = ChrW(" &amp; I457 &amp;")"</f>
        <v>Case oU127951:    UniConst = ChrW(127951)</v>
      </c>
    </row>
    <row r="458" spans="1:11" hidden="1">
      <c r="A458" t="s">
        <v>3736</v>
      </c>
      <c r="B458" t="str">
        <f t="shared" si="44"/>
        <v>1F3D0 ; fully-qualified # 🏐 E1.0 volleyball</v>
      </c>
      <c r="C458" t="str">
        <f t="shared" si="45"/>
        <v xml:space="preserve">1F3D0 </v>
      </c>
      <c r="D458">
        <f t="shared" si="46"/>
        <v>6</v>
      </c>
      <c r="E458" t="str">
        <f t="shared" si="42"/>
        <v xml:space="preserve"> 🏐 E1.0 volleyball</v>
      </c>
      <c r="F458" t="b">
        <f t="shared" si="47"/>
        <v>1</v>
      </c>
      <c r="G458" t="str">
        <f t="shared" si="43"/>
        <v>1F3D0</v>
      </c>
      <c r="I458">
        <f>HEX2DEC(Table1[[#This Row],[utf8]])</f>
        <v>127952</v>
      </c>
      <c r="J458" t="str">
        <f>_xlfn.UNICHAR(HEX2DEC(Table1[[#This Row],[utf8]]))</f>
        <v>🏐</v>
      </c>
      <c r="K458" s="3" t="str" cm="1">
        <f t="array" ref="K458">"Case "&amp;wRandomLetter()&amp;wRandomLetter()&amp;I458&amp;":    UniConst = ChrW(" &amp; I458 &amp;")"</f>
        <v>Case Ir127952:    UniConst = ChrW(127952)</v>
      </c>
    </row>
    <row r="459" spans="1:11" hidden="1">
      <c r="A459" t="s">
        <v>3743</v>
      </c>
      <c r="B459" t="str">
        <f t="shared" si="44"/>
        <v>1F3D1 ; fully-qualified # 🏑 E1.0 field hockey</v>
      </c>
      <c r="C459" t="str">
        <f t="shared" si="45"/>
        <v xml:space="preserve">1F3D1 </v>
      </c>
      <c r="D459">
        <f t="shared" si="46"/>
        <v>6</v>
      </c>
      <c r="E459" t="str">
        <f t="shared" si="42"/>
        <v xml:space="preserve"> 🏑 E1.0 field hockey</v>
      </c>
      <c r="F459" t="b">
        <f t="shared" si="47"/>
        <v>1</v>
      </c>
      <c r="G459" t="str">
        <f t="shared" si="43"/>
        <v>1F3D1</v>
      </c>
      <c r="I459">
        <f>HEX2DEC(Table1[[#This Row],[utf8]])</f>
        <v>127953</v>
      </c>
      <c r="J459" t="str">
        <f>_xlfn.UNICHAR(HEX2DEC(Table1[[#This Row],[utf8]]))</f>
        <v>🏑</v>
      </c>
      <c r="K459" s="3" t="str" cm="1">
        <f t="array" ref="K459">"Case "&amp;wRandomLetter()&amp;wRandomLetter()&amp;I459&amp;":    UniConst = ChrW(" &amp; I459 &amp;")"</f>
        <v>Case Gy127953:    UniConst = ChrW(127953)</v>
      </c>
    </row>
    <row r="460" spans="1:11" hidden="1">
      <c r="A460" t="s">
        <v>3744</v>
      </c>
      <c r="B460" t="str">
        <f t="shared" si="44"/>
        <v>1F3D2 ; fully-qualified # 🏒 E1.0 ice hockey</v>
      </c>
      <c r="C460" t="str">
        <f t="shared" si="45"/>
        <v xml:space="preserve">1F3D2 </v>
      </c>
      <c r="D460">
        <f t="shared" si="46"/>
        <v>6</v>
      </c>
      <c r="E460" t="str">
        <f t="shared" si="42"/>
        <v xml:space="preserve"> 🏒 E1.0 ice hockey</v>
      </c>
      <c r="F460" t="b">
        <f t="shared" si="47"/>
        <v>1</v>
      </c>
      <c r="G460" t="str">
        <f t="shared" si="43"/>
        <v>1F3D2</v>
      </c>
      <c r="I460">
        <f>HEX2DEC(Table1[[#This Row],[utf8]])</f>
        <v>127954</v>
      </c>
      <c r="J460" t="str">
        <f>_xlfn.UNICHAR(HEX2DEC(Table1[[#This Row],[utf8]]))</f>
        <v>🏒</v>
      </c>
      <c r="K460" s="3" t="str" cm="1">
        <f t="array" ref="K460">"Case "&amp;wRandomLetter()&amp;wRandomLetter()&amp;I460&amp;":    UniConst = ChrW(" &amp; I460 &amp;")"</f>
        <v>Case gp127954:    UniConst = ChrW(127954)</v>
      </c>
    </row>
    <row r="461" spans="1:11" hidden="1">
      <c r="A461" t="s">
        <v>3746</v>
      </c>
      <c r="B461" t="str">
        <f t="shared" si="44"/>
        <v>1F3D3 ; fully-qualified # 🏓 E1.0 ping pong</v>
      </c>
      <c r="C461" t="str">
        <f t="shared" si="45"/>
        <v xml:space="preserve">1F3D3 </v>
      </c>
      <c r="D461">
        <f t="shared" si="46"/>
        <v>6</v>
      </c>
      <c r="E461" t="str">
        <f t="shared" si="42"/>
        <v xml:space="preserve"> 🏓 E1.0 ping pong</v>
      </c>
      <c r="F461" t="b">
        <f t="shared" si="47"/>
        <v>1</v>
      </c>
      <c r="G461" t="str">
        <f t="shared" si="43"/>
        <v>1F3D3</v>
      </c>
      <c r="I461">
        <f>HEX2DEC(Table1[[#This Row],[utf8]])</f>
        <v>127955</v>
      </c>
      <c r="J461" t="str">
        <f>_xlfn.UNICHAR(HEX2DEC(Table1[[#This Row],[utf8]]))</f>
        <v>🏓</v>
      </c>
      <c r="K461" s="3" t="str" cm="1">
        <f t="array" ref="K461">"Case "&amp;wRandomLetter()&amp;wRandomLetter()&amp;I461&amp;":    UniConst = ChrW(" &amp; I461 &amp;")"</f>
        <v>Case iJ127955:    UniConst = ChrW(127955)</v>
      </c>
    </row>
    <row r="462" spans="1:11" hidden="1">
      <c r="A462" t="s">
        <v>3432</v>
      </c>
      <c r="B462" t="str">
        <f t="shared" si="44"/>
        <v>1F3D4 ; unqualified # 🏔 E0.7 snow-capped mountain</v>
      </c>
      <c r="C462" t="str">
        <f t="shared" si="45"/>
        <v xml:space="preserve">1F3D4 </v>
      </c>
      <c r="D462">
        <f t="shared" si="46"/>
        <v>6</v>
      </c>
      <c r="E462" t="str">
        <f t="shared" si="42"/>
        <v xml:space="preserve"> 🏔 E0.7 snow-capped mountain</v>
      </c>
      <c r="F462" t="b">
        <f t="shared" si="47"/>
        <v>1</v>
      </c>
      <c r="G462" t="str">
        <f t="shared" si="43"/>
        <v>1F3D4</v>
      </c>
      <c r="I462">
        <f>HEX2DEC(Table1[[#This Row],[utf8]])</f>
        <v>127956</v>
      </c>
      <c r="J462" t="str">
        <f>_xlfn.UNICHAR(HEX2DEC(Table1[[#This Row],[utf8]]))</f>
        <v>🏔</v>
      </c>
      <c r="K462" s="3" t="str" cm="1">
        <f t="array" ref="K462">"Case "&amp;wRandomLetter()&amp;wRandomLetter()&amp;I462&amp;":    UniConst = ChrW(" &amp; I462 &amp;")"</f>
        <v>Case lU127956:    UniConst = ChrW(127956)</v>
      </c>
    </row>
    <row r="463" spans="1:11" hidden="1">
      <c r="A463" t="s">
        <v>3431</v>
      </c>
      <c r="B463" t="str">
        <f t="shared" si="44"/>
        <v>1F3D4 FE0F ; fully-qualified # 🏔️ E0.7 snow-capped mountain</v>
      </c>
      <c r="C463" t="str">
        <f t="shared" si="45"/>
        <v xml:space="preserve">1F3D4 FE0F </v>
      </c>
      <c r="D463">
        <f t="shared" si="46"/>
        <v>11</v>
      </c>
      <c r="E463" t="str">
        <f t="shared" si="42"/>
        <v xml:space="preserve"> 🏔️ E0.7 snow-capped mountain</v>
      </c>
      <c r="F463" t="b">
        <f t="shared" si="47"/>
        <v>1</v>
      </c>
      <c r="G463" t="str">
        <f t="shared" si="43"/>
        <v>1F3D4</v>
      </c>
      <c r="I463">
        <f>HEX2DEC(Table1[[#This Row],[utf8]])</f>
        <v>127956</v>
      </c>
      <c r="J463" t="str">
        <f>_xlfn.UNICHAR(HEX2DEC(Table1[[#This Row],[utf8]]))</f>
        <v>🏔</v>
      </c>
      <c r="K463" s="3" t="str" cm="1">
        <f t="array" ref="K463">"Case "&amp;wRandomLetter()&amp;wRandomLetter()&amp;I463&amp;":    UniConst = ChrW(" &amp; I463 &amp;")"</f>
        <v>Case Tm127956:    UniConst = ChrW(127956)</v>
      </c>
    </row>
    <row r="464" spans="1:11" hidden="1">
      <c r="A464" t="s">
        <v>3438</v>
      </c>
      <c r="B464" t="str">
        <f t="shared" si="44"/>
        <v>1F3D5 ; unqualified # 🏕 E0.7 camping</v>
      </c>
      <c r="C464" t="str">
        <f t="shared" si="45"/>
        <v xml:space="preserve">1F3D5 </v>
      </c>
      <c r="D464">
        <f t="shared" si="46"/>
        <v>6</v>
      </c>
      <c r="E464" t="str">
        <f t="shared" si="42"/>
        <v xml:space="preserve"> 🏕 E0.7 camping</v>
      </c>
      <c r="F464" t="b">
        <f t="shared" si="47"/>
        <v>1</v>
      </c>
      <c r="G464" t="str">
        <f t="shared" si="43"/>
        <v>1F3D5</v>
      </c>
      <c r="I464">
        <f>HEX2DEC(Table1[[#This Row],[utf8]])</f>
        <v>127957</v>
      </c>
      <c r="J464" t="str">
        <f>_xlfn.UNICHAR(HEX2DEC(Table1[[#This Row],[utf8]]))</f>
        <v>🏕</v>
      </c>
      <c r="K464" s="3" t="str" cm="1">
        <f t="array" ref="K464">"Case "&amp;wRandomLetter()&amp;wRandomLetter()&amp;I464&amp;":    UniConst = ChrW(" &amp; I464 &amp;")"</f>
        <v>Case Pm127957:    UniConst = ChrW(127957)</v>
      </c>
    </row>
    <row r="465" spans="1:11" hidden="1">
      <c r="A465" t="s">
        <v>3437</v>
      </c>
      <c r="B465" t="str">
        <f t="shared" si="44"/>
        <v>1F3D5 FE0F ; fully-qualified # 🏕️ E0.7 camping</v>
      </c>
      <c r="C465" t="str">
        <f t="shared" si="45"/>
        <v xml:space="preserve">1F3D5 FE0F </v>
      </c>
      <c r="D465">
        <f t="shared" si="46"/>
        <v>11</v>
      </c>
      <c r="E465" t="str">
        <f t="shared" si="42"/>
        <v xml:space="preserve"> 🏕️ E0.7 camping</v>
      </c>
      <c r="F465" t="b">
        <f t="shared" si="47"/>
        <v>1</v>
      </c>
      <c r="G465" t="str">
        <f t="shared" si="43"/>
        <v>1F3D5</v>
      </c>
      <c r="I465">
        <f>HEX2DEC(Table1[[#This Row],[utf8]])</f>
        <v>127957</v>
      </c>
      <c r="J465" t="str">
        <f>_xlfn.UNICHAR(HEX2DEC(Table1[[#This Row],[utf8]]))</f>
        <v>🏕</v>
      </c>
      <c r="K465" s="3" t="str" cm="1">
        <f t="array" ref="K465">"Case "&amp;wRandomLetter()&amp;wRandomLetter()&amp;I465&amp;":    UniConst = ChrW(" &amp; I465 &amp;")"</f>
        <v>Case bb127957:    UniConst = ChrW(127957)</v>
      </c>
    </row>
    <row r="466" spans="1:11" hidden="1">
      <c r="A466" t="s">
        <v>3440</v>
      </c>
      <c r="B466" t="str">
        <f t="shared" si="44"/>
        <v>1F3D6 ; unqualified # 🏖 E0.7 beach with umbrella</v>
      </c>
      <c r="C466" t="str">
        <f t="shared" si="45"/>
        <v xml:space="preserve">1F3D6 </v>
      </c>
      <c r="D466">
        <f t="shared" si="46"/>
        <v>6</v>
      </c>
      <c r="E466" t="str">
        <f t="shared" si="42"/>
        <v xml:space="preserve"> 🏖 E0.7 beach with umbrella</v>
      </c>
      <c r="F466" t="b">
        <f t="shared" si="47"/>
        <v>1</v>
      </c>
      <c r="G466" t="str">
        <f t="shared" si="43"/>
        <v>1F3D6</v>
      </c>
      <c r="I466">
        <f>HEX2DEC(Table1[[#This Row],[utf8]])</f>
        <v>127958</v>
      </c>
      <c r="J466" t="str">
        <f>_xlfn.UNICHAR(HEX2DEC(Table1[[#This Row],[utf8]]))</f>
        <v>🏖</v>
      </c>
      <c r="K466" s="3" t="str" cm="1">
        <f t="array" ref="K466">"Case "&amp;wRandomLetter()&amp;wRandomLetter()&amp;I466&amp;":    UniConst = ChrW(" &amp; I466 &amp;")"</f>
        <v>Case Vd127958:    UniConst = ChrW(127958)</v>
      </c>
    </row>
    <row r="467" spans="1:11" hidden="1">
      <c r="A467" t="s">
        <v>3439</v>
      </c>
      <c r="B467" t="str">
        <f t="shared" si="44"/>
        <v>1F3D6 FE0F ; fully-qualified # 🏖️ E0.7 beach with umbrella</v>
      </c>
      <c r="C467" t="str">
        <f t="shared" si="45"/>
        <v xml:space="preserve">1F3D6 FE0F </v>
      </c>
      <c r="D467">
        <f t="shared" si="46"/>
        <v>11</v>
      </c>
      <c r="E467" t="str">
        <f t="shared" si="42"/>
        <v xml:space="preserve"> 🏖️ E0.7 beach with umbrella</v>
      </c>
      <c r="F467" t="b">
        <f t="shared" si="47"/>
        <v>1</v>
      </c>
      <c r="G467" t="str">
        <f t="shared" si="43"/>
        <v>1F3D6</v>
      </c>
      <c r="I467">
        <f>HEX2DEC(Table1[[#This Row],[utf8]])</f>
        <v>127958</v>
      </c>
      <c r="J467" t="str">
        <f>_xlfn.UNICHAR(HEX2DEC(Table1[[#This Row],[utf8]]))</f>
        <v>🏖</v>
      </c>
      <c r="K467" s="3" t="str" cm="1">
        <f t="array" ref="K467">"Case "&amp;wRandomLetter()&amp;wRandomLetter()&amp;I467&amp;":    UniConst = ChrW(" &amp; I467 &amp;")"</f>
        <v>Case En127958:    UniConst = ChrW(127958)</v>
      </c>
    </row>
    <row r="468" spans="1:11" hidden="1">
      <c r="A468" t="s">
        <v>3453</v>
      </c>
      <c r="B468" t="str">
        <f t="shared" si="44"/>
        <v>1F3D7 ; unqualified # 🏗 E0.7 building construction</v>
      </c>
      <c r="C468" t="str">
        <f t="shared" si="45"/>
        <v xml:space="preserve">1F3D7 </v>
      </c>
      <c r="D468">
        <f t="shared" si="46"/>
        <v>6</v>
      </c>
      <c r="E468" t="str">
        <f t="shared" si="42"/>
        <v xml:space="preserve"> 🏗 E0.7 building construction</v>
      </c>
      <c r="F468" t="b">
        <f t="shared" si="47"/>
        <v>1</v>
      </c>
      <c r="G468" t="str">
        <f t="shared" si="43"/>
        <v>1F3D7</v>
      </c>
      <c r="I468">
        <f>HEX2DEC(Table1[[#This Row],[utf8]])</f>
        <v>127959</v>
      </c>
      <c r="J468" t="str">
        <f>_xlfn.UNICHAR(HEX2DEC(Table1[[#This Row],[utf8]]))</f>
        <v>🏗</v>
      </c>
      <c r="K468" s="3" t="str" cm="1">
        <f t="array" ref="K468">"Case "&amp;wRandomLetter()&amp;wRandomLetter()&amp;I468&amp;":    UniConst = ChrW(" &amp; I468 &amp;")"</f>
        <v>Case ab127959:    UniConst = ChrW(127959)</v>
      </c>
    </row>
    <row r="469" spans="1:11" hidden="1">
      <c r="A469" t="s">
        <v>3452</v>
      </c>
      <c r="B469" t="str">
        <f t="shared" si="44"/>
        <v>1F3D7 FE0F ; fully-qualified # 🏗️ E0.7 building construction</v>
      </c>
      <c r="C469" t="str">
        <f t="shared" si="45"/>
        <v xml:space="preserve">1F3D7 FE0F </v>
      </c>
      <c r="D469">
        <f t="shared" si="46"/>
        <v>11</v>
      </c>
      <c r="E469" t="str">
        <f t="shared" si="42"/>
        <v xml:space="preserve"> 🏗️ E0.7 building construction</v>
      </c>
      <c r="F469" t="b">
        <f t="shared" si="47"/>
        <v>1</v>
      </c>
      <c r="G469" t="str">
        <f t="shared" si="43"/>
        <v>1F3D7</v>
      </c>
      <c r="I469">
        <f>HEX2DEC(Table1[[#This Row],[utf8]])</f>
        <v>127959</v>
      </c>
      <c r="J469" t="str">
        <f>_xlfn.UNICHAR(HEX2DEC(Table1[[#This Row],[utf8]]))</f>
        <v>🏗</v>
      </c>
      <c r="K469" s="3" t="str" cm="1">
        <f t="array" ref="K469">"Case "&amp;wRandomLetter()&amp;wRandomLetter()&amp;I469&amp;":    UniConst = ChrW(" &amp; I469 &amp;")"</f>
        <v>Case aE127959:    UniConst = ChrW(127959)</v>
      </c>
    </row>
    <row r="470" spans="1:11" hidden="1">
      <c r="A470" t="s">
        <v>3459</v>
      </c>
      <c r="B470" t="str">
        <f t="shared" si="44"/>
        <v>1F3D8 ; unqualified # 🏘 E0.7 houses</v>
      </c>
      <c r="C470" t="str">
        <f t="shared" si="45"/>
        <v xml:space="preserve">1F3D8 </v>
      </c>
      <c r="D470">
        <f t="shared" si="46"/>
        <v>6</v>
      </c>
      <c r="E470" t="str">
        <f t="shared" si="42"/>
        <v xml:space="preserve"> 🏘 E0.7 houses</v>
      </c>
      <c r="F470" t="b">
        <f t="shared" si="47"/>
        <v>1</v>
      </c>
      <c r="G470" t="str">
        <f t="shared" si="43"/>
        <v>1F3D8</v>
      </c>
      <c r="I470">
        <f>HEX2DEC(Table1[[#This Row],[utf8]])</f>
        <v>127960</v>
      </c>
      <c r="J470" t="str">
        <f>_xlfn.UNICHAR(HEX2DEC(Table1[[#This Row],[utf8]]))</f>
        <v>🏘</v>
      </c>
      <c r="K470" s="3" t="str" cm="1">
        <f t="array" ref="K470">"Case "&amp;wRandomLetter()&amp;wRandomLetter()&amp;I470&amp;":    UniConst = ChrW(" &amp; I470 &amp;")"</f>
        <v>Case DG127960:    UniConst = ChrW(127960)</v>
      </c>
    </row>
    <row r="471" spans="1:11" hidden="1">
      <c r="A471" t="s">
        <v>3458</v>
      </c>
      <c r="B471" t="str">
        <f t="shared" si="44"/>
        <v>1F3D8 FE0F ; fully-qualified # 🏘️ E0.7 houses</v>
      </c>
      <c r="C471" t="str">
        <f t="shared" si="45"/>
        <v xml:space="preserve">1F3D8 FE0F </v>
      </c>
      <c r="D471">
        <f t="shared" si="46"/>
        <v>11</v>
      </c>
      <c r="E471" t="str">
        <f t="shared" si="42"/>
        <v xml:space="preserve"> 🏘️ E0.7 houses</v>
      </c>
      <c r="F471" t="b">
        <f t="shared" si="47"/>
        <v>1</v>
      </c>
      <c r="G471" t="str">
        <f t="shared" si="43"/>
        <v>1F3D8</v>
      </c>
      <c r="I471">
        <f>HEX2DEC(Table1[[#This Row],[utf8]])</f>
        <v>127960</v>
      </c>
      <c r="J471" t="str">
        <f>_xlfn.UNICHAR(HEX2DEC(Table1[[#This Row],[utf8]]))</f>
        <v>🏘</v>
      </c>
      <c r="K471" s="3" t="str" cm="1">
        <f t="array" ref="K471">"Case "&amp;wRandomLetter()&amp;wRandomLetter()&amp;I471&amp;":    UniConst = ChrW(" &amp; I471 &amp;")"</f>
        <v>Case QM127960:    UniConst = ChrW(127960)</v>
      </c>
    </row>
    <row r="472" spans="1:11" hidden="1">
      <c r="A472" t="s">
        <v>3494</v>
      </c>
      <c r="B472" t="str">
        <f t="shared" si="44"/>
        <v>1F3D9 ; unqualified # 🏙 E0.7 cityscape</v>
      </c>
      <c r="C472" t="str">
        <f t="shared" si="45"/>
        <v xml:space="preserve">1F3D9 </v>
      </c>
      <c r="D472">
        <f t="shared" si="46"/>
        <v>6</v>
      </c>
      <c r="E472" t="str">
        <f t="shared" si="42"/>
        <v xml:space="preserve"> 🏙 E0.7 cityscape</v>
      </c>
      <c r="F472" t="b">
        <f t="shared" si="47"/>
        <v>1</v>
      </c>
      <c r="G472" t="str">
        <f t="shared" si="43"/>
        <v>1F3D9</v>
      </c>
      <c r="I472">
        <f>HEX2DEC(Table1[[#This Row],[utf8]])</f>
        <v>127961</v>
      </c>
      <c r="J472" t="str">
        <f>_xlfn.UNICHAR(HEX2DEC(Table1[[#This Row],[utf8]]))</f>
        <v>🏙</v>
      </c>
      <c r="K472" s="3" t="str" cm="1">
        <f t="array" ref="K472">"Case "&amp;wRandomLetter()&amp;wRandomLetter()&amp;I472&amp;":    UniConst = ChrW(" &amp; I472 &amp;")"</f>
        <v>Case Lw127961:    UniConst = ChrW(127961)</v>
      </c>
    </row>
    <row r="473" spans="1:11" hidden="1">
      <c r="A473" t="s">
        <v>3493</v>
      </c>
      <c r="B473" t="str">
        <f t="shared" si="44"/>
        <v>1F3D9 FE0F ; fully-qualified # 🏙️ E0.7 cityscape</v>
      </c>
      <c r="C473" t="str">
        <f t="shared" si="45"/>
        <v xml:space="preserve">1F3D9 FE0F </v>
      </c>
      <c r="D473">
        <f t="shared" si="46"/>
        <v>11</v>
      </c>
      <c r="E473" t="str">
        <f t="shared" si="42"/>
        <v xml:space="preserve"> 🏙️ E0.7 cityscape</v>
      </c>
      <c r="F473" t="b">
        <f t="shared" si="47"/>
        <v>1</v>
      </c>
      <c r="G473" t="str">
        <f t="shared" si="43"/>
        <v>1F3D9</v>
      </c>
      <c r="I473">
        <f>HEX2DEC(Table1[[#This Row],[utf8]])</f>
        <v>127961</v>
      </c>
      <c r="J473" t="str">
        <f>_xlfn.UNICHAR(HEX2DEC(Table1[[#This Row],[utf8]]))</f>
        <v>🏙</v>
      </c>
      <c r="K473" s="3" t="str" cm="1">
        <f t="array" ref="K473">"Case "&amp;wRandomLetter()&amp;wRandomLetter()&amp;I473&amp;":    UniConst = ChrW(" &amp; I473 &amp;")"</f>
        <v>Case aG127961:    UniConst = ChrW(127961)</v>
      </c>
    </row>
    <row r="474" spans="1:11" hidden="1">
      <c r="A474" t="s">
        <v>3461</v>
      </c>
      <c r="B474" t="str">
        <f t="shared" si="44"/>
        <v>1F3DA ; unqualified # 🏚 E0.7 derelict house</v>
      </c>
      <c r="C474" t="str">
        <f t="shared" si="45"/>
        <v xml:space="preserve">1F3DA </v>
      </c>
      <c r="D474">
        <f t="shared" si="46"/>
        <v>6</v>
      </c>
      <c r="E474" t="str">
        <f t="shared" si="42"/>
        <v xml:space="preserve"> 🏚 E0.7 derelict house</v>
      </c>
      <c r="F474" t="b">
        <f t="shared" si="47"/>
        <v>1</v>
      </c>
      <c r="G474" t="str">
        <f t="shared" si="43"/>
        <v>1F3DA</v>
      </c>
      <c r="I474">
        <f>HEX2DEC(Table1[[#This Row],[utf8]])</f>
        <v>127962</v>
      </c>
      <c r="J474" t="str">
        <f>_xlfn.UNICHAR(HEX2DEC(Table1[[#This Row],[utf8]]))</f>
        <v>🏚</v>
      </c>
      <c r="K474" s="3" t="str" cm="1">
        <f t="array" ref="K474">"Case "&amp;wRandomLetter()&amp;wRandomLetter()&amp;I474&amp;":    UniConst = ChrW(" &amp; I474 &amp;")"</f>
        <v>Case TB127962:    UniConst = ChrW(127962)</v>
      </c>
    </row>
    <row r="475" spans="1:11" hidden="1">
      <c r="A475" t="s">
        <v>3460</v>
      </c>
      <c r="B475" t="str">
        <f t="shared" si="44"/>
        <v>1F3DA FE0F ; fully-qualified # 🏚️ E0.7 derelict house</v>
      </c>
      <c r="C475" t="str">
        <f t="shared" si="45"/>
        <v xml:space="preserve">1F3DA FE0F </v>
      </c>
      <c r="D475">
        <f t="shared" si="46"/>
        <v>11</v>
      </c>
      <c r="E475" t="str">
        <f t="shared" si="42"/>
        <v xml:space="preserve"> 🏚️ E0.7 derelict house</v>
      </c>
      <c r="F475" t="b">
        <f t="shared" si="47"/>
        <v>1</v>
      </c>
      <c r="G475" t="str">
        <f t="shared" si="43"/>
        <v>1F3DA</v>
      </c>
      <c r="I475">
        <f>HEX2DEC(Table1[[#This Row],[utf8]])</f>
        <v>127962</v>
      </c>
      <c r="J475" t="str">
        <f>_xlfn.UNICHAR(HEX2DEC(Table1[[#This Row],[utf8]]))</f>
        <v>🏚</v>
      </c>
      <c r="K475" s="3" t="str" cm="1">
        <f t="array" ref="K475">"Case "&amp;wRandomLetter()&amp;wRandomLetter()&amp;I475&amp;":    UniConst = ChrW(" &amp; I475 &amp;")"</f>
        <v>Case TR127962:    UniConst = ChrW(127962)</v>
      </c>
    </row>
    <row r="476" spans="1:11" hidden="1">
      <c r="A476" t="s">
        <v>3451</v>
      </c>
      <c r="B476" t="str">
        <f t="shared" si="44"/>
        <v>1F3DB ; unqualified # 🏛 E0.7 classical building</v>
      </c>
      <c r="C476" t="str">
        <f t="shared" si="45"/>
        <v xml:space="preserve">1F3DB </v>
      </c>
      <c r="D476">
        <f t="shared" si="46"/>
        <v>6</v>
      </c>
      <c r="E476" t="str">
        <f t="shared" si="42"/>
        <v xml:space="preserve"> 🏛 E0.7 classical building</v>
      </c>
      <c r="F476" t="b">
        <f t="shared" si="47"/>
        <v>1</v>
      </c>
      <c r="G476" t="str">
        <f t="shared" si="43"/>
        <v>1F3DB</v>
      </c>
      <c r="I476">
        <f>HEX2DEC(Table1[[#This Row],[utf8]])</f>
        <v>127963</v>
      </c>
      <c r="J476" t="str">
        <f>_xlfn.UNICHAR(HEX2DEC(Table1[[#This Row],[utf8]]))</f>
        <v>🏛</v>
      </c>
      <c r="K476" s="3" t="str" cm="1">
        <f t="array" ref="K476">"Case "&amp;wRandomLetter()&amp;wRandomLetter()&amp;I476&amp;":    UniConst = ChrW(" &amp; I476 &amp;")"</f>
        <v>Case pV127963:    UniConst = ChrW(127963)</v>
      </c>
    </row>
    <row r="477" spans="1:11" hidden="1">
      <c r="A477" t="s">
        <v>3450</v>
      </c>
      <c r="B477" t="str">
        <f t="shared" si="44"/>
        <v>1F3DB FE0F ; fully-qualified # 🏛️ E0.7 classical building</v>
      </c>
      <c r="C477" t="str">
        <f t="shared" si="45"/>
        <v xml:space="preserve">1F3DB FE0F </v>
      </c>
      <c r="D477">
        <f t="shared" si="46"/>
        <v>11</v>
      </c>
      <c r="E477" t="str">
        <f t="shared" si="42"/>
        <v xml:space="preserve"> 🏛️ E0.7 classical building</v>
      </c>
      <c r="F477" t="b">
        <f t="shared" si="47"/>
        <v>1</v>
      </c>
      <c r="G477" t="str">
        <f t="shared" si="43"/>
        <v>1F3DB</v>
      </c>
      <c r="I477">
        <f>HEX2DEC(Table1[[#This Row],[utf8]])</f>
        <v>127963</v>
      </c>
      <c r="J477" t="str">
        <f>_xlfn.UNICHAR(HEX2DEC(Table1[[#This Row],[utf8]]))</f>
        <v>🏛</v>
      </c>
      <c r="K477" s="3" t="str" cm="1">
        <f t="array" ref="K477">"Case "&amp;wRandomLetter()&amp;wRandomLetter()&amp;I477&amp;":    UniConst = ChrW(" &amp; I477 &amp;")"</f>
        <v>Case DS127963:    UniConst = ChrW(127963)</v>
      </c>
    </row>
    <row r="478" spans="1:11" hidden="1">
      <c r="A478" t="s">
        <v>3442</v>
      </c>
      <c r="B478" t="str">
        <f t="shared" si="44"/>
        <v>1F3DC ; unqualified # 🏜 E0.7 desert</v>
      </c>
      <c r="C478" t="str">
        <f t="shared" si="45"/>
        <v xml:space="preserve">1F3DC </v>
      </c>
      <c r="D478">
        <f t="shared" si="46"/>
        <v>6</v>
      </c>
      <c r="E478" t="str">
        <f t="shared" si="42"/>
        <v xml:space="preserve"> 🏜 E0.7 desert</v>
      </c>
      <c r="F478" t="b">
        <f t="shared" si="47"/>
        <v>1</v>
      </c>
      <c r="G478" t="str">
        <f t="shared" si="43"/>
        <v>1F3DC</v>
      </c>
      <c r="I478">
        <f>HEX2DEC(Table1[[#This Row],[utf8]])</f>
        <v>127964</v>
      </c>
      <c r="J478" t="str">
        <f>_xlfn.UNICHAR(HEX2DEC(Table1[[#This Row],[utf8]]))</f>
        <v>🏜</v>
      </c>
      <c r="K478" s="3" t="str" cm="1">
        <f t="array" ref="K478">"Case "&amp;wRandomLetter()&amp;wRandomLetter()&amp;I478&amp;":    UniConst = ChrW(" &amp; I478 &amp;")"</f>
        <v>Case So127964:    UniConst = ChrW(127964)</v>
      </c>
    </row>
    <row r="479" spans="1:11" hidden="1">
      <c r="A479" t="s">
        <v>3441</v>
      </c>
      <c r="B479" t="str">
        <f t="shared" si="44"/>
        <v>1F3DC FE0F ; fully-qualified # 🏜️ E0.7 desert</v>
      </c>
      <c r="C479" t="str">
        <f t="shared" si="45"/>
        <v xml:space="preserve">1F3DC FE0F </v>
      </c>
      <c r="D479">
        <f t="shared" si="46"/>
        <v>11</v>
      </c>
      <c r="E479" t="str">
        <f t="shared" si="42"/>
        <v xml:space="preserve"> 🏜️ E0.7 desert</v>
      </c>
      <c r="F479" t="b">
        <f t="shared" si="47"/>
        <v>1</v>
      </c>
      <c r="G479" t="str">
        <f t="shared" si="43"/>
        <v>1F3DC</v>
      </c>
      <c r="I479">
        <f>HEX2DEC(Table1[[#This Row],[utf8]])</f>
        <v>127964</v>
      </c>
      <c r="J479" t="str">
        <f>_xlfn.UNICHAR(HEX2DEC(Table1[[#This Row],[utf8]]))</f>
        <v>🏜</v>
      </c>
      <c r="K479" s="3" t="str" cm="1">
        <f t="array" ref="K479">"Case "&amp;wRandomLetter()&amp;wRandomLetter()&amp;I479&amp;":    UniConst = ChrW(" &amp; I479 &amp;")"</f>
        <v>Case OA127964:    UniConst = ChrW(127964)</v>
      </c>
    </row>
    <row r="480" spans="1:11" hidden="1">
      <c r="A480" t="s">
        <v>3444</v>
      </c>
      <c r="B480" t="str">
        <f t="shared" si="44"/>
        <v>1F3DD ; unqualified # 🏝 E0.7 desert island</v>
      </c>
      <c r="C480" t="str">
        <f t="shared" si="45"/>
        <v xml:space="preserve">1F3DD </v>
      </c>
      <c r="D480">
        <f t="shared" si="46"/>
        <v>6</v>
      </c>
      <c r="E480" t="str">
        <f t="shared" si="42"/>
        <v xml:space="preserve"> 🏝 E0.7 desert island</v>
      </c>
      <c r="F480" t="b">
        <f t="shared" si="47"/>
        <v>1</v>
      </c>
      <c r="G480" t="str">
        <f t="shared" si="43"/>
        <v>1F3DD</v>
      </c>
      <c r="I480">
        <f>HEX2DEC(Table1[[#This Row],[utf8]])</f>
        <v>127965</v>
      </c>
      <c r="J480" t="str">
        <f>_xlfn.UNICHAR(HEX2DEC(Table1[[#This Row],[utf8]]))</f>
        <v>🏝</v>
      </c>
      <c r="K480" s="3" t="str" cm="1">
        <f t="array" ref="K480">"Case "&amp;wRandomLetter()&amp;wRandomLetter()&amp;I480&amp;":    UniConst = ChrW(" &amp; I480 &amp;")"</f>
        <v>Case QK127965:    UniConst = ChrW(127965)</v>
      </c>
    </row>
    <row r="481" spans="1:11" hidden="1">
      <c r="A481" t="s">
        <v>3443</v>
      </c>
      <c r="B481" t="str">
        <f t="shared" si="44"/>
        <v>1F3DD FE0F ; fully-qualified # 🏝️ E0.7 desert island</v>
      </c>
      <c r="C481" t="str">
        <f t="shared" si="45"/>
        <v xml:space="preserve">1F3DD FE0F </v>
      </c>
      <c r="D481">
        <f t="shared" si="46"/>
        <v>11</v>
      </c>
      <c r="E481" t="str">
        <f t="shared" si="42"/>
        <v xml:space="preserve"> 🏝️ E0.7 desert island</v>
      </c>
      <c r="F481" t="b">
        <f t="shared" si="47"/>
        <v>1</v>
      </c>
      <c r="G481" t="str">
        <f t="shared" si="43"/>
        <v>1F3DD</v>
      </c>
      <c r="I481">
        <f>HEX2DEC(Table1[[#This Row],[utf8]])</f>
        <v>127965</v>
      </c>
      <c r="J481" t="str">
        <f>_xlfn.UNICHAR(HEX2DEC(Table1[[#This Row],[utf8]]))</f>
        <v>🏝</v>
      </c>
      <c r="K481" s="3" t="str" cm="1">
        <f t="array" ref="K481">"Case "&amp;wRandomLetter()&amp;wRandomLetter()&amp;I481&amp;":    UniConst = ChrW(" &amp; I481 &amp;")"</f>
        <v>Case zS127965:    UniConst = ChrW(127965)</v>
      </c>
    </row>
    <row r="482" spans="1:11" hidden="1">
      <c r="A482" t="s">
        <v>3446</v>
      </c>
      <c r="B482" t="str">
        <f t="shared" si="44"/>
        <v>1F3DE ; unqualified # 🏞 E0.7 national park</v>
      </c>
      <c r="C482" t="str">
        <f t="shared" si="45"/>
        <v xml:space="preserve">1F3DE </v>
      </c>
      <c r="D482">
        <f t="shared" si="46"/>
        <v>6</v>
      </c>
      <c r="E482" t="str">
        <f t="shared" si="42"/>
        <v xml:space="preserve"> 🏞 E0.7 national park</v>
      </c>
      <c r="F482" t="b">
        <f t="shared" si="47"/>
        <v>1</v>
      </c>
      <c r="G482" t="str">
        <f t="shared" si="43"/>
        <v>1F3DE</v>
      </c>
      <c r="I482">
        <f>HEX2DEC(Table1[[#This Row],[utf8]])</f>
        <v>127966</v>
      </c>
      <c r="J482" t="str">
        <f>_xlfn.UNICHAR(HEX2DEC(Table1[[#This Row],[utf8]]))</f>
        <v>🏞</v>
      </c>
      <c r="K482" s="3" t="str" cm="1">
        <f t="array" ref="K482">"Case "&amp;wRandomLetter()&amp;wRandomLetter()&amp;I482&amp;":    UniConst = ChrW(" &amp; I482 &amp;")"</f>
        <v>Case fN127966:    UniConst = ChrW(127966)</v>
      </c>
    </row>
    <row r="483" spans="1:11" hidden="1">
      <c r="A483" t="s">
        <v>3445</v>
      </c>
      <c r="B483" t="str">
        <f t="shared" si="44"/>
        <v>1F3DE FE0F ; fully-qualified # 🏞️ E0.7 national park</v>
      </c>
      <c r="C483" t="str">
        <f t="shared" si="45"/>
        <v xml:space="preserve">1F3DE FE0F </v>
      </c>
      <c r="D483">
        <f t="shared" si="46"/>
        <v>11</v>
      </c>
      <c r="E483" t="str">
        <f t="shared" si="42"/>
        <v xml:space="preserve"> 🏞️ E0.7 national park</v>
      </c>
      <c r="F483" t="b">
        <f t="shared" si="47"/>
        <v>1</v>
      </c>
      <c r="G483" t="str">
        <f t="shared" si="43"/>
        <v>1F3DE</v>
      </c>
      <c r="I483">
        <f>HEX2DEC(Table1[[#This Row],[utf8]])</f>
        <v>127966</v>
      </c>
      <c r="J483" t="str">
        <f>_xlfn.UNICHAR(HEX2DEC(Table1[[#This Row],[utf8]]))</f>
        <v>🏞</v>
      </c>
      <c r="K483" s="3" t="str" cm="1">
        <f t="array" ref="K483">"Case "&amp;wRandomLetter()&amp;wRandomLetter()&amp;I483&amp;":    UniConst = ChrW(" &amp; I483 &amp;")"</f>
        <v>Case gm127966:    UniConst = ChrW(127966)</v>
      </c>
    </row>
    <row r="484" spans="1:11" hidden="1">
      <c r="A484" t="s">
        <v>3449</v>
      </c>
      <c r="B484" t="str">
        <f t="shared" si="44"/>
        <v>1F3DF ; unqualified # 🏟 E0.7 stadium</v>
      </c>
      <c r="C484" t="str">
        <f t="shared" si="45"/>
        <v xml:space="preserve">1F3DF </v>
      </c>
      <c r="D484">
        <f t="shared" si="46"/>
        <v>6</v>
      </c>
      <c r="E484" t="str">
        <f t="shared" si="42"/>
        <v xml:space="preserve"> 🏟 E0.7 stadium</v>
      </c>
      <c r="F484" t="b">
        <f t="shared" si="47"/>
        <v>1</v>
      </c>
      <c r="G484" t="str">
        <f t="shared" si="43"/>
        <v>1F3DF</v>
      </c>
      <c r="I484">
        <f>HEX2DEC(Table1[[#This Row],[utf8]])</f>
        <v>127967</v>
      </c>
      <c r="J484" t="str">
        <f>_xlfn.UNICHAR(HEX2DEC(Table1[[#This Row],[utf8]]))</f>
        <v>🏟</v>
      </c>
      <c r="K484" s="3" t="str" cm="1">
        <f t="array" ref="K484">"Case "&amp;wRandomLetter()&amp;wRandomLetter()&amp;I484&amp;":    UniConst = ChrW(" &amp; I484 &amp;")"</f>
        <v>Case SE127967:    UniConst = ChrW(127967)</v>
      </c>
    </row>
    <row r="485" spans="1:11" hidden="1">
      <c r="A485" t="s">
        <v>3448</v>
      </c>
      <c r="B485" t="str">
        <f t="shared" si="44"/>
        <v>1F3DF FE0F ; fully-qualified # 🏟️ E0.7 stadium</v>
      </c>
      <c r="C485" t="str">
        <f t="shared" si="45"/>
        <v xml:space="preserve">1F3DF FE0F </v>
      </c>
      <c r="D485">
        <f t="shared" si="46"/>
        <v>11</v>
      </c>
      <c r="E485" t="str">
        <f t="shared" si="42"/>
        <v xml:space="preserve"> 🏟️ E0.7 stadium</v>
      </c>
      <c r="F485" t="b">
        <f t="shared" si="47"/>
        <v>1</v>
      </c>
      <c r="G485" t="str">
        <f t="shared" si="43"/>
        <v>1F3DF</v>
      </c>
      <c r="I485">
        <f>HEX2DEC(Table1[[#This Row],[utf8]])</f>
        <v>127967</v>
      </c>
      <c r="J485" t="str">
        <f>_xlfn.UNICHAR(HEX2DEC(Table1[[#This Row],[utf8]]))</f>
        <v>🏟</v>
      </c>
      <c r="K485" s="3" t="str" cm="1">
        <f t="array" ref="K485">"Case "&amp;wRandomLetter()&amp;wRandomLetter()&amp;I485&amp;":    UniConst = ChrW(" &amp; I485 &amp;")"</f>
        <v>Case hj127967:    UniConst = ChrW(127967)</v>
      </c>
    </row>
    <row r="486" spans="1:11" hidden="1">
      <c r="A486" t="s">
        <v>3462</v>
      </c>
      <c r="B486" t="str">
        <f t="shared" si="44"/>
        <v>1F3E0 ; fully-qualified # 🏠 E0.6 house</v>
      </c>
      <c r="C486" t="str">
        <f t="shared" si="45"/>
        <v xml:space="preserve">1F3E0 </v>
      </c>
      <c r="D486">
        <f t="shared" si="46"/>
        <v>6</v>
      </c>
      <c r="E486" t="str">
        <f t="shared" si="42"/>
        <v xml:space="preserve"> 🏠 E0.6 house</v>
      </c>
      <c r="F486" t="b">
        <f t="shared" si="47"/>
        <v>1</v>
      </c>
      <c r="G486" t="str">
        <f t="shared" si="43"/>
        <v>1F3E0</v>
      </c>
      <c r="I486">
        <f>HEX2DEC(Table1[[#This Row],[utf8]])</f>
        <v>127968</v>
      </c>
      <c r="J486" t="str">
        <f>_xlfn.UNICHAR(HEX2DEC(Table1[[#This Row],[utf8]]))</f>
        <v>🏠</v>
      </c>
      <c r="K486" s="3" t="str" cm="1">
        <f t="array" ref="K486">"Case "&amp;wRandomLetter()&amp;wRandomLetter()&amp;I486&amp;":    UniConst = ChrW(" &amp; I486 &amp;")"</f>
        <v>Case iL127968:    UniConst = ChrW(127968)</v>
      </c>
    </row>
    <row r="487" spans="1:11" hidden="1">
      <c r="A487" t="s">
        <v>3463</v>
      </c>
      <c r="B487" t="str">
        <f t="shared" si="44"/>
        <v>1F3E1 ; fully-qualified # 🏡 E0.6 house with garden</v>
      </c>
      <c r="C487" t="str">
        <f t="shared" si="45"/>
        <v xml:space="preserve">1F3E1 </v>
      </c>
      <c r="D487">
        <f t="shared" si="46"/>
        <v>6</v>
      </c>
      <c r="E487" t="str">
        <f t="shared" si="42"/>
        <v xml:space="preserve"> 🏡 E0.6 house with garden</v>
      </c>
      <c r="F487" t="b">
        <f t="shared" si="47"/>
        <v>1</v>
      </c>
      <c r="G487" t="str">
        <f t="shared" si="43"/>
        <v>1F3E1</v>
      </c>
      <c r="I487">
        <f>HEX2DEC(Table1[[#This Row],[utf8]])</f>
        <v>127969</v>
      </c>
      <c r="J487" t="str">
        <f>_xlfn.UNICHAR(HEX2DEC(Table1[[#This Row],[utf8]]))</f>
        <v>🏡</v>
      </c>
      <c r="K487" s="3" t="str" cm="1">
        <f t="array" ref="K487">"Case "&amp;wRandomLetter()&amp;wRandomLetter()&amp;I487&amp;":    UniConst = ChrW(" &amp; I487 &amp;")"</f>
        <v>Case yb127969:    UniConst = ChrW(127969)</v>
      </c>
    </row>
    <row r="488" spans="1:11" hidden="1">
      <c r="A488" t="s">
        <v>3464</v>
      </c>
      <c r="B488" t="str">
        <f t="shared" si="44"/>
        <v>1F3E2 ; fully-qualified # 🏢 E0.6 office building</v>
      </c>
      <c r="C488" t="str">
        <f t="shared" si="45"/>
        <v xml:space="preserve">1F3E2 </v>
      </c>
      <c r="D488">
        <f t="shared" si="46"/>
        <v>6</v>
      </c>
      <c r="E488" t="str">
        <f t="shared" si="42"/>
        <v xml:space="preserve"> 🏢 E0.6 office building</v>
      </c>
      <c r="F488" t="b">
        <f t="shared" si="47"/>
        <v>1</v>
      </c>
      <c r="G488" t="str">
        <f t="shared" si="43"/>
        <v>1F3E2</v>
      </c>
      <c r="I488">
        <f>HEX2DEC(Table1[[#This Row],[utf8]])</f>
        <v>127970</v>
      </c>
      <c r="J488" t="str">
        <f>_xlfn.UNICHAR(HEX2DEC(Table1[[#This Row],[utf8]]))</f>
        <v>🏢</v>
      </c>
      <c r="K488" s="3" t="str" cm="1">
        <f t="array" ref="K488">"Case "&amp;wRandomLetter()&amp;wRandomLetter()&amp;I488&amp;":    UniConst = ChrW(" &amp; I488 &amp;")"</f>
        <v>Case Zm127970:    UniConst = ChrW(127970)</v>
      </c>
    </row>
    <row r="489" spans="1:11" hidden="1">
      <c r="A489" t="s">
        <v>3465</v>
      </c>
      <c r="B489" t="str">
        <f t="shared" si="44"/>
        <v>1F3E3 ; fully-qualified # 🏣 E0.6 Japanese post office</v>
      </c>
      <c r="C489" t="str">
        <f t="shared" si="45"/>
        <v xml:space="preserve">1F3E3 </v>
      </c>
      <c r="D489">
        <f t="shared" si="46"/>
        <v>6</v>
      </c>
      <c r="E489" t="str">
        <f t="shared" si="42"/>
        <v xml:space="preserve"> 🏣 E0.6 Japanese post office</v>
      </c>
      <c r="F489" t="b">
        <f t="shared" si="47"/>
        <v>1</v>
      </c>
      <c r="G489" t="str">
        <f t="shared" si="43"/>
        <v>1F3E3</v>
      </c>
      <c r="I489">
        <f>HEX2DEC(Table1[[#This Row],[utf8]])</f>
        <v>127971</v>
      </c>
      <c r="J489" t="str">
        <f>_xlfn.UNICHAR(HEX2DEC(Table1[[#This Row],[utf8]]))</f>
        <v>🏣</v>
      </c>
      <c r="K489" s="3" t="str" cm="1">
        <f t="array" ref="K489">"Case "&amp;wRandomLetter()&amp;wRandomLetter()&amp;I489&amp;":    UniConst = ChrW(" &amp; I489 &amp;")"</f>
        <v>Case hj127971:    UniConst = ChrW(127971)</v>
      </c>
    </row>
    <row r="490" spans="1:11" hidden="1">
      <c r="A490" t="s">
        <v>3466</v>
      </c>
      <c r="B490" t="str">
        <f t="shared" si="44"/>
        <v>1F3E4 ; fully-qualified # 🏤 E1.0 post office</v>
      </c>
      <c r="C490" t="str">
        <f t="shared" si="45"/>
        <v xml:space="preserve">1F3E4 </v>
      </c>
      <c r="D490">
        <f t="shared" si="46"/>
        <v>6</v>
      </c>
      <c r="E490" t="str">
        <f t="shared" si="42"/>
        <v xml:space="preserve"> 🏤 E1.0 post office</v>
      </c>
      <c r="F490" t="b">
        <f t="shared" si="47"/>
        <v>1</v>
      </c>
      <c r="G490" t="str">
        <f t="shared" si="43"/>
        <v>1F3E4</v>
      </c>
      <c r="I490">
        <f>HEX2DEC(Table1[[#This Row],[utf8]])</f>
        <v>127972</v>
      </c>
      <c r="J490" t="str">
        <f>_xlfn.UNICHAR(HEX2DEC(Table1[[#This Row],[utf8]]))</f>
        <v>🏤</v>
      </c>
      <c r="K490" s="3" t="str" cm="1">
        <f t="array" ref="K490">"Case "&amp;wRandomLetter()&amp;wRandomLetter()&amp;I490&amp;":    UniConst = ChrW(" &amp; I490 &amp;")"</f>
        <v>Case sV127972:    UniConst = ChrW(127972)</v>
      </c>
    </row>
    <row r="491" spans="1:11" hidden="1">
      <c r="A491" t="s">
        <v>3467</v>
      </c>
      <c r="B491" t="str">
        <f t="shared" si="44"/>
        <v>1F3E5 ; fully-qualified # 🏥 E0.6 hospital</v>
      </c>
      <c r="C491" t="str">
        <f t="shared" si="45"/>
        <v xml:space="preserve">1F3E5 </v>
      </c>
      <c r="D491">
        <f t="shared" si="46"/>
        <v>6</v>
      </c>
      <c r="E491" t="str">
        <f t="shared" si="42"/>
        <v xml:space="preserve"> 🏥 E0.6 hospital</v>
      </c>
      <c r="F491" t="b">
        <f t="shared" si="47"/>
        <v>1</v>
      </c>
      <c r="G491" t="str">
        <f t="shared" si="43"/>
        <v>1F3E5</v>
      </c>
      <c r="I491">
        <f>HEX2DEC(Table1[[#This Row],[utf8]])</f>
        <v>127973</v>
      </c>
      <c r="J491" t="str">
        <f>_xlfn.UNICHAR(HEX2DEC(Table1[[#This Row],[utf8]]))</f>
        <v>🏥</v>
      </c>
      <c r="K491" s="3" t="str" cm="1">
        <f t="array" ref="K491">"Case "&amp;wRandomLetter()&amp;wRandomLetter()&amp;I491&amp;":    UniConst = ChrW(" &amp; I491 &amp;")"</f>
        <v>Case Pk127973:    UniConst = ChrW(127973)</v>
      </c>
    </row>
    <row r="492" spans="1:11" hidden="1">
      <c r="A492" t="s">
        <v>3468</v>
      </c>
      <c r="B492" t="str">
        <f t="shared" si="44"/>
        <v>1F3E6 ; fully-qualified # 🏦 E0.6 bank</v>
      </c>
      <c r="C492" t="str">
        <f t="shared" si="45"/>
        <v xml:space="preserve">1F3E6 </v>
      </c>
      <c r="D492">
        <f t="shared" si="46"/>
        <v>6</v>
      </c>
      <c r="E492" t="str">
        <f t="shared" si="42"/>
        <v xml:space="preserve"> 🏦 E0.6 bank</v>
      </c>
      <c r="F492" t="b">
        <f t="shared" si="47"/>
        <v>1</v>
      </c>
      <c r="G492" t="str">
        <f t="shared" si="43"/>
        <v>1F3E6</v>
      </c>
      <c r="I492">
        <f>HEX2DEC(Table1[[#This Row],[utf8]])</f>
        <v>127974</v>
      </c>
      <c r="J492" t="str">
        <f>_xlfn.UNICHAR(HEX2DEC(Table1[[#This Row],[utf8]]))</f>
        <v>🏦</v>
      </c>
      <c r="K492" s="3" t="str" cm="1">
        <f t="array" ref="K492">"Case "&amp;wRandomLetter()&amp;wRandomLetter()&amp;I492&amp;":    UniConst = ChrW(" &amp; I492 &amp;")"</f>
        <v>Case DH127974:    UniConst = ChrW(127974)</v>
      </c>
    </row>
    <row r="493" spans="1:11" hidden="1">
      <c r="A493" t="s">
        <v>4123</v>
      </c>
      <c r="B493" t="str">
        <f t="shared" si="44"/>
        <v>1F3E7 ; fully-qualified # 🏧 E0.6 ATM sign</v>
      </c>
      <c r="C493" t="str">
        <f t="shared" si="45"/>
        <v xml:space="preserve">1F3E7 </v>
      </c>
      <c r="D493">
        <f t="shared" si="46"/>
        <v>6</v>
      </c>
      <c r="E493" t="str">
        <f t="shared" si="42"/>
        <v xml:space="preserve"> 🏧 E0.6 ATM sign</v>
      </c>
      <c r="F493" t="b">
        <f t="shared" si="47"/>
        <v>1</v>
      </c>
      <c r="G493" t="str">
        <f t="shared" si="43"/>
        <v>1F3E7</v>
      </c>
      <c r="I493">
        <f>HEX2DEC(Table1[[#This Row],[utf8]])</f>
        <v>127975</v>
      </c>
      <c r="J493" t="str">
        <f>_xlfn.UNICHAR(HEX2DEC(Table1[[#This Row],[utf8]]))</f>
        <v>🏧</v>
      </c>
      <c r="K493" s="3" t="str" cm="1">
        <f t="array" ref="K493">"Case "&amp;wRandomLetter()&amp;wRandomLetter()&amp;I493&amp;":    UniConst = ChrW(" &amp; I493 &amp;")"</f>
        <v>Case Ir127975:    UniConst = ChrW(127975)</v>
      </c>
    </row>
    <row r="494" spans="1:11" hidden="1">
      <c r="A494" t="s">
        <v>3469</v>
      </c>
      <c r="B494" t="str">
        <f t="shared" si="44"/>
        <v>1F3E8 ; fully-qualified # 🏨 E0.6 hotel</v>
      </c>
      <c r="C494" t="str">
        <f t="shared" si="45"/>
        <v xml:space="preserve">1F3E8 </v>
      </c>
      <c r="D494">
        <f t="shared" si="46"/>
        <v>6</v>
      </c>
      <c r="E494" t="str">
        <f t="shared" si="42"/>
        <v xml:space="preserve"> 🏨 E0.6 hotel</v>
      </c>
      <c r="F494" t="b">
        <f t="shared" si="47"/>
        <v>1</v>
      </c>
      <c r="G494" t="str">
        <f t="shared" si="43"/>
        <v>1F3E8</v>
      </c>
      <c r="I494">
        <f>HEX2DEC(Table1[[#This Row],[utf8]])</f>
        <v>127976</v>
      </c>
      <c r="J494" t="str">
        <f>_xlfn.UNICHAR(HEX2DEC(Table1[[#This Row],[utf8]]))</f>
        <v>🏨</v>
      </c>
      <c r="K494" s="3" t="str" cm="1">
        <f t="array" ref="K494">"Case "&amp;wRandomLetter()&amp;wRandomLetter()&amp;I494&amp;":    UniConst = ChrW(" &amp; I494 &amp;")"</f>
        <v>Case OR127976:    UniConst = ChrW(127976)</v>
      </c>
    </row>
    <row r="495" spans="1:11" hidden="1">
      <c r="A495" t="s">
        <v>3470</v>
      </c>
      <c r="B495" t="str">
        <f t="shared" si="44"/>
        <v>1F3E9 ; fully-qualified # 🏩 E0.6 love hotel</v>
      </c>
      <c r="C495" t="str">
        <f t="shared" si="45"/>
        <v xml:space="preserve">1F3E9 </v>
      </c>
      <c r="D495">
        <f t="shared" si="46"/>
        <v>6</v>
      </c>
      <c r="E495" t="str">
        <f t="shared" si="42"/>
        <v xml:space="preserve"> 🏩 E0.6 love hotel</v>
      </c>
      <c r="F495" t="b">
        <f t="shared" si="47"/>
        <v>1</v>
      </c>
      <c r="G495" t="str">
        <f t="shared" si="43"/>
        <v>1F3E9</v>
      </c>
      <c r="I495">
        <f>HEX2DEC(Table1[[#This Row],[utf8]])</f>
        <v>127977</v>
      </c>
      <c r="J495" t="str">
        <f>_xlfn.UNICHAR(HEX2DEC(Table1[[#This Row],[utf8]]))</f>
        <v>🏩</v>
      </c>
      <c r="K495" s="3" t="str" cm="1">
        <f t="array" ref="K495">"Case "&amp;wRandomLetter()&amp;wRandomLetter()&amp;I495&amp;":    UniConst = ChrW(" &amp; I495 &amp;")"</f>
        <v>Case SD127977:    UniConst = ChrW(127977)</v>
      </c>
    </row>
    <row r="496" spans="1:11" hidden="1">
      <c r="A496" t="s">
        <v>3471</v>
      </c>
      <c r="B496" t="str">
        <f t="shared" si="44"/>
        <v>1F3EA ; fully-qualified # 🏪 E0.6 convenience store</v>
      </c>
      <c r="C496" t="str">
        <f t="shared" si="45"/>
        <v xml:space="preserve">1F3EA </v>
      </c>
      <c r="D496">
        <f t="shared" si="46"/>
        <v>6</v>
      </c>
      <c r="E496" t="str">
        <f t="shared" si="42"/>
        <v xml:space="preserve"> 🏪 E0.6 convenience store</v>
      </c>
      <c r="F496" t="b">
        <f t="shared" si="47"/>
        <v>1</v>
      </c>
      <c r="G496" t="str">
        <f t="shared" si="43"/>
        <v>1F3EA</v>
      </c>
      <c r="I496">
        <f>HEX2DEC(Table1[[#This Row],[utf8]])</f>
        <v>127978</v>
      </c>
      <c r="J496" t="str">
        <f>_xlfn.UNICHAR(HEX2DEC(Table1[[#This Row],[utf8]]))</f>
        <v>🏪</v>
      </c>
      <c r="K496" s="3" t="str" cm="1">
        <f t="array" ref="K496">"Case "&amp;wRandomLetter()&amp;wRandomLetter()&amp;I496&amp;":    UniConst = ChrW(" &amp; I496 &amp;")"</f>
        <v>Case Pm127978:    UniConst = ChrW(127978)</v>
      </c>
    </row>
    <row r="497" spans="1:11" hidden="1">
      <c r="A497" t="s">
        <v>3472</v>
      </c>
      <c r="B497" t="str">
        <f t="shared" si="44"/>
        <v>1F3EB ; fully-qualified # 🏫 E0.6 school</v>
      </c>
      <c r="C497" t="str">
        <f t="shared" si="45"/>
        <v xml:space="preserve">1F3EB </v>
      </c>
      <c r="D497">
        <f t="shared" si="46"/>
        <v>6</v>
      </c>
      <c r="E497" t="str">
        <f t="shared" si="42"/>
        <v xml:space="preserve"> 🏫 E0.6 school</v>
      </c>
      <c r="F497" t="b">
        <f t="shared" si="47"/>
        <v>1</v>
      </c>
      <c r="G497" t="str">
        <f t="shared" si="43"/>
        <v>1F3EB</v>
      </c>
      <c r="I497">
        <f>HEX2DEC(Table1[[#This Row],[utf8]])</f>
        <v>127979</v>
      </c>
      <c r="J497" t="str">
        <f>_xlfn.UNICHAR(HEX2DEC(Table1[[#This Row],[utf8]]))</f>
        <v>🏫</v>
      </c>
      <c r="K497" s="3" t="str" cm="1">
        <f t="array" ref="K497">"Case "&amp;wRandomLetter()&amp;wRandomLetter()&amp;I497&amp;":    UniConst = ChrW(" &amp; I497 &amp;")"</f>
        <v>Case zC127979:    UniConst = ChrW(127979)</v>
      </c>
    </row>
    <row r="498" spans="1:11" hidden="1">
      <c r="A498" t="s">
        <v>3473</v>
      </c>
      <c r="B498" t="str">
        <f t="shared" si="44"/>
        <v>1F3EC ; fully-qualified # 🏬 E0.6 department store</v>
      </c>
      <c r="C498" t="str">
        <f t="shared" si="45"/>
        <v xml:space="preserve">1F3EC </v>
      </c>
      <c r="D498">
        <f t="shared" si="46"/>
        <v>6</v>
      </c>
      <c r="E498" t="str">
        <f t="shared" si="42"/>
        <v xml:space="preserve"> 🏬 E0.6 department store</v>
      </c>
      <c r="F498" t="b">
        <f t="shared" si="47"/>
        <v>1</v>
      </c>
      <c r="G498" t="str">
        <f t="shared" si="43"/>
        <v>1F3EC</v>
      </c>
      <c r="I498">
        <f>HEX2DEC(Table1[[#This Row],[utf8]])</f>
        <v>127980</v>
      </c>
      <c r="J498" t="str">
        <f>_xlfn.UNICHAR(HEX2DEC(Table1[[#This Row],[utf8]]))</f>
        <v>🏬</v>
      </c>
      <c r="K498" s="3" t="str" cm="1">
        <f t="array" ref="K498">"Case "&amp;wRandomLetter()&amp;wRandomLetter()&amp;I498&amp;":    UniConst = ChrW(" &amp; I498 &amp;")"</f>
        <v>Case Tn127980:    UniConst = ChrW(127980)</v>
      </c>
    </row>
    <row r="499" spans="1:11" hidden="1">
      <c r="A499" t="s">
        <v>3474</v>
      </c>
      <c r="B499" t="str">
        <f t="shared" si="44"/>
        <v>1F3ED ; fully-qualified # 🏭 E0.6 factory</v>
      </c>
      <c r="C499" t="str">
        <f t="shared" si="45"/>
        <v xml:space="preserve">1F3ED </v>
      </c>
      <c r="D499">
        <f t="shared" si="46"/>
        <v>6</v>
      </c>
      <c r="E499" t="str">
        <f t="shared" si="42"/>
        <v xml:space="preserve"> 🏭 E0.6 factory</v>
      </c>
      <c r="F499" t="b">
        <f t="shared" si="47"/>
        <v>1</v>
      </c>
      <c r="G499" t="str">
        <f t="shared" si="43"/>
        <v>1F3ED</v>
      </c>
      <c r="I499">
        <f>HEX2DEC(Table1[[#This Row],[utf8]])</f>
        <v>127981</v>
      </c>
      <c r="J499" t="str">
        <f>_xlfn.UNICHAR(HEX2DEC(Table1[[#This Row],[utf8]]))</f>
        <v>🏭</v>
      </c>
      <c r="K499" s="3" t="str" cm="1">
        <f t="array" ref="K499">"Case "&amp;wRandomLetter()&amp;wRandomLetter()&amp;I499&amp;":    UniConst = ChrW(" &amp; I499 &amp;")"</f>
        <v>Case yG127981:    UniConst = ChrW(127981)</v>
      </c>
    </row>
    <row r="500" spans="1:11" hidden="1">
      <c r="A500" t="s">
        <v>3929</v>
      </c>
      <c r="B500" t="str">
        <f t="shared" si="44"/>
        <v>1F3EE ; fully-qualified # 🏮 E0.6 red paper lantern</v>
      </c>
      <c r="C500" t="str">
        <f t="shared" si="45"/>
        <v xml:space="preserve">1F3EE </v>
      </c>
      <c r="D500">
        <f t="shared" si="46"/>
        <v>6</v>
      </c>
      <c r="E500" t="str">
        <f t="shared" si="42"/>
        <v xml:space="preserve"> 🏮 E0.6 red paper lantern</v>
      </c>
      <c r="F500" t="b">
        <f t="shared" si="47"/>
        <v>1</v>
      </c>
      <c r="G500" t="str">
        <f t="shared" si="43"/>
        <v>1F3EE</v>
      </c>
      <c r="I500">
        <f>HEX2DEC(Table1[[#This Row],[utf8]])</f>
        <v>127982</v>
      </c>
      <c r="J500" t="str">
        <f>_xlfn.UNICHAR(HEX2DEC(Table1[[#This Row],[utf8]]))</f>
        <v>🏮</v>
      </c>
      <c r="K500" s="3" t="str" cm="1">
        <f t="array" ref="K500">"Case "&amp;wRandomLetter()&amp;wRandomLetter()&amp;I500&amp;":    UniConst = ChrW(" &amp; I500 &amp;")"</f>
        <v>Case Tm127982:    UniConst = ChrW(127982)</v>
      </c>
    </row>
    <row r="501" spans="1:11" hidden="1">
      <c r="A501" t="s">
        <v>3475</v>
      </c>
      <c r="B501" t="str">
        <f t="shared" si="44"/>
        <v>1F3EF ; fully-qualified # 🏯 E0.6 Japanese castle</v>
      </c>
      <c r="C501" t="str">
        <f t="shared" si="45"/>
        <v xml:space="preserve">1F3EF </v>
      </c>
      <c r="D501">
        <f t="shared" si="46"/>
        <v>6</v>
      </c>
      <c r="E501" t="str">
        <f t="shared" si="42"/>
        <v xml:space="preserve"> 🏯 E0.6 Japanese castle</v>
      </c>
      <c r="F501" t="b">
        <f t="shared" si="47"/>
        <v>1</v>
      </c>
      <c r="G501" t="str">
        <f t="shared" si="43"/>
        <v>1F3EF</v>
      </c>
      <c r="I501">
        <f>HEX2DEC(Table1[[#This Row],[utf8]])</f>
        <v>127983</v>
      </c>
      <c r="J501" t="str">
        <f>_xlfn.UNICHAR(HEX2DEC(Table1[[#This Row],[utf8]]))</f>
        <v>🏯</v>
      </c>
      <c r="K501" s="3" t="str" cm="1">
        <f t="array" ref="K501">"Case "&amp;wRandomLetter()&amp;wRandomLetter()&amp;I501&amp;":    UniConst = ChrW(" &amp; I501 &amp;")"</f>
        <v>Case GD127983:    UniConst = ChrW(127983)</v>
      </c>
    </row>
    <row r="502" spans="1:11" hidden="1">
      <c r="A502" t="s">
        <v>3476</v>
      </c>
      <c r="B502" t="str">
        <f t="shared" si="44"/>
        <v>1F3F0 ; fully-qualified # 🏰 E0.6 castle</v>
      </c>
      <c r="C502" t="str">
        <f t="shared" si="45"/>
        <v xml:space="preserve">1F3F0 </v>
      </c>
      <c r="D502">
        <f t="shared" si="46"/>
        <v>6</v>
      </c>
      <c r="E502" t="str">
        <f t="shared" si="42"/>
        <v xml:space="preserve"> 🏰 E0.6 castle</v>
      </c>
      <c r="F502" t="b">
        <f t="shared" si="47"/>
        <v>1</v>
      </c>
      <c r="G502" t="str">
        <f t="shared" si="43"/>
        <v>1F3F0</v>
      </c>
      <c r="I502">
        <f>HEX2DEC(Table1[[#This Row],[utf8]])</f>
        <v>127984</v>
      </c>
      <c r="J502" t="str">
        <f>_xlfn.UNICHAR(HEX2DEC(Table1[[#This Row],[utf8]]))</f>
        <v>🏰</v>
      </c>
      <c r="K502" s="3" t="str" cm="1">
        <f t="array" ref="K502">"Case "&amp;wRandomLetter()&amp;wRandomLetter()&amp;I502&amp;":    UniConst = ChrW(" &amp; I502 &amp;")"</f>
        <v>Case FO127984:    UniConst = ChrW(127984)</v>
      </c>
    </row>
    <row r="503" spans="1:11" hidden="1">
      <c r="A503" t="s">
        <v>3254</v>
      </c>
      <c r="B503" t="str">
        <f t="shared" si="44"/>
        <v>1F3F5 ; unqualified # 🏵 E0.7 rosette</v>
      </c>
      <c r="C503" t="str">
        <f t="shared" si="45"/>
        <v xml:space="preserve">1F3F5 </v>
      </c>
      <c r="D503">
        <f t="shared" si="46"/>
        <v>6</v>
      </c>
      <c r="E503" t="str">
        <f t="shared" si="42"/>
        <v xml:space="preserve"> 🏵 E0.7 rosette</v>
      </c>
      <c r="F503" t="b">
        <f t="shared" si="47"/>
        <v>1</v>
      </c>
      <c r="G503" t="str">
        <f t="shared" si="43"/>
        <v>1F3F5</v>
      </c>
      <c r="I503">
        <f>HEX2DEC(Table1[[#This Row],[utf8]])</f>
        <v>127989</v>
      </c>
      <c r="J503" t="str">
        <f>_xlfn.UNICHAR(HEX2DEC(Table1[[#This Row],[utf8]]))</f>
        <v>🏵</v>
      </c>
      <c r="K503" s="3" t="str" cm="1">
        <f t="array" ref="K503">"Case "&amp;wRandomLetter()&amp;wRandomLetter()&amp;I503&amp;":    UniConst = ChrW(" &amp; I503 &amp;")"</f>
        <v>Case Re127989:    UniConst = ChrW(127989)</v>
      </c>
    </row>
    <row r="504" spans="1:11" hidden="1">
      <c r="A504" t="s">
        <v>3253</v>
      </c>
      <c r="B504" t="str">
        <f t="shared" si="44"/>
        <v>1F3F5 FE0F ; fully-qualified # 🏵️ E0.7 rosette</v>
      </c>
      <c r="C504" t="str">
        <f t="shared" si="45"/>
        <v xml:space="preserve">1F3F5 FE0F </v>
      </c>
      <c r="D504">
        <f t="shared" si="46"/>
        <v>11</v>
      </c>
      <c r="E504" t="str">
        <f t="shared" si="42"/>
        <v xml:space="preserve"> 🏵️ E0.7 rosette</v>
      </c>
      <c r="F504" t="b">
        <f t="shared" si="47"/>
        <v>1</v>
      </c>
      <c r="G504" t="str">
        <f t="shared" si="43"/>
        <v>1F3F5</v>
      </c>
      <c r="I504">
        <f>HEX2DEC(Table1[[#This Row],[utf8]])</f>
        <v>127989</v>
      </c>
      <c r="J504" t="str">
        <f>_xlfn.UNICHAR(HEX2DEC(Table1[[#This Row],[utf8]]))</f>
        <v>🏵</v>
      </c>
      <c r="K504" s="3" t="str" cm="1">
        <f t="array" ref="K504">"Case "&amp;wRandomLetter()&amp;wRandomLetter()&amp;I504&amp;":    UniConst = ChrW(" &amp; I504 &amp;")"</f>
        <v>Case jc127989:    UniConst = ChrW(127989)</v>
      </c>
    </row>
    <row r="505" spans="1:11" hidden="1">
      <c r="A505" t="s">
        <v>3950</v>
      </c>
      <c r="B505" t="str">
        <f t="shared" si="44"/>
        <v>1F3F7 ; unqualified # 🏷 E0.7 label</v>
      </c>
      <c r="C505" t="str">
        <f t="shared" si="45"/>
        <v xml:space="preserve">1F3F7 </v>
      </c>
      <c r="D505">
        <f t="shared" si="46"/>
        <v>6</v>
      </c>
      <c r="E505" t="str">
        <f t="shared" si="42"/>
        <v xml:space="preserve"> 🏷 E0.7 label</v>
      </c>
      <c r="F505" t="b">
        <f t="shared" si="47"/>
        <v>1</v>
      </c>
      <c r="G505" t="str">
        <f t="shared" si="43"/>
        <v>1F3F7</v>
      </c>
      <c r="I505">
        <f>HEX2DEC(Table1[[#This Row],[utf8]])</f>
        <v>127991</v>
      </c>
      <c r="J505" t="str">
        <f>_xlfn.UNICHAR(HEX2DEC(Table1[[#This Row],[utf8]]))</f>
        <v>🏷</v>
      </c>
      <c r="K505" s="3" t="str" cm="1">
        <f t="array" ref="K505">"Case "&amp;wRandomLetter()&amp;wRandomLetter()&amp;I505&amp;":    UniConst = ChrW(" &amp; I505 &amp;")"</f>
        <v>Case HB127991:    UniConst = ChrW(127991)</v>
      </c>
    </row>
    <row r="506" spans="1:11" hidden="1">
      <c r="A506" t="s">
        <v>3949</v>
      </c>
      <c r="B506" t="str">
        <f t="shared" si="44"/>
        <v>1F3F7 FE0F ; fully-qualified # 🏷️ E0.7 label</v>
      </c>
      <c r="C506" t="str">
        <f t="shared" si="45"/>
        <v xml:space="preserve">1F3F7 FE0F </v>
      </c>
      <c r="D506">
        <f t="shared" si="46"/>
        <v>11</v>
      </c>
      <c r="E506" t="str">
        <f t="shared" si="42"/>
        <v xml:space="preserve"> 🏷️ E0.7 label</v>
      </c>
      <c r="F506" t="b">
        <f t="shared" si="47"/>
        <v>1</v>
      </c>
      <c r="G506" t="str">
        <f t="shared" si="43"/>
        <v>1F3F7</v>
      </c>
      <c r="I506">
        <f>HEX2DEC(Table1[[#This Row],[utf8]])</f>
        <v>127991</v>
      </c>
      <c r="J506" t="str">
        <f>_xlfn.UNICHAR(HEX2DEC(Table1[[#This Row],[utf8]]))</f>
        <v>🏷</v>
      </c>
      <c r="K506" s="3" t="str" cm="1">
        <f t="array" ref="K506">"Case "&amp;wRandomLetter()&amp;wRandomLetter()&amp;I506&amp;":    UniConst = ChrW(" &amp; I506 &amp;")"</f>
        <v>Case bp127991:    UniConst = ChrW(127991)</v>
      </c>
    </row>
    <row r="507" spans="1:11" hidden="1">
      <c r="A507" t="s">
        <v>3747</v>
      </c>
      <c r="B507" t="str">
        <f t="shared" si="44"/>
        <v>1F3F8 ; fully-qualified # 🏸 E1.0 badminton</v>
      </c>
      <c r="C507" t="str">
        <f t="shared" si="45"/>
        <v xml:space="preserve">1F3F8 </v>
      </c>
      <c r="D507">
        <f t="shared" si="46"/>
        <v>6</v>
      </c>
      <c r="E507" t="str">
        <f t="shared" si="42"/>
        <v xml:space="preserve"> 🏸 E1.0 badminton</v>
      </c>
      <c r="F507" t="b">
        <f t="shared" si="47"/>
        <v>1</v>
      </c>
      <c r="G507" t="str">
        <f t="shared" si="43"/>
        <v>1F3F8</v>
      </c>
      <c r="I507">
        <f>HEX2DEC(Table1[[#This Row],[utf8]])</f>
        <v>127992</v>
      </c>
      <c r="J507" t="str">
        <f>_xlfn.UNICHAR(HEX2DEC(Table1[[#This Row],[utf8]]))</f>
        <v>🏸</v>
      </c>
      <c r="K507" s="3" t="str" cm="1">
        <f t="array" ref="K507">"Case "&amp;wRandomLetter()&amp;wRandomLetter()&amp;I507&amp;":    UniConst = ChrW(" &amp; I507 &amp;")"</f>
        <v>Case Ip127992:    UniConst = ChrW(127992)</v>
      </c>
    </row>
    <row r="508" spans="1:11" hidden="1">
      <c r="A508" t="s">
        <v>4047</v>
      </c>
      <c r="B508" t="str">
        <f t="shared" si="44"/>
        <v>1F3F9 ; fully-qualified # 🏹 E1.0 bow and arrow</v>
      </c>
      <c r="C508" t="str">
        <f t="shared" si="45"/>
        <v xml:space="preserve">1F3F9 </v>
      </c>
      <c r="D508">
        <f t="shared" si="46"/>
        <v>6</v>
      </c>
      <c r="E508" t="str">
        <f t="shared" si="42"/>
        <v xml:space="preserve"> 🏹 E1.0 bow and arrow</v>
      </c>
      <c r="F508" t="b">
        <f t="shared" si="47"/>
        <v>1</v>
      </c>
      <c r="G508" t="str">
        <f t="shared" si="43"/>
        <v>1F3F9</v>
      </c>
      <c r="I508">
        <f>HEX2DEC(Table1[[#This Row],[utf8]])</f>
        <v>127993</v>
      </c>
      <c r="J508" t="str">
        <f>_xlfn.UNICHAR(HEX2DEC(Table1[[#This Row],[utf8]]))</f>
        <v>🏹</v>
      </c>
      <c r="K508" s="3" t="str" cm="1">
        <f t="array" ref="K508">"Case "&amp;wRandomLetter()&amp;wRandomLetter()&amp;I508&amp;":    UniConst = ChrW(" &amp; I508 &amp;")"</f>
        <v>Case dw127993:    UniConst = ChrW(127993)</v>
      </c>
    </row>
    <row r="509" spans="1:11" hidden="1">
      <c r="A509" t="s">
        <v>3417</v>
      </c>
      <c r="B509" t="str">
        <f t="shared" si="44"/>
        <v>1F3FA ; fully-qualified # 🏺 E1.0 amphora</v>
      </c>
      <c r="C509" t="str">
        <f t="shared" si="45"/>
        <v xml:space="preserve">1F3FA </v>
      </c>
      <c r="D509">
        <f t="shared" si="46"/>
        <v>6</v>
      </c>
      <c r="E509" t="str">
        <f t="shared" si="42"/>
        <v xml:space="preserve"> 🏺 E1.0 amphora</v>
      </c>
      <c r="F509" t="b">
        <f t="shared" si="47"/>
        <v>1</v>
      </c>
      <c r="G509" t="str">
        <f t="shared" si="43"/>
        <v>1F3FA</v>
      </c>
      <c r="I509">
        <f>HEX2DEC(Table1[[#This Row],[utf8]])</f>
        <v>127994</v>
      </c>
      <c r="J509" t="str">
        <f>_xlfn.UNICHAR(HEX2DEC(Table1[[#This Row],[utf8]]))</f>
        <v>🏺</v>
      </c>
      <c r="K509" s="3" t="str" cm="1">
        <f t="array" ref="K509">"Case "&amp;wRandomLetter()&amp;wRandomLetter()&amp;I509&amp;":    UniConst = ChrW(" &amp; I509 &amp;")"</f>
        <v>Case Pm127994:    UniConst = ChrW(127994)</v>
      </c>
    </row>
    <row r="510" spans="1:11" hidden="1">
      <c r="A510" t="s">
        <v>3108</v>
      </c>
      <c r="B510" t="str">
        <f t="shared" si="44"/>
        <v>1F3FB ; component # 🏻 E1.0 light skin tone</v>
      </c>
      <c r="C510" t="str">
        <f t="shared" si="45"/>
        <v xml:space="preserve">1F3FB </v>
      </c>
      <c r="D510">
        <f t="shared" si="46"/>
        <v>6</v>
      </c>
      <c r="E510" t="str">
        <f t="shared" si="42"/>
        <v xml:space="preserve"> 🏻 E1.0 light skin tone</v>
      </c>
      <c r="F510" t="b">
        <f t="shared" si="47"/>
        <v>1</v>
      </c>
      <c r="G510" t="str">
        <f t="shared" si="43"/>
        <v>1F3FB</v>
      </c>
      <c r="I510">
        <f>HEX2DEC(Table1[[#This Row],[utf8]])</f>
        <v>127995</v>
      </c>
      <c r="J510" t="str">
        <f>_xlfn.UNICHAR(HEX2DEC(Table1[[#This Row],[utf8]]))</f>
        <v>🏻</v>
      </c>
      <c r="K510" s="3" t="str" cm="1">
        <f t="array" ref="K510">"Case "&amp;wRandomLetter()&amp;wRandomLetter()&amp;I510&amp;":    UniConst = ChrW(" &amp; I510 &amp;")"</f>
        <v>Case XT127995:    UniConst = ChrW(127995)</v>
      </c>
    </row>
    <row r="511" spans="1:11" hidden="1">
      <c r="A511" t="s">
        <v>3109</v>
      </c>
      <c r="B511" t="str">
        <f t="shared" si="44"/>
        <v>1F3FC ; component # 🏼 E1.0 medium-light skin tone</v>
      </c>
      <c r="C511" t="str">
        <f t="shared" si="45"/>
        <v xml:space="preserve">1F3FC </v>
      </c>
      <c r="D511">
        <f t="shared" si="46"/>
        <v>6</v>
      </c>
      <c r="E511" t="str">
        <f t="shared" si="42"/>
        <v xml:space="preserve"> 🏼 E1.0 medium-light skin tone</v>
      </c>
      <c r="F511" t="b">
        <f t="shared" si="47"/>
        <v>1</v>
      </c>
      <c r="G511" t="str">
        <f t="shared" si="43"/>
        <v>1F3FC</v>
      </c>
      <c r="I511">
        <f>HEX2DEC(Table1[[#This Row],[utf8]])</f>
        <v>127996</v>
      </c>
      <c r="J511" t="str">
        <f>_xlfn.UNICHAR(HEX2DEC(Table1[[#This Row],[utf8]]))</f>
        <v>🏼</v>
      </c>
      <c r="K511" s="3" t="str" cm="1">
        <f t="array" ref="K511">"Case "&amp;wRandomLetter()&amp;wRandomLetter()&amp;I511&amp;":    UniConst = ChrW(" &amp; I511 &amp;")"</f>
        <v>Case Bi127996:    UniConst = ChrW(127996)</v>
      </c>
    </row>
    <row r="512" spans="1:11" hidden="1">
      <c r="A512" t="s">
        <v>3110</v>
      </c>
      <c r="B512" t="str">
        <f t="shared" si="44"/>
        <v>1F3FD ; component # 🏽 E1.0 medium skin tone</v>
      </c>
      <c r="C512" t="str">
        <f t="shared" si="45"/>
        <v xml:space="preserve">1F3FD </v>
      </c>
      <c r="D512">
        <f t="shared" si="46"/>
        <v>6</v>
      </c>
      <c r="E512" t="str">
        <f t="shared" si="42"/>
        <v xml:space="preserve"> 🏽 E1.0 medium skin tone</v>
      </c>
      <c r="F512" t="b">
        <f t="shared" si="47"/>
        <v>1</v>
      </c>
      <c r="G512" t="str">
        <f t="shared" si="43"/>
        <v>1F3FD</v>
      </c>
      <c r="I512">
        <f>HEX2DEC(Table1[[#This Row],[utf8]])</f>
        <v>127997</v>
      </c>
      <c r="J512" t="str">
        <f>_xlfn.UNICHAR(HEX2DEC(Table1[[#This Row],[utf8]]))</f>
        <v>🏽</v>
      </c>
      <c r="K512" s="3" t="str" cm="1">
        <f t="array" ref="K512">"Case "&amp;wRandomLetter()&amp;wRandomLetter()&amp;I512&amp;":    UniConst = ChrW(" &amp; I512 &amp;")"</f>
        <v>Case aE127997:    UniConst = ChrW(127997)</v>
      </c>
    </row>
    <row r="513" spans="1:11" hidden="1">
      <c r="A513" t="s">
        <v>3111</v>
      </c>
      <c r="B513" t="str">
        <f t="shared" si="44"/>
        <v>1F3FE ; component # 🏾 E1.0 medium-dark skin tone</v>
      </c>
      <c r="C513" t="str">
        <f t="shared" si="45"/>
        <v xml:space="preserve">1F3FE </v>
      </c>
      <c r="D513">
        <f t="shared" si="46"/>
        <v>6</v>
      </c>
      <c r="E513" t="str">
        <f t="shared" si="42"/>
        <v xml:space="preserve"> 🏾 E1.0 medium-dark skin tone</v>
      </c>
      <c r="F513" t="b">
        <f t="shared" si="47"/>
        <v>1</v>
      </c>
      <c r="G513" t="str">
        <f t="shared" si="43"/>
        <v>1F3FE</v>
      </c>
      <c r="I513">
        <f>HEX2DEC(Table1[[#This Row],[utf8]])</f>
        <v>127998</v>
      </c>
      <c r="J513" t="str">
        <f>_xlfn.UNICHAR(HEX2DEC(Table1[[#This Row],[utf8]]))</f>
        <v>🏾</v>
      </c>
      <c r="K513" s="3" t="str" cm="1">
        <f t="array" ref="K513">"Case "&amp;wRandomLetter()&amp;wRandomLetter()&amp;I513&amp;":    UniConst = ChrW(" &amp; I513 &amp;")"</f>
        <v>Case zb127998:    UniConst = ChrW(127998)</v>
      </c>
    </row>
    <row r="514" spans="1:11" hidden="1">
      <c r="A514" t="s">
        <v>3112</v>
      </c>
      <c r="B514" t="str">
        <f t="shared" si="44"/>
        <v>1F3FF ; component # 🏿 E1.0 dark skin tone</v>
      </c>
      <c r="C514" t="str">
        <f t="shared" si="45"/>
        <v xml:space="preserve">1F3FF </v>
      </c>
      <c r="D514">
        <f t="shared" si="46"/>
        <v>6</v>
      </c>
      <c r="E514" t="str">
        <f t="shared" ref="E514:E577" si="48">MID(A514,FIND("#",A514)+1,256)</f>
        <v xml:space="preserve"> 🏿 E1.0 dark skin tone</v>
      </c>
      <c r="F514" t="b">
        <f t="shared" si="47"/>
        <v>1</v>
      </c>
      <c r="G514" t="str">
        <f t="shared" ref="G514:G577" si="49">LEFT(C514,(FIND(" ",C514,1)-1))</f>
        <v>1F3FF</v>
      </c>
      <c r="I514">
        <f>HEX2DEC(Table1[[#This Row],[utf8]])</f>
        <v>127999</v>
      </c>
      <c r="J514" t="str">
        <f>_xlfn.UNICHAR(HEX2DEC(Table1[[#This Row],[utf8]]))</f>
        <v>🏿</v>
      </c>
      <c r="K514" s="3" t="str" cm="1">
        <f t="array" ref="K514">"Case "&amp;wRandomLetter()&amp;wRandomLetter()&amp;I514&amp;":    UniConst = ChrW(" &amp; I514 &amp;")"</f>
        <v>Case oW127999:    UniConst = ChrW(127999)</v>
      </c>
    </row>
    <row r="515" spans="1:11" hidden="1">
      <c r="A515" t="s">
        <v>3168</v>
      </c>
      <c r="B515" t="str">
        <f t="shared" ref="B515:B578" si="50">TRIM(A515)</f>
        <v>1F400 ; fully-qualified # 🐀 E1.0 rat</v>
      </c>
      <c r="C515" t="str">
        <f t="shared" ref="C515:C578" si="51">LEFT(B515,(FIND(";",B515,1)-1))</f>
        <v xml:space="preserve">1F400 </v>
      </c>
      <c r="D515">
        <f t="shared" ref="D515:D578" si="52">LEN(C515)</f>
        <v>6</v>
      </c>
      <c r="E515" t="str">
        <f t="shared" si="48"/>
        <v xml:space="preserve"> 🐀 E1.0 rat</v>
      </c>
      <c r="F515" t="b">
        <f t="shared" ref="F515:F578" si="53">IF(LEFT(C515,2)="1F",TRUE,FALSE)</f>
        <v>1</v>
      </c>
      <c r="G515" t="str">
        <f t="shared" si="49"/>
        <v>1F400</v>
      </c>
      <c r="I515">
        <f>HEX2DEC(Table1[[#This Row],[utf8]])</f>
        <v>128000</v>
      </c>
      <c r="J515" t="str">
        <f>_xlfn.UNICHAR(HEX2DEC(Table1[[#This Row],[utf8]]))</f>
        <v>🐀</v>
      </c>
      <c r="K515" s="3" t="str" cm="1">
        <f t="array" ref="K515">"Case "&amp;wRandomLetter()&amp;wRandomLetter()&amp;I515&amp;":    UniConst = ChrW(" &amp; I515 &amp;")"</f>
        <v>Case Oo128000:    UniConst = ChrW(128000)</v>
      </c>
    </row>
    <row r="516" spans="1:11" hidden="1">
      <c r="A516" t="s">
        <v>3167</v>
      </c>
      <c r="B516" t="str">
        <f t="shared" si="50"/>
        <v>1F401 ; fully-qualified # 🐁 E1.0 mouse</v>
      </c>
      <c r="C516" t="str">
        <f t="shared" si="51"/>
        <v xml:space="preserve">1F401 </v>
      </c>
      <c r="D516">
        <f t="shared" si="52"/>
        <v>6</v>
      </c>
      <c r="E516" t="str">
        <f t="shared" si="48"/>
        <v xml:space="preserve"> 🐁 E1.0 mouse</v>
      </c>
      <c r="F516" t="b">
        <f t="shared" si="53"/>
        <v>1</v>
      </c>
      <c r="G516" t="str">
        <f t="shared" si="49"/>
        <v>1F401</v>
      </c>
      <c r="I516">
        <f>HEX2DEC(Table1[[#This Row],[utf8]])</f>
        <v>128001</v>
      </c>
      <c r="J516" t="str">
        <f>_xlfn.UNICHAR(HEX2DEC(Table1[[#This Row],[utf8]]))</f>
        <v>🐁</v>
      </c>
      <c r="K516" s="3" t="str" cm="1">
        <f t="array" ref="K516">"Case "&amp;wRandomLetter()&amp;wRandomLetter()&amp;I516&amp;":    UniConst = ChrW(" &amp; I516 &amp;")"</f>
        <v>Case Gj128001:    UniConst = ChrW(128001)</v>
      </c>
    </row>
    <row r="517" spans="1:11" hidden="1">
      <c r="A517" t="s">
        <v>3148</v>
      </c>
      <c r="B517" t="str">
        <f t="shared" si="50"/>
        <v>1F402 ; fully-qualified # 🐂 E1.0 ox</v>
      </c>
      <c r="C517" t="str">
        <f t="shared" si="51"/>
        <v xml:space="preserve">1F402 </v>
      </c>
      <c r="D517">
        <f t="shared" si="52"/>
        <v>6</v>
      </c>
      <c r="E517" t="str">
        <f t="shared" si="48"/>
        <v xml:space="preserve"> 🐂 E1.0 ox</v>
      </c>
      <c r="F517" t="b">
        <f t="shared" si="53"/>
        <v>1</v>
      </c>
      <c r="G517" t="str">
        <f t="shared" si="49"/>
        <v>1F402</v>
      </c>
      <c r="I517">
        <f>HEX2DEC(Table1[[#This Row],[utf8]])</f>
        <v>128002</v>
      </c>
      <c r="J517" t="str">
        <f>_xlfn.UNICHAR(HEX2DEC(Table1[[#This Row],[utf8]]))</f>
        <v>🐂</v>
      </c>
      <c r="K517" s="3" t="str" cm="1">
        <f t="array" ref="K517">"Case "&amp;wRandomLetter()&amp;wRandomLetter()&amp;I517&amp;":    UniConst = ChrW(" &amp; I517 &amp;")"</f>
        <v>Case cl128002:    UniConst = ChrW(128002)</v>
      </c>
    </row>
    <row r="518" spans="1:11" hidden="1">
      <c r="A518" t="s">
        <v>3149</v>
      </c>
      <c r="B518" t="str">
        <f t="shared" si="50"/>
        <v>1F403 ; fully-qualified # 🐃 E1.0 water buffalo</v>
      </c>
      <c r="C518" t="str">
        <f t="shared" si="51"/>
        <v xml:space="preserve">1F403 </v>
      </c>
      <c r="D518">
        <f t="shared" si="52"/>
        <v>6</v>
      </c>
      <c r="E518" t="str">
        <f t="shared" si="48"/>
        <v xml:space="preserve"> 🐃 E1.0 water buffalo</v>
      </c>
      <c r="F518" t="b">
        <f t="shared" si="53"/>
        <v>1</v>
      </c>
      <c r="G518" t="str">
        <f t="shared" si="49"/>
        <v>1F403</v>
      </c>
      <c r="I518">
        <f>HEX2DEC(Table1[[#This Row],[utf8]])</f>
        <v>128003</v>
      </c>
      <c r="J518" t="str">
        <f>_xlfn.UNICHAR(HEX2DEC(Table1[[#This Row],[utf8]]))</f>
        <v>🐃</v>
      </c>
      <c r="K518" s="3" t="str" cm="1">
        <f t="array" ref="K518">"Case "&amp;wRandomLetter()&amp;wRandomLetter()&amp;I518&amp;":    UniConst = ChrW(" &amp; I518 &amp;")"</f>
        <v>Case lA128003:    UniConst = ChrW(128003)</v>
      </c>
    </row>
    <row r="519" spans="1:11" hidden="1">
      <c r="A519" t="s">
        <v>3150</v>
      </c>
      <c r="B519" t="str">
        <f t="shared" si="50"/>
        <v>1F404 ; fully-qualified # 🐄 E1.0 cow</v>
      </c>
      <c r="C519" t="str">
        <f t="shared" si="51"/>
        <v xml:space="preserve">1F404 </v>
      </c>
      <c r="D519">
        <f t="shared" si="52"/>
        <v>6</v>
      </c>
      <c r="E519" t="str">
        <f t="shared" si="48"/>
        <v xml:space="preserve"> 🐄 E1.0 cow</v>
      </c>
      <c r="F519" t="b">
        <f t="shared" si="53"/>
        <v>1</v>
      </c>
      <c r="G519" t="str">
        <f t="shared" si="49"/>
        <v>1F404</v>
      </c>
      <c r="I519">
        <f>HEX2DEC(Table1[[#This Row],[utf8]])</f>
        <v>128004</v>
      </c>
      <c r="J519" t="str">
        <f>_xlfn.UNICHAR(HEX2DEC(Table1[[#This Row],[utf8]]))</f>
        <v>🐄</v>
      </c>
      <c r="K519" s="3" t="str" cm="1">
        <f t="array" ref="K519">"Case "&amp;wRandomLetter()&amp;wRandomLetter()&amp;I519&amp;":    UniConst = ChrW(" &amp; I519 &amp;")"</f>
        <v>Case zp128004:    UniConst = ChrW(128004)</v>
      </c>
    </row>
    <row r="520" spans="1:11" hidden="1">
      <c r="A520" t="s">
        <v>3139</v>
      </c>
      <c r="B520" t="str">
        <f t="shared" si="50"/>
        <v>1F405 ; fully-qualified # 🐅 E1.0 tiger</v>
      </c>
      <c r="C520" t="str">
        <f t="shared" si="51"/>
        <v xml:space="preserve">1F405 </v>
      </c>
      <c r="D520">
        <f t="shared" si="52"/>
        <v>6</v>
      </c>
      <c r="E520" t="str">
        <f t="shared" si="48"/>
        <v xml:space="preserve"> 🐅 E1.0 tiger</v>
      </c>
      <c r="F520" t="b">
        <f t="shared" si="53"/>
        <v>1</v>
      </c>
      <c r="G520" t="str">
        <f t="shared" si="49"/>
        <v>1F405</v>
      </c>
      <c r="I520">
        <f>HEX2DEC(Table1[[#This Row],[utf8]])</f>
        <v>128005</v>
      </c>
      <c r="J520" t="str">
        <f>_xlfn.UNICHAR(HEX2DEC(Table1[[#This Row],[utf8]]))</f>
        <v>🐅</v>
      </c>
      <c r="K520" s="3" t="str" cm="1">
        <f t="array" ref="K520">"Case "&amp;wRandomLetter()&amp;wRandomLetter()&amp;I520&amp;":    UniConst = ChrW(" &amp; I520 &amp;")"</f>
        <v>Case Fi128005:    UniConst = ChrW(128005)</v>
      </c>
    </row>
    <row r="521" spans="1:11" hidden="1">
      <c r="A521" t="s">
        <v>3140</v>
      </c>
      <c r="B521" t="str">
        <f t="shared" si="50"/>
        <v>1F406 ; fully-qualified # 🐆 E1.0 leopard</v>
      </c>
      <c r="C521" t="str">
        <f t="shared" si="51"/>
        <v xml:space="preserve">1F406 </v>
      </c>
      <c r="D521">
        <f t="shared" si="52"/>
        <v>6</v>
      </c>
      <c r="E521" t="str">
        <f t="shared" si="48"/>
        <v xml:space="preserve"> 🐆 E1.0 leopard</v>
      </c>
      <c r="F521" t="b">
        <f t="shared" si="53"/>
        <v>1</v>
      </c>
      <c r="G521" t="str">
        <f t="shared" si="49"/>
        <v>1F406</v>
      </c>
      <c r="I521">
        <f>HEX2DEC(Table1[[#This Row],[utf8]])</f>
        <v>128006</v>
      </c>
      <c r="J521" t="str">
        <f>_xlfn.UNICHAR(HEX2DEC(Table1[[#This Row],[utf8]]))</f>
        <v>🐆</v>
      </c>
      <c r="K521" s="3" t="str" cm="1">
        <f t="array" ref="K521">"Case "&amp;wRandomLetter()&amp;wRandomLetter()&amp;I521&amp;":    UniConst = ChrW(" &amp; I521 &amp;")"</f>
        <v>Case Vu128006:    UniConst = ChrW(128006)</v>
      </c>
    </row>
    <row r="522" spans="1:11" hidden="1">
      <c r="A522" t="s">
        <v>3171</v>
      </c>
      <c r="B522" t="str">
        <f t="shared" si="50"/>
        <v>1F407 ; fully-qualified # 🐇 E1.0 rabbit</v>
      </c>
      <c r="C522" t="str">
        <f t="shared" si="51"/>
        <v xml:space="preserve">1F407 </v>
      </c>
      <c r="D522">
        <f t="shared" si="52"/>
        <v>6</v>
      </c>
      <c r="E522" t="str">
        <f t="shared" si="48"/>
        <v xml:space="preserve"> 🐇 E1.0 rabbit</v>
      </c>
      <c r="F522" t="b">
        <f t="shared" si="53"/>
        <v>1</v>
      </c>
      <c r="G522" t="str">
        <f t="shared" si="49"/>
        <v>1F407</v>
      </c>
      <c r="I522">
        <f>HEX2DEC(Table1[[#This Row],[utf8]])</f>
        <v>128007</v>
      </c>
      <c r="J522" t="str">
        <f>_xlfn.UNICHAR(HEX2DEC(Table1[[#This Row],[utf8]]))</f>
        <v>🐇</v>
      </c>
      <c r="K522" s="3" t="str" cm="1">
        <f t="array" ref="K522">"Case "&amp;wRandomLetter()&amp;wRandomLetter()&amp;I522&amp;":    UniConst = ChrW(" &amp; I522 &amp;")"</f>
        <v>Case jt128007:    UniConst = ChrW(128007)</v>
      </c>
    </row>
    <row r="523" spans="1:11" hidden="1">
      <c r="A523" t="s">
        <v>3135</v>
      </c>
      <c r="B523" t="str">
        <f t="shared" si="50"/>
        <v>1F408 ; fully-qualified # 🐈 E0.7 cat</v>
      </c>
      <c r="C523" t="str">
        <f t="shared" si="51"/>
        <v xml:space="preserve">1F408 </v>
      </c>
      <c r="D523">
        <f t="shared" si="52"/>
        <v>6</v>
      </c>
      <c r="E523" t="str">
        <f t="shared" si="48"/>
        <v xml:space="preserve"> 🐈 E0.7 cat</v>
      </c>
      <c r="F523" t="b">
        <f t="shared" si="53"/>
        <v>1</v>
      </c>
      <c r="G523" t="str">
        <f t="shared" si="49"/>
        <v>1F408</v>
      </c>
      <c r="I523">
        <f>HEX2DEC(Table1[[#This Row],[utf8]])</f>
        <v>128008</v>
      </c>
      <c r="J523" t="str">
        <f>_xlfn.UNICHAR(HEX2DEC(Table1[[#This Row],[utf8]]))</f>
        <v>🐈</v>
      </c>
      <c r="K523" s="3" t="str" cm="1">
        <f t="array" ref="K523">"Case "&amp;wRandomLetter()&amp;wRandomLetter()&amp;I523&amp;":    UniConst = ChrW(" &amp; I523 &amp;")"</f>
        <v>Case Vd128008:    UniConst = ChrW(128008)</v>
      </c>
    </row>
    <row r="524" spans="1:11" hidden="1">
      <c r="A524" t="s">
        <v>3136</v>
      </c>
      <c r="B524" t="str">
        <f t="shared" si="50"/>
        <v>1F408 200D 2B1B ; fully-qualified # 🐈‍⬛ E13.0 black cat</v>
      </c>
      <c r="C524" t="str">
        <f t="shared" si="51"/>
        <v xml:space="preserve">1F408 200D 2B1B </v>
      </c>
      <c r="D524">
        <f t="shared" si="52"/>
        <v>16</v>
      </c>
      <c r="E524" t="str">
        <f t="shared" si="48"/>
        <v xml:space="preserve"> 🐈‍⬛ E13.0 black cat</v>
      </c>
      <c r="F524" t="b">
        <f t="shared" si="53"/>
        <v>1</v>
      </c>
      <c r="G524" t="str">
        <f t="shared" si="49"/>
        <v>1F408</v>
      </c>
      <c r="I524">
        <f>HEX2DEC(Table1[[#This Row],[utf8]])</f>
        <v>128008</v>
      </c>
      <c r="J524" t="str">
        <f>_xlfn.UNICHAR(HEX2DEC(Table1[[#This Row],[utf8]]))</f>
        <v>🐈</v>
      </c>
      <c r="K524" s="3" t="str" cm="1">
        <f t="array" ref="K524">"Case "&amp;wRandomLetter()&amp;wRandomLetter()&amp;I524&amp;":    UniConst = ChrW(" &amp; I524 &amp;")"</f>
        <v>Case JS128008:    UniConst = ChrW(128008)</v>
      </c>
    </row>
    <row r="525" spans="1:11" hidden="1">
      <c r="A525" t="s">
        <v>3216</v>
      </c>
      <c r="B525" t="str">
        <f t="shared" si="50"/>
        <v>1F409 ; fully-qualified # 🐉 E1.0 dragon</v>
      </c>
      <c r="C525" t="str">
        <f t="shared" si="51"/>
        <v xml:space="preserve">1F409 </v>
      </c>
      <c r="D525">
        <f t="shared" si="52"/>
        <v>6</v>
      </c>
      <c r="E525" t="str">
        <f t="shared" si="48"/>
        <v xml:space="preserve"> 🐉 E1.0 dragon</v>
      </c>
      <c r="F525" t="b">
        <f t="shared" si="53"/>
        <v>1</v>
      </c>
      <c r="G525" t="str">
        <f t="shared" si="49"/>
        <v>1F409</v>
      </c>
      <c r="I525">
        <f>HEX2DEC(Table1[[#This Row],[utf8]])</f>
        <v>128009</v>
      </c>
      <c r="J525" t="str">
        <f>_xlfn.UNICHAR(HEX2DEC(Table1[[#This Row],[utf8]]))</f>
        <v>🐉</v>
      </c>
      <c r="K525" s="3" t="str" cm="1">
        <f t="array" ref="K525">"Case "&amp;wRandomLetter()&amp;wRandomLetter()&amp;I525&amp;":    UniConst = ChrW(" &amp; I525 &amp;")"</f>
        <v>Case zb128009:    UniConst = ChrW(128009)</v>
      </c>
    </row>
    <row r="526" spans="1:11" hidden="1">
      <c r="A526" t="s">
        <v>3211</v>
      </c>
      <c r="B526" t="str">
        <f t="shared" si="50"/>
        <v>1F40A ; fully-qualified # 🐊 E1.0 crocodile</v>
      </c>
      <c r="C526" t="str">
        <f t="shared" si="51"/>
        <v xml:space="preserve">1F40A </v>
      </c>
      <c r="D526">
        <f t="shared" si="52"/>
        <v>6</v>
      </c>
      <c r="E526" t="str">
        <f t="shared" si="48"/>
        <v xml:space="preserve"> 🐊 E1.0 crocodile</v>
      </c>
      <c r="F526" t="b">
        <f t="shared" si="53"/>
        <v>1</v>
      </c>
      <c r="G526" t="str">
        <f t="shared" si="49"/>
        <v>1F40A</v>
      </c>
      <c r="I526">
        <f>HEX2DEC(Table1[[#This Row],[utf8]])</f>
        <v>128010</v>
      </c>
      <c r="J526" t="str">
        <f>_xlfn.UNICHAR(HEX2DEC(Table1[[#This Row],[utf8]]))</f>
        <v>🐊</v>
      </c>
      <c r="K526" s="3" t="str" cm="1">
        <f t="array" ref="K526">"Case "&amp;wRandomLetter()&amp;wRandomLetter()&amp;I526&amp;":    UniConst = ChrW(" &amp; I526 &amp;")"</f>
        <v>Case Rf128010:    UniConst = ChrW(128010)</v>
      </c>
    </row>
    <row r="527" spans="1:11" hidden="1">
      <c r="A527" t="s">
        <v>3221</v>
      </c>
      <c r="B527" t="str">
        <f t="shared" si="50"/>
        <v>1F40B ; fully-qualified # 🐋 E1.0 whale</v>
      </c>
      <c r="C527" t="str">
        <f t="shared" si="51"/>
        <v xml:space="preserve">1F40B </v>
      </c>
      <c r="D527">
        <f t="shared" si="52"/>
        <v>6</v>
      </c>
      <c r="E527" t="str">
        <f t="shared" si="48"/>
        <v xml:space="preserve"> 🐋 E1.0 whale</v>
      </c>
      <c r="F527" t="b">
        <f t="shared" si="53"/>
        <v>1</v>
      </c>
      <c r="G527" t="str">
        <f t="shared" si="49"/>
        <v>1F40B</v>
      </c>
      <c r="I527">
        <f>HEX2DEC(Table1[[#This Row],[utf8]])</f>
        <v>128011</v>
      </c>
      <c r="J527" t="str">
        <f>_xlfn.UNICHAR(HEX2DEC(Table1[[#This Row],[utf8]]))</f>
        <v>🐋</v>
      </c>
      <c r="K527" s="3" t="str" cm="1">
        <f t="array" ref="K527">"Case "&amp;wRandomLetter()&amp;wRandomLetter()&amp;I527&amp;":    UniConst = ChrW(" &amp; I527 &amp;")"</f>
        <v>Case Tz128011:    UniConst = ChrW(128011)</v>
      </c>
    </row>
    <row r="528" spans="1:11" hidden="1">
      <c r="A528" t="s">
        <v>3231</v>
      </c>
      <c r="B528" t="str">
        <f t="shared" si="50"/>
        <v>1F40C ; fully-qualified # 🐌 E0.6 snail</v>
      </c>
      <c r="C528" t="str">
        <f t="shared" si="51"/>
        <v xml:space="preserve">1F40C </v>
      </c>
      <c r="D528">
        <f t="shared" si="52"/>
        <v>6</v>
      </c>
      <c r="E528" t="str">
        <f t="shared" si="48"/>
        <v xml:space="preserve"> 🐌 E0.6 snail</v>
      </c>
      <c r="F528" t="b">
        <f t="shared" si="53"/>
        <v>1</v>
      </c>
      <c r="G528" t="str">
        <f t="shared" si="49"/>
        <v>1F40C</v>
      </c>
      <c r="I528">
        <f>HEX2DEC(Table1[[#This Row],[utf8]])</f>
        <v>128012</v>
      </c>
      <c r="J528" t="str">
        <f>_xlfn.UNICHAR(HEX2DEC(Table1[[#This Row],[utf8]]))</f>
        <v>🐌</v>
      </c>
      <c r="K528" s="3" t="str" cm="1">
        <f t="array" ref="K528">"Case "&amp;wRandomLetter()&amp;wRandomLetter()&amp;I528&amp;":    UniConst = ChrW(" &amp; I528 &amp;")"</f>
        <v>Case Ct128012:    UniConst = ChrW(128012)</v>
      </c>
    </row>
    <row r="529" spans="1:11" hidden="1">
      <c r="A529" t="s">
        <v>3214</v>
      </c>
      <c r="B529" t="str">
        <f t="shared" si="50"/>
        <v>1F40D ; fully-qualified # 🐍 E0.6 snake</v>
      </c>
      <c r="C529" t="str">
        <f t="shared" si="51"/>
        <v xml:space="preserve">1F40D </v>
      </c>
      <c r="D529">
        <f t="shared" si="52"/>
        <v>6</v>
      </c>
      <c r="E529" t="str">
        <f t="shared" si="48"/>
        <v xml:space="preserve"> 🐍 E0.6 snake</v>
      </c>
      <c r="F529" t="b">
        <f t="shared" si="53"/>
        <v>1</v>
      </c>
      <c r="G529" t="str">
        <f t="shared" si="49"/>
        <v>1F40D</v>
      </c>
      <c r="I529">
        <f>HEX2DEC(Table1[[#This Row],[utf8]])</f>
        <v>128013</v>
      </c>
      <c r="J529" t="str">
        <f>_xlfn.UNICHAR(HEX2DEC(Table1[[#This Row],[utf8]]))</f>
        <v>🐍</v>
      </c>
      <c r="K529" s="3" t="str" cm="1">
        <f t="array" ref="K529">"Case "&amp;wRandomLetter()&amp;wRandomLetter()&amp;I529&amp;":    UniConst = ChrW(" &amp; I529 &amp;")"</f>
        <v>Case Zx128013:    UniConst = ChrW(128013)</v>
      </c>
    </row>
    <row r="530" spans="1:11" hidden="1">
      <c r="A530" t="s">
        <v>3142</v>
      </c>
      <c r="B530" t="str">
        <f t="shared" si="50"/>
        <v>1F40E ; fully-qualified # 🐎 E0.6 horse</v>
      </c>
      <c r="C530" t="str">
        <f t="shared" si="51"/>
        <v xml:space="preserve">1F40E </v>
      </c>
      <c r="D530">
        <f t="shared" si="52"/>
        <v>6</v>
      </c>
      <c r="E530" t="str">
        <f t="shared" si="48"/>
        <v xml:space="preserve"> 🐎 E0.6 horse</v>
      </c>
      <c r="F530" t="b">
        <f t="shared" si="53"/>
        <v>1</v>
      </c>
      <c r="G530" t="str">
        <f t="shared" si="49"/>
        <v>1F40E</v>
      </c>
      <c r="I530">
        <f>HEX2DEC(Table1[[#This Row],[utf8]])</f>
        <v>128014</v>
      </c>
      <c r="J530" t="str">
        <f>_xlfn.UNICHAR(HEX2DEC(Table1[[#This Row],[utf8]]))</f>
        <v>🐎</v>
      </c>
      <c r="K530" s="3" t="str" cm="1">
        <f t="array" ref="K530">"Case "&amp;wRandomLetter()&amp;wRandomLetter()&amp;I530&amp;":    UniConst = ChrW(" &amp; I530 &amp;")"</f>
        <v>Case lb128014:    UniConst = ChrW(128014)</v>
      </c>
    </row>
    <row r="531" spans="1:11" hidden="1">
      <c r="A531" t="s">
        <v>3155</v>
      </c>
      <c r="B531" t="str">
        <f t="shared" si="50"/>
        <v>1F40F ; fully-qualified # 🐏 E1.0 ram</v>
      </c>
      <c r="C531" t="str">
        <f t="shared" si="51"/>
        <v xml:space="preserve">1F40F </v>
      </c>
      <c r="D531">
        <f t="shared" si="52"/>
        <v>6</v>
      </c>
      <c r="E531" t="str">
        <f t="shared" si="48"/>
        <v xml:space="preserve"> 🐏 E1.0 ram</v>
      </c>
      <c r="F531" t="b">
        <f t="shared" si="53"/>
        <v>1</v>
      </c>
      <c r="G531" t="str">
        <f t="shared" si="49"/>
        <v>1F40F</v>
      </c>
      <c r="I531">
        <f>HEX2DEC(Table1[[#This Row],[utf8]])</f>
        <v>128015</v>
      </c>
      <c r="J531" t="str">
        <f>_xlfn.UNICHAR(HEX2DEC(Table1[[#This Row],[utf8]]))</f>
        <v>🐏</v>
      </c>
      <c r="K531" s="3" t="str" cm="1">
        <f t="array" ref="K531">"Case "&amp;wRandomLetter()&amp;wRandomLetter()&amp;I531&amp;":    UniConst = ChrW(" &amp; I531 &amp;")"</f>
        <v>Case Rf128015:    UniConst = ChrW(128015)</v>
      </c>
    </row>
    <row r="532" spans="1:11" hidden="1">
      <c r="A532" t="s">
        <v>3157</v>
      </c>
      <c r="B532" t="str">
        <f t="shared" si="50"/>
        <v>1F410 ; fully-qualified # 🐐 E1.0 goat</v>
      </c>
      <c r="C532" t="str">
        <f t="shared" si="51"/>
        <v xml:space="preserve">1F410 </v>
      </c>
      <c r="D532">
        <f t="shared" si="52"/>
        <v>6</v>
      </c>
      <c r="E532" t="str">
        <f t="shared" si="48"/>
        <v xml:space="preserve"> 🐐 E1.0 goat</v>
      </c>
      <c r="F532" t="b">
        <f t="shared" si="53"/>
        <v>1</v>
      </c>
      <c r="G532" t="str">
        <f t="shared" si="49"/>
        <v>1F410</v>
      </c>
      <c r="I532">
        <f>HEX2DEC(Table1[[#This Row],[utf8]])</f>
        <v>128016</v>
      </c>
      <c r="J532" t="str">
        <f>_xlfn.UNICHAR(HEX2DEC(Table1[[#This Row],[utf8]]))</f>
        <v>🐐</v>
      </c>
      <c r="K532" s="3" t="str" cm="1">
        <f t="array" ref="K532">"Case "&amp;wRandomLetter()&amp;wRandomLetter()&amp;I532&amp;":    UniConst = ChrW(" &amp; I532 &amp;")"</f>
        <v>Case hN128016:    UniConst = ChrW(128016)</v>
      </c>
    </row>
    <row r="533" spans="1:11" hidden="1">
      <c r="A533" t="s">
        <v>3156</v>
      </c>
      <c r="B533" t="str">
        <f t="shared" si="50"/>
        <v>1F411 ; fully-qualified # 🐑 E0.6 ewe</v>
      </c>
      <c r="C533" t="str">
        <f t="shared" si="51"/>
        <v xml:space="preserve">1F411 </v>
      </c>
      <c r="D533">
        <f t="shared" si="52"/>
        <v>6</v>
      </c>
      <c r="E533" t="str">
        <f t="shared" si="48"/>
        <v xml:space="preserve"> 🐑 E0.6 ewe</v>
      </c>
      <c r="F533" t="b">
        <f t="shared" si="53"/>
        <v>1</v>
      </c>
      <c r="G533" t="str">
        <f t="shared" si="49"/>
        <v>1F411</v>
      </c>
      <c r="I533">
        <f>HEX2DEC(Table1[[#This Row],[utf8]])</f>
        <v>128017</v>
      </c>
      <c r="J533" t="str">
        <f>_xlfn.UNICHAR(HEX2DEC(Table1[[#This Row],[utf8]]))</f>
        <v>🐑</v>
      </c>
      <c r="K533" s="3" t="str" cm="1">
        <f t="array" ref="K533">"Case "&amp;wRandomLetter()&amp;wRandomLetter()&amp;I533&amp;":    UniConst = ChrW(" &amp; I533 &amp;")"</f>
        <v>Case nX128017:    UniConst = ChrW(128017)</v>
      </c>
    </row>
    <row r="534" spans="1:11" hidden="1">
      <c r="A534" t="s">
        <v>3123</v>
      </c>
      <c r="B534" t="str">
        <f t="shared" si="50"/>
        <v>1F412 ; fully-qualified # 🐒 E0.6 monkey</v>
      </c>
      <c r="C534" t="str">
        <f t="shared" si="51"/>
        <v xml:space="preserve">1F412 </v>
      </c>
      <c r="D534">
        <f t="shared" si="52"/>
        <v>6</v>
      </c>
      <c r="E534" t="str">
        <f t="shared" si="48"/>
        <v xml:space="preserve"> 🐒 E0.6 monkey</v>
      </c>
      <c r="F534" t="b">
        <f t="shared" si="53"/>
        <v>1</v>
      </c>
      <c r="G534" t="str">
        <f t="shared" si="49"/>
        <v>1F412</v>
      </c>
      <c r="I534">
        <f>HEX2DEC(Table1[[#This Row],[utf8]])</f>
        <v>128018</v>
      </c>
      <c r="J534" t="str">
        <f>_xlfn.UNICHAR(HEX2DEC(Table1[[#This Row],[utf8]]))</f>
        <v>🐒</v>
      </c>
      <c r="K534" s="3" t="str" cm="1">
        <f t="array" ref="K534">"Case "&amp;wRandomLetter()&amp;wRandomLetter()&amp;I534&amp;":    UniConst = ChrW(" &amp; I534 &amp;")"</f>
        <v>Case lk128018:    UniConst = ChrW(128018)</v>
      </c>
    </row>
    <row r="535" spans="1:11" hidden="1">
      <c r="A535" t="s">
        <v>3191</v>
      </c>
      <c r="B535" t="str">
        <f t="shared" si="50"/>
        <v>1F413 ; fully-qualified # 🐓 E1.0 rooster</v>
      </c>
      <c r="C535" t="str">
        <f t="shared" si="51"/>
        <v xml:space="preserve">1F413 </v>
      </c>
      <c r="D535">
        <f t="shared" si="52"/>
        <v>6</v>
      </c>
      <c r="E535" t="str">
        <f t="shared" si="48"/>
        <v xml:space="preserve"> 🐓 E1.0 rooster</v>
      </c>
      <c r="F535" t="b">
        <f t="shared" si="53"/>
        <v>1</v>
      </c>
      <c r="G535" t="str">
        <f t="shared" si="49"/>
        <v>1F413</v>
      </c>
      <c r="I535">
        <f>HEX2DEC(Table1[[#This Row],[utf8]])</f>
        <v>128019</v>
      </c>
      <c r="J535" t="str">
        <f>_xlfn.UNICHAR(HEX2DEC(Table1[[#This Row],[utf8]]))</f>
        <v>🐓</v>
      </c>
      <c r="K535" s="3" t="str" cm="1">
        <f t="array" ref="K535">"Case "&amp;wRandomLetter()&amp;wRandomLetter()&amp;I535&amp;":    UniConst = ChrW(" &amp; I535 &amp;")"</f>
        <v>Case PB128019:    UniConst = ChrW(128019)</v>
      </c>
    </row>
    <row r="536" spans="1:11" hidden="1">
      <c r="A536" t="s">
        <v>3190</v>
      </c>
      <c r="B536" t="str">
        <f t="shared" si="50"/>
        <v>1F414 ; fully-qualified # 🐔 E0.6 chicken</v>
      </c>
      <c r="C536" t="str">
        <f t="shared" si="51"/>
        <v xml:space="preserve">1F414 </v>
      </c>
      <c r="D536">
        <f t="shared" si="52"/>
        <v>6</v>
      </c>
      <c r="E536" t="str">
        <f t="shared" si="48"/>
        <v xml:space="preserve"> 🐔 E0.6 chicken</v>
      </c>
      <c r="F536" t="b">
        <f t="shared" si="53"/>
        <v>1</v>
      </c>
      <c r="G536" t="str">
        <f t="shared" si="49"/>
        <v>1F414</v>
      </c>
      <c r="I536">
        <f>HEX2DEC(Table1[[#This Row],[utf8]])</f>
        <v>128020</v>
      </c>
      <c r="J536" t="str">
        <f>_xlfn.UNICHAR(HEX2DEC(Table1[[#This Row],[utf8]]))</f>
        <v>🐔</v>
      </c>
      <c r="K536" s="3" t="str" cm="1">
        <f t="array" ref="K536">"Case "&amp;wRandomLetter()&amp;wRandomLetter()&amp;I536&amp;":    UniConst = ChrW(" &amp; I536 &amp;")"</f>
        <v>Case Qh128020:    UniConst = ChrW(128020)</v>
      </c>
    </row>
    <row r="537" spans="1:11" hidden="1">
      <c r="A537" t="s">
        <v>3127</v>
      </c>
      <c r="B537" t="str">
        <f t="shared" si="50"/>
        <v>1F415 ; fully-qualified # 🐕 E0.7 dog</v>
      </c>
      <c r="C537" t="str">
        <f t="shared" si="51"/>
        <v xml:space="preserve">1F415 </v>
      </c>
      <c r="D537">
        <f t="shared" si="52"/>
        <v>6</v>
      </c>
      <c r="E537" t="str">
        <f t="shared" si="48"/>
        <v xml:space="preserve"> 🐕 E0.7 dog</v>
      </c>
      <c r="F537" t="b">
        <f t="shared" si="53"/>
        <v>1</v>
      </c>
      <c r="G537" t="str">
        <f t="shared" si="49"/>
        <v>1F415</v>
      </c>
      <c r="I537">
        <f>HEX2DEC(Table1[[#This Row],[utf8]])</f>
        <v>128021</v>
      </c>
      <c r="J537" t="str">
        <f>_xlfn.UNICHAR(HEX2DEC(Table1[[#This Row],[utf8]]))</f>
        <v>🐕</v>
      </c>
      <c r="K537" s="3" t="str" cm="1">
        <f t="array" ref="K537">"Case "&amp;wRandomLetter()&amp;wRandomLetter()&amp;I537&amp;":    UniConst = ChrW(" &amp; I537 &amp;")"</f>
        <v>Case qr128021:    UniConst = ChrW(128021)</v>
      </c>
    </row>
    <row r="538" spans="1:11" hidden="1">
      <c r="A538" t="s">
        <v>3129</v>
      </c>
      <c r="B538" t="str">
        <f t="shared" si="50"/>
        <v>1F415 200D 1F9BA ; fully-qualified # 🐕‍🦺 E12.0 service dog</v>
      </c>
      <c r="C538" t="str">
        <f t="shared" si="51"/>
        <v xml:space="preserve">1F415 200D 1F9BA </v>
      </c>
      <c r="D538">
        <f t="shared" si="52"/>
        <v>17</v>
      </c>
      <c r="E538" t="str">
        <f t="shared" si="48"/>
        <v xml:space="preserve"> 🐕‍🦺 E12.0 service dog</v>
      </c>
      <c r="F538" t="b">
        <f t="shared" si="53"/>
        <v>1</v>
      </c>
      <c r="G538" t="str">
        <f t="shared" si="49"/>
        <v>1F415</v>
      </c>
      <c r="I538">
        <f>HEX2DEC(Table1[[#This Row],[utf8]])</f>
        <v>128021</v>
      </c>
      <c r="J538" t="str">
        <f>_xlfn.UNICHAR(HEX2DEC(Table1[[#This Row],[utf8]]))</f>
        <v>🐕</v>
      </c>
      <c r="K538" s="3" t="str" cm="1">
        <f t="array" ref="K538">"Case "&amp;wRandomLetter()&amp;wRandomLetter()&amp;I538&amp;":    UniConst = ChrW(" &amp; I538 &amp;")"</f>
        <v>Case sw128021:    UniConst = ChrW(128021)</v>
      </c>
    </row>
    <row r="539" spans="1:11" hidden="1">
      <c r="A539" t="s">
        <v>3152</v>
      </c>
      <c r="B539" t="str">
        <f t="shared" si="50"/>
        <v>1F416 ; fully-qualified # 🐖 E1.0 pig</v>
      </c>
      <c r="C539" t="str">
        <f t="shared" si="51"/>
        <v xml:space="preserve">1F416 </v>
      </c>
      <c r="D539">
        <f t="shared" si="52"/>
        <v>6</v>
      </c>
      <c r="E539" t="str">
        <f t="shared" si="48"/>
        <v xml:space="preserve"> 🐖 E1.0 pig</v>
      </c>
      <c r="F539" t="b">
        <f t="shared" si="53"/>
        <v>1</v>
      </c>
      <c r="G539" t="str">
        <f t="shared" si="49"/>
        <v>1F416</v>
      </c>
      <c r="I539">
        <f>HEX2DEC(Table1[[#This Row],[utf8]])</f>
        <v>128022</v>
      </c>
      <c r="J539" t="str">
        <f>_xlfn.UNICHAR(HEX2DEC(Table1[[#This Row],[utf8]]))</f>
        <v>🐖</v>
      </c>
      <c r="K539" s="3" t="str" cm="1">
        <f t="array" ref="K539">"Case "&amp;wRandomLetter()&amp;wRandomLetter()&amp;I539&amp;":    UniConst = ChrW(" &amp; I539 &amp;")"</f>
        <v>Case nw128022:    UniConst = ChrW(128022)</v>
      </c>
    </row>
    <row r="540" spans="1:11" hidden="1">
      <c r="A540" t="s">
        <v>3153</v>
      </c>
      <c r="B540" t="str">
        <f t="shared" si="50"/>
        <v>1F417 ; fully-qualified # 🐗 E0.6 boar</v>
      </c>
      <c r="C540" t="str">
        <f t="shared" si="51"/>
        <v xml:space="preserve">1F417 </v>
      </c>
      <c r="D540">
        <f t="shared" si="52"/>
        <v>6</v>
      </c>
      <c r="E540" t="str">
        <f t="shared" si="48"/>
        <v xml:space="preserve"> 🐗 E0.6 boar</v>
      </c>
      <c r="F540" t="b">
        <f t="shared" si="53"/>
        <v>1</v>
      </c>
      <c r="G540" t="str">
        <f t="shared" si="49"/>
        <v>1F417</v>
      </c>
      <c r="I540">
        <f>HEX2DEC(Table1[[#This Row],[utf8]])</f>
        <v>128023</v>
      </c>
      <c r="J540" t="str">
        <f>_xlfn.UNICHAR(HEX2DEC(Table1[[#This Row],[utf8]]))</f>
        <v>🐗</v>
      </c>
      <c r="K540" s="3" t="str" cm="1">
        <f t="array" ref="K540">"Case "&amp;wRandomLetter()&amp;wRandomLetter()&amp;I540&amp;":    UniConst = ChrW(" &amp; I540 &amp;")"</f>
        <v>Case kE128023:    UniConst = ChrW(128023)</v>
      </c>
    </row>
    <row r="541" spans="1:11" hidden="1">
      <c r="A541" t="s">
        <v>3162</v>
      </c>
      <c r="B541" t="str">
        <f t="shared" si="50"/>
        <v>1F418 ; fully-qualified # 🐘 E0.6 elephant</v>
      </c>
      <c r="C541" t="str">
        <f t="shared" si="51"/>
        <v xml:space="preserve">1F418 </v>
      </c>
      <c r="D541">
        <f t="shared" si="52"/>
        <v>6</v>
      </c>
      <c r="E541" t="str">
        <f t="shared" si="48"/>
        <v xml:space="preserve"> 🐘 E0.6 elephant</v>
      </c>
      <c r="F541" t="b">
        <f t="shared" si="53"/>
        <v>1</v>
      </c>
      <c r="G541" t="str">
        <f t="shared" si="49"/>
        <v>1F418</v>
      </c>
      <c r="I541">
        <f>HEX2DEC(Table1[[#This Row],[utf8]])</f>
        <v>128024</v>
      </c>
      <c r="J541" t="str">
        <f>_xlfn.UNICHAR(HEX2DEC(Table1[[#This Row],[utf8]]))</f>
        <v>🐘</v>
      </c>
      <c r="K541" s="3" t="str" cm="1">
        <f t="array" ref="K541">"Case "&amp;wRandomLetter()&amp;wRandomLetter()&amp;I541&amp;":    UniConst = ChrW(" &amp; I541 &amp;")"</f>
        <v>Case dJ128024:    UniConst = ChrW(128024)</v>
      </c>
    </row>
    <row r="542" spans="1:11" hidden="1">
      <c r="A542" t="s">
        <v>3228</v>
      </c>
      <c r="B542" t="str">
        <f t="shared" si="50"/>
        <v>1F419 ; fully-qualified # 🐙 E0.6 octopus</v>
      </c>
      <c r="C542" t="str">
        <f t="shared" si="51"/>
        <v xml:space="preserve">1F419 </v>
      </c>
      <c r="D542">
        <f t="shared" si="52"/>
        <v>6</v>
      </c>
      <c r="E542" t="str">
        <f t="shared" si="48"/>
        <v xml:space="preserve"> 🐙 E0.6 octopus</v>
      </c>
      <c r="F542" t="b">
        <f t="shared" si="53"/>
        <v>1</v>
      </c>
      <c r="G542" t="str">
        <f t="shared" si="49"/>
        <v>1F419</v>
      </c>
      <c r="I542">
        <f>HEX2DEC(Table1[[#This Row],[utf8]])</f>
        <v>128025</v>
      </c>
      <c r="J542" t="str">
        <f>_xlfn.UNICHAR(HEX2DEC(Table1[[#This Row],[utf8]]))</f>
        <v>🐙</v>
      </c>
      <c r="K542" s="3" t="str" cm="1">
        <f t="array" ref="K542">"Case "&amp;wRandomLetter()&amp;wRandomLetter()&amp;I542&amp;":    UniConst = ChrW(" &amp; I542 &amp;")"</f>
        <v>Case sx128025:    UniConst = ChrW(128025)</v>
      </c>
    </row>
    <row r="543" spans="1:11" hidden="1">
      <c r="A543" t="s">
        <v>3229</v>
      </c>
      <c r="B543" t="str">
        <f t="shared" si="50"/>
        <v>1F41A ; fully-qualified # 🐚 E0.6 spiral shell</v>
      </c>
      <c r="C543" t="str">
        <f t="shared" si="51"/>
        <v xml:space="preserve">1F41A </v>
      </c>
      <c r="D543">
        <f t="shared" si="52"/>
        <v>6</v>
      </c>
      <c r="E543" t="str">
        <f t="shared" si="48"/>
        <v xml:space="preserve"> 🐚 E0.6 spiral shell</v>
      </c>
      <c r="F543" t="b">
        <f t="shared" si="53"/>
        <v>1</v>
      </c>
      <c r="G543" t="str">
        <f t="shared" si="49"/>
        <v>1F41A</v>
      </c>
      <c r="I543">
        <f>HEX2DEC(Table1[[#This Row],[utf8]])</f>
        <v>128026</v>
      </c>
      <c r="J543" t="str">
        <f>_xlfn.UNICHAR(HEX2DEC(Table1[[#This Row],[utf8]]))</f>
        <v>🐚</v>
      </c>
      <c r="K543" s="3" t="str" cm="1">
        <f t="array" ref="K543">"Case "&amp;wRandomLetter()&amp;wRandomLetter()&amp;I543&amp;":    UniConst = ChrW(" &amp; I543 &amp;")"</f>
        <v>Case as128026:    UniConst = ChrW(128026)</v>
      </c>
    </row>
    <row r="544" spans="1:11" hidden="1">
      <c r="A544" t="s">
        <v>3233</v>
      </c>
      <c r="B544" t="str">
        <f t="shared" si="50"/>
        <v>1F41B ; fully-qualified # 🐛 E0.6 bug</v>
      </c>
      <c r="C544" t="str">
        <f t="shared" si="51"/>
        <v xml:space="preserve">1F41B </v>
      </c>
      <c r="D544">
        <f t="shared" si="52"/>
        <v>6</v>
      </c>
      <c r="E544" t="str">
        <f t="shared" si="48"/>
        <v xml:space="preserve"> 🐛 E0.6 bug</v>
      </c>
      <c r="F544" t="b">
        <f t="shared" si="53"/>
        <v>1</v>
      </c>
      <c r="G544" t="str">
        <f t="shared" si="49"/>
        <v>1F41B</v>
      </c>
      <c r="I544">
        <f>HEX2DEC(Table1[[#This Row],[utf8]])</f>
        <v>128027</v>
      </c>
      <c r="J544" t="str">
        <f>_xlfn.UNICHAR(HEX2DEC(Table1[[#This Row],[utf8]]))</f>
        <v>🐛</v>
      </c>
      <c r="K544" s="3" t="str" cm="1">
        <f t="array" ref="K544">"Case "&amp;wRandomLetter()&amp;wRandomLetter()&amp;I544&amp;":    UniConst = ChrW(" &amp; I544 &amp;")"</f>
        <v>Case BA128027:    UniConst = ChrW(128027)</v>
      </c>
    </row>
    <row r="545" spans="1:11" hidden="1">
      <c r="A545" t="s">
        <v>3234</v>
      </c>
      <c r="B545" t="str">
        <f t="shared" si="50"/>
        <v>1F41C ; fully-qualified # 🐜 E0.6 ant</v>
      </c>
      <c r="C545" t="str">
        <f t="shared" si="51"/>
        <v xml:space="preserve">1F41C </v>
      </c>
      <c r="D545">
        <f t="shared" si="52"/>
        <v>6</v>
      </c>
      <c r="E545" t="str">
        <f t="shared" si="48"/>
        <v xml:space="preserve"> 🐜 E0.6 ant</v>
      </c>
      <c r="F545" t="b">
        <f t="shared" si="53"/>
        <v>1</v>
      </c>
      <c r="G545" t="str">
        <f t="shared" si="49"/>
        <v>1F41C</v>
      </c>
      <c r="I545">
        <f>HEX2DEC(Table1[[#This Row],[utf8]])</f>
        <v>128028</v>
      </c>
      <c r="J545" t="str">
        <f>_xlfn.UNICHAR(HEX2DEC(Table1[[#This Row],[utf8]]))</f>
        <v>🐜</v>
      </c>
      <c r="K545" s="3" t="str" cm="1">
        <f t="array" ref="K545">"Case "&amp;wRandomLetter()&amp;wRandomLetter()&amp;I545&amp;":    UniConst = ChrW(" &amp; I545 &amp;")"</f>
        <v>Case eI128028:    UniConst = ChrW(128028)</v>
      </c>
    </row>
    <row r="546" spans="1:11" hidden="1">
      <c r="A546" t="s">
        <v>3235</v>
      </c>
      <c r="B546" t="str">
        <f t="shared" si="50"/>
        <v>1F41D ; fully-qualified # 🐝 E0.6 honeybee</v>
      </c>
      <c r="C546" t="str">
        <f t="shared" si="51"/>
        <v xml:space="preserve">1F41D </v>
      </c>
      <c r="D546">
        <f t="shared" si="52"/>
        <v>6</v>
      </c>
      <c r="E546" t="str">
        <f t="shared" si="48"/>
        <v xml:space="preserve"> 🐝 E0.6 honeybee</v>
      </c>
      <c r="F546" t="b">
        <f t="shared" si="53"/>
        <v>1</v>
      </c>
      <c r="G546" t="str">
        <f t="shared" si="49"/>
        <v>1F41D</v>
      </c>
      <c r="I546">
        <f>HEX2DEC(Table1[[#This Row],[utf8]])</f>
        <v>128029</v>
      </c>
      <c r="J546" t="str">
        <f>_xlfn.UNICHAR(HEX2DEC(Table1[[#This Row],[utf8]]))</f>
        <v>🐝</v>
      </c>
      <c r="K546" s="3" t="str" cm="1">
        <f t="array" ref="K546">"Case "&amp;wRandomLetter()&amp;wRandomLetter()&amp;I546&amp;":    UniConst = ChrW(" &amp; I546 &amp;")"</f>
        <v>Case xv128029:    UniConst = ChrW(128029)</v>
      </c>
    </row>
    <row r="547" spans="1:11" hidden="1">
      <c r="A547" t="s">
        <v>3237</v>
      </c>
      <c r="B547" t="str">
        <f t="shared" si="50"/>
        <v>1F41E ; fully-qualified # 🐞 E0.6 lady beetle</v>
      </c>
      <c r="C547" t="str">
        <f t="shared" si="51"/>
        <v xml:space="preserve">1F41E </v>
      </c>
      <c r="D547">
        <f t="shared" si="52"/>
        <v>6</v>
      </c>
      <c r="E547" t="str">
        <f t="shared" si="48"/>
        <v xml:space="preserve"> 🐞 E0.6 lady beetle</v>
      </c>
      <c r="F547" t="b">
        <f t="shared" si="53"/>
        <v>1</v>
      </c>
      <c r="G547" t="str">
        <f t="shared" si="49"/>
        <v>1F41E</v>
      </c>
      <c r="I547">
        <f>HEX2DEC(Table1[[#This Row],[utf8]])</f>
        <v>128030</v>
      </c>
      <c r="J547" t="str">
        <f>_xlfn.UNICHAR(HEX2DEC(Table1[[#This Row],[utf8]]))</f>
        <v>🐞</v>
      </c>
      <c r="K547" s="3" t="str" cm="1">
        <f t="array" ref="K547">"Case "&amp;wRandomLetter()&amp;wRandomLetter()&amp;I547&amp;":    UniConst = ChrW(" &amp; I547 &amp;")"</f>
        <v>Case sw128030:    UniConst = ChrW(128030)</v>
      </c>
    </row>
    <row r="548" spans="1:11" hidden="1">
      <c r="A548" t="s">
        <v>3224</v>
      </c>
      <c r="B548" t="str">
        <f t="shared" si="50"/>
        <v>1F41F ; fully-qualified # 🐟 E0.6 fish</v>
      </c>
      <c r="C548" t="str">
        <f t="shared" si="51"/>
        <v xml:space="preserve">1F41F </v>
      </c>
      <c r="D548">
        <f t="shared" si="52"/>
        <v>6</v>
      </c>
      <c r="E548" t="str">
        <f t="shared" si="48"/>
        <v xml:space="preserve"> 🐟 E0.6 fish</v>
      </c>
      <c r="F548" t="b">
        <f t="shared" si="53"/>
        <v>1</v>
      </c>
      <c r="G548" t="str">
        <f t="shared" si="49"/>
        <v>1F41F</v>
      </c>
      <c r="I548">
        <f>HEX2DEC(Table1[[#This Row],[utf8]])</f>
        <v>128031</v>
      </c>
      <c r="J548" t="str">
        <f>_xlfn.UNICHAR(HEX2DEC(Table1[[#This Row],[utf8]]))</f>
        <v>🐟</v>
      </c>
      <c r="K548" s="3" t="str" cm="1">
        <f t="array" ref="K548">"Case "&amp;wRandomLetter()&amp;wRandomLetter()&amp;I548&amp;":    UniConst = ChrW(" &amp; I548 &amp;")"</f>
        <v>Case je128031:    UniConst = ChrW(128031)</v>
      </c>
    </row>
    <row r="549" spans="1:11" hidden="1">
      <c r="A549" t="s">
        <v>3225</v>
      </c>
      <c r="B549" t="str">
        <f t="shared" si="50"/>
        <v>1F420 ; fully-qualified # 🐠 E0.6 tropical fish</v>
      </c>
      <c r="C549" t="str">
        <f t="shared" si="51"/>
        <v xml:space="preserve">1F420 </v>
      </c>
      <c r="D549">
        <f t="shared" si="52"/>
        <v>6</v>
      </c>
      <c r="E549" t="str">
        <f t="shared" si="48"/>
        <v xml:space="preserve"> 🐠 E0.6 tropical fish</v>
      </c>
      <c r="F549" t="b">
        <f t="shared" si="53"/>
        <v>1</v>
      </c>
      <c r="G549" t="str">
        <f t="shared" si="49"/>
        <v>1F420</v>
      </c>
      <c r="I549">
        <f>HEX2DEC(Table1[[#This Row],[utf8]])</f>
        <v>128032</v>
      </c>
      <c r="J549" t="str">
        <f>_xlfn.UNICHAR(HEX2DEC(Table1[[#This Row],[utf8]]))</f>
        <v>🐠</v>
      </c>
      <c r="K549" s="3" t="str" cm="1">
        <f t="array" ref="K549">"Case "&amp;wRandomLetter()&amp;wRandomLetter()&amp;I549&amp;":    UniConst = ChrW(" &amp; I549 &amp;")"</f>
        <v>Case rj128032:    UniConst = ChrW(128032)</v>
      </c>
    </row>
    <row r="550" spans="1:11" hidden="1">
      <c r="A550" t="s">
        <v>3226</v>
      </c>
      <c r="B550" t="str">
        <f t="shared" si="50"/>
        <v>1F421 ; fully-qualified # 🐡 E0.6 blowfish</v>
      </c>
      <c r="C550" t="str">
        <f t="shared" si="51"/>
        <v xml:space="preserve">1F421 </v>
      </c>
      <c r="D550">
        <f t="shared" si="52"/>
        <v>6</v>
      </c>
      <c r="E550" t="str">
        <f t="shared" si="48"/>
        <v xml:space="preserve"> 🐡 E0.6 blowfish</v>
      </c>
      <c r="F550" t="b">
        <f t="shared" si="53"/>
        <v>1</v>
      </c>
      <c r="G550" t="str">
        <f t="shared" si="49"/>
        <v>1F421</v>
      </c>
      <c r="I550">
        <f>HEX2DEC(Table1[[#This Row],[utf8]])</f>
        <v>128033</v>
      </c>
      <c r="J550" t="str">
        <f>_xlfn.UNICHAR(HEX2DEC(Table1[[#This Row],[utf8]]))</f>
        <v>🐡</v>
      </c>
      <c r="K550" s="3" t="str" cm="1">
        <f t="array" ref="K550">"Case "&amp;wRandomLetter()&amp;wRandomLetter()&amp;I550&amp;":    UniConst = ChrW(" &amp; I550 &amp;")"</f>
        <v>Case rN128033:    UniConst = ChrW(128033)</v>
      </c>
    </row>
    <row r="551" spans="1:11" hidden="1">
      <c r="A551" t="s">
        <v>3212</v>
      </c>
      <c r="B551" t="str">
        <f t="shared" si="50"/>
        <v>1F422 ; fully-qualified # 🐢 E0.6 turtle</v>
      </c>
      <c r="C551" t="str">
        <f t="shared" si="51"/>
        <v xml:space="preserve">1F422 </v>
      </c>
      <c r="D551">
        <f t="shared" si="52"/>
        <v>6</v>
      </c>
      <c r="E551" t="str">
        <f t="shared" si="48"/>
        <v xml:space="preserve"> 🐢 E0.6 turtle</v>
      </c>
      <c r="F551" t="b">
        <f t="shared" si="53"/>
        <v>1</v>
      </c>
      <c r="G551" t="str">
        <f t="shared" si="49"/>
        <v>1F422</v>
      </c>
      <c r="I551">
        <f>HEX2DEC(Table1[[#This Row],[utf8]])</f>
        <v>128034</v>
      </c>
      <c r="J551" t="str">
        <f>_xlfn.UNICHAR(HEX2DEC(Table1[[#This Row],[utf8]]))</f>
        <v>🐢</v>
      </c>
      <c r="K551" s="3" t="str" cm="1">
        <f t="array" ref="K551">"Case "&amp;wRandomLetter()&amp;wRandomLetter()&amp;I551&amp;":    UniConst = ChrW(" &amp; I551 &amp;")"</f>
        <v>Case nu128034:    UniConst = ChrW(128034)</v>
      </c>
    </row>
    <row r="552" spans="1:11" hidden="1">
      <c r="A552" t="s">
        <v>3192</v>
      </c>
      <c r="B552" t="str">
        <f t="shared" si="50"/>
        <v>1F423 ; fully-qualified # 🐣 E0.6 hatching chick</v>
      </c>
      <c r="C552" t="str">
        <f t="shared" si="51"/>
        <v xml:space="preserve">1F423 </v>
      </c>
      <c r="D552">
        <f t="shared" si="52"/>
        <v>6</v>
      </c>
      <c r="E552" t="str">
        <f t="shared" si="48"/>
        <v xml:space="preserve"> 🐣 E0.6 hatching chick</v>
      </c>
      <c r="F552" t="b">
        <f t="shared" si="53"/>
        <v>1</v>
      </c>
      <c r="G552" t="str">
        <f t="shared" si="49"/>
        <v>1F423</v>
      </c>
      <c r="I552">
        <f>HEX2DEC(Table1[[#This Row],[utf8]])</f>
        <v>128035</v>
      </c>
      <c r="J552" t="str">
        <f>_xlfn.UNICHAR(HEX2DEC(Table1[[#This Row],[utf8]]))</f>
        <v>🐣</v>
      </c>
      <c r="K552" s="3" t="str" cm="1">
        <f t="array" ref="K552">"Case "&amp;wRandomLetter()&amp;wRandomLetter()&amp;I552&amp;":    UniConst = ChrW(" &amp; I552 &amp;")"</f>
        <v>Case XB128035:    UniConst = ChrW(128035)</v>
      </c>
    </row>
    <row r="553" spans="1:11" hidden="1">
      <c r="A553" t="s">
        <v>3193</v>
      </c>
      <c r="B553" t="str">
        <f t="shared" si="50"/>
        <v>1F424 ; fully-qualified # 🐤 E0.6 baby chick</v>
      </c>
      <c r="C553" t="str">
        <f t="shared" si="51"/>
        <v xml:space="preserve">1F424 </v>
      </c>
      <c r="D553">
        <f t="shared" si="52"/>
        <v>6</v>
      </c>
      <c r="E553" t="str">
        <f t="shared" si="48"/>
        <v xml:space="preserve"> 🐤 E0.6 baby chick</v>
      </c>
      <c r="F553" t="b">
        <f t="shared" si="53"/>
        <v>1</v>
      </c>
      <c r="G553" t="str">
        <f t="shared" si="49"/>
        <v>1F424</v>
      </c>
      <c r="I553">
        <f>HEX2DEC(Table1[[#This Row],[utf8]])</f>
        <v>128036</v>
      </c>
      <c r="J553" t="str">
        <f>_xlfn.UNICHAR(HEX2DEC(Table1[[#This Row],[utf8]]))</f>
        <v>🐤</v>
      </c>
      <c r="K553" s="3" t="str" cm="1">
        <f t="array" ref="K553">"Case "&amp;wRandomLetter()&amp;wRandomLetter()&amp;I553&amp;":    UniConst = ChrW(" &amp; I553 &amp;")"</f>
        <v>Case Rz128036:    UniConst = ChrW(128036)</v>
      </c>
    </row>
    <row r="554" spans="1:11" hidden="1">
      <c r="A554" t="s">
        <v>3194</v>
      </c>
      <c r="B554" t="str">
        <f t="shared" si="50"/>
        <v>1F425 ; fully-qualified # 🐥 E0.6 front-facing baby chick</v>
      </c>
      <c r="C554" t="str">
        <f t="shared" si="51"/>
        <v xml:space="preserve">1F425 </v>
      </c>
      <c r="D554">
        <f t="shared" si="52"/>
        <v>6</v>
      </c>
      <c r="E554" t="str">
        <f t="shared" si="48"/>
        <v xml:space="preserve"> 🐥 E0.6 front-facing baby chick</v>
      </c>
      <c r="F554" t="b">
        <f t="shared" si="53"/>
        <v>1</v>
      </c>
      <c r="G554" t="str">
        <f t="shared" si="49"/>
        <v>1F425</v>
      </c>
      <c r="I554">
        <f>HEX2DEC(Table1[[#This Row],[utf8]])</f>
        <v>128037</v>
      </c>
      <c r="J554" t="str">
        <f>_xlfn.UNICHAR(HEX2DEC(Table1[[#This Row],[utf8]]))</f>
        <v>🐥</v>
      </c>
      <c r="K554" s="3" t="str" cm="1">
        <f t="array" ref="K554">"Case "&amp;wRandomLetter()&amp;wRandomLetter()&amp;I554&amp;":    UniConst = ChrW(" &amp; I554 &amp;")"</f>
        <v>Case mM128037:    UniConst = ChrW(128037)</v>
      </c>
    </row>
    <row r="555" spans="1:11" hidden="1">
      <c r="A555" t="s">
        <v>3195</v>
      </c>
      <c r="B555" t="str">
        <f t="shared" si="50"/>
        <v>1F426 ; fully-qualified # 🐦 E0.6 bird</v>
      </c>
      <c r="C555" t="str">
        <f t="shared" si="51"/>
        <v xml:space="preserve">1F426 </v>
      </c>
      <c r="D555">
        <f t="shared" si="52"/>
        <v>6</v>
      </c>
      <c r="E555" t="str">
        <f t="shared" si="48"/>
        <v xml:space="preserve"> 🐦 E0.6 bird</v>
      </c>
      <c r="F555" t="b">
        <f t="shared" si="53"/>
        <v>1</v>
      </c>
      <c r="G555" t="str">
        <f t="shared" si="49"/>
        <v>1F426</v>
      </c>
      <c r="I555">
        <f>HEX2DEC(Table1[[#This Row],[utf8]])</f>
        <v>128038</v>
      </c>
      <c r="J555" t="str">
        <f>_xlfn.UNICHAR(HEX2DEC(Table1[[#This Row],[utf8]]))</f>
        <v>🐦</v>
      </c>
      <c r="K555" s="3" t="str" cm="1">
        <f t="array" ref="K555">"Case "&amp;wRandomLetter()&amp;wRandomLetter()&amp;I555&amp;":    UniConst = ChrW(" &amp; I555 &amp;")"</f>
        <v>Case BY128038:    UniConst = ChrW(128038)</v>
      </c>
    </row>
    <row r="556" spans="1:11" hidden="1">
      <c r="A556" t="s">
        <v>3196</v>
      </c>
      <c r="B556" t="str">
        <f t="shared" si="50"/>
        <v>1F427 ; fully-qualified # 🐧 E0.6 penguin</v>
      </c>
      <c r="C556" t="str">
        <f t="shared" si="51"/>
        <v xml:space="preserve">1F427 </v>
      </c>
      <c r="D556">
        <f t="shared" si="52"/>
        <v>6</v>
      </c>
      <c r="E556" t="str">
        <f t="shared" si="48"/>
        <v xml:space="preserve"> 🐧 E0.6 penguin</v>
      </c>
      <c r="F556" t="b">
        <f t="shared" si="53"/>
        <v>1</v>
      </c>
      <c r="G556" t="str">
        <f t="shared" si="49"/>
        <v>1F427</v>
      </c>
      <c r="I556">
        <f>HEX2DEC(Table1[[#This Row],[utf8]])</f>
        <v>128039</v>
      </c>
      <c r="J556" t="str">
        <f>_xlfn.UNICHAR(HEX2DEC(Table1[[#This Row],[utf8]]))</f>
        <v>🐧</v>
      </c>
      <c r="K556" s="3" t="str" cm="1">
        <f t="array" ref="K556">"Case "&amp;wRandomLetter()&amp;wRandomLetter()&amp;I556&amp;":    UniConst = ChrW(" &amp; I556 &amp;")"</f>
        <v>Case sx128039:    UniConst = ChrW(128039)</v>
      </c>
    </row>
    <row r="557" spans="1:11" hidden="1">
      <c r="A557" t="s">
        <v>3180</v>
      </c>
      <c r="B557" t="str">
        <f t="shared" si="50"/>
        <v>1F428 ; fully-qualified # 🐨 E0.6 koala</v>
      </c>
      <c r="C557" t="str">
        <f t="shared" si="51"/>
        <v xml:space="preserve">1F428 </v>
      </c>
      <c r="D557">
        <f t="shared" si="52"/>
        <v>6</v>
      </c>
      <c r="E557" t="str">
        <f t="shared" si="48"/>
        <v xml:space="preserve"> 🐨 E0.6 koala</v>
      </c>
      <c r="F557" t="b">
        <f t="shared" si="53"/>
        <v>1</v>
      </c>
      <c r="G557" t="str">
        <f t="shared" si="49"/>
        <v>1F428</v>
      </c>
      <c r="I557">
        <f>HEX2DEC(Table1[[#This Row],[utf8]])</f>
        <v>128040</v>
      </c>
      <c r="J557" t="str">
        <f>_xlfn.UNICHAR(HEX2DEC(Table1[[#This Row],[utf8]]))</f>
        <v>🐨</v>
      </c>
      <c r="K557" s="3" t="str" cm="1">
        <f t="array" ref="K557">"Case "&amp;wRandomLetter()&amp;wRandomLetter()&amp;I557&amp;":    UniConst = ChrW(" &amp; I557 &amp;")"</f>
        <v>Case sw128040:    UniConst = ChrW(128040)</v>
      </c>
    </row>
    <row r="558" spans="1:11" hidden="1">
      <c r="A558" t="s">
        <v>3130</v>
      </c>
      <c r="B558" t="str">
        <f t="shared" si="50"/>
        <v>1F429 ; fully-qualified # 🐩 E0.6 poodle</v>
      </c>
      <c r="C558" t="str">
        <f t="shared" si="51"/>
        <v xml:space="preserve">1F429 </v>
      </c>
      <c r="D558">
        <f t="shared" si="52"/>
        <v>6</v>
      </c>
      <c r="E558" t="str">
        <f t="shared" si="48"/>
        <v xml:space="preserve"> 🐩 E0.6 poodle</v>
      </c>
      <c r="F558" t="b">
        <f t="shared" si="53"/>
        <v>1</v>
      </c>
      <c r="G558" t="str">
        <f t="shared" si="49"/>
        <v>1F429</v>
      </c>
      <c r="I558">
        <f>HEX2DEC(Table1[[#This Row],[utf8]])</f>
        <v>128041</v>
      </c>
      <c r="J558" t="str">
        <f>_xlfn.UNICHAR(HEX2DEC(Table1[[#This Row],[utf8]]))</f>
        <v>🐩</v>
      </c>
      <c r="K558" s="3" t="str" cm="1">
        <f t="array" ref="K558">"Case "&amp;wRandomLetter()&amp;wRandomLetter()&amp;I558&amp;":    UniConst = ChrW(" &amp; I558 &amp;")"</f>
        <v>Case rN128041:    UniConst = ChrW(128041)</v>
      </c>
    </row>
    <row r="559" spans="1:11" hidden="1">
      <c r="A559" t="s">
        <v>3158</v>
      </c>
      <c r="B559" t="str">
        <f t="shared" si="50"/>
        <v>1F42A ; fully-qualified # 🐪 E1.0 camel</v>
      </c>
      <c r="C559" t="str">
        <f t="shared" si="51"/>
        <v xml:space="preserve">1F42A </v>
      </c>
      <c r="D559">
        <f t="shared" si="52"/>
        <v>6</v>
      </c>
      <c r="E559" t="str">
        <f t="shared" si="48"/>
        <v xml:space="preserve"> 🐪 E1.0 camel</v>
      </c>
      <c r="F559" t="b">
        <f t="shared" si="53"/>
        <v>1</v>
      </c>
      <c r="G559" t="str">
        <f t="shared" si="49"/>
        <v>1F42A</v>
      </c>
      <c r="I559">
        <f>HEX2DEC(Table1[[#This Row],[utf8]])</f>
        <v>128042</v>
      </c>
      <c r="J559" t="str">
        <f>_xlfn.UNICHAR(HEX2DEC(Table1[[#This Row],[utf8]]))</f>
        <v>🐪</v>
      </c>
      <c r="K559" s="3" t="str" cm="1">
        <f t="array" ref="K559">"Case "&amp;wRandomLetter()&amp;wRandomLetter()&amp;I559&amp;":    UniConst = ChrW(" &amp; I559 &amp;")"</f>
        <v>Case WW128042:    UniConst = ChrW(128042)</v>
      </c>
    </row>
    <row r="560" spans="1:11" hidden="1">
      <c r="A560" t="s">
        <v>3159</v>
      </c>
      <c r="B560" t="str">
        <f t="shared" si="50"/>
        <v>1F42B ; fully-qualified # 🐫 E0.6 two-hump camel</v>
      </c>
      <c r="C560" t="str">
        <f t="shared" si="51"/>
        <v xml:space="preserve">1F42B </v>
      </c>
      <c r="D560">
        <f t="shared" si="52"/>
        <v>6</v>
      </c>
      <c r="E560" t="str">
        <f t="shared" si="48"/>
        <v xml:space="preserve"> 🐫 E0.6 two-hump camel</v>
      </c>
      <c r="F560" t="b">
        <f t="shared" si="53"/>
        <v>1</v>
      </c>
      <c r="G560" t="str">
        <f t="shared" si="49"/>
        <v>1F42B</v>
      </c>
      <c r="I560">
        <f>HEX2DEC(Table1[[#This Row],[utf8]])</f>
        <v>128043</v>
      </c>
      <c r="J560" t="str">
        <f>_xlfn.UNICHAR(HEX2DEC(Table1[[#This Row],[utf8]]))</f>
        <v>🐫</v>
      </c>
      <c r="K560" s="3" t="str" cm="1">
        <f t="array" ref="K560">"Case "&amp;wRandomLetter()&amp;wRandomLetter()&amp;I560&amp;":    UniConst = ChrW(" &amp; I560 &amp;")"</f>
        <v>Case tV128043:    UniConst = ChrW(128043)</v>
      </c>
    </row>
    <row r="561" spans="1:11" hidden="1">
      <c r="A561" t="s">
        <v>3222</v>
      </c>
      <c r="B561" t="str">
        <f t="shared" si="50"/>
        <v>1F42C ; fully-qualified # 🐬 E0.6 dolphin</v>
      </c>
      <c r="C561" t="str">
        <f t="shared" si="51"/>
        <v xml:space="preserve">1F42C </v>
      </c>
      <c r="D561">
        <f t="shared" si="52"/>
        <v>6</v>
      </c>
      <c r="E561" t="str">
        <f t="shared" si="48"/>
        <v xml:space="preserve"> 🐬 E0.6 dolphin</v>
      </c>
      <c r="F561" t="b">
        <f t="shared" si="53"/>
        <v>1</v>
      </c>
      <c r="G561" t="str">
        <f t="shared" si="49"/>
        <v>1F42C</v>
      </c>
      <c r="I561">
        <f>HEX2DEC(Table1[[#This Row],[utf8]])</f>
        <v>128044</v>
      </c>
      <c r="J561" t="str">
        <f>_xlfn.UNICHAR(HEX2DEC(Table1[[#This Row],[utf8]]))</f>
        <v>🐬</v>
      </c>
      <c r="K561" s="3" t="str" cm="1">
        <f t="array" ref="K561">"Case "&amp;wRandomLetter()&amp;wRandomLetter()&amp;I561&amp;":    UniConst = ChrW(" &amp; I561 &amp;")"</f>
        <v>Case yV128044:    UniConst = ChrW(128044)</v>
      </c>
    </row>
    <row r="562" spans="1:11" hidden="1">
      <c r="A562" t="s">
        <v>3166</v>
      </c>
      <c r="B562" t="str">
        <f t="shared" si="50"/>
        <v>1F42D ; fully-qualified # 🐭 E0.6 mouse face</v>
      </c>
      <c r="C562" t="str">
        <f t="shared" si="51"/>
        <v xml:space="preserve">1F42D </v>
      </c>
      <c r="D562">
        <f t="shared" si="52"/>
        <v>6</v>
      </c>
      <c r="E562" t="str">
        <f t="shared" si="48"/>
        <v xml:space="preserve"> 🐭 E0.6 mouse face</v>
      </c>
      <c r="F562" t="b">
        <f t="shared" si="53"/>
        <v>1</v>
      </c>
      <c r="G562" t="str">
        <f t="shared" si="49"/>
        <v>1F42D</v>
      </c>
      <c r="I562">
        <f>HEX2DEC(Table1[[#This Row],[utf8]])</f>
        <v>128045</v>
      </c>
      <c r="J562" t="str">
        <f>_xlfn.UNICHAR(HEX2DEC(Table1[[#This Row],[utf8]]))</f>
        <v>🐭</v>
      </c>
      <c r="K562" s="3" t="str" cm="1">
        <f t="array" ref="K562">"Case "&amp;wRandomLetter()&amp;wRandomLetter()&amp;I562&amp;":    UniConst = ChrW(" &amp; I562 &amp;")"</f>
        <v>Case os128045:    UniConst = ChrW(128045)</v>
      </c>
    </row>
    <row r="563" spans="1:11" hidden="1">
      <c r="A563" t="s">
        <v>3147</v>
      </c>
      <c r="B563" t="str">
        <f t="shared" si="50"/>
        <v>1F42E ; fully-qualified # 🐮 E0.6 cow face</v>
      </c>
      <c r="C563" t="str">
        <f t="shared" si="51"/>
        <v xml:space="preserve">1F42E </v>
      </c>
      <c r="D563">
        <f t="shared" si="52"/>
        <v>6</v>
      </c>
      <c r="E563" t="str">
        <f t="shared" si="48"/>
        <v xml:space="preserve"> 🐮 E0.6 cow face</v>
      </c>
      <c r="F563" t="b">
        <f t="shared" si="53"/>
        <v>1</v>
      </c>
      <c r="G563" t="str">
        <f t="shared" si="49"/>
        <v>1F42E</v>
      </c>
      <c r="I563">
        <f>HEX2DEC(Table1[[#This Row],[utf8]])</f>
        <v>128046</v>
      </c>
      <c r="J563" t="str">
        <f>_xlfn.UNICHAR(HEX2DEC(Table1[[#This Row],[utf8]]))</f>
        <v>🐮</v>
      </c>
      <c r="K563" s="3" t="str" cm="1">
        <f t="array" ref="K563">"Case "&amp;wRandomLetter()&amp;wRandomLetter()&amp;I563&amp;":    UniConst = ChrW(" &amp; I563 &amp;")"</f>
        <v>Case lm128046:    UniConst = ChrW(128046)</v>
      </c>
    </row>
    <row r="564" spans="1:11" hidden="1">
      <c r="A564" t="s">
        <v>3138</v>
      </c>
      <c r="B564" t="str">
        <f t="shared" si="50"/>
        <v>1F42F ; fully-qualified # 🐯 E0.6 tiger face</v>
      </c>
      <c r="C564" t="str">
        <f t="shared" si="51"/>
        <v xml:space="preserve">1F42F </v>
      </c>
      <c r="D564">
        <f t="shared" si="52"/>
        <v>6</v>
      </c>
      <c r="E564" t="str">
        <f t="shared" si="48"/>
        <v xml:space="preserve"> 🐯 E0.6 tiger face</v>
      </c>
      <c r="F564" t="b">
        <f t="shared" si="53"/>
        <v>1</v>
      </c>
      <c r="G564" t="str">
        <f t="shared" si="49"/>
        <v>1F42F</v>
      </c>
      <c r="I564">
        <f>HEX2DEC(Table1[[#This Row],[utf8]])</f>
        <v>128047</v>
      </c>
      <c r="J564" t="str">
        <f>_xlfn.UNICHAR(HEX2DEC(Table1[[#This Row],[utf8]]))</f>
        <v>🐯</v>
      </c>
      <c r="K564" s="3" t="str" cm="1">
        <f t="array" ref="K564">"Case "&amp;wRandomLetter()&amp;wRandomLetter()&amp;I564&amp;":    UniConst = ChrW(" &amp; I564 &amp;")"</f>
        <v>Case hm128047:    UniConst = ChrW(128047)</v>
      </c>
    </row>
    <row r="565" spans="1:11" hidden="1">
      <c r="A565" t="s">
        <v>3170</v>
      </c>
      <c r="B565" t="str">
        <f t="shared" si="50"/>
        <v>1F430 ; fully-qualified # 🐰 E0.6 rabbit face</v>
      </c>
      <c r="C565" t="str">
        <f t="shared" si="51"/>
        <v xml:space="preserve">1F430 </v>
      </c>
      <c r="D565">
        <f t="shared" si="52"/>
        <v>6</v>
      </c>
      <c r="E565" t="str">
        <f t="shared" si="48"/>
        <v xml:space="preserve"> 🐰 E0.6 rabbit face</v>
      </c>
      <c r="F565" t="b">
        <f t="shared" si="53"/>
        <v>1</v>
      </c>
      <c r="G565" t="str">
        <f t="shared" si="49"/>
        <v>1F430</v>
      </c>
      <c r="I565">
        <f>HEX2DEC(Table1[[#This Row],[utf8]])</f>
        <v>128048</v>
      </c>
      <c r="J565" t="str">
        <f>_xlfn.UNICHAR(HEX2DEC(Table1[[#This Row],[utf8]]))</f>
        <v>🐰</v>
      </c>
      <c r="K565" s="3" t="str" cm="1">
        <f t="array" ref="K565">"Case "&amp;wRandomLetter()&amp;wRandomLetter()&amp;I565&amp;":    UniConst = ChrW(" &amp; I565 &amp;")"</f>
        <v>Case zo128048:    UniConst = ChrW(128048)</v>
      </c>
    </row>
    <row r="566" spans="1:11" hidden="1">
      <c r="A566" t="s">
        <v>3134</v>
      </c>
      <c r="B566" t="str">
        <f t="shared" si="50"/>
        <v>1F431 ; fully-qualified # 🐱 E0.6 cat face</v>
      </c>
      <c r="C566" t="str">
        <f t="shared" si="51"/>
        <v xml:space="preserve">1F431 </v>
      </c>
      <c r="D566">
        <f t="shared" si="52"/>
        <v>6</v>
      </c>
      <c r="E566" t="str">
        <f t="shared" si="48"/>
        <v xml:space="preserve"> 🐱 E0.6 cat face</v>
      </c>
      <c r="F566" t="b">
        <f t="shared" si="53"/>
        <v>1</v>
      </c>
      <c r="G566" t="str">
        <f t="shared" si="49"/>
        <v>1F431</v>
      </c>
      <c r="I566">
        <f>HEX2DEC(Table1[[#This Row],[utf8]])</f>
        <v>128049</v>
      </c>
      <c r="J566" t="str">
        <f>_xlfn.UNICHAR(HEX2DEC(Table1[[#This Row],[utf8]]))</f>
        <v>🐱</v>
      </c>
      <c r="K566" s="3" t="str" cm="1">
        <f t="array" ref="K566">"Case "&amp;wRandomLetter()&amp;wRandomLetter()&amp;I566&amp;":    UniConst = ChrW(" &amp; I566 &amp;")"</f>
        <v>Case LH128049:    UniConst = ChrW(128049)</v>
      </c>
    </row>
    <row r="567" spans="1:11" hidden="1">
      <c r="A567" t="s">
        <v>3215</v>
      </c>
      <c r="B567" t="str">
        <f t="shared" si="50"/>
        <v>1F432 ; fully-qualified # 🐲 E0.6 dragon face</v>
      </c>
      <c r="C567" t="str">
        <f t="shared" si="51"/>
        <v xml:space="preserve">1F432 </v>
      </c>
      <c r="D567">
        <f t="shared" si="52"/>
        <v>6</v>
      </c>
      <c r="E567" t="str">
        <f t="shared" si="48"/>
        <v xml:space="preserve"> 🐲 E0.6 dragon face</v>
      </c>
      <c r="F567" t="b">
        <f t="shared" si="53"/>
        <v>1</v>
      </c>
      <c r="G567" t="str">
        <f t="shared" si="49"/>
        <v>1F432</v>
      </c>
      <c r="I567">
        <f>HEX2DEC(Table1[[#This Row],[utf8]])</f>
        <v>128050</v>
      </c>
      <c r="J567" t="str">
        <f>_xlfn.UNICHAR(HEX2DEC(Table1[[#This Row],[utf8]]))</f>
        <v>🐲</v>
      </c>
      <c r="K567" s="3" t="str" cm="1">
        <f t="array" ref="K567">"Case "&amp;wRandomLetter()&amp;wRandomLetter()&amp;I567&amp;":    UniConst = ChrW(" &amp; I567 &amp;")"</f>
        <v>Case Qj128050:    UniConst = ChrW(128050)</v>
      </c>
    </row>
    <row r="568" spans="1:11" hidden="1">
      <c r="A568" t="s">
        <v>3220</v>
      </c>
      <c r="B568" t="str">
        <f t="shared" si="50"/>
        <v>1F433 ; fully-qualified # 🐳 E0.6 spouting whale</v>
      </c>
      <c r="C568" t="str">
        <f t="shared" si="51"/>
        <v xml:space="preserve">1F433 </v>
      </c>
      <c r="D568">
        <f t="shared" si="52"/>
        <v>6</v>
      </c>
      <c r="E568" t="str">
        <f t="shared" si="48"/>
        <v xml:space="preserve"> 🐳 E0.6 spouting whale</v>
      </c>
      <c r="F568" t="b">
        <f t="shared" si="53"/>
        <v>1</v>
      </c>
      <c r="G568" t="str">
        <f t="shared" si="49"/>
        <v>1F433</v>
      </c>
      <c r="I568">
        <f>HEX2DEC(Table1[[#This Row],[utf8]])</f>
        <v>128051</v>
      </c>
      <c r="J568" t="str">
        <f>_xlfn.UNICHAR(HEX2DEC(Table1[[#This Row],[utf8]]))</f>
        <v>🐳</v>
      </c>
      <c r="K568" s="3" t="str" cm="1">
        <f t="array" ref="K568">"Case "&amp;wRandomLetter()&amp;wRandomLetter()&amp;I568&amp;":    UniConst = ChrW(" &amp; I568 &amp;")"</f>
        <v>Case wh128051:    UniConst = ChrW(128051)</v>
      </c>
    </row>
    <row r="569" spans="1:11" hidden="1">
      <c r="A569" t="s">
        <v>3141</v>
      </c>
      <c r="B569" t="str">
        <f t="shared" si="50"/>
        <v>1F434 ; fully-qualified # 🐴 E0.6 horse face</v>
      </c>
      <c r="C569" t="str">
        <f t="shared" si="51"/>
        <v xml:space="preserve">1F434 </v>
      </c>
      <c r="D569">
        <f t="shared" si="52"/>
        <v>6</v>
      </c>
      <c r="E569" t="str">
        <f t="shared" si="48"/>
        <v xml:space="preserve"> 🐴 E0.6 horse face</v>
      </c>
      <c r="F569" t="b">
        <f t="shared" si="53"/>
        <v>1</v>
      </c>
      <c r="G569" t="str">
        <f t="shared" si="49"/>
        <v>1F434</v>
      </c>
      <c r="I569">
        <f>HEX2DEC(Table1[[#This Row],[utf8]])</f>
        <v>128052</v>
      </c>
      <c r="J569" t="str">
        <f>_xlfn.UNICHAR(HEX2DEC(Table1[[#This Row],[utf8]]))</f>
        <v>🐴</v>
      </c>
      <c r="K569" s="3" t="str" cm="1">
        <f t="array" ref="K569">"Case "&amp;wRandomLetter()&amp;wRandomLetter()&amp;I569&amp;":    UniConst = ChrW(" &amp; I569 &amp;")"</f>
        <v>Case Nj128052:    UniConst = ChrW(128052)</v>
      </c>
    </row>
    <row r="570" spans="1:11" hidden="1">
      <c r="A570" t="s">
        <v>3122</v>
      </c>
      <c r="B570" t="str">
        <f t="shared" si="50"/>
        <v>1F435 ; fully-qualified # 🐵 E0.6 monkey face</v>
      </c>
      <c r="C570" t="str">
        <f t="shared" si="51"/>
        <v xml:space="preserve">1F435 </v>
      </c>
      <c r="D570">
        <f t="shared" si="52"/>
        <v>6</v>
      </c>
      <c r="E570" t="str">
        <f t="shared" si="48"/>
        <v xml:space="preserve"> 🐵 E0.6 monkey face</v>
      </c>
      <c r="F570" t="b">
        <f t="shared" si="53"/>
        <v>1</v>
      </c>
      <c r="G570" t="str">
        <f t="shared" si="49"/>
        <v>1F435</v>
      </c>
      <c r="I570">
        <f>HEX2DEC(Table1[[#This Row],[utf8]])</f>
        <v>128053</v>
      </c>
      <c r="J570" t="str">
        <f>_xlfn.UNICHAR(HEX2DEC(Table1[[#This Row],[utf8]]))</f>
        <v>🐵</v>
      </c>
      <c r="K570" s="3" t="str" cm="1">
        <f t="array" ref="K570">"Case "&amp;wRandomLetter()&amp;wRandomLetter()&amp;I570&amp;":    UniConst = ChrW(" &amp; I570 &amp;")"</f>
        <v>Case fG128053:    UniConst = ChrW(128053)</v>
      </c>
    </row>
    <row r="571" spans="1:11" hidden="1">
      <c r="A571" t="s">
        <v>3126</v>
      </c>
      <c r="B571" t="str">
        <f t="shared" si="50"/>
        <v>1F436 ; fully-qualified # 🐶 E0.6 dog face</v>
      </c>
      <c r="C571" t="str">
        <f t="shared" si="51"/>
        <v xml:space="preserve">1F436 </v>
      </c>
      <c r="D571">
        <f t="shared" si="52"/>
        <v>6</v>
      </c>
      <c r="E571" t="str">
        <f t="shared" si="48"/>
        <v xml:space="preserve"> 🐶 E0.6 dog face</v>
      </c>
      <c r="F571" t="b">
        <f t="shared" si="53"/>
        <v>1</v>
      </c>
      <c r="G571" t="str">
        <f t="shared" si="49"/>
        <v>1F436</v>
      </c>
      <c r="I571">
        <f>HEX2DEC(Table1[[#This Row],[utf8]])</f>
        <v>128054</v>
      </c>
      <c r="J571" t="str">
        <f>_xlfn.UNICHAR(HEX2DEC(Table1[[#This Row],[utf8]]))</f>
        <v>🐶</v>
      </c>
      <c r="K571" s="3" t="str" cm="1">
        <f t="array" ref="K571">"Case "&amp;wRandomLetter()&amp;wRandomLetter()&amp;I571&amp;":    UniConst = ChrW(" &amp; I571 &amp;")"</f>
        <v>Case gq128054:    UniConst = ChrW(128054)</v>
      </c>
    </row>
    <row r="572" spans="1:11" hidden="1">
      <c r="A572" t="s">
        <v>3151</v>
      </c>
      <c r="B572" t="str">
        <f t="shared" si="50"/>
        <v>1F437 ; fully-qualified # 🐷 E0.6 pig face</v>
      </c>
      <c r="C572" t="str">
        <f t="shared" si="51"/>
        <v xml:space="preserve">1F437 </v>
      </c>
      <c r="D572">
        <f t="shared" si="52"/>
        <v>6</v>
      </c>
      <c r="E572" t="str">
        <f t="shared" si="48"/>
        <v xml:space="preserve"> 🐷 E0.6 pig face</v>
      </c>
      <c r="F572" t="b">
        <f t="shared" si="53"/>
        <v>1</v>
      </c>
      <c r="G572" t="str">
        <f t="shared" si="49"/>
        <v>1F437</v>
      </c>
      <c r="I572">
        <f>HEX2DEC(Table1[[#This Row],[utf8]])</f>
        <v>128055</v>
      </c>
      <c r="J572" t="str">
        <f>_xlfn.UNICHAR(HEX2DEC(Table1[[#This Row],[utf8]]))</f>
        <v>🐷</v>
      </c>
      <c r="K572" s="3" t="str" cm="1">
        <f t="array" ref="K572">"Case "&amp;wRandomLetter()&amp;wRandomLetter()&amp;I572&amp;":    UniConst = ChrW(" &amp; I572 &amp;")"</f>
        <v>Case lA128055:    UniConst = ChrW(128055)</v>
      </c>
    </row>
    <row r="573" spans="1:11" hidden="1">
      <c r="A573" t="s">
        <v>3209</v>
      </c>
      <c r="B573" t="str">
        <f t="shared" si="50"/>
        <v>1F438 ; fully-qualified # 🐸 E0.6 frog</v>
      </c>
      <c r="C573" t="str">
        <f t="shared" si="51"/>
        <v xml:space="preserve">1F438 </v>
      </c>
      <c r="D573">
        <f t="shared" si="52"/>
        <v>6</v>
      </c>
      <c r="E573" t="str">
        <f t="shared" si="48"/>
        <v xml:space="preserve"> 🐸 E0.6 frog</v>
      </c>
      <c r="F573" t="b">
        <f t="shared" si="53"/>
        <v>1</v>
      </c>
      <c r="G573" t="str">
        <f t="shared" si="49"/>
        <v>1F438</v>
      </c>
      <c r="I573">
        <f>HEX2DEC(Table1[[#This Row],[utf8]])</f>
        <v>128056</v>
      </c>
      <c r="J573" t="str">
        <f>_xlfn.UNICHAR(HEX2DEC(Table1[[#This Row],[utf8]]))</f>
        <v>🐸</v>
      </c>
      <c r="K573" s="3" t="str" cm="1">
        <f t="array" ref="K573">"Case "&amp;wRandomLetter()&amp;wRandomLetter()&amp;I573&amp;":    UniConst = ChrW(" &amp; I573 &amp;")"</f>
        <v>Case ii128056:    UniConst = ChrW(128056)</v>
      </c>
    </row>
    <row r="574" spans="1:11" hidden="1">
      <c r="A574" t="s">
        <v>3169</v>
      </c>
      <c r="B574" t="str">
        <f t="shared" si="50"/>
        <v>1F439 ; fully-qualified # 🐹 E0.6 hamster</v>
      </c>
      <c r="C574" t="str">
        <f t="shared" si="51"/>
        <v xml:space="preserve">1F439 </v>
      </c>
      <c r="D574">
        <f t="shared" si="52"/>
        <v>6</v>
      </c>
      <c r="E574" t="str">
        <f t="shared" si="48"/>
        <v xml:space="preserve"> 🐹 E0.6 hamster</v>
      </c>
      <c r="F574" t="b">
        <f t="shared" si="53"/>
        <v>1</v>
      </c>
      <c r="G574" t="str">
        <f t="shared" si="49"/>
        <v>1F439</v>
      </c>
      <c r="I574">
        <f>HEX2DEC(Table1[[#This Row],[utf8]])</f>
        <v>128057</v>
      </c>
      <c r="J574" t="str">
        <f>_xlfn.UNICHAR(HEX2DEC(Table1[[#This Row],[utf8]]))</f>
        <v>🐹</v>
      </c>
      <c r="K574" s="3" t="str" cm="1">
        <f t="array" ref="K574">"Case "&amp;wRandomLetter()&amp;wRandomLetter()&amp;I574&amp;":    UniConst = ChrW(" &amp; I574 &amp;")"</f>
        <v>Case je128057:    UniConst = ChrW(128057)</v>
      </c>
    </row>
    <row r="575" spans="1:11" hidden="1">
      <c r="A575" t="s">
        <v>3131</v>
      </c>
      <c r="B575" t="str">
        <f t="shared" si="50"/>
        <v>1F43A ; fully-qualified # 🐺 E0.6 wolf</v>
      </c>
      <c r="C575" t="str">
        <f t="shared" si="51"/>
        <v xml:space="preserve">1F43A </v>
      </c>
      <c r="D575">
        <f t="shared" si="52"/>
        <v>6</v>
      </c>
      <c r="E575" t="str">
        <f t="shared" si="48"/>
        <v xml:space="preserve"> 🐺 E0.6 wolf</v>
      </c>
      <c r="F575" t="b">
        <f t="shared" si="53"/>
        <v>1</v>
      </c>
      <c r="G575" t="str">
        <f t="shared" si="49"/>
        <v>1F43A</v>
      </c>
      <c r="I575">
        <f>HEX2DEC(Table1[[#This Row],[utf8]])</f>
        <v>128058</v>
      </c>
      <c r="J575" t="str">
        <f>_xlfn.UNICHAR(HEX2DEC(Table1[[#This Row],[utf8]]))</f>
        <v>🐺</v>
      </c>
      <c r="K575" s="3" t="str" cm="1">
        <f t="array" ref="K575">"Case "&amp;wRandomLetter()&amp;wRandomLetter()&amp;I575&amp;":    UniConst = ChrW(" &amp; I575 &amp;")"</f>
        <v>Case gD128058:    UniConst = ChrW(128058)</v>
      </c>
    </row>
    <row r="576" spans="1:11" hidden="1">
      <c r="A576" t="s">
        <v>3177</v>
      </c>
      <c r="B576" t="str">
        <f t="shared" si="50"/>
        <v>1F43B ; fully-qualified # 🐻 E0.6 bear</v>
      </c>
      <c r="C576" t="str">
        <f t="shared" si="51"/>
        <v xml:space="preserve">1F43B </v>
      </c>
      <c r="D576">
        <f t="shared" si="52"/>
        <v>6</v>
      </c>
      <c r="E576" t="str">
        <f t="shared" si="48"/>
        <v xml:space="preserve"> 🐻 E0.6 bear</v>
      </c>
      <c r="F576" t="b">
        <f t="shared" si="53"/>
        <v>1</v>
      </c>
      <c r="G576" t="str">
        <f t="shared" si="49"/>
        <v>1F43B</v>
      </c>
      <c r="I576">
        <f>HEX2DEC(Table1[[#This Row],[utf8]])</f>
        <v>128059</v>
      </c>
      <c r="J576" t="str">
        <f>_xlfn.UNICHAR(HEX2DEC(Table1[[#This Row],[utf8]]))</f>
        <v>🐻</v>
      </c>
      <c r="K576" s="3" t="str" cm="1">
        <f t="array" ref="K576">"Case "&amp;wRandomLetter()&amp;wRandomLetter()&amp;I576&amp;":    UniConst = ChrW(" &amp; I576 &amp;")"</f>
        <v>Case ZD128059:    UniConst = ChrW(128059)</v>
      </c>
    </row>
    <row r="577" spans="1:11" hidden="1">
      <c r="A577" t="s">
        <v>3179</v>
      </c>
      <c r="B577" t="str">
        <f t="shared" si="50"/>
        <v>1F43B 200D 2744 ; minimally-qualified # 🐻‍❄ E13.0 polar bear</v>
      </c>
      <c r="C577" t="str">
        <f t="shared" si="51"/>
        <v xml:space="preserve">1F43B 200D 2744 </v>
      </c>
      <c r="D577">
        <f t="shared" si="52"/>
        <v>16</v>
      </c>
      <c r="E577" t="str">
        <f t="shared" si="48"/>
        <v xml:space="preserve"> 🐻‍❄ E13.0 polar bear</v>
      </c>
      <c r="F577" t="b">
        <f t="shared" si="53"/>
        <v>1</v>
      </c>
      <c r="G577" t="str">
        <f t="shared" si="49"/>
        <v>1F43B</v>
      </c>
      <c r="I577">
        <f>HEX2DEC(Table1[[#This Row],[utf8]])</f>
        <v>128059</v>
      </c>
      <c r="J577" t="str">
        <f>_xlfn.UNICHAR(HEX2DEC(Table1[[#This Row],[utf8]]))</f>
        <v>🐻</v>
      </c>
      <c r="K577" s="3" t="str" cm="1">
        <f t="array" ref="K577">"Case "&amp;wRandomLetter()&amp;wRandomLetter()&amp;I577&amp;":    UniConst = ChrW(" &amp; I577 &amp;")"</f>
        <v>Case yT128059:    UniConst = ChrW(128059)</v>
      </c>
    </row>
    <row r="578" spans="1:11" hidden="1">
      <c r="A578" t="s">
        <v>3178</v>
      </c>
      <c r="B578" t="str">
        <f t="shared" si="50"/>
        <v>1F43B 200D 2744 FE0F ; fully-qualified # 🐻‍❄️ E13.0 polar bear</v>
      </c>
      <c r="C578" t="str">
        <f t="shared" si="51"/>
        <v xml:space="preserve">1F43B 200D 2744 FE0F </v>
      </c>
      <c r="D578">
        <f t="shared" si="52"/>
        <v>21</v>
      </c>
      <c r="E578" t="str">
        <f t="shared" ref="E578:E641" si="54">MID(A578,FIND("#",A578)+1,256)</f>
        <v xml:space="preserve"> 🐻‍❄️ E13.0 polar bear</v>
      </c>
      <c r="F578" t="b">
        <f t="shared" si="53"/>
        <v>1</v>
      </c>
      <c r="G578" t="str">
        <f t="shared" ref="G578:G641" si="55">LEFT(C578,(FIND(" ",C578,1)-1))</f>
        <v>1F43B</v>
      </c>
      <c r="I578">
        <f>HEX2DEC(Table1[[#This Row],[utf8]])</f>
        <v>128059</v>
      </c>
      <c r="J578" t="str">
        <f>_xlfn.UNICHAR(HEX2DEC(Table1[[#This Row],[utf8]]))</f>
        <v>🐻</v>
      </c>
      <c r="K578" s="3" t="str" cm="1">
        <f t="array" ref="K578">"Case "&amp;wRandomLetter()&amp;wRandomLetter()&amp;I578&amp;":    UniConst = ChrW(" &amp; I578 &amp;")"</f>
        <v>Case Li128059:    UniConst = ChrW(128059)</v>
      </c>
    </row>
    <row r="579" spans="1:11" hidden="1">
      <c r="A579" t="s">
        <v>3181</v>
      </c>
      <c r="B579" t="str">
        <f t="shared" ref="B579:B642" si="56">TRIM(A579)</f>
        <v>1F43C ; fully-qualified # 🐼 E0.6 panda</v>
      </c>
      <c r="C579" t="str">
        <f t="shared" ref="C579:C642" si="57">LEFT(B579,(FIND(";",B579,1)-1))</f>
        <v xml:space="preserve">1F43C </v>
      </c>
      <c r="D579">
        <f t="shared" ref="D579:D642" si="58">LEN(C579)</f>
        <v>6</v>
      </c>
      <c r="E579" t="str">
        <f t="shared" si="54"/>
        <v xml:space="preserve"> 🐼 E0.6 panda</v>
      </c>
      <c r="F579" t="b">
        <f t="shared" ref="F579:F642" si="59">IF(LEFT(C579,2)="1F",TRUE,FALSE)</f>
        <v>1</v>
      </c>
      <c r="G579" t="str">
        <f t="shared" si="55"/>
        <v>1F43C</v>
      </c>
      <c r="I579">
        <f>HEX2DEC(Table1[[#This Row],[utf8]])</f>
        <v>128060</v>
      </c>
      <c r="J579" t="str">
        <f>_xlfn.UNICHAR(HEX2DEC(Table1[[#This Row],[utf8]]))</f>
        <v>🐼</v>
      </c>
      <c r="K579" s="3" t="str" cm="1">
        <f t="array" ref="K579">"Case "&amp;wRandomLetter()&amp;wRandomLetter()&amp;I579&amp;":    UniConst = ChrW(" &amp; I579 &amp;")"</f>
        <v>Case lA128060:    UniConst = ChrW(128060)</v>
      </c>
    </row>
    <row r="580" spans="1:11" hidden="1">
      <c r="A580" t="s">
        <v>3154</v>
      </c>
      <c r="B580" t="str">
        <f t="shared" si="56"/>
        <v>1F43D ; fully-qualified # 🐽 E0.6 pig nose</v>
      </c>
      <c r="C580" t="str">
        <f t="shared" si="57"/>
        <v xml:space="preserve">1F43D </v>
      </c>
      <c r="D580">
        <f t="shared" si="58"/>
        <v>6</v>
      </c>
      <c r="E580" t="str">
        <f t="shared" si="54"/>
        <v xml:space="preserve"> 🐽 E0.6 pig nose</v>
      </c>
      <c r="F580" t="b">
        <f t="shared" si="59"/>
        <v>1</v>
      </c>
      <c r="G580" t="str">
        <f t="shared" si="55"/>
        <v>1F43D</v>
      </c>
      <c r="I580">
        <f>HEX2DEC(Table1[[#This Row],[utf8]])</f>
        <v>128061</v>
      </c>
      <c r="J580" t="str">
        <f>_xlfn.UNICHAR(HEX2DEC(Table1[[#This Row],[utf8]]))</f>
        <v>🐽</v>
      </c>
      <c r="K580" s="3" t="str" cm="1">
        <f t="array" ref="K580">"Case "&amp;wRandomLetter()&amp;wRandomLetter()&amp;I580&amp;":    UniConst = ChrW(" &amp; I580 &amp;")"</f>
        <v>Case TO128061:    UniConst = ChrW(128061)</v>
      </c>
    </row>
    <row r="581" spans="1:11" hidden="1">
      <c r="A581" t="s">
        <v>3187</v>
      </c>
      <c r="B581" t="str">
        <f t="shared" si="56"/>
        <v>1F43E ; fully-qualified # 🐾 E0.6 paw prints</v>
      </c>
      <c r="C581" t="str">
        <f t="shared" si="57"/>
        <v xml:space="preserve">1F43E </v>
      </c>
      <c r="D581">
        <f t="shared" si="58"/>
        <v>6</v>
      </c>
      <c r="E581" t="str">
        <f t="shared" si="54"/>
        <v xml:space="preserve"> 🐾 E0.6 paw prints</v>
      </c>
      <c r="F581" t="b">
        <f t="shared" si="59"/>
        <v>1</v>
      </c>
      <c r="G581" t="str">
        <f t="shared" si="55"/>
        <v>1F43E</v>
      </c>
      <c r="I581">
        <f>HEX2DEC(Table1[[#This Row],[utf8]])</f>
        <v>128062</v>
      </c>
      <c r="J581" t="str">
        <f>_xlfn.UNICHAR(HEX2DEC(Table1[[#This Row],[utf8]]))</f>
        <v>🐾</v>
      </c>
      <c r="K581" s="3" t="str" cm="1">
        <f t="array" ref="K581">"Case "&amp;wRandomLetter()&amp;wRandomLetter()&amp;I581&amp;":    UniConst = ChrW(" &amp; I581 &amp;")"</f>
        <v>Case BY128062:    UniConst = ChrW(128062)</v>
      </c>
    </row>
    <row r="582" spans="1:11" hidden="1">
      <c r="A582" t="s">
        <v>3173</v>
      </c>
      <c r="B582" t="str">
        <f t="shared" si="56"/>
        <v>1F43F ; unqualified # 🐿 E0.7 chipmunk</v>
      </c>
      <c r="C582" t="str">
        <f t="shared" si="57"/>
        <v xml:space="preserve">1F43F </v>
      </c>
      <c r="D582">
        <f t="shared" si="58"/>
        <v>6</v>
      </c>
      <c r="E582" t="str">
        <f t="shared" si="54"/>
        <v xml:space="preserve"> 🐿 E0.7 chipmunk</v>
      </c>
      <c r="F582" t="b">
        <f t="shared" si="59"/>
        <v>1</v>
      </c>
      <c r="G582" t="str">
        <f t="shared" si="55"/>
        <v>1F43F</v>
      </c>
      <c r="I582">
        <f>HEX2DEC(Table1[[#This Row],[utf8]])</f>
        <v>128063</v>
      </c>
      <c r="J582" t="str">
        <f>_xlfn.UNICHAR(HEX2DEC(Table1[[#This Row],[utf8]]))</f>
        <v>🐿</v>
      </c>
      <c r="K582" s="3" t="str" cm="1">
        <f t="array" ref="K582">"Case "&amp;wRandomLetter()&amp;wRandomLetter()&amp;I582&amp;":    UniConst = ChrW(" &amp; I582 &amp;")"</f>
        <v>Case ED128063:    UniConst = ChrW(128063)</v>
      </c>
    </row>
    <row r="583" spans="1:11" hidden="1">
      <c r="A583" t="s">
        <v>3172</v>
      </c>
      <c r="B583" t="str">
        <f t="shared" si="56"/>
        <v>1F43F FE0F ; fully-qualified # 🐿️ E0.7 chipmunk</v>
      </c>
      <c r="C583" t="str">
        <f t="shared" si="57"/>
        <v xml:space="preserve">1F43F FE0F </v>
      </c>
      <c r="D583">
        <f t="shared" si="58"/>
        <v>11</v>
      </c>
      <c r="E583" t="str">
        <f t="shared" si="54"/>
        <v xml:space="preserve"> 🐿️ E0.7 chipmunk</v>
      </c>
      <c r="F583" t="b">
        <f t="shared" si="59"/>
        <v>1</v>
      </c>
      <c r="G583" t="str">
        <f t="shared" si="55"/>
        <v>1F43F</v>
      </c>
      <c r="I583">
        <f>HEX2DEC(Table1[[#This Row],[utf8]])</f>
        <v>128063</v>
      </c>
      <c r="J583" t="str">
        <f>_xlfn.UNICHAR(HEX2DEC(Table1[[#This Row],[utf8]]))</f>
        <v>🐿</v>
      </c>
      <c r="K583" s="3" t="str" cm="1">
        <f t="array" ref="K583">"Case "&amp;wRandomLetter()&amp;wRandomLetter()&amp;I583&amp;":    UniConst = ChrW(" &amp; I583 &amp;")"</f>
        <v>Case xU128063:    UniConst = ChrW(128063)</v>
      </c>
    </row>
    <row r="584" spans="1:11" hidden="1">
      <c r="A584" t="s">
        <v>442</v>
      </c>
      <c r="B584" t="str">
        <f t="shared" si="56"/>
        <v>1F440 ; fully-qualified # 👀 E0.6 eyes</v>
      </c>
      <c r="C584" t="str">
        <f t="shared" si="57"/>
        <v xml:space="preserve">1F440 </v>
      </c>
      <c r="D584">
        <f t="shared" si="58"/>
        <v>6</v>
      </c>
      <c r="E584" t="str">
        <f t="shared" si="54"/>
        <v xml:space="preserve"> 👀 E0.6 eyes</v>
      </c>
      <c r="F584" t="b">
        <f t="shared" si="59"/>
        <v>1</v>
      </c>
      <c r="G584" t="str">
        <f t="shared" si="55"/>
        <v>1F440</v>
      </c>
      <c r="I584">
        <f>HEX2DEC(Table1[[#This Row],[utf8]])</f>
        <v>128064</v>
      </c>
      <c r="J584" t="str">
        <f>_xlfn.UNICHAR(HEX2DEC(Table1[[#This Row],[utf8]]))</f>
        <v>👀</v>
      </c>
      <c r="K584" s="3" t="str" cm="1">
        <f t="array" ref="K584">"Case "&amp;wRandomLetter()&amp;wRandomLetter()&amp;I584&amp;":    UniConst = ChrW(" &amp; I584 &amp;")"</f>
        <v>Case or128064:    UniConst = ChrW(128064)</v>
      </c>
    </row>
    <row r="585" spans="1:11" hidden="1">
      <c r="A585" t="s">
        <v>444</v>
      </c>
      <c r="B585" t="str">
        <f t="shared" si="56"/>
        <v>1F441 ; unqualified # 👁 E0.7 eye</v>
      </c>
      <c r="C585" t="str">
        <f t="shared" si="57"/>
        <v xml:space="preserve">1F441 </v>
      </c>
      <c r="D585">
        <f t="shared" si="58"/>
        <v>6</v>
      </c>
      <c r="E585" t="str">
        <f t="shared" si="54"/>
        <v xml:space="preserve"> 👁 E0.7 eye</v>
      </c>
      <c r="F585" t="b">
        <f t="shared" si="59"/>
        <v>1</v>
      </c>
      <c r="G585" t="str">
        <f t="shared" si="55"/>
        <v>1F441</v>
      </c>
      <c r="I585">
        <f>HEX2DEC(Table1[[#This Row],[utf8]])</f>
        <v>128065</v>
      </c>
      <c r="J585" t="str">
        <f>_xlfn.UNICHAR(HEX2DEC(Table1[[#This Row],[utf8]]))</f>
        <v>👁</v>
      </c>
      <c r="K585" s="3" t="str" cm="1">
        <f t="array" ref="K585">"Case "&amp;wRandomLetter()&amp;wRandomLetter()&amp;I585&amp;":    UniConst = ChrW(" &amp; I585 &amp;")"</f>
        <v>Case rd128065:    UniConst = ChrW(128065)</v>
      </c>
    </row>
    <row r="586" spans="1:11" hidden="1">
      <c r="A586" t="s">
        <v>179</v>
      </c>
      <c r="B586" t="str">
        <f t="shared" si="56"/>
        <v>1F441 200D 1F5E8 ; unqualified # 👁‍🗨 E2.0 eye in speech bubble</v>
      </c>
      <c r="C586" t="str">
        <f t="shared" si="57"/>
        <v xml:space="preserve">1F441 200D 1F5E8 </v>
      </c>
      <c r="D586">
        <f t="shared" si="58"/>
        <v>17</v>
      </c>
      <c r="E586" t="str">
        <f t="shared" si="54"/>
        <v xml:space="preserve"> 👁‍🗨 E2.0 eye in speech bubble</v>
      </c>
      <c r="F586" t="b">
        <f t="shared" si="59"/>
        <v>1</v>
      </c>
      <c r="G586" t="str">
        <f t="shared" si="55"/>
        <v>1F441</v>
      </c>
      <c r="I586">
        <f>HEX2DEC(Table1[[#This Row],[utf8]])</f>
        <v>128065</v>
      </c>
      <c r="J586" t="str">
        <f>_xlfn.UNICHAR(HEX2DEC(Table1[[#This Row],[utf8]]))</f>
        <v>👁</v>
      </c>
      <c r="K586" s="3" t="str" cm="1">
        <f t="array" ref="K586">"Case "&amp;wRandomLetter()&amp;wRandomLetter()&amp;I586&amp;":    UniConst = ChrW(" &amp; I586 &amp;")"</f>
        <v>Case Nj128065:    UniConst = ChrW(128065)</v>
      </c>
    </row>
    <row r="587" spans="1:11" hidden="1">
      <c r="A587" t="s">
        <v>177</v>
      </c>
      <c r="B587" t="str">
        <f t="shared" si="56"/>
        <v>1F441 200D 1F5E8 FE0F ; unqualified # 👁‍🗨️ E2.0 eye in speech bubble</v>
      </c>
      <c r="C587" t="str">
        <f t="shared" si="57"/>
        <v xml:space="preserve">1F441 200D 1F5E8 FE0F </v>
      </c>
      <c r="D587">
        <f t="shared" si="58"/>
        <v>22</v>
      </c>
      <c r="E587" t="str">
        <f t="shared" si="54"/>
        <v xml:space="preserve"> 👁‍🗨️ E2.0 eye in speech bubble</v>
      </c>
      <c r="F587" t="b">
        <f t="shared" si="59"/>
        <v>1</v>
      </c>
      <c r="G587" t="str">
        <f t="shared" si="55"/>
        <v>1F441</v>
      </c>
      <c r="I587">
        <f>HEX2DEC(Table1[[#This Row],[utf8]])</f>
        <v>128065</v>
      </c>
      <c r="J587" t="str">
        <f>_xlfn.UNICHAR(HEX2DEC(Table1[[#This Row],[utf8]]))</f>
        <v>👁</v>
      </c>
      <c r="K587" s="3" t="str" cm="1">
        <f t="array" ref="K587">"Case "&amp;wRandomLetter()&amp;wRandomLetter()&amp;I587&amp;":    UniConst = ChrW(" &amp; I587 &amp;")"</f>
        <v>Case Mu128065:    UniConst = ChrW(128065)</v>
      </c>
    </row>
    <row r="588" spans="1:11" hidden="1">
      <c r="A588" t="s">
        <v>443</v>
      </c>
      <c r="B588" t="str">
        <f t="shared" si="56"/>
        <v>1F441 FE0F ; fully-qualified # 👁️ E0.7 eye</v>
      </c>
      <c r="C588" t="str">
        <f t="shared" si="57"/>
        <v xml:space="preserve">1F441 FE0F </v>
      </c>
      <c r="D588">
        <f t="shared" si="58"/>
        <v>11</v>
      </c>
      <c r="E588" t="str">
        <f t="shared" si="54"/>
        <v xml:space="preserve"> 👁️ E0.7 eye</v>
      </c>
      <c r="F588" t="b">
        <f t="shared" si="59"/>
        <v>1</v>
      </c>
      <c r="G588" t="str">
        <f t="shared" si="55"/>
        <v>1F441</v>
      </c>
      <c r="I588">
        <f>HEX2DEC(Table1[[#This Row],[utf8]])</f>
        <v>128065</v>
      </c>
      <c r="J588" t="str">
        <f>_xlfn.UNICHAR(HEX2DEC(Table1[[#This Row],[utf8]]))</f>
        <v>👁</v>
      </c>
      <c r="K588" s="3" t="str" cm="1">
        <f t="array" ref="K588">"Case "&amp;wRandomLetter()&amp;wRandomLetter()&amp;I588&amp;":    UniConst = ChrW(" &amp; I588 &amp;")"</f>
        <v>Case yU128065:    UniConst = ChrW(128065)</v>
      </c>
    </row>
    <row r="589" spans="1:11" hidden="1">
      <c r="A589" t="s">
        <v>178</v>
      </c>
      <c r="B589" t="str">
        <f t="shared" si="56"/>
        <v>1F441 FE0F 200D 1F5E8 ; unqualified # 👁️‍🗨 E2.0 eye in speech bubble</v>
      </c>
      <c r="C589" t="str">
        <f t="shared" si="57"/>
        <v xml:space="preserve">1F441 FE0F 200D 1F5E8 </v>
      </c>
      <c r="D589">
        <f t="shared" si="58"/>
        <v>22</v>
      </c>
      <c r="E589" t="str">
        <f t="shared" si="54"/>
        <v xml:space="preserve"> 👁️‍🗨 E2.0 eye in speech bubble</v>
      </c>
      <c r="F589" t="b">
        <f t="shared" si="59"/>
        <v>1</v>
      </c>
      <c r="G589" t="str">
        <f t="shared" si="55"/>
        <v>1F441</v>
      </c>
      <c r="I589">
        <f>HEX2DEC(Table1[[#This Row],[utf8]])</f>
        <v>128065</v>
      </c>
      <c r="J589" t="str">
        <f>_xlfn.UNICHAR(HEX2DEC(Table1[[#This Row],[utf8]]))</f>
        <v>👁</v>
      </c>
      <c r="K589" s="3" t="str" cm="1">
        <f t="array" ref="K589">"Case "&amp;wRandomLetter()&amp;wRandomLetter()&amp;I589&amp;":    UniConst = ChrW(" &amp; I589 &amp;")"</f>
        <v>Case HV128065:    UniConst = ChrW(128065)</v>
      </c>
    </row>
    <row r="590" spans="1:11" hidden="1">
      <c r="A590" t="s">
        <v>176</v>
      </c>
      <c r="B590" t="str">
        <f t="shared" si="56"/>
        <v>1F441 FE0F 200D 1F5E8 FE0F ; fully-qualified # 👁️‍🗨️ E2.0 eye in speech bubble</v>
      </c>
      <c r="C590" t="str">
        <f t="shared" si="57"/>
        <v xml:space="preserve">1F441 FE0F 200D 1F5E8 FE0F </v>
      </c>
      <c r="D590">
        <f t="shared" si="58"/>
        <v>27</v>
      </c>
      <c r="E590" t="str">
        <f t="shared" si="54"/>
        <v xml:space="preserve"> 👁️‍🗨️ E2.0 eye in speech bubble</v>
      </c>
      <c r="F590" t="b">
        <f t="shared" si="59"/>
        <v>1</v>
      </c>
      <c r="G590" t="str">
        <f t="shared" si="55"/>
        <v>1F441</v>
      </c>
      <c r="I590">
        <f>HEX2DEC(Table1[[#This Row],[utf8]])</f>
        <v>128065</v>
      </c>
      <c r="J590" t="str">
        <f>_xlfn.UNICHAR(HEX2DEC(Table1[[#This Row],[utf8]]))</f>
        <v>👁</v>
      </c>
      <c r="K590" s="3" t="str" cm="1">
        <f t="array" ref="K590">"Case "&amp;wRandomLetter()&amp;wRandomLetter()&amp;I590&amp;":    UniConst = ChrW(" &amp; I590 &amp;")"</f>
        <v>Case ql128065:    UniConst = ChrW(128065)</v>
      </c>
    </row>
    <row r="591" spans="1:11" hidden="1">
      <c r="A591" t="s">
        <v>419</v>
      </c>
      <c r="B591" t="str">
        <f t="shared" si="56"/>
        <v>1F442 ; fully-qualified # 👂 E0.6 ear</v>
      </c>
      <c r="C591" t="str">
        <f t="shared" si="57"/>
        <v xml:space="preserve">1F442 </v>
      </c>
      <c r="D591">
        <f t="shared" si="58"/>
        <v>6</v>
      </c>
      <c r="E591" t="str">
        <f t="shared" si="54"/>
        <v xml:space="preserve"> 👂 E0.6 ear</v>
      </c>
      <c r="F591" t="b">
        <f t="shared" si="59"/>
        <v>1</v>
      </c>
      <c r="G591" t="str">
        <f t="shared" si="55"/>
        <v>1F442</v>
      </c>
      <c r="I591">
        <f>HEX2DEC(Table1[[#This Row],[utf8]])</f>
        <v>128066</v>
      </c>
      <c r="J591" t="str">
        <f>_xlfn.UNICHAR(HEX2DEC(Table1[[#This Row],[utf8]]))</f>
        <v>👂</v>
      </c>
      <c r="K591" s="3" t="str" cm="1">
        <f t="array" ref="K591">"Case "&amp;wRandomLetter()&amp;wRandomLetter()&amp;I591&amp;":    UniConst = ChrW(" &amp; I591 &amp;")"</f>
        <v>Case Cg128066:    UniConst = ChrW(128066)</v>
      </c>
    </row>
    <row r="592" spans="1:11" hidden="1">
      <c r="A592" t="s">
        <v>420</v>
      </c>
      <c r="B592" t="str">
        <f t="shared" si="56"/>
        <v>1F442 1F3FB ; fully-qualified # 👂🏻 E1.0 ear: light skin tone</v>
      </c>
      <c r="C592" t="str">
        <f t="shared" si="57"/>
        <v xml:space="preserve">1F442 1F3FB </v>
      </c>
      <c r="D592">
        <f t="shared" si="58"/>
        <v>12</v>
      </c>
      <c r="E592" t="str">
        <f t="shared" si="54"/>
        <v xml:space="preserve"> 👂🏻 E1.0 ear: light skin tone</v>
      </c>
      <c r="F592" t="b">
        <f t="shared" si="59"/>
        <v>1</v>
      </c>
      <c r="G592" t="str">
        <f t="shared" si="55"/>
        <v>1F442</v>
      </c>
      <c r="I592">
        <f>HEX2DEC(Table1[[#This Row],[utf8]])</f>
        <v>128066</v>
      </c>
      <c r="J592" t="str">
        <f>_xlfn.UNICHAR(HEX2DEC(Table1[[#This Row],[utf8]]))</f>
        <v>👂</v>
      </c>
      <c r="K592" s="3" t="str" cm="1">
        <f t="array" ref="K592">"Case "&amp;wRandomLetter()&amp;wRandomLetter()&amp;I592&amp;":    UniConst = ChrW(" &amp; I592 &amp;")"</f>
        <v>Case sB128066:    UniConst = ChrW(128066)</v>
      </c>
    </row>
    <row r="593" spans="1:11" hidden="1">
      <c r="A593" t="s">
        <v>421</v>
      </c>
      <c r="B593" t="str">
        <f t="shared" si="56"/>
        <v>1F442 1F3FC ; fully-qualified # 👂🏼 E1.0 ear: medium-light skin tone</v>
      </c>
      <c r="C593" t="str">
        <f t="shared" si="57"/>
        <v xml:space="preserve">1F442 1F3FC </v>
      </c>
      <c r="D593">
        <f t="shared" si="58"/>
        <v>12</v>
      </c>
      <c r="E593" t="str">
        <f t="shared" si="54"/>
        <v xml:space="preserve"> 👂🏼 E1.0 ear: medium-light skin tone</v>
      </c>
      <c r="F593" t="b">
        <f t="shared" si="59"/>
        <v>1</v>
      </c>
      <c r="G593" t="str">
        <f t="shared" si="55"/>
        <v>1F442</v>
      </c>
      <c r="I593">
        <f>HEX2DEC(Table1[[#This Row],[utf8]])</f>
        <v>128066</v>
      </c>
      <c r="J593" t="str">
        <f>_xlfn.UNICHAR(HEX2DEC(Table1[[#This Row],[utf8]]))</f>
        <v>👂</v>
      </c>
      <c r="K593" s="3" t="str" cm="1">
        <f t="array" ref="K593">"Case "&amp;wRandomLetter()&amp;wRandomLetter()&amp;I593&amp;":    UniConst = ChrW(" &amp; I593 &amp;")"</f>
        <v>Case ac128066:    UniConst = ChrW(128066)</v>
      </c>
    </row>
    <row r="594" spans="1:11" hidden="1">
      <c r="A594" t="s">
        <v>422</v>
      </c>
      <c r="B594" t="str">
        <f t="shared" si="56"/>
        <v>1F442 1F3FD ; fully-qualified # 👂🏽 E1.0 ear: medium skin tone</v>
      </c>
      <c r="C594" t="str">
        <f t="shared" si="57"/>
        <v xml:space="preserve">1F442 1F3FD </v>
      </c>
      <c r="D594">
        <f t="shared" si="58"/>
        <v>12</v>
      </c>
      <c r="E594" t="str">
        <f t="shared" si="54"/>
        <v xml:space="preserve"> 👂🏽 E1.0 ear: medium skin tone</v>
      </c>
      <c r="F594" t="b">
        <f t="shared" si="59"/>
        <v>1</v>
      </c>
      <c r="G594" t="str">
        <f t="shared" si="55"/>
        <v>1F442</v>
      </c>
      <c r="I594">
        <f>HEX2DEC(Table1[[#This Row],[utf8]])</f>
        <v>128066</v>
      </c>
      <c r="J594" t="str">
        <f>_xlfn.UNICHAR(HEX2DEC(Table1[[#This Row],[utf8]]))</f>
        <v>👂</v>
      </c>
      <c r="K594" s="3" t="str" cm="1">
        <f t="array" ref="K594">"Case "&amp;wRandomLetter()&amp;wRandomLetter()&amp;I594&amp;":    UniConst = ChrW(" &amp; I594 &amp;")"</f>
        <v>Case Tz128066:    UniConst = ChrW(128066)</v>
      </c>
    </row>
    <row r="595" spans="1:11" hidden="1">
      <c r="A595" t="s">
        <v>423</v>
      </c>
      <c r="B595" t="str">
        <f t="shared" si="56"/>
        <v>1F442 1F3FE ; fully-qualified # 👂🏾 E1.0 ear: medium-dark skin tone</v>
      </c>
      <c r="C595" t="str">
        <f t="shared" si="57"/>
        <v xml:space="preserve">1F442 1F3FE </v>
      </c>
      <c r="D595">
        <f t="shared" si="58"/>
        <v>12</v>
      </c>
      <c r="E595" t="str">
        <f t="shared" si="54"/>
        <v xml:space="preserve"> 👂🏾 E1.0 ear: medium-dark skin tone</v>
      </c>
      <c r="F595" t="b">
        <f t="shared" si="59"/>
        <v>1</v>
      </c>
      <c r="G595" t="str">
        <f t="shared" si="55"/>
        <v>1F442</v>
      </c>
      <c r="I595">
        <f>HEX2DEC(Table1[[#This Row],[utf8]])</f>
        <v>128066</v>
      </c>
      <c r="J595" t="str">
        <f>_xlfn.UNICHAR(HEX2DEC(Table1[[#This Row],[utf8]]))</f>
        <v>👂</v>
      </c>
      <c r="K595" s="3" t="str" cm="1">
        <f t="array" ref="K595">"Case "&amp;wRandomLetter()&amp;wRandomLetter()&amp;I595&amp;":    UniConst = ChrW(" &amp; I595 &amp;")"</f>
        <v>Case Aw128066:    UniConst = ChrW(128066)</v>
      </c>
    </row>
    <row r="596" spans="1:11" hidden="1">
      <c r="A596" t="s">
        <v>424</v>
      </c>
      <c r="B596" t="str">
        <f t="shared" si="56"/>
        <v>1F442 1F3FF ; fully-qualified # 👂🏿 E1.0 ear: dark skin tone</v>
      </c>
      <c r="C596" t="str">
        <f t="shared" si="57"/>
        <v xml:space="preserve">1F442 1F3FF </v>
      </c>
      <c r="D596">
        <f t="shared" si="58"/>
        <v>12</v>
      </c>
      <c r="E596" t="str">
        <f t="shared" si="54"/>
        <v xml:space="preserve"> 👂🏿 E1.0 ear: dark skin tone</v>
      </c>
      <c r="F596" t="b">
        <f t="shared" si="59"/>
        <v>1</v>
      </c>
      <c r="G596" t="str">
        <f t="shared" si="55"/>
        <v>1F442</v>
      </c>
      <c r="I596">
        <f>HEX2DEC(Table1[[#This Row],[utf8]])</f>
        <v>128066</v>
      </c>
      <c r="J596" t="str">
        <f>_xlfn.UNICHAR(HEX2DEC(Table1[[#This Row],[utf8]]))</f>
        <v>👂</v>
      </c>
      <c r="K596" s="3" t="str" cm="1">
        <f t="array" ref="K596">"Case "&amp;wRandomLetter()&amp;wRandomLetter()&amp;I596&amp;":    UniConst = ChrW(" &amp; I596 &amp;")"</f>
        <v>Case pD128066:    UniConst = ChrW(128066)</v>
      </c>
    </row>
    <row r="597" spans="1:11" hidden="1">
      <c r="A597" t="s">
        <v>431</v>
      </c>
      <c r="B597" t="str">
        <f t="shared" si="56"/>
        <v>1F443 ; fully-qualified # 👃 E0.6 nose</v>
      </c>
      <c r="C597" t="str">
        <f t="shared" si="57"/>
        <v xml:space="preserve">1F443 </v>
      </c>
      <c r="D597">
        <f t="shared" si="58"/>
        <v>6</v>
      </c>
      <c r="E597" t="str">
        <f t="shared" si="54"/>
        <v xml:space="preserve"> 👃 E0.6 nose</v>
      </c>
      <c r="F597" t="b">
        <f t="shared" si="59"/>
        <v>1</v>
      </c>
      <c r="G597" t="str">
        <f t="shared" si="55"/>
        <v>1F443</v>
      </c>
      <c r="I597">
        <f>HEX2DEC(Table1[[#This Row],[utf8]])</f>
        <v>128067</v>
      </c>
      <c r="J597" t="str">
        <f>_xlfn.UNICHAR(HEX2DEC(Table1[[#This Row],[utf8]]))</f>
        <v>👃</v>
      </c>
      <c r="K597" s="3" t="str" cm="1">
        <f t="array" ref="K597">"Case "&amp;wRandomLetter()&amp;wRandomLetter()&amp;I597&amp;":    UniConst = ChrW(" &amp; I597 &amp;")"</f>
        <v>Case fe128067:    UniConst = ChrW(128067)</v>
      </c>
    </row>
    <row r="598" spans="1:11" hidden="1">
      <c r="A598" t="s">
        <v>432</v>
      </c>
      <c r="B598" t="str">
        <f t="shared" si="56"/>
        <v>1F443 1F3FB ; fully-qualified # 👃🏻 E1.0 nose: light skin tone</v>
      </c>
      <c r="C598" t="str">
        <f t="shared" si="57"/>
        <v xml:space="preserve">1F443 1F3FB </v>
      </c>
      <c r="D598">
        <f t="shared" si="58"/>
        <v>12</v>
      </c>
      <c r="E598" t="str">
        <f t="shared" si="54"/>
        <v xml:space="preserve"> 👃🏻 E1.0 nose: light skin tone</v>
      </c>
      <c r="F598" t="b">
        <f t="shared" si="59"/>
        <v>1</v>
      </c>
      <c r="G598" t="str">
        <f t="shared" si="55"/>
        <v>1F443</v>
      </c>
      <c r="I598">
        <f>HEX2DEC(Table1[[#This Row],[utf8]])</f>
        <v>128067</v>
      </c>
      <c r="J598" t="str">
        <f>_xlfn.UNICHAR(HEX2DEC(Table1[[#This Row],[utf8]]))</f>
        <v>👃</v>
      </c>
      <c r="K598" s="3" t="str" cm="1">
        <f t="array" ref="K598">"Case "&amp;wRandomLetter()&amp;wRandomLetter()&amp;I598&amp;":    UniConst = ChrW(" &amp; I598 &amp;")"</f>
        <v>Case cO128067:    UniConst = ChrW(128067)</v>
      </c>
    </row>
    <row r="599" spans="1:11" hidden="1">
      <c r="A599" t="s">
        <v>433</v>
      </c>
      <c r="B599" t="str">
        <f t="shared" si="56"/>
        <v>1F443 1F3FC ; fully-qualified # 👃🏼 E1.0 nose: medium-light skin tone</v>
      </c>
      <c r="C599" t="str">
        <f t="shared" si="57"/>
        <v xml:space="preserve">1F443 1F3FC </v>
      </c>
      <c r="D599">
        <f t="shared" si="58"/>
        <v>12</v>
      </c>
      <c r="E599" t="str">
        <f t="shared" si="54"/>
        <v xml:space="preserve"> 👃🏼 E1.0 nose: medium-light skin tone</v>
      </c>
      <c r="F599" t="b">
        <f t="shared" si="59"/>
        <v>1</v>
      </c>
      <c r="G599" t="str">
        <f t="shared" si="55"/>
        <v>1F443</v>
      </c>
      <c r="I599">
        <f>HEX2DEC(Table1[[#This Row],[utf8]])</f>
        <v>128067</v>
      </c>
      <c r="J599" t="str">
        <f>_xlfn.UNICHAR(HEX2DEC(Table1[[#This Row],[utf8]]))</f>
        <v>👃</v>
      </c>
      <c r="K599" s="3" t="str" cm="1">
        <f t="array" ref="K599">"Case "&amp;wRandomLetter()&amp;wRandomLetter()&amp;I599&amp;":    UniConst = ChrW(" &amp; I599 &amp;")"</f>
        <v>Case HW128067:    UniConst = ChrW(128067)</v>
      </c>
    </row>
    <row r="600" spans="1:11" hidden="1">
      <c r="A600" t="s">
        <v>434</v>
      </c>
      <c r="B600" t="str">
        <f t="shared" si="56"/>
        <v>1F443 1F3FD ; fully-qualified # 👃🏽 E1.0 nose: medium skin tone</v>
      </c>
      <c r="C600" t="str">
        <f t="shared" si="57"/>
        <v xml:space="preserve">1F443 1F3FD </v>
      </c>
      <c r="D600">
        <f t="shared" si="58"/>
        <v>12</v>
      </c>
      <c r="E600" t="str">
        <f t="shared" si="54"/>
        <v xml:space="preserve"> 👃🏽 E1.0 nose: medium skin tone</v>
      </c>
      <c r="F600" t="b">
        <f t="shared" si="59"/>
        <v>1</v>
      </c>
      <c r="G600" t="str">
        <f t="shared" si="55"/>
        <v>1F443</v>
      </c>
      <c r="I600">
        <f>HEX2DEC(Table1[[#This Row],[utf8]])</f>
        <v>128067</v>
      </c>
      <c r="J600" t="str">
        <f>_xlfn.UNICHAR(HEX2DEC(Table1[[#This Row],[utf8]]))</f>
        <v>👃</v>
      </c>
      <c r="K600" s="3" t="str" cm="1">
        <f t="array" ref="K600">"Case "&amp;wRandomLetter()&amp;wRandomLetter()&amp;I600&amp;":    UniConst = ChrW(" &amp; I600 &amp;")"</f>
        <v>Case tr128067:    UniConst = ChrW(128067)</v>
      </c>
    </row>
    <row r="601" spans="1:11" hidden="1">
      <c r="A601" t="s">
        <v>435</v>
      </c>
      <c r="B601" t="str">
        <f t="shared" si="56"/>
        <v>1F443 1F3FE ; fully-qualified # 👃🏾 E1.0 nose: medium-dark skin tone</v>
      </c>
      <c r="C601" t="str">
        <f t="shared" si="57"/>
        <v xml:space="preserve">1F443 1F3FE </v>
      </c>
      <c r="D601">
        <f t="shared" si="58"/>
        <v>12</v>
      </c>
      <c r="E601" t="str">
        <f t="shared" si="54"/>
        <v xml:space="preserve"> 👃🏾 E1.0 nose: medium-dark skin tone</v>
      </c>
      <c r="F601" t="b">
        <f t="shared" si="59"/>
        <v>1</v>
      </c>
      <c r="G601" t="str">
        <f t="shared" si="55"/>
        <v>1F443</v>
      </c>
      <c r="I601">
        <f>HEX2DEC(Table1[[#This Row],[utf8]])</f>
        <v>128067</v>
      </c>
      <c r="J601" t="str">
        <f>_xlfn.UNICHAR(HEX2DEC(Table1[[#This Row],[utf8]]))</f>
        <v>👃</v>
      </c>
      <c r="K601" s="3" t="str" cm="1">
        <f t="array" ref="K601">"Case "&amp;wRandomLetter()&amp;wRandomLetter()&amp;I601&amp;":    UniConst = ChrW(" &amp; I601 &amp;")"</f>
        <v>Case TO128067:    UniConst = ChrW(128067)</v>
      </c>
    </row>
    <row r="602" spans="1:11" hidden="1">
      <c r="A602" t="s">
        <v>436</v>
      </c>
      <c r="B602" t="str">
        <f t="shared" si="56"/>
        <v>1F443 1F3FF ; fully-qualified # 👃🏿 E1.0 nose: dark skin tone</v>
      </c>
      <c r="C602" t="str">
        <f t="shared" si="57"/>
        <v xml:space="preserve">1F443 1F3FF </v>
      </c>
      <c r="D602">
        <f t="shared" si="58"/>
        <v>12</v>
      </c>
      <c r="E602" t="str">
        <f t="shared" si="54"/>
        <v xml:space="preserve"> 👃🏿 E1.0 nose: dark skin tone</v>
      </c>
      <c r="F602" t="b">
        <f t="shared" si="59"/>
        <v>1</v>
      </c>
      <c r="G602" t="str">
        <f t="shared" si="55"/>
        <v>1F443</v>
      </c>
      <c r="I602">
        <f>HEX2DEC(Table1[[#This Row],[utf8]])</f>
        <v>128067</v>
      </c>
      <c r="J602" t="str">
        <f>_xlfn.UNICHAR(HEX2DEC(Table1[[#This Row],[utf8]]))</f>
        <v>👃</v>
      </c>
      <c r="K602" s="3" t="str" cm="1">
        <f t="array" ref="K602">"Case "&amp;wRandomLetter()&amp;wRandomLetter()&amp;I602&amp;":    UniConst = ChrW(" &amp; I602 &amp;")"</f>
        <v>Case uQ128067:    UniConst = ChrW(128067)</v>
      </c>
    </row>
    <row r="603" spans="1:11" hidden="1">
      <c r="A603" t="s">
        <v>446</v>
      </c>
      <c r="B603" t="str">
        <f t="shared" si="56"/>
        <v>1F444 ; fully-qualified # 👄 E0.6 mouth</v>
      </c>
      <c r="C603" t="str">
        <f t="shared" si="57"/>
        <v xml:space="preserve">1F444 </v>
      </c>
      <c r="D603">
        <f t="shared" si="58"/>
        <v>6</v>
      </c>
      <c r="E603" t="str">
        <f t="shared" si="54"/>
        <v xml:space="preserve"> 👄 E0.6 mouth</v>
      </c>
      <c r="F603" t="b">
        <f t="shared" si="59"/>
        <v>1</v>
      </c>
      <c r="G603" t="str">
        <f t="shared" si="55"/>
        <v>1F444</v>
      </c>
      <c r="I603">
        <f>HEX2DEC(Table1[[#This Row],[utf8]])</f>
        <v>128068</v>
      </c>
      <c r="J603" t="str">
        <f>_xlfn.UNICHAR(HEX2DEC(Table1[[#This Row],[utf8]]))</f>
        <v>👄</v>
      </c>
      <c r="K603" s="3" t="str" cm="1">
        <f t="array" ref="K603">"Case "&amp;wRandomLetter()&amp;wRandomLetter()&amp;I603&amp;":    UniConst = ChrW(" &amp; I603 &amp;")"</f>
        <v>Case Ez128068:    UniConst = ChrW(128068)</v>
      </c>
    </row>
    <row r="604" spans="1:11" hidden="1">
      <c r="A604" t="s">
        <v>445</v>
      </c>
      <c r="B604" t="str">
        <f t="shared" si="56"/>
        <v>1F445 ; fully-qualified # 👅 E0.6 tongue</v>
      </c>
      <c r="C604" t="str">
        <f t="shared" si="57"/>
        <v xml:space="preserve">1F445 </v>
      </c>
      <c r="D604">
        <f t="shared" si="58"/>
        <v>6</v>
      </c>
      <c r="E604" t="str">
        <f t="shared" si="54"/>
        <v xml:space="preserve"> 👅 E0.6 tongue</v>
      </c>
      <c r="F604" t="b">
        <f t="shared" si="59"/>
        <v>1</v>
      </c>
      <c r="G604" t="str">
        <f t="shared" si="55"/>
        <v>1F445</v>
      </c>
      <c r="I604">
        <f>HEX2DEC(Table1[[#This Row],[utf8]])</f>
        <v>128069</v>
      </c>
      <c r="J604" t="str">
        <f>_xlfn.UNICHAR(HEX2DEC(Table1[[#This Row],[utf8]]))</f>
        <v>👅</v>
      </c>
      <c r="K604" s="3" t="str" cm="1">
        <f t="array" ref="K604">"Case "&amp;wRandomLetter()&amp;wRandomLetter()&amp;I604&amp;":    UniConst = ChrW(" &amp; I604 &amp;")"</f>
        <v>Case Lw128069:    UniConst = ChrW(128069)</v>
      </c>
    </row>
    <row r="605" spans="1:11" hidden="1">
      <c r="A605" t="s">
        <v>284</v>
      </c>
      <c r="B605" t="str">
        <f t="shared" si="56"/>
        <v>1F446 ; fully-qualified # 👆 E0.6 backhand index pointing up</v>
      </c>
      <c r="C605" t="str">
        <f t="shared" si="57"/>
        <v xml:space="preserve">1F446 </v>
      </c>
      <c r="D605">
        <f t="shared" si="58"/>
        <v>6</v>
      </c>
      <c r="E605" t="str">
        <f t="shared" si="54"/>
        <v xml:space="preserve"> 👆 E0.6 backhand index pointing up</v>
      </c>
      <c r="F605" t="b">
        <f t="shared" si="59"/>
        <v>1</v>
      </c>
      <c r="G605" t="str">
        <f t="shared" si="55"/>
        <v>1F446</v>
      </c>
      <c r="I605">
        <f>HEX2DEC(Table1[[#This Row],[utf8]])</f>
        <v>128070</v>
      </c>
      <c r="J605" t="str">
        <f>_xlfn.UNICHAR(HEX2DEC(Table1[[#This Row],[utf8]]))</f>
        <v>👆</v>
      </c>
      <c r="K605" s="3" t="str" cm="1">
        <f t="array" ref="K605">"Case "&amp;wRandomLetter()&amp;wRandomLetter()&amp;I605&amp;":    UniConst = ChrW(" &amp; I605 &amp;")"</f>
        <v>Case VJ128070:    UniConst = ChrW(128070)</v>
      </c>
    </row>
    <row r="606" spans="1:11" hidden="1">
      <c r="A606" t="s">
        <v>285</v>
      </c>
      <c r="B606" t="str">
        <f t="shared" si="56"/>
        <v>1F446 1F3FB ; fully-qualified # 👆🏻 E1.0 backhand index pointing up: light skin tone</v>
      </c>
      <c r="C606" t="str">
        <f t="shared" si="57"/>
        <v xml:space="preserve">1F446 1F3FB </v>
      </c>
      <c r="D606">
        <f t="shared" si="58"/>
        <v>12</v>
      </c>
      <c r="E606" t="str">
        <f t="shared" si="54"/>
        <v xml:space="preserve"> 👆🏻 E1.0 backhand index pointing up: light skin tone</v>
      </c>
      <c r="F606" t="b">
        <f t="shared" si="59"/>
        <v>1</v>
      </c>
      <c r="G606" t="str">
        <f t="shared" si="55"/>
        <v>1F446</v>
      </c>
      <c r="I606">
        <f>HEX2DEC(Table1[[#This Row],[utf8]])</f>
        <v>128070</v>
      </c>
      <c r="J606" t="str">
        <f>_xlfn.UNICHAR(HEX2DEC(Table1[[#This Row],[utf8]]))</f>
        <v>👆</v>
      </c>
      <c r="K606" s="3" t="str" cm="1">
        <f t="array" ref="K606">"Case "&amp;wRandomLetter()&amp;wRandomLetter()&amp;I606&amp;":    UniConst = ChrW(" &amp; I606 &amp;")"</f>
        <v>Case FN128070:    UniConst = ChrW(128070)</v>
      </c>
    </row>
    <row r="607" spans="1:11" hidden="1">
      <c r="A607" t="s">
        <v>286</v>
      </c>
      <c r="B607" t="str">
        <f t="shared" si="56"/>
        <v>1F446 1F3FC ; fully-qualified # 👆🏼 E1.0 backhand index pointing up: medium-light skin tone</v>
      </c>
      <c r="C607" t="str">
        <f t="shared" si="57"/>
        <v xml:space="preserve">1F446 1F3FC </v>
      </c>
      <c r="D607">
        <f t="shared" si="58"/>
        <v>12</v>
      </c>
      <c r="E607" t="str">
        <f t="shared" si="54"/>
        <v xml:space="preserve"> 👆🏼 E1.0 backhand index pointing up: medium-light skin tone</v>
      </c>
      <c r="F607" t="b">
        <f t="shared" si="59"/>
        <v>1</v>
      </c>
      <c r="G607" t="str">
        <f t="shared" si="55"/>
        <v>1F446</v>
      </c>
      <c r="I607">
        <f>HEX2DEC(Table1[[#This Row],[utf8]])</f>
        <v>128070</v>
      </c>
      <c r="J607" t="str">
        <f>_xlfn.UNICHAR(HEX2DEC(Table1[[#This Row],[utf8]]))</f>
        <v>👆</v>
      </c>
      <c r="K607" s="3" t="str" cm="1">
        <f t="array" ref="K607">"Case "&amp;wRandomLetter()&amp;wRandomLetter()&amp;I607&amp;":    UniConst = ChrW(" &amp; I607 &amp;")"</f>
        <v>Case Nc128070:    UniConst = ChrW(128070)</v>
      </c>
    </row>
    <row r="608" spans="1:11" hidden="1">
      <c r="A608" t="s">
        <v>287</v>
      </c>
      <c r="B608" t="str">
        <f t="shared" si="56"/>
        <v>1F446 1F3FD ; fully-qualified # 👆🏽 E1.0 backhand index pointing up: medium skin tone</v>
      </c>
      <c r="C608" t="str">
        <f t="shared" si="57"/>
        <v xml:space="preserve">1F446 1F3FD </v>
      </c>
      <c r="D608">
        <f t="shared" si="58"/>
        <v>12</v>
      </c>
      <c r="E608" t="str">
        <f t="shared" si="54"/>
        <v xml:space="preserve"> 👆🏽 E1.0 backhand index pointing up: medium skin tone</v>
      </c>
      <c r="F608" t="b">
        <f t="shared" si="59"/>
        <v>1</v>
      </c>
      <c r="G608" t="str">
        <f t="shared" si="55"/>
        <v>1F446</v>
      </c>
      <c r="I608">
        <f>HEX2DEC(Table1[[#This Row],[utf8]])</f>
        <v>128070</v>
      </c>
      <c r="J608" t="str">
        <f>_xlfn.UNICHAR(HEX2DEC(Table1[[#This Row],[utf8]]))</f>
        <v>👆</v>
      </c>
      <c r="K608" s="3" t="str" cm="1">
        <f t="array" ref="K608">"Case "&amp;wRandomLetter()&amp;wRandomLetter()&amp;I608&amp;":    UniConst = ChrW(" &amp; I608 &amp;")"</f>
        <v>Case wv128070:    UniConst = ChrW(128070)</v>
      </c>
    </row>
    <row r="609" spans="1:11" hidden="1">
      <c r="A609" t="s">
        <v>288</v>
      </c>
      <c r="B609" t="str">
        <f t="shared" si="56"/>
        <v>1F446 1F3FE ; fully-qualified # 👆🏾 E1.0 backhand index pointing up: medium-dark skin tone</v>
      </c>
      <c r="C609" t="str">
        <f t="shared" si="57"/>
        <v xml:space="preserve">1F446 1F3FE </v>
      </c>
      <c r="D609">
        <f t="shared" si="58"/>
        <v>12</v>
      </c>
      <c r="E609" t="str">
        <f t="shared" si="54"/>
        <v xml:space="preserve"> 👆🏾 E1.0 backhand index pointing up: medium-dark skin tone</v>
      </c>
      <c r="F609" t="b">
        <f t="shared" si="59"/>
        <v>1</v>
      </c>
      <c r="G609" t="str">
        <f t="shared" si="55"/>
        <v>1F446</v>
      </c>
      <c r="I609">
        <f>HEX2DEC(Table1[[#This Row],[utf8]])</f>
        <v>128070</v>
      </c>
      <c r="J609" t="str">
        <f>_xlfn.UNICHAR(HEX2DEC(Table1[[#This Row],[utf8]]))</f>
        <v>👆</v>
      </c>
      <c r="K609" s="3" t="str" cm="1">
        <f t="array" ref="K609">"Case "&amp;wRandomLetter()&amp;wRandomLetter()&amp;I609&amp;":    UniConst = ChrW(" &amp; I609 &amp;")"</f>
        <v>Case Qh128070:    UniConst = ChrW(128070)</v>
      </c>
    </row>
    <row r="610" spans="1:11" hidden="1">
      <c r="A610" t="s">
        <v>289</v>
      </c>
      <c r="B610" t="str">
        <f t="shared" si="56"/>
        <v>1F446 1F3FF ; fully-qualified # 👆🏿 E1.0 backhand index pointing up: dark skin tone</v>
      </c>
      <c r="C610" t="str">
        <f t="shared" si="57"/>
        <v xml:space="preserve">1F446 1F3FF </v>
      </c>
      <c r="D610">
        <f t="shared" si="58"/>
        <v>12</v>
      </c>
      <c r="E610" t="str">
        <f t="shared" si="54"/>
        <v xml:space="preserve"> 👆🏿 E1.0 backhand index pointing up: dark skin tone</v>
      </c>
      <c r="F610" t="b">
        <f t="shared" si="59"/>
        <v>1</v>
      </c>
      <c r="G610" t="str">
        <f t="shared" si="55"/>
        <v>1F446</v>
      </c>
      <c r="I610">
        <f>HEX2DEC(Table1[[#This Row],[utf8]])</f>
        <v>128070</v>
      </c>
      <c r="J610" t="str">
        <f>_xlfn.UNICHAR(HEX2DEC(Table1[[#This Row],[utf8]]))</f>
        <v>👆</v>
      </c>
      <c r="K610" s="3" t="str" cm="1">
        <f t="array" ref="K610">"Case "&amp;wRandomLetter()&amp;wRandomLetter()&amp;I610&amp;":    UniConst = ChrW(" &amp; I610 &amp;")"</f>
        <v>Case to128070:    UniConst = ChrW(128070)</v>
      </c>
    </row>
    <row r="611" spans="1:11" hidden="1">
      <c r="A611" t="s">
        <v>296</v>
      </c>
      <c r="B611" t="str">
        <f t="shared" si="56"/>
        <v>1F447 ; fully-qualified # 👇 E0.6 backhand index pointing down</v>
      </c>
      <c r="C611" t="str">
        <f t="shared" si="57"/>
        <v xml:space="preserve">1F447 </v>
      </c>
      <c r="D611">
        <f t="shared" si="58"/>
        <v>6</v>
      </c>
      <c r="E611" t="str">
        <f t="shared" si="54"/>
        <v xml:space="preserve"> 👇 E0.6 backhand index pointing down</v>
      </c>
      <c r="F611" t="b">
        <f t="shared" si="59"/>
        <v>1</v>
      </c>
      <c r="G611" t="str">
        <f t="shared" si="55"/>
        <v>1F447</v>
      </c>
      <c r="I611">
        <f>HEX2DEC(Table1[[#This Row],[utf8]])</f>
        <v>128071</v>
      </c>
      <c r="J611" t="str">
        <f>_xlfn.UNICHAR(HEX2DEC(Table1[[#This Row],[utf8]]))</f>
        <v>👇</v>
      </c>
      <c r="K611" s="3" t="str" cm="1">
        <f t="array" ref="K611">"Case "&amp;wRandomLetter()&amp;wRandomLetter()&amp;I611&amp;":    UniConst = ChrW(" &amp; I611 &amp;")"</f>
        <v>Case gQ128071:    UniConst = ChrW(128071)</v>
      </c>
    </row>
    <row r="612" spans="1:11" hidden="1">
      <c r="A612" t="s">
        <v>297</v>
      </c>
      <c r="B612" t="str">
        <f t="shared" si="56"/>
        <v>1F447 1F3FB ; fully-qualified # 👇🏻 E1.0 backhand index pointing down: light skin tone</v>
      </c>
      <c r="C612" t="str">
        <f t="shared" si="57"/>
        <v xml:space="preserve">1F447 1F3FB </v>
      </c>
      <c r="D612">
        <f t="shared" si="58"/>
        <v>12</v>
      </c>
      <c r="E612" t="str">
        <f t="shared" si="54"/>
        <v xml:space="preserve"> 👇🏻 E1.0 backhand index pointing down: light skin tone</v>
      </c>
      <c r="F612" t="b">
        <f t="shared" si="59"/>
        <v>1</v>
      </c>
      <c r="G612" t="str">
        <f t="shared" si="55"/>
        <v>1F447</v>
      </c>
      <c r="I612">
        <f>HEX2DEC(Table1[[#This Row],[utf8]])</f>
        <v>128071</v>
      </c>
      <c r="J612" t="str">
        <f>_xlfn.UNICHAR(HEX2DEC(Table1[[#This Row],[utf8]]))</f>
        <v>👇</v>
      </c>
      <c r="K612" s="3" t="str" cm="1">
        <f t="array" ref="K612">"Case "&amp;wRandomLetter()&amp;wRandomLetter()&amp;I612&amp;":    UniConst = ChrW(" &amp; I612 &amp;")"</f>
        <v>Case Hm128071:    UniConst = ChrW(128071)</v>
      </c>
    </row>
    <row r="613" spans="1:11" hidden="1">
      <c r="A613" t="s">
        <v>298</v>
      </c>
      <c r="B613" t="str">
        <f t="shared" si="56"/>
        <v>1F447 1F3FC ; fully-qualified # 👇🏼 E1.0 backhand index pointing down: medium-light skin tone</v>
      </c>
      <c r="C613" t="str">
        <f t="shared" si="57"/>
        <v xml:space="preserve">1F447 1F3FC </v>
      </c>
      <c r="D613">
        <f t="shared" si="58"/>
        <v>12</v>
      </c>
      <c r="E613" t="str">
        <f t="shared" si="54"/>
        <v xml:space="preserve"> 👇🏼 E1.0 backhand index pointing down: medium-light skin tone</v>
      </c>
      <c r="F613" t="b">
        <f t="shared" si="59"/>
        <v>1</v>
      </c>
      <c r="G613" t="str">
        <f t="shared" si="55"/>
        <v>1F447</v>
      </c>
      <c r="I613">
        <f>HEX2DEC(Table1[[#This Row],[utf8]])</f>
        <v>128071</v>
      </c>
      <c r="J613" t="str">
        <f>_xlfn.UNICHAR(HEX2DEC(Table1[[#This Row],[utf8]]))</f>
        <v>👇</v>
      </c>
      <c r="K613" s="3" t="str" cm="1">
        <f t="array" ref="K613">"Case "&amp;wRandomLetter()&amp;wRandomLetter()&amp;I613&amp;":    UniConst = ChrW(" &amp; I613 &amp;")"</f>
        <v>Case xX128071:    UniConst = ChrW(128071)</v>
      </c>
    </row>
    <row r="614" spans="1:11" hidden="1">
      <c r="A614" t="s">
        <v>299</v>
      </c>
      <c r="B614" t="str">
        <f t="shared" si="56"/>
        <v>1F447 1F3FD ; fully-qualified # 👇🏽 E1.0 backhand index pointing down: medium skin tone</v>
      </c>
      <c r="C614" t="str">
        <f t="shared" si="57"/>
        <v xml:space="preserve">1F447 1F3FD </v>
      </c>
      <c r="D614">
        <f t="shared" si="58"/>
        <v>12</v>
      </c>
      <c r="E614" t="str">
        <f t="shared" si="54"/>
        <v xml:space="preserve"> 👇🏽 E1.0 backhand index pointing down: medium skin tone</v>
      </c>
      <c r="F614" t="b">
        <f t="shared" si="59"/>
        <v>1</v>
      </c>
      <c r="G614" t="str">
        <f t="shared" si="55"/>
        <v>1F447</v>
      </c>
      <c r="I614">
        <f>HEX2DEC(Table1[[#This Row],[utf8]])</f>
        <v>128071</v>
      </c>
      <c r="J614" t="str">
        <f>_xlfn.UNICHAR(HEX2DEC(Table1[[#This Row],[utf8]]))</f>
        <v>👇</v>
      </c>
      <c r="K614" s="3" t="str" cm="1">
        <f t="array" ref="K614">"Case "&amp;wRandomLetter()&amp;wRandomLetter()&amp;I614&amp;":    UniConst = ChrW(" &amp; I614 &amp;")"</f>
        <v>Case eI128071:    UniConst = ChrW(128071)</v>
      </c>
    </row>
    <row r="615" spans="1:11" hidden="1">
      <c r="A615" t="s">
        <v>300</v>
      </c>
      <c r="B615" t="str">
        <f t="shared" si="56"/>
        <v>1F447 1F3FE ; fully-qualified # 👇🏾 E1.0 backhand index pointing down: medium-dark skin tone</v>
      </c>
      <c r="C615" t="str">
        <f t="shared" si="57"/>
        <v xml:space="preserve">1F447 1F3FE </v>
      </c>
      <c r="D615">
        <f t="shared" si="58"/>
        <v>12</v>
      </c>
      <c r="E615" t="str">
        <f t="shared" si="54"/>
        <v xml:space="preserve"> 👇🏾 E1.0 backhand index pointing down: medium-dark skin tone</v>
      </c>
      <c r="F615" t="b">
        <f t="shared" si="59"/>
        <v>1</v>
      </c>
      <c r="G615" t="str">
        <f t="shared" si="55"/>
        <v>1F447</v>
      </c>
      <c r="I615">
        <f>HEX2DEC(Table1[[#This Row],[utf8]])</f>
        <v>128071</v>
      </c>
      <c r="J615" t="str">
        <f>_xlfn.UNICHAR(HEX2DEC(Table1[[#This Row],[utf8]]))</f>
        <v>👇</v>
      </c>
      <c r="K615" s="3" t="str" cm="1">
        <f t="array" ref="K615">"Case "&amp;wRandomLetter()&amp;wRandomLetter()&amp;I615&amp;":    UniConst = ChrW(" &amp; I615 &amp;")"</f>
        <v>Case Dc128071:    UniConst = ChrW(128071)</v>
      </c>
    </row>
    <row r="616" spans="1:11" hidden="1">
      <c r="A616" t="s">
        <v>301</v>
      </c>
      <c r="B616" t="str">
        <f t="shared" si="56"/>
        <v>1F447 1F3FF ; fully-qualified # 👇🏿 E1.0 backhand index pointing down: dark skin tone</v>
      </c>
      <c r="C616" t="str">
        <f t="shared" si="57"/>
        <v xml:space="preserve">1F447 1F3FF </v>
      </c>
      <c r="D616">
        <f t="shared" si="58"/>
        <v>12</v>
      </c>
      <c r="E616" t="str">
        <f t="shared" si="54"/>
        <v xml:space="preserve"> 👇🏿 E1.0 backhand index pointing down: dark skin tone</v>
      </c>
      <c r="F616" t="b">
        <f t="shared" si="59"/>
        <v>1</v>
      </c>
      <c r="G616" t="str">
        <f t="shared" si="55"/>
        <v>1F447</v>
      </c>
      <c r="I616">
        <f>HEX2DEC(Table1[[#This Row],[utf8]])</f>
        <v>128071</v>
      </c>
      <c r="J616" t="str">
        <f>_xlfn.UNICHAR(HEX2DEC(Table1[[#This Row],[utf8]]))</f>
        <v>👇</v>
      </c>
      <c r="K616" s="3" t="str" cm="1">
        <f t="array" ref="K616">"Case "&amp;wRandomLetter()&amp;wRandomLetter()&amp;I616&amp;":    UniConst = ChrW(" &amp; I616 &amp;")"</f>
        <v>Case Eo128071:    UniConst = ChrW(128071)</v>
      </c>
    </row>
    <row r="617" spans="1:11" hidden="1">
      <c r="A617" t="s">
        <v>272</v>
      </c>
      <c r="B617" t="str">
        <f t="shared" si="56"/>
        <v>1F448 ; fully-qualified # 👈 E0.6 backhand index pointing left</v>
      </c>
      <c r="C617" t="str">
        <f t="shared" si="57"/>
        <v xml:space="preserve">1F448 </v>
      </c>
      <c r="D617">
        <f t="shared" si="58"/>
        <v>6</v>
      </c>
      <c r="E617" t="str">
        <f t="shared" si="54"/>
        <v xml:space="preserve"> 👈 E0.6 backhand index pointing left</v>
      </c>
      <c r="F617" t="b">
        <f t="shared" si="59"/>
        <v>1</v>
      </c>
      <c r="G617" t="str">
        <f t="shared" si="55"/>
        <v>1F448</v>
      </c>
      <c r="I617">
        <f>HEX2DEC(Table1[[#This Row],[utf8]])</f>
        <v>128072</v>
      </c>
      <c r="J617" t="str">
        <f>_xlfn.UNICHAR(HEX2DEC(Table1[[#This Row],[utf8]]))</f>
        <v>👈</v>
      </c>
      <c r="K617" s="3" t="str" cm="1">
        <f t="array" ref="K617">"Case "&amp;wRandomLetter()&amp;wRandomLetter()&amp;I617&amp;":    UniConst = ChrW(" &amp; I617 &amp;")"</f>
        <v>Case RV128072:    UniConst = ChrW(128072)</v>
      </c>
    </row>
    <row r="618" spans="1:11" hidden="1">
      <c r="A618" t="s">
        <v>273</v>
      </c>
      <c r="B618" t="str">
        <f t="shared" si="56"/>
        <v>1F448 1F3FB ; fully-qualified # 👈🏻 E1.0 backhand index pointing left: light skin tone</v>
      </c>
      <c r="C618" t="str">
        <f t="shared" si="57"/>
        <v xml:space="preserve">1F448 1F3FB </v>
      </c>
      <c r="D618">
        <f t="shared" si="58"/>
        <v>12</v>
      </c>
      <c r="E618" t="str">
        <f t="shared" si="54"/>
        <v xml:space="preserve"> 👈🏻 E1.0 backhand index pointing left: light skin tone</v>
      </c>
      <c r="F618" t="b">
        <f t="shared" si="59"/>
        <v>1</v>
      </c>
      <c r="G618" t="str">
        <f t="shared" si="55"/>
        <v>1F448</v>
      </c>
      <c r="I618">
        <f>HEX2DEC(Table1[[#This Row],[utf8]])</f>
        <v>128072</v>
      </c>
      <c r="J618" t="str">
        <f>_xlfn.UNICHAR(HEX2DEC(Table1[[#This Row],[utf8]]))</f>
        <v>👈</v>
      </c>
      <c r="K618" s="3" t="str" cm="1">
        <f t="array" ref="K618">"Case "&amp;wRandomLetter()&amp;wRandomLetter()&amp;I618&amp;":    UniConst = ChrW(" &amp; I618 &amp;")"</f>
        <v>Case pD128072:    UniConst = ChrW(128072)</v>
      </c>
    </row>
    <row r="619" spans="1:11" hidden="1">
      <c r="A619" t="s">
        <v>274</v>
      </c>
      <c r="B619" t="str">
        <f t="shared" si="56"/>
        <v>1F448 1F3FC ; fully-qualified # 👈🏼 E1.0 backhand index pointing left: medium-light skin tone</v>
      </c>
      <c r="C619" t="str">
        <f t="shared" si="57"/>
        <v xml:space="preserve">1F448 1F3FC </v>
      </c>
      <c r="D619">
        <f t="shared" si="58"/>
        <v>12</v>
      </c>
      <c r="E619" t="str">
        <f t="shared" si="54"/>
        <v xml:space="preserve"> 👈🏼 E1.0 backhand index pointing left: medium-light skin tone</v>
      </c>
      <c r="F619" t="b">
        <f t="shared" si="59"/>
        <v>1</v>
      </c>
      <c r="G619" t="str">
        <f t="shared" si="55"/>
        <v>1F448</v>
      </c>
      <c r="I619">
        <f>HEX2DEC(Table1[[#This Row],[utf8]])</f>
        <v>128072</v>
      </c>
      <c r="J619" t="str">
        <f>_xlfn.UNICHAR(HEX2DEC(Table1[[#This Row],[utf8]]))</f>
        <v>👈</v>
      </c>
      <c r="K619" s="3" t="str" cm="1">
        <f t="array" ref="K619">"Case "&amp;wRandomLetter()&amp;wRandomLetter()&amp;I619&amp;":    UniConst = ChrW(" &amp; I619 &amp;")"</f>
        <v>Case rO128072:    UniConst = ChrW(128072)</v>
      </c>
    </row>
    <row r="620" spans="1:11" hidden="1">
      <c r="A620" t="s">
        <v>275</v>
      </c>
      <c r="B620" t="str">
        <f t="shared" si="56"/>
        <v>1F448 1F3FD ; fully-qualified # 👈🏽 E1.0 backhand index pointing left: medium skin tone</v>
      </c>
      <c r="C620" t="str">
        <f t="shared" si="57"/>
        <v xml:space="preserve">1F448 1F3FD </v>
      </c>
      <c r="D620">
        <f t="shared" si="58"/>
        <v>12</v>
      </c>
      <c r="E620" t="str">
        <f t="shared" si="54"/>
        <v xml:space="preserve"> 👈🏽 E1.0 backhand index pointing left: medium skin tone</v>
      </c>
      <c r="F620" t="b">
        <f t="shared" si="59"/>
        <v>1</v>
      </c>
      <c r="G620" t="str">
        <f t="shared" si="55"/>
        <v>1F448</v>
      </c>
      <c r="I620">
        <f>HEX2DEC(Table1[[#This Row],[utf8]])</f>
        <v>128072</v>
      </c>
      <c r="J620" t="str">
        <f>_xlfn.UNICHAR(HEX2DEC(Table1[[#This Row],[utf8]]))</f>
        <v>👈</v>
      </c>
      <c r="K620" s="3" t="str" cm="1">
        <f t="array" ref="K620">"Case "&amp;wRandomLetter()&amp;wRandomLetter()&amp;I620&amp;":    UniConst = ChrW(" &amp; I620 &amp;")"</f>
        <v>Case Oo128072:    UniConst = ChrW(128072)</v>
      </c>
    </row>
    <row r="621" spans="1:11" hidden="1">
      <c r="A621" t="s">
        <v>276</v>
      </c>
      <c r="B621" t="str">
        <f t="shared" si="56"/>
        <v>1F448 1F3FE ; fully-qualified # 👈🏾 E1.0 backhand index pointing left: medium-dark skin tone</v>
      </c>
      <c r="C621" t="str">
        <f t="shared" si="57"/>
        <v xml:space="preserve">1F448 1F3FE </v>
      </c>
      <c r="D621">
        <f t="shared" si="58"/>
        <v>12</v>
      </c>
      <c r="E621" t="str">
        <f t="shared" si="54"/>
        <v xml:space="preserve"> 👈🏾 E1.0 backhand index pointing left: medium-dark skin tone</v>
      </c>
      <c r="F621" t="b">
        <f t="shared" si="59"/>
        <v>1</v>
      </c>
      <c r="G621" t="str">
        <f t="shared" si="55"/>
        <v>1F448</v>
      </c>
      <c r="I621">
        <f>HEX2DEC(Table1[[#This Row],[utf8]])</f>
        <v>128072</v>
      </c>
      <c r="J621" t="str">
        <f>_xlfn.UNICHAR(HEX2DEC(Table1[[#This Row],[utf8]]))</f>
        <v>👈</v>
      </c>
      <c r="K621" s="3" t="str" cm="1">
        <f t="array" ref="K621">"Case "&amp;wRandomLetter()&amp;wRandomLetter()&amp;I621&amp;":    UniConst = ChrW(" &amp; I621 &amp;")"</f>
        <v>Case HX128072:    UniConst = ChrW(128072)</v>
      </c>
    </row>
    <row r="622" spans="1:11" hidden="1">
      <c r="A622" t="s">
        <v>277</v>
      </c>
      <c r="B622" t="str">
        <f t="shared" si="56"/>
        <v>1F448 1F3FF ; fully-qualified # 👈🏿 E1.0 backhand index pointing left: dark skin tone</v>
      </c>
      <c r="C622" t="str">
        <f t="shared" si="57"/>
        <v xml:space="preserve">1F448 1F3FF </v>
      </c>
      <c r="D622">
        <f t="shared" si="58"/>
        <v>12</v>
      </c>
      <c r="E622" t="str">
        <f t="shared" si="54"/>
        <v xml:space="preserve"> 👈🏿 E1.0 backhand index pointing left: dark skin tone</v>
      </c>
      <c r="F622" t="b">
        <f t="shared" si="59"/>
        <v>1</v>
      </c>
      <c r="G622" t="str">
        <f t="shared" si="55"/>
        <v>1F448</v>
      </c>
      <c r="I622">
        <f>HEX2DEC(Table1[[#This Row],[utf8]])</f>
        <v>128072</v>
      </c>
      <c r="J622" t="str">
        <f>_xlfn.UNICHAR(HEX2DEC(Table1[[#This Row],[utf8]]))</f>
        <v>👈</v>
      </c>
      <c r="K622" s="3" t="str" cm="1">
        <f t="array" ref="K622">"Case "&amp;wRandomLetter()&amp;wRandomLetter()&amp;I622&amp;":    UniConst = ChrW(" &amp; I622 &amp;")"</f>
        <v>Case TC128072:    UniConst = ChrW(128072)</v>
      </c>
    </row>
    <row r="623" spans="1:11" hidden="1">
      <c r="A623" t="s">
        <v>278</v>
      </c>
      <c r="B623" t="str">
        <f t="shared" si="56"/>
        <v>1F449 ; fully-qualified # 👉 E0.6 backhand index pointing right</v>
      </c>
      <c r="C623" t="str">
        <f t="shared" si="57"/>
        <v xml:space="preserve">1F449 </v>
      </c>
      <c r="D623">
        <f t="shared" si="58"/>
        <v>6</v>
      </c>
      <c r="E623" t="str">
        <f t="shared" si="54"/>
        <v xml:space="preserve"> 👉 E0.6 backhand index pointing right</v>
      </c>
      <c r="F623" t="b">
        <f t="shared" si="59"/>
        <v>1</v>
      </c>
      <c r="G623" t="str">
        <f t="shared" si="55"/>
        <v>1F449</v>
      </c>
      <c r="I623">
        <f>HEX2DEC(Table1[[#This Row],[utf8]])</f>
        <v>128073</v>
      </c>
      <c r="J623" t="str">
        <f>_xlfn.UNICHAR(HEX2DEC(Table1[[#This Row],[utf8]]))</f>
        <v>👉</v>
      </c>
      <c r="K623" s="3" t="str" cm="1">
        <f t="array" ref="K623">"Case "&amp;wRandomLetter()&amp;wRandomLetter()&amp;I623&amp;":    UniConst = ChrW(" &amp; I623 &amp;")"</f>
        <v>Case ln128073:    UniConst = ChrW(128073)</v>
      </c>
    </row>
    <row r="624" spans="1:11" hidden="1">
      <c r="A624" t="s">
        <v>279</v>
      </c>
      <c r="B624" t="str">
        <f t="shared" si="56"/>
        <v>1F449 1F3FB ; fully-qualified # 👉🏻 E1.0 backhand index pointing right: light skin tone</v>
      </c>
      <c r="C624" t="str">
        <f t="shared" si="57"/>
        <v xml:space="preserve">1F449 1F3FB </v>
      </c>
      <c r="D624">
        <f t="shared" si="58"/>
        <v>12</v>
      </c>
      <c r="E624" t="str">
        <f t="shared" si="54"/>
        <v xml:space="preserve"> 👉🏻 E1.0 backhand index pointing right: light skin tone</v>
      </c>
      <c r="F624" t="b">
        <f t="shared" si="59"/>
        <v>1</v>
      </c>
      <c r="G624" t="str">
        <f t="shared" si="55"/>
        <v>1F449</v>
      </c>
      <c r="I624">
        <f>HEX2DEC(Table1[[#This Row],[utf8]])</f>
        <v>128073</v>
      </c>
      <c r="J624" t="str">
        <f>_xlfn.UNICHAR(HEX2DEC(Table1[[#This Row],[utf8]]))</f>
        <v>👉</v>
      </c>
      <c r="K624" s="3" t="str" cm="1">
        <f t="array" ref="K624">"Case "&amp;wRandomLetter()&amp;wRandomLetter()&amp;I624&amp;":    UniConst = ChrW(" &amp; I624 &amp;")"</f>
        <v>Case uF128073:    UniConst = ChrW(128073)</v>
      </c>
    </row>
    <row r="625" spans="1:11" hidden="1">
      <c r="A625" t="s">
        <v>280</v>
      </c>
      <c r="B625" t="str">
        <f t="shared" si="56"/>
        <v>1F449 1F3FC ; fully-qualified # 👉🏼 E1.0 backhand index pointing right: medium-light skin tone</v>
      </c>
      <c r="C625" t="str">
        <f t="shared" si="57"/>
        <v xml:space="preserve">1F449 1F3FC </v>
      </c>
      <c r="D625">
        <f t="shared" si="58"/>
        <v>12</v>
      </c>
      <c r="E625" t="str">
        <f t="shared" si="54"/>
        <v xml:space="preserve"> 👉🏼 E1.0 backhand index pointing right: medium-light skin tone</v>
      </c>
      <c r="F625" t="b">
        <f t="shared" si="59"/>
        <v>1</v>
      </c>
      <c r="G625" t="str">
        <f t="shared" si="55"/>
        <v>1F449</v>
      </c>
      <c r="I625">
        <f>HEX2DEC(Table1[[#This Row],[utf8]])</f>
        <v>128073</v>
      </c>
      <c r="J625" t="str">
        <f>_xlfn.UNICHAR(HEX2DEC(Table1[[#This Row],[utf8]]))</f>
        <v>👉</v>
      </c>
      <c r="K625" s="3" t="str" cm="1">
        <f t="array" ref="K625">"Case "&amp;wRandomLetter()&amp;wRandomLetter()&amp;I625&amp;":    UniConst = ChrW(" &amp; I625 &amp;")"</f>
        <v>Case FN128073:    UniConst = ChrW(128073)</v>
      </c>
    </row>
    <row r="626" spans="1:11" hidden="1">
      <c r="A626" t="s">
        <v>281</v>
      </c>
      <c r="B626" t="str">
        <f t="shared" si="56"/>
        <v>1F449 1F3FD ; fully-qualified # 👉🏽 E1.0 backhand index pointing right: medium skin tone</v>
      </c>
      <c r="C626" t="str">
        <f t="shared" si="57"/>
        <v xml:space="preserve">1F449 1F3FD </v>
      </c>
      <c r="D626">
        <f t="shared" si="58"/>
        <v>12</v>
      </c>
      <c r="E626" t="str">
        <f t="shared" si="54"/>
        <v xml:space="preserve"> 👉🏽 E1.0 backhand index pointing right: medium skin tone</v>
      </c>
      <c r="F626" t="b">
        <f t="shared" si="59"/>
        <v>1</v>
      </c>
      <c r="G626" t="str">
        <f t="shared" si="55"/>
        <v>1F449</v>
      </c>
      <c r="I626">
        <f>HEX2DEC(Table1[[#This Row],[utf8]])</f>
        <v>128073</v>
      </c>
      <c r="J626" t="str">
        <f>_xlfn.UNICHAR(HEX2DEC(Table1[[#This Row],[utf8]]))</f>
        <v>👉</v>
      </c>
      <c r="K626" s="3" t="str" cm="1">
        <f t="array" ref="K626">"Case "&amp;wRandomLetter()&amp;wRandomLetter()&amp;I626&amp;":    UniConst = ChrW(" &amp; I626 &amp;")"</f>
        <v>Case NS128073:    UniConst = ChrW(128073)</v>
      </c>
    </row>
    <row r="627" spans="1:11" hidden="1">
      <c r="A627" t="s">
        <v>282</v>
      </c>
      <c r="B627" t="str">
        <f t="shared" si="56"/>
        <v>1F449 1F3FE ; fully-qualified # 👉🏾 E1.0 backhand index pointing right: medium-dark skin tone</v>
      </c>
      <c r="C627" t="str">
        <f t="shared" si="57"/>
        <v xml:space="preserve">1F449 1F3FE </v>
      </c>
      <c r="D627">
        <f t="shared" si="58"/>
        <v>12</v>
      </c>
      <c r="E627" t="str">
        <f t="shared" si="54"/>
        <v xml:space="preserve"> 👉🏾 E1.0 backhand index pointing right: medium-dark skin tone</v>
      </c>
      <c r="F627" t="b">
        <f t="shared" si="59"/>
        <v>1</v>
      </c>
      <c r="G627" t="str">
        <f t="shared" si="55"/>
        <v>1F449</v>
      </c>
      <c r="I627">
        <f>HEX2DEC(Table1[[#This Row],[utf8]])</f>
        <v>128073</v>
      </c>
      <c r="J627" t="str">
        <f>_xlfn.UNICHAR(HEX2DEC(Table1[[#This Row],[utf8]]))</f>
        <v>👉</v>
      </c>
      <c r="K627" s="3" t="str" cm="1">
        <f t="array" ref="K627">"Case "&amp;wRandomLetter()&amp;wRandomLetter()&amp;I627&amp;":    UniConst = ChrW(" &amp; I627 &amp;")"</f>
        <v>Case Ep128073:    UniConst = ChrW(128073)</v>
      </c>
    </row>
    <row r="628" spans="1:11" hidden="1">
      <c r="A628" t="s">
        <v>283</v>
      </c>
      <c r="B628" t="str">
        <f t="shared" si="56"/>
        <v>1F449 1F3FF ; fully-qualified # 👉🏿 E1.0 backhand index pointing right: dark skin tone</v>
      </c>
      <c r="C628" t="str">
        <f t="shared" si="57"/>
        <v xml:space="preserve">1F449 1F3FF </v>
      </c>
      <c r="D628">
        <f t="shared" si="58"/>
        <v>12</v>
      </c>
      <c r="E628" t="str">
        <f t="shared" si="54"/>
        <v xml:space="preserve"> 👉🏿 E1.0 backhand index pointing right: dark skin tone</v>
      </c>
      <c r="F628" t="b">
        <f t="shared" si="59"/>
        <v>1</v>
      </c>
      <c r="G628" t="str">
        <f t="shared" si="55"/>
        <v>1F449</v>
      </c>
      <c r="I628">
        <f>HEX2DEC(Table1[[#This Row],[utf8]])</f>
        <v>128073</v>
      </c>
      <c r="J628" t="str">
        <f>_xlfn.UNICHAR(HEX2DEC(Table1[[#This Row],[utf8]]))</f>
        <v>👉</v>
      </c>
      <c r="K628" s="3" t="str" cm="1">
        <f t="array" ref="K628">"Case "&amp;wRandomLetter()&amp;wRandomLetter()&amp;I628&amp;":    UniConst = ChrW(" &amp; I628 &amp;")"</f>
        <v>Case Lh128073:    UniConst = ChrW(128073)</v>
      </c>
    </row>
    <row r="629" spans="1:11" hidden="1">
      <c r="A629" t="s">
        <v>328</v>
      </c>
      <c r="B629" t="str">
        <f t="shared" si="56"/>
        <v>1F44A ; fully-qualified # 👊 E0.6 oncoming fist</v>
      </c>
      <c r="C629" t="str">
        <f t="shared" si="57"/>
        <v xml:space="preserve">1F44A </v>
      </c>
      <c r="D629">
        <f t="shared" si="58"/>
        <v>6</v>
      </c>
      <c r="E629" t="str">
        <f t="shared" si="54"/>
        <v xml:space="preserve"> 👊 E0.6 oncoming fist</v>
      </c>
      <c r="F629" t="b">
        <f t="shared" si="59"/>
        <v>1</v>
      </c>
      <c r="G629" t="str">
        <f t="shared" si="55"/>
        <v>1F44A</v>
      </c>
      <c r="I629">
        <f>HEX2DEC(Table1[[#This Row],[utf8]])</f>
        <v>128074</v>
      </c>
      <c r="J629" t="str">
        <f>_xlfn.UNICHAR(HEX2DEC(Table1[[#This Row],[utf8]]))</f>
        <v>👊</v>
      </c>
      <c r="K629" s="3" t="str" cm="1">
        <f t="array" ref="K629">"Case "&amp;wRandomLetter()&amp;wRandomLetter()&amp;I629&amp;":    UniConst = ChrW(" &amp; I629 &amp;")"</f>
        <v>Case Qh128074:    UniConst = ChrW(128074)</v>
      </c>
    </row>
    <row r="630" spans="1:11" hidden="1">
      <c r="A630" t="s">
        <v>329</v>
      </c>
      <c r="B630" t="str">
        <f t="shared" si="56"/>
        <v>1F44A 1F3FB ; fully-qualified # 👊🏻 E1.0 oncoming fist: light skin tone</v>
      </c>
      <c r="C630" t="str">
        <f t="shared" si="57"/>
        <v xml:space="preserve">1F44A 1F3FB </v>
      </c>
      <c r="D630">
        <f t="shared" si="58"/>
        <v>12</v>
      </c>
      <c r="E630" t="str">
        <f t="shared" si="54"/>
        <v xml:space="preserve"> 👊🏻 E1.0 oncoming fist: light skin tone</v>
      </c>
      <c r="F630" t="b">
        <f t="shared" si="59"/>
        <v>1</v>
      </c>
      <c r="G630" t="str">
        <f t="shared" si="55"/>
        <v>1F44A</v>
      </c>
      <c r="I630">
        <f>HEX2DEC(Table1[[#This Row],[utf8]])</f>
        <v>128074</v>
      </c>
      <c r="J630" t="str">
        <f>_xlfn.UNICHAR(HEX2DEC(Table1[[#This Row],[utf8]]))</f>
        <v>👊</v>
      </c>
      <c r="K630" s="3" t="str" cm="1">
        <f t="array" ref="K630">"Case "&amp;wRandomLetter()&amp;wRandomLetter()&amp;I630&amp;":    UniConst = ChrW(" &amp; I630 &amp;")"</f>
        <v>Case pT128074:    UniConst = ChrW(128074)</v>
      </c>
    </row>
    <row r="631" spans="1:11" hidden="1">
      <c r="A631" t="s">
        <v>330</v>
      </c>
      <c r="B631" t="str">
        <f t="shared" si="56"/>
        <v>1F44A 1F3FC ; fully-qualified # 👊🏼 E1.0 oncoming fist: medium-light skin tone</v>
      </c>
      <c r="C631" t="str">
        <f t="shared" si="57"/>
        <v xml:space="preserve">1F44A 1F3FC </v>
      </c>
      <c r="D631">
        <f t="shared" si="58"/>
        <v>12</v>
      </c>
      <c r="E631" t="str">
        <f t="shared" si="54"/>
        <v xml:space="preserve"> 👊🏼 E1.0 oncoming fist: medium-light skin tone</v>
      </c>
      <c r="F631" t="b">
        <f t="shared" si="59"/>
        <v>1</v>
      </c>
      <c r="G631" t="str">
        <f t="shared" si="55"/>
        <v>1F44A</v>
      </c>
      <c r="I631">
        <f>HEX2DEC(Table1[[#This Row],[utf8]])</f>
        <v>128074</v>
      </c>
      <c r="J631" t="str">
        <f>_xlfn.UNICHAR(HEX2DEC(Table1[[#This Row],[utf8]]))</f>
        <v>👊</v>
      </c>
      <c r="K631" s="3" t="str" cm="1">
        <f t="array" ref="K631">"Case "&amp;wRandomLetter()&amp;wRandomLetter()&amp;I631&amp;":    UniConst = ChrW(" &amp; I631 &amp;")"</f>
        <v>Case zs128074:    UniConst = ChrW(128074)</v>
      </c>
    </row>
    <row r="632" spans="1:11" hidden="1">
      <c r="A632" t="s">
        <v>331</v>
      </c>
      <c r="B632" t="str">
        <f t="shared" si="56"/>
        <v>1F44A 1F3FD ; fully-qualified # 👊🏽 E1.0 oncoming fist: medium skin tone</v>
      </c>
      <c r="C632" t="str">
        <f t="shared" si="57"/>
        <v xml:space="preserve">1F44A 1F3FD </v>
      </c>
      <c r="D632">
        <f t="shared" si="58"/>
        <v>12</v>
      </c>
      <c r="E632" t="str">
        <f t="shared" si="54"/>
        <v xml:space="preserve"> 👊🏽 E1.0 oncoming fist: medium skin tone</v>
      </c>
      <c r="F632" t="b">
        <f t="shared" si="59"/>
        <v>1</v>
      </c>
      <c r="G632" t="str">
        <f t="shared" si="55"/>
        <v>1F44A</v>
      </c>
      <c r="I632">
        <f>HEX2DEC(Table1[[#This Row],[utf8]])</f>
        <v>128074</v>
      </c>
      <c r="J632" t="str">
        <f>_xlfn.UNICHAR(HEX2DEC(Table1[[#This Row],[utf8]]))</f>
        <v>👊</v>
      </c>
      <c r="K632" s="3" t="str" cm="1">
        <f t="array" ref="K632">"Case "&amp;wRandomLetter()&amp;wRandomLetter()&amp;I632&amp;":    UniConst = ChrW(" &amp; I632 &amp;")"</f>
        <v>Case lO128074:    UniConst = ChrW(128074)</v>
      </c>
    </row>
    <row r="633" spans="1:11" hidden="1">
      <c r="A633" t="s">
        <v>332</v>
      </c>
      <c r="B633" t="str">
        <f t="shared" si="56"/>
        <v>1F44A 1F3FE ; fully-qualified # 👊🏾 E1.0 oncoming fist: medium-dark skin tone</v>
      </c>
      <c r="C633" t="str">
        <f t="shared" si="57"/>
        <v xml:space="preserve">1F44A 1F3FE </v>
      </c>
      <c r="D633">
        <f t="shared" si="58"/>
        <v>12</v>
      </c>
      <c r="E633" t="str">
        <f t="shared" si="54"/>
        <v xml:space="preserve"> 👊🏾 E1.0 oncoming fist: medium-dark skin tone</v>
      </c>
      <c r="F633" t="b">
        <f t="shared" si="59"/>
        <v>1</v>
      </c>
      <c r="G633" t="str">
        <f t="shared" si="55"/>
        <v>1F44A</v>
      </c>
      <c r="I633">
        <f>HEX2DEC(Table1[[#This Row],[utf8]])</f>
        <v>128074</v>
      </c>
      <c r="J633" t="str">
        <f>_xlfn.UNICHAR(HEX2DEC(Table1[[#This Row],[utf8]]))</f>
        <v>👊</v>
      </c>
      <c r="K633" s="3" t="str" cm="1">
        <f t="array" ref="K633">"Case "&amp;wRandomLetter()&amp;wRandomLetter()&amp;I633&amp;":    UniConst = ChrW(" &amp; I633 &amp;")"</f>
        <v>Case VY128074:    UniConst = ChrW(128074)</v>
      </c>
    </row>
    <row r="634" spans="1:11" hidden="1">
      <c r="A634" t="s">
        <v>333</v>
      </c>
      <c r="B634" t="str">
        <f t="shared" si="56"/>
        <v>1F44A 1F3FF ; fully-qualified # 👊🏿 E1.0 oncoming fist: dark skin tone</v>
      </c>
      <c r="C634" t="str">
        <f t="shared" si="57"/>
        <v xml:space="preserve">1F44A 1F3FF </v>
      </c>
      <c r="D634">
        <f t="shared" si="58"/>
        <v>12</v>
      </c>
      <c r="E634" t="str">
        <f t="shared" si="54"/>
        <v xml:space="preserve"> 👊🏿 E1.0 oncoming fist: dark skin tone</v>
      </c>
      <c r="F634" t="b">
        <f t="shared" si="59"/>
        <v>1</v>
      </c>
      <c r="G634" t="str">
        <f t="shared" si="55"/>
        <v>1F44A</v>
      </c>
      <c r="I634">
        <f>HEX2DEC(Table1[[#This Row],[utf8]])</f>
        <v>128074</v>
      </c>
      <c r="J634" t="str">
        <f>_xlfn.UNICHAR(HEX2DEC(Table1[[#This Row],[utf8]]))</f>
        <v>👊</v>
      </c>
      <c r="K634" s="3" t="str" cm="1">
        <f t="array" ref="K634">"Case "&amp;wRandomLetter()&amp;wRandomLetter()&amp;I634&amp;":    UniConst = ChrW(" &amp; I634 &amp;")"</f>
        <v>Case et128074:    UniConst = ChrW(128074)</v>
      </c>
    </row>
    <row r="635" spans="1:11" hidden="1">
      <c r="A635" t="s">
        <v>190</v>
      </c>
      <c r="B635" t="str">
        <f t="shared" si="56"/>
        <v>1F44B ; fully-qualified # 👋 E0.6 waving hand</v>
      </c>
      <c r="C635" t="str">
        <f t="shared" si="57"/>
        <v xml:space="preserve">1F44B </v>
      </c>
      <c r="D635">
        <f t="shared" si="58"/>
        <v>6</v>
      </c>
      <c r="E635" t="str">
        <f t="shared" si="54"/>
        <v xml:space="preserve"> 👋 E0.6 waving hand</v>
      </c>
      <c r="F635" t="b">
        <f t="shared" si="59"/>
        <v>1</v>
      </c>
      <c r="G635" t="str">
        <f t="shared" si="55"/>
        <v>1F44B</v>
      </c>
      <c r="I635">
        <f>HEX2DEC(Table1[[#This Row],[utf8]])</f>
        <v>128075</v>
      </c>
      <c r="J635" t="str">
        <f>_xlfn.UNICHAR(HEX2DEC(Table1[[#This Row],[utf8]]))</f>
        <v>👋</v>
      </c>
      <c r="K635" s="3" t="str" cm="1">
        <f t="array" ref="K635">"Case "&amp;wRandomLetter()&amp;wRandomLetter()&amp;I635&amp;":    UniConst = ChrW(" &amp; I635 &amp;")"</f>
        <v>Case MU128075:    UniConst = ChrW(128075)</v>
      </c>
    </row>
    <row r="636" spans="1:11" hidden="1">
      <c r="A636" t="s">
        <v>191</v>
      </c>
      <c r="B636" t="str">
        <f t="shared" si="56"/>
        <v>1F44B 1F3FB ; fully-qualified # 👋🏻 E1.0 waving hand: light skin tone</v>
      </c>
      <c r="C636" t="str">
        <f t="shared" si="57"/>
        <v xml:space="preserve">1F44B 1F3FB </v>
      </c>
      <c r="D636">
        <f t="shared" si="58"/>
        <v>12</v>
      </c>
      <c r="E636" t="str">
        <f t="shared" si="54"/>
        <v xml:space="preserve"> 👋🏻 E1.0 waving hand: light skin tone</v>
      </c>
      <c r="F636" t="b">
        <f t="shared" si="59"/>
        <v>1</v>
      </c>
      <c r="G636" t="str">
        <f t="shared" si="55"/>
        <v>1F44B</v>
      </c>
      <c r="I636">
        <f>HEX2DEC(Table1[[#This Row],[utf8]])</f>
        <v>128075</v>
      </c>
      <c r="J636" t="str">
        <f>_xlfn.UNICHAR(HEX2DEC(Table1[[#This Row],[utf8]]))</f>
        <v>👋</v>
      </c>
      <c r="K636" s="3" t="str" cm="1">
        <f t="array" ref="K636">"Case "&amp;wRandomLetter()&amp;wRandomLetter()&amp;I636&amp;":    UniConst = ChrW(" &amp; I636 &amp;")"</f>
        <v>Case sJ128075:    UniConst = ChrW(128075)</v>
      </c>
    </row>
    <row r="637" spans="1:11" hidden="1">
      <c r="A637" t="s">
        <v>192</v>
      </c>
      <c r="B637" t="str">
        <f t="shared" si="56"/>
        <v>1F44B 1F3FC ; fully-qualified # 👋🏼 E1.0 waving hand: medium-light skin tone</v>
      </c>
      <c r="C637" t="str">
        <f t="shared" si="57"/>
        <v xml:space="preserve">1F44B 1F3FC </v>
      </c>
      <c r="D637">
        <f t="shared" si="58"/>
        <v>12</v>
      </c>
      <c r="E637" t="str">
        <f t="shared" si="54"/>
        <v xml:space="preserve"> 👋🏼 E1.0 waving hand: medium-light skin tone</v>
      </c>
      <c r="F637" t="b">
        <f t="shared" si="59"/>
        <v>1</v>
      </c>
      <c r="G637" t="str">
        <f t="shared" si="55"/>
        <v>1F44B</v>
      </c>
      <c r="I637">
        <f>HEX2DEC(Table1[[#This Row],[utf8]])</f>
        <v>128075</v>
      </c>
      <c r="J637" t="str">
        <f>_xlfn.UNICHAR(HEX2DEC(Table1[[#This Row],[utf8]]))</f>
        <v>👋</v>
      </c>
      <c r="K637" s="3" t="str" cm="1">
        <f t="array" ref="K637">"Case "&amp;wRandomLetter()&amp;wRandomLetter()&amp;I637&amp;":    UniConst = ChrW(" &amp; I637 &amp;")"</f>
        <v>Case VH128075:    UniConst = ChrW(128075)</v>
      </c>
    </row>
    <row r="638" spans="1:11" hidden="1">
      <c r="A638" t="s">
        <v>193</v>
      </c>
      <c r="B638" t="str">
        <f t="shared" si="56"/>
        <v>1F44B 1F3FD ; fully-qualified # 👋🏽 E1.0 waving hand: medium skin tone</v>
      </c>
      <c r="C638" t="str">
        <f t="shared" si="57"/>
        <v xml:space="preserve">1F44B 1F3FD </v>
      </c>
      <c r="D638">
        <f t="shared" si="58"/>
        <v>12</v>
      </c>
      <c r="E638" t="str">
        <f t="shared" si="54"/>
        <v xml:space="preserve"> 👋🏽 E1.0 waving hand: medium skin tone</v>
      </c>
      <c r="F638" t="b">
        <f t="shared" si="59"/>
        <v>1</v>
      </c>
      <c r="G638" t="str">
        <f t="shared" si="55"/>
        <v>1F44B</v>
      </c>
      <c r="I638">
        <f>HEX2DEC(Table1[[#This Row],[utf8]])</f>
        <v>128075</v>
      </c>
      <c r="J638" t="str">
        <f>_xlfn.UNICHAR(HEX2DEC(Table1[[#This Row],[utf8]]))</f>
        <v>👋</v>
      </c>
      <c r="K638" s="3" t="str" cm="1">
        <f t="array" ref="K638">"Case "&amp;wRandomLetter()&amp;wRandomLetter()&amp;I638&amp;":    UniConst = ChrW(" &amp; I638 &amp;")"</f>
        <v>Case ck128075:    UniConst = ChrW(128075)</v>
      </c>
    </row>
    <row r="639" spans="1:11" hidden="1">
      <c r="A639" t="s">
        <v>194</v>
      </c>
      <c r="B639" t="str">
        <f t="shared" si="56"/>
        <v>1F44B 1F3FE ; fully-qualified # 👋🏾 E1.0 waving hand: medium-dark skin tone</v>
      </c>
      <c r="C639" t="str">
        <f t="shared" si="57"/>
        <v xml:space="preserve">1F44B 1F3FE </v>
      </c>
      <c r="D639">
        <f t="shared" si="58"/>
        <v>12</v>
      </c>
      <c r="E639" t="str">
        <f t="shared" si="54"/>
        <v xml:space="preserve"> 👋🏾 E1.0 waving hand: medium-dark skin tone</v>
      </c>
      <c r="F639" t="b">
        <f t="shared" si="59"/>
        <v>1</v>
      </c>
      <c r="G639" t="str">
        <f t="shared" si="55"/>
        <v>1F44B</v>
      </c>
      <c r="I639">
        <f>HEX2DEC(Table1[[#This Row],[utf8]])</f>
        <v>128075</v>
      </c>
      <c r="J639" t="str">
        <f>_xlfn.UNICHAR(HEX2DEC(Table1[[#This Row],[utf8]]))</f>
        <v>👋</v>
      </c>
      <c r="K639" s="3" t="str" cm="1">
        <f t="array" ref="K639">"Case "&amp;wRandomLetter()&amp;wRandomLetter()&amp;I639&amp;":    UniConst = ChrW(" &amp; I639 &amp;")"</f>
        <v>Case WW128075:    UniConst = ChrW(128075)</v>
      </c>
    </row>
    <row r="640" spans="1:11" hidden="1">
      <c r="A640" t="s">
        <v>195</v>
      </c>
      <c r="B640" t="str">
        <f t="shared" si="56"/>
        <v>1F44B 1F3FF ; fully-qualified # 👋🏿 E1.0 waving hand: dark skin tone</v>
      </c>
      <c r="C640" t="str">
        <f t="shared" si="57"/>
        <v xml:space="preserve">1F44B 1F3FF </v>
      </c>
      <c r="D640">
        <f t="shared" si="58"/>
        <v>12</v>
      </c>
      <c r="E640" t="str">
        <f t="shared" si="54"/>
        <v xml:space="preserve"> 👋🏿 E1.0 waving hand: dark skin tone</v>
      </c>
      <c r="F640" t="b">
        <f t="shared" si="59"/>
        <v>1</v>
      </c>
      <c r="G640" t="str">
        <f t="shared" si="55"/>
        <v>1F44B</v>
      </c>
      <c r="I640">
        <f>HEX2DEC(Table1[[#This Row],[utf8]])</f>
        <v>128075</v>
      </c>
      <c r="J640" t="str">
        <f>_xlfn.UNICHAR(HEX2DEC(Table1[[#This Row],[utf8]]))</f>
        <v>👋</v>
      </c>
      <c r="K640" s="3" t="str" cm="1">
        <f t="array" ref="K640">"Case "&amp;wRandomLetter()&amp;wRandomLetter()&amp;I640&amp;":    UniConst = ChrW(" &amp; I640 &amp;")"</f>
        <v>Case Ul128075:    UniConst = ChrW(128075)</v>
      </c>
    </row>
    <row r="641" spans="1:11" hidden="1">
      <c r="A641" t="s">
        <v>222</v>
      </c>
      <c r="B641" t="str">
        <f t="shared" si="56"/>
        <v>1F44C ; fully-qualified # 👌 E0.6 OK hand</v>
      </c>
      <c r="C641" t="str">
        <f t="shared" si="57"/>
        <v xml:space="preserve">1F44C </v>
      </c>
      <c r="D641">
        <f t="shared" si="58"/>
        <v>6</v>
      </c>
      <c r="E641" t="str">
        <f t="shared" si="54"/>
        <v xml:space="preserve"> 👌 E0.6 OK hand</v>
      </c>
      <c r="F641" t="b">
        <f t="shared" si="59"/>
        <v>1</v>
      </c>
      <c r="G641" t="str">
        <f t="shared" si="55"/>
        <v>1F44C</v>
      </c>
      <c r="I641">
        <f>HEX2DEC(Table1[[#This Row],[utf8]])</f>
        <v>128076</v>
      </c>
      <c r="J641" t="str">
        <f>_xlfn.UNICHAR(HEX2DEC(Table1[[#This Row],[utf8]]))</f>
        <v>👌</v>
      </c>
      <c r="K641" s="3" t="str" cm="1">
        <f t="array" ref="K641">"Case "&amp;wRandomLetter()&amp;wRandomLetter()&amp;I641&amp;":    UniConst = ChrW(" &amp; I641 &amp;")"</f>
        <v>Case Ux128076:    UniConst = ChrW(128076)</v>
      </c>
    </row>
    <row r="642" spans="1:11" hidden="1">
      <c r="A642" t="s">
        <v>223</v>
      </c>
      <c r="B642" t="str">
        <f t="shared" si="56"/>
        <v>1F44C 1F3FB ; fully-qualified # 👌🏻 E1.0 OK hand: light skin tone</v>
      </c>
      <c r="C642" t="str">
        <f t="shared" si="57"/>
        <v xml:space="preserve">1F44C 1F3FB </v>
      </c>
      <c r="D642">
        <f t="shared" si="58"/>
        <v>12</v>
      </c>
      <c r="E642" t="str">
        <f t="shared" ref="E642:E705" si="60">MID(A642,FIND("#",A642)+1,256)</f>
        <v xml:space="preserve"> 👌🏻 E1.0 OK hand: light skin tone</v>
      </c>
      <c r="F642" t="b">
        <f t="shared" si="59"/>
        <v>1</v>
      </c>
      <c r="G642" t="str">
        <f t="shared" ref="G642:G705" si="61">LEFT(C642,(FIND(" ",C642,1)-1))</f>
        <v>1F44C</v>
      </c>
      <c r="I642">
        <f>HEX2DEC(Table1[[#This Row],[utf8]])</f>
        <v>128076</v>
      </c>
      <c r="J642" t="str">
        <f>_xlfn.UNICHAR(HEX2DEC(Table1[[#This Row],[utf8]]))</f>
        <v>👌</v>
      </c>
      <c r="K642" s="3" t="str" cm="1">
        <f t="array" ref="K642">"Case "&amp;wRandomLetter()&amp;wRandomLetter()&amp;I642&amp;":    UniConst = ChrW(" &amp; I642 &amp;")"</f>
        <v>Case Jp128076:    UniConst = ChrW(128076)</v>
      </c>
    </row>
    <row r="643" spans="1:11" hidden="1">
      <c r="A643" t="s">
        <v>224</v>
      </c>
      <c r="B643" t="str">
        <f t="shared" ref="B643:B706" si="62">TRIM(A643)</f>
        <v>1F44C 1F3FC ; fully-qualified # 👌🏼 E1.0 OK hand: medium-light skin tone</v>
      </c>
      <c r="C643" t="str">
        <f t="shared" ref="C643:C706" si="63">LEFT(B643,(FIND(";",B643,1)-1))</f>
        <v xml:space="preserve">1F44C 1F3FC </v>
      </c>
      <c r="D643">
        <f t="shared" ref="D643:D706" si="64">LEN(C643)</f>
        <v>12</v>
      </c>
      <c r="E643" t="str">
        <f t="shared" si="60"/>
        <v xml:space="preserve"> 👌🏼 E1.0 OK hand: medium-light skin tone</v>
      </c>
      <c r="F643" t="b">
        <f t="shared" ref="F643:F706" si="65">IF(LEFT(C643,2)="1F",TRUE,FALSE)</f>
        <v>1</v>
      </c>
      <c r="G643" t="str">
        <f t="shared" si="61"/>
        <v>1F44C</v>
      </c>
      <c r="I643">
        <f>HEX2DEC(Table1[[#This Row],[utf8]])</f>
        <v>128076</v>
      </c>
      <c r="J643" t="str">
        <f>_xlfn.UNICHAR(HEX2DEC(Table1[[#This Row],[utf8]]))</f>
        <v>👌</v>
      </c>
      <c r="K643" s="3" t="str" cm="1">
        <f t="array" ref="K643">"Case "&amp;wRandomLetter()&amp;wRandomLetter()&amp;I643&amp;":    UniConst = ChrW(" &amp; I643 &amp;")"</f>
        <v>Case tH128076:    UniConst = ChrW(128076)</v>
      </c>
    </row>
    <row r="644" spans="1:11" hidden="1">
      <c r="A644" t="s">
        <v>225</v>
      </c>
      <c r="B644" t="str">
        <f t="shared" si="62"/>
        <v>1F44C 1F3FD ; fully-qualified # 👌🏽 E1.0 OK hand: medium skin tone</v>
      </c>
      <c r="C644" t="str">
        <f t="shared" si="63"/>
        <v xml:space="preserve">1F44C 1F3FD </v>
      </c>
      <c r="D644">
        <f t="shared" si="64"/>
        <v>12</v>
      </c>
      <c r="E644" t="str">
        <f t="shared" si="60"/>
        <v xml:space="preserve"> 👌🏽 E1.0 OK hand: medium skin tone</v>
      </c>
      <c r="F644" t="b">
        <f t="shared" si="65"/>
        <v>1</v>
      </c>
      <c r="G644" t="str">
        <f t="shared" si="61"/>
        <v>1F44C</v>
      </c>
      <c r="I644">
        <f>HEX2DEC(Table1[[#This Row],[utf8]])</f>
        <v>128076</v>
      </c>
      <c r="J644" t="str">
        <f>_xlfn.UNICHAR(HEX2DEC(Table1[[#This Row],[utf8]]))</f>
        <v>👌</v>
      </c>
      <c r="K644" s="3" t="str" cm="1">
        <f t="array" ref="K644">"Case "&amp;wRandomLetter()&amp;wRandomLetter()&amp;I644&amp;":    UniConst = ChrW(" &amp; I644 &amp;")"</f>
        <v>Case YB128076:    UniConst = ChrW(128076)</v>
      </c>
    </row>
    <row r="645" spans="1:11" hidden="1">
      <c r="A645" t="s">
        <v>226</v>
      </c>
      <c r="B645" t="str">
        <f t="shared" si="62"/>
        <v>1F44C 1F3FE ; fully-qualified # 👌🏾 E1.0 OK hand: medium-dark skin tone</v>
      </c>
      <c r="C645" t="str">
        <f t="shared" si="63"/>
        <v xml:space="preserve">1F44C 1F3FE </v>
      </c>
      <c r="D645">
        <f t="shared" si="64"/>
        <v>12</v>
      </c>
      <c r="E645" t="str">
        <f t="shared" si="60"/>
        <v xml:space="preserve"> 👌🏾 E1.0 OK hand: medium-dark skin tone</v>
      </c>
      <c r="F645" t="b">
        <f t="shared" si="65"/>
        <v>1</v>
      </c>
      <c r="G645" t="str">
        <f t="shared" si="61"/>
        <v>1F44C</v>
      </c>
      <c r="I645">
        <f>HEX2DEC(Table1[[#This Row],[utf8]])</f>
        <v>128076</v>
      </c>
      <c r="J645" t="str">
        <f>_xlfn.UNICHAR(HEX2DEC(Table1[[#This Row],[utf8]]))</f>
        <v>👌</v>
      </c>
      <c r="K645" s="3" t="str" cm="1">
        <f t="array" ref="K645">"Case "&amp;wRandomLetter()&amp;wRandomLetter()&amp;I645&amp;":    UniConst = ChrW(" &amp; I645 &amp;")"</f>
        <v>Case Pl128076:    UniConst = ChrW(128076)</v>
      </c>
    </row>
    <row r="646" spans="1:11" hidden="1">
      <c r="A646" t="s">
        <v>227</v>
      </c>
      <c r="B646" t="str">
        <f t="shared" si="62"/>
        <v>1F44C 1F3FF ; fully-qualified # 👌🏿 E1.0 OK hand: dark skin tone</v>
      </c>
      <c r="C646" t="str">
        <f t="shared" si="63"/>
        <v xml:space="preserve">1F44C 1F3FF </v>
      </c>
      <c r="D646">
        <f t="shared" si="64"/>
        <v>12</v>
      </c>
      <c r="E646" t="str">
        <f t="shared" si="60"/>
        <v xml:space="preserve"> 👌🏿 E1.0 OK hand: dark skin tone</v>
      </c>
      <c r="F646" t="b">
        <f t="shared" si="65"/>
        <v>1</v>
      </c>
      <c r="G646" t="str">
        <f t="shared" si="61"/>
        <v>1F44C</v>
      </c>
      <c r="I646">
        <f>HEX2DEC(Table1[[#This Row],[utf8]])</f>
        <v>128076</v>
      </c>
      <c r="J646" t="str">
        <f>_xlfn.UNICHAR(HEX2DEC(Table1[[#This Row],[utf8]]))</f>
        <v>👌</v>
      </c>
      <c r="K646" s="3" t="str" cm="1">
        <f t="array" ref="K646">"Case "&amp;wRandomLetter()&amp;wRandomLetter()&amp;I646&amp;":    UniConst = ChrW(" &amp; I646 &amp;")"</f>
        <v>Case yr128076:    UniConst = ChrW(128076)</v>
      </c>
    </row>
    <row r="647" spans="1:11" hidden="1">
      <c r="A647" t="s">
        <v>310</v>
      </c>
      <c r="B647" t="str">
        <f t="shared" si="62"/>
        <v>1F44D ; fully-qualified # 👍 E0.6 thumbs up</v>
      </c>
      <c r="C647" t="str">
        <f t="shared" si="63"/>
        <v xml:space="preserve">1F44D </v>
      </c>
      <c r="D647">
        <f t="shared" si="64"/>
        <v>6</v>
      </c>
      <c r="E647" t="str">
        <f t="shared" si="60"/>
        <v xml:space="preserve"> 👍 E0.6 thumbs up</v>
      </c>
      <c r="F647" t="b">
        <f t="shared" si="65"/>
        <v>1</v>
      </c>
      <c r="G647" t="str">
        <f t="shared" si="61"/>
        <v>1F44D</v>
      </c>
      <c r="I647">
        <f>HEX2DEC(Table1[[#This Row],[utf8]])</f>
        <v>128077</v>
      </c>
      <c r="J647" t="str">
        <f>_xlfn.UNICHAR(HEX2DEC(Table1[[#This Row],[utf8]]))</f>
        <v>👍</v>
      </c>
      <c r="K647" s="3" t="str" cm="1">
        <f t="array" ref="K647">"Case "&amp;wRandomLetter()&amp;wRandomLetter()&amp;I647&amp;":    UniConst = ChrW(" &amp; I647 &amp;")"</f>
        <v>Case KZ128077:    UniConst = ChrW(128077)</v>
      </c>
    </row>
    <row r="648" spans="1:11" hidden="1">
      <c r="A648" t="s">
        <v>311</v>
      </c>
      <c r="B648" t="str">
        <f t="shared" si="62"/>
        <v>1F44D 1F3FB ; fully-qualified # 👍🏻 E1.0 thumbs up: light skin tone</v>
      </c>
      <c r="C648" t="str">
        <f t="shared" si="63"/>
        <v xml:space="preserve">1F44D 1F3FB </v>
      </c>
      <c r="D648">
        <f t="shared" si="64"/>
        <v>12</v>
      </c>
      <c r="E648" t="str">
        <f t="shared" si="60"/>
        <v xml:space="preserve"> 👍🏻 E1.0 thumbs up: light skin tone</v>
      </c>
      <c r="F648" t="b">
        <f t="shared" si="65"/>
        <v>1</v>
      </c>
      <c r="G648" t="str">
        <f t="shared" si="61"/>
        <v>1F44D</v>
      </c>
      <c r="I648">
        <f>HEX2DEC(Table1[[#This Row],[utf8]])</f>
        <v>128077</v>
      </c>
      <c r="J648" t="str">
        <f>_xlfn.UNICHAR(HEX2DEC(Table1[[#This Row],[utf8]]))</f>
        <v>👍</v>
      </c>
      <c r="K648" s="3" t="str" cm="1">
        <f t="array" ref="K648">"Case "&amp;wRandomLetter()&amp;wRandomLetter()&amp;I648&amp;":    UniConst = ChrW(" &amp; I648 &amp;")"</f>
        <v>Case lb128077:    UniConst = ChrW(128077)</v>
      </c>
    </row>
    <row r="649" spans="1:11" hidden="1">
      <c r="A649" t="s">
        <v>312</v>
      </c>
      <c r="B649" t="str">
        <f t="shared" si="62"/>
        <v>1F44D 1F3FC ; fully-qualified # 👍🏼 E1.0 thumbs up: medium-light skin tone</v>
      </c>
      <c r="C649" t="str">
        <f t="shared" si="63"/>
        <v xml:space="preserve">1F44D 1F3FC </v>
      </c>
      <c r="D649">
        <f t="shared" si="64"/>
        <v>12</v>
      </c>
      <c r="E649" t="str">
        <f t="shared" si="60"/>
        <v xml:space="preserve"> 👍🏼 E1.0 thumbs up: medium-light skin tone</v>
      </c>
      <c r="F649" t="b">
        <f t="shared" si="65"/>
        <v>1</v>
      </c>
      <c r="G649" t="str">
        <f t="shared" si="61"/>
        <v>1F44D</v>
      </c>
      <c r="I649">
        <f>HEX2DEC(Table1[[#This Row],[utf8]])</f>
        <v>128077</v>
      </c>
      <c r="J649" t="str">
        <f>_xlfn.UNICHAR(HEX2DEC(Table1[[#This Row],[utf8]]))</f>
        <v>👍</v>
      </c>
      <c r="K649" s="3" t="str" cm="1">
        <f t="array" ref="K649">"Case "&amp;wRandomLetter()&amp;wRandomLetter()&amp;I649&amp;":    UniConst = ChrW(" &amp; I649 &amp;")"</f>
        <v>Case XD128077:    UniConst = ChrW(128077)</v>
      </c>
    </row>
    <row r="650" spans="1:11" hidden="1">
      <c r="A650" t="s">
        <v>313</v>
      </c>
      <c r="B650" t="str">
        <f t="shared" si="62"/>
        <v>1F44D 1F3FD ; fully-qualified # 👍🏽 E1.0 thumbs up: medium skin tone</v>
      </c>
      <c r="C650" t="str">
        <f t="shared" si="63"/>
        <v xml:space="preserve">1F44D 1F3FD </v>
      </c>
      <c r="D650">
        <f t="shared" si="64"/>
        <v>12</v>
      </c>
      <c r="E650" t="str">
        <f t="shared" si="60"/>
        <v xml:space="preserve"> 👍🏽 E1.0 thumbs up: medium skin tone</v>
      </c>
      <c r="F650" t="b">
        <f t="shared" si="65"/>
        <v>1</v>
      </c>
      <c r="G650" t="str">
        <f t="shared" si="61"/>
        <v>1F44D</v>
      </c>
      <c r="I650">
        <f>HEX2DEC(Table1[[#This Row],[utf8]])</f>
        <v>128077</v>
      </c>
      <c r="J650" t="str">
        <f>_xlfn.UNICHAR(HEX2DEC(Table1[[#This Row],[utf8]]))</f>
        <v>👍</v>
      </c>
      <c r="K650" s="3" t="str" cm="1">
        <f t="array" ref="K650">"Case "&amp;wRandomLetter()&amp;wRandomLetter()&amp;I650&amp;":    UniConst = ChrW(" &amp; I650 &amp;")"</f>
        <v>Case NR128077:    UniConst = ChrW(128077)</v>
      </c>
    </row>
    <row r="651" spans="1:11" hidden="1">
      <c r="A651" t="s">
        <v>314</v>
      </c>
      <c r="B651" t="str">
        <f t="shared" si="62"/>
        <v>1F44D 1F3FE ; fully-qualified # 👍🏾 E1.0 thumbs up: medium-dark skin tone</v>
      </c>
      <c r="C651" t="str">
        <f t="shared" si="63"/>
        <v xml:space="preserve">1F44D 1F3FE </v>
      </c>
      <c r="D651">
        <f t="shared" si="64"/>
        <v>12</v>
      </c>
      <c r="E651" t="str">
        <f t="shared" si="60"/>
        <v xml:space="preserve"> 👍🏾 E1.0 thumbs up: medium-dark skin tone</v>
      </c>
      <c r="F651" t="b">
        <f t="shared" si="65"/>
        <v>1</v>
      </c>
      <c r="G651" t="str">
        <f t="shared" si="61"/>
        <v>1F44D</v>
      </c>
      <c r="I651">
        <f>HEX2DEC(Table1[[#This Row],[utf8]])</f>
        <v>128077</v>
      </c>
      <c r="J651" t="str">
        <f>_xlfn.UNICHAR(HEX2DEC(Table1[[#This Row],[utf8]]))</f>
        <v>👍</v>
      </c>
      <c r="K651" s="3" t="str" cm="1">
        <f t="array" ref="K651">"Case "&amp;wRandomLetter()&amp;wRandomLetter()&amp;I651&amp;":    UniConst = ChrW(" &amp; I651 &amp;")"</f>
        <v>Case sx128077:    UniConst = ChrW(128077)</v>
      </c>
    </row>
    <row r="652" spans="1:11" hidden="1">
      <c r="A652" t="s">
        <v>315</v>
      </c>
      <c r="B652" t="str">
        <f t="shared" si="62"/>
        <v>1F44D 1F3FF ; fully-qualified # 👍🏿 E1.0 thumbs up: dark skin tone</v>
      </c>
      <c r="C652" t="str">
        <f t="shared" si="63"/>
        <v xml:space="preserve">1F44D 1F3FF </v>
      </c>
      <c r="D652">
        <f t="shared" si="64"/>
        <v>12</v>
      </c>
      <c r="E652" t="str">
        <f t="shared" si="60"/>
        <v xml:space="preserve"> 👍🏿 E1.0 thumbs up: dark skin tone</v>
      </c>
      <c r="F652" t="b">
        <f t="shared" si="65"/>
        <v>1</v>
      </c>
      <c r="G652" t="str">
        <f t="shared" si="61"/>
        <v>1F44D</v>
      </c>
      <c r="I652">
        <f>HEX2DEC(Table1[[#This Row],[utf8]])</f>
        <v>128077</v>
      </c>
      <c r="J652" t="str">
        <f>_xlfn.UNICHAR(HEX2DEC(Table1[[#This Row],[utf8]]))</f>
        <v>👍</v>
      </c>
      <c r="K652" s="3" t="str" cm="1">
        <f t="array" ref="K652">"Case "&amp;wRandomLetter()&amp;wRandomLetter()&amp;I652&amp;":    UniConst = ChrW(" &amp; I652 &amp;")"</f>
        <v>Case bU128077:    UniConst = ChrW(128077)</v>
      </c>
    </row>
    <row r="653" spans="1:11" hidden="1">
      <c r="A653" t="s">
        <v>316</v>
      </c>
      <c r="B653" t="str">
        <f t="shared" si="62"/>
        <v>1F44E ; fully-qualified # 👎 E0.6 thumbs down</v>
      </c>
      <c r="C653" t="str">
        <f t="shared" si="63"/>
        <v xml:space="preserve">1F44E </v>
      </c>
      <c r="D653">
        <f t="shared" si="64"/>
        <v>6</v>
      </c>
      <c r="E653" t="str">
        <f t="shared" si="60"/>
        <v xml:space="preserve"> 👎 E0.6 thumbs down</v>
      </c>
      <c r="F653" t="b">
        <f t="shared" si="65"/>
        <v>1</v>
      </c>
      <c r="G653" t="str">
        <f t="shared" si="61"/>
        <v>1F44E</v>
      </c>
      <c r="I653">
        <f>HEX2DEC(Table1[[#This Row],[utf8]])</f>
        <v>128078</v>
      </c>
      <c r="J653" t="str">
        <f>_xlfn.UNICHAR(HEX2DEC(Table1[[#This Row],[utf8]]))</f>
        <v>👎</v>
      </c>
      <c r="K653" s="3" t="str" cm="1">
        <f t="array" ref="K653">"Case "&amp;wRandomLetter()&amp;wRandomLetter()&amp;I653&amp;":    UniConst = ChrW(" &amp; I653 &amp;")"</f>
        <v>Case MH128078:    UniConst = ChrW(128078)</v>
      </c>
    </row>
    <row r="654" spans="1:11" hidden="1">
      <c r="A654" t="s">
        <v>317</v>
      </c>
      <c r="B654" t="str">
        <f t="shared" si="62"/>
        <v>1F44E 1F3FB ; fully-qualified # 👎🏻 E1.0 thumbs down: light skin tone</v>
      </c>
      <c r="C654" t="str">
        <f t="shared" si="63"/>
        <v xml:space="preserve">1F44E 1F3FB </v>
      </c>
      <c r="D654">
        <f t="shared" si="64"/>
        <v>12</v>
      </c>
      <c r="E654" t="str">
        <f t="shared" si="60"/>
        <v xml:space="preserve"> 👎🏻 E1.0 thumbs down: light skin tone</v>
      </c>
      <c r="F654" t="b">
        <f t="shared" si="65"/>
        <v>1</v>
      </c>
      <c r="G654" t="str">
        <f t="shared" si="61"/>
        <v>1F44E</v>
      </c>
      <c r="I654">
        <f>HEX2DEC(Table1[[#This Row],[utf8]])</f>
        <v>128078</v>
      </c>
      <c r="J654" t="str">
        <f>_xlfn.UNICHAR(HEX2DEC(Table1[[#This Row],[utf8]]))</f>
        <v>👎</v>
      </c>
      <c r="K654" s="3" t="str" cm="1">
        <f t="array" ref="K654">"Case "&amp;wRandomLetter()&amp;wRandomLetter()&amp;I654&amp;":    UniConst = ChrW(" &amp; I654 &amp;")"</f>
        <v>Case sV128078:    UniConst = ChrW(128078)</v>
      </c>
    </row>
    <row r="655" spans="1:11" hidden="1">
      <c r="A655" t="s">
        <v>318</v>
      </c>
      <c r="B655" t="str">
        <f t="shared" si="62"/>
        <v>1F44E 1F3FC ; fully-qualified # 👎🏼 E1.0 thumbs down: medium-light skin tone</v>
      </c>
      <c r="C655" t="str">
        <f t="shared" si="63"/>
        <v xml:space="preserve">1F44E 1F3FC </v>
      </c>
      <c r="D655">
        <f t="shared" si="64"/>
        <v>12</v>
      </c>
      <c r="E655" t="str">
        <f t="shared" si="60"/>
        <v xml:space="preserve"> 👎🏼 E1.0 thumbs down: medium-light skin tone</v>
      </c>
      <c r="F655" t="b">
        <f t="shared" si="65"/>
        <v>1</v>
      </c>
      <c r="G655" t="str">
        <f t="shared" si="61"/>
        <v>1F44E</v>
      </c>
      <c r="I655">
        <f>HEX2DEC(Table1[[#This Row],[utf8]])</f>
        <v>128078</v>
      </c>
      <c r="J655" t="str">
        <f>_xlfn.UNICHAR(HEX2DEC(Table1[[#This Row],[utf8]]))</f>
        <v>👎</v>
      </c>
      <c r="K655" s="3" t="str" cm="1">
        <f t="array" ref="K655">"Case "&amp;wRandomLetter()&amp;wRandomLetter()&amp;I655&amp;":    UniConst = ChrW(" &amp; I655 &amp;")"</f>
        <v>Case nV128078:    UniConst = ChrW(128078)</v>
      </c>
    </row>
    <row r="656" spans="1:11" hidden="1">
      <c r="A656" t="s">
        <v>319</v>
      </c>
      <c r="B656" t="str">
        <f t="shared" si="62"/>
        <v>1F44E 1F3FD ; fully-qualified # 👎🏽 E1.0 thumbs down: medium skin tone</v>
      </c>
      <c r="C656" t="str">
        <f t="shared" si="63"/>
        <v xml:space="preserve">1F44E 1F3FD </v>
      </c>
      <c r="D656">
        <f t="shared" si="64"/>
        <v>12</v>
      </c>
      <c r="E656" t="str">
        <f t="shared" si="60"/>
        <v xml:space="preserve"> 👎🏽 E1.0 thumbs down: medium skin tone</v>
      </c>
      <c r="F656" t="b">
        <f t="shared" si="65"/>
        <v>1</v>
      </c>
      <c r="G656" t="str">
        <f t="shared" si="61"/>
        <v>1F44E</v>
      </c>
      <c r="I656">
        <f>HEX2DEC(Table1[[#This Row],[utf8]])</f>
        <v>128078</v>
      </c>
      <c r="J656" t="str">
        <f>_xlfn.UNICHAR(HEX2DEC(Table1[[#This Row],[utf8]]))</f>
        <v>👎</v>
      </c>
      <c r="K656" s="3" t="str" cm="1">
        <f t="array" ref="K656">"Case "&amp;wRandomLetter()&amp;wRandomLetter()&amp;I656&amp;":    UniConst = ChrW(" &amp; I656 &amp;")"</f>
        <v>Case hz128078:    UniConst = ChrW(128078)</v>
      </c>
    </row>
    <row r="657" spans="1:11" hidden="1">
      <c r="A657" t="s">
        <v>320</v>
      </c>
      <c r="B657" t="str">
        <f t="shared" si="62"/>
        <v>1F44E 1F3FE ; fully-qualified # 👎🏾 E1.0 thumbs down: medium-dark skin tone</v>
      </c>
      <c r="C657" t="str">
        <f t="shared" si="63"/>
        <v xml:space="preserve">1F44E 1F3FE </v>
      </c>
      <c r="D657">
        <f t="shared" si="64"/>
        <v>12</v>
      </c>
      <c r="E657" t="str">
        <f t="shared" si="60"/>
        <v xml:space="preserve"> 👎🏾 E1.0 thumbs down: medium-dark skin tone</v>
      </c>
      <c r="F657" t="b">
        <f t="shared" si="65"/>
        <v>1</v>
      </c>
      <c r="G657" t="str">
        <f t="shared" si="61"/>
        <v>1F44E</v>
      </c>
      <c r="I657">
        <f>HEX2DEC(Table1[[#This Row],[utf8]])</f>
        <v>128078</v>
      </c>
      <c r="J657" t="str">
        <f>_xlfn.UNICHAR(HEX2DEC(Table1[[#This Row],[utf8]]))</f>
        <v>👎</v>
      </c>
      <c r="K657" s="3" t="str" cm="1">
        <f t="array" ref="K657">"Case "&amp;wRandomLetter()&amp;wRandomLetter()&amp;I657&amp;":    UniConst = ChrW(" &amp; I657 &amp;")"</f>
        <v>Case Pm128078:    UniConst = ChrW(128078)</v>
      </c>
    </row>
    <row r="658" spans="1:11" hidden="1">
      <c r="A658" t="s">
        <v>321</v>
      </c>
      <c r="B658" t="str">
        <f t="shared" si="62"/>
        <v>1F44E 1F3FF ; fully-qualified # 👎🏿 E1.0 thumbs down: dark skin tone</v>
      </c>
      <c r="C658" t="str">
        <f t="shared" si="63"/>
        <v xml:space="preserve">1F44E 1F3FF </v>
      </c>
      <c r="D658">
        <f t="shared" si="64"/>
        <v>12</v>
      </c>
      <c r="E658" t="str">
        <f t="shared" si="60"/>
        <v xml:space="preserve"> 👎🏿 E1.0 thumbs down: dark skin tone</v>
      </c>
      <c r="F658" t="b">
        <f t="shared" si="65"/>
        <v>1</v>
      </c>
      <c r="G658" t="str">
        <f t="shared" si="61"/>
        <v>1F44E</v>
      </c>
      <c r="I658">
        <f>HEX2DEC(Table1[[#This Row],[utf8]])</f>
        <v>128078</v>
      </c>
      <c r="J658" t="str">
        <f>_xlfn.UNICHAR(HEX2DEC(Table1[[#This Row],[utf8]]))</f>
        <v>👎</v>
      </c>
      <c r="K658" s="3" t="str" cm="1">
        <f t="array" ref="K658">"Case "&amp;wRandomLetter()&amp;wRandomLetter()&amp;I658&amp;":    UniConst = ChrW(" &amp; I658 &amp;")"</f>
        <v>Case zB128078:    UniConst = ChrW(128078)</v>
      </c>
    </row>
    <row r="659" spans="1:11" hidden="1">
      <c r="A659" t="s">
        <v>347</v>
      </c>
      <c r="B659" t="str">
        <f t="shared" si="62"/>
        <v>1F44F ; fully-qualified # 👏 E0.6 clapping hands</v>
      </c>
      <c r="C659" t="str">
        <f t="shared" si="63"/>
        <v xml:space="preserve">1F44F </v>
      </c>
      <c r="D659">
        <f t="shared" si="64"/>
        <v>6</v>
      </c>
      <c r="E659" t="str">
        <f t="shared" si="60"/>
        <v xml:space="preserve"> 👏 E0.6 clapping hands</v>
      </c>
      <c r="F659" t="b">
        <f t="shared" si="65"/>
        <v>1</v>
      </c>
      <c r="G659" t="str">
        <f t="shared" si="61"/>
        <v>1F44F</v>
      </c>
      <c r="I659">
        <f>HEX2DEC(Table1[[#This Row],[utf8]])</f>
        <v>128079</v>
      </c>
      <c r="J659" t="str">
        <f>_xlfn.UNICHAR(HEX2DEC(Table1[[#This Row],[utf8]]))</f>
        <v>👏</v>
      </c>
      <c r="K659" s="3" t="str" cm="1">
        <f t="array" ref="K659">"Case "&amp;wRandomLetter()&amp;wRandomLetter()&amp;I659&amp;":    UniConst = ChrW(" &amp; I659 &amp;")"</f>
        <v>Case BN128079:    UniConst = ChrW(128079)</v>
      </c>
    </row>
    <row r="660" spans="1:11" hidden="1">
      <c r="A660" t="s">
        <v>348</v>
      </c>
      <c r="B660" t="str">
        <f t="shared" si="62"/>
        <v>1F44F 1F3FB ; fully-qualified # 👏🏻 E1.0 clapping hands: light skin tone</v>
      </c>
      <c r="C660" t="str">
        <f t="shared" si="63"/>
        <v xml:space="preserve">1F44F 1F3FB </v>
      </c>
      <c r="D660">
        <f t="shared" si="64"/>
        <v>12</v>
      </c>
      <c r="E660" t="str">
        <f t="shared" si="60"/>
        <v xml:space="preserve"> 👏🏻 E1.0 clapping hands: light skin tone</v>
      </c>
      <c r="F660" t="b">
        <f t="shared" si="65"/>
        <v>1</v>
      </c>
      <c r="G660" t="str">
        <f t="shared" si="61"/>
        <v>1F44F</v>
      </c>
      <c r="I660">
        <f>HEX2DEC(Table1[[#This Row],[utf8]])</f>
        <v>128079</v>
      </c>
      <c r="J660" t="str">
        <f>_xlfn.UNICHAR(HEX2DEC(Table1[[#This Row],[utf8]]))</f>
        <v>👏</v>
      </c>
      <c r="K660" s="3" t="str" cm="1">
        <f t="array" ref="K660">"Case "&amp;wRandomLetter()&amp;wRandomLetter()&amp;I660&amp;":    UniConst = ChrW(" &amp; I660 &amp;")"</f>
        <v>Case dJ128079:    UniConst = ChrW(128079)</v>
      </c>
    </row>
    <row r="661" spans="1:11" hidden="1">
      <c r="A661" t="s">
        <v>349</v>
      </c>
      <c r="B661" t="str">
        <f t="shared" si="62"/>
        <v>1F44F 1F3FC ; fully-qualified # 👏🏼 E1.0 clapping hands: medium-light skin tone</v>
      </c>
      <c r="C661" t="str">
        <f t="shared" si="63"/>
        <v xml:space="preserve">1F44F 1F3FC </v>
      </c>
      <c r="D661">
        <f t="shared" si="64"/>
        <v>12</v>
      </c>
      <c r="E661" t="str">
        <f t="shared" si="60"/>
        <v xml:space="preserve"> 👏🏼 E1.0 clapping hands: medium-light skin tone</v>
      </c>
      <c r="F661" t="b">
        <f t="shared" si="65"/>
        <v>1</v>
      </c>
      <c r="G661" t="str">
        <f t="shared" si="61"/>
        <v>1F44F</v>
      </c>
      <c r="I661">
        <f>HEX2DEC(Table1[[#This Row],[utf8]])</f>
        <v>128079</v>
      </c>
      <c r="J661" t="str">
        <f>_xlfn.UNICHAR(HEX2DEC(Table1[[#This Row],[utf8]]))</f>
        <v>👏</v>
      </c>
      <c r="K661" s="3" t="str" cm="1">
        <f t="array" ref="K661">"Case "&amp;wRandomLetter()&amp;wRandomLetter()&amp;I661&amp;":    UniConst = ChrW(" &amp; I661 &amp;")"</f>
        <v>Case gB128079:    UniConst = ChrW(128079)</v>
      </c>
    </row>
    <row r="662" spans="1:11" hidden="1">
      <c r="A662" t="s">
        <v>350</v>
      </c>
      <c r="B662" t="str">
        <f t="shared" si="62"/>
        <v>1F44F 1F3FD ; fully-qualified # 👏🏽 E1.0 clapping hands: medium skin tone</v>
      </c>
      <c r="C662" t="str">
        <f t="shared" si="63"/>
        <v xml:space="preserve">1F44F 1F3FD </v>
      </c>
      <c r="D662">
        <f t="shared" si="64"/>
        <v>12</v>
      </c>
      <c r="E662" t="str">
        <f t="shared" si="60"/>
        <v xml:space="preserve"> 👏🏽 E1.0 clapping hands: medium skin tone</v>
      </c>
      <c r="F662" t="b">
        <f t="shared" si="65"/>
        <v>1</v>
      </c>
      <c r="G662" t="str">
        <f t="shared" si="61"/>
        <v>1F44F</v>
      </c>
      <c r="I662">
        <f>HEX2DEC(Table1[[#This Row],[utf8]])</f>
        <v>128079</v>
      </c>
      <c r="J662" t="str">
        <f>_xlfn.UNICHAR(HEX2DEC(Table1[[#This Row],[utf8]]))</f>
        <v>👏</v>
      </c>
      <c r="K662" s="3" t="str" cm="1">
        <f t="array" ref="K662">"Case "&amp;wRandomLetter()&amp;wRandomLetter()&amp;I662&amp;":    UniConst = ChrW(" &amp; I662 &amp;")"</f>
        <v>Case QW128079:    UniConst = ChrW(128079)</v>
      </c>
    </row>
    <row r="663" spans="1:11" hidden="1">
      <c r="A663" t="s">
        <v>351</v>
      </c>
      <c r="B663" t="str">
        <f t="shared" si="62"/>
        <v>1F44F 1F3FE ; fully-qualified # 👏🏾 E1.0 clapping hands: medium-dark skin tone</v>
      </c>
      <c r="C663" t="str">
        <f t="shared" si="63"/>
        <v xml:space="preserve">1F44F 1F3FE </v>
      </c>
      <c r="D663">
        <f t="shared" si="64"/>
        <v>12</v>
      </c>
      <c r="E663" t="str">
        <f t="shared" si="60"/>
        <v xml:space="preserve"> 👏🏾 E1.0 clapping hands: medium-dark skin tone</v>
      </c>
      <c r="F663" t="b">
        <f t="shared" si="65"/>
        <v>1</v>
      </c>
      <c r="G663" t="str">
        <f t="shared" si="61"/>
        <v>1F44F</v>
      </c>
      <c r="I663">
        <f>HEX2DEC(Table1[[#This Row],[utf8]])</f>
        <v>128079</v>
      </c>
      <c r="J663" t="str">
        <f>_xlfn.UNICHAR(HEX2DEC(Table1[[#This Row],[utf8]]))</f>
        <v>👏</v>
      </c>
      <c r="K663" s="3" t="str" cm="1">
        <f t="array" ref="K663">"Case "&amp;wRandomLetter()&amp;wRandomLetter()&amp;I663&amp;":    UniConst = ChrW(" &amp; I663 &amp;")"</f>
        <v>Case ZK128079:    UniConst = ChrW(128079)</v>
      </c>
    </row>
    <row r="664" spans="1:11" hidden="1">
      <c r="A664" t="s">
        <v>352</v>
      </c>
      <c r="B664" t="str">
        <f t="shared" si="62"/>
        <v>1F44F 1F3FF ; fully-qualified # 👏🏿 E1.0 clapping hands: dark skin tone</v>
      </c>
      <c r="C664" t="str">
        <f t="shared" si="63"/>
        <v xml:space="preserve">1F44F 1F3FF </v>
      </c>
      <c r="D664">
        <f t="shared" si="64"/>
        <v>12</v>
      </c>
      <c r="E664" t="str">
        <f t="shared" si="60"/>
        <v xml:space="preserve"> 👏🏿 E1.0 clapping hands: dark skin tone</v>
      </c>
      <c r="F664" t="b">
        <f t="shared" si="65"/>
        <v>1</v>
      </c>
      <c r="G664" t="str">
        <f t="shared" si="61"/>
        <v>1F44F</v>
      </c>
      <c r="I664">
        <f>HEX2DEC(Table1[[#This Row],[utf8]])</f>
        <v>128079</v>
      </c>
      <c r="J664" t="str">
        <f>_xlfn.UNICHAR(HEX2DEC(Table1[[#This Row],[utf8]]))</f>
        <v>👏</v>
      </c>
      <c r="K664" s="3" t="str" cm="1">
        <f t="array" ref="K664">"Case "&amp;wRandomLetter()&amp;wRandomLetter()&amp;I664&amp;":    UniConst = ChrW(" &amp; I664 &amp;")"</f>
        <v>Case df128079:    UniConst = ChrW(128079)</v>
      </c>
    </row>
    <row r="665" spans="1:11" hidden="1">
      <c r="A665" t="s">
        <v>359</v>
      </c>
      <c r="B665" t="str">
        <f t="shared" si="62"/>
        <v>1F450 ; fully-qualified # 👐 E0.6 open hands</v>
      </c>
      <c r="C665" t="str">
        <f t="shared" si="63"/>
        <v xml:space="preserve">1F450 </v>
      </c>
      <c r="D665">
        <f t="shared" si="64"/>
        <v>6</v>
      </c>
      <c r="E665" t="str">
        <f t="shared" si="60"/>
        <v xml:space="preserve"> 👐 E0.6 open hands</v>
      </c>
      <c r="F665" t="b">
        <f t="shared" si="65"/>
        <v>1</v>
      </c>
      <c r="G665" t="str">
        <f t="shared" si="61"/>
        <v>1F450</v>
      </c>
      <c r="I665">
        <f>HEX2DEC(Table1[[#This Row],[utf8]])</f>
        <v>128080</v>
      </c>
      <c r="J665" t="str">
        <f>_xlfn.UNICHAR(HEX2DEC(Table1[[#This Row],[utf8]]))</f>
        <v>👐</v>
      </c>
      <c r="K665" s="3" t="str" cm="1">
        <f t="array" ref="K665">"Case "&amp;wRandomLetter()&amp;wRandomLetter()&amp;I665&amp;":    UniConst = ChrW(" &amp; I665 &amp;")"</f>
        <v>Case bn128080:    UniConst = ChrW(128080)</v>
      </c>
    </row>
    <row r="666" spans="1:11" hidden="1">
      <c r="A666" t="s">
        <v>360</v>
      </c>
      <c r="B666" t="str">
        <f t="shared" si="62"/>
        <v>1F450 1F3FB ; fully-qualified # 👐🏻 E1.0 open hands: light skin tone</v>
      </c>
      <c r="C666" t="str">
        <f t="shared" si="63"/>
        <v xml:space="preserve">1F450 1F3FB </v>
      </c>
      <c r="D666">
        <f t="shared" si="64"/>
        <v>12</v>
      </c>
      <c r="E666" t="str">
        <f t="shared" si="60"/>
        <v xml:space="preserve"> 👐🏻 E1.0 open hands: light skin tone</v>
      </c>
      <c r="F666" t="b">
        <f t="shared" si="65"/>
        <v>1</v>
      </c>
      <c r="G666" t="str">
        <f t="shared" si="61"/>
        <v>1F450</v>
      </c>
      <c r="I666">
        <f>HEX2DEC(Table1[[#This Row],[utf8]])</f>
        <v>128080</v>
      </c>
      <c r="J666" t="str">
        <f>_xlfn.UNICHAR(HEX2DEC(Table1[[#This Row],[utf8]]))</f>
        <v>👐</v>
      </c>
      <c r="K666" s="3" t="str" cm="1">
        <f t="array" ref="K666">"Case "&amp;wRandomLetter()&amp;wRandomLetter()&amp;I666&amp;":    UniConst = ChrW(" &amp; I666 &amp;")"</f>
        <v>Case pr128080:    UniConst = ChrW(128080)</v>
      </c>
    </row>
    <row r="667" spans="1:11" hidden="1">
      <c r="A667" t="s">
        <v>361</v>
      </c>
      <c r="B667" t="str">
        <f t="shared" si="62"/>
        <v>1F450 1F3FC ; fully-qualified # 👐🏼 E1.0 open hands: medium-light skin tone</v>
      </c>
      <c r="C667" t="str">
        <f t="shared" si="63"/>
        <v xml:space="preserve">1F450 1F3FC </v>
      </c>
      <c r="D667">
        <f t="shared" si="64"/>
        <v>12</v>
      </c>
      <c r="E667" t="str">
        <f t="shared" si="60"/>
        <v xml:space="preserve"> 👐🏼 E1.0 open hands: medium-light skin tone</v>
      </c>
      <c r="F667" t="b">
        <f t="shared" si="65"/>
        <v>1</v>
      </c>
      <c r="G667" t="str">
        <f t="shared" si="61"/>
        <v>1F450</v>
      </c>
      <c r="I667">
        <f>HEX2DEC(Table1[[#This Row],[utf8]])</f>
        <v>128080</v>
      </c>
      <c r="J667" t="str">
        <f>_xlfn.UNICHAR(HEX2DEC(Table1[[#This Row],[utf8]]))</f>
        <v>👐</v>
      </c>
      <c r="K667" s="3" t="str" cm="1">
        <f t="array" ref="K667">"Case "&amp;wRandomLetter()&amp;wRandomLetter()&amp;I667&amp;":    UniConst = ChrW(" &amp; I667 &amp;")"</f>
        <v>Case XD128080:    UniConst = ChrW(128080)</v>
      </c>
    </row>
    <row r="668" spans="1:11" hidden="1">
      <c r="A668" t="s">
        <v>362</v>
      </c>
      <c r="B668" t="str">
        <f t="shared" si="62"/>
        <v>1F450 1F3FD ; fully-qualified # 👐🏽 E1.0 open hands: medium skin tone</v>
      </c>
      <c r="C668" t="str">
        <f t="shared" si="63"/>
        <v xml:space="preserve">1F450 1F3FD </v>
      </c>
      <c r="D668">
        <f t="shared" si="64"/>
        <v>12</v>
      </c>
      <c r="E668" t="str">
        <f t="shared" si="60"/>
        <v xml:space="preserve"> 👐🏽 E1.0 open hands: medium skin tone</v>
      </c>
      <c r="F668" t="b">
        <f t="shared" si="65"/>
        <v>1</v>
      </c>
      <c r="G668" t="str">
        <f t="shared" si="61"/>
        <v>1F450</v>
      </c>
      <c r="I668">
        <f>HEX2DEC(Table1[[#This Row],[utf8]])</f>
        <v>128080</v>
      </c>
      <c r="J668" t="str">
        <f>_xlfn.UNICHAR(HEX2DEC(Table1[[#This Row],[utf8]]))</f>
        <v>👐</v>
      </c>
      <c r="K668" s="3" t="str" cm="1">
        <f t="array" ref="K668">"Case "&amp;wRandomLetter()&amp;wRandomLetter()&amp;I668&amp;":    UniConst = ChrW(" &amp; I668 &amp;")"</f>
        <v>Case xY128080:    UniConst = ChrW(128080)</v>
      </c>
    </row>
    <row r="669" spans="1:11" hidden="1">
      <c r="A669" t="s">
        <v>363</v>
      </c>
      <c r="B669" t="str">
        <f t="shared" si="62"/>
        <v>1F450 1F3FE ; fully-qualified # 👐🏾 E1.0 open hands: medium-dark skin tone</v>
      </c>
      <c r="C669" t="str">
        <f t="shared" si="63"/>
        <v xml:space="preserve">1F450 1F3FE </v>
      </c>
      <c r="D669">
        <f t="shared" si="64"/>
        <v>12</v>
      </c>
      <c r="E669" t="str">
        <f t="shared" si="60"/>
        <v xml:space="preserve"> 👐🏾 E1.0 open hands: medium-dark skin tone</v>
      </c>
      <c r="F669" t="b">
        <f t="shared" si="65"/>
        <v>1</v>
      </c>
      <c r="G669" t="str">
        <f t="shared" si="61"/>
        <v>1F450</v>
      </c>
      <c r="I669">
        <f>HEX2DEC(Table1[[#This Row],[utf8]])</f>
        <v>128080</v>
      </c>
      <c r="J669" t="str">
        <f>_xlfn.UNICHAR(HEX2DEC(Table1[[#This Row],[utf8]]))</f>
        <v>👐</v>
      </c>
      <c r="K669" s="3" t="str" cm="1">
        <f t="array" ref="K669">"Case "&amp;wRandomLetter()&amp;wRandomLetter()&amp;I669&amp;":    UniConst = ChrW(" &amp; I669 &amp;")"</f>
        <v>Case af128080:    UniConst = ChrW(128080)</v>
      </c>
    </row>
    <row r="670" spans="1:11" hidden="1">
      <c r="A670" t="s">
        <v>364</v>
      </c>
      <c r="B670" t="str">
        <f t="shared" si="62"/>
        <v>1F450 1F3FF ; fully-qualified # 👐🏿 E1.0 open hands: dark skin tone</v>
      </c>
      <c r="C670" t="str">
        <f t="shared" si="63"/>
        <v xml:space="preserve">1F450 1F3FF </v>
      </c>
      <c r="D670">
        <f t="shared" si="64"/>
        <v>12</v>
      </c>
      <c r="E670" t="str">
        <f t="shared" si="60"/>
        <v xml:space="preserve"> 👐🏿 E1.0 open hands: dark skin tone</v>
      </c>
      <c r="F670" t="b">
        <f t="shared" si="65"/>
        <v>1</v>
      </c>
      <c r="G670" t="str">
        <f t="shared" si="61"/>
        <v>1F450</v>
      </c>
      <c r="I670">
        <f>HEX2DEC(Table1[[#This Row],[utf8]])</f>
        <v>128080</v>
      </c>
      <c r="J670" t="str">
        <f>_xlfn.UNICHAR(HEX2DEC(Table1[[#This Row],[utf8]]))</f>
        <v>👐</v>
      </c>
      <c r="K670" s="3" t="str" cm="1">
        <f t="array" ref="K670">"Case "&amp;wRandomLetter()&amp;wRandomLetter()&amp;I670&amp;":    UniConst = ChrW(" &amp; I670 &amp;")"</f>
        <v>Case Rf128080:    UniConst = ChrW(128080)</v>
      </c>
    </row>
    <row r="671" spans="1:11" hidden="1">
      <c r="A671" t="s">
        <v>3839</v>
      </c>
      <c r="B671" t="str">
        <f t="shared" si="62"/>
        <v>1F451 ; fully-qualified # 👑 E0.6 crown</v>
      </c>
      <c r="C671" t="str">
        <f t="shared" si="63"/>
        <v xml:space="preserve">1F451 </v>
      </c>
      <c r="D671">
        <f t="shared" si="64"/>
        <v>6</v>
      </c>
      <c r="E671" t="str">
        <f t="shared" si="60"/>
        <v xml:space="preserve"> 👑 E0.6 crown</v>
      </c>
      <c r="F671" t="b">
        <f t="shared" si="65"/>
        <v>1</v>
      </c>
      <c r="G671" t="str">
        <f t="shared" si="61"/>
        <v>1F451</v>
      </c>
      <c r="I671">
        <f>HEX2DEC(Table1[[#This Row],[utf8]])</f>
        <v>128081</v>
      </c>
      <c r="J671" t="str">
        <f>_xlfn.UNICHAR(HEX2DEC(Table1[[#This Row],[utf8]]))</f>
        <v>👑</v>
      </c>
      <c r="K671" s="3" t="str" cm="1">
        <f t="array" ref="K671">"Case "&amp;wRandomLetter()&amp;wRandomLetter()&amp;I671&amp;":    UniConst = ChrW(" &amp; I671 &amp;")"</f>
        <v>Case Hf128081:    UniConst = ChrW(128081)</v>
      </c>
    </row>
    <row r="672" spans="1:11" hidden="1">
      <c r="A672" t="s">
        <v>3840</v>
      </c>
      <c r="B672" t="str">
        <f t="shared" si="62"/>
        <v>1F452 ; fully-qualified # 👒 E0.6 woman’s hat</v>
      </c>
      <c r="C672" t="str">
        <f t="shared" si="63"/>
        <v xml:space="preserve">1F452 </v>
      </c>
      <c r="D672">
        <f t="shared" si="64"/>
        <v>6</v>
      </c>
      <c r="E672" t="str">
        <f t="shared" si="60"/>
        <v xml:space="preserve"> 👒 E0.6 woman’s hat</v>
      </c>
      <c r="F672" t="b">
        <f t="shared" si="65"/>
        <v>1</v>
      </c>
      <c r="G672" t="str">
        <f t="shared" si="61"/>
        <v>1F452</v>
      </c>
      <c r="I672">
        <f>HEX2DEC(Table1[[#This Row],[utf8]])</f>
        <v>128082</v>
      </c>
      <c r="J672" t="str">
        <f>_xlfn.UNICHAR(HEX2DEC(Table1[[#This Row],[utf8]]))</f>
        <v>👒</v>
      </c>
      <c r="K672" s="3" t="str" cm="1">
        <f t="array" ref="K672">"Case "&amp;wRandomLetter()&amp;wRandomLetter()&amp;I672&amp;":    UniConst = ChrW(" &amp; I672 &amp;")"</f>
        <v>Case ot128082:    UniConst = ChrW(128082)</v>
      </c>
    </row>
    <row r="673" spans="1:11" hidden="1">
      <c r="A673" t="s">
        <v>3803</v>
      </c>
      <c r="B673" t="str">
        <f t="shared" si="62"/>
        <v>1F453 ; fully-qualified # 👓 E0.6 glasses</v>
      </c>
      <c r="C673" t="str">
        <f t="shared" si="63"/>
        <v xml:space="preserve">1F453 </v>
      </c>
      <c r="D673">
        <f t="shared" si="64"/>
        <v>6</v>
      </c>
      <c r="E673" t="str">
        <f t="shared" si="60"/>
        <v xml:space="preserve"> 👓 E0.6 glasses</v>
      </c>
      <c r="F673" t="b">
        <f t="shared" si="65"/>
        <v>1</v>
      </c>
      <c r="G673" t="str">
        <f t="shared" si="61"/>
        <v>1F453</v>
      </c>
      <c r="I673">
        <f>HEX2DEC(Table1[[#This Row],[utf8]])</f>
        <v>128083</v>
      </c>
      <c r="J673" t="str">
        <f>_xlfn.UNICHAR(HEX2DEC(Table1[[#This Row],[utf8]]))</f>
        <v>👓</v>
      </c>
      <c r="K673" s="3" t="str" cm="1">
        <f t="array" ref="K673">"Case "&amp;wRandomLetter()&amp;wRandomLetter()&amp;I673&amp;":    UniConst = ChrW(" &amp; I673 &amp;")"</f>
        <v>Case uQ128083:    UniConst = ChrW(128083)</v>
      </c>
    </row>
    <row r="674" spans="1:11" hidden="1">
      <c r="A674" t="s">
        <v>3809</v>
      </c>
      <c r="B674" t="str">
        <f t="shared" si="62"/>
        <v>1F454 ; fully-qualified # 👔 E0.6 necktie</v>
      </c>
      <c r="C674" t="str">
        <f t="shared" si="63"/>
        <v xml:space="preserve">1F454 </v>
      </c>
      <c r="D674">
        <f t="shared" si="64"/>
        <v>6</v>
      </c>
      <c r="E674" t="str">
        <f t="shared" si="60"/>
        <v xml:space="preserve"> 👔 E0.6 necktie</v>
      </c>
      <c r="F674" t="b">
        <f t="shared" si="65"/>
        <v>1</v>
      </c>
      <c r="G674" t="str">
        <f t="shared" si="61"/>
        <v>1F454</v>
      </c>
      <c r="I674">
        <f>HEX2DEC(Table1[[#This Row],[utf8]])</f>
        <v>128084</v>
      </c>
      <c r="J674" t="str">
        <f>_xlfn.UNICHAR(HEX2DEC(Table1[[#This Row],[utf8]]))</f>
        <v>👔</v>
      </c>
      <c r="K674" s="3" t="str" cm="1">
        <f t="array" ref="K674">"Case "&amp;wRandomLetter()&amp;wRandomLetter()&amp;I674&amp;":    UniConst = ChrW(" &amp; I674 &amp;")"</f>
        <v>Case Lh128084:    UniConst = ChrW(128084)</v>
      </c>
    </row>
    <row r="675" spans="1:11" hidden="1">
      <c r="A675" t="s">
        <v>3810</v>
      </c>
      <c r="B675" t="str">
        <f t="shared" si="62"/>
        <v>1F455 ; fully-qualified # 👕 E0.6 t-shirt</v>
      </c>
      <c r="C675" t="str">
        <f t="shared" si="63"/>
        <v xml:space="preserve">1F455 </v>
      </c>
      <c r="D675">
        <f t="shared" si="64"/>
        <v>6</v>
      </c>
      <c r="E675" t="str">
        <f t="shared" si="60"/>
        <v xml:space="preserve"> 👕 E0.6 t-shirt</v>
      </c>
      <c r="F675" t="b">
        <f t="shared" si="65"/>
        <v>1</v>
      </c>
      <c r="G675" t="str">
        <f t="shared" si="61"/>
        <v>1F455</v>
      </c>
      <c r="I675">
        <f>HEX2DEC(Table1[[#This Row],[utf8]])</f>
        <v>128085</v>
      </c>
      <c r="J675" t="str">
        <f>_xlfn.UNICHAR(HEX2DEC(Table1[[#This Row],[utf8]]))</f>
        <v>👕</v>
      </c>
      <c r="K675" s="3" t="str" cm="1">
        <f t="array" ref="K675">"Case "&amp;wRandomLetter()&amp;wRandomLetter()&amp;I675&amp;":    UniConst = ChrW(" &amp; I675 &amp;")"</f>
        <v>Case pU128085:    UniConst = ChrW(128085)</v>
      </c>
    </row>
    <row r="676" spans="1:11" hidden="1">
      <c r="A676" t="s">
        <v>3811</v>
      </c>
      <c r="B676" t="str">
        <f t="shared" si="62"/>
        <v>1F456 ; fully-qualified # 👖 E0.6 jeans</v>
      </c>
      <c r="C676" t="str">
        <f t="shared" si="63"/>
        <v xml:space="preserve">1F456 </v>
      </c>
      <c r="D676">
        <f t="shared" si="64"/>
        <v>6</v>
      </c>
      <c r="E676" t="str">
        <f t="shared" si="60"/>
        <v xml:space="preserve"> 👖 E0.6 jeans</v>
      </c>
      <c r="F676" t="b">
        <f t="shared" si="65"/>
        <v>1</v>
      </c>
      <c r="G676" t="str">
        <f t="shared" si="61"/>
        <v>1F456</v>
      </c>
      <c r="I676">
        <f>HEX2DEC(Table1[[#This Row],[utf8]])</f>
        <v>128086</v>
      </c>
      <c r="J676" t="str">
        <f>_xlfn.UNICHAR(HEX2DEC(Table1[[#This Row],[utf8]]))</f>
        <v>👖</v>
      </c>
      <c r="K676" s="3" t="str" cm="1">
        <f t="array" ref="K676">"Case "&amp;wRandomLetter()&amp;wRandomLetter()&amp;I676&amp;":    UniConst = ChrW(" &amp; I676 &amp;")"</f>
        <v>Case Am128086:    UniConst = ChrW(128086)</v>
      </c>
    </row>
    <row r="677" spans="1:11" hidden="1">
      <c r="A677" t="s">
        <v>3816</v>
      </c>
      <c r="B677" t="str">
        <f t="shared" si="62"/>
        <v>1F457 ; fully-qualified # 👗 E0.6 dress</v>
      </c>
      <c r="C677" t="str">
        <f t="shared" si="63"/>
        <v xml:space="preserve">1F457 </v>
      </c>
      <c r="D677">
        <f t="shared" si="64"/>
        <v>6</v>
      </c>
      <c r="E677" t="str">
        <f t="shared" si="60"/>
        <v xml:space="preserve"> 👗 E0.6 dress</v>
      </c>
      <c r="F677" t="b">
        <f t="shared" si="65"/>
        <v>1</v>
      </c>
      <c r="G677" t="str">
        <f t="shared" si="61"/>
        <v>1F457</v>
      </c>
      <c r="I677">
        <f>HEX2DEC(Table1[[#This Row],[utf8]])</f>
        <v>128087</v>
      </c>
      <c r="J677" t="str">
        <f>_xlfn.UNICHAR(HEX2DEC(Table1[[#This Row],[utf8]]))</f>
        <v>👗</v>
      </c>
      <c r="K677" s="3" t="str" cm="1">
        <f t="array" ref="K677">"Case "&amp;wRandomLetter()&amp;wRandomLetter()&amp;I677&amp;":    UniConst = ChrW(" &amp; I677 &amp;")"</f>
        <v>Case au128087:    UniConst = ChrW(128087)</v>
      </c>
    </row>
    <row r="678" spans="1:11" hidden="1">
      <c r="A678" t="s">
        <v>3817</v>
      </c>
      <c r="B678" t="str">
        <f t="shared" si="62"/>
        <v>1F458 ; fully-qualified # 👘 E0.6 kimono</v>
      </c>
      <c r="C678" t="str">
        <f t="shared" si="63"/>
        <v xml:space="preserve">1F458 </v>
      </c>
      <c r="D678">
        <f t="shared" si="64"/>
        <v>6</v>
      </c>
      <c r="E678" t="str">
        <f t="shared" si="60"/>
        <v xml:space="preserve"> 👘 E0.6 kimono</v>
      </c>
      <c r="F678" t="b">
        <f t="shared" si="65"/>
        <v>1</v>
      </c>
      <c r="G678" t="str">
        <f t="shared" si="61"/>
        <v>1F458</v>
      </c>
      <c r="I678">
        <f>HEX2DEC(Table1[[#This Row],[utf8]])</f>
        <v>128088</v>
      </c>
      <c r="J678" t="str">
        <f>_xlfn.UNICHAR(HEX2DEC(Table1[[#This Row],[utf8]]))</f>
        <v>👘</v>
      </c>
      <c r="K678" s="3" t="str" cm="1">
        <f t="array" ref="K678">"Case "&amp;wRandomLetter()&amp;wRandomLetter()&amp;I678&amp;":    UniConst = ChrW(" &amp; I678 &amp;")"</f>
        <v>Case EQ128088:    UniConst = ChrW(128088)</v>
      </c>
    </row>
    <row r="679" spans="1:11" hidden="1">
      <c r="A679" t="s">
        <v>3822</v>
      </c>
      <c r="B679" t="str">
        <f t="shared" si="62"/>
        <v>1F459 ; fully-qualified # 👙 E0.6 bikini</v>
      </c>
      <c r="C679" t="str">
        <f t="shared" si="63"/>
        <v xml:space="preserve">1F459 </v>
      </c>
      <c r="D679">
        <f t="shared" si="64"/>
        <v>6</v>
      </c>
      <c r="E679" t="str">
        <f t="shared" si="60"/>
        <v xml:space="preserve"> 👙 E0.6 bikini</v>
      </c>
      <c r="F679" t="b">
        <f t="shared" si="65"/>
        <v>1</v>
      </c>
      <c r="G679" t="str">
        <f t="shared" si="61"/>
        <v>1F459</v>
      </c>
      <c r="I679">
        <f>HEX2DEC(Table1[[#This Row],[utf8]])</f>
        <v>128089</v>
      </c>
      <c r="J679" t="str">
        <f>_xlfn.UNICHAR(HEX2DEC(Table1[[#This Row],[utf8]]))</f>
        <v>👙</v>
      </c>
      <c r="K679" s="3" t="str" cm="1">
        <f t="array" ref="K679">"Case "&amp;wRandomLetter()&amp;wRandomLetter()&amp;I679&amp;":    UniConst = ChrW(" &amp; I679 &amp;")"</f>
        <v>Case ql128089:    UniConst = ChrW(128089)</v>
      </c>
    </row>
    <row r="680" spans="1:11" hidden="1">
      <c r="A680" t="s">
        <v>3823</v>
      </c>
      <c r="B680" t="str">
        <f t="shared" si="62"/>
        <v>1F45A ; fully-qualified # 👚 E0.6 woman’s clothes</v>
      </c>
      <c r="C680" t="str">
        <f t="shared" si="63"/>
        <v xml:space="preserve">1F45A </v>
      </c>
      <c r="D680">
        <f t="shared" si="64"/>
        <v>6</v>
      </c>
      <c r="E680" t="str">
        <f t="shared" si="60"/>
        <v xml:space="preserve"> 👚 E0.6 woman’s clothes</v>
      </c>
      <c r="F680" t="b">
        <f t="shared" si="65"/>
        <v>1</v>
      </c>
      <c r="G680" t="str">
        <f t="shared" si="61"/>
        <v>1F45A</v>
      </c>
      <c r="I680">
        <f>HEX2DEC(Table1[[#This Row],[utf8]])</f>
        <v>128090</v>
      </c>
      <c r="J680" t="str">
        <f>_xlfn.UNICHAR(HEX2DEC(Table1[[#This Row],[utf8]]))</f>
        <v>👚</v>
      </c>
      <c r="K680" s="3" t="str" cm="1">
        <f t="array" ref="K680">"Case "&amp;wRandomLetter()&amp;wRandomLetter()&amp;I680&amp;":    UniConst = ChrW(" &amp; I680 &amp;")"</f>
        <v>Case DD128090:    UniConst = ChrW(128090)</v>
      </c>
    </row>
    <row r="681" spans="1:11" hidden="1">
      <c r="A681" t="s">
        <v>3824</v>
      </c>
      <c r="B681" t="str">
        <f t="shared" si="62"/>
        <v>1F45B ; fully-qualified # 👛 E0.6 purse</v>
      </c>
      <c r="C681" t="str">
        <f t="shared" si="63"/>
        <v xml:space="preserve">1F45B </v>
      </c>
      <c r="D681">
        <f t="shared" si="64"/>
        <v>6</v>
      </c>
      <c r="E681" t="str">
        <f t="shared" si="60"/>
        <v xml:space="preserve"> 👛 E0.6 purse</v>
      </c>
      <c r="F681" t="b">
        <f t="shared" si="65"/>
        <v>1</v>
      </c>
      <c r="G681" t="str">
        <f t="shared" si="61"/>
        <v>1F45B</v>
      </c>
      <c r="I681">
        <f>HEX2DEC(Table1[[#This Row],[utf8]])</f>
        <v>128091</v>
      </c>
      <c r="J681" t="str">
        <f>_xlfn.UNICHAR(HEX2DEC(Table1[[#This Row],[utf8]]))</f>
        <v>👛</v>
      </c>
      <c r="K681" s="3" t="str" cm="1">
        <f t="array" ref="K681">"Case "&amp;wRandomLetter()&amp;wRandomLetter()&amp;I681&amp;":    UniConst = ChrW(" &amp; I681 &amp;")"</f>
        <v>Case VJ128091:    UniConst = ChrW(128091)</v>
      </c>
    </row>
    <row r="682" spans="1:11" hidden="1">
      <c r="A682" t="s">
        <v>3825</v>
      </c>
      <c r="B682" t="str">
        <f t="shared" si="62"/>
        <v>1F45C ; fully-qualified # 👜 E0.6 handbag</v>
      </c>
      <c r="C682" t="str">
        <f t="shared" si="63"/>
        <v xml:space="preserve">1F45C </v>
      </c>
      <c r="D682">
        <f t="shared" si="64"/>
        <v>6</v>
      </c>
      <c r="E682" t="str">
        <f t="shared" si="60"/>
        <v xml:space="preserve"> 👜 E0.6 handbag</v>
      </c>
      <c r="F682" t="b">
        <f t="shared" si="65"/>
        <v>1</v>
      </c>
      <c r="G682" t="str">
        <f t="shared" si="61"/>
        <v>1F45C</v>
      </c>
      <c r="I682">
        <f>HEX2DEC(Table1[[#This Row],[utf8]])</f>
        <v>128092</v>
      </c>
      <c r="J682" t="str">
        <f>_xlfn.UNICHAR(HEX2DEC(Table1[[#This Row],[utf8]]))</f>
        <v>👜</v>
      </c>
      <c r="K682" s="3" t="str" cm="1">
        <f t="array" ref="K682">"Case "&amp;wRandomLetter()&amp;wRandomLetter()&amp;I682&amp;":    UniConst = ChrW(" &amp; I682 &amp;")"</f>
        <v>Case ig128092:    UniConst = ChrW(128092)</v>
      </c>
    </row>
    <row r="683" spans="1:11" hidden="1">
      <c r="A683" t="s">
        <v>3826</v>
      </c>
      <c r="B683" t="str">
        <f t="shared" si="62"/>
        <v>1F45D ; fully-qualified # 👝 E0.6 clutch bag</v>
      </c>
      <c r="C683" t="str">
        <f t="shared" si="63"/>
        <v xml:space="preserve">1F45D </v>
      </c>
      <c r="D683">
        <f t="shared" si="64"/>
        <v>6</v>
      </c>
      <c r="E683" t="str">
        <f t="shared" si="60"/>
        <v xml:space="preserve"> 👝 E0.6 clutch bag</v>
      </c>
      <c r="F683" t="b">
        <f t="shared" si="65"/>
        <v>1</v>
      </c>
      <c r="G683" t="str">
        <f t="shared" si="61"/>
        <v>1F45D</v>
      </c>
      <c r="I683">
        <f>HEX2DEC(Table1[[#This Row],[utf8]])</f>
        <v>128093</v>
      </c>
      <c r="J683" t="str">
        <f>_xlfn.UNICHAR(HEX2DEC(Table1[[#This Row],[utf8]]))</f>
        <v>👝</v>
      </c>
      <c r="K683" s="3" t="str" cm="1">
        <f t="array" ref="K683">"Case "&amp;wRandomLetter()&amp;wRandomLetter()&amp;I683&amp;":    UniConst = ChrW(" &amp; I683 &amp;")"</f>
        <v>Case Lw128093:    UniConst = ChrW(128093)</v>
      </c>
    </row>
    <row r="684" spans="1:11" hidden="1">
      <c r="A684" t="s">
        <v>3831</v>
      </c>
      <c r="B684" t="str">
        <f t="shared" si="62"/>
        <v>1F45E ; fully-qualified # 👞 E0.6 man’s shoe</v>
      </c>
      <c r="C684" t="str">
        <f t="shared" si="63"/>
        <v xml:space="preserve">1F45E </v>
      </c>
      <c r="D684">
        <f t="shared" si="64"/>
        <v>6</v>
      </c>
      <c r="E684" t="str">
        <f t="shared" si="60"/>
        <v xml:space="preserve"> 👞 E0.6 man’s shoe</v>
      </c>
      <c r="F684" t="b">
        <f t="shared" si="65"/>
        <v>1</v>
      </c>
      <c r="G684" t="str">
        <f t="shared" si="61"/>
        <v>1F45E</v>
      </c>
      <c r="I684">
        <f>HEX2DEC(Table1[[#This Row],[utf8]])</f>
        <v>128094</v>
      </c>
      <c r="J684" t="str">
        <f>_xlfn.UNICHAR(HEX2DEC(Table1[[#This Row],[utf8]]))</f>
        <v>👞</v>
      </c>
      <c r="K684" s="3" t="str" cm="1">
        <f t="array" ref="K684">"Case "&amp;wRandomLetter()&amp;wRandomLetter()&amp;I684&amp;":    UniConst = ChrW(" &amp; I684 &amp;")"</f>
        <v>Case QK128094:    UniConst = ChrW(128094)</v>
      </c>
    </row>
    <row r="685" spans="1:11" hidden="1">
      <c r="A685" t="s">
        <v>3832</v>
      </c>
      <c r="B685" t="str">
        <f t="shared" si="62"/>
        <v>1F45F ; fully-qualified # 👟 E0.6 running shoe</v>
      </c>
      <c r="C685" t="str">
        <f t="shared" si="63"/>
        <v xml:space="preserve">1F45F </v>
      </c>
      <c r="D685">
        <f t="shared" si="64"/>
        <v>6</v>
      </c>
      <c r="E685" t="str">
        <f t="shared" si="60"/>
        <v xml:space="preserve"> 👟 E0.6 running shoe</v>
      </c>
      <c r="F685" t="b">
        <f t="shared" si="65"/>
        <v>1</v>
      </c>
      <c r="G685" t="str">
        <f t="shared" si="61"/>
        <v>1F45F</v>
      </c>
      <c r="I685">
        <f>HEX2DEC(Table1[[#This Row],[utf8]])</f>
        <v>128095</v>
      </c>
      <c r="J685" t="str">
        <f>_xlfn.UNICHAR(HEX2DEC(Table1[[#This Row],[utf8]]))</f>
        <v>👟</v>
      </c>
      <c r="K685" s="3" t="str" cm="1">
        <f t="array" ref="K685">"Case "&amp;wRandomLetter()&amp;wRandomLetter()&amp;I685&amp;":    UniConst = ChrW(" &amp; I685 &amp;")"</f>
        <v>Case ld128095:    UniConst = ChrW(128095)</v>
      </c>
    </row>
    <row r="686" spans="1:11" hidden="1">
      <c r="A686" t="s">
        <v>3835</v>
      </c>
      <c r="B686" t="str">
        <f t="shared" si="62"/>
        <v>1F460 ; fully-qualified # 👠 E0.6 high-heeled shoe</v>
      </c>
      <c r="C686" t="str">
        <f t="shared" si="63"/>
        <v xml:space="preserve">1F460 </v>
      </c>
      <c r="D686">
        <f t="shared" si="64"/>
        <v>6</v>
      </c>
      <c r="E686" t="str">
        <f t="shared" si="60"/>
        <v xml:space="preserve"> 👠 E0.6 high-heeled shoe</v>
      </c>
      <c r="F686" t="b">
        <f t="shared" si="65"/>
        <v>1</v>
      </c>
      <c r="G686" t="str">
        <f t="shared" si="61"/>
        <v>1F460</v>
      </c>
      <c r="I686">
        <f>HEX2DEC(Table1[[#This Row],[utf8]])</f>
        <v>128096</v>
      </c>
      <c r="J686" t="str">
        <f>_xlfn.UNICHAR(HEX2DEC(Table1[[#This Row],[utf8]]))</f>
        <v>👠</v>
      </c>
      <c r="K686" s="3" t="str" cm="1">
        <f t="array" ref="K686">"Case "&amp;wRandomLetter()&amp;wRandomLetter()&amp;I686&amp;":    UniConst = ChrW(" &amp; I686 &amp;")"</f>
        <v>Case Sa128096:    UniConst = ChrW(128096)</v>
      </c>
    </row>
    <row r="687" spans="1:11" hidden="1">
      <c r="A687" t="s">
        <v>3836</v>
      </c>
      <c r="B687" t="str">
        <f t="shared" si="62"/>
        <v>1F461 ; fully-qualified # 👡 E0.6 woman’s sandal</v>
      </c>
      <c r="C687" t="str">
        <f t="shared" si="63"/>
        <v xml:space="preserve">1F461 </v>
      </c>
      <c r="D687">
        <f t="shared" si="64"/>
        <v>6</v>
      </c>
      <c r="E687" t="str">
        <f t="shared" si="60"/>
        <v xml:space="preserve"> 👡 E0.6 woman’s sandal</v>
      </c>
      <c r="F687" t="b">
        <f t="shared" si="65"/>
        <v>1</v>
      </c>
      <c r="G687" t="str">
        <f t="shared" si="61"/>
        <v>1F461</v>
      </c>
      <c r="I687">
        <f>HEX2DEC(Table1[[#This Row],[utf8]])</f>
        <v>128097</v>
      </c>
      <c r="J687" t="str">
        <f>_xlfn.UNICHAR(HEX2DEC(Table1[[#This Row],[utf8]]))</f>
        <v>👡</v>
      </c>
      <c r="K687" s="3" t="str" cm="1">
        <f t="array" ref="K687">"Case "&amp;wRandomLetter()&amp;wRandomLetter()&amp;I687&amp;":    UniConst = ChrW(" &amp; I687 &amp;")"</f>
        <v>Case Hu128097:    UniConst = ChrW(128097)</v>
      </c>
    </row>
    <row r="688" spans="1:11" hidden="1">
      <c r="A688" t="s">
        <v>3838</v>
      </c>
      <c r="B688" t="str">
        <f t="shared" si="62"/>
        <v>1F462 ; fully-qualified # 👢 E0.6 woman’s boot</v>
      </c>
      <c r="C688" t="str">
        <f t="shared" si="63"/>
        <v xml:space="preserve">1F462 </v>
      </c>
      <c r="D688">
        <f t="shared" si="64"/>
        <v>6</v>
      </c>
      <c r="E688" t="str">
        <f t="shared" si="60"/>
        <v xml:space="preserve"> 👢 E0.6 woman’s boot</v>
      </c>
      <c r="F688" t="b">
        <f t="shared" si="65"/>
        <v>1</v>
      </c>
      <c r="G688" t="str">
        <f t="shared" si="61"/>
        <v>1F462</v>
      </c>
      <c r="I688">
        <f>HEX2DEC(Table1[[#This Row],[utf8]])</f>
        <v>128098</v>
      </c>
      <c r="J688" t="str">
        <f>_xlfn.UNICHAR(HEX2DEC(Table1[[#This Row],[utf8]]))</f>
        <v>👢</v>
      </c>
      <c r="K688" s="3" t="str" cm="1">
        <f t="array" ref="K688">"Case "&amp;wRandomLetter()&amp;wRandomLetter()&amp;I688&amp;":    UniConst = ChrW(" &amp; I688 &amp;")"</f>
        <v>Case Mu128098:    UniConst = ChrW(128098)</v>
      </c>
    </row>
    <row r="689" spans="1:11" hidden="1">
      <c r="A689" t="s">
        <v>3103</v>
      </c>
      <c r="B689" t="str">
        <f t="shared" si="62"/>
        <v>1F463 ; fully-qualified # 👣 E0.6 footprints</v>
      </c>
      <c r="C689" t="str">
        <f t="shared" si="63"/>
        <v xml:space="preserve">1F463 </v>
      </c>
      <c r="D689">
        <f t="shared" si="64"/>
        <v>6</v>
      </c>
      <c r="E689" t="str">
        <f t="shared" si="60"/>
        <v xml:space="preserve"> 👣 E0.6 footprints</v>
      </c>
      <c r="F689" t="b">
        <f t="shared" si="65"/>
        <v>1</v>
      </c>
      <c r="G689" t="str">
        <f t="shared" si="61"/>
        <v>1F463</v>
      </c>
      <c r="I689">
        <f>HEX2DEC(Table1[[#This Row],[utf8]])</f>
        <v>128099</v>
      </c>
      <c r="J689" t="str">
        <f>_xlfn.UNICHAR(HEX2DEC(Table1[[#This Row],[utf8]]))</f>
        <v>👣</v>
      </c>
      <c r="K689" s="3" t="str" cm="1">
        <f t="array" ref="K689">"Case "&amp;wRandomLetter()&amp;wRandomLetter()&amp;I689&amp;":    UniConst = ChrW(" &amp; I689 &amp;")"</f>
        <v>Case tV128099:    UniConst = ChrW(128099)</v>
      </c>
    </row>
    <row r="690" spans="1:11" hidden="1">
      <c r="A690" t="s">
        <v>3100</v>
      </c>
      <c r="B690" t="str">
        <f t="shared" si="62"/>
        <v>1F464 ; fully-qualified # 👤 E0.6 bust in silhouette</v>
      </c>
      <c r="C690" t="str">
        <f t="shared" si="63"/>
        <v xml:space="preserve">1F464 </v>
      </c>
      <c r="D690">
        <f t="shared" si="64"/>
        <v>6</v>
      </c>
      <c r="E690" t="str">
        <f t="shared" si="60"/>
        <v xml:space="preserve"> 👤 E0.6 bust in silhouette</v>
      </c>
      <c r="F690" t="b">
        <f t="shared" si="65"/>
        <v>1</v>
      </c>
      <c r="G690" t="str">
        <f t="shared" si="61"/>
        <v>1F464</v>
      </c>
      <c r="I690">
        <f>HEX2DEC(Table1[[#This Row],[utf8]])</f>
        <v>128100</v>
      </c>
      <c r="J690" t="str">
        <f>_xlfn.UNICHAR(HEX2DEC(Table1[[#This Row],[utf8]]))</f>
        <v>👤</v>
      </c>
      <c r="K690" s="3" t="str" cm="1">
        <f t="array" ref="K690">"Case "&amp;wRandomLetter()&amp;wRandomLetter()&amp;I690&amp;":    UniConst = ChrW(" &amp; I690 &amp;")"</f>
        <v>Case aG128100:    UniConst = ChrW(128100)</v>
      </c>
    </row>
    <row r="691" spans="1:11" hidden="1">
      <c r="A691" t="s">
        <v>3101</v>
      </c>
      <c r="B691" t="str">
        <f t="shared" si="62"/>
        <v>1F465 ; fully-qualified # 👥 E1.0 busts in silhouette</v>
      </c>
      <c r="C691" t="str">
        <f t="shared" si="63"/>
        <v xml:space="preserve">1F465 </v>
      </c>
      <c r="D691">
        <f t="shared" si="64"/>
        <v>6</v>
      </c>
      <c r="E691" t="str">
        <f t="shared" si="60"/>
        <v xml:space="preserve"> 👥 E1.0 busts in silhouette</v>
      </c>
      <c r="F691" t="b">
        <f t="shared" si="65"/>
        <v>1</v>
      </c>
      <c r="G691" t="str">
        <f t="shared" si="61"/>
        <v>1F465</v>
      </c>
      <c r="I691">
        <f>HEX2DEC(Table1[[#This Row],[utf8]])</f>
        <v>128101</v>
      </c>
      <c r="J691" t="str">
        <f>_xlfn.UNICHAR(HEX2DEC(Table1[[#This Row],[utf8]]))</f>
        <v>👥</v>
      </c>
      <c r="K691" s="3" t="str" cm="1">
        <f t="array" ref="K691">"Case "&amp;wRandomLetter()&amp;wRandomLetter()&amp;I691&amp;":    UniConst = ChrW(" &amp; I691 &amp;")"</f>
        <v>Case KD128101:    UniConst = ChrW(128101)</v>
      </c>
    </row>
    <row r="692" spans="1:11" hidden="1">
      <c r="A692" t="s">
        <v>460</v>
      </c>
      <c r="B692" t="str">
        <f t="shared" si="62"/>
        <v>1F466 ; fully-qualified # 👦 E0.6 boy</v>
      </c>
      <c r="C692" t="str">
        <f t="shared" si="63"/>
        <v xml:space="preserve">1F466 </v>
      </c>
      <c r="D692">
        <f t="shared" si="64"/>
        <v>6</v>
      </c>
      <c r="E692" t="str">
        <f t="shared" si="60"/>
        <v xml:space="preserve"> 👦 E0.6 boy</v>
      </c>
      <c r="F692" t="b">
        <f t="shared" si="65"/>
        <v>1</v>
      </c>
      <c r="G692" t="str">
        <f t="shared" si="61"/>
        <v>1F466</v>
      </c>
      <c r="I692">
        <f>HEX2DEC(Table1[[#This Row],[utf8]])</f>
        <v>128102</v>
      </c>
      <c r="J692" t="str">
        <f>_xlfn.UNICHAR(HEX2DEC(Table1[[#This Row],[utf8]]))</f>
        <v>👦</v>
      </c>
      <c r="K692" s="3" t="str" cm="1">
        <f t="array" ref="K692">"Case "&amp;wRandomLetter()&amp;wRandomLetter()&amp;I692&amp;":    UniConst = ChrW(" &amp; I692 &amp;")"</f>
        <v>Case Ul128102:    UniConst = ChrW(128102)</v>
      </c>
    </row>
    <row r="693" spans="1:11" hidden="1">
      <c r="A693" t="s">
        <v>461</v>
      </c>
      <c r="B693" t="str">
        <f t="shared" si="62"/>
        <v>1F466 1F3FB ; fully-qualified # 👦🏻 E1.0 boy: light skin tone</v>
      </c>
      <c r="C693" t="str">
        <f t="shared" si="63"/>
        <v xml:space="preserve">1F466 1F3FB </v>
      </c>
      <c r="D693">
        <f t="shared" si="64"/>
        <v>12</v>
      </c>
      <c r="E693" t="str">
        <f t="shared" si="60"/>
        <v xml:space="preserve"> 👦🏻 E1.0 boy: light skin tone</v>
      </c>
      <c r="F693" t="b">
        <f t="shared" si="65"/>
        <v>1</v>
      </c>
      <c r="G693" t="str">
        <f t="shared" si="61"/>
        <v>1F466</v>
      </c>
      <c r="I693">
        <f>HEX2DEC(Table1[[#This Row],[utf8]])</f>
        <v>128102</v>
      </c>
      <c r="J693" t="str">
        <f>_xlfn.UNICHAR(HEX2DEC(Table1[[#This Row],[utf8]]))</f>
        <v>👦</v>
      </c>
      <c r="K693" s="3" t="str" cm="1">
        <f t="array" ref="K693">"Case "&amp;wRandomLetter()&amp;wRandomLetter()&amp;I693&amp;":    UniConst = ChrW(" &amp; I693 &amp;")"</f>
        <v>Case sl128102:    UniConst = ChrW(128102)</v>
      </c>
    </row>
    <row r="694" spans="1:11" hidden="1">
      <c r="A694" t="s">
        <v>462</v>
      </c>
      <c r="B694" t="str">
        <f t="shared" si="62"/>
        <v>1F466 1F3FC ; fully-qualified # 👦🏼 E1.0 boy: medium-light skin tone</v>
      </c>
      <c r="C694" t="str">
        <f t="shared" si="63"/>
        <v xml:space="preserve">1F466 1F3FC </v>
      </c>
      <c r="D694">
        <f t="shared" si="64"/>
        <v>12</v>
      </c>
      <c r="E694" t="str">
        <f t="shared" si="60"/>
        <v xml:space="preserve"> 👦🏼 E1.0 boy: medium-light skin tone</v>
      </c>
      <c r="F694" t="b">
        <f t="shared" si="65"/>
        <v>1</v>
      </c>
      <c r="G694" t="str">
        <f t="shared" si="61"/>
        <v>1F466</v>
      </c>
      <c r="I694">
        <f>HEX2DEC(Table1[[#This Row],[utf8]])</f>
        <v>128102</v>
      </c>
      <c r="J694" t="str">
        <f>_xlfn.UNICHAR(HEX2DEC(Table1[[#This Row],[utf8]]))</f>
        <v>👦</v>
      </c>
      <c r="K694" s="3" t="str" cm="1">
        <f t="array" ref="K694">"Case "&amp;wRandomLetter()&amp;wRandomLetter()&amp;I694&amp;":    UniConst = ChrW(" &amp; I694 &amp;")"</f>
        <v>Case UZ128102:    UniConst = ChrW(128102)</v>
      </c>
    </row>
    <row r="695" spans="1:11" hidden="1">
      <c r="A695" t="s">
        <v>463</v>
      </c>
      <c r="B695" t="str">
        <f t="shared" si="62"/>
        <v>1F466 1F3FD ; fully-qualified # 👦🏽 E1.0 boy: medium skin tone</v>
      </c>
      <c r="C695" t="str">
        <f t="shared" si="63"/>
        <v xml:space="preserve">1F466 1F3FD </v>
      </c>
      <c r="D695">
        <f t="shared" si="64"/>
        <v>12</v>
      </c>
      <c r="E695" t="str">
        <f t="shared" si="60"/>
        <v xml:space="preserve"> 👦🏽 E1.0 boy: medium skin tone</v>
      </c>
      <c r="F695" t="b">
        <f t="shared" si="65"/>
        <v>1</v>
      </c>
      <c r="G695" t="str">
        <f t="shared" si="61"/>
        <v>1F466</v>
      </c>
      <c r="I695">
        <f>HEX2DEC(Table1[[#This Row],[utf8]])</f>
        <v>128102</v>
      </c>
      <c r="J695" t="str">
        <f>_xlfn.UNICHAR(HEX2DEC(Table1[[#This Row],[utf8]]))</f>
        <v>👦</v>
      </c>
      <c r="K695" s="3" t="str" cm="1">
        <f t="array" ref="K695">"Case "&amp;wRandomLetter()&amp;wRandomLetter()&amp;I695&amp;":    UniConst = ChrW(" &amp; I695 &amp;")"</f>
        <v>Case aE128102:    UniConst = ChrW(128102)</v>
      </c>
    </row>
    <row r="696" spans="1:11" hidden="1">
      <c r="A696" t="s">
        <v>464</v>
      </c>
      <c r="B696" t="str">
        <f t="shared" si="62"/>
        <v>1F466 1F3FE ; fully-qualified # 👦🏾 E1.0 boy: medium-dark skin tone</v>
      </c>
      <c r="C696" t="str">
        <f t="shared" si="63"/>
        <v xml:space="preserve">1F466 1F3FE </v>
      </c>
      <c r="D696">
        <f t="shared" si="64"/>
        <v>12</v>
      </c>
      <c r="E696" t="str">
        <f t="shared" si="60"/>
        <v xml:space="preserve"> 👦🏾 E1.0 boy: medium-dark skin tone</v>
      </c>
      <c r="F696" t="b">
        <f t="shared" si="65"/>
        <v>1</v>
      </c>
      <c r="G696" t="str">
        <f t="shared" si="61"/>
        <v>1F466</v>
      </c>
      <c r="I696">
        <f>HEX2DEC(Table1[[#This Row],[utf8]])</f>
        <v>128102</v>
      </c>
      <c r="J696" t="str">
        <f>_xlfn.UNICHAR(HEX2DEC(Table1[[#This Row],[utf8]]))</f>
        <v>👦</v>
      </c>
      <c r="K696" s="3" t="str" cm="1">
        <f t="array" ref="K696">"Case "&amp;wRandomLetter()&amp;wRandomLetter()&amp;I696&amp;":    UniConst = ChrW(" &amp; I696 &amp;")"</f>
        <v>Case jm128102:    UniConst = ChrW(128102)</v>
      </c>
    </row>
    <row r="697" spans="1:11" hidden="1">
      <c r="A697" t="s">
        <v>465</v>
      </c>
      <c r="B697" t="str">
        <f t="shared" si="62"/>
        <v>1F466 1F3FF ; fully-qualified # 👦🏿 E1.0 boy: dark skin tone</v>
      </c>
      <c r="C697" t="str">
        <f t="shared" si="63"/>
        <v xml:space="preserve">1F466 1F3FF </v>
      </c>
      <c r="D697">
        <f t="shared" si="64"/>
        <v>12</v>
      </c>
      <c r="E697" t="str">
        <f t="shared" si="60"/>
        <v xml:space="preserve"> 👦🏿 E1.0 boy: dark skin tone</v>
      </c>
      <c r="F697" t="b">
        <f t="shared" si="65"/>
        <v>1</v>
      </c>
      <c r="G697" t="str">
        <f t="shared" si="61"/>
        <v>1F466</v>
      </c>
      <c r="I697">
        <f>HEX2DEC(Table1[[#This Row],[utf8]])</f>
        <v>128102</v>
      </c>
      <c r="J697" t="str">
        <f>_xlfn.UNICHAR(HEX2DEC(Table1[[#This Row],[utf8]]))</f>
        <v>👦</v>
      </c>
      <c r="K697" s="3" t="str" cm="1">
        <f t="array" ref="K697">"Case "&amp;wRandomLetter()&amp;wRandomLetter()&amp;I697&amp;":    UniConst = ChrW(" &amp; I697 &amp;")"</f>
        <v>Case Hg128102:    UniConst = ChrW(128102)</v>
      </c>
    </row>
    <row r="698" spans="1:11" hidden="1">
      <c r="A698" t="s">
        <v>466</v>
      </c>
      <c r="B698" t="str">
        <f t="shared" si="62"/>
        <v>1F467 ; fully-qualified # 👧 E0.6 girl</v>
      </c>
      <c r="C698" t="str">
        <f t="shared" si="63"/>
        <v xml:space="preserve">1F467 </v>
      </c>
      <c r="D698">
        <f t="shared" si="64"/>
        <v>6</v>
      </c>
      <c r="E698" t="str">
        <f t="shared" si="60"/>
        <v xml:space="preserve"> 👧 E0.6 girl</v>
      </c>
      <c r="F698" t="b">
        <f t="shared" si="65"/>
        <v>1</v>
      </c>
      <c r="G698" t="str">
        <f t="shared" si="61"/>
        <v>1F467</v>
      </c>
      <c r="I698">
        <f>HEX2DEC(Table1[[#This Row],[utf8]])</f>
        <v>128103</v>
      </c>
      <c r="J698" t="str">
        <f>_xlfn.UNICHAR(HEX2DEC(Table1[[#This Row],[utf8]]))</f>
        <v>👧</v>
      </c>
      <c r="K698" s="3" t="str" cm="1">
        <f t="array" ref="K698">"Case "&amp;wRandomLetter()&amp;wRandomLetter()&amp;I698&amp;":    UniConst = ChrW(" &amp; I698 &amp;")"</f>
        <v>Case LZ128103:    UniConst = ChrW(128103)</v>
      </c>
    </row>
    <row r="699" spans="1:11" hidden="1">
      <c r="A699" t="s">
        <v>467</v>
      </c>
      <c r="B699" t="str">
        <f t="shared" si="62"/>
        <v>1F467 1F3FB ; fully-qualified # 👧🏻 E1.0 girl: light skin tone</v>
      </c>
      <c r="C699" t="str">
        <f t="shared" si="63"/>
        <v xml:space="preserve">1F467 1F3FB </v>
      </c>
      <c r="D699">
        <f t="shared" si="64"/>
        <v>12</v>
      </c>
      <c r="E699" t="str">
        <f t="shared" si="60"/>
        <v xml:space="preserve"> 👧🏻 E1.0 girl: light skin tone</v>
      </c>
      <c r="F699" t="b">
        <f t="shared" si="65"/>
        <v>1</v>
      </c>
      <c r="G699" t="str">
        <f t="shared" si="61"/>
        <v>1F467</v>
      </c>
      <c r="I699">
        <f>HEX2DEC(Table1[[#This Row],[utf8]])</f>
        <v>128103</v>
      </c>
      <c r="J699" t="str">
        <f>_xlfn.UNICHAR(HEX2DEC(Table1[[#This Row],[utf8]]))</f>
        <v>👧</v>
      </c>
      <c r="K699" s="3" t="str" cm="1">
        <f t="array" ref="K699">"Case "&amp;wRandomLetter()&amp;wRandomLetter()&amp;I699&amp;":    UniConst = ChrW(" &amp; I699 &amp;")"</f>
        <v>Case Vf128103:    UniConst = ChrW(128103)</v>
      </c>
    </row>
    <row r="700" spans="1:11" hidden="1">
      <c r="A700" t="s">
        <v>468</v>
      </c>
      <c r="B700" t="str">
        <f t="shared" si="62"/>
        <v>1F467 1F3FC ; fully-qualified # 👧🏼 E1.0 girl: medium-light skin tone</v>
      </c>
      <c r="C700" t="str">
        <f t="shared" si="63"/>
        <v xml:space="preserve">1F467 1F3FC </v>
      </c>
      <c r="D700">
        <f t="shared" si="64"/>
        <v>12</v>
      </c>
      <c r="E700" t="str">
        <f t="shared" si="60"/>
        <v xml:space="preserve"> 👧🏼 E1.0 girl: medium-light skin tone</v>
      </c>
      <c r="F700" t="b">
        <f t="shared" si="65"/>
        <v>1</v>
      </c>
      <c r="G700" t="str">
        <f t="shared" si="61"/>
        <v>1F467</v>
      </c>
      <c r="I700">
        <f>HEX2DEC(Table1[[#This Row],[utf8]])</f>
        <v>128103</v>
      </c>
      <c r="J700" t="str">
        <f>_xlfn.UNICHAR(HEX2DEC(Table1[[#This Row],[utf8]]))</f>
        <v>👧</v>
      </c>
      <c r="K700" s="3" t="str" cm="1">
        <f t="array" ref="K700">"Case "&amp;wRandomLetter()&amp;wRandomLetter()&amp;I700&amp;":    UniConst = ChrW(" &amp; I700 &amp;")"</f>
        <v>Case Nc128103:    UniConst = ChrW(128103)</v>
      </c>
    </row>
    <row r="701" spans="1:11" hidden="1">
      <c r="A701" t="s">
        <v>469</v>
      </c>
      <c r="B701" t="str">
        <f t="shared" si="62"/>
        <v>1F467 1F3FD ; fully-qualified # 👧🏽 E1.0 girl: medium skin tone</v>
      </c>
      <c r="C701" t="str">
        <f t="shared" si="63"/>
        <v xml:space="preserve">1F467 1F3FD </v>
      </c>
      <c r="D701">
        <f t="shared" si="64"/>
        <v>12</v>
      </c>
      <c r="E701" t="str">
        <f t="shared" si="60"/>
        <v xml:space="preserve"> 👧🏽 E1.0 girl: medium skin tone</v>
      </c>
      <c r="F701" t="b">
        <f t="shared" si="65"/>
        <v>1</v>
      </c>
      <c r="G701" t="str">
        <f t="shared" si="61"/>
        <v>1F467</v>
      </c>
      <c r="I701">
        <f>HEX2DEC(Table1[[#This Row],[utf8]])</f>
        <v>128103</v>
      </c>
      <c r="J701" t="str">
        <f>_xlfn.UNICHAR(HEX2DEC(Table1[[#This Row],[utf8]]))</f>
        <v>👧</v>
      </c>
      <c r="K701" s="3" t="str" cm="1">
        <f t="array" ref="K701">"Case "&amp;wRandomLetter()&amp;wRandomLetter()&amp;I701&amp;":    UniConst = ChrW(" &amp; I701 &amp;")"</f>
        <v>Case fG128103:    UniConst = ChrW(128103)</v>
      </c>
    </row>
    <row r="702" spans="1:11" hidden="1">
      <c r="A702" t="s">
        <v>470</v>
      </c>
      <c r="B702" t="str">
        <f t="shared" si="62"/>
        <v>1F467 1F3FE ; fully-qualified # 👧🏾 E1.0 girl: medium-dark skin tone</v>
      </c>
      <c r="C702" t="str">
        <f t="shared" si="63"/>
        <v xml:space="preserve">1F467 1F3FE </v>
      </c>
      <c r="D702">
        <f t="shared" si="64"/>
        <v>12</v>
      </c>
      <c r="E702" t="str">
        <f t="shared" si="60"/>
        <v xml:space="preserve"> 👧🏾 E1.0 girl: medium-dark skin tone</v>
      </c>
      <c r="F702" t="b">
        <f t="shared" si="65"/>
        <v>1</v>
      </c>
      <c r="G702" t="str">
        <f t="shared" si="61"/>
        <v>1F467</v>
      </c>
      <c r="I702">
        <f>HEX2DEC(Table1[[#This Row],[utf8]])</f>
        <v>128103</v>
      </c>
      <c r="J702" t="str">
        <f>_xlfn.UNICHAR(HEX2DEC(Table1[[#This Row],[utf8]]))</f>
        <v>👧</v>
      </c>
      <c r="K702" s="3" t="str" cm="1">
        <f t="array" ref="K702">"Case "&amp;wRandomLetter()&amp;wRandomLetter()&amp;I702&amp;":    UniConst = ChrW(" &amp; I702 &amp;")"</f>
        <v>Case Wf128103:    UniConst = ChrW(128103)</v>
      </c>
    </row>
    <row r="703" spans="1:11" hidden="1">
      <c r="A703" t="s">
        <v>471</v>
      </c>
      <c r="B703" t="str">
        <f t="shared" si="62"/>
        <v>1F467 1F3FF ; fully-qualified # 👧🏿 E1.0 girl: dark skin tone</v>
      </c>
      <c r="C703" t="str">
        <f t="shared" si="63"/>
        <v xml:space="preserve">1F467 1F3FF </v>
      </c>
      <c r="D703">
        <f t="shared" si="64"/>
        <v>12</v>
      </c>
      <c r="E703" t="str">
        <f t="shared" si="60"/>
        <v xml:space="preserve"> 👧🏿 E1.0 girl: dark skin tone</v>
      </c>
      <c r="F703" t="b">
        <f t="shared" si="65"/>
        <v>1</v>
      </c>
      <c r="G703" t="str">
        <f t="shared" si="61"/>
        <v>1F467</v>
      </c>
      <c r="I703">
        <f>HEX2DEC(Table1[[#This Row],[utf8]])</f>
        <v>128103</v>
      </c>
      <c r="J703" t="str">
        <f>_xlfn.UNICHAR(HEX2DEC(Table1[[#This Row],[utf8]]))</f>
        <v>👧</v>
      </c>
      <c r="K703" s="3" t="str" cm="1">
        <f t="array" ref="K703">"Case "&amp;wRandomLetter()&amp;wRandomLetter()&amp;I703&amp;":    UniConst = ChrW(" &amp; I703 &amp;")"</f>
        <v>Case dY128103:    UniConst = ChrW(128103)</v>
      </c>
    </row>
    <row r="704" spans="1:11" hidden="1">
      <c r="A704" t="s">
        <v>484</v>
      </c>
      <c r="B704" t="str">
        <f t="shared" si="62"/>
        <v>1F468 ; fully-qualified # 👨 E0.6 man</v>
      </c>
      <c r="C704" t="str">
        <f t="shared" si="63"/>
        <v xml:space="preserve">1F468 </v>
      </c>
      <c r="D704">
        <f t="shared" si="64"/>
        <v>6</v>
      </c>
      <c r="E704" t="str">
        <f t="shared" si="60"/>
        <v xml:space="preserve"> 👨 E0.6 man</v>
      </c>
      <c r="F704" t="b">
        <f t="shared" si="65"/>
        <v>1</v>
      </c>
      <c r="G704" t="str">
        <f t="shared" si="61"/>
        <v>1F468</v>
      </c>
      <c r="I704">
        <f>HEX2DEC(Table1[[#This Row],[utf8]])</f>
        <v>128104</v>
      </c>
      <c r="J704" t="str">
        <f>_xlfn.UNICHAR(HEX2DEC(Table1[[#This Row],[utf8]]))</f>
        <v>👨</v>
      </c>
      <c r="K704" s="3" t="str" cm="1">
        <f t="array" ref="K704">"Case "&amp;wRandomLetter()&amp;wRandomLetter()&amp;I704&amp;":    UniConst = ChrW(" &amp; I704 &amp;")"</f>
        <v>Case dv128104:    UniConst = ChrW(128104)</v>
      </c>
    </row>
    <row r="705" spans="1:11" hidden="1">
      <c r="A705" t="s">
        <v>485</v>
      </c>
      <c r="B705" t="str">
        <f t="shared" si="62"/>
        <v>1F468 1F3FB ; fully-qualified # 👨🏻 E1.0 man: light skin tone</v>
      </c>
      <c r="C705" t="str">
        <f t="shared" si="63"/>
        <v xml:space="preserve">1F468 1F3FB </v>
      </c>
      <c r="D705">
        <f t="shared" si="64"/>
        <v>12</v>
      </c>
      <c r="E705" t="str">
        <f t="shared" si="60"/>
        <v xml:space="preserve"> 👨🏻 E1.0 man: light skin tone</v>
      </c>
      <c r="F705" t="b">
        <f t="shared" si="65"/>
        <v>1</v>
      </c>
      <c r="G705" t="str">
        <f t="shared" si="61"/>
        <v>1F468</v>
      </c>
      <c r="I705">
        <f>HEX2DEC(Table1[[#This Row],[utf8]])</f>
        <v>128104</v>
      </c>
      <c r="J705" t="str">
        <f>_xlfn.UNICHAR(HEX2DEC(Table1[[#This Row],[utf8]]))</f>
        <v>👨</v>
      </c>
      <c r="K705" s="3" t="str" cm="1">
        <f t="array" ref="K705">"Case "&amp;wRandomLetter()&amp;wRandomLetter()&amp;I705&amp;":    UniConst = ChrW(" &amp; I705 &amp;")"</f>
        <v>Case pT128104:    UniConst = ChrW(128104)</v>
      </c>
    </row>
    <row r="706" spans="1:11" hidden="1">
      <c r="A706" t="s">
        <v>1057</v>
      </c>
      <c r="B706" t="str">
        <f t="shared" si="62"/>
        <v>1F468 1F3FB 200D 1F33E ; fully-qualified # 👨🏻‍🌾 E4.0 man farmer: light skin tone</v>
      </c>
      <c r="C706" t="str">
        <f t="shared" si="63"/>
        <v xml:space="preserve">1F468 1F3FB 200D 1F33E </v>
      </c>
      <c r="D706">
        <f t="shared" si="64"/>
        <v>23</v>
      </c>
      <c r="E706" t="str">
        <f t="shared" ref="E706:E769" si="66">MID(A706,FIND("#",A706)+1,256)</f>
        <v xml:space="preserve"> 👨🏻‍🌾 E4.0 man farmer: light skin tone</v>
      </c>
      <c r="F706" t="b">
        <f t="shared" si="65"/>
        <v>1</v>
      </c>
      <c r="G706" t="str">
        <f t="shared" ref="G706:G769" si="67">LEFT(C706,(FIND(" ",C706,1)-1))</f>
        <v>1F468</v>
      </c>
      <c r="I706">
        <f>HEX2DEC(Table1[[#This Row],[utf8]])</f>
        <v>128104</v>
      </c>
      <c r="J706" t="str">
        <f>_xlfn.UNICHAR(HEX2DEC(Table1[[#This Row],[utf8]]))</f>
        <v>👨</v>
      </c>
      <c r="K706" s="3" t="str" cm="1">
        <f t="array" ref="K706">"Case "&amp;wRandomLetter()&amp;wRandomLetter()&amp;I706&amp;":    UniConst = ChrW(" &amp; I706 &amp;")"</f>
        <v>Case IF128104:    UniConst = ChrW(128104)</v>
      </c>
    </row>
    <row r="707" spans="1:11" hidden="1">
      <c r="A707" t="s">
        <v>1075</v>
      </c>
      <c r="B707" t="str">
        <f t="shared" ref="B707:B770" si="68">TRIM(A707)</f>
        <v>1F468 1F3FB 200D 1F373 ; fully-qualified # 👨🏻‍🍳 E4.0 man cook: light skin tone</v>
      </c>
      <c r="C707" t="str">
        <f t="shared" ref="C707:C770" si="69">LEFT(B707,(FIND(";",B707,1)-1))</f>
        <v xml:space="preserve">1F468 1F3FB 200D 1F373 </v>
      </c>
      <c r="D707">
        <f t="shared" ref="D707:D770" si="70">LEN(C707)</f>
        <v>23</v>
      </c>
      <c r="E707" t="str">
        <f t="shared" si="66"/>
        <v xml:space="preserve"> 👨🏻‍🍳 E4.0 man cook: light skin tone</v>
      </c>
      <c r="F707" t="b">
        <f t="shared" ref="F707:F770" si="71">IF(LEFT(C707,2)="1F",TRUE,FALSE)</f>
        <v>1</v>
      </c>
      <c r="G707" t="str">
        <f t="shared" si="67"/>
        <v>1F468</v>
      </c>
      <c r="I707">
        <f>HEX2DEC(Table1[[#This Row],[utf8]])</f>
        <v>128104</v>
      </c>
      <c r="J707" t="str">
        <f>_xlfn.UNICHAR(HEX2DEC(Table1[[#This Row],[utf8]]))</f>
        <v>👨</v>
      </c>
      <c r="K707" s="3" t="str" cm="1">
        <f t="array" ref="K707">"Case "&amp;wRandomLetter()&amp;wRandomLetter()&amp;I707&amp;":    UniConst = ChrW(" &amp; I707 &amp;")"</f>
        <v>Case eW128104:    UniConst = ChrW(128104)</v>
      </c>
    </row>
    <row r="708" spans="1:11" hidden="1">
      <c r="A708" t="s">
        <v>1548</v>
      </c>
      <c r="B708" t="str">
        <f t="shared" si="68"/>
        <v>1F468 1F3FB 200D 1F37C ; fully-qualified # 👨🏻‍🍼 E13.0 man feeding baby: light skin tone</v>
      </c>
      <c r="C708" t="str">
        <f t="shared" si="69"/>
        <v xml:space="preserve">1F468 1F3FB 200D 1F37C </v>
      </c>
      <c r="D708">
        <f t="shared" si="70"/>
        <v>23</v>
      </c>
      <c r="E708" t="str">
        <f t="shared" si="66"/>
        <v xml:space="preserve"> 👨🏻‍🍼 E13.0 man feeding baby: light skin tone</v>
      </c>
      <c r="F708" t="b">
        <f t="shared" si="71"/>
        <v>1</v>
      </c>
      <c r="G708" t="str">
        <f t="shared" si="67"/>
        <v>1F468</v>
      </c>
      <c r="I708">
        <f>HEX2DEC(Table1[[#This Row],[utf8]])</f>
        <v>128104</v>
      </c>
      <c r="J708" t="str">
        <f>_xlfn.UNICHAR(HEX2DEC(Table1[[#This Row],[utf8]]))</f>
        <v>👨</v>
      </c>
      <c r="K708" s="3" t="str" cm="1">
        <f t="array" ref="K708">"Case "&amp;wRandomLetter()&amp;wRandomLetter()&amp;I708&amp;":    UniConst = ChrW(" &amp; I708 &amp;")"</f>
        <v>Case pr128104:    UniConst = ChrW(128104)</v>
      </c>
    </row>
    <row r="709" spans="1:11" hidden="1">
      <c r="A709" t="s">
        <v>985</v>
      </c>
      <c r="B709" t="str">
        <f t="shared" si="68"/>
        <v>1F468 1F3FB 200D 1F393 ; fully-qualified # 👨🏻‍🎓 E4.0 man student: light skin tone</v>
      </c>
      <c r="C709" t="str">
        <f t="shared" si="69"/>
        <v xml:space="preserve">1F468 1F3FB 200D 1F393 </v>
      </c>
      <c r="D709">
        <f t="shared" si="70"/>
        <v>23</v>
      </c>
      <c r="E709" t="str">
        <f t="shared" si="66"/>
        <v xml:space="preserve"> 👨🏻‍🎓 E4.0 man student: light skin tone</v>
      </c>
      <c r="F709" t="b">
        <f t="shared" si="71"/>
        <v>1</v>
      </c>
      <c r="G709" t="str">
        <f t="shared" si="67"/>
        <v>1F468</v>
      </c>
      <c r="I709">
        <f>HEX2DEC(Table1[[#This Row],[utf8]])</f>
        <v>128104</v>
      </c>
      <c r="J709" t="str">
        <f>_xlfn.UNICHAR(HEX2DEC(Table1[[#This Row],[utf8]]))</f>
        <v>👨</v>
      </c>
      <c r="K709" s="3" t="str" cm="1">
        <f t="array" ref="K709">"Case "&amp;wRandomLetter()&amp;wRandomLetter()&amp;I709&amp;":    UniConst = ChrW(" &amp; I709 &amp;")"</f>
        <v>Case TN128104:    UniConst = ChrW(128104)</v>
      </c>
    </row>
    <row r="710" spans="1:11" hidden="1">
      <c r="A710" t="s">
        <v>1183</v>
      </c>
      <c r="B710" t="str">
        <f t="shared" si="68"/>
        <v>1F468 1F3FB 200D 1F3A4 ; fully-qualified # 👨🏻‍🎤 E4.0 man singer: light skin tone</v>
      </c>
      <c r="C710" t="str">
        <f t="shared" si="69"/>
        <v xml:space="preserve">1F468 1F3FB 200D 1F3A4 </v>
      </c>
      <c r="D710">
        <f t="shared" si="70"/>
        <v>23</v>
      </c>
      <c r="E710" t="str">
        <f t="shared" si="66"/>
        <v xml:space="preserve"> 👨🏻‍🎤 E4.0 man singer: light skin tone</v>
      </c>
      <c r="F710" t="b">
        <f t="shared" si="71"/>
        <v>1</v>
      </c>
      <c r="G710" t="str">
        <f t="shared" si="67"/>
        <v>1F468</v>
      </c>
      <c r="I710">
        <f>HEX2DEC(Table1[[#This Row],[utf8]])</f>
        <v>128104</v>
      </c>
      <c r="J710" t="str">
        <f>_xlfn.UNICHAR(HEX2DEC(Table1[[#This Row],[utf8]]))</f>
        <v>👨</v>
      </c>
      <c r="K710" s="3" t="str" cm="1">
        <f t="array" ref="K710">"Case "&amp;wRandomLetter()&amp;wRandomLetter()&amp;I710&amp;":    UniConst = ChrW(" &amp; I710 &amp;")"</f>
        <v>Case pU128104:    UniConst = ChrW(128104)</v>
      </c>
    </row>
    <row r="711" spans="1:11" hidden="1">
      <c r="A711" t="s">
        <v>1201</v>
      </c>
      <c r="B711" t="str">
        <f t="shared" si="68"/>
        <v>1F468 1F3FB 200D 1F3A8 ; fully-qualified # 👨🏻‍🎨 E4.0 man artist: light skin tone</v>
      </c>
      <c r="C711" t="str">
        <f t="shared" si="69"/>
        <v xml:space="preserve">1F468 1F3FB 200D 1F3A8 </v>
      </c>
      <c r="D711">
        <f t="shared" si="70"/>
        <v>23</v>
      </c>
      <c r="E711" t="str">
        <f t="shared" si="66"/>
        <v xml:space="preserve"> 👨🏻‍🎨 E4.0 man artist: light skin tone</v>
      </c>
      <c r="F711" t="b">
        <f t="shared" si="71"/>
        <v>1</v>
      </c>
      <c r="G711" t="str">
        <f t="shared" si="67"/>
        <v>1F468</v>
      </c>
      <c r="I711">
        <f>HEX2DEC(Table1[[#This Row],[utf8]])</f>
        <v>128104</v>
      </c>
      <c r="J711" t="str">
        <f>_xlfn.UNICHAR(HEX2DEC(Table1[[#This Row],[utf8]]))</f>
        <v>👨</v>
      </c>
      <c r="K711" s="3" t="str" cm="1">
        <f t="array" ref="K711">"Case "&amp;wRandomLetter()&amp;wRandomLetter()&amp;I711&amp;":    UniConst = ChrW(" &amp; I711 &amp;")"</f>
        <v>Case MV128104:    UniConst = ChrW(128104)</v>
      </c>
    </row>
    <row r="712" spans="1:11" hidden="1">
      <c r="A712" t="s">
        <v>1003</v>
      </c>
      <c r="B712" t="str">
        <f t="shared" si="68"/>
        <v>1F468 1F3FB 200D 1F3EB ; fully-qualified # 👨🏻‍🏫 E4.0 man teacher: light skin tone</v>
      </c>
      <c r="C712" t="str">
        <f t="shared" si="69"/>
        <v xml:space="preserve">1F468 1F3FB 200D 1F3EB </v>
      </c>
      <c r="D712">
        <f t="shared" si="70"/>
        <v>23</v>
      </c>
      <c r="E712" t="str">
        <f t="shared" si="66"/>
        <v xml:space="preserve"> 👨🏻‍🏫 E4.0 man teacher: light skin tone</v>
      </c>
      <c r="F712" t="b">
        <f t="shared" si="71"/>
        <v>1</v>
      </c>
      <c r="G712" t="str">
        <f t="shared" si="67"/>
        <v>1F468</v>
      </c>
      <c r="I712">
        <f>HEX2DEC(Table1[[#This Row],[utf8]])</f>
        <v>128104</v>
      </c>
      <c r="J712" t="str">
        <f>_xlfn.UNICHAR(HEX2DEC(Table1[[#This Row],[utf8]]))</f>
        <v>👨</v>
      </c>
      <c r="K712" s="3" t="str" cm="1">
        <f t="array" ref="K712">"Case "&amp;wRandomLetter()&amp;wRandomLetter()&amp;I712&amp;":    UniConst = ChrW(" &amp; I712 &amp;")"</f>
        <v>Case NT128104:    UniConst = ChrW(128104)</v>
      </c>
    </row>
    <row r="713" spans="1:11" hidden="1">
      <c r="A713" t="s">
        <v>1111</v>
      </c>
      <c r="B713" t="str">
        <f t="shared" si="68"/>
        <v>1F468 1F3FB 200D 1F3ED ; fully-qualified # 👨🏻‍🏭 E4.0 man factory worker: light skin tone</v>
      </c>
      <c r="C713" t="str">
        <f t="shared" si="69"/>
        <v xml:space="preserve">1F468 1F3FB 200D 1F3ED </v>
      </c>
      <c r="D713">
        <f t="shared" si="70"/>
        <v>23</v>
      </c>
      <c r="E713" t="str">
        <f t="shared" si="66"/>
        <v xml:space="preserve"> 👨🏻‍🏭 E4.0 man factory worker: light skin tone</v>
      </c>
      <c r="F713" t="b">
        <f t="shared" si="71"/>
        <v>1</v>
      </c>
      <c r="G713" t="str">
        <f t="shared" si="67"/>
        <v>1F468</v>
      </c>
      <c r="I713">
        <f>HEX2DEC(Table1[[#This Row],[utf8]])</f>
        <v>128104</v>
      </c>
      <c r="J713" t="str">
        <f>_xlfn.UNICHAR(HEX2DEC(Table1[[#This Row],[utf8]]))</f>
        <v>👨</v>
      </c>
      <c r="K713" s="3" t="str" cm="1">
        <f t="array" ref="K713">"Case "&amp;wRandomLetter()&amp;wRandomLetter()&amp;I713&amp;":    UniConst = ChrW(" &amp; I713 &amp;")"</f>
        <v>Case uC128104:    UniConst = ChrW(128104)</v>
      </c>
    </row>
    <row r="714" spans="1:11" hidden="1">
      <c r="A714" t="s">
        <v>1165</v>
      </c>
      <c r="B714" t="str">
        <f t="shared" si="68"/>
        <v>1F468 1F3FB 200D 1F4BB ; fully-qualified # 👨🏻‍💻 E4.0 man technologist: light skin tone</v>
      </c>
      <c r="C714" t="str">
        <f t="shared" si="69"/>
        <v xml:space="preserve">1F468 1F3FB 200D 1F4BB </v>
      </c>
      <c r="D714">
        <f t="shared" si="70"/>
        <v>23</v>
      </c>
      <c r="E714" t="str">
        <f t="shared" si="66"/>
        <v xml:space="preserve"> 👨🏻‍💻 E4.0 man technologist: light skin tone</v>
      </c>
      <c r="F714" t="b">
        <f t="shared" si="71"/>
        <v>1</v>
      </c>
      <c r="G714" t="str">
        <f t="shared" si="67"/>
        <v>1F468</v>
      </c>
      <c r="I714">
        <f>HEX2DEC(Table1[[#This Row],[utf8]])</f>
        <v>128104</v>
      </c>
      <c r="J714" t="str">
        <f>_xlfn.UNICHAR(HEX2DEC(Table1[[#This Row],[utf8]]))</f>
        <v>👨</v>
      </c>
      <c r="K714" s="3" t="str" cm="1">
        <f t="array" ref="K714">"Case "&amp;wRandomLetter()&amp;wRandomLetter()&amp;I714&amp;":    UniConst = ChrW(" &amp; I714 &amp;")"</f>
        <v>Case zR128104:    UniConst = ChrW(128104)</v>
      </c>
    </row>
    <row r="715" spans="1:11" hidden="1">
      <c r="A715" t="s">
        <v>1129</v>
      </c>
      <c r="B715" t="str">
        <f t="shared" si="68"/>
        <v>1F468 1F3FB 200D 1F4BC ; fully-qualified # 👨🏻‍💼 E4.0 man office worker: light skin tone</v>
      </c>
      <c r="C715" t="str">
        <f t="shared" si="69"/>
        <v xml:space="preserve">1F468 1F3FB 200D 1F4BC </v>
      </c>
      <c r="D715">
        <f t="shared" si="70"/>
        <v>23</v>
      </c>
      <c r="E715" t="str">
        <f t="shared" si="66"/>
        <v xml:space="preserve"> 👨🏻‍💼 E4.0 man office worker: light skin tone</v>
      </c>
      <c r="F715" t="b">
        <f t="shared" si="71"/>
        <v>1</v>
      </c>
      <c r="G715" t="str">
        <f t="shared" si="67"/>
        <v>1F468</v>
      </c>
      <c r="I715">
        <f>HEX2DEC(Table1[[#This Row],[utf8]])</f>
        <v>128104</v>
      </c>
      <c r="J715" t="str">
        <f>_xlfn.UNICHAR(HEX2DEC(Table1[[#This Row],[utf8]]))</f>
        <v>👨</v>
      </c>
      <c r="K715" s="3" t="str" cm="1">
        <f t="array" ref="K715">"Case "&amp;wRandomLetter()&amp;wRandomLetter()&amp;I715&amp;":    UniConst = ChrW(" &amp; I715 &amp;")"</f>
        <v>Case oH128104:    UniConst = ChrW(128104)</v>
      </c>
    </row>
    <row r="716" spans="1:11" hidden="1">
      <c r="A716" t="s">
        <v>1093</v>
      </c>
      <c r="B716" t="str">
        <f t="shared" si="68"/>
        <v>1F468 1F3FB 200D 1F527 ; fully-qualified # 👨🏻‍🔧 E4.0 man mechanic: light skin tone</v>
      </c>
      <c r="C716" t="str">
        <f t="shared" si="69"/>
        <v xml:space="preserve">1F468 1F3FB 200D 1F527 </v>
      </c>
      <c r="D716">
        <f t="shared" si="70"/>
        <v>23</v>
      </c>
      <c r="E716" t="str">
        <f t="shared" si="66"/>
        <v xml:space="preserve"> 👨🏻‍🔧 E4.0 man mechanic: light skin tone</v>
      </c>
      <c r="F716" t="b">
        <f t="shared" si="71"/>
        <v>1</v>
      </c>
      <c r="G716" t="str">
        <f t="shared" si="67"/>
        <v>1F468</v>
      </c>
      <c r="I716">
        <f>HEX2DEC(Table1[[#This Row],[utf8]])</f>
        <v>128104</v>
      </c>
      <c r="J716" t="str">
        <f>_xlfn.UNICHAR(HEX2DEC(Table1[[#This Row],[utf8]]))</f>
        <v>👨</v>
      </c>
      <c r="K716" s="3" t="str" cm="1">
        <f t="array" ref="K716">"Case "&amp;wRandomLetter()&amp;wRandomLetter()&amp;I716&amp;":    UniConst = ChrW(" &amp; I716 &amp;")"</f>
        <v>Case zB128104:    UniConst = ChrW(128104)</v>
      </c>
    </row>
    <row r="717" spans="1:11" hidden="1">
      <c r="A717" t="s">
        <v>1147</v>
      </c>
      <c r="B717" t="str">
        <f t="shared" si="68"/>
        <v>1F468 1F3FB 200D 1F52C ; fully-qualified # 👨🏻‍🔬 E4.0 man scientist: light skin tone</v>
      </c>
      <c r="C717" t="str">
        <f t="shared" si="69"/>
        <v xml:space="preserve">1F468 1F3FB 200D 1F52C </v>
      </c>
      <c r="D717">
        <f t="shared" si="70"/>
        <v>23</v>
      </c>
      <c r="E717" t="str">
        <f t="shared" si="66"/>
        <v xml:space="preserve"> 👨🏻‍🔬 E4.0 man scientist: light skin tone</v>
      </c>
      <c r="F717" t="b">
        <f t="shared" si="71"/>
        <v>1</v>
      </c>
      <c r="G717" t="str">
        <f t="shared" si="67"/>
        <v>1F468</v>
      </c>
      <c r="I717">
        <f>HEX2DEC(Table1[[#This Row],[utf8]])</f>
        <v>128104</v>
      </c>
      <c r="J717" t="str">
        <f>_xlfn.UNICHAR(HEX2DEC(Table1[[#This Row],[utf8]]))</f>
        <v>👨</v>
      </c>
      <c r="K717" s="3" t="str" cm="1">
        <f t="array" ref="K717">"Case "&amp;wRandomLetter()&amp;wRandomLetter()&amp;I717&amp;":    UniConst = ChrW(" &amp; I717 &amp;")"</f>
        <v>Case PL128104:    UniConst = ChrW(128104)</v>
      </c>
    </row>
    <row r="718" spans="1:11" hidden="1">
      <c r="A718" t="s">
        <v>1255</v>
      </c>
      <c r="B718" t="str">
        <f t="shared" si="68"/>
        <v>1F468 1F3FB 200D 1F680 ; fully-qualified # 👨🏻‍🚀 E4.0 man astronaut: light skin tone</v>
      </c>
      <c r="C718" t="str">
        <f t="shared" si="69"/>
        <v xml:space="preserve">1F468 1F3FB 200D 1F680 </v>
      </c>
      <c r="D718">
        <f t="shared" si="70"/>
        <v>23</v>
      </c>
      <c r="E718" t="str">
        <f t="shared" si="66"/>
        <v xml:space="preserve"> 👨🏻‍🚀 E4.0 man astronaut: light skin tone</v>
      </c>
      <c r="F718" t="b">
        <f t="shared" si="71"/>
        <v>1</v>
      </c>
      <c r="G718" t="str">
        <f t="shared" si="67"/>
        <v>1F468</v>
      </c>
      <c r="I718">
        <f>HEX2DEC(Table1[[#This Row],[utf8]])</f>
        <v>128104</v>
      </c>
      <c r="J718" t="str">
        <f>_xlfn.UNICHAR(HEX2DEC(Table1[[#This Row],[utf8]]))</f>
        <v>👨</v>
      </c>
      <c r="K718" s="3" t="str" cm="1">
        <f t="array" ref="K718">"Case "&amp;wRandomLetter()&amp;wRandomLetter()&amp;I718&amp;":    UniConst = ChrW(" &amp; I718 &amp;")"</f>
        <v>Case Bv128104:    UniConst = ChrW(128104)</v>
      </c>
    </row>
    <row r="719" spans="1:11" hidden="1">
      <c r="A719" t="s">
        <v>1273</v>
      </c>
      <c r="B719" t="str">
        <f t="shared" si="68"/>
        <v>1F468 1F3FB 200D 1F692 ; fully-qualified # 👨🏻‍🚒 E4.0 man firefighter: light skin tone</v>
      </c>
      <c r="C719" t="str">
        <f t="shared" si="69"/>
        <v xml:space="preserve">1F468 1F3FB 200D 1F692 </v>
      </c>
      <c r="D719">
        <f t="shared" si="70"/>
        <v>23</v>
      </c>
      <c r="E719" t="str">
        <f t="shared" si="66"/>
        <v xml:space="preserve"> 👨🏻‍🚒 E4.0 man firefighter: light skin tone</v>
      </c>
      <c r="F719" t="b">
        <f t="shared" si="71"/>
        <v>1</v>
      </c>
      <c r="G719" t="str">
        <f t="shared" si="67"/>
        <v>1F468</v>
      </c>
      <c r="I719">
        <f>HEX2DEC(Table1[[#This Row],[utf8]])</f>
        <v>128104</v>
      </c>
      <c r="J719" t="str">
        <f>_xlfn.UNICHAR(HEX2DEC(Table1[[#This Row],[utf8]]))</f>
        <v>👨</v>
      </c>
      <c r="K719" s="3" t="str" cm="1">
        <f t="array" ref="K719">"Case "&amp;wRandomLetter()&amp;wRandomLetter()&amp;I719&amp;":    UniConst = ChrW(" &amp; I719 &amp;")"</f>
        <v>Case Aw128104:    UniConst = ChrW(128104)</v>
      </c>
    </row>
    <row r="720" spans="1:11" hidden="1">
      <c r="A720" t="s">
        <v>2643</v>
      </c>
      <c r="B720" t="str">
        <f t="shared" si="68"/>
        <v>1F468 1F3FB 200D 1F91D 200D 1F468 1F3FC ; fully-qualified # 👨🏻‍🤝‍👨🏼 E12.1 men holding hands: light skin tone, medium-light skin tone</v>
      </c>
      <c r="C720" t="str">
        <f t="shared" si="69"/>
        <v xml:space="preserve">1F468 1F3FB 200D 1F91D 200D 1F468 1F3FC </v>
      </c>
      <c r="D720">
        <f t="shared" si="70"/>
        <v>40</v>
      </c>
      <c r="E720" t="str">
        <f t="shared" si="66"/>
        <v xml:space="preserve"> 👨🏻‍🤝‍👨🏼 E12.1 men holding hands: light skin tone, medium-light skin tone</v>
      </c>
      <c r="F720" t="b">
        <f t="shared" si="71"/>
        <v>1</v>
      </c>
      <c r="G720" t="str">
        <f t="shared" si="67"/>
        <v>1F468</v>
      </c>
      <c r="I720">
        <f>HEX2DEC(Table1[[#This Row],[utf8]])</f>
        <v>128104</v>
      </c>
      <c r="J720" t="str">
        <f>_xlfn.UNICHAR(HEX2DEC(Table1[[#This Row],[utf8]]))</f>
        <v>👨</v>
      </c>
      <c r="K720" s="3" t="str" cm="1">
        <f t="array" ref="K720">"Case "&amp;wRandomLetter()&amp;wRandomLetter()&amp;I720&amp;":    UniConst = ChrW(" &amp; I720 &amp;")"</f>
        <v>Case fp128104:    UniConst = ChrW(128104)</v>
      </c>
    </row>
    <row r="721" spans="1:11" hidden="1">
      <c r="A721" t="s">
        <v>2644</v>
      </c>
      <c r="B721" t="str">
        <f t="shared" si="68"/>
        <v>1F468 1F3FB 200D 1F91D 200D 1F468 1F3FD ; fully-qualified # 👨🏻‍🤝‍👨🏽 E12.1 men holding hands: light skin tone, medium skin tone</v>
      </c>
      <c r="C721" t="str">
        <f t="shared" si="69"/>
        <v xml:space="preserve">1F468 1F3FB 200D 1F91D 200D 1F468 1F3FD </v>
      </c>
      <c r="D721">
        <f t="shared" si="70"/>
        <v>40</v>
      </c>
      <c r="E721" t="str">
        <f t="shared" si="66"/>
        <v xml:space="preserve"> 👨🏻‍🤝‍👨🏽 E12.1 men holding hands: light skin tone, medium skin tone</v>
      </c>
      <c r="F721" t="b">
        <f t="shared" si="71"/>
        <v>1</v>
      </c>
      <c r="G721" t="str">
        <f t="shared" si="67"/>
        <v>1F468</v>
      </c>
      <c r="I721">
        <f>HEX2DEC(Table1[[#This Row],[utf8]])</f>
        <v>128104</v>
      </c>
      <c r="J721" t="str">
        <f>_xlfn.UNICHAR(HEX2DEC(Table1[[#This Row],[utf8]]))</f>
        <v>👨</v>
      </c>
      <c r="K721" s="3" t="str" cm="1">
        <f t="array" ref="K721">"Case "&amp;wRandomLetter()&amp;wRandomLetter()&amp;I721&amp;":    UniConst = ChrW(" &amp; I721 &amp;")"</f>
        <v>Case iv128104:    UniConst = ChrW(128104)</v>
      </c>
    </row>
    <row r="722" spans="1:11" hidden="1">
      <c r="A722" t="s">
        <v>2645</v>
      </c>
      <c r="B722" t="str">
        <f t="shared" si="68"/>
        <v>1F468 1F3FB 200D 1F91D 200D 1F468 1F3FE ; fully-qualified # 👨🏻‍🤝‍👨🏾 E12.1 men holding hands: light skin tone, medium-dark skin tone</v>
      </c>
      <c r="C722" t="str">
        <f t="shared" si="69"/>
        <v xml:space="preserve">1F468 1F3FB 200D 1F91D 200D 1F468 1F3FE </v>
      </c>
      <c r="D722">
        <f t="shared" si="70"/>
        <v>40</v>
      </c>
      <c r="E722" t="str">
        <f t="shared" si="66"/>
        <v xml:space="preserve"> 👨🏻‍🤝‍👨🏾 E12.1 men holding hands: light skin tone, medium-dark skin tone</v>
      </c>
      <c r="F722" t="b">
        <f t="shared" si="71"/>
        <v>1</v>
      </c>
      <c r="G722" t="str">
        <f t="shared" si="67"/>
        <v>1F468</v>
      </c>
      <c r="I722">
        <f>HEX2DEC(Table1[[#This Row],[utf8]])</f>
        <v>128104</v>
      </c>
      <c r="J722" t="str">
        <f>_xlfn.UNICHAR(HEX2DEC(Table1[[#This Row],[utf8]]))</f>
        <v>👨</v>
      </c>
      <c r="K722" s="3" t="str" cm="1">
        <f t="array" ref="K722">"Case "&amp;wRandomLetter()&amp;wRandomLetter()&amp;I722&amp;":    UniConst = ChrW(" &amp; I722 &amp;")"</f>
        <v>Case Wt128104:    UniConst = ChrW(128104)</v>
      </c>
    </row>
    <row r="723" spans="1:11" hidden="1">
      <c r="A723" t="s">
        <v>2646</v>
      </c>
      <c r="B723" t="str">
        <f t="shared" si="68"/>
        <v>1F468 1F3FB 200D 1F91D 200D 1F468 1F3FF ; fully-qualified # 👨🏻‍🤝‍👨🏿 E12.1 men holding hands: light skin tone, dark skin tone</v>
      </c>
      <c r="C723" t="str">
        <f t="shared" si="69"/>
        <v xml:space="preserve">1F468 1F3FB 200D 1F91D 200D 1F468 1F3FF </v>
      </c>
      <c r="D723">
        <f t="shared" si="70"/>
        <v>40</v>
      </c>
      <c r="E723" t="str">
        <f t="shared" si="66"/>
        <v xml:space="preserve"> 👨🏻‍🤝‍👨🏿 E12.1 men holding hands: light skin tone, dark skin tone</v>
      </c>
      <c r="F723" t="b">
        <f t="shared" si="71"/>
        <v>1</v>
      </c>
      <c r="G723" t="str">
        <f t="shared" si="67"/>
        <v>1F468</v>
      </c>
      <c r="I723">
        <f>HEX2DEC(Table1[[#This Row],[utf8]])</f>
        <v>128104</v>
      </c>
      <c r="J723" t="str">
        <f>_xlfn.UNICHAR(HEX2DEC(Table1[[#This Row],[utf8]]))</f>
        <v>👨</v>
      </c>
      <c r="K723" s="3" t="str" cm="1">
        <f t="array" ref="K723">"Case "&amp;wRandomLetter()&amp;wRandomLetter()&amp;I723&amp;":    UniConst = ChrW(" &amp; I723 &amp;")"</f>
        <v>Case gC128104:    UniConst = ChrW(128104)</v>
      </c>
    </row>
    <row r="724" spans="1:11" hidden="1">
      <c r="A724" t="s">
        <v>1962</v>
      </c>
      <c r="B724" t="str">
        <f t="shared" si="68"/>
        <v>1F468 1F3FB 200D 1F9AF ; fully-qualified # 👨🏻‍🦯 E12.0 man with white cane: light skin tone</v>
      </c>
      <c r="C724" t="str">
        <f t="shared" si="69"/>
        <v xml:space="preserve">1F468 1F3FB 200D 1F9AF </v>
      </c>
      <c r="D724">
        <f t="shared" si="70"/>
        <v>23</v>
      </c>
      <c r="E724" t="str">
        <f t="shared" si="66"/>
        <v xml:space="preserve"> 👨🏻‍🦯 E12.0 man with white cane: light skin tone</v>
      </c>
      <c r="F724" t="b">
        <f t="shared" si="71"/>
        <v>1</v>
      </c>
      <c r="G724" t="str">
        <f t="shared" si="67"/>
        <v>1F468</v>
      </c>
      <c r="I724">
        <f>HEX2DEC(Table1[[#This Row],[utf8]])</f>
        <v>128104</v>
      </c>
      <c r="J724" t="str">
        <f>_xlfn.UNICHAR(HEX2DEC(Table1[[#This Row],[utf8]]))</f>
        <v>👨</v>
      </c>
      <c r="K724" s="3" t="str" cm="1">
        <f t="array" ref="K724">"Case "&amp;wRandomLetter()&amp;wRandomLetter()&amp;I724&amp;":    UniConst = ChrW(" &amp; I724 &amp;")"</f>
        <v>Case OQ128104:    UniConst = ChrW(128104)</v>
      </c>
    </row>
    <row r="725" spans="1:11" hidden="1">
      <c r="A725" t="s">
        <v>521</v>
      </c>
      <c r="B725" t="str">
        <f t="shared" si="68"/>
        <v>1F468 1F3FB 200D 1F9B0 ; fully-qualified # 👨🏻‍🦰 E11.0 man: light skin tone, red hair</v>
      </c>
      <c r="C725" t="str">
        <f t="shared" si="69"/>
        <v xml:space="preserve">1F468 1F3FB 200D 1F9B0 </v>
      </c>
      <c r="D725">
        <f t="shared" si="70"/>
        <v>23</v>
      </c>
      <c r="E725" t="str">
        <f t="shared" si="66"/>
        <v xml:space="preserve"> 👨🏻‍🦰 E11.0 man: light skin tone, red hair</v>
      </c>
      <c r="F725" t="b">
        <f t="shared" si="71"/>
        <v>1</v>
      </c>
      <c r="G725" t="str">
        <f t="shared" si="67"/>
        <v>1F468</v>
      </c>
      <c r="I725">
        <f>HEX2DEC(Table1[[#This Row],[utf8]])</f>
        <v>128104</v>
      </c>
      <c r="J725" t="str">
        <f>_xlfn.UNICHAR(HEX2DEC(Table1[[#This Row],[utf8]]))</f>
        <v>👨</v>
      </c>
      <c r="K725" s="3" t="str" cm="1">
        <f t="array" ref="K725">"Case "&amp;wRandomLetter()&amp;wRandomLetter()&amp;I725&amp;":    UniConst = ChrW(" &amp; I725 &amp;")"</f>
        <v>Case Az128104:    UniConst = ChrW(128104)</v>
      </c>
    </row>
    <row r="726" spans="1:11" hidden="1">
      <c r="A726" t="s">
        <v>527</v>
      </c>
      <c r="B726" t="str">
        <f t="shared" si="68"/>
        <v>1F468 1F3FB 200D 1F9B1 ; fully-qualified # 👨🏻‍🦱 E11.0 man: light skin tone, curly hair</v>
      </c>
      <c r="C726" t="str">
        <f t="shared" si="69"/>
        <v xml:space="preserve">1F468 1F3FB 200D 1F9B1 </v>
      </c>
      <c r="D726">
        <f t="shared" si="70"/>
        <v>23</v>
      </c>
      <c r="E726" t="str">
        <f t="shared" si="66"/>
        <v xml:space="preserve"> 👨🏻‍🦱 E11.0 man: light skin tone, curly hair</v>
      </c>
      <c r="F726" t="b">
        <f t="shared" si="71"/>
        <v>1</v>
      </c>
      <c r="G726" t="str">
        <f t="shared" si="67"/>
        <v>1F468</v>
      </c>
      <c r="I726">
        <f>HEX2DEC(Table1[[#This Row],[utf8]])</f>
        <v>128104</v>
      </c>
      <c r="J726" t="str">
        <f>_xlfn.UNICHAR(HEX2DEC(Table1[[#This Row],[utf8]]))</f>
        <v>👨</v>
      </c>
      <c r="K726" s="3" t="str" cm="1">
        <f t="array" ref="K726">"Case "&amp;wRandomLetter()&amp;wRandomLetter()&amp;I726&amp;":    UniConst = ChrW(" &amp; I726 &amp;")"</f>
        <v>Case qn128104:    UniConst = ChrW(128104)</v>
      </c>
    </row>
    <row r="727" spans="1:11" hidden="1">
      <c r="A727" t="s">
        <v>539</v>
      </c>
      <c r="B727" t="str">
        <f t="shared" si="68"/>
        <v>1F468 1F3FB 200D 1F9B2 ; fully-qualified # 👨🏻‍🦲 E11.0 man: light skin tone, bald</v>
      </c>
      <c r="C727" t="str">
        <f t="shared" si="69"/>
        <v xml:space="preserve">1F468 1F3FB 200D 1F9B2 </v>
      </c>
      <c r="D727">
        <f t="shared" si="70"/>
        <v>23</v>
      </c>
      <c r="E727" t="str">
        <f t="shared" si="66"/>
        <v xml:space="preserve"> 👨🏻‍🦲 E11.0 man: light skin tone, bald</v>
      </c>
      <c r="F727" t="b">
        <f t="shared" si="71"/>
        <v>1</v>
      </c>
      <c r="G727" t="str">
        <f t="shared" si="67"/>
        <v>1F468</v>
      </c>
      <c r="I727">
        <f>HEX2DEC(Table1[[#This Row],[utf8]])</f>
        <v>128104</v>
      </c>
      <c r="J727" t="str">
        <f>_xlfn.UNICHAR(HEX2DEC(Table1[[#This Row],[utf8]]))</f>
        <v>👨</v>
      </c>
      <c r="K727" s="3" t="str" cm="1">
        <f t="array" ref="K727">"Case "&amp;wRandomLetter()&amp;wRandomLetter()&amp;I727&amp;":    UniConst = ChrW(" &amp; I727 &amp;")"</f>
        <v>Case Qj128104:    UniConst = ChrW(128104)</v>
      </c>
    </row>
    <row r="728" spans="1:11" hidden="1">
      <c r="A728" t="s">
        <v>533</v>
      </c>
      <c r="B728" t="str">
        <f t="shared" si="68"/>
        <v>1F468 1F3FB 200D 1F9B3 ; fully-qualified # 👨🏻‍🦳 E11.0 man: light skin tone, white hair</v>
      </c>
      <c r="C728" t="str">
        <f t="shared" si="69"/>
        <v xml:space="preserve">1F468 1F3FB 200D 1F9B3 </v>
      </c>
      <c r="D728">
        <f t="shared" si="70"/>
        <v>23</v>
      </c>
      <c r="E728" t="str">
        <f t="shared" si="66"/>
        <v xml:space="preserve"> 👨🏻‍🦳 E11.0 man: light skin tone, white hair</v>
      </c>
      <c r="F728" t="b">
        <f t="shared" si="71"/>
        <v>1</v>
      </c>
      <c r="G728" t="str">
        <f t="shared" si="67"/>
        <v>1F468</v>
      </c>
      <c r="I728">
        <f>HEX2DEC(Table1[[#This Row],[utf8]])</f>
        <v>128104</v>
      </c>
      <c r="J728" t="str">
        <f>_xlfn.UNICHAR(HEX2DEC(Table1[[#This Row],[utf8]]))</f>
        <v>👨</v>
      </c>
      <c r="K728" s="3" t="str" cm="1">
        <f t="array" ref="K728">"Case "&amp;wRandomLetter()&amp;wRandomLetter()&amp;I728&amp;":    UniConst = ChrW(" &amp; I728 &amp;")"</f>
        <v>Case dv128104:    UniConst = ChrW(128104)</v>
      </c>
    </row>
    <row r="729" spans="1:11" hidden="1">
      <c r="A729" t="s">
        <v>1980</v>
      </c>
      <c r="B729" t="str">
        <f t="shared" si="68"/>
        <v>1F468 1F3FB 200D 1F9BC ; fully-qualified # 👨🏻‍🦼 E12.0 man in motorized wheelchair: light skin tone</v>
      </c>
      <c r="C729" t="str">
        <f t="shared" si="69"/>
        <v xml:space="preserve">1F468 1F3FB 200D 1F9BC </v>
      </c>
      <c r="D729">
        <f t="shared" si="70"/>
        <v>23</v>
      </c>
      <c r="E729" t="str">
        <f t="shared" si="66"/>
        <v xml:space="preserve"> 👨🏻‍🦼 E12.0 man in motorized wheelchair: light skin tone</v>
      </c>
      <c r="F729" t="b">
        <f t="shared" si="71"/>
        <v>1</v>
      </c>
      <c r="G729" t="str">
        <f t="shared" si="67"/>
        <v>1F468</v>
      </c>
      <c r="I729">
        <f>HEX2DEC(Table1[[#This Row],[utf8]])</f>
        <v>128104</v>
      </c>
      <c r="J729" t="str">
        <f>_xlfn.UNICHAR(HEX2DEC(Table1[[#This Row],[utf8]]))</f>
        <v>👨</v>
      </c>
      <c r="K729" s="3" t="str" cm="1">
        <f t="array" ref="K729">"Case "&amp;wRandomLetter()&amp;wRandomLetter()&amp;I729&amp;":    UniConst = ChrW(" &amp; I729 &amp;")"</f>
        <v>Case Is128104:    UniConst = ChrW(128104)</v>
      </c>
    </row>
    <row r="730" spans="1:11" hidden="1">
      <c r="A730" t="s">
        <v>1998</v>
      </c>
      <c r="B730" t="str">
        <f t="shared" si="68"/>
        <v>1F468 1F3FB 200D 1F9BD ; fully-qualified # 👨🏻‍🦽 E12.0 man in manual wheelchair: light skin tone</v>
      </c>
      <c r="C730" t="str">
        <f t="shared" si="69"/>
        <v xml:space="preserve">1F468 1F3FB 200D 1F9BD </v>
      </c>
      <c r="D730">
        <f t="shared" si="70"/>
        <v>23</v>
      </c>
      <c r="E730" t="str">
        <f t="shared" si="66"/>
        <v xml:space="preserve"> 👨🏻‍🦽 E12.0 man in manual wheelchair: light skin tone</v>
      </c>
      <c r="F730" t="b">
        <f t="shared" si="71"/>
        <v>1</v>
      </c>
      <c r="G730" t="str">
        <f t="shared" si="67"/>
        <v>1F468</v>
      </c>
      <c r="I730">
        <f>HEX2DEC(Table1[[#This Row],[utf8]])</f>
        <v>128104</v>
      </c>
      <c r="J730" t="str">
        <f>_xlfn.UNICHAR(HEX2DEC(Table1[[#This Row],[utf8]]))</f>
        <v>👨</v>
      </c>
      <c r="K730" s="3" t="str" cm="1">
        <f t="array" ref="K730">"Case "&amp;wRandomLetter()&amp;wRandomLetter()&amp;I730&amp;":    UniConst = ChrW(" &amp; I730 &amp;")"</f>
        <v>Case yb128104:    UniConst = ChrW(128104)</v>
      </c>
    </row>
    <row r="731" spans="1:11" hidden="1">
      <c r="A731" t="s">
        <v>957</v>
      </c>
      <c r="B731" t="str">
        <f t="shared" si="68"/>
        <v>1F468 1F3FB 200D 2695 ; minimally-qualified # 👨🏻‍⚕ E4.0 man health worker: light skin tone</v>
      </c>
      <c r="C731" t="str">
        <f t="shared" si="69"/>
        <v xml:space="preserve">1F468 1F3FB 200D 2695 </v>
      </c>
      <c r="D731">
        <f t="shared" si="70"/>
        <v>22</v>
      </c>
      <c r="E731" t="str">
        <f t="shared" si="66"/>
        <v xml:space="preserve"> 👨🏻‍⚕ E4.0 man health worker: light skin tone</v>
      </c>
      <c r="F731" t="b">
        <f t="shared" si="71"/>
        <v>1</v>
      </c>
      <c r="G731" t="str">
        <f t="shared" si="67"/>
        <v>1F468</v>
      </c>
      <c r="I731">
        <f>HEX2DEC(Table1[[#This Row],[utf8]])</f>
        <v>128104</v>
      </c>
      <c r="J731" t="str">
        <f>_xlfn.UNICHAR(HEX2DEC(Table1[[#This Row],[utf8]]))</f>
        <v>👨</v>
      </c>
      <c r="K731" s="3" t="str" cm="1">
        <f t="array" ref="K731">"Case "&amp;wRandomLetter()&amp;wRandomLetter()&amp;I731&amp;":    UniConst = ChrW(" &amp; I731 &amp;")"</f>
        <v>Case Em128104:    UniConst = ChrW(128104)</v>
      </c>
    </row>
    <row r="732" spans="1:11" hidden="1">
      <c r="A732" t="s">
        <v>956</v>
      </c>
      <c r="B732" t="str">
        <f t="shared" si="68"/>
        <v>1F468 1F3FB 200D 2695 FE0F ; fully-qualified # 👨🏻‍⚕️ E4.0 man health worker: light skin tone</v>
      </c>
      <c r="C732" t="str">
        <f t="shared" si="69"/>
        <v xml:space="preserve">1F468 1F3FB 200D 2695 FE0F </v>
      </c>
      <c r="D732">
        <f t="shared" si="70"/>
        <v>27</v>
      </c>
      <c r="E732" t="str">
        <f t="shared" si="66"/>
        <v xml:space="preserve"> 👨🏻‍⚕️ E4.0 man health worker: light skin tone</v>
      </c>
      <c r="F732" t="b">
        <f t="shared" si="71"/>
        <v>1</v>
      </c>
      <c r="G732" t="str">
        <f t="shared" si="67"/>
        <v>1F468</v>
      </c>
      <c r="I732">
        <f>HEX2DEC(Table1[[#This Row],[utf8]])</f>
        <v>128104</v>
      </c>
      <c r="J732" t="str">
        <f>_xlfn.UNICHAR(HEX2DEC(Table1[[#This Row],[utf8]]))</f>
        <v>👨</v>
      </c>
      <c r="K732" s="3" t="str" cm="1">
        <f t="array" ref="K732">"Case "&amp;wRandomLetter()&amp;wRandomLetter()&amp;I732&amp;":    UniConst = ChrW(" &amp; I732 &amp;")"</f>
        <v>Case Nj128104:    UniConst = ChrW(128104)</v>
      </c>
    </row>
    <row r="733" spans="1:11" hidden="1">
      <c r="A733" t="s">
        <v>1029</v>
      </c>
      <c r="B733" t="str">
        <f t="shared" si="68"/>
        <v>1F468 1F3FB 200D 2696 ; minimally-qualified # 👨🏻‍⚖ E4.0 man judge: light skin tone</v>
      </c>
      <c r="C733" t="str">
        <f t="shared" si="69"/>
        <v xml:space="preserve">1F468 1F3FB 200D 2696 </v>
      </c>
      <c r="D733">
        <f t="shared" si="70"/>
        <v>22</v>
      </c>
      <c r="E733" t="str">
        <f t="shared" si="66"/>
        <v xml:space="preserve"> 👨🏻‍⚖ E4.0 man judge: light skin tone</v>
      </c>
      <c r="F733" t="b">
        <f t="shared" si="71"/>
        <v>1</v>
      </c>
      <c r="G733" t="str">
        <f t="shared" si="67"/>
        <v>1F468</v>
      </c>
      <c r="I733">
        <f>HEX2DEC(Table1[[#This Row],[utf8]])</f>
        <v>128104</v>
      </c>
      <c r="J733" t="str">
        <f>_xlfn.UNICHAR(HEX2DEC(Table1[[#This Row],[utf8]]))</f>
        <v>👨</v>
      </c>
      <c r="K733" s="3" t="str" cm="1">
        <f t="array" ref="K733">"Case "&amp;wRandomLetter()&amp;wRandomLetter()&amp;I733&amp;":    UniConst = ChrW(" &amp; I733 &amp;")"</f>
        <v>Case GS128104:    UniConst = ChrW(128104)</v>
      </c>
    </row>
    <row r="734" spans="1:11" hidden="1">
      <c r="A734" t="s">
        <v>1028</v>
      </c>
      <c r="B734" t="str">
        <f t="shared" si="68"/>
        <v>1F468 1F3FB 200D 2696 FE0F ; fully-qualified # 👨🏻‍⚖️ E4.0 man judge: light skin tone</v>
      </c>
      <c r="C734" t="str">
        <f t="shared" si="69"/>
        <v xml:space="preserve">1F468 1F3FB 200D 2696 FE0F </v>
      </c>
      <c r="D734">
        <f t="shared" si="70"/>
        <v>27</v>
      </c>
      <c r="E734" t="str">
        <f t="shared" si="66"/>
        <v xml:space="preserve"> 👨🏻‍⚖️ E4.0 man judge: light skin tone</v>
      </c>
      <c r="F734" t="b">
        <f t="shared" si="71"/>
        <v>1</v>
      </c>
      <c r="G734" t="str">
        <f t="shared" si="67"/>
        <v>1F468</v>
      </c>
      <c r="I734">
        <f>HEX2DEC(Table1[[#This Row],[utf8]])</f>
        <v>128104</v>
      </c>
      <c r="J734" t="str">
        <f>_xlfn.UNICHAR(HEX2DEC(Table1[[#This Row],[utf8]]))</f>
        <v>👨</v>
      </c>
      <c r="K734" s="3" t="str" cm="1">
        <f t="array" ref="K734">"Case "&amp;wRandomLetter()&amp;wRandomLetter()&amp;I734&amp;":    UniConst = ChrW(" &amp; I734 &amp;")"</f>
        <v>Case Tv128104:    UniConst = ChrW(128104)</v>
      </c>
    </row>
    <row r="735" spans="1:11" hidden="1">
      <c r="A735" t="s">
        <v>1227</v>
      </c>
      <c r="B735" t="str">
        <f t="shared" si="68"/>
        <v>1F468 1F3FB 200D 2708 ; minimally-qualified # 👨🏻‍✈ E4.0 man pilot: light skin tone</v>
      </c>
      <c r="C735" t="str">
        <f t="shared" si="69"/>
        <v xml:space="preserve">1F468 1F3FB 200D 2708 </v>
      </c>
      <c r="D735">
        <f t="shared" si="70"/>
        <v>22</v>
      </c>
      <c r="E735" t="str">
        <f t="shared" si="66"/>
        <v xml:space="preserve"> 👨🏻‍✈ E4.0 man pilot: light skin tone</v>
      </c>
      <c r="F735" t="b">
        <f t="shared" si="71"/>
        <v>1</v>
      </c>
      <c r="G735" t="str">
        <f t="shared" si="67"/>
        <v>1F468</v>
      </c>
      <c r="I735">
        <f>HEX2DEC(Table1[[#This Row],[utf8]])</f>
        <v>128104</v>
      </c>
      <c r="J735" t="str">
        <f>_xlfn.UNICHAR(HEX2DEC(Table1[[#This Row],[utf8]]))</f>
        <v>👨</v>
      </c>
      <c r="K735" s="3" t="str" cm="1">
        <f t="array" ref="K735">"Case "&amp;wRandomLetter()&amp;wRandomLetter()&amp;I735&amp;":    UniConst = ChrW(" &amp; I735 &amp;")"</f>
        <v>Case ca128104:    UniConst = ChrW(128104)</v>
      </c>
    </row>
    <row r="736" spans="1:11" hidden="1">
      <c r="A736" t="s">
        <v>1226</v>
      </c>
      <c r="B736" t="str">
        <f t="shared" si="68"/>
        <v>1F468 1F3FB 200D 2708 FE0F ; fully-qualified # 👨🏻‍✈️ E4.0 man pilot: light skin tone</v>
      </c>
      <c r="C736" t="str">
        <f t="shared" si="69"/>
        <v xml:space="preserve">1F468 1F3FB 200D 2708 FE0F </v>
      </c>
      <c r="D736">
        <f t="shared" si="70"/>
        <v>27</v>
      </c>
      <c r="E736" t="str">
        <f t="shared" si="66"/>
        <v xml:space="preserve"> 👨🏻‍✈️ E4.0 man pilot: light skin tone</v>
      </c>
      <c r="F736" t="b">
        <f t="shared" si="71"/>
        <v>1</v>
      </c>
      <c r="G736" t="str">
        <f t="shared" si="67"/>
        <v>1F468</v>
      </c>
      <c r="I736">
        <f>HEX2DEC(Table1[[#This Row],[utf8]])</f>
        <v>128104</v>
      </c>
      <c r="J736" t="str">
        <f>_xlfn.UNICHAR(HEX2DEC(Table1[[#This Row],[utf8]]))</f>
        <v>👨</v>
      </c>
      <c r="K736" s="3" t="str" cm="1">
        <f t="array" ref="K736">"Case "&amp;wRandomLetter()&amp;wRandomLetter()&amp;I736&amp;":    UniConst = ChrW(" &amp; I736 &amp;")"</f>
        <v>Case nh128104:    UniConst = ChrW(128104)</v>
      </c>
    </row>
    <row r="737" spans="1:11" hidden="1">
      <c r="A737" t="s">
        <v>2970</v>
      </c>
      <c r="B737" t="str">
        <f t="shared" si="68"/>
        <v>1F468 1F3FB 200D 2764 200D 1F468 1F3FB ; minimally-qualified # 👨🏻‍❤‍👨🏻 E13.1 couple with heart: man, man, light skin tone</v>
      </c>
      <c r="C737" t="str">
        <f t="shared" si="69"/>
        <v xml:space="preserve">1F468 1F3FB 200D 2764 200D 1F468 1F3FB </v>
      </c>
      <c r="D737">
        <f t="shared" si="70"/>
        <v>39</v>
      </c>
      <c r="E737" t="str">
        <f t="shared" si="66"/>
        <v xml:space="preserve"> 👨🏻‍❤‍👨🏻 E13.1 couple with heart: man, man, light skin tone</v>
      </c>
      <c r="F737" t="b">
        <f t="shared" si="71"/>
        <v>1</v>
      </c>
      <c r="G737" t="str">
        <f t="shared" si="67"/>
        <v>1F468</v>
      </c>
      <c r="I737">
        <f>HEX2DEC(Table1[[#This Row],[utf8]])</f>
        <v>128104</v>
      </c>
      <c r="J737" t="str">
        <f>_xlfn.UNICHAR(HEX2DEC(Table1[[#This Row],[utf8]]))</f>
        <v>👨</v>
      </c>
      <c r="K737" s="3" t="str" cm="1">
        <f t="array" ref="K737">"Case "&amp;wRandomLetter()&amp;wRandomLetter()&amp;I737&amp;":    UniConst = ChrW(" &amp; I737 &amp;")"</f>
        <v>Case FN128104:    UniConst = ChrW(128104)</v>
      </c>
    </row>
    <row r="738" spans="1:11" hidden="1">
      <c r="A738" t="s">
        <v>2972</v>
      </c>
      <c r="B738" t="str">
        <f t="shared" si="68"/>
        <v>1F468 1F3FB 200D 2764 200D 1F468 1F3FC ; minimally-qualified # 👨🏻‍❤‍👨🏼 E13.1 couple with heart: man, man, light skin tone, medium-light skin tone</v>
      </c>
      <c r="C738" t="str">
        <f t="shared" si="69"/>
        <v xml:space="preserve">1F468 1F3FB 200D 2764 200D 1F468 1F3FC </v>
      </c>
      <c r="D738">
        <f t="shared" si="70"/>
        <v>39</v>
      </c>
      <c r="E738" t="str">
        <f t="shared" si="66"/>
        <v xml:space="preserve"> 👨🏻‍❤‍👨🏼 E13.1 couple with heart: man, man, light skin tone, medium-light skin tone</v>
      </c>
      <c r="F738" t="b">
        <f t="shared" si="71"/>
        <v>1</v>
      </c>
      <c r="G738" t="str">
        <f t="shared" si="67"/>
        <v>1F468</v>
      </c>
      <c r="I738">
        <f>HEX2DEC(Table1[[#This Row],[utf8]])</f>
        <v>128104</v>
      </c>
      <c r="J738" t="str">
        <f>_xlfn.UNICHAR(HEX2DEC(Table1[[#This Row],[utf8]]))</f>
        <v>👨</v>
      </c>
      <c r="K738" s="3" t="str" cm="1">
        <f t="array" ref="K738">"Case "&amp;wRandomLetter()&amp;wRandomLetter()&amp;I738&amp;":    UniConst = ChrW(" &amp; I738 &amp;")"</f>
        <v>Case fT128104:    UniConst = ChrW(128104)</v>
      </c>
    </row>
    <row r="739" spans="1:11" hidden="1">
      <c r="A739" t="s">
        <v>2974</v>
      </c>
      <c r="B739" t="str">
        <f t="shared" si="68"/>
        <v>1F468 1F3FB 200D 2764 200D 1F468 1F3FD ; minimally-qualified # 👨🏻‍❤‍👨🏽 E13.1 couple with heart: man, man, light skin tone, medium skin tone</v>
      </c>
      <c r="C739" t="str">
        <f t="shared" si="69"/>
        <v xml:space="preserve">1F468 1F3FB 200D 2764 200D 1F468 1F3FD </v>
      </c>
      <c r="D739">
        <f t="shared" si="70"/>
        <v>39</v>
      </c>
      <c r="E739" t="str">
        <f t="shared" si="66"/>
        <v xml:space="preserve"> 👨🏻‍❤‍👨🏽 E13.1 couple with heart: man, man, light skin tone, medium skin tone</v>
      </c>
      <c r="F739" t="b">
        <f t="shared" si="71"/>
        <v>1</v>
      </c>
      <c r="G739" t="str">
        <f t="shared" si="67"/>
        <v>1F468</v>
      </c>
      <c r="I739">
        <f>HEX2DEC(Table1[[#This Row],[utf8]])</f>
        <v>128104</v>
      </c>
      <c r="J739" t="str">
        <f>_xlfn.UNICHAR(HEX2DEC(Table1[[#This Row],[utf8]]))</f>
        <v>👨</v>
      </c>
      <c r="K739" s="3" t="str" cm="1">
        <f t="array" ref="K739">"Case "&amp;wRandomLetter()&amp;wRandomLetter()&amp;I739&amp;":    UniConst = ChrW(" &amp; I739 &amp;")"</f>
        <v>Case jr128104:    UniConst = ChrW(128104)</v>
      </c>
    </row>
    <row r="740" spans="1:11" hidden="1">
      <c r="A740" t="s">
        <v>2976</v>
      </c>
      <c r="B740" t="str">
        <f t="shared" si="68"/>
        <v>1F468 1F3FB 200D 2764 200D 1F468 1F3FE ; minimally-qualified # 👨🏻‍❤‍👨🏾 E13.1 couple with heart: man, man, light skin tone, medium-dark skin tone</v>
      </c>
      <c r="C740" t="str">
        <f t="shared" si="69"/>
        <v xml:space="preserve">1F468 1F3FB 200D 2764 200D 1F468 1F3FE </v>
      </c>
      <c r="D740">
        <f t="shared" si="70"/>
        <v>39</v>
      </c>
      <c r="E740" t="str">
        <f t="shared" si="66"/>
        <v xml:space="preserve"> 👨🏻‍❤‍👨🏾 E13.1 couple with heart: man, man, light skin tone, medium-dark skin tone</v>
      </c>
      <c r="F740" t="b">
        <f t="shared" si="71"/>
        <v>1</v>
      </c>
      <c r="G740" t="str">
        <f t="shared" si="67"/>
        <v>1F468</v>
      </c>
      <c r="I740">
        <f>HEX2DEC(Table1[[#This Row],[utf8]])</f>
        <v>128104</v>
      </c>
      <c r="J740" t="str">
        <f>_xlfn.UNICHAR(HEX2DEC(Table1[[#This Row],[utf8]]))</f>
        <v>👨</v>
      </c>
      <c r="K740" s="3" t="str" cm="1">
        <f t="array" ref="K740">"Case "&amp;wRandomLetter()&amp;wRandomLetter()&amp;I740&amp;":    UniConst = ChrW(" &amp; I740 &amp;")"</f>
        <v>Case sK128104:    UniConst = ChrW(128104)</v>
      </c>
    </row>
    <row r="741" spans="1:11" hidden="1">
      <c r="A741" t="s">
        <v>2978</v>
      </c>
      <c r="B741" t="str">
        <f t="shared" si="68"/>
        <v>1F468 1F3FB 200D 2764 200D 1F468 1F3FF ; minimally-qualified # 👨🏻‍❤‍👨🏿 E13.1 couple with heart: man, man, light skin tone, dark skin tone</v>
      </c>
      <c r="C741" t="str">
        <f t="shared" si="69"/>
        <v xml:space="preserve">1F468 1F3FB 200D 2764 200D 1F468 1F3FF </v>
      </c>
      <c r="D741">
        <f t="shared" si="70"/>
        <v>39</v>
      </c>
      <c r="E741" t="str">
        <f t="shared" si="66"/>
        <v xml:space="preserve"> 👨🏻‍❤‍👨🏿 E13.1 couple with heart: man, man, light skin tone, dark skin tone</v>
      </c>
      <c r="F741" t="b">
        <f t="shared" si="71"/>
        <v>1</v>
      </c>
      <c r="G741" t="str">
        <f t="shared" si="67"/>
        <v>1F468</v>
      </c>
      <c r="I741">
        <f>HEX2DEC(Table1[[#This Row],[utf8]])</f>
        <v>128104</v>
      </c>
      <c r="J741" t="str">
        <f>_xlfn.UNICHAR(HEX2DEC(Table1[[#This Row],[utf8]]))</f>
        <v>👨</v>
      </c>
      <c r="K741" s="3" t="str" cm="1">
        <f t="array" ref="K741">"Case "&amp;wRandomLetter()&amp;wRandomLetter()&amp;I741&amp;":    UniConst = ChrW(" &amp; I741 &amp;")"</f>
        <v>Case fe128104:    UniConst = ChrW(128104)</v>
      </c>
    </row>
    <row r="742" spans="1:11" hidden="1">
      <c r="A742" t="s">
        <v>2768</v>
      </c>
      <c r="B742" t="str">
        <f t="shared" si="68"/>
        <v>1F468 1F3FB 200D 2764 200D 1F48B 200D 1F468 1F3FB ; minimally-qualified # 👨🏻‍❤‍💋‍👨🏻 E13.1 kiss: man, man, light skin tone</v>
      </c>
      <c r="C742" t="str">
        <f t="shared" si="69"/>
        <v xml:space="preserve">1F468 1F3FB 200D 2764 200D 1F48B 200D 1F468 1F3FB </v>
      </c>
      <c r="D742">
        <f t="shared" si="70"/>
        <v>50</v>
      </c>
      <c r="E742" t="str">
        <f t="shared" si="66"/>
        <v xml:space="preserve"> 👨🏻‍❤‍💋‍👨🏻 E13.1 kiss: man, man, light skin tone</v>
      </c>
      <c r="F742" t="b">
        <f t="shared" si="71"/>
        <v>1</v>
      </c>
      <c r="G742" t="str">
        <f t="shared" si="67"/>
        <v>1F468</v>
      </c>
      <c r="I742">
        <f>HEX2DEC(Table1[[#This Row],[utf8]])</f>
        <v>128104</v>
      </c>
      <c r="J742" t="str">
        <f>_xlfn.UNICHAR(HEX2DEC(Table1[[#This Row],[utf8]]))</f>
        <v>👨</v>
      </c>
      <c r="K742" s="3" t="str" cm="1">
        <f t="array" ref="K742">"Case "&amp;wRandomLetter()&amp;wRandomLetter()&amp;I742&amp;":    UniConst = ChrW(" &amp; I742 &amp;")"</f>
        <v>Case xK128104:    UniConst = ChrW(128104)</v>
      </c>
    </row>
    <row r="743" spans="1:11" hidden="1">
      <c r="A743" t="s">
        <v>2770</v>
      </c>
      <c r="B743" t="str">
        <f t="shared" si="68"/>
        <v>1F468 1F3FB 200D 2764 200D 1F48B 200D 1F468 1F3FC ; minimally-qualified # 👨🏻‍❤‍💋‍👨🏼 E13.1 kiss: man, man, light skin tone, medium-light skin tone</v>
      </c>
      <c r="C743" t="str">
        <f t="shared" si="69"/>
        <v xml:space="preserve">1F468 1F3FB 200D 2764 200D 1F48B 200D 1F468 1F3FC </v>
      </c>
      <c r="D743">
        <f t="shared" si="70"/>
        <v>50</v>
      </c>
      <c r="E743" t="str">
        <f t="shared" si="66"/>
        <v xml:space="preserve"> 👨🏻‍❤‍💋‍👨🏼 E13.1 kiss: man, man, light skin tone, medium-light skin tone</v>
      </c>
      <c r="F743" t="b">
        <f t="shared" si="71"/>
        <v>1</v>
      </c>
      <c r="G743" t="str">
        <f t="shared" si="67"/>
        <v>1F468</v>
      </c>
      <c r="I743">
        <f>HEX2DEC(Table1[[#This Row],[utf8]])</f>
        <v>128104</v>
      </c>
      <c r="J743" t="str">
        <f>_xlfn.UNICHAR(HEX2DEC(Table1[[#This Row],[utf8]]))</f>
        <v>👨</v>
      </c>
      <c r="K743" s="3" t="str" cm="1">
        <f t="array" ref="K743">"Case "&amp;wRandomLetter()&amp;wRandomLetter()&amp;I743&amp;":    UniConst = ChrW(" &amp; I743 &amp;")"</f>
        <v>Case QK128104:    UniConst = ChrW(128104)</v>
      </c>
    </row>
    <row r="744" spans="1:11" hidden="1">
      <c r="A744" t="s">
        <v>2772</v>
      </c>
      <c r="B744" t="str">
        <f t="shared" si="68"/>
        <v>1F468 1F3FB 200D 2764 200D 1F48B 200D 1F468 1F3FD ; minimally-qualified # 👨🏻‍❤‍💋‍👨🏽 E13.1 kiss: man, man, light skin tone, medium skin tone</v>
      </c>
      <c r="C744" t="str">
        <f t="shared" si="69"/>
        <v xml:space="preserve">1F468 1F3FB 200D 2764 200D 1F48B 200D 1F468 1F3FD </v>
      </c>
      <c r="D744">
        <f t="shared" si="70"/>
        <v>50</v>
      </c>
      <c r="E744" t="str">
        <f t="shared" si="66"/>
        <v xml:space="preserve"> 👨🏻‍❤‍💋‍👨🏽 E13.1 kiss: man, man, light skin tone, medium skin tone</v>
      </c>
      <c r="F744" t="b">
        <f t="shared" si="71"/>
        <v>1</v>
      </c>
      <c r="G744" t="str">
        <f t="shared" si="67"/>
        <v>1F468</v>
      </c>
      <c r="I744">
        <f>HEX2DEC(Table1[[#This Row],[utf8]])</f>
        <v>128104</v>
      </c>
      <c r="J744" t="str">
        <f>_xlfn.UNICHAR(HEX2DEC(Table1[[#This Row],[utf8]]))</f>
        <v>👨</v>
      </c>
      <c r="K744" s="3" t="str" cm="1">
        <f t="array" ref="K744">"Case "&amp;wRandomLetter()&amp;wRandomLetter()&amp;I744&amp;":    UniConst = ChrW(" &amp; I744 &amp;")"</f>
        <v>Case jf128104:    UniConst = ChrW(128104)</v>
      </c>
    </row>
    <row r="745" spans="1:11" hidden="1">
      <c r="A745" t="s">
        <v>2774</v>
      </c>
      <c r="B745" t="str">
        <f t="shared" si="68"/>
        <v>1F468 1F3FB 200D 2764 200D 1F48B 200D 1F468 1F3FE ; minimally-qualified # 👨🏻‍❤‍💋‍👨🏾 E13.1 kiss: man, man, light skin tone, medium-dark skin tone</v>
      </c>
      <c r="C745" t="str">
        <f t="shared" si="69"/>
        <v xml:space="preserve">1F468 1F3FB 200D 2764 200D 1F48B 200D 1F468 1F3FE </v>
      </c>
      <c r="D745">
        <f t="shared" si="70"/>
        <v>50</v>
      </c>
      <c r="E745" t="str">
        <f t="shared" si="66"/>
        <v xml:space="preserve"> 👨🏻‍❤‍💋‍👨🏾 E13.1 kiss: man, man, light skin tone, medium-dark skin tone</v>
      </c>
      <c r="F745" t="b">
        <f t="shared" si="71"/>
        <v>1</v>
      </c>
      <c r="G745" t="str">
        <f t="shared" si="67"/>
        <v>1F468</v>
      </c>
      <c r="I745">
        <f>HEX2DEC(Table1[[#This Row],[utf8]])</f>
        <v>128104</v>
      </c>
      <c r="J745" t="str">
        <f>_xlfn.UNICHAR(HEX2DEC(Table1[[#This Row],[utf8]]))</f>
        <v>👨</v>
      </c>
      <c r="K745" s="3" t="str" cm="1">
        <f t="array" ref="K745">"Case "&amp;wRandomLetter()&amp;wRandomLetter()&amp;I745&amp;":    UniConst = ChrW(" &amp; I745 &amp;")"</f>
        <v>Case pQ128104:    UniConst = ChrW(128104)</v>
      </c>
    </row>
    <row r="746" spans="1:11" hidden="1">
      <c r="A746" t="s">
        <v>2776</v>
      </c>
      <c r="B746" t="str">
        <f t="shared" si="68"/>
        <v>1F468 1F3FB 200D 2764 200D 1F48B 200D 1F468 1F3FF ; minimally-qualified # 👨🏻‍❤‍💋‍👨🏿 E13.1 kiss: man, man, light skin tone, dark skin tone</v>
      </c>
      <c r="C746" t="str">
        <f t="shared" si="69"/>
        <v xml:space="preserve">1F468 1F3FB 200D 2764 200D 1F48B 200D 1F468 1F3FF </v>
      </c>
      <c r="D746">
        <f t="shared" si="70"/>
        <v>50</v>
      </c>
      <c r="E746" t="str">
        <f t="shared" si="66"/>
        <v xml:space="preserve"> 👨🏻‍❤‍💋‍👨🏿 E13.1 kiss: man, man, light skin tone, dark skin tone</v>
      </c>
      <c r="F746" t="b">
        <f t="shared" si="71"/>
        <v>1</v>
      </c>
      <c r="G746" t="str">
        <f t="shared" si="67"/>
        <v>1F468</v>
      </c>
      <c r="I746">
        <f>HEX2DEC(Table1[[#This Row],[utf8]])</f>
        <v>128104</v>
      </c>
      <c r="J746" t="str">
        <f>_xlfn.UNICHAR(HEX2DEC(Table1[[#This Row],[utf8]]))</f>
        <v>👨</v>
      </c>
      <c r="K746" s="3" t="str" cm="1">
        <f t="array" ref="K746">"Case "&amp;wRandomLetter()&amp;wRandomLetter()&amp;I746&amp;":    UniConst = ChrW(" &amp; I746 &amp;")"</f>
        <v>Case Hm128104:    UniConst = ChrW(128104)</v>
      </c>
    </row>
    <row r="747" spans="1:11" hidden="1">
      <c r="A747" t="s">
        <v>2969</v>
      </c>
      <c r="B747" t="str">
        <f t="shared" si="68"/>
        <v>1F468 1F3FB 200D 2764 FE0F 200D 1F468 1F3FB ; fully-qualified # 👨🏻‍❤️‍👨🏻 E13.1 couple with heart: man, man, light skin tone</v>
      </c>
      <c r="C747" t="str">
        <f t="shared" si="69"/>
        <v xml:space="preserve">1F468 1F3FB 200D 2764 FE0F 200D 1F468 1F3FB </v>
      </c>
      <c r="D747">
        <f t="shared" si="70"/>
        <v>44</v>
      </c>
      <c r="E747" t="str">
        <f t="shared" si="66"/>
        <v xml:space="preserve"> 👨🏻‍❤️‍👨🏻 E13.1 couple with heart: man, man, light skin tone</v>
      </c>
      <c r="F747" t="b">
        <f t="shared" si="71"/>
        <v>1</v>
      </c>
      <c r="G747" t="str">
        <f t="shared" si="67"/>
        <v>1F468</v>
      </c>
      <c r="I747">
        <f>HEX2DEC(Table1[[#This Row],[utf8]])</f>
        <v>128104</v>
      </c>
      <c r="J747" t="str">
        <f>_xlfn.UNICHAR(HEX2DEC(Table1[[#This Row],[utf8]]))</f>
        <v>👨</v>
      </c>
      <c r="K747" s="3" t="str" cm="1">
        <f t="array" ref="K747">"Case "&amp;wRandomLetter()&amp;wRandomLetter()&amp;I747&amp;":    UniConst = ChrW(" &amp; I747 &amp;")"</f>
        <v>Case bE128104:    UniConst = ChrW(128104)</v>
      </c>
    </row>
    <row r="748" spans="1:11" hidden="1">
      <c r="A748" t="s">
        <v>2971</v>
      </c>
      <c r="B748" t="str">
        <f t="shared" si="68"/>
        <v>1F468 1F3FB 200D 2764 FE0F 200D 1F468 1F3FC ; fully-qualified # 👨🏻‍❤️‍👨🏼 E13.1 couple with heart: man, man, light skin tone, medium-light skin tone</v>
      </c>
      <c r="C748" t="str">
        <f t="shared" si="69"/>
        <v xml:space="preserve">1F468 1F3FB 200D 2764 FE0F 200D 1F468 1F3FC </v>
      </c>
      <c r="D748">
        <f t="shared" si="70"/>
        <v>44</v>
      </c>
      <c r="E748" t="str">
        <f t="shared" si="66"/>
        <v xml:space="preserve"> 👨🏻‍❤️‍👨🏼 E13.1 couple with heart: man, man, light skin tone, medium-light skin tone</v>
      </c>
      <c r="F748" t="b">
        <f t="shared" si="71"/>
        <v>1</v>
      </c>
      <c r="G748" t="str">
        <f t="shared" si="67"/>
        <v>1F468</v>
      </c>
      <c r="I748">
        <f>HEX2DEC(Table1[[#This Row],[utf8]])</f>
        <v>128104</v>
      </c>
      <c r="J748" t="str">
        <f>_xlfn.UNICHAR(HEX2DEC(Table1[[#This Row],[utf8]]))</f>
        <v>👨</v>
      </c>
      <c r="K748" s="3" t="str" cm="1">
        <f t="array" ref="K748">"Case "&amp;wRandomLetter()&amp;wRandomLetter()&amp;I748&amp;":    UniConst = ChrW(" &amp; I748 &amp;")"</f>
        <v>Case EC128104:    UniConst = ChrW(128104)</v>
      </c>
    </row>
    <row r="749" spans="1:11" hidden="1">
      <c r="A749" t="s">
        <v>2973</v>
      </c>
      <c r="B749" t="str">
        <f t="shared" si="68"/>
        <v>1F468 1F3FB 200D 2764 FE0F 200D 1F468 1F3FD ; fully-qualified # 👨🏻‍❤️‍👨🏽 E13.1 couple with heart: man, man, light skin tone, medium skin tone</v>
      </c>
      <c r="C749" t="str">
        <f t="shared" si="69"/>
        <v xml:space="preserve">1F468 1F3FB 200D 2764 FE0F 200D 1F468 1F3FD </v>
      </c>
      <c r="D749">
        <f t="shared" si="70"/>
        <v>44</v>
      </c>
      <c r="E749" t="str">
        <f t="shared" si="66"/>
        <v xml:space="preserve"> 👨🏻‍❤️‍👨🏽 E13.1 couple with heart: man, man, light skin tone, medium skin tone</v>
      </c>
      <c r="F749" t="b">
        <f t="shared" si="71"/>
        <v>1</v>
      </c>
      <c r="G749" t="str">
        <f t="shared" si="67"/>
        <v>1F468</v>
      </c>
      <c r="I749">
        <f>HEX2DEC(Table1[[#This Row],[utf8]])</f>
        <v>128104</v>
      </c>
      <c r="J749" t="str">
        <f>_xlfn.UNICHAR(HEX2DEC(Table1[[#This Row],[utf8]]))</f>
        <v>👨</v>
      </c>
      <c r="K749" s="3" t="str" cm="1">
        <f t="array" ref="K749">"Case "&amp;wRandomLetter()&amp;wRandomLetter()&amp;I749&amp;":    UniConst = ChrW(" &amp; I749 &amp;")"</f>
        <v>Case JO128104:    UniConst = ChrW(128104)</v>
      </c>
    </row>
    <row r="750" spans="1:11" hidden="1">
      <c r="A750" t="s">
        <v>2975</v>
      </c>
      <c r="B750" t="str">
        <f t="shared" si="68"/>
        <v>1F468 1F3FB 200D 2764 FE0F 200D 1F468 1F3FE ; fully-qualified # 👨🏻‍❤️‍👨🏾 E13.1 couple with heart: man, man, light skin tone, medium-dark skin tone</v>
      </c>
      <c r="C750" t="str">
        <f t="shared" si="69"/>
        <v xml:space="preserve">1F468 1F3FB 200D 2764 FE0F 200D 1F468 1F3FE </v>
      </c>
      <c r="D750">
        <f t="shared" si="70"/>
        <v>44</v>
      </c>
      <c r="E750" t="str">
        <f t="shared" si="66"/>
        <v xml:space="preserve"> 👨🏻‍❤️‍👨🏾 E13.1 couple with heart: man, man, light skin tone, medium-dark skin tone</v>
      </c>
      <c r="F750" t="b">
        <f t="shared" si="71"/>
        <v>1</v>
      </c>
      <c r="G750" t="str">
        <f t="shared" si="67"/>
        <v>1F468</v>
      </c>
      <c r="I750">
        <f>HEX2DEC(Table1[[#This Row],[utf8]])</f>
        <v>128104</v>
      </c>
      <c r="J750" t="str">
        <f>_xlfn.UNICHAR(HEX2DEC(Table1[[#This Row],[utf8]]))</f>
        <v>👨</v>
      </c>
      <c r="K750" s="3" t="str" cm="1">
        <f t="array" ref="K750">"Case "&amp;wRandomLetter()&amp;wRandomLetter()&amp;I750&amp;":    UniConst = ChrW(" &amp; I750 &amp;")"</f>
        <v>Case ql128104:    UniConst = ChrW(128104)</v>
      </c>
    </row>
    <row r="751" spans="1:11" hidden="1">
      <c r="A751" t="s">
        <v>2977</v>
      </c>
      <c r="B751" t="str">
        <f t="shared" si="68"/>
        <v>1F468 1F3FB 200D 2764 FE0F 200D 1F468 1F3FF ; fully-qualified # 👨🏻‍❤️‍👨🏿 E13.1 couple with heart: man, man, light skin tone, dark skin tone</v>
      </c>
      <c r="C751" t="str">
        <f t="shared" si="69"/>
        <v xml:space="preserve">1F468 1F3FB 200D 2764 FE0F 200D 1F468 1F3FF </v>
      </c>
      <c r="D751">
        <f t="shared" si="70"/>
        <v>44</v>
      </c>
      <c r="E751" t="str">
        <f t="shared" si="66"/>
        <v xml:space="preserve"> 👨🏻‍❤️‍👨🏿 E13.1 couple with heart: man, man, light skin tone, dark skin tone</v>
      </c>
      <c r="F751" t="b">
        <f t="shared" si="71"/>
        <v>1</v>
      </c>
      <c r="G751" t="str">
        <f t="shared" si="67"/>
        <v>1F468</v>
      </c>
      <c r="I751">
        <f>HEX2DEC(Table1[[#This Row],[utf8]])</f>
        <v>128104</v>
      </c>
      <c r="J751" t="str">
        <f>_xlfn.UNICHAR(HEX2DEC(Table1[[#This Row],[utf8]]))</f>
        <v>👨</v>
      </c>
      <c r="K751" s="3" t="str" cm="1">
        <f t="array" ref="K751">"Case "&amp;wRandomLetter()&amp;wRandomLetter()&amp;I751&amp;":    UniConst = ChrW(" &amp; I751 &amp;")"</f>
        <v>Case mz128104:    UniConst = ChrW(128104)</v>
      </c>
    </row>
    <row r="752" spans="1:11" hidden="1">
      <c r="A752" t="s">
        <v>2767</v>
      </c>
      <c r="B752" t="str">
        <f t="shared" si="68"/>
        <v>1F468 1F3FB 200D 2764 FE0F 200D 1F48B 200D 1F468 1F3FB ; fully-qualified # 👨🏻‍❤️‍💋‍👨🏻 E13.1 kiss: man, man, light skin tone</v>
      </c>
      <c r="C752" t="str">
        <f t="shared" si="69"/>
        <v xml:space="preserve">1F468 1F3FB 200D 2764 FE0F 200D 1F48B 200D 1F468 1F3FB </v>
      </c>
      <c r="D752">
        <f t="shared" si="70"/>
        <v>55</v>
      </c>
      <c r="E752" t="str">
        <f t="shared" si="66"/>
        <v xml:space="preserve"> 👨🏻‍❤️‍💋‍👨🏻 E13.1 kiss: man, man, light skin tone</v>
      </c>
      <c r="F752" t="b">
        <f t="shared" si="71"/>
        <v>1</v>
      </c>
      <c r="G752" t="str">
        <f t="shared" si="67"/>
        <v>1F468</v>
      </c>
      <c r="I752">
        <f>HEX2DEC(Table1[[#This Row],[utf8]])</f>
        <v>128104</v>
      </c>
      <c r="J752" t="str">
        <f>_xlfn.UNICHAR(HEX2DEC(Table1[[#This Row],[utf8]]))</f>
        <v>👨</v>
      </c>
      <c r="K752" s="3" t="str" cm="1">
        <f t="array" ref="K752">"Case "&amp;wRandomLetter()&amp;wRandomLetter()&amp;I752&amp;":    UniConst = ChrW(" &amp; I752 &amp;")"</f>
        <v>Case CK128104:    UniConst = ChrW(128104)</v>
      </c>
    </row>
    <row r="753" spans="1:11" hidden="1">
      <c r="A753" t="s">
        <v>2769</v>
      </c>
      <c r="B753" t="str">
        <f t="shared" si="68"/>
        <v>1F468 1F3FB 200D 2764 FE0F 200D 1F48B 200D 1F468 1F3FC ; fully-qualified # 👨🏻‍❤️‍💋‍👨🏼 E13.1 kiss: man, man, light skin tone, medium-light skin tone</v>
      </c>
      <c r="C753" t="str">
        <f t="shared" si="69"/>
        <v xml:space="preserve">1F468 1F3FB 200D 2764 FE0F 200D 1F48B 200D 1F468 1F3FC </v>
      </c>
      <c r="D753">
        <f t="shared" si="70"/>
        <v>55</v>
      </c>
      <c r="E753" t="str">
        <f t="shared" si="66"/>
        <v xml:space="preserve"> 👨🏻‍❤️‍💋‍👨🏼 E13.1 kiss: man, man, light skin tone, medium-light skin tone</v>
      </c>
      <c r="F753" t="b">
        <f t="shared" si="71"/>
        <v>1</v>
      </c>
      <c r="G753" t="str">
        <f t="shared" si="67"/>
        <v>1F468</v>
      </c>
      <c r="I753">
        <f>HEX2DEC(Table1[[#This Row],[utf8]])</f>
        <v>128104</v>
      </c>
      <c r="J753" t="str">
        <f>_xlfn.UNICHAR(HEX2DEC(Table1[[#This Row],[utf8]]))</f>
        <v>👨</v>
      </c>
      <c r="K753" s="3" t="str" cm="1">
        <f t="array" ref="K753">"Case "&amp;wRandomLetter()&amp;wRandomLetter()&amp;I753&amp;":    UniConst = ChrW(" &amp; I753 &amp;")"</f>
        <v>Case Gi128104:    UniConst = ChrW(128104)</v>
      </c>
    </row>
    <row r="754" spans="1:11" hidden="1">
      <c r="A754" t="s">
        <v>2771</v>
      </c>
      <c r="B754" t="str">
        <f t="shared" si="68"/>
        <v>1F468 1F3FB 200D 2764 FE0F 200D 1F48B 200D 1F468 1F3FD ; fully-qualified # 👨🏻‍❤️‍💋‍👨🏽 E13.1 kiss: man, man, light skin tone, medium skin tone</v>
      </c>
      <c r="C754" t="str">
        <f t="shared" si="69"/>
        <v xml:space="preserve">1F468 1F3FB 200D 2764 FE0F 200D 1F48B 200D 1F468 1F3FD </v>
      </c>
      <c r="D754">
        <f t="shared" si="70"/>
        <v>55</v>
      </c>
      <c r="E754" t="str">
        <f t="shared" si="66"/>
        <v xml:space="preserve"> 👨🏻‍❤️‍💋‍👨🏽 E13.1 kiss: man, man, light skin tone, medium skin tone</v>
      </c>
      <c r="F754" t="b">
        <f t="shared" si="71"/>
        <v>1</v>
      </c>
      <c r="G754" t="str">
        <f t="shared" si="67"/>
        <v>1F468</v>
      </c>
      <c r="I754">
        <f>HEX2DEC(Table1[[#This Row],[utf8]])</f>
        <v>128104</v>
      </c>
      <c r="J754" t="str">
        <f>_xlfn.UNICHAR(HEX2DEC(Table1[[#This Row],[utf8]]))</f>
        <v>👨</v>
      </c>
      <c r="K754" s="3" t="str" cm="1">
        <f t="array" ref="K754">"Case "&amp;wRandomLetter()&amp;wRandomLetter()&amp;I754&amp;":    UniConst = ChrW(" &amp; I754 &amp;")"</f>
        <v>Case uQ128104:    UniConst = ChrW(128104)</v>
      </c>
    </row>
    <row r="755" spans="1:11" hidden="1">
      <c r="A755" t="s">
        <v>2773</v>
      </c>
      <c r="B755" t="str">
        <f t="shared" si="68"/>
        <v>1F468 1F3FB 200D 2764 FE0F 200D 1F48B 200D 1F468 1F3FE ; fully-qualified # 👨🏻‍❤️‍💋‍👨🏾 E13.1 kiss: man, man, light skin tone, medium-dark skin tone</v>
      </c>
      <c r="C755" t="str">
        <f t="shared" si="69"/>
        <v xml:space="preserve">1F468 1F3FB 200D 2764 FE0F 200D 1F48B 200D 1F468 1F3FE </v>
      </c>
      <c r="D755">
        <f t="shared" si="70"/>
        <v>55</v>
      </c>
      <c r="E755" t="str">
        <f t="shared" si="66"/>
        <v xml:space="preserve"> 👨🏻‍❤️‍💋‍👨🏾 E13.1 kiss: man, man, light skin tone, medium-dark skin tone</v>
      </c>
      <c r="F755" t="b">
        <f t="shared" si="71"/>
        <v>1</v>
      </c>
      <c r="G755" t="str">
        <f t="shared" si="67"/>
        <v>1F468</v>
      </c>
      <c r="I755">
        <f>HEX2DEC(Table1[[#This Row],[utf8]])</f>
        <v>128104</v>
      </c>
      <c r="J755" t="str">
        <f>_xlfn.UNICHAR(HEX2DEC(Table1[[#This Row],[utf8]]))</f>
        <v>👨</v>
      </c>
      <c r="K755" s="3" t="str" cm="1">
        <f t="array" ref="K755">"Case "&amp;wRandomLetter()&amp;wRandomLetter()&amp;I755&amp;":    UniConst = ChrW(" &amp; I755 &amp;")"</f>
        <v>Case Gv128104:    UniConst = ChrW(128104)</v>
      </c>
    </row>
    <row r="756" spans="1:11" hidden="1">
      <c r="A756" t="s">
        <v>2775</v>
      </c>
      <c r="B756" t="str">
        <f t="shared" si="68"/>
        <v>1F468 1F3FB 200D 2764 FE0F 200D 1F48B 200D 1F468 1F3FF ; fully-qualified # 👨🏻‍❤️‍💋‍👨🏿 E13.1 kiss: man, man, light skin tone, dark skin tone</v>
      </c>
      <c r="C756" t="str">
        <f t="shared" si="69"/>
        <v xml:space="preserve">1F468 1F3FB 200D 2764 FE0F 200D 1F48B 200D 1F468 1F3FF </v>
      </c>
      <c r="D756">
        <f t="shared" si="70"/>
        <v>55</v>
      </c>
      <c r="E756" t="str">
        <f t="shared" si="66"/>
        <v xml:space="preserve"> 👨🏻‍❤️‍💋‍👨🏿 E13.1 kiss: man, man, light skin tone, dark skin tone</v>
      </c>
      <c r="F756" t="b">
        <f t="shared" si="71"/>
        <v>1</v>
      </c>
      <c r="G756" t="str">
        <f t="shared" si="67"/>
        <v>1F468</v>
      </c>
      <c r="I756">
        <f>HEX2DEC(Table1[[#This Row],[utf8]])</f>
        <v>128104</v>
      </c>
      <c r="J756" t="str">
        <f>_xlfn.UNICHAR(HEX2DEC(Table1[[#This Row],[utf8]]))</f>
        <v>👨</v>
      </c>
      <c r="K756" s="3" t="str" cm="1">
        <f t="array" ref="K756">"Case "&amp;wRandomLetter()&amp;wRandomLetter()&amp;I756&amp;":    UniConst = ChrW(" &amp; I756 &amp;")"</f>
        <v>Case iw128104:    UniConst = ChrW(128104)</v>
      </c>
    </row>
    <row r="757" spans="1:11" hidden="1">
      <c r="A757" t="s">
        <v>486</v>
      </c>
      <c r="B757" t="str">
        <f t="shared" si="68"/>
        <v>1F468 1F3FC ; fully-qualified # 👨🏼 E1.0 man: medium-light skin tone</v>
      </c>
      <c r="C757" t="str">
        <f t="shared" si="69"/>
        <v xml:space="preserve">1F468 1F3FC </v>
      </c>
      <c r="D757">
        <f t="shared" si="70"/>
        <v>12</v>
      </c>
      <c r="E757" t="str">
        <f t="shared" si="66"/>
        <v xml:space="preserve"> 👨🏼 E1.0 man: medium-light skin tone</v>
      </c>
      <c r="F757" t="b">
        <f t="shared" si="71"/>
        <v>1</v>
      </c>
      <c r="G757" t="str">
        <f t="shared" si="67"/>
        <v>1F468</v>
      </c>
      <c r="I757">
        <f>HEX2DEC(Table1[[#This Row],[utf8]])</f>
        <v>128104</v>
      </c>
      <c r="J757" t="str">
        <f>_xlfn.UNICHAR(HEX2DEC(Table1[[#This Row],[utf8]]))</f>
        <v>👨</v>
      </c>
      <c r="K757" s="3" t="str" cm="1">
        <f t="array" ref="K757">"Case "&amp;wRandomLetter()&amp;wRandomLetter()&amp;I757&amp;":    UniConst = ChrW(" &amp; I757 &amp;")"</f>
        <v>Case VY128104:    UniConst = ChrW(128104)</v>
      </c>
    </row>
    <row r="758" spans="1:11" hidden="1">
      <c r="A758" t="s">
        <v>1058</v>
      </c>
      <c r="B758" t="str">
        <f t="shared" si="68"/>
        <v>1F468 1F3FC 200D 1F33E ; fully-qualified # 👨🏼‍🌾 E4.0 man farmer: medium-light skin tone</v>
      </c>
      <c r="C758" t="str">
        <f t="shared" si="69"/>
        <v xml:space="preserve">1F468 1F3FC 200D 1F33E </v>
      </c>
      <c r="D758">
        <f t="shared" si="70"/>
        <v>23</v>
      </c>
      <c r="E758" t="str">
        <f t="shared" si="66"/>
        <v xml:space="preserve"> 👨🏼‍🌾 E4.0 man farmer: medium-light skin tone</v>
      </c>
      <c r="F758" t="b">
        <f t="shared" si="71"/>
        <v>1</v>
      </c>
      <c r="G758" t="str">
        <f t="shared" si="67"/>
        <v>1F468</v>
      </c>
      <c r="I758">
        <f>HEX2DEC(Table1[[#This Row],[utf8]])</f>
        <v>128104</v>
      </c>
      <c r="J758" t="str">
        <f>_xlfn.UNICHAR(HEX2DEC(Table1[[#This Row],[utf8]]))</f>
        <v>👨</v>
      </c>
      <c r="K758" s="3" t="str" cm="1">
        <f t="array" ref="K758">"Case "&amp;wRandomLetter()&amp;wRandomLetter()&amp;I758&amp;":    UniConst = ChrW(" &amp; I758 &amp;")"</f>
        <v>Case Dr128104:    UniConst = ChrW(128104)</v>
      </c>
    </row>
    <row r="759" spans="1:11" hidden="1">
      <c r="A759" t="s">
        <v>1076</v>
      </c>
      <c r="B759" t="str">
        <f t="shared" si="68"/>
        <v>1F468 1F3FC 200D 1F373 ; fully-qualified # 👨🏼‍🍳 E4.0 man cook: medium-light skin tone</v>
      </c>
      <c r="C759" t="str">
        <f t="shared" si="69"/>
        <v xml:space="preserve">1F468 1F3FC 200D 1F373 </v>
      </c>
      <c r="D759">
        <f t="shared" si="70"/>
        <v>23</v>
      </c>
      <c r="E759" t="str">
        <f t="shared" si="66"/>
        <v xml:space="preserve"> 👨🏼‍🍳 E4.0 man cook: medium-light skin tone</v>
      </c>
      <c r="F759" t="b">
        <f t="shared" si="71"/>
        <v>1</v>
      </c>
      <c r="G759" t="str">
        <f t="shared" si="67"/>
        <v>1F468</v>
      </c>
      <c r="I759">
        <f>HEX2DEC(Table1[[#This Row],[utf8]])</f>
        <v>128104</v>
      </c>
      <c r="J759" t="str">
        <f>_xlfn.UNICHAR(HEX2DEC(Table1[[#This Row],[utf8]]))</f>
        <v>👨</v>
      </c>
      <c r="K759" s="3" t="str" cm="1">
        <f t="array" ref="K759">"Case "&amp;wRandomLetter()&amp;wRandomLetter()&amp;I759&amp;":    UniConst = ChrW(" &amp; I759 &amp;")"</f>
        <v>Case QK128104:    UniConst = ChrW(128104)</v>
      </c>
    </row>
    <row r="760" spans="1:11" hidden="1">
      <c r="A760" t="s">
        <v>1549</v>
      </c>
      <c r="B760" t="str">
        <f t="shared" si="68"/>
        <v>1F468 1F3FC 200D 1F37C ; fully-qualified # 👨🏼‍🍼 E13.0 man feeding baby: medium-light skin tone</v>
      </c>
      <c r="C760" t="str">
        <f t="shared" si="69"/>
        <v xml:space="preserve">1F468 1F3FC 200D 1F37C </v>
      </c>
      <c r="D760">
        <f t="shared" si="70"/>
        <v>23</v>
      </c>
      <c r="E760" t="str">
        <f t="shared" si="66"/>
        <v xml:space="preserve"> 👨🏼‍🍼 E13.0 man feeding baby: medium-light skin tone</v>
      </c>
      <c r="F760" t="b">
        <f t="shared" si="71"/>
        <v>1</v>
      </c>
      <c r="G760" t="str">
        <f t="shared" si="67"/>
        <v>1F468</v>
      </c>
      <c r="I760">
        <f>HEX2DEC(Table1[[#This Row],[utf8]])</f>
        <v>128104</v>
      </c>
      <c r="J760" t="str">
        <f>_xlfn.UNICHAR(HEX2DEC(Table1[[#This Row],[utf8]]))</f>
        <v>👨</v>
      </c>
      <c r="K760" s="3" t="str" cm="1">
        <f t="array" ref="K760">"Case "&amp;wRandomLetter()&amp;wRandomLetter()&amp;I760&amp;":    UniConst = ChrW(" &amp; I760 &amp;")"</f>
        <v>Case tU128104:    UniConst = ChrW(128104)</v>
      </c>
    </row>
    <row r="761" spans="1:11" hidden="1">
      <c r="A761" t="s">
        <v>986</v>
      </c>
      <c r="B761" t="str">
        <f t="shared" si="68"/>
        <v>1F468 1F3FC 200D 1F393 ; fully-qualified # 👨🏼‍🎓 E4.0 man student: medium-light skin tone</v>
      </c>
      <c r="C761" t="str">
        <f t="shared" si="69"/>
        <v xml:space="preserve">1F468 1F3FC 200D 1F393 </v>
      </c>
      <c r="D761">
        <f t="shared" si="70"/>
        <v>23</v>
      </c>
      <c r="E761" t="str">
        <f t="shared" si="66"/>
        <v xml:space="preserve"> 👨🏼‍🎓 E4.0 man student: medium-light skin tone</v>
      </c>
      <c r="F761" t="b">
        <f t="shared" si="71"/>
        <v>1</v>
      </c>
      <c r="G761" t="str">
        <f t="shared" si="67"/>
        <v>1F468</v>
      </c>
      <c r="I761">
        <f>HEX2DEC(Table1[[#This Row],[utf8]])</f>
        <v>128104</v>
      </c>
      <c r="J761" t="str">
        <f>_xlfn.UNICHAR(HEX2DEC(Table1[[#This Row],[utf8]]))</f>
        <v>👨</v>
      </c>
      <c r="K761" s="3" t="str" cm="1">
        <f t="array" ref="K761">"Case "&amp;wRandomLetter()&amp;wRandomLetter()&amp;I761&amp;":    UniConst = ChrW(" &amp; I761 &amp;")"</f>
        <v>Case ZM128104:    UniConst = ChrW(128104)</v>
      </c>
    </row>
    <row r="762" spans="1:11" hidden="1">
      <c r="A762" t="s">
        <v>1184</v>
      </c>
      <c r="B762" t="str">
        <f t="shared" si="68"/>
        <v>1F468 1F3FC 200D 1F3A4 ; fully-qualified # 👨🏼‍🎤 E4.0 man singer: medium-light skin tone</v>
      </c>
      <c r="C762" t="str">
        <f t="shared" si="69"/>
        <v xml:space="preserve">1F468 1F3FC 200D 1F3A4 </v>
      </c>
      <c r="D762">
        <f t="shared" si="70"/>
        <v>23</v>
      </c>
      <c r="E762" t="str">
        <f t="shared" si="66"/>
        <v xml:space="preserve"> 👨🏼‍🎤 E4.0 man singer: medium-light skin tone</v>
      </c>
      <c r="F762" t="b">
        <f t="shared" si="71"/>
        <v>1</v>
      </c>
      <c r="G762" t="str">
        <f t="shared" si="67"/>
        <v>1F468</v>
      </c>
      <c r="I762">
        <f>HEX2DEC(Table1[[#This Row],[utf8]])</f>
        <v>128104</v>
      </c>
      <c r="J762" t="str">
        <f>_xlfn.UNICHAR(HEX2DEC(Table1[[#This Row],[utf8]]))</f>
        <v>👨</v>
      </c>
      <c r="K762" s="3" t="str" cm="1">
        <f t="array" ref="K762">"Case "&amp;wRandomLetter()&amp;wRandomLetter()&amp;I762&amp;":    UniConst = ChrW(" &amp; I762 &amp;")"</f>
        <v>Case hl128104:    UniConst = ChrW(128104)</v>
      </c>
    </row>
    <row r="763" spans="1:11" hidden="1">
      <c r="A763" t="s">
        <v>1202</v>
      </c>
      <c r="B763" t="str">
        <f t="shared" si="68"/>
        <v>1F468 1F3FC 200D 1F3A8 ; fully-qualified # 👨🏼‍🎨 E4.0 man artist: medium-light skin tone</v>
      </c>
      <c r="C763" t="str">
        <f t="shared" si="69"/>
        <v xml:space="preserve">1F468 1F3FC 200D 1F3A8 </v>
      </c>
      <c r="D763">
        <f t="shared" si="70"/>
        <v>23</v>
      </c>
      <c r="E763" t="str">
        <f t="shared" si="66"/>
        <v xml:space="preserve"> 👨🏼‍🎨 E4.0 man artist: medium-light skin tone</v>
      </c>
      <c r="F763" t="b">
        <f t="shared" si="71"/>
        <v>1</v>
      </c>
      <c r="G763" t="str">
        <f t="shared" si="67"/>
        <v>1F468</v>
      </c>
      <c r="I763">
        <f>HEX2DEC(Table1[[#This Row],[utf8]])</f>
        <v>128104</v>
      </c>
      <c r="J763" t="str">
        <f>_xlfn.UNICHAR(HEX2DEC(Table1[[#This Row],[utf8]]))</f>
        <v>👨</v>
      </c>
      <c r="K763" s="3" t="str" cm="1">
        <f t="array" ref="K763">"Case "&amp;wRandomLetter()&amp;wRandomLetter()&amp;I763&amp;":    UniConst = ChrW(" &amp; I763 &amp;")"</f>
        <v>Case NJ128104:    UniConst = ChrW(128104)</v>
      </c>
    </row>
    <row r="764" spans="1:11" hidden="1">
      <c r="A764" t="s">
        <v>1004</v>
      </c>
      <c r="B764" t="str">
        <f t="shared" si="68"/>
        <v>1F468 1F3FC 200D 1F3EB ; fully-qualified # 👨🏼‍🏫 E4.0 man teacher: medium-light skin tone</v>
      </c>
      <c r="C764" t="str">
        <f t="shared" si="69"/>
        <v xml:space="preserve">1F468 1F3FC 200D 1F3EB </v>
      </c>
      <c r="D764">
        <f t="shared" si="70"/>
        <v>23</v>
      </c>
      <c r="E764" t="str">
        <f t="shared" si="66"/>
        <v xml:space="preserve"> 👨🏼‍🏫 E4.0 man teacher: medium-light skin tone</v>
      </c>
      <c r="F764" t="b">
        <f t="shared" si="71"/>
        <v>1</v>
      </c>
      <c r="G764" t="str">
        <f t="shared" si="67"/>
        <v>1F468</v>
      </c>
      <c r="I764">
        <f>HEX2DEC(Table1[[#This Row],[utf8]])</f>
        <v>128104</v>
      </c>
      <c r="J764" t="str">
        <f>_xlfn.UNICHAR(HEX2DEC(Table1[[#This Row],[utf8]]))</f>
        <v>👨</v>
      </c>
      <c r="K764" s="3" t="str" cm="1">
        <f t="array" ref="K764">"Case "&amp;wRandomLetter()&amp;wRandomLetter()&amp;I764&amp;":    UniConst = ChrW(" &amp; I764 &amp;")"</f>
        <v>Case fd128104:    UniConst = ChrW(128104)</v>
      </c>
    </row>
    <row r="765" spans="1:11" hidden="1">
      <c r="A765" t="s">
        <v>1112</v>
      </c>
      <c r="B765" t="str">
        <f t="shared" si="68"/>
        <v>1F468 1F3FC 200D 1F3ED ; fully-qualified # 👨🏼‍🏭 E4.0 man factory worker: medium-light skin tone</v>
      </c>
      <c r="C765" t="str">
        <f t="shared" si="69"/>
        <v xml:space="preserve">1F468 1F3FC 200D 1F3ED </v>
      </c>
      <c r="D765">
        <f t="shared" si="70"/>
        <v>23</v>
      </c>
      <c r="E765" t="str">
        <f t="shared" si="66"/>
        <v xml:space="preserve"> 👨🏼‍🏭 E4.0 man factory worker: medium-light skin tone</v>
      </c>
      <c r="F765" t="b">
        <f t="shared" si="71"/>
        <v>1</v>
      </c>
      <c r="G765" t="str">
        <f t="shared" si="67"/>
        <v>1F468</v>
      </c>
      <c r="I765">
        <f>HEX2DEC(Table1[[#This Row],[utf8]])</f>
        <v>128104</v>
      </c>
      <c r="J765" t="str">
        <f>_xlfn.UNICHAR(HEX2DEC(Table1[[#This Row],[utf8]]))</f>
        <v>👨</v>
      </c>
      <c r="K765" s="3" t="str" cm="1">
        <f t="array" ref="K765">"Case "&amp;wRandomLetter()&amp;wRandomLetter()&amp;I765&amp;":    UniConst = ChrW(" &amp; I765 &amp;")"</f>
        <v>Case PN128104:    UniConst = ChrW(128104)</v>
      </c>
    </row>
    <row r="766" spans="1:11" hidden="1">
      <c r="A766" t="s">
        <v>1166</v>
      </c>
      <c r="B766" t="str">
        <f t="shared" si="68"/>
        <v>1F468 1F3FC 200D 1F4BB ; fully-qualified # 👨🏼‍💻 E4.0 man technologist: medium-light skin tone</v>
      </c>
      <c r="C766" t="str">
        <f t="shared" si="69"/>
        <v xml:space="preserve">1F468 1F3FC 200D 1F4BB </v>
      </c>
      <c r="D766">
        <f t="shared" si="70"/>
        <v>23</v>
      </c>
      <c r="E766" t="str">
        <f t="shared" si="66"/>
        <v xml:space="preserve"> 👨🏼‍💻 E4.0 man technologist: medium-light skin tone</v>
      </c>
      <c r="F766" t="b">
        <f t="shared" si="71"/>
        <v>1</v>
      </c>
      <c r="G766" t="str">
        <f t="shared" si="67"/>
        <v>1F468</v>
      </c>
      <c r="I766">
        <f>HEX2DEC(Table1[[#This Row],[utf8]])</f>
        <v>128104</v>
      </c>
      <c r="J766" t="str">
        <f>_xlfn.UNICHAR(HEX2DEC(Table1[[#This Row],[utf8]]))</f>
        <v>👨</v>
      </c>
      <c r="K766" s="3" t="str" cm="1">
        <f t="array" ref="K766">"Case "&amp;wRandomLetter()&amp;wRandomLetter()&amp;I766&amp;":    UniConst = ChrW(" &amp; I766 &amp;")"</f>
        <v>Case ld128104:    UniConst = ChrW(128104)</v>
      </c>
    </row>
    <row r="767" spans="1:11" hidden="1">
      <c r="A767" t="s">
        <v>1130</v>
      </c>
      <c r="B767" t="str">
        <f t="shared" si="68"/>
        <v>1F468 1F3FC 200D 1F4BC ; fully-qualified # 👨🏼‍💼 E4.0 man office worker: medium-light skin tone</v>
      </c>
      <c r="C767" t="str">
        <f t="shared" si="69"/>
        <v xml:space="preserve">1F468 1F3FC 200D 1F4BC </v>
      </c>
      <c r="D767">
        <f t="shared" si="70"/>
        <v>23</v>
      </c>
      <c r="E767" t="str">
        <f t="shared" si="66"/>
        <v xml:space="preserve"> 👨🏼‍💼 E4.0 man office worker: medium-light skin tone</v>
      </c>
      <c r="F767" t="b">
        <f t="shared" si="71"/>
        <v>1</v>
      </c>
      <c r="G767" t="str">
        <f t="shared" si="67"/>
        <v>1F468</v>
      </c>
      <c r="I767">
        <f>HEX2DEC(Table1[[#This Row],[utf8]])</f>
        <v>128104</v>
      </c>
      <c r="J767" t="str">
        <f>_xlfn.UNICHAR(HEX2DEC(Table1[[#This Row],[utf8]]))</f>
        <v>👨</v>
      </c>
      <c r="K767" s="3" t="str" cm="1">
        <f t="array" ref="K767">"Case "&amp;wRandomLetter()&amp;wRandomLetter()&amp;I767&amp;":    UniConst = ChrW(" &amp; I767 &amp;")"</f>
        <v>Case yG128104:    UniConst = ChrW(128104)</v>
      </c>
    </row>
    <row r="768" spans="1:11" hidden="1">
      <c r="A768" t="s">
        <v>1094</v>
      </c>
      <c r="B768" t="str">
        <f t="shared" si="68"/>
        <v>1F468 1F3FC 200D 1F527 ; fully-qualified # 👨🏼‍🔧 E4.0 man mechanic: medium-light skin tone</v>
      </c>
      <c r="C768" t="str">
        <f t="shared" si="69"/>
        <v xml:space="preserve">1F468 1F3FC 200D 1F527 </v>
      </c>
      <c r="D768">
        <f t="shared" si="70"/>
        <v>23</v>
      </c>
      <c r="E768" t="str">
        <f t="shared" si="66"/>
        <v xml:space="preserve"> 👨🏼‍🔧 E4.0 man mechanic: medium-light skin tone</v>
      </c>
      <c r="F768" t="b">
        <f t="shared" si="71"/>
        <v>1</v>
      </c>
      <c r="G768" t="str">
        <f t="shared" si="67"/>
        <v>1F468</v>
      </c>
      <c r="I768">
        <f>HEX2DEC(Table1[[#This Row],[utf8]])</f>
        <v>128104</v>
      </c>
      <c r="J768" t="str">
        <f>_xlfn.UNICHAR(HEX2DEC(Table1[[#This Row],[utf8]]))</f>
        <v>👨</v>
      </c>
      <c r="K768" s="3" t="str" cm="1">
        <f t="array" ref="K768">"Case "&amp;wRandomLetter()&amp;wRandomLetter()&amp;I768&amp;":    UniConst = ChrW(" &amp; I768 &amp;")"</f>
        <v>Case ql128104:    UniConst = ChrW(128104)</v>
      </c>
    </row>
    <row r="769" spans="1:11" hidden="1">
      <c r="A769" t="s">
        <v>1148</v>
      </c>
      <c r="B769" t="str">
        <f t="shared" si="68"/>
        <v>1F468 1F3FC 200D 1F52C ; fully-qualified # 👨🏼‍🔬 E4.0 man scientist: medium-light skin tone</v>
      </c>
      <c r="C769" t="str">
        <f t="shared" si="69"/>
        <v xml:space="preserve">1F468 1F3FC 200D 1F52C </v>
      </c>
      <c r="D769">
        <f t="shared" si="70"/>
        <v>23</v>
      </c>
      <c r="E769" t="str">
        <f t="shared" si="66"/>
        <v xml:space="preserve"> 👨🏼‍🔬 E4.0 man scientist: medium-light skin tone</v>
      </c>
      <c r="F769" t="b">
        <f t="shared" si="71"/>
        <v>1</v>
      </c>
      <c r="G769" t="str">
        <f t="shared" si="67"/>
        <v>1F468</v>
      </c>
      <c r="I769">
        <f>HEX2DEC(Table1[[#This Row],[utf8]])</f>
        <v>128104</v>
      </c>
      <c r="J769" t="str">
        <f>_xlfn.UNICHAR(HEX2DEC(Table1[[#This Row],[utf8]]))</f>
        <v>👨</v>
      </c>
      <c r="K769" s="3" t="str" cm="1">
        <f t="array" ref="K769">"Case "&amp;wRandomLetter()&amp;wRandomLetter()&amp;I769&amp;":    UniConst = ChrW(" &amp; I769 &amp;")"</f>
        <v>Case gS128104:    UniConst = ChrW(128104)</v>
      </c>
    </row>
    <row r="770" spans="1:11" hidden="1">
      <c r="A770" t="s">
        <v>1256</v>
      </c>
      <c r="B770" t="str">
        <f t="shared" si="68"/>
        <v>1F468 1F3FC 200D 1F680 ; fully-qualified # 👨🏼‍🚀 E4.0 man astronaut: medium-light skin tone</v>
      </c>
      <c r="C770" t="str">
        <f t="shared" si="69"/>
        <v xml:space="preserve">1F468 1F3FC 200D 1F680 </v>
      </c>
      <c r="D770">
        <f t="shared" si="70"/>
        <v>23</v>
      </c>
      <c r="E770" t="str">
        <f t="shared" ref="E770:E833" si="72">MID(A770,FIND("#",A770)+1,256)</f>
        <v xml:space="preserve"> 👨🏼‍🚀 E4.0 man astronaut: medium-light skin tone</v>
      </c>
      <c r="F770" t="b">
        <f t="shared" si="71"/>
        <v>1</v>
      </c>
      <c r="G770" t="str">
        <f t="shared" ref="G770:G833" si="73">LEFT(C770,(FIND(" ",C770,1)-1))</f>
        <v>1F468</v>
      </c>
      <c r="I770">
        <f>HEX2DEC(Table1[[#This Row],[utf8]])</f>
        <v>128104</v>
      </c>
      <c r="J770" t="str">
        <f>_xlfn.UNICHAR(HEX2DEC(Table1[[#This Row],[utf8]]))</f>
        <v>👨</v>
      </c>
      <c r="K770" s="3" t="str" cm="1">
        <f t="array" ref="K770">"Case "&amp;wRandomLetter()&amp;wRandomLetter()&amp;I770&amp;":    UniConst = ChrW(" &amp; I770 &amp;")"</f>
        <v>Case Ht128104:    UniConst = ChrW(128104)</v>
      </c>
    </row>
    <row r="771" spans="1:11" hidden="1">
      <c r="A771" t="s">
        <v>1274</v>
      </c>
      <c r="B771" t="str">
        <f t="shared" ref="B771:B834" si="74">TRIM(A771)</f>
        <v>1F468 1F3FC 200D 1F692 ; fully-qualified # 👨🏼‍🚒 E4.0 man firefighter: medium-light skin tone</v>
      </c>
      <c r="C771" t="str">
        <f t="shared" ref="C771:C834" si="75">LEFT(B771,(FIND(";",B771,1)-1))</f>
        <v xml:space="preserve">1F468 1F3FC 200D 1F692 </v>
      </c>
      <c r="D771">
        <f t="shared" ref="D771:D834" si="76">LEN(C771)</f>
        <v>23</v>
      </c>
      <c r="E771" t="str">
        <f t="shared" si="72"/>
        <v xml:space="preserve"> 👨🏼‍🚒 E4.0 man firefighter: medium-light skin tone</v>
      </c>
      <c r="F771" t="b">
        <f t="shared" ref="F771:F834" si="77">IF(LEFT(C771,2)="1F",TRUE,FALSE)</f>
        <v>1</v>
      </c>
      <c r="G771" t="str">
        <f t="shared" si="73"/>
        <v>1F468</v>
      </c>
      <c r="I771">
        <f>HEX2DEC(Table1[[#This Row],[utf8]])</f>
        <v>128104</v>
      </c>
      <c r="J771" t="str">
        <f>_xlfn.UNICHAR(HEX2DEC(Table1[[#This Row],[utf8]]))</f>
        <v>👨</v>
      </c>
      <c r="K771" s="3" t="str" cm="1">
        <f t="array" ref="K771">"Case "&amp;wRandomLetter()&amp;wRandomLetter()&amp;I771&amp;":    UniConst = ChrW(" &amp; I771 &amp;")"</f>
        <v>Case bp128104:    UniConst = ChrW(128104)</v>
      </c>
    </row>
    <row r="772" spans="1:11" hidden="1">
      <c r="A772" t="s">
        <v>2647</v>
      </c>
      <c r="B772" t="str">
        <f t="shared" si="74"/>
        <v>1F468 1F3FC 200D 1F91D 200D 1F468 1F3FB ; fully-qualified # 👨🏼‍🤝‍👨🏻 E12.0 men holding hands: medium-light skin tone, light skin tone</v>
      </c>
      <c r="C772" t="str">
        <f t="shared" si="75"/>
        <v xml:space="preserve">1F468 1F3FC 200D 1F91D 200D 1F468 1F3FB </v>
      </c>
      <c r="D772">
        <f t="shared" si="76"/>
        <v>40</v>
      </c>
      <c r="E772" t="str">
        <f t="shared" si="72"/>
        <v xml:space="preserve"> 👨🏼‍🤝‍👨🏻 E12.0 men holding hands: medium-light skin tone, light skin tone</v>
      </c>
      <c r="F772" t="b">
        <f t="shared" si="77"/>
        <v>1</v>
      </c>
      <c r="G772" t="str">
        <f t="shared" si="73"/>
        <v>1F468</v>
      </c>
      <c r="I772">
        <f>HEX2DEC(Table1[[#This Row],[utf8]])</f>
        <v>128104</v>
      </c>
      <c r="J772" t="str">
        <f>_xlfn.UNICHAR(HEX2DEC(Table1[[#This Row],[utf8]]))</f>
        <v>👨</v>
      </c>
      <c r="K772" s="3" t="str" cm="1">
        <f t="array" ref="K772">"Case "&amp;wRandomLetter()&amp;wRandomLetter()&amp;I772&amp;":    UniConst = ChrW(" &amp; I772 &amp;")"</f>
        <v>Case aH128104:    UniConst = ChrW(128104)</v>
      </c>
    </row>
    <row r="773" spans="1:11" hidden="1">
      <c r="A773" t="s">
        <v>2649</v>
      </c>
      <c r="B773" t="str">
        <f t="shared" si="74"/>
        <v>1F468 1F3FC 200D 1F91D 200D 1F468 1F3FD ; fully-qualified # 👨🏼‍🤝‍👨🏽 E12.1 men holding hands: medium-light skin tone, medium skin tone</v>
      </c>
      <c r="C773" t="str">
        <f t="shared" si="75"/>
        <v xml:space="preserve">1F468 1F3FC 200D 1F91D 200D 1F468 1F3FD </v>
      </c>
      <c r="D773">
        <f t="shared" si="76"/>
        <v>40</v>
      </c>
      <c r="E773" t="str">
        <f t="shared" si="72"/>
        <v xml:space="preserve"> 👨🏼‍🤝‍👨🏽 E12.1 men holding hands: medium-light skin tone, medium skin tone</v>
      </c>
      <c r="F773" t="b">
        <f t="shared" si="77"/>
        <v>1</v>
      </c>
      <c r="G773" t="str">
        <f t="shared" si="73"/>
        <v>1F468</v>
      </c>
      <c r="I773">
        <f>HEX2DEC(Table1[[#This Row],[utf8]])</f>
        <v>128104</v>
      </c>
      <c r="J773" t="str">
        <f>_xlfn.UNICHAR(HEX2DEC(Table1[[#This Row],[utf8]]))</f>
        <v>👨</v>
      </c>
      <c r="K773" s="3" t="str" cm="1">
        <f t="array" ref="K773">"Case "&amp;wRandomLetter()&amp;wRandomLetter()&amp;I773&amp;":    UniConst = ChrW(" &amp; I773 &amp;")"</f>
        <v>Case UN128104:    UniConst = ChrW(128104)</v>
      </c>
    </row>
    <row r="774" spans="1:11" hidden="1">
      <c r="A774" t="s">
        <v>2650</v>
      </c>
      <c r="B774" t="str">
        <f t="shared" si="74"/>
        <v>1F468 1F3FC 200D 1F91D 200D 1F468 1F3FE ; fully-qualified # 👨🏼‍🤝‍👨🏾 E12.1 men holding hands: medium-light skin tone, medium-dark skin tone</v>
      </c>
      <c r="C774" t="str">
        <f t="shared" si="75"/>
        <v xml:space="preserve">1F468 1F3FC 200D 1F91D 200D 1F468 1F3FE </v>
      </c>
      <c r="D774">
        <f t="shared" si="76"/>
        <v>40</v>
      </c>
      <c r="E774" t="str">
        <f t="shared" si="72"/>
        <v xml:space="preserve"> 👨🏼‍🤝‍👨🏾 E12.1 men holding hands: medium-light skin tone, medium-dark skin tone</v>
      </c>
      <c r="F774" t="b">
        <f t="shared" si="77"/>
        <v>1</v>
      </c>
      <c r="G774" t="str">
        <f t="shared" si="73"/>
        <v>1F468</v>
      </c>
      <c r="I774">
        <f>HEX2DEC(Table1[[#This Row],[utf8]])</f>
        <v>128104</v>
      </c>
      <c r="J774" t="str">
        <f>_xlfn.UNICHAR(HEX2DEC(Table1[[#This Row],[utf8]]))</f>
        <v>👨</v>
      </c>
      <c r="K774" s="3" t="str" cm="1">
        <f t="array" ref="K774">"Case "&amp;wRandomLetter()&amp;wRandomLetter()&amp;I774&amp;":    UniConst = ChrW(" &amp; I774 &amp;")"</f>
        <v>Case yp128104:    UniConst = ChrW(128104)</v>
      </c>
    </row>
    <row r="775" spans="1:11" hidden="1">
      <c r="A775" t="s">
        <v>2651</v>
      </c>
      <c r="B775" t="str">
        <f t="shared" si="74"/>
        <v>1F468 1F3FC 200D 1F91D 200D 1F468 1F3FF ; fully-qualified # 👨🏼‍🤝‍👨🏿 E12.1 men holding hands: medium-light skin tone, dark skin tone</v>
      </c>
      <c r="C775" t="str">
        <f t="shared" si="75"/>
        <v xml:space="preserve">1F468 1F3FC 200D 1F91D 200D 1F468 1F3FF </v>
      </c>
      <c r="D775">
        <f t="shared" si="76"/>
        <v>40</v>
      </c>
      <c r="E775" t="str">
        <f t="shared" si="72"/>
        <v xml:space="preserve"> 👨🏼‍🤝‍👨🏿 E12.1 men holding hands: medium-light skin tone, dark skin tone</v>
      </c>
      <c r="F775" t="b">
        <f t="shared" si="77"/>
        <v>1</v>
      </c>
      <c r="G775" t="str">
        <f t="shared" si="73"/>
        <v>1F468</v>
      </c>
      <c r="I775">
        <f>HEX2DEC(Table1[[#This Row],[utf8]])</f>
        <v>128104</v>
      </c>
      <c r="J775" t="str">
        <f>_xlfn.UNICHAR(HEX2DEC(Table1[[#This Row],[utf8]]))</f>
        <v>👨</v>
      </c>
      <c r="K775" s="3" t="str" cm="1">
        <f t="array" ref="K775">"Case "&amp;wRandomLetter()&amp;wRandomLetter()&amp;I775&amp;":    UniConst = ChrW(" &amp; I775 &amp;")"</f>
        <v>Case tH128104:    UniConst = ChrW(128104)</v>
      </c>
    </row>
    <row r="776" spans="1:11" hidden="1">
      <c r="A776" t="s">
        <v>1963</v>
      </c>
      <c r="B776" t="str">
        <f t="shared" si="74"/>
        <v>1F468 1F3FC 200D 1F9AF ; fully-qualified # 👨🏼‍🦯 E12.0 man with white cane: medium-light skin tone</v>
      </c>
      <c r="C776" t="str">
        <f t="shared" si="75"/>
        <v xml:space="preserve">1F468 1F3FC 200D 1F9AF </v>
      </c>
      <c r="D776">
        <f t="shared" si="76"/>
        <v>23</v>
      </c>
      <c r="E776" t="str">
        <f t="shared" si="72"/>
        <v xml:space="preserve"> 👨🏼‍🦯 E12.0 man with white cane: medium-light skin tone</v>
      </c>
      <c r="F776" t="b">
        <f t="shared" si="77"/>
        <v>1</v>
      </c>
      <c r="G776" t="str">
        <f t="shared" si="73"/>
        <v>1F468</v>
      </c>
      <c r="I776">
        <f>HEX2DEC(Table1[[#This Row],[utf8]])</f>
        <v>128104</v>
      </c>
      <c r="J776" t="str">
        <f>_xlfn.UNICHAR(HEX2DEC(Table1[[#This Row],[utf8]]))</f>
        <v>👨</v>
      </c>
      <c r="K776" s="3" t="str" cm="1">
        <f t="array" ref="K776">"Case "&amp;wRandomLetter()&amp;wRandomLetter()&amp;I776&amp;":    UniConst = ChrW(" &amp; I776 &amp;")"</f>
        <v>Case NT128104:    UniConst = ChrW(128104)</v>
      </c>
    </row>
    <row r="777" spans="1:11" hidden="1">
      <c r="A777" t="s">
        <v>522</v>
      </c>
      <c r="B777" t="str">
        <f t="shared" si="74"/>
        <v>1F468 1F3FC 200D 1F9B0 ; fully-qualified # 👨🏼‍🦰 E11.0 man: medium-light skin tone, red hair</v>
      </c>
      <c r="C777" t="str">
        <f t="shared" si="75"/>
        <v xml:space="preserve">1F468 1F3FC 200D 1F9B0 </v>
      </c>
      <c r="D777">
        <f t="shared" si="76"/>
        <v>23</v>
      </c>
      <c r="E777" t="str">
        <f t="shared" si="72"/>
        <v xml:space="preserve"> 👨🏼‍🦰 E11.0 man: medium-light skin tone, red hair</v>
      </c>
      <c r="F777" t="b">
        <f t="shared" si="77"/>
        <v>1</v>
      </c>
      <c r="G777" t="str">
        <f t="shared" si="73"/>
        <v>1F468</v>
      </c>
      <c r="I777">
        <f>HEX2DEC(Table1[[#This Row],[utf8]])</f>
        <v>128104</v>
      </c>
      <c r="J777" t="str">
        <f>_xlfn.UNICHAR(HEX2DEC(Table1[[#This Row],[utf8]]))</f>
        <v>👨</v>
      </c>
      <c r="K777" s="3" t="str" cm="1">
        <f t="array" ref="K777">"Case "&amp;wRandomLetter()&amp;wRandomLetter()&amp;I777&amp;":    UniConst = ChrW(" &amp; I777 &amp;")"</f>
        <v>Case HW128104:    UniConst = ChrW(128104)</v>
      </c>
    </row>
    <row r="778" spans="1:11" hidden="1">
      <c r="A778" t="s">
        <v>528</v>
      </c>
      <c r="B778" t="str">
        <f t="shared" si="74"/>
        <v>1F468 1F3FC 200D 1F9B1 ; fully-qualified # 👨🏼‍🦱 E11.0 man: medium-light skin tone, curly hair</v>
      </c>
      <c r="C778" t="str">
        <f t="shared" si="75"/>
        <v xml:space="preserve">1F468 1F3FC 200D 1F9B1 </v>
      </c>
      <c r="D778">
        <f t="shared" si="76"/>
        <v>23</v>
      </c>
      <c r="E778" t="str">
        <f t="shared" si="72"/>
        <v xml:space="preserve"> 👨🏼‍🦱 E11.0 man: medium-light skin tone, curly hair</v>
      </c>
      <c r="F778" t="b">
        <f t="shared" si="77"/>
        <v>1</v>
      </c>
      <c r="G778" t="str">
        <f t="shared" si="73"/>
        <v>1F468</v>
      </c>
      <c r="I778">
        <f>HEX2DEC(Table1[[#This Row],[utf8]])</f>
        <v>128104</v>
      </c>
      <c r="J778" t="str">
        <f>_xlfn.UNICHAR(HEX2DEC(Table1[[#This Row],[utf8]]))</f>
        <v>👨</v>
      </c>
      <c r="K778" s="3" t="str" cm="1">
        <f t="array" ref="K778">"Case "&amp;wRandomLetter()&amp;wRandomLetter()&amp;I778&amp;":    UniConst = ChrW(" &amp; I778 &amp;")"</f>
        <v>Case Kl128104:    UniConst = ChrW(128104)</v>
      </c>
    </row>
    <row r="779" spans="1:11" hidden="1">
      <c r="A779" t="s">
        <v>540</v>
      </c>
      <c r="B779" t="str">
        <f t="shared" si="74"/>
        <v>1F468 1F3FC 200D 1F9B2 ; fully-qualified # 👨🏼‍🦲 E11.0 man: medium-light skin tone, bald</v>
      </c>
      <c r="C779" t="str">
        <f t="shared" si="75"/>
        <v xml:space="preserve">1F468 1F3FC 200D 1F9B2 </v>
      </c>
      <c r="D779">
        <f t="shared" si="76"/>
        <v>23</v>
      </c>
      <c r="E779" t="str">
        <f t="shared" si="72"/>
        <v xml:space="preserve"> 👨🏼‍🦲 E11.0 man: medium-light skin tone, bald</v>
      </c>
      <c r="F779" t="b">
        <f t="shared" si="77"/>
        <v>1</v>
      </c>
      <c r="G779" t="str">
        <f t="shared" si="73"/>
        <v>1F468</v>
      </c>
      <c r="I779">
        <f>HEX2DEC(Table1[[#This Row],[utf8]])</f>
        <v>128104</v>
      </c>
      <c r="J779" t="str">
        <f>_xlfn.UNICHAR(HEX2DEC(Table1[[#This Row],[utf8]]))</f>
        <v>👨</v>
      </c>
      <c r="K779" s="3" t="str" cm="1">
        <f t="array" ref="K779">"Case "&amp;wRandomLetter()&amp;wRandomLetter()&amp;I779&amp;":    UniConst = ChrW(" &amp; I779 &amp;")"</f>
        <v>Case Ut128104:    UniConst = ChrW(128104)</v>
      </c>
    </row>
    <row r="780" spans="1:11" hidden="1">
      <c r="A780" t="s">
        <v>534</v>
      </c>
      <c r="B780" t="str">
        <f t="shared" si="74"/>
        <v>1F468 1F3FC 200D 1F9B3 ; fully-qualified # 👨🏼‍🦳 E11.0 man: medium-light skin tone, white hair</v>
      </c>
      <c r="C780" t="str">
        <f t="shared" si="75"/>
        <v xml:space="preserve">1F468 1F3FC 200D 1F9B3 </v>
      </c>
      <c r="D780">
        <f t="shared" si="76"/>
        <v>23</v>
      </c>
      <c r="E780" t="str">
        <f t="shared" si="72"/>
        <v xml:space="preserve"> 👨🏼‍🦳 E11.0 man: medium-light skin tone, white hair</v>
      </c>
      <c r="F780" t="b">
        <f t="shared" si="77"/>
        <v>1</v>
      </c>
      <c r="G780" t="str">
        <f t="shared" si="73"/>
        <v>1F468</v>
      </c>
      <c r="I780">
        <f>HEX2DEC(Table1[[#This Row],[utf8]])</f>
        <v>128104</v>
      </c>
      <c r="J780" t="str">
        <f>_xlfn.UNICHAR(HEX2DEC(Table1[[#This Row],[utf8]]))</f>
        <v>👨</v>
      </c>
      <c r="K780" s="3" t="str" cm="1">
        <f t="array" ref="K780">"Case "&amp;wRandomLetter()&amp;wRandomLetter()&amp;I780&amp;":    UniConst = ChrW(" &amp; I780 &amp;")"</f>
        <v>Case VX128104:    UniConst = ChrW(128104)</v>
      </c>
    </row>
    <row r="781" spans="1:11" hidden="1">
      <c r="A781" t="s">
        <v>1981</v>
      </c>
      <c r="B781" t="str">
        <f t="shared" si="74"/>
        <v>1F468 1F3FC 200D 1F9BC ; fully-qualified # 👨🏼‍🦼 E12.0 man in motorized wheelchair: medium-light skin tone</v>
      </c>
      <c r="C781" t="str">
        <f t="shared" si="75"/>
        <v xml:space="preserve">1F468 1F3FC 200D 1F9BC </v>
      </c>
      <c r="D781">
        <f t="shared" si="76"/>
        <v>23</v>
      </c>
      <c r="E781" t="str">
        <f t="shared" si="72"/>
        <v xml:space="preserve"> 👨🏼‍🦼 E12.0 man in motorized wheelchair: medium-light skin tone</v>
      </c>
      <c r="F781" t="b">
        <f t="shared" si="77"/>
        <v>1</v>
      </c>
      <c r="G781" t="str">
        <f t="shared" si="73"/>
        <v>1F468</v>
      </c>
      <c r="I781">
        <f>HEX2DEC(Table1[[#This Row],[utf8]])</f>
        <v>128104</v>
      </c>
      <c r="J781" t="str">
        <f>_xlfn.UNICHAR(HEX2DEC(Table1[[#This Row],[utf8]]))</f>
        <v>👨</v>
      </c>
      <c r="K781" s="3" t="str" cm="1">
        <f t="array" ref="K781">"Case "&amp;wRandomLetter()&amp;wRandomLetter()&amp;I781&amp;":    UniConst = ChrW(" &amp; I781 &amp;")"</f>
        <v>Case pT128104:    UniConst = ChrW(128104)</v>
      </c>
    </row>
    <row r="782" spans="1:11" hidden="1">
      <c r="A782" t="s">
        <v>1999</v>
      </c>
      <c r="B782" t="str">
        <f t="shared" si="74"/>
        <v>1F468 1F3FC 200D 1F9BD ; fully-qualified # 👨🏼‍🦽 E12.0 man in manual wheelchair: medium-light skin tone</v>
      </c>
      <c r="C782" t="str">
        <f t="shared" si="75"/>
        <v xml:space="preserve">1F468 1F3FC 200D 1F9BD </v>
      </c>
      <c r="D782">
        <f t="shared" si="76"/>
        <v>23</v>
      </c>
      <c r="E782" t="str">
        <f t="shared" si="72"/>
        <v xml:space="preserve"> 👨🏼‍🦽 E12.0 man in manual wheelchair: medium-light skin tone</v>
      </c>
      <c r="F782" t="b">
        <f t="shared" si="77"/>
        <v>1</v>
      </c>
      <c r="G782" t="str">
        <f t="shared" si="73"/>
        <v>1F468</v>
      </c>
      <c r="I782">
        <f>HEX2DEC(Table1[[#This Row],[utf8]])</f>
        <v>128104</v>
      </c>
      <c r="J782" t="str">
        <f>_xlfn.UNICHAR(HEX2DEC(Table1[[#This Row],[utf8]]))</f>
        <v>👨</v>
      </c>
      <c r="K782" s="3" t="str" cm="1">
        <f t="array" ref="K782">"Case "&amp;wRandomLetter()&amp;wRandomLetter()&amp;I782&amp;":    UniConst = ChrW(" &amp; I782 &amp;")"</f>
        <v>Case gS128104:    UniConst = ChrW(128104)</v>
      </c>
    </row>
    <row r="783" spans="1:11" hidden="1">
      <c r="A783" t="s">
        <v>959</v>
      </c>
      <c r="B783" t="str">
        <f t="shared" si="74"/>
        <v>1F468 1F3FC 200D 2695 ; minimally-qualified # 👨🏼‍⚕ E4.0 man health worker: medium-light skin tone</v>
      </c>
      <c r="C783" t="str">
        <f t="shared" si="75"/>
        <v xml:space="preserve">1F468 1F3FC 200D 2695 </v>
      </c>
      <c r="D783">
        <f t="shared" si="76"/>
        <v>22</v>
      </c>
      <c r="E783" t="str">
        <f t="shared" si="72"/>
        <v xml:space="preserve"> 👨🏼‍⚕ E4.0 man health worker: medium-light skin tone</v>
      </c>
      <c r="F783" t="b">
        <f t="shared" si="77"/>
        <v>1</v>
      </c>
      <c r="G783" t="str">
        <f t="shared" si="73"/>
        <v>1F468</v>
      </c>
      <c r="I783">
        <f>HEX2DEC(Table1[[#This Row],[utf8]])</f>
        <v>128104</v>
      </c>
      <c r="J783" t="str">
        <f>_xlfn.UNICHAR(HEX2DEC(Table1[[#This Row],[utf8]]))</f>
        <v>👨</v>
      </c>
      <c r="K783" s="3" t="str" cm="1">
        <f t="array" ref="K783">"Case "&amp;wRandomLetter()&amp;wRandomLetter()&amp;I783&amp;":    UniConst = ChrW(" &amp; I783 &amp;")"</f>
        <v>Case uq128104:    UniConst = ChrW(128104)</v>
      </c>
    </row>
    <row r="784" spans="1:11" hidden="1">
      <c r="A784" t="s">
        <v>958</v>
      </c>
      <c r="B784" t="str">
        <f t="shared" si="74"/>
        <v>1F468 1F3FC 200D 2695 FE0F ; fully-qualified # 👨🏼‍⚕️ E4.0 man health worker: medium-light skin tone</v>
      </c>
      <c r="C784" t="str">
        <f t="shared" si="75"/>
        <v xml:space="preserve">1F468 1F3FC 200D 2695 FE0F </v>
      </c>
      <c r="D784">
        <f t="shared" si="76"/>
        <v>27</v>
      </c>
      <c r="E784" t="str">
        <f t="shared" si="72"/>
        <v xml:space="preserve"> 👨🏼‍⚕️ E4.0 man health worker: medium-light skin tone</v>
      </c>
      <c r="F784" t="b">
        <f t="shared" si="77"/>
        <v>1</v>
      </c>
      <c r="G784" t="str">
        <f t="shared" si="73"/>
        <v>1F468</v>
      </c>
      <c r="I784">
        <f>HEX2DEC(Table1[[#This Row],[utf8]])</f>
        <v>128104</v>
      </c>
      <c r="J784" t="str">
        <f>_xlfn.UNICHAR(HEX2DEC(Table1[[#This Row],[utf8]]))</f>
        <v>👨</v>
      </c>
      <c r="K784" s="3" t="str" cm="1">
        <f t="array" ref="K784">"Case "&amp;wRandomLetter()&amp;wRandomLetter()&amp;I784&amp;":    UniConst = ChrW(" &amp; I784 &amp;")"</f>
        <v>Case aE128104:    UniConst = ChrW(128104)</v>
      </c>
    </row>
    <row r="785" spans="1:11" hidden="1">
      <c r="A785" t="s">
        <v>1031</v>
      </c>
      <c r="B785" t="str">
        <f t="shared" si="74"/>
        <v>1F468 1F3FC 200D 2696 ; minimally-qualified # 👨🏼‍⚖ E4.0 man judge: medium-light skin tone</v>
      </c>
      <c r="C785" t="str">
        <f t="shared" si="75"/>
        <v xml:space="preserve">1F468 1F3FC 200D 2696 </v>
      </c>
      <c r="D785">
        <f t="shared" si="76"/>
        <v>22</v>
      </c>
      <c r="E785" t="str">
        <f t="shared" si="72"/>
        <v xml:space="preserve"> 👨🏼‍⚖ E4.0 man judge: medium-light skin tone</v>
      </c>
      <c r="F785" t="b">
        <f t="shared" si="77"/>
        <v>1</v>
      </c>
      <c r="G785" t="str">
        <f t="shared" si="73"/>
        <v>1F468</v>
      </c>
      <c r="I785">
        <f>HEX2DEC(Table1[[#This Row],[utf8]])</f>
        <v>128104</v>
      </c>
      <c r="J785" t="str">
        <f>_xlfn.UNICHAR(HEX2DEC(Table1[[#This Row],[utf8]]))</f>
        <v>👨</v>
      </c>
      <c r="K785" s="3" t="str" cm="1">
        <f t="array" ref="K785">"Case "&amp;wRandomLetter()&amp;wRandomLetter()&amp;I785&amp;":    UniConst = ChrW(" &amp; I785 &amp;")"</f>
        <v>Case SR128104:    UniConst = ChrW(128104)</v>
      </c>
    </row>
    <row r="786" spans="1:11" hidden="1">
      <c r="A786" t="s">
        <v>1030</v>
      </c>
      <c r="B786" t="str">
        <f t="shared" si="74"/>
        <v>1F468 1F3FC 200D 2696 FE0F ; fully-qualified # 👨🏼‍⚖️ E4.0 man judge: medium-light skin tone</v>
      </c>
      <c r="C786" t="str">
        <f t="shared" si="75"/>
        <v xml:space="preserve">1F468 1F3FC 200D 2696 FE0F </v>
      </c>
      <c r="D786">
        <f t="shared" si="76"/>
        <v>27</v>
      </c>
      <c r="E786" t="str">
        <f t="shared" si="72"/>
        <v xml:space="preserve"> 👨🏼‍⚖️ E4.0 man judge: medium-light skin tone</v>
      </c>
      <c r="F786" t="b">
        <f t="shared" si="77"/>
        <v>1</v>
      </c>
      <c r="G786" t="str">
        <f t="shared" si="73"/>
        <v>1F468</v>
      </c>
      <c r="I786">
        <f>HEX2DEC(Table1[[#This Row],[utf8]])</f>
        <v>128104</v>
      </c>
      <c r="J786" t="str">
        <f>_xlfn.UNICHAR(HEX2DEC(Table1[[#This Row],[utf8]]))</f>
        <v>👨</v>
      </c>
      <c r="K786" s="3" t="str" cm="1">
        <f t="array" ref="K786">"Case "&amp;wRandomLetter()&amp;wRandomLetter()&amp;I786&amp;":    UniConst = ChrW(" &amp; I786 &amp;")"</f>
        <v>Case PL128104:    UniConst = ChrW(128104)</v>
      </c>
    </row>
    <row r="787" spans="1:11" hidden="1">
      <c r="A787" t="s">
        <v>1229</v>
      </c>
      <c r="B787" t="str">
        <f t="shared" si="74"/>
        <v>1F468 1F3FC 200D 2708 ; minimally-qualified # 👨🏼‍✈ E4.0 man pilot: medium-light skin tone</v>
      </c>
      <c r="C787" t="str">
        <f t="shared" si="75"/>
        <v xml:space="preserve">1F468 1F3FC 200D 2708 </v>
      </c>
      <c r="D787">
        <f t="shared" si="76"/>
        <v>22</v>
      </c>
      <c r="E787" t="str">
        <f t="shared" si="72"/>
        <v xml:space="preserve"> 👨🏼‍✈ E4.0 man pilot: medium-light skin tone</v>
      </c>
      <c r="F787" t="b">
        <f t="shared" si="77"/>
        <v>1</v>
      </c>
      <c r="G787" t="str">
        <f t="shared" si="73"/>
        <v>1F468</v>
      </c>
      <c r="I787">
        <f>HEX2DEC(Table1[[#This Row],[utf8]])</f>
        <v>128104</v>
      </c>
      <c r="J787" t="str">
        <f>_xlfn.UNICHAR(HEX2DEC(Table1[[#This Row],[utf8]]))</f>
        <v>👨</v>
      </c>
      <c r="K787" s="3" t="str" cm="1">
        <f t="array" ref="K787">"Case "&amp;wRandomLetter()&amp;wRandomLetter()&amp;I787&amp;":    UniConst = ChrW(" &amp; I787 &amp;")"</f>
        <v>Case rN128104:    UniConst = ChrW(128104)</v>
      </c>
    </row>
    <row r="788" spans="1:11" hidden="1">
      <c r="A788" t="s">
        <v>1228</v>
      </c>
      <c r="B788" t="str">
        <f t="shared" si="74"/>
        <v>1F468 1F3FC 200D 2708 FE0F ; fully-qualified # 👨🏼‍✈️ E4.0 man pilot: medium-light skin tone</v>
      </c>
      <c r="C788" t="str">
        <f t="shared" si="75"/>
        <v xml:space="preserve">1F468 1F3FC 200D 2708 FE0F </v>
      </c>
      <c r="D788">
        <f t="shared" si="76"/>
        <v>27</v>
      </c>
      <c r="E788" t="str">
        <f t="shared" si="72"/>
        <v xml:space="preserve"> 👨🏼‍✈️ E4.0 man pilot: medium-light skin tone</v>
      </c>
      <c r="F788" t="b">
        <f t="shared" si="77"/>
        <v>1</v>
      </c>
      <c r="G788" t="str">
        <f t="shared" si="73"/>
        <v>1F468</v>
      </c>
      <c r="I788">
        <f>HEX2DEC(Table1[[#This Row],[utf8]])</f>
        <v>128104</v>
      </c>
      <c r="J788" t="str">
        <f>_xlfn.UNICHAR(HEX2DEC(Table1[[#This Row],[utf8]]))</f>
        <v>👨</v>
      </c>
      <c r="K788" s="3" t="str" cm="1">
        <f t="array" ref="K788">"Case "&amp;wRandomLetter()&amp;wRandomLetter()&amp;I788&amp;":    UniConst = ChrW(" &amp; I788 &amp;")"</f>
        <v>Case WG128104:    UniConst = ChrW(128104)</v>
      </c>
    </row>
    <row r="789" spans="1:11" hidden="1">
      <c r="A789" t="s">
        <v>2980</v>
      </c>
      <c r="B789" t="str">
        <f t="shared" si="74"/>
        <v>1F468 1F3FC 200D 2764 200D 1F468 1F3FB ; minimally-qualified # 👨🏼‍❤‍👨🏻 E13.1 couple with heart: man, man, medium-light skin tone, light skin tone</v>
      </c>
      <c r="C789" t="str">
        <f t="shared" si="75"/>
        <v xml:space="preserve">1F468 1F3FC 200D 2764 200D 1F468 1F3FB </v>
      </c>
      <c r="D789">
        <f t="shared" si="76"/>
        <v>39</v>
      </c>
      <c r="E789" t="str">
        <f t="shared" si="72"/>
        <v xml:space="preserve"> 👨🏼‍❤‍👨🏻 E13.1 couple with heart: man, man, medium-light skin tone, light skin tone</v>
      </c>
      <c r="F789" t="b">
        <f t="shared" si="77"/>
        <v>1</v>
      </c>
      <c r="G789" t="str">
        <f t="shared" si="73"/>
        <v>1F468</v>
      </c>
      <c r="I789">
        <f>HEX2DEC(Table1[[#This Row],[utf8]])</f>
        <v>128104</v>
      </c>
      <c r="J789" t="str">
        <f>_xlfn.UNICHAR(HEX2DEC(Table1[[#This Row],[utf8]]))</f>
        <v>👨</v>
      </c>
      <c r="K789" s="3" t="str" cm="1">
        <f t="array" ref="K789">"Case "&amp;wRandomLetter()&amp;wRandomLetter()&amp;I789&amp;":    UniConst = ChrW(" &amp; I789 &amp;")"</f>
        <v>Case DH128104:    UniConst = ChrW(128104)</v>
      </c>
    </row>
    <row r="790" spans="1:11" hidden="1">
      <c r="A790" t="s">
        <v>2982</v>
      </c>
      <c r="B790" t="str">
        <f t="shared" si="74"/>
        <v>1F468 1F3FC 200D 2764 200D 1F468 1F3FC ; minimally-qualified # 👨🏼‍❤‍👨🏼 E13.1 couple with heart: man, man, medium-light skin tone</v>
      </c>
      <c r="C790" t="str">
        <f t="shared" si="75"/>
        <v xml:space="preserve">1F468 1F3FC 200D 2764 200D 1F468 1F3FC </v>
      </c>
      <c r="D790">
        <f t="shared" si="76"/>
        <v>39</v>
      </c>
      <c r="E790" t="str">
        <f t="shared" si="72"/>
        <v xml:space="preserve"> 👨🏼‍❤‍👨🏼 E13.1 couple with heart: man, man, medium-light skin tone</v>
      </c>
      <c r="F790" t="b">
        <f t="shared" si="77"/>
        <v>1</v>
      </c>
      <c r="G790" t="str">
        <f t="shared" si="73"/>
        <v>1F468</v>
      </c>
      <c r="I790">
        <f>HEX2DEC(Table1[[#This Row],[utf8]])</f>
        <v>128104</v>
      </c>
      <c r="J790" t="str">
        <f>_xlfn.UNICHAR(HEX2DEC(Table1[[#This Row],[utf8]]))</f>
        <v>👨</v>
      </c>
      <c r="K790" s="3" t="str" cm="1">
        <f t="array" ref="K790">"Case "&amp;wRandomLetter()&amp;wRandomLetter()&amp;I790&amp;":    UniConst = ChrW(" &amp; I790 &amp;")"</f>
        <v>Case hz128104:    UniConst = ChrW(128104)</v>
      </c>
    </row>
    <row r="791" spans="1:11" hidden="1">
      <c r="A791" t="s">
        <v>2984</v>
      </c>
      <c r="B791" t="str">
        <f t="shared" si="74"/>
        <v>1F468 1F3FC 200D 2764 200D 1F468 1F3FD ; minimally-qualified # 👨🏼‍❤‍👨🏽 E13.1 couple with heart: man, man, medium-light skin tone, medium skin tone</v>
      </c>
      <c r="C791" t="str">
        <f t="shared" si="75"/>
        <v xml:space="preserve">1F468 1F3FC 200D 2764 200D 1F468 1F3FD </v>
      </c>
      <c r="D791">
        <f t="shared" si="76"/>
        <v>39</v>
      </c>
      <c r="E791" t="str">
        <f t="shared" si="72"/>
        <v xml:space="preserve"> 👨🏼‍❤‍👨🏽 E13.1 couple with heart: man, man, medium-light skin tone, medium skin tone</v>
      </c>
      <c r="F791" t="b">
        <f t="shared" si="77"/>
        <v>1</v>
      </c>
      <c r="G791" t="str">
        <f t="shared" si="73"/>
        <v>1F468</v>
      </c>
      <c r="I791">
        <f>HEX2DEC(Table1[[#This Row],[utf8]])</f>
        <v>128104</v>
      </c>
      <c r="J791" t="str">
        <f>_xlfn.UNICHAR(HEX2DEC(Table1[[#This Row],[utf8]]))</f>
        <v>👨</v>
      </c>
      <c r="K791" s="3" t="str" cm="1">
        <f t="array" ref="K791">"Case "&amp;wRandomLetter()&amp;wRandomLetter()&amp;I791&amp;":    UniConst = ChrW(" &amp; I791 &amp;")"</f>
        <v>Case CK128104:    UniConst = ChrW(128104)</v>
      </c>
    </row>
    <row r="792" spans="1:11" hidden="1">
      <c r="A792" t="s">
        <v>2986</v>
      </c>
      <c r="B792" t="str">
        <f t="shared" si="74"/>
        <v>1F468 1F3FC 200D 2764 200D 1F468 1F3FE ; minimally-qualified # 👨🏼‍❤‍👨🏾 E13.1 couple with heart: man, man, medium-light skin tone, medium-dark skin tone</v>
      </c>
      <c r="C792" t="str">
        <f t="shared" si="75"/>
        <v xml:space="preserve">1F468 1F3FC 200D 2764 200D 1F468 1F3FE </v>
      </c>
      <c r="D792">
        <f t="shared" si="76"/>
        <v>39</v>
      </c>
      <c r="E792" t="str">
        <f t="shared" si="72"/>
        <v xml:space="preserve"> 👨🏼‍❤‍👨🏾 E13.1 couple with heart: man, man, medium-light skin tone, medium-dark skin tone</v>
      </c>
      <c r="F792" t="b">
        <f t="shared" si="77"/>
        <v>1</v>
      </c>
      <c r="G792" t="str">
        <f t="shared" si="73"/>
        <v>1F468</v>
      </c>
      <c r="I792">
        <f>HEX2DEC(Table1[[#This Row],[utf8]])</f>
        <v>128104</v>
      </c>
      <c r="J792" t="str">
        <f>_xlfn.UNICHAR(HEX2DEC(Table1[[#This Row],[utf8]]))</f>
        <v>👨</v>
      </c>
      <c r="K792" s="3" t="str" cm="1">
        <f t="array" ref="K792">"Case "&amp;wRandomLetter()&amp;wRandomLetter()&amp;I792&amp;":    UniConst = ChrW(" &amp; I792 &amp;")"</f>
        <v>Case Hd128104:    UniConst = ChrW(128104)</v>
      </c>
    </row>
    <row r="793" spans="1:11" hidden="1">
      <c r="A793" t="s">
        <v>2988</v>
      </c>
      <c r="B793" t="str">
        <f t="shared" si="74"/>
        <v>1F468 1F3FC 200D 2764 200D 1F468 1F3FF ; minimally-qualified # 👨🏼‍❤‍👨🏿 E13.1 couple with heart: man, man, medium-light skin tone, dark skin tone</v>
      </c>
      <c r="C793" t="str">
        <f t="shared" si="75"/>
        <v xml:space="preserve">1F468 1F3FC 200D 2764 200D 1F468 1F3FF </v>
      </c>
      <c r="D793">
        <f t="shared" si="76"/>
        <v>39</v>
      </c>
      <c r="E793" t="str">
        <f t="shared" si="72"/>
        <v xml:space="preserve"> 👨🏼‍❤‍👨🏿 E13.1 couple with heart: man, man, medium-light skin tone, dark skin tone</v>
      </c>
      <c r="F793" t="b">
        <f t="shared" si="77"/>
        <v>1</v>
      </c>
      <c r="G793" t="str">
        <f t="shared" si="73"/>
        <v>1F468</v>
      </c>
      <c r="I793">
        <f>HEX2DEC(Table1[[#This Row],[utf8]])</f>
        <v>128104</v>
      </c>
      <c r="J793" t="str">
        <f>_xlfn.UNICHAR(HEX2DEC(Table1[[#This Row],[utf8]]))</f>
        <v>👨</v>
      </c>
      <c r="K793" s="3" t="str" cm="1">
        <f t="array" ref="K793">"Case "&amp;wRandomLetter()&amp;wRandomLetter()&amp;I793&amp;":    UniConst = ChrW(" &amp; I793 &amp;")"</f>
        <v>Case Uf128104:    UniConst = ChrW(128104)</v>
      </c>
    </row>
    <row r="794" spans="1:11" hidden="1">
      <c r="A794" t="s">
        <v>2778</v>
      </c>
      <c r="B794" t="str">
        <f t="shared" si="74"/>
        <v>1F468 1F3FC 200D 2764 200D 1F48B 200D 1F468 1F3FB ; minimally-qualified # 👨🏼‍❤‍💋‍👨🏻 E13.1 kiss: man, man, medium-light skin tone, light skin tone</v>
      </c>
      <c r="C794" t="str">
        <f t="shared" si="75"/>
        <v xml:space="preserve">1F468 1F3FC 200D 2764 200D 1F48B 200D 1F468 1F3FB </v>
      </c>
      <c r="D794">
        <f t="shared" si="76"/>
        <v>50</v>
      </c>
      <c r="E794" t="str">
        <f t="shared" si="72"/>
        <v xml:space="preserve"> 👨🏼‍❤‍💋‍👨🏻 E13.1 kiss: man, man, medium-light skin tone, light skin tone</v>
      </c>
      <c r="F794" t="b">
        <f t="shared" si="77"/>
        <v>1</v>
      </c>
      <c r="G794" t="str">
        <f t="shared" si="73"/>
        <v>1F468</v>
      </c>
      <c r="I794">
        <f>HEX2DEC(Table1[[#This Row],[utf8]])</f>
        <v>128104</v>
      </c>
      <c r="J794" t="str">
        <f>_xlfn.UNICHAR(HEX2DEC(Table1[[#This Row],[utf8]]))</f>
        <v>👨</v>
      </c>
      <c r="K794" s="3" t="str" cm="1">
        <f t="array" ref="K794">"Case "&amp;wRandomLetter()&amp;wRandomLetter()&amp;I794&amp;":    UniConst = ChrW(" &amp; I794 &amp;")"</f>
        <v>Case TO128104:    UniConst = ChrW(128104)</v>
      </c>
    </row>
    <row r="795" spans="1:11" hidden="1">
      <c r="A795" t="s">
        <v>2780</v>
      </c>
      <c r="B795" t="str">
        <f t="shared" si="74"/>
        <v>1F468 1F3FC 200D 2764 200D 1F48B 200D 1F468 1F3FC ; minimally-qualified # 👨🏼‍❤‍💋‍👨🏼 E13.1 kiss: man, man, medium-light skin tone</v>
      </c>
      <c r="C795" t="str">
        <f t="shared" si="75"/>
        <v xml:space="preserve">1F468 1F3FC 200D 2764 200D 1F48B 200D 1F468 1F3FC </v>
      </c>
      <c r="D795">
        <f t="shared" si="76"/>
        <v>50</v>
      </c>
      <c r="E795" t="str">
        <f t="shared" si="72"/>
        <v xml:space="preserve"> 👨🏼‍❤‍💋‍👨🏼 E13.1 kiss: man, man, medium-light skin tone</v>
      </c>
      <c r="F795" t="b">
        <f t="shared" si="77"/>
        <v>1</v>
      </c>
      <c r="G795" t="str">
        <f t="shared" si="73"/>
        <v>1F468</v>
      </c>
      <c r="I795">
        <f>HEX2DEC(Table1[[#This Row],[utf8]])</f>
        <v>128104</v>
      </c>
      <c r="J795" t="str">
        <f>_xlfn.UNICHAR(HEX2DEC(Table1[[#This Row],[utf8]]))</f>
        <v>👨</v>
      </c>
      <c r="K795" s="3" t="str" cm="1">
        <f t="array" ref="K795">"Case "&amp;wRandomLetter()&amp;wRandomLetter()&amp;I795&amp;":    UniConst = ChrW(" &amp; I795 &amp;")"</f>
        <v>Case bp128104:    UniConst = ChrW(128104)</v>
      </c>
    </row>
    <row r="796" spans="1:11" hidden="1">
      <c r="A796" t="s">
        <v>2782</v>
      </c>
      <c r="B796" t="str">
        <f t="shared" si="74"/>
        <v>1F468 1F3FC 200D 2764 200D 1F48B 200D 1F468 1F3FD ; minimally-qualified # 👨🏼‍❤‍💋‍👨🏽 E13.1 kiss: man, man, medium-light skin tone, medium skin tone</v>
      </c>
      <c r="C796" t="str">
        <f t="shared" si="75"/>
        <v xml:space="preserve">1F468 1F3FC 200D 2764 200D 1F48B 200D 1F468 1F3FD </v>
      </c>
      <c r="D796">
        <f t="shared" si="76"/>
        <v>50</v>
      </c>
      <c r="E796" t="str">
        <f t="shared" si="72"/>
        <v xml:space="preserve"> 👨🏼‍❤‍💋‍👨🏽 E13.1 kiss: man, man, medium-light skin tone, medium skin tone</v>
      </c>
      <c r="F796" t="b">
        <f t="shared" si="77"/>
        <v>1</v>
      </c>
      <c r="G796" t="str">
        <f t="shared" si="73"/>
        <v>1F468</v>
      </c>
      <c r="I796">
        <f>HEX2DEC(Table1[[#This Row],[utf8]])</f>
        <v>128104</v>
      </c>
      <c r="J796" t="str">
        <f>_xlfn.UNICHAR(HEX2DEC(Table1[[#This Row],[utf8]]))</f>
        <v>👨</v>
      </c>
      <c r="K796" s="3" t="str" cm="1">
        <f t="array" ref="K796">"Case "&amp;wRandomLetter()&amp;wRandomLetter()&amp;I796&amp;":    UniConst = ChrW(" &amp; I796 &amp;")"</f>
        <v>Case sh128104:    UniConst = ChrW(128104)</v>
      </c>
    </row>
    <row r="797" spans="1:11" hidden="1">
      <c r="A797" t="s">
        <v>2784</v>
      </c>
      <c r="B797" t="str">
        <f t="shared" si="74"/>
        <v>1F468 1F3FC 200D 2764 200D 1F48B 200D 1F468 1F3FE ; minimally-qualified # 👨🏼‍❤‍💋‍👨🏾 E13.1 kiss: man, man, medium-light skin tone, medium-dark skin tone</v>
      </c>
      <c r="C797" t="str">
        <f t="shared" si="75"/>
        <v xml:space="preserve">1F468 1F3FC 200D 2764 200D 1F48B 200D 1F468 1F3FE </v>
      </c>
      <c r="D797">
        <f t="shared" si="76"/>
        <v>50</v>
      </c>
      <c r="E797" t="str">
        <f t="shared" si="72"/>
        <v xml:space="preserve"> 👨🏼‍❤‍💋‍👨🏾 E13.1 kiss: man, man, medium-light skin tone, medium-dark skin tone</v>
      </c>
      <c r="F797" t="b">
        <f t="shared" si="77"/>
        <v>1</v>
      </c>
      <c r="G797" t="str">
        <f t="shared" si="73"/>
        <v>1F468</v>
      </c>
      <c r="I797">
        <f>HEX2DEC(Table1[[#This Row],[utf8]])</f>
        <v>128104</v>
      </c>
      <c r="J797" t="str">
        <f>_xlfn.UNICHAR(HEX2DEC(Table1[[#This Row],[utf8]]))</f>
        <v>👨</v>
      </c>
      <c r="K797" s="3" t="str" cm="1">
        <f t="array" ref="K797">"Case "&amp;wRandomLetter()&amp;wRandomLetter()&amp;I797&amp;":    UniConst = ChrW(" &amp; I797 &amp;")"</f>
        <v>Case oq128104:    UniConst = ChrW(128104)</v>
      </c>
    </row>
    <row r="798" spans="1:11" hidden="1">
      <c r="A798" t="s">
        <v>2786</v>
      </c>
      <c r="B798" t="str">
        <f t="shared" si="74"/>
        <v>1F468 1F3FC 200D 2764 200D 1F48B 200D 1F468 1F3FF ; minimally-qualified # 👨🏼‍❤‍💋‍👨🏿 E13.1 kiss: man, man, medium-light skin tone, dark skin tone</v>
      </c>
      <c r="C798" t="str">
        <f t="shared" si="75"/>
        <v xml:space="preserve">1F468 1F3FC 200D 2764 200D 1F48B 200D 1F468 1F3FF </v>
      </c>
      <c r="D798">
        <f t="shared" si="76"/>
        <v>50</v>
      </c>
      <c r="E798" t="str">
        <f t="shared" si="72"/>
        <v xml:space="preserve"> 👨🏼‍❤‍💋‍👨🏿 E13.1 kiss: man, man, medium-light skin tone, dark skin tone</v>
      </c>
      <c r="F798" t="b">
        <f t="shared" si="77"/>
        <v>1</v>
      </c>
      <c r="G798" t="str">
        <f t="shared" si="73"/>
        <v>1F468</v>
      </c>
      <c r="I798">
        <f>HEX2DEC(Table1[[#This Row],[utf8]])</f>
        <v>128104</v>
      </c>
      <c r="J798" t="str">
        <f>_xlfn.UNICHAR(HEX2DEC(Table1[[#This Row],[utf8]]))</f>
        <v>👨</v>
      </c>
      <c r="K798" s="3" t="str" cm="1">
        <f t="array" ref="K798">"Case "&amp;wRandomLetter()&amp;wRandomLetter()&amp;I798&amp;":    UniConst = ChrW(" &amp; I798 &amp;")"</f>
        <v>Case Ip128104:    UniConst = ChrW(128104)</v>
      </c>
    </row>
    <row r="799" spans="1:11" hidden="1">
      <c r="A799" t="s">
        <v>2979</v>
      </c>
      <c r="B799" t="str">
        <f t="shared" si="74"/>
        <v>1F468 1F3FC 200D 2764 FE0F 200D 1F468 1F3FB ; fully-qualified # 👨🏼‍❤️‍👨🏻 E13.1 couple with heart: man, man, medium-light skin tone, light skin tone</v>
      </c>
      <c r="C799" t="str">
        <f t="shared" si="75"/>
        <v xml:space="preserve">1F468 1F3FC 200D 2764 FE0F 200D 1F468 1F3FB </v>
      </c>
      <c r="D799">
        <f t="shared" si="76"/>
        <v>44</v>
      </c>
      <c r="E799" t="str">
        <f t="shared" si="72"/>
        <v xml:space="preserve"> 👨🏼‍❤️‍👨🏻 E13.1 couple with heart: man, man, medium-light skin tone, light skin tone</v>
      </c>
      <c r="F799" t="b">
        <f t="shared" si="77"/>
        <v>1</v>
      </c>
      <c r="G799" t="str">
        <f t="shared" si="73"/>
        <v>1F468</v>
      </c>
      <c r="I799">
        <f>HEX2DEC(Table1[[#This Row],[utf8]])</f>
        <v>128104</v>
      </c>
      <c r="J799" t="str">
        <f>_xlfn.UNICHAR(HEX2DEC(Table1[[#This Row],[utf8]]))</f>
        <v>👨</v>
      </c>
      <c r="K799" s="3" t="str" cm="1">
        <f t="array" ref="K799">"Case "&amp;wRandomLetter()&amp;wRandomLetter()&amp;I799&amp;":    UniConst = ChrW(" &amp; I799 &amp;")"</f>
        <v>Case DU128104:    UniConst = ChrW(128104)</v>
      </c>
    </row>
    <row r="800" spans="1:11" hidden="1">
      <c r="A800" t="s">
        <v>2981</v>
      </c>
      <c r="B800" t="str">
        <f t="shared" si="74"/>
        <v>1F468 1F3FC 200D 2764 FE0F 200D 1F468 1F3FC ; fully-qualified # 👨🏼‍❤️‍👨🏼 E13.1 couple with heart: man, man, medium-light skin tone</v>
      </c>
      <c r="C800" t="str">
        <f t="shared" si="75"/>
        <v xml:space="preserve">1F468 1F3FC 200D 2764 FE0F 200D 1F468 1F3FC </v>
      </c>
      <c r="D800">
        <f t="shared" si="76"/>
        <v>44</v>
      </c>
      <c r="E800" t="str">
        <f t="shared" si="72"/>
        <v xml:space="preserve"> 👨🏼‍❤️‍👨🏼 E13.1 couple with heart: man, man, medium-light skin tone</v>
      </c>
      <c r="F800" t="b">
        <f t="shared" si="77"/>
        <v>1</v>
      </c>
      <c r="G800" t="str">
        <f t="shared" si="73"/>
        <v>1F468</v>
      </c>
      <c r="I800">
        <f>HEX2DEC(Table1[[#This Row],[utf8]])</f>
        <v>128104</v>
      </c>
      <c r="J800" t="str">
        <f>_xlfn.UNICHAR(HEX2DEC(Table1[[#This Row],[utf8]]))</f>
        <v>👨</v>
      </c>
      <c r="K800" s="3" t="str" cm="1">
        <f t="array" ref="K800">"Case "&amp;wRandomLetter()&amp;wRandomLetter()&amp;I800&amp;":    UniConst = ChrW(" &amp; I800 &amp;")"</f>
        <v>Case mj128104:    UniConst = ChrW(128104)</v>
      </c>
    </row>
    <row r="801" spans="1:11" hidden="1">
      <c r="A801" t="s">
        <v>2983</v>
      </c>
      <c r="B801" t="str">
        <f t="shared" si="74"/>
        <v>1F468 1F3FC 200D 2764 FE0F 200D 1F468 1F3FD ; fully-qualified # 👨🏼‍❤️‍👨🏽 E13.1 couple with heart: man, man, medium-light skin tone, medium skin tone</v>
      </c>
      <c r="C801" t="str">
        <f t="shared" si="75"/>
        <v xml:space="preserve">1F468 1F3FC 200D 2764 FE0F 200D 1F468 1F3FD </v>
      </c>
      <c r="D801">
        <f t="shared" si="76"/>
        <v>44</v>
      </c>
      <c r="E801" t="str">
        <f t="shared" si="72"/>
        <v xml:space="preserve"> 👨🏼‍❤️‍👨🏽 E13.1 couple with heart: man, man, medium-light skin tone, medium skin tone</v>
      </c>
      <c r="F801" t="b">
        <f t="shared" si="77"/>
        <v>1</v>
      </c>
      <c r="G801" t="str">
        <f t="shared" si="73"/>
        <v>1F468</v>
      </c>
      <c r="I801">
        <f>HEX2DEC(Table1[[#This Row],[utf8]])</f>
        <v>128104</v>
      </c>
      <c r="J801" t="str">
        <f>_xlfn.UNICHAR(HEX2DEC(Table1[[#This Row],[utf8]]))</f>
        <v>👨</v>
      </c>
      <c r="K801" s="3" t="str" cm="1">
        <f t="array" ref="K801">"Case "&amp;wRandomLetter()&amp;wRandomLetter()&amp;I801&amp;":    UniConst = ChrW(" &amp; I801 &amp;")"</f>
        <v>Case fR128104:    UniConst = ChrW(128104)</v>
      </c>
    </row>
    <row r="802" spans="1:11" hidden="1">
      <c r="A802" t="s">
        <v>2985</v>
      </c>
      <c r="B802" t="str">
        <f t="shared" si="74"/>
        <v>1F468 1F3FC 200D 2764 FE0F 200D 1F468 1F3FE ; fully-qualified # 👨🏼‍❤️‍👨🏾 E13.1 couple with heart: man, man, medium-light skin tone, medium-dark skin tone</v>
      </c>
      <c r="C802" t="str">
        <f t="shared" si="75"/>
        <v xml:space="preserve">1F468 1F3FC 200D 2764 FE0F 200D 1F468 1F3FE </v>
      </c>
      <c r="D802">
        <f t="shared" si="76"/>
        <v>44</v>
      </c>
      <c r="E802" t="str">
        <f t="shared" si="72"/>
        <v xml:space="preserve"> 👨🏼‍❤️‍👨🏾 E13.1 couple with heart: man, man, medium-light skin tone, medium-dark skin tone</v>
      </c>
      <c r="F802" t="b">
        <f t="shared" si="77"/>
        <v>1</v>
      </c>
      <c r="G802" t="str">
        <f t="shared" si="73"/>
        <v>1F468</v>
      </c>
      <c r="I802">
        <f>HEX2DEC(Table1[[#This Row],[utf8]])</f>
        <v>128104</v>
      </c>
      <c r="J802" t="str">
        <f>_xlfn.UNICHAR(HEX2DEC(Table1[[#This Row],[utf8]]))</f>
        <v>👨</v>
      </c>
      <c r="K802" s="3" t="str" cm="1">
        <f t="array" ref="K802">"Case "&amp;wRandomLetter()&amp;wRandomLetter()&amp;I802&amp;":    UniConst = ChrW(" &amp; I802 &amp;")"</f>
        <v>Case to128104:    UniConst = ChrW(128104)</v>
      </c>
    </row>
    <row r="803" spans="1:11" hidden="1">
      <c r="A803" t="s">
        <v>2987</v>
      </c>
      <c r="B803" t="str">
        <f t="shared" si="74"/>
        <v>1F468 1F3FC 200D 2764 FE0F 200D 1F468 1F3FF ; fully-qualified # 👨🏼‍❤️‍👨🏿 E13.1 couple with heart: man, man, medium-light skin tone, dark skin tone</v>
      </c>
      <c r="C803" t="str">
        <f t="shared" si="75"/>
        <v xml:space="preserve">1F468 1F3FC 200D 2764 FE0F 200D 1F468 1F3FF </v>
      </c>
      <c r="D803">
        <f t="shared" si="76"/>
        <v>44</v>
      </c>
      <c r="E803" t="str">
        <f t="shared" si="72"/>
        <v xml:space="preserve"> 👨🏼‍❤️‍👨🏿 E13.1 couple with heart: man, man, medium-light skin tone, dark skin tone</v>
      </c>
      <c r="F803" t="b">
        <f t="shared" si="77"/>
        <v>1</v>
      </c>
      <c r="G803" t="str">
        <f t="shared" si="73"/>
        <v>1F468</v>
      </c>
      <c r="I803">
        <f>HEX2DEC(Table1[[#This Row],[utf8]])</f>
        <v>128104</v>
      </c>
      <c r="J803" t="str">
        <f>_xlfn.UNICHAR(HEX2DEC(Table1[[#This Row],[utf8]]))</f>
        <v>👨</v>
      </c>
      <c r="K803" s="3" t="str" cm="1">
        <f t="array" ref="K803">"Case "&amp;wRandomLetter()&amp;wRandomLetter()&amp;I803&amp;":    UniConst = ChrW(" &amp; I803 &amp;")"</f>
        <v>Case cM128104:    UniConst = ChrW(128104)</v>
      </c>
    </row>
    <row r="804" spans="1:11" hidden="1">
      <c r="A804" t="s">
        <v>2777</v>
      </c>
      <c r="B804" t="str">
        <f t="shared" si="74"/>
        <v>1F468 1F3FC 200D 2764 FE0F 200D 1F48B 200D 1F468 1F3FB ; fully-qualified # 👨🏼‍❤️‍💋‍👨🏻 E13.1 kiss: man, man, medium-light skin tone, light skin tone</v>
      </c>
      <c r="C804" t="str">
        <f t="shared" si="75"/>
        <v xml:space="preserve">1F468 1F3FC 200D 2764 FE0F 200D 1F48B 200D 1F468 1F3FB </v>
      </c>
      <c r="D804">
        <f t="shared" si="76"/>
        <v>55</v>
      </c>
      <c r="E804" t="str">
        <f t="shared" si="72"/>
        <v xml:space="preserve"> 👨🏼‍❤️‍💋‍👨🏻 E13.1 kiss: man, man, medium-light skin tone, light skin tone</v>
      </c>
      <c r="F804" t="b">
        <f t="shared" si="77"/>
        <v>1</v>
      </c>
      <c r="G804" t="str">
        <f t="shared" si="73"/>
        <v>1F468</v>
      </c>
      <c r="I804">
        <f>HEX2DEC(Table1[[#This Row],[utf8]])</f>
        <v>128104</v>
      </c>
      <c r="J804" t="str">
        <f>_xlfn.UNICHAR(HEX2DEC(Table1[[#This Row],[utf8]]))</f>
        <v>👨</v>
      </c>
      <c r="K804" s="3" t="str" cm="1">
        <f t="array" ref="K804">"Case "&amp;wRandomLetter()&amp;wRandomLetter()&amp;I804&amp;":    UniConst = ChrW(" &amp; I804 &amp;")"</f>
        <v>Case pG128104:    UniConst = ChrW(128104)</v>
      </c>
    </row>
    <row r="805" spans="1:11" hidden="1">
      <c r="A805" t="s">
        <v>2779</v>
      </c>
      <c r="B805" t="str">
        <f t="shared" si="74"/>
        <v>1F468 1F3FC 200D 2764 FE0F 200D 1F48B 200D 1F468 1F3FC ; fully-qualified # 👨🏼‍❤️‍💋‍👨🏼 E13.1 kiss: man, man, medium-light skin tone</v>
      </c>
      <c r="C805" t="str">
        <f t="shared" si="75"/>
        <v xml:space="preserve">1F468 1F3FC 200D 2764 FE0F 200D 1F48B 200D 1F468 1F3FC </v>
      </c>
      <c r="D805">
        <f t="shared" si="76"/>
        <v>55</v>
      </c>
      <c r="E805" t="str">
        <f t="shared" si="72"/>
        <v xml:space="preserve"> 👨🏼‍❤️‍💋‍👨🏼 E13.1 kiss: man, man, medium-light skin tone</v>
      </c>
      <c r="F805" t="b">
        <f t="shared" si="77"/>
        <v>1</v>
      </c>
      <c r="G805" t="str">
        <f t="shared" si="73"/>
        <v>1F468</v>
      </c>
      <c r="I805">
        <f>HEX2DEC(Table1[[#This Row],[utf8]])</f>
        <v>128104</v>
      </c>
      <c r="J805" t="str">
        <f>_xlfn.UNICHAR(HEX2DEC(Table1[[#This Row],[utf8]]))</f>
        <v>👨</v>
      </c>
      <c r="K805" s="3" t="str" cm="1">
        <f t="array" ref="K805">"Case "&amp;wRandomLetter()&amp;wRandomLetter()&amp;I805&amp;":    UniConst = ChrW(" &amp; I805 &amp;")"</f>
        <v>Case Lw128104:    UniConst = ChrW(128104)</v>
      </c>
    </row>
    <row r="806" spans="1:11" hidden="1">
      <c r="A806" t="s">
        <v>2781</v>
      </c>
      <c r="B806" t="str">
        <f t="shared" si="74"/>
        <v>1F468 1F3FC 200D 2764 FE0F 200D 1F48B 200D 1F468 1F3FD ; fully-qualified # 👨🏼‍❤️‍💋‍👨🏽 E13.1 kiss: man, man, medium-light skin tone, medium skin tone</v>
      </c>
      <c r="C806" t="str">
        <f t="shared" si="75"/>
        <v xml:space="preserve">1F468 1F3FC 200D 2764 FE0F 200D 1F48B 200D 1F468 1F3FD </v>
      </c>
      <c r="D806">
        <f t="shared" si="76"/>
        <v>55</v>
      </c>
      <c r="E806" t="str">
        <f t="shared" si="72"/>
        <v xml:space="preserve"> 👨🏼‍❤️‍💋‍👨🏽 E13.1 kiss: man, man, medium-light skin tone, medium skin tone</v>
      </c>
      <c r="F806" t="b">
        <f t="shared" si="77"/>
        <v>1</v>
      </c>
      <c r="G806" t="str">
        <f t="shared" si="73"/>
        <v>1F468</v>
      </c>
      <c r="I806">
        <f>HEX2DEC(Table1[[#This Row],[utf8]])</f>
        <v>128104</v>
      </c>
      <c r="J806" t="str">
        <f>_xlfn.UNICHAR(HEX2DEC(Table1[[#This Row],[utf8]]))</f>
        <v>👨</v>
      </c>
      <c r="K806" s="3" t="str" cm="1">
        <f t="array" ref="K806">"Case "&amp;wRandomLetter()&amp;wRandomLetter()&amp;I806&amp;":    UniConst = ChrW(" &amp; I806 &amp;")"</f>
        <v>Case lA128104:    UniConst = ChrW(128104)</v>
      </c>
    </row>
    <row r="807" spans="1:11" hidden="1">
      <c r="A807" t="s">
        <v>2783</v>
      </c>
      <c r="B807" t="str">
        <f t="shared" si="74"/>
        <v>1F468 1F3FC 200D 2764 FE0F 200D 1F48B 200D 1F468 1F3FE ; fully-qualified # 👨🏼‍❤️‍💋‍👨🏾 E13.1 kiss: man, man, medium-light skin tone, medium-dark skin tone</v>
      </c>
      <c r="C807" t="str">
        <f t="shared" si="75"/>
        <v xml:space="preserve">1F468 1F3FC 200D 2764 FE0F 200D 1F48B 200D 1F468 1F3FE </v>
      </c>
      <c r="D807">
        <f t="shared" si="76"/>
        <v>55</v>
      </c>
      <c r="E807" t="str">
        <f t="shared" si="72"/>
        <v xml:space="preserve"> 👨🏼‍❤️‍💋‍👨🏾 E13.1 kiss: man, man, medium-light skin tone, medium-dark skin tone</v>
      </c>
      <c r="F807" t="b">
        <f t="shared" si="77"/>
        <v>1</v>
      </c>
      <c r="G807" t="str">
        <f t="shared" si="73"/>
        <v>1F468</v>
      </c>
      <c r="I807">
        <f>HEX2DEC(Table1[[#This Row],[utf8]])</f>
        <v>128104</v>
      </c>
      <c r="J807" t="str">
        <f>_xlfn.UNICHAR(HEX2DEC(Table1[[#This Row],[utf8]]))</f>
        <v>👨</v>
      </c>
      <c r="K807" s="3" t="str" cm="1">
        <f t="array" ref="K807">"Case "&amp;wRandomLetter()&amp;wRandomLetter()&amp;I807&amp;":    UniConst = ChrW(" &amp; I807 &amp;")"</f>
        <v>Case uq128104:    UniConst = ChrW(128104)</v>
      </c>
    </row>
    <row r="808" spans="1:11" hidden="1">
      <c r="A808" t="s">
        <v>2785</v>
      </c>
      <c r="B808" t="str">
        <f t="shared" si="74"/>
        <v>1F468 1F3FC 200D 2764 FE0F 200D 1F48B 200D 1F468 1F3FF ; fully-qualified # 👨🏼‍❤️‍💋‍👨🏿 E13.1 kiss: man, man, medium-light skin tone, dark skin tone</v>
      </c>
      <c r="C808" t="str">
        <f t="shared" si="75"/>
        <v xml:space="preserve">1F468 1F3FC 200D 2764 FE0F 200D 1F48B 200D 1F468 1F3FF </v>
      </c>
      <c r="D808">
        <f t="shared" si="76"/>
        <v>55</v>
      </c>
      <c r="E808" t="str">
        <f t="shared" si="72"/>
        <v xml:space="preserve"> 👨🏼‍❤️‍💋‍👨🏿 E13.1 kiss: man, man, medium-light skin tone, dark skin tone</v>
      </c>
      <c r="F808" t="b">
        <f t="shared" si="77"/>
        <v>1</v>
      </c>
      <c r="G808" t="str">
        <f t="shared" si="73"/>
        <v>1F468</v>
      </c>
      <c r="I808">
        <f>HEX2DEC(Table1[[#This Row],[utf8]])</f>
        <v>128104</v>
      </c>
      <c r="J808" t="str">
        <f>_xlfn.UNICHAR(HEX2DEC(Table1[[#This Row],[utf8]]))</f>
        <v>👨</v>
      </c>
      <c r="K808" s="3" t="str" cm="1">
        <f t="array" ref="K808">"Case "&amp;wRandomLetter()&amp;wRandomLetter()&amp;I808&amp;":    UniConst = ChrW(" &amp; I808 &amp;")"</f>
        <v>Case bn128104:    UniConst = ChrW(128104)</v>
      </c>
    </row>
    <row r="809" spans="1:11" hidden="1">
      <c r="A809" t="s">
        <v>487</v>
      </c>
      <c r="B809" t="str">
        <f t="shared" si="74"/>
        <v>1F468 1F3FD ; fully-qualified # 👨🏽 E1.0 man: medium skin tone</v>
      </c>
      <c r="C809" t="str">
        <f t="shared" si="75"/>
        <v xml:space="preserve">1F468 1F3FD </v>
      </c>
      <c r="D809">
        <f t="shared" si="76"/>
        <v>12</v>
      </c>
      <c r="E809" t="str">
        <f t="shared" si="72"/>
        <v xml:space="preserve"> 👨🏽 E1.0 man: medium skin tone</v>
      </c>
      <c r="F809" t="b">
        <f t="shared" si="77"/>
        <v>1</v>
      </c>
      <c r="G809" t="str">
        <f t="shared" si="73"/>
        <v>1F468</v>
      </c>
      <c r="I809">
        <f>HEX2DEC(Table1[[#This Row],[utf8]])</f>
        <v>128104</v>
      </c>
      <c r="J809" t="str">
        <f>_xlfn.UNICHAR(HEX2DEC(Table1[[#This Row],[utf8]]))</f>
        <v>👨</v>
      </c>
      <c r="K809" s="3" t="str" cm="1">
        <f t="array" ref="K809">"Case "&amp;wRandomLetter()&amp;wRandomLetter()&amp;I809&amp;":    UniConst = ChrW(" &amp; I809 &amp;")"</f>
        <v>Case Zw128104:    UniConst = ChrW(128104)</v>
      </c>
    </row>
    <row r="810" spans="1:11" hidden="1">
      <c r="A810" t="s">
        <v>1059</v>
      </c>
      <c r="B810" t="str">
        <f t="shared" si="74"/>
        <v>1F468 1F3FD 200D 1F33E ; fully-qualified # 👨🏽‍🌾 E4.0 man farmer: medium skin tone</v>
      </c>
      <c r="C810" t="str">
        <f t="shared" si="75"/>
        <v xml:space="preserve">1F468 1F3FD 200D 1F33E </v>
      </c>
      <c r="D810">
        <f t="shared" si="76"/>
        <v>23</v>
      </c>
      <c r="E810" t="str">
        <f t="shared" si="72"/>
        <v xml:space="preserve"> 👨🏽‍🌾 E4.0 man farmer: medium skin tone</v>
      </c>
      <c r="F810" t="b">
        <f t="shared" si="77"/>
        <v>1</v>
      </c>
      <c r="G810" t="str">
        <f t="shared" si="73"/>
        <v>1F468</v>
      </c>
      <c r="I810">
        <f>HEX2DEC(Table1[[#This Row],[utf8]])</f>
        <v>128104</v>
      </c>
      <c r="J810" t="str">
        <f>_xlfn.UNICHAR(HEX2DEC(Table1[[#This Row],[utf8]]))</f>
        <v>👨</v>
      </c>
      <c r="K810" s="3" t="str" cm="1">
        <f t="array" ref="K810">"Case "&amp;wRandomLetter()&amp;wRandomLetter()&amp;I810&amp;":    UniConst = ChrW(" &amp; I810 &amp;")"</f>
        <v>Case Kk128104:    UniConst = ChrW(128104)</v>
      </c>
    </row>
    <row r="811" spans="1:11" hidden="1">
      <c r="A811" t="s">
        <v>1077</v>
      </c>
      <c r="B811" t="str">
        <f t="shared" si="74"/>
        <v>1F468 1F3FD 200D 1F373 ; fully-qualified # 👨🏽‍🍳 E4.0 man cook: medium skin tone</v>
      </c>
      <c r="C811" t="str">
        <f t="shared" si="75"/>
        <v xml:space="preserve">1F468 1F3FD 200D 1F373 </v>
      </c>
      <c r="D811">
        <f t="shared" si="76"/>
        <v>23</v>
      </c>
      <c r="E811" t="str">
        <f t="shared" si="72"/>
        <v xml:space="preserve"> 👨🏽‍🍳 E4.0 man cook: medium skin tone</v>
      </c>
      <c r="F811" t="b">
        <f t="shared" si="77"/>
        <v>1</v>
      </c>
      <c r="G811" t="str">
        <f t="shared" si="73"/>
        <v>1F468</v>
      </c>
      <c r="I811">
        <f>HEX2DEC(Table1[[#This Row],[utf8]])</f>
        <v>128104</v>
      </c>
      <c r="J811" t="str">
        <f>_xlfn.UNICHAR(HEX2DEC(Table1[[#This Row],[utf8]]))</f>
        <v>👨</v>
      </c>
      <c r="K811" s="3" t="str" cm="1">
        <f t="array" ref="K811">"Case "&amp;wRandomLetter()&amp;wRandomLetter()&amp;I811&amp;":    UniConst = ChrW(" &amp; I811 &amp;")"</f>
        <v>Case aH128104:    UniConst = ChrW(128104)</v>
      </c>
    </row>
    <row r="812" spans="1:11" hidden="1">
      <c r="A812" t="s">
        <v>1550</v>
      </c>
      <c r="B812" t="str">
        <f t="shared" si="74"/>
        <v>1F468 1F3FD 200D 1F37C ; fully-qualified # 👨🏽‍🍼 E13.0 man feeding baby: medium skin tone</v>
      </c>
      <c r="C812" t="str">
        <f t="shared" si="75"/>
        <v xml:space="preserve">1F468 1F3FD 200D 1F37C </v>
      </c>
      <c r="D812">
        <f t="shared" si="76"/>
        <v>23</v>
      </c>
      <c r="E812" t="str">
        <f t="shared" si="72"/>
        <v xml:space="preserve"> 👨🏽‍🍼 E13.0 man feeding baby: medium skin tone</v>
      </c>
      <c r="F812" t="b">
        <f t="shared" si="77"/>
        <v>1</v>
      </c>
      <c r="G812" t="str">
        <f t="shared" si="73"/>
        <v>1F468</v>
      </c>
      <c r="I812">
        <f>HEX2DEC(Table1[[#This Row],[utf8]])</f>
        <v>128104</v>
      </c>
      <c r="J812" t="str">
        <f>_xlfn.UNICHAR(HEX2DEC(Table1[[#This Row],[utf8]]))</f>
        <v>👨</v>
      </c>
      <c r="K812" s="3" t="str" cm="1">
        <f t="array" ref="K812">"Case "&amp;wRandomLetter()&amp;wRandomLetter()&amp;I812&amp;":    UniConst = ChrW(" &amp; I812 &amp;")"</f>
        <v>Case lk128104:    UniConst = ChrW(128104)</v>
      </c>
    </row>
    <row r="813" spans="1:11" hidden="1">
      <c r="A813" t="s">
        <v>987</v>
      </c>
      <c r="B813" t="str">
        <f t="shared" si="74"/>
        <v>1F468 1F3FD 200D 1F393 ; fully-qualified # 👨🏽‍🎓 E4.0 man student: medium skin tone</v>
      </c>
      <c r="C813" t="str">
        <f t="shared" si="75"/>
        <v xml:space="preserve">1F468 1F3FD 200D 1F393 </v>
      </c>
      <c r="D813">
        <f t="shared" si="76"/>
        <v>23</v>
      </c>
      <c r="E813" t="str">
        <f t="shared" si="72"/>
        <v xml:space="preserve"> 👨🏽‍🎓 E4.0 man student: medium skin tone</v>
      </c>
      <c r="F813" t="b">
        <f t="shared" si="77"/>
        <v>1</v>
      </c>
      <c r="G813" t="str">
        <f t="shared" si="73"/>
        <v>1F468</v>
      </c>
      <c r="I813">
        <f>HEX2DEC(Table1[[#This Row],[utf8]])</f>
        <v>128104</v>
      </c>
      <c r="J813" t="str">
        <f>_xlfn.UNICHAR(HEX2DEC(Table1[[#This Row],[utf8]]))</f>
        <v>👨</v>
      </c>
      <c r="K813" s="3" t="str" cm="1">
        <f t="array" ref="K813">"Case "&amp;wRandomLetter()&amp;wRandomLetter()&amp;I813&amp;":    UniConst = ChrW(" &amp; I813 &amp;")"</f>
        <v>Case NR128104:    UniConst = ChrW(128104)</v>
      </c>
    </row>
    <row r="814" spans="1:11" hidden="1">
      <c r="A814" t="s">
        <v>1185</v>
      </c>
      <c r="B814" t="str">
        <f t="shared" si="74"/>
        <v>1F468 1F3FD 200D 1F3A4 ; fully-qualified # 👨🏽‍🎤 E4.0 man singer: medium skin tone</v>
      </c>
      <c r="C814" t="str">
        <f t="shared" si="75"/>
        <v xml:space="preserve">1F468 1F3FD 200D 1F3A4 </v>
      </c>
      <c r="D814">
        <f t="shared" si="76"/>
        <v>23</v>
      </c>
      <c r="E814" t="str">
        <f t="shared" si="72"/>
        <v xml:space="preserve"> 👨🏽‍🎤 E4.0 man singer: medium skin tone</v>
      </c>
      <c r="F814" t="b">
        <f t="shared" si="77"/>
        <v>1</v>
      </c>
      <c r="G814" t="str">
        <f t="shared" si="73"/>
        <v>1F468</v>
      </c>
      <c r="I814">
        <f>HEX2DEC(Table1[[#This Row],[utf8]])</f>
        <v>128104</v>
      </c>
      <c r="J814" t="str">
        <f>_xlfn.UNICHAR(HEX2DEC(Table1[[#This Row],[utf8]]))</f>
        <v>👨</v>
      </c>
      <c r="K814" s="3" t="str" cm="1">
        <f t="array" ref="K814">"Case "&amp;wRandomLetter()&amp;wRandomLetter()&amp;I814&amp;":    UniConst = ChrW(" &amp; I814 &amp;")"</f>
        <v>Case jr128104:    UniConst = ChrW(128104)</v>
      </c>
    </row>
    <row r="815" spans="1:11" hidden="1">
      <c r="A815" t="s">
        <v>1203</v>
      </c>
      <c r="B815" t="str">
        <f t="shared" si="74"/>
        <v>1F468 1F3FD 200D 1F3A8 ; fully-qualified # 👨🏽‍🎨 E4.0 man artist: medium skin tone</v>
      </c>
      <c r="C815" t="str">
        <f t="shared" si="75"/>
        <v xml:space="preserve">1F468 1F3FD 200D 1F3A8 </v>
      </c>
      <c r="D815">
        <f t="shared" si="76"/>
        <v>23</v>
      </c>
      <c r="E815" t="str">
        <f t="shared" si="72"/>
        <v xml:space="preserve"> 👨🏽‍🎨 E4.0 man artist: medium skin tone</v>
      </c>
      <c r="F815" t="b">
        <f t="shared" si="77"/>
        <v>1</v>
      </c>
      <c r="G815" t="str">
        <f t="shared" si="73"/>
        <v>1F468</v>
      </c>
      <c r="I815">
        <f>HEX2DEC(Table1[[#This Row],[utf8]])</f>
        <v>128104</v>
      </c>
      <c r="J815" t="str">
        <f>_xlfn.UNICHAR(HEX2DEC(Table1[[#This Row],[utf8]]))</f>
        <v>👨</v>
      </c>
      <c r="K815" s="3" t="str" cm="1">
        <f t="array" ref="K815">"Case "&amp;wRandomLetter()&amp;wRandomLetter()&amp;I815&amp;":    UniConst = ChrW(" &amp; I815 &amp;")"</f>
        <v>Case Vd128104:    UniConst = ChrW(128104)</v>
      </c>
    </row>
    <row r="816" spans="1:11" hidden="1">
      <c r="A816" t="s">
        <v>1005</v>
      </c>
      <c r="B816" t="str">
        <f t="shared" si="74"/>
        <v>1F468 1F3FD 200D 1F3EB ; fully-qualified # 👨🏽‍🏫 E4.0 man teacher: medium skin tone</v>
      </c>
      <c r="C816" t="str">
        <f t="shared" si="75"/>
        <v xml:space="preserve">1F468 1F3FD 200D 1F3EB </v>
      </c>
      <c r="D816">
        <f t="shared" si="76"/>
        <v>23</v>
      </c>
      <c r="E816" t="str">
        <f t="shared" si="72"/>
        <v xml:space="preserve"> 👨🏽‍🏫 E4.0 man teacher: medium skin tone</v>
      </c>
      <c r="F816" t="b">
        <f t="shared" si="77"/>
        <v>1</v>
      </c>
      <c r="G816" t="str">
        <f t="shared" si="73"/>
        <v>1F468</v>
      </c>
      <c r="I816">
        <f>HEX2DEC(Table1[[#This Row],[utf8]])</f>
        <v>128104</v>
      </c>
      <c r="J816" t="str">
        <f>_xlfn.UNICHAR(HEX2DEC(Table1[[#This Row],[utf8]]))</f>
        <v>👨</v>
      </c>
      <c r="K816" s="3" t="str" cm="1">
        <f t="array" ref="K816">"Case "&amp;wRandomLetter()&amp;wRandomLetter()&amp;I816&amp;":    UniConst = ChrW(" &amp; I816 &amp;")"</f>
        <v>Case vB128104:    UniConst = ChrW(128104)</v>
      </c>
    </row>
    <row r="817" spans="1:11" hidden="1">
      <c r="A817" t="s">
        <v>1113</v>
      </c>
      <c r="B817" t="str">
        <f t="shared" si="74"/>
        <v>1F468 1F3FD 200D 1F3ED ; fully-qualified # 👨🏽‍🏭 E4.0 man factory worker: medium skin tone</v>
      </c>
      <c r="C817" t="str">
        <f t="shared" si="75"/>
        <v xml:space="preserve">1F468 1F3FD 200D 1F3ED </v>
      </c>
      <c r="D817">
        <f t="shared" si="76"/>
        <v>23</v>
      </c>
      <c r="E817" t="str">
        <f t="shared" si="72"/>
        <v xml:space="preserve"> 👨🏽‍🏭 E4.0 man factory worker: medium skin tone</v>
      </c>
      <c r="F817" t="b">
        <f t="shared" si="77"/>
        <v>1</v>
      </c>
      <c r="G817" t="str">
        <f t="shared" si="73"/>
        <v>1F468</v>
      </c>
      <c r="I817">
        <f>HEX2DEC(Table1[[#This Row],[utf8]])</f>
        <v>128104</v>
      </c>
      <c r="J817" t="str">
        <f>_xlfn.UNICHAR(HEX2DEC(Table1[[#This Row],[utf8]]))</f>
        <v>👨</v>
      </c>
      <c r="K817" s="3" t="str" cm="1">
        <f t="array" ref="K817">"Case "&amp;wRandomLetter()&amp;wRandomLetter()&amp;I817&amp;":    UniConst = ChrW(" &amp; I817 &amp;")"</f>
        <v>Case ba128104:    UniConst = ChrW(128104)</v>
      </c>
    </row>
    <row r="818" spans="1:11" hidden="1">
      <c r="A818" t="s">
        <v>1167</v>
      </c>
      <c r="B818" t="str">
        <f t="shared" si="74"/>
        <v>1F468 1F3FD 200D 1F4BB ; fully-qualified # 👨🏽‍💻 E4.0 man technologist: medium skin tone</v>
      </c>
      <c r="C818" t="str">
        <f t="shared" si="75"/>
        <v xml:space="preserve">1F468 1F3FD 200D 1F4BB </v>
      </c>
      <c r="D818">
        <f t="shared" si="76"/>
        <v>23</v>
      </c>
      <c r="E818" t="str">
        <f t="shared" si="72"/>
        <v xml:space="preserve"> 👨🏽‍💻 E4.0 man technologist: medium skin tone</v>
      </c>
      <c r="F818" t="b">
        <f t="shared" si="77"/>
        <v>1</v>
      </c>
      <c r="G818" t="str">
        <f t="shared" si="73"/>
        <v>1F468</v>
      </c>
      <c r="I818">
        <f>HEX2DEC(Table1[[#This Row],[utf8]])</f>
        <v>128104</v>
      </c>
      <c r="J818" t="str">
        <f>_xlfn.UNICHAR(HEX2DEC(Table1[[#This Row],[utf8]]))</f>
        <v>👨</v>
      </c>
      <c r="K818" s="3" t="str" cm="1">
        <f t="array" ref="K818">"Case "&amp;wRandomLetter()&amp;wRandomLetter()&amp;I818&amp;":    UniConst = ChrW(" &amp; I818 &amp;")"</f>
        <v>Case Me128104:    UniConst = ChrW(128104)</v>
      </c>
    </row>
    <row r="819" spans="1:11" hidden="1">
      <c r="A819" t="s">
        <v>1131</v>
      </c>
      <c r="B819" t="str">
        <f t="shared" si="74"/>
        <v>1F468 1F3FD 200D 1F4BC ; fully-qualified # 👨🏽‍💼 E4.0 man office worker: medium skin tone</v>
      </c>
      <c r="C819" t="str">
        <f t="shared" si="75"/>
        <v xml:space="preserve">1F468 1F3FD 200D 1F4BC </v>
      </c>
      <c r="D819">
        <f t="shared" si="76"/>
        <v>23</v>
      </c>
      <c r="E819" t="str">
        <f t="shared" si="72"/>
        <v xml:space="preserve"> 👨🏽‍💼 E4.0 man office worker: medium skin tone</v>
      </c>
      <c r="F819" t="b">
        <f t="shared" si="77"/>
        <v>1</v>
      </c>
      <c r="G819" t="str">
        <f t="shared" si="73"/>
        <v>1F468</v>
      </c>
      <c r="I819">
        <f>HEX2DEC(Table1[[#This Row],[utf8]])</f>
        <v>128104</v>
      </c>
      <c r="J819" t="str">
        <f>_xlfn.UNICHAR(HEX2DEC(Table1[[#This Row],[utf8]]))</f>
        <v>👨</v>
      </c>
      <c r="K819" s="3" t="str" cm="1">
        <f t="array" ref="K819">"Case "&amp;wRandomLetter()&amp;wRandomLetter()&amp;I819&amp;":    UniConst = ChrW(" &amp; I819 &amp;")"</f>
        <v>Case nw128104:    UniConst = ChrW(128104)</v>
      </c>
    </row>
    <row r="820" spans="1:11" hidden="1">
      <c r="A820" t="s">
        <v>1095</v>
      </c>
      <c r="B820" t="str">
        <f t="shared" si="74"/>
        <v>1F468 1F3FD 200D 1F527 ; fully-qualified # 👨🏽‍🔧 E4.0 man mechanic: medium skin tone</v>
      </c>
      <c r="C820" t="str">
        <f t="shared" si="75"/>
        <v xml:space="preserve">1F468 1F3FD 200D 1F527 </v>
      </c>
      <c r="D820">
        <f t="shared" si="76"/>
        <v>23</v>
      </c>
      <c r="E820" t="str">
        <f t="shared" si="72"/>
        <v xml:space="preserve"> 👨🏽‍🔧 E4.0 man mechanic: medium skin tone</v>
      </c>
      <c r="F820" t="b">
        <f t="shared" si="77"/>
        <v>1</v>
      </c>
      <c r="G820" t="str">
        <f t="shared" si="73"/>
        <v>1F468</v>
      </c>
      <c r="I820">
        <f>HEX2DEC(Table1[[#This Row],[utf8]])</f>
        <v>128104</v>
      </c>
      <c r="J820" t="str">
        <f>_xlfn.UNICHAR(HEX2DEC(Table1[[#This Row],[utf8]]))</f>
        <v>👨</v>
      </c>
      <c r="K820" s="3" t="str" cm="1">
        <f t="array" ref="K820">"Case "&amp;wRandomLetter()&amp;wRandomLetter()&amp;I820&amp;":    UniConst = ChrW(" &amp; I820 &amp;")"</f>
        <v>Case wL128104:    UniConst = ChrW(128104)</v>
      </c>
    </row>
    <row r="821" spans="1:11" hidden="1">
      <c r="A821" t="s">
        <v>1149</v>
      </c>
      <c r="B821" t="str">
        <f t="shared" si="74"/>
        <v>1F468 1F3FD 200D 1F52C ; fully-qualified # 👨🏽‍🔬 E4.0 man scientist: medium skin tone</v>
      </c>
      <c r="C821" t="str">
        <f t="shared" si="75"/>
        <v xml:space="preserve">1F468 1F3FD 200D 1F52C </v>
      </c>
      <c r="D821">
        <f t="shared" si="76"/>
        <v>23</v>
      </c>
      <c r="E821" t="str">
        <f t="shared" si="72"/>
        <v xml:space="preserve"> 👨🏽‍🔬 E4.0 man scientist: medium skin tone</v>
      </c>
      <c r="F821" t="b">
        <f t="shared" si="77"/>
        <v>1</v>
      </c>
      <c r="G821" t="str">
        <f t="shared" si="73"/>
        <v>1F468</v>
      </c>
      <c r="I821">
        <f>HEX2DEC(Table1[[#This Row],[utf8]])</f>
        <v>128104</v>
      </c>
      <c r="J821" t="str">
        <f>_xlfn.UNICHAR(HEX2DEC(Table1[[#This Row],[utf8]]))</f>
        <v>👨</v>
      </c>
      <c r="K821" s="3" t="str" cm="1">
        <f t="array" ref="K821">"Case "&amp;wRandomLetter()&amp;wRandomLetter()&amp;I821&amp;":    UniConst = ChrW(" &amp; I821 &amp;")"</f>
        <v>Case bn128104:    UniConst = ChrW(128104)</v>
      </c>
    </row>
    <row r="822" spans="1:11" hidden="1">
      <c r="A822" t="s">
        <v>1257</v>
      </c>
      <c r="B822" t="str">
        <f t="shared" si="74"/>
        <v>1F468 1F3FD 200D 1F680 ; fully-qualified # 👨🏽‍🚀 E4.0 man astronaut: medium skin tone</v>
      </c>
      <c r="C822" t="str">
        <f t="shared" si="75"/>
        <v xml:space="preserve">1F468 1F3FD 200D 1F680 </v>
      </c>
      <c r="D822">
        <f t="shared" si="76"/>
        <v>23</v>
      </c>
      <c r="E822" t="str">
        <f t="shared" si="72"/>
        <v xml:space="preserve"> 👨🏽‍🚀 E4.0 man astronaut: medium skin tone</v>
      </c>
      <c r="F822" t="b">
        <f t="shared" si="77"/>
        <v>1</v>
      </c>
      <c r="G822" t="str">
        <f t="shared" si="73"/>
        <v>1F468</v>
      </c>
      <c r="I822">
        <f>HEX2DEC(Table1[[#This Row],[utf8]])</f>
        <v>128104</v>
      </c>
      <c r="J822" t="str">
        <f>_xlfn.UNICHAR(HEX2DEC(Table1[[#This Row],[utf8]]))</f>
        <v>👨</v>
      </c>
      <c r="K822" s="3" t="str" cm="1">
        <f t="array" ref="K822">"Case "&amp;wRandomLetter()&amp;wRandomLetter()&amp;I822&amp;":    UniConst = ChrW(" &amp; I822 &amp;")"</f>
        <v>Case KA128104:    UniConst = ChrW(128104)</v>
      </c>
    </row>
    <row r="823" spans="1:11" hidden="1">
      <c r="A823" t="s">
        <v>1275</v>
      </c>
      <c r="B823" t="str">
        <f t="shared" si="74"/>
        <v>1F468 1F3FD 200D 1F692 ; fully-qualified # 👨🏽‍🚒 E4.0 man firefighter: medium skin tone</v>
      </c>
      <c r="C823" t="str">
        <f t="shared" si="75"/>
        <v xml:space="preserve">1F468 1F3FD 200D 1F692 </v>
      </c>
      <c r="D823">
        <f t="shared" si="76"/>
        <v>23</v>
      </c>
      <c r="E823" t="str">
        <f t="shared" si="72"/>
        <v xml:space="preserve"> 👨🏽‍🚒 E4.0 man firefighter: medium skin tone</v>
      </c>
      <c r="F823" t="b">
        <f t="shared" si="77"/>
        <v>1</v>
      </c>
      <c r="G823" t="str">
        <f t="shared" si="73"/>
        <v>1F468</v>
      </c>
      <c r="I823">
        <f>HEX2DEC(Table1[[#This Row],[utf8]])</f>
        <v>128104</v>
      </c>
      <c r="J823" t="str">
        <f>_xlfn.UNICHAR(HEX2DEC(Table1[[#This Row],[utf8]]))</f>
        <v>👨</v>
      </c>
      <c r="K823" s="3" t="str" cm="1">
        <f t="array" ref="K823">"Case "&amp;wRandomLetter()&amp;wRandomLetter()&amp;I823&amp;":    UniConst = ChrW(" &amp; I823 &amp;")"</f>
        <v>Case gn128104:    UniConst = ChrW(128104)</v>
      </c>
    </row>
    <row r="824" spans="1:11" hidden="1">
      <c r="A824" t="s">
        <v>2652</v>
      </c>
      <c r="B824" t="str">
        <f t="shared" si="74"/>
        <v>1F468 1F3FD 200D 1F91D 200D 1F468 1F3FB ; fully-qualified # 👨🏽‍🤝‍👨🏻 E12.0 men holding hands: medium skin tone, light skin tone</v>
      </c>
      <c r="C824" t="str">
        <f t="shared" si="75"/>
        <v xml:space="preserve">1F468 1F3FD 200D 1F91D 200D 1F468 1F3FB </v>
      </c>
      <c r="D824">
        <f t="shared" si="76"/>
        <v>40</v>
      </c>
      <c r="E824" t="str">
        <f t="shared" si="72"/>
        <v xml:space="preserve"> 👨🏽‍🤝‍👨🏻 E12.0 men holding hands: medium skin tone, light skin tone</v>
      </c>
      <c r="F824" t="b">
        <f t="shared" si="77"/>
        <v>1</v>
      </c>
      <c r="G824" t="str">
        <f t="shared" si="73"/>
        <v>1F468</v>
      </c>
      <c r="I824">
        <f>HEX2DEC(Table1[[#This Row],[utf8]])</f>
        <v>128104</v>
      </c>
      <c r="J824" t="str">
        <f>_xlfn.UNICHAR(HEX2DEC(Table1[[#This Row],[utf8]]))</f>
        <v>👨</v>
      </c>
      <c r="K824" s="3" t="str" cm="1">
        <f t="array" ref="K824">"Case "&amp;wRandomLetter()&amp;wRandomLetter()&amp;I824&amp;":    UniConst = ChrW(" &amp; I824 &amp;")"</f>
        <v>Case aH128104:    UniConst = ChrW(128104)</v>
      </c>
    </row>
    <row r="825" spans="1:11" hidden="1">
      <c r="A825" t="s">
        <v>2653</v>
      </c>
      <c r="B825" t="str">
        <f t="shared" si="74"/>
        <v>1F468 1F3FD 200D 1F91D 200D 1F468 1F3FC ; fully-qualified # 👨🏽‍🤝‍👨🏼 E12.0 men holding hands: medium skin tone, medium-light skin tone</v>
      </c>
      <c r="C825" t="str">
        <f t="shared" si="75"/>
        <v xml:space="preserve">1F468 1F3FD 200D 1F91D 200D 1F468 1F3FC </v>
      </c>
      <c r="D825">
        <f t="shared" si="76"/>
        <v>40</v>
      </c>
      <c r="E825" t="str">
        <f t="shared" si="72"/>
        <v xml:space="preserve"> 👨🏽‍🤝‍👨🏼 E12.0 men holding hands: medium skin tone, medium-light skin tone</v>
      </c>
      <c r="F825" t="b">
        <f t="shared" si="77"/>
        <v>1</v>
      </c>
      <c r="G825" t="str">
        <f t="shared" si="73"/>
        <v>1F468</v>
      </c>
      <c r="I825">
        <f>HEX2DEC(Table1[[#This Row],[utf8]])</f>
        <v>128104</v>
      </c>
      <c r="J825" t="str">
        <f>_xlfn.UNICHAR(HEX2DEC(Table1[[#This Row],[utf8]]))</f>
        <v>👨</v>
      </c>
      <c r="K825" s="3" t="str" cm="1">
        <f t="array" ref="K825">"Case "&amp;wRandomLetter()&amp;wRandomLetter()&amp;I825&amp;":    UniConst = ChrW(" &amp; I825 &amp;")"</f>
        <v>Case eH128104:    UniConst = ChrW(128104)</v>
      </c>
    </row>
    <row r="826" spans="1:11" hidden="1">
      <c r="A826" t="s">
        <v>2655</v>
      </c>
      <c r="B826" t="str">
        <f t="shared" si="74"/>
        <v>1F468 1F3FD 200D 1F91D 200D 1F468 1F3FE ; fully-qualified # 👨🏽‍🤝‍👨🏾 E12.1 men holding hands: medium skin tone, medium-dark skin tone</v>
      </c>
      <c r="C826" t="str">
        <f t="shared" si="75"/>
        <v xml:space="preserve">1F468 1F3FD 200D 1F91D 200D 1F468 1F3FE </v>
      </c>
      <c r="D826">
        <f t="shared" si="76"/>
        <v>40</v>
      </c>
      <c r="E826" t="str">
        <f t="shared" si="72"/>
        <v xml:space="preserve"> 👨🏽‍🤝‍👨🏾 E12.1 men holding hands: medium skin tone, medium-dark skin tone</v>
      </c>
      <c r="F826" t="b">
        <f t="shared" si="77"/>
        <v>1</v>
      </c>
      <c r="G826" t="str">
        <f t="shared" si="73"/>
        <v>1F468</v>
      </c>
      <c r="I826">
        <f>HEX2DEC(Table1[[#This Row],[utf8]])</f>
        <v>128104</v>
      </c>
      <c r="J826" t="str">
        <f>_xlfn.UNICHAR(HEX2DEC(Table1[[#This Row],[utf8]]))</f>
        <v>👨</v>
      </c>
      <c r="K826" s="3" t="str" cm="1">
        <f t="array" ref="K826">"Case "&amp;wRandomLetter()&amp;wRandomLetter()&amp;I826&amp;":    UniConst = ChrW(" &amp; I826 &amp;")"</f>
        <v>Case qn128104:    UniConst = ChrW(128104)</v>
      </c>
    </row>
    <row r="827" spans="1:11" hidden="1">
      <c r="A827" t="s">
        <v>2656</v>
      </c>
      <c r="B827" t="str">
        <f t="shared" si="74"/>
        <v>1F468 1F3FD 200D 1F91D 200D 1F468 1F3FF ; fully-qualified # 👨🏽‍🤝‍👨🏿 E12.1 men holding hands: medium skin tone, dark skin tone</v>
      </c>
      <c r="C827" t="str">
        <f t="shared" si="75"/>
        <v xml:space="preserve">1F468 1F3FD 200D 1F91D 200D 1F468 1F3FF </v>
      </c>
      <c r="D827">
        <f t="shared" si="76"/>
        <v>40</v>
      </c>
      <c r="E827" t="str">
        <f t="shared" si="72"/>
        <v xml:space="preserve"> 👨🏽‍🤝‍👨🏿 E12.1 men holding hands: medium skin tone, dark skin tone</v>
      </c>
      <c r="F827" t="b">
        <f t="shared" si="77"/>
        <v>1</v>
      </c>
      <c r="G827" t="str">
        <f t="shared" si="73"/>
        <v>1F468</v>
      </c>
      <c r="I827">
        <f>HEX2DEC(Table1[[#This Row],[utf8]])</f>
        <v>128104</v>
      </c>
      <c r="J827" t="str">
        <f>_xlfn.UNICHAR(HEX2DEC(Table1[[#This Row],[utf8]]))</f>
        <v>👨</v>
      </c>
      <c r="K827" s="3" t="str" cm="1">
        <f t="array" ref="K827">"Case "&amp;wRandomLetter()&amp;wRandomLetter()&amp;I827&amp;":    UniConst = ChrW(" &amp; I827 &amp;")"</f>
        <v>Case hk128104:    UniConst = ChrW(128104)</v>
      </c>
    </row>
    <row r="828" spans="1:11" hidden="1">
      <c r="A828" t="s">
        <v>1964</v>
      </c>
      <c r="B828" t="str">
        <f t="shared" si="74"/>
        <v>1F468 1F3FD 200D 1F9AF ; fully-qualified # 👨🏽‍🦯 E12.0 man with white cane: medium skin tone</v>
      </c>
      <c r="C828" t="str">
        <f t="shared" si="75"/>
        <v xml:space="preserve">1F468 1F3FD 200D 1F9AF </v>
      </c>
      <c r="D828">
        <f t="shared" si="76"/>
        <v>23</v>
      </c>
      <c r="E828" t="str">
        <f t="shared" si="72"/>
        <v xml:space="preserve"> 👨🏽‍🦯 E12.0 man with white cane: medium skin tone</v>
      </c>
      <c r="F828" t="b">
        <f t="shared" si="77"/>
        <v>1</v>
      </c>
      <c r="G828" t="str">
        <f t="shared" si="73"/>
        <v>1F468</v>
      </c>
      <c r="I828">
        <f>HEX2DEC(Table1[[#This Row],[utf8]])</f>
        <v>128104</v>
      </c>
      <c r="J828" t="str">
        <f>_xlfn.UNICHAR(HEX2DEC(Table1[[#This Row],[utf8]]))</f>
        <v>👨</v>
      </c>
      <c r="K828" s="3" t="str" cm="1">
        <f t="array" ref="K828">"Case "&amp;wRandomLetter()&amp;wRandomLetter()&amp;I828&amp;":    UniConst = ChrW(" &amp; I828 &amp;")"</f>
        <v>Case vP128104:    UniConst = ChrW(128104)</v>
      </c>
    </row>
    <row r="829" spans="1:11" hidden="1">
      <c r="A829" t="s">
        <v>523</v>
      </c>
      <c r="B829" t="str">
        <f t="shared" si="74"/>
        <v>1F468 1F3FD 200D 1F9B0 ; fully-qualified # 👨🏽‍🦰 E11.0 man: medium skin tone, red hair</v>
      </c>
      <c r="C829" t="str">
        <f t="shared" si="75"/>
        <v xml:space="preserve">1F468 1F3FD 200D 1F9B0 </v>
      </c>
      <c r="D829">
        <f t="shared" si="76"/>
        <v>23</v>
      </c>
      <c r="E829" t="str">
        <f t="shared" si="72"/>
        <v xml:space="preserve"> 👨🏽‍🦰 E11.0 man: medium skin tone, red hair</v>
      </c>
      <c r="F829" t="b">
        <f t="shared" si="77"/>
        <v>1</v>
      </c>
      <c r="G829" t="str">
        <f t="shared" si="73"/>
        <v>1F468</v>
      </c>
      <c r="I829">
        <f>HEX2DEC(Table1[[#This Row],[utf8]])</f>
        <v>128104</v>
      </c>
      <c r="J829" t="str">
        <f>_xlfn.UNICHAR(HEX2DEC(Table1[[#This Row],[utf8]]))</f>
        <v>👨</v>
      </c>
      <c r="K829" s="3" t="str" cm="1">
        <f t="array" ref="K829">"Case "&amp;wRandomLetter()&amp;wRandomLetter()&amp;I829&amp;":    UniConst = ChrW(" &amp; I829 &amp;")"</f>
        <v>Case cl128104:    UniConst = ChrW(128104)</v>
      </c>
    </row>
    <row r="830" spans="1:11" hidden="1">
      <c r="A830" t="s">
        <v>529</v>
      </c>
      <c r="B830" t="str">
        <f t="shared" si="74"/>
        <v>1F468 1F3FD 200D 1F9B1 ; fully-qualified # 👨🏽‍🦱 E11.0 man: medium skin tone, curly hair</v>
      </c>
      <c r="C830" t="str">
        <f t="shared" si="75"/>
        <v xml:space="preserve">1F468 1F3FD 200D 1F9B1 </v>
      </c>
      <c r="D830">
        <f t="shared" si="76"/>
        <v>23</v>
      </c>
      <c r="E830" t="str">
        <f t="shared" si="72"/>
        <v xml:space="preserve"> 👨🏽‍🦱 E11.0 man: medium skin tone, curly hair</v>
      </c>
      <c r="F830" t="b">
        <f t="shared" si="77"/>
        <v>1</v>
      </c>
      <c r="G830" t="str">
        <f t="shared" si="73"/>
        <v>1F468</v>
      </c>
      <c r="I830">
        <f>HEX2DEC(Table1[[#This Row],[utf8]])</f>
        <v>128104</v>
      </c>
      <c r="J830" t="str">
        <f>_xlfn.UNICHAR(HEX2DEC(Table1[[#This Row],[utf8]]))</f>
        <v>👨</v>
      </c>
      <c r="K830" s="3" t="str" cm="1">
        <f t="array" ref="K830">"Case "&amp;wRandomLetter()&amp;wRandomLetter()&amp;I830&amp;":    UniConst = ChrW(" &amp; I830 &amp;")"</f>
        <v>Case xX128104:    UniConst = ChrW(128104)</v>
      </c>
    </row>
    <row r="831" spans="1:11" hidden="1">
      <c r="A831" t="s">
        <v>541</v>
      </c>
      <c r="B831" t="str">
        <f t="shared" si="74"/>
        <v>1F468 1F3FD 200D 1F9B2 ; fully-qualified # 👨🏽‍🦲 E11.0 man: medium skin tone, bald</v>
      </c>
      <c r="C831" t="str">
        <f t="shared" si="75"/>
        <v xml:space="preserve">1F468 1F3FD 200D 1F9B2 </v>
      </c>
      <c r="D831">
        <f t="shared" si="76"/>
        <v>23</v>
      </c>
      <c r="E831" t="str">
        <f t="shared" si="72"/>
        <v xml:space="preserve"> 👨🏽‍🦲 E11.0 man: medium skin tone, bald</v>
      </c>
      <c r="F831" t="b">
        <f t="shared" si="77"/>
        <v>1</v>
      </c>
      <c r="G831" t="str">
        <f t="shared" si="73"/>
        <v>1F468</v>
      </c>
      <c r="I831">
        <f>HEX2DEC(Table1[[#This Row],[utf8]])</f>
        <v>128104</v>
      </c>
      <c r="J831" t="str">
        <f>_xlfn.UNICHAR(HEX2DEC(Table1[[#This Row],[utf8]]))</f>
        <v>👨</v>
      </c>
      <c r="K831" s="3" t="str" cm="1">
        <f t="array" ref="K831">"Case "&amp;wRandomLetter()&amp;wRandomLetter()&amp;I831&amp;":    UniConst = ChrW(" &amp; I831 &amp;")"</f>
        <v>Case nw128104:    UniConst = ChrW(128104)</v>
      </c>
    </row>
    <row r="832" spans="1:11" hidden="1">
      <c r="A832" t="s">
        <v>535</v>
      </c>
      <c r="B832" t="str">
        <f t="shared" si="74"/>
        <v>1F468 1F3FD 200D 1F9B3 ; fully-qualified # 👨🏽‍🦳 E11.0 man: medium skin tone, white hair</v>
      </c>
      <c r="C832" t="str">
        <f t="shared" si="75"/>
        <v xml:space="preserve">1F468 1F3FD 200D 1F9B3 </v>
      </c>
      <c r="D832">
        <f t="shared" si="76"/>
        <v>23</v>
      </c>
      <c r="E832" t="str">
        <f t="shared" si="72"/>
        <v xml:space="preserve"> 👨🏽‍🦳 E11.0 man: medium skin tone, white hair</v>
      </c>
      <c r="F832" t="b">
        <f t="shared" si="77"/>
        <v>1</v>
      </c>
      <c r="G832" t="str">
        <f t="shared" si="73"/>
        <v>1F468</v>
      </c>
      <c r="I832">
        <f>HEX2DEC(Table1[[#This Row],[utf8]])</f>
        <v>128104</v>
      </c>
      <c r="J832" t="str">
        <f>_xlfn.UNICHAR(HEX2DEC(Table1[[#This Row],[utf8]]))</f>
        <v>👨</v>
      </c>
      <c r="K832" s="3" t="str" cm="1">
        <f t="array" ref="K832">"Case "&amp;wRandomLetter()&amp;wRandomLetter()&amp;I832&amp;":    UniConst = ChrW(" &amp; I832 &amp;")"</f>
        <v>Case Uj128104:    UniConst = ChrW(128104)</v>
      </c>
    </row>
    <row r="833" spans="1:11" hidden="1">
      <c r="A833" t="s">
        <v>1982</v>
      </c>
      <c r="B833" t="str">
        <f t="shared" si="74"/>
        <v>1F468 1F3FD 200D 1F9BC ; fully-qualified # 👨🏽‍🦼 E12.0 man in motorized wheelchair: medium skin tone</v>
      </c>
      <c r="C833" t="str">
        <f t="shared" si="75"/>
        <v xml:space="preserve">1F468 1F3FD 200D 1F9BC </v>
      </c>
      <c r="D833">
        <f t="shared" si="76"/>
        <v>23</v>
      </c>
      <c r="E833" t="str">
        <f t="shared" si="72"/>
        <v xml:space="preserve"> 👨🏽‍🦼 E12.0 man in motorized wheelchair: medium skin tone</v>
      </c>
      <c r="F833" t="b">
        <f t="shared" si="77"/>
        <v>1</v>
      </c>
      <c r="G833" t="str">
        <f t="shared" si="73"/>
        <v>1F468</v>
      </c>
      <c r="I833">
        <f>HEX2DEC(Table1[[#This Row],[utf8]])</f>
        <v>128104</v>
      </c>
      <c r="J833" t="str">
        <f>_xlfn.UNICHAR(HEX2DEC(Table1[[#This Row],[utf8]]))</f>
        <v>👨</v>
      </c>
      <c r="K833" s="3" t="str" cm="1">
        <f t="array" ref="K833">"Case "&amp;wRandomLetter()&amp;wRandomLetter()&amp;I833&amp;":    UniConst = ChrW(" &amp; I833 &amp;")"</f>
        <v>Case oU128104:    UniConst = ChrW(128104)</v>
      </c>
    </row>
    <row r="834" spans="1:11" hidden="1">
      <c r="A834" t="s">
        <v>2000</v>
      </c>
      <c r="B834" t="str">
        <f t="shared" si="74"/>
        <v>1F468 1F3FD 200D 1F9BD ; fully-qualified # 👨🏽‍🦽 E12.0 man in manual wheelchair: medium skin tone</v>
      </c>
      <c r="C834" t="str">
        <f t="shared" si="75"/>
        <v xml:space="preserve">1F468 1F3FD 200D 1F9BD </v>
      </c>
      <c r="D834">
        <f t="shared" si="76"/>
        <v>23</v>
      </c>
      <c r="E834" t="str">
        <f t="shared" ref="E834:E897" si="78">MID(A834,FIND("#",A834)+1,256)</f>
        <v xml:space="preserve"> 👨🏽‍🦽 E12.0 man in manual wheelchair: medium skin tone</v>
      </c>
      <c r="F834" t="b">
        <f t="shared" si="77"/>
        <v>1</v>
      </c>
      <c r="G834" t="str">
        <f t="shared" ref="G834:G897" si="79">LEFT(C834,(FIND(" ",C834,1)-1))</f>
        <v>1F468</v>
      </c>
      <c r="I834">
        <f>HEX2DEC(Table1[[#This Row],[utf8]])</f>
        <v>128104</v>
      </c>
      <c r="J834" t="str">
        <f>_xlfn.UNICHAR(HEX2DEC(Table1[[#This Row],[utf8]]))</f>
        <v>👨</v>
      </c>
      <c r="K834" s="3" t="str" cm="1">
        <f t="array" ref="K834">"Case "&amp;wRandomLetter()&amp;wRandomLetter()&amp;I834&amp;":    UniConst = ChrW(" &amp; I834 &amp;")"</f>
        <v>Case pn128104:    UniConst = ChrW(128104)</v>
      </c>
    </row>
    <row r="835" spans="1:11" hidden="1">
      <c r="A835" t="s">
        <v>961</v>
      </c>
      <c r="B835" t="str">
        <f t="shared" ref="B835:B898" si="80">TRIM(A835)</f>
        <v>1F468 1F3FD 200D 2695 ; minimally-qualified # 👨🏽‍⚕ E4.0 man health worker: medium skin tone</v>
      </c>
      <c r="C835" t="str">
        <f t="shared" ref="C835:C898" si="81">LEFT(B835,(FIND(";",B835,1)-1))</f>
        <v xml:space="preserve">1F468 1F3FD 200D 2695 </v>
      </c>
      <c r="D835">
        <f t="shared" ref="D835:D898" si="82">LEN(C835)</f>
        <v>22</v>
      </c>
      <c r="E835" t="str">
        <f t="shared" si="78"/>
        <v xml:space="preserve"> 👨🏽‍⚕ E4.0 man health worker: medium skin tone</v>
      </c>
      <c r="F835" t="b">
        <f t="shared" ref="F835:F898" si="83">IF(LEFT(C835,2)="1F",TRUE,FALSE)</f>
        <v>1</v>
      </c>
      <c r="G835" t="str">
        <f t="shared" si="79"/>
        <v>1F468</v>
      </c>
      <c r="I835">
        <f>HEX2DEC(Table1[[#This Row],[utf8]])</f>
        <v>128104</v>
      </c>
      <c r="J835" t="str">
        <f>_xlfn.UNICHAR(HEX2DEC(Table1[[#This Row],[utf8]]))</f>
        <v>👨</v>
      </c>
      <c r="K835" s="3" t="str" cm="1">
        <f t="array" ref="K835">"Case "&amp;wRandomLetter()&amp;wRandomLetter()&amp;I835&amp;":    UniConst = ChrW(" &amp; I835 &amp;")"</f>
        <v>Case ac128104:    UniConst = ChrW(128104)</v>
      </c>
    </row>
    <row r="836" spans="1:11" hidden="1">
      <c r="A836" t="s">
        <v>960</v>
      </c>
      <c r="B836" t="str">
        <f t="shared" si="80"/>
        <v>1F468 1F3FD 200D 2695 FE0F ; fully-qualified # 👨🏽‍⚕️ E4.0 man health worker: medium skin tone</v>
      </c>
      <c r="C836" t="str">
        <f t="shared" si="81"/>
        <v xml:space="preserve">1F468 1F3FD 200D 2695 FE0F </v>
      </c>
      <c r="D836">
        <f t="shared" si="82"/>
        <v>27</v>
      </c>
      <c r="E836" t="str">
        <f t="shared" si="78"/>
        <v xml:space="preserve"> 👨🏽‍⚕️ E4.0 man health worker: medium skin tone</v>
      </c>
      <c r="F836" t="b">
        <f t="shared" si="83"/>
        <v>1</v>
      </c>
      <c r="G836" t="str">
        <f t="shared" si="79"/>
        <v>1F468</v>
      </c>
      <c r="I836">
        <f>HEX2DEC(Table1[[#This Row],[utf8]])</f>
        <v>128104</v>
      </c>
      <c r="J836" t="str">
        <f>_xlfn.UNICHAR(HEX2DEC(Table1[[#This Row],[utf8]]))</f>
        <v>👨</v>
      </c>
      <c r="K836" s="3" t="str" cm="1">
        <f t="array" ref="K836">"Case "&amp;wRandomLetter()&amp;wRandomLetter()&amp;I836&amp;":    UniConst = ChrW(" &amp; I836 &amp;")"</f>
        <v>Case wM128104:    UniConst = ChrW(128104)</v>
      </c>
    </row>
    <row r="837" spans="1:11" hidden="1">
      <c r="A837" t="s">
        <v>1033</v>
      </c>
      <c r="B837" t="str">
        <f t="shared" si="80"/>
        <v>1F468 1F3FD 200D 2696 ; minimally-qualified # 👨🏽‍⚖ E4.0 man judge: medium skin tone</v>
      </c>
      <c r="C837" t="str">
        <f t="shared" si="81"/>
        <v xml:space="preserve">1F468 1F3FD 200D 2696 </v>
      </c>
      <c r="D837">
        <f t="shared" si="82"/>
        <v>22</v>
      </c>
      <c r="E837" t="str">
        <f t="shared" si="78"/>
        <v xml:space="preserve"> 👨🏽‍⚖ E4.0 man judge: medium skin tone</v>
      </c>
      <c r="F837" t="b">
        <f t="shared" si="83"/>
        <v>1</v>
      </c>
      <c r="G837" t="str">
        <f t="shared" si="79"/>
        <v>1F468</v>
      </c>
      <c r="I837">
        <f>HEX2DEC(Table1[[#This Row],[utf8]])</f>
        <v>128104</v>
      </c>
      <c r="J837" t="str">
        <f>_xlfn.UNICHAR(HEX2DEC(Table1[[#This Row],[utf8]]))</f>
        <v>👨</v>
      </c>
      <c r="K837" s="3" t="str" cm="1">
        <f t="array" ref="K837">"Case "&amp;wRandomLetter()&amp;wRandomLetter()&amp;I837&amp;":    UniConst = ChrW(" &amp; I837 &amp;")"</f>
        <v>Case ad128104:    UniConst = ChrW(128104)</v>
      </c>
    </row>
    <row r="838" spans="1:11" hidden="1">
      <c r="A838" t="s">
        <v>1032</v>
      </c>
      <c r="B838" t="str">
        <f t="shared" si="80"/>
        <v>1F468 1F3FD 200D 2696 FE0F ; fully-qualified # 👨🏽‍⚖️ E4.0 man judge: medium skin tone</v>
      </c>
      <c r="C838" t="str">
        <f t="shared" si="81"/>
        <v xml:space="preserve">1F468 1F3FD 200D 2696 FE0F </v>
      </c>
      <c r="D838">
        <f t="shared" si="82"/>
        <v>27</v>
      </c>
      <c r="E838" t="str">
        <f t="shared" si="78"/>
        <v xml:space="preserve"> 👨🏽‍⚖️ E4.0 man judge: medium skin tone</v>
      </c>
      <c r="F838" t="b">
        <f t="shared" si="83"/>
        <v>1</v>
      </c>
      <c r="G838" t="str">
        <f t="shared" si="79"/>
        <v>1F468</v>
      </c>
      <c r="I838">
        <f>HEX2DEC(Table1[[#This Row],[utf8]])</f>
        <v>128104</v>
      </c>
      <c r="J838" t="str">
        <f>_xlfn.UNICHAR(HEX2DEC(Table1[[#This Row],[utf8]]))</f>
        <v>👨</v>
      </c>
      <c r="K838" s="3" t="str" cm="1">
        <f t="array" ref="K838">"Case "&amp;wRandomLetter()&amp;wRandomLetter()&amp;I838&amp;":    UniConst = ChrW(" &amp; I838 &amp;")"</f>
        <v>Case OP128104:    UniConst = ChrW(128104)</v>
      </c>
    </row>
    <row r="839" spans="1:11" hidden="1">
      <c r="A839" t="s">
        <v>1231</v>
      </c>
      <c r="B839" t="str">
        <f t="shared" si="80"/>
        <v>1F468 1F3FD 200D 2708 ; minimally-qualified # 👨🏽‍✈ E4.0 man pilot: medium skin tone</v>
      </c>
      <c r="C839" t="str">
        <f t="shared" si="81"/>
        <v xml:space="preserve">1F468 1F3FD 200D 2708 </v>
      </c>
      <c r="D839">
        <f t="shared" si="82"/>
        <v>22</v>
      </c>
      <c r="E839" t="str">
        <f t="shared" si="78"/>
        <v xml:space="preserve"> 👨🏽‍✈ E4.0 man pilot: medium skin tone</v>
      </c>
      <c r="F839" t="b">
        <f t="shared" si="83"/>
        <v>1</v>
      </c>
      <c r="G839" t="str">
        <f t="shared" si="79"/>
        <v>1F468</v>
      </c>
      <c r="I839">
        <f>HEX2DEC(Table1[[#This Row],[utf8]])</f>
        <v>128104</v>
      </c>
      <c r="J839" t="str">
        <f>_xlfn.UNICHAR(HEX2DEC(Table1[[#This Row],[utf8]]))</f>
        <v>👨</v>
      </c>
      <c r="K839" s="3" t="str" cm="1">
        <f t="array" ref="K839">"Case "&amp;wRandomLetter()&amp;wRandomLetter()&amp;I839&amp;":    UniConst = ChrW(" &amp; I839 &amp;")"</f>
        <v>Case zo128104:    UniConst = ChrW(128104)</v>
      </c>
    </row>
    <row r="840" spans="1:11" hidden="1">
      <c r="A840" t="s">
        <v>1230</v>
      </c>
      <c r="B840" t="str">
        <f t="shared" si="80"/>
        <v>1F468 1F3FD 200D 2708 FE0F ; fully-qualified # 👨🏽‍✈️ E4.0 man pilot: medium skin tone</v>
      </c>
      <c r="C840" t="str">
        <f t="shared" si="81"/>
        <v xml:space="preserve">1F468 1F3FD 200D 2708 FE0F </v>
      </c>
      <c r="D840">
        <f t="shared" si="82"/>
        <v>27</v>
      </c>
      <c r="E840" t="str">
        <f t="shared" si="78"/>
        <v xml:space="preserve"> 👨🏽‍✈️ E4.0 man pilot: medium skin tone</v>
      </c>
      <c r="F840" t="b">
        <f t="shared" si="83"/>
        <v>1</v>
      </c>
      <c r="G840" t="str">
        <f t="shared" si="79"/>
        <v>1F468</v>
      </c>
      <c r="I840">
        <f>HEX2DEC(Table1[[#This Row],[utf8]])</f>
        <v>128104</v>
      </c>
      <c r="J840" t="str">
        <f>_xlfn.UNICHAR(HEX2DEC(Table1[[#This Row],[utf8]]))</f>
        <v>👨</v>
      </c>
      <c r="K840" s="3" t="str" cm="1">
        <f t="array" ref="K840">"Case "&amp;wRandomLetter()&amp;wRandomLetter()&amp;I840&amp;":    UniConst = ChrW(" &amp; I840 &amp;")"</f>
        <v>Case zS128104:    UniConst = ChrW(128104)</v>
      </c>
    </row>
    <row r="841" spans="1:11" hidden="1">
      <c r="A841" t="s">
        <v>2990</v>
      </c>
      <c r="B841" t="str">
        <f t="shared" si="80"/>
        <v>1F468 1F3FD 200D 2764 200D 1F468 1F3FB ; minimally-qualified # 👨🏽‍❤‍👨🏻 E13.1 couple with heart: man, man, medium skin tone, light skin tone</v>
      </c>
      <c r="C841" t="str">
        <f t="shared" si="81"/>
        <v xml:space="preserve">1F468 1F3FD 200D 2764 200D 1F468 1F3FB </v>
      </c>
      <c r="D841">
        <f t="shared" si="82"/>
        <v>39</v>
      </c>
      <c r="E841" t="str">
        <f t="shared" si="78"/>
        <v xml:space="preserve"> 👨🏽‍❤‍👨🏻 E13.1 couple with heart: man, man, medium skin tone, light skin tone</v>
      </c>
      <c r="F841" t="b">
        <f t="shared" si="83"/>
        <v>1</v>
      </c>
      <c r="G841" t="str">
        <f t="shared" si="79"/>
        <v>1F468</v>
      </c>
      <c r="I841">
        <f>HEX2DEC(Table1[[#This Row],[utf8]])</f>
        <v>128104</v>
      </c>
      <c r="J841" t="str">
        <f>_xlfn.UNICHAR(HEX2DEC(Table1[[#This Row],[utf8]]))</f>
        <v>👨</v>
      </c>
      <c r="K841" s="3" t="str" cm="1">
        <f t="array" ref="K841">"Case "&amp;wRandomLetter()&amp;wRandomLetter()&amp;I841&amp;":    UniConst = ChrW(" &amp; I841 &amp;")"</f>
        <v>Case fp128104:    UniConst = ChrW(128104)</v>
      </c>
    </row>
    <row r="842" spans="1:11" hidden="1">
      <c r="A842" t="s">
        <v>2992</v>
      </c>
      <c r="B842" t="str">
        <f t="shared" si="80"/>
        <v>1F468 1F3FD 200D 2764 200D 1F468 1F3FC ; minimally-qualified # 👨🏽‍❤‍👨🏼 E13.1 couple with heart: man, man, medium skin tone, medium-light skin tone</v>
      </c>
      <c r="C842" t="str">
        <f t="shared" si="81"/>
        <v xml:space="preserve">1F468 1F3FD 200D 2764 200D 1F468 1F3FC </v>
      </c>
      <c r="D842">
        <f t="shared" si="82"/>
        <v>39</v>
      </c>
      <c r="E842" t="str">
        <f t="shared" si="78"/>
        <v xml:space="preserve"> 👨🏽‍❤‍👨🏼 E13.1 couple with heart: man, man, medium skin tone, medium-light skin tone</v>
      </c>
      <c r="F842" t="b">
        <f t="shared" si="83"/>
        <v>1</v>
      </c>
      <c r="G842" t="str">
        <f t="shared" si="79"/>
        <v>1F468</v>
      </c>
      <c r="I842">
        <f>HEX2DEC(Table1[[#This Row],[utf8]])</f>
        <v>128104</v>
      </c>
      <c r="J842" t="str">
        <f>_xlfn.UNICHAR(HEX2DEC(Table1[[#This Row],[utf8]]))</f>
        <v>👨</v>
      </c>
      <c r="K842" s="3" t="str" cm="1">
        <f t="array" ref="K842">"Case "&amp;wRandomLetter()&amp;wRandomLetter()&amp;I842&amp;":    UniConst = ChrW(" &amp; I842 &amp;")"</f>
        <v>Case xu128104:    UniConst = ChrW(128104)</v>
      </c>
    </row>
    <row r="843" spans="1:11" hidden="1">
      <c r="A843" t="s">
        <v>2994</v>
      </c>
      <c r="B843" t="str">
        <f t="shared" si="80"/>
        <v>1F468 1F3FD 200D 2764 200D 1F468 1F3FD ; minimally-qualified # 👨🏽‍❤‍👨🏽 E13.1 couple with heart: man, man, medium skin tone</v>
      </c>
      <c r="C843" t="str">
        <f t="shared" si="81"/>
        <v xml:space="preserve">1F468 1F3FD 200D 2764 200D 1F468 1F3FD </v>
      </c>
      <c r="D843">
        <f t="shared" si="82"/>
        <v>39</v>
      </c>
      <c r="E843" t="str">
        <f t="shared" si="78"/>
        <v xml:space="preserve"> 👨🏽‍❤‍👨🏽 E13.1 couple with heart: man, man, medium skin tone</v>
      </c>
      <c r="F843" t="b">
        <f t="shared" si="83"/>
        <v>1</v>
      </c>
      <c r="G843" t="str">
        <f t="shared" si="79"/>
        <v>1F468</v>
      </c>
      <c r="I843">
        <f>HEX2DEC(Table1[[#This Row],[utf8]])</f>
        <v>128104</v>
      </c>
      <c r="J843" t="str">
        <f>_xlfn.UNICHAR(HEX2DEC(Table1[[#This Row],[utf8]]))</f>
        <v>👨</v>
      </c>
      <c r="K843" s="3" t="str" cm="1">
        <f t="array" ref="K843">"Case "&amp;wRandomLetter()&amp;wRandomLetter()&amp;I843&amp;":    UniConst = ChrW(" &amp; I843 &amp;")"</f>
        <v>Case nJ128104:    UniConst = ChrW(128104)</v>
      </c>
    </row>
    <row r="844" spans="1:11" hidden="1">
      <c r="A844" t="s">
        <v>2996</v>
      </c>
      <c r="B844" t="str">
        <f t="shared" si="80"/>
        <v>1F468 1F3FD 200D 2764 200D 1F468 1F3FE ; minimally-qualified # 👨🏽‍❤‍👨🏾 E13.1 couple with heart: man, man, medium skin tone, medium-dark skin tone</v>
      </c>
      <c r="C844" t="str">
        <f t="shared" si="81"/>
        <v xml:space="preserve">1F468 1F3FD 200D 2764 200D 1F468 1F3FE </v>
      </c>
      <c r="D844">
        <f t="shared" si="82"/>
        <v>39</v>
      </c>
      <c r="E844" t="str">
        <f t="shared" si="78"/>
        <v xml:space="preserve"> 👨🏽‍❤‍👨🏾 E13.1 couple with heart: man, man, medium skin tone, medium-dark skin tone</v>
      </c>
      <c r="F844" t="b">
        <f t="shared" si="83"/>
        <v>1</v>
      </c>
      <c r="G844" t="str">
        <f t="shared" si="79"/>
        <v>1F468</v>
      </c>
      <c r="I844">
        <f>HEX2DEC(Table1[[#This Row],[utf8]])</f>
        <v>128104</v>
      </c>
      <c r="J844" t="str">
        <f>_xlfn.UNICHAR(HEX2DEC(Table1[[#This Row],[utf8]]))</f>
        <v>👨</v>
      </c>
      <c r="K844" s="3" t="str" cm="1">
        <f t="array" ref="K844">"Case "&amp;wRandomLetter()&amp;wRandomLetter()&amp;I844&amp;":    UniConst = ChrW(" &amp; I844 &amp;")"</f>
        <v>Case iv128104:    UniConst = ChrW(128104)</v>
      </c>
    </row>
    <row r="845" spans="1:11" hidden="1">
      <c r="A845" t="s">
        <v>2998</v>
      </c>
      <c r="B845" t="str">
        <f t="shared" si="80"/>
        <v>1F468 1F3FD 200D 2764 200D 1F468 1F3FF ; minimally-qualified # 👨🏽‍❤‍👨🏿 E13.1 couple with heart: man, man, medium skin tone, dark skin tone</v>
      </c>
      <c r="C845" t="str">
        <f t="shared" si="81"/>
        <v xml:space="preserve">1F468 1F3FD 200D 2764 200D 1F468 1F3FF </v>
      </c>
      <c r="D845">
        <f t="shared" si="82"/>
        <v>39</v>
      </c>
      <c r="E845" t="str">
        <f t="shared" si="78"/>
        <v xml:space="preserve"> 👨🏽‍❤‍👨🏿 E13.1 couple with heart: man, man, medium skin tone, dark skin tone</v>
      </c>
      <c r="F845" t="b">
        <f t="shared" si="83"/>
        <v>1</v>
      </c>
      <c r="G845" t="str">
        <f t="shared" si="79"/>
        <v>1F468</v>
      </c>
      <c r="I845">
        <f>HEX2DEC(Table1[[#This Row],[utf8]])</f>
        <v>128104</v>
      </c>
      <c r="J845" t="str">
        <f>_xlfn.UNICHAR(HEX2DEC(Table1[[#This Row],[utf8]]))</f>
        <v>👨</v>
      </c>
      <c r="K845" s="3" t="str" cm="1">
        <f t="array" ref="K845">"Case "&amp;wRandomLetter()&amp;wRandomLetter()&amp;I845&amp;":    UniConst = ChrW(" &amp; I845 &amp;")"</f>
        <v>Case wM128104:    UniConst = ChrW(128104)</v>
      </c>
    </row>
    <row r="846" spans="1:11" hidden="1">
      <c r="A846" t="s">
        <v>2788</v>
      </c>
      <c r="B846" t="str">
        <f t="shared" si="80"/>
        <v>1F468 1F3FD 200D 2764 200D 1F48B 200D 1F468 1F3FB ; minimally-qualified # 👨🏽‍❤‍💋‍👨🏻 E13.1 kiss: man, man, medium skin tone, light skin tone</v>
      </c>
      <c r="C846" t="str">
        <f t="shared" si="81"/>
        <v xml:space="preserve">1F468 1F3FD 200D 2764 200D 1F48B 200D 1F468 1F3FB </v>
      </c>
      <c r="D846">
        <f t="shared" si="82"/>
        <v>50</v>
      </c>
      <c r="E846" t="str">
        <f t="shared" si="78"/>
        <v xml:space="preserve"> 👨🏽‍❤‍💋‍👨🏻 E13.1 kiss: man, man, medium skin tone, light skin tone</v>
      </c>
      <c r="F846" t="b">
        <f t="shared" si="83"/>
        <v>1</v>
      </c>
      <c r="G846" t="str">
        <f t="shared" si="79"/>
        <v>1F468</v>
      </c>
      <c r="I846">
        <f>HEX2DEC(Table1[[#This Row],[utf8]])</f>
        <v>128104</v>
      </c>
      <c r="J846" t="str">
        <f>_xlfn.UNICHAR(HEX2DEC(Table1[[#This Row],[utf8]]))</f>
        <v>👨</v>
      </c>
      <c r="K846" s="3" t="str" cm="1">
        <f t="array" ref="K846">"Case "&amp;wRandomLetter()&amp;wRandomLetter()&amp;I846&amp;":    UniConst = ChrW(" &amp; I846 &amp;")"</f>
        <v>Case uR128104:    UniConst = ChrW(128104)</v>
      </c>
    </row>
    <row r="847" spans="1:11" hidden="1">
      <c r="A847" t="s">
        <v>2790</v>
      </c>
      <c r="B847" t="str">
        <f t="shared" si="80"/>
        <v>1F468 1F3FD 200D 2764 200D 1F48B 200D 1F468 1F3FC ; minimally-qualified # 👨🏽‍❤‍💋‍👨🏼 E13.1 kiss: man, man, medium skin tone, medium-light skin tone</v>
      </c>
      <c r="C847" t="str">
        <f t="shared" si="81"/>
        <v xml:space="preserve">1F468 1F3FD 200D 2764 200D 1F48B 200D 1F468 1F3FC </v>
      </c>
      <c r="D847">
        <f t="shared" si="82"/>
        <v>50</v>
      </c>
      <c r="E847" t="str">
        <f t="shared" si="78"/>
        <v xml:space="preserve"> 👨🏽‍❤‍💋‍👨🏼 E13.1 kiss: man, man, medium skin tone, medium-light skin tone</v>
      </c>
      <c r="F847" t="b">
        <f t="shared" si="83"/>
        <v>1</v>
      </c>
      <c r="G847" t="str">
        <f t="shared" si="79"/>
        <v>1F468</v>
      </c>
      <c r="I847">
        <f>HEX2DEC(Table1[[#This Row],[utf8]])</f>
        <v>128104</v>
      </c>
      <c r="J847" t="str">
        <f>_xlfn.UNICHAR(HEX2DEC(Table1[[#This Row],[utf8]]))</f>
        <v>👨</v>
      </c>
      <c r="K847" s="3" t="str" cm="1">
        <f t="array" ref="K847">"Case "&amp;wRandomLetter()&amp;wRandomLetter()&amp;I847&amp;":    UniConst = ChrW(" &amp; I847 &amp;")"</f>
        <v>Case iv128104:    UniConst = ChrW(128104)</v>
      </c>
    </row>
    <row r="848" spans="1:11" hidden="1">
      <c r="A848" t="s">
        <v>2792</v>
      </c>
      <c r="B848" t="str">
        <f t="shared" si="80"/>
        <v>1F468 1F3FD 200D 2764 200D 1F48B 200D 1F468 1F3FD ; minimally-qualified # 👨🏽‍❤‍💋‍👨🏽 E13.1 kiss: man, man, medium skin tone</v>
      </c>
      <c r="C848" t="str">
        <f t="shared" si="81"/>
        <v xml:space="preserve">1F468 1F3FD 200D 2764 200D 1F48B 200D 1F468 1F3FD </v>
      </c>
      <c r="D848">
        <f t="shared" si="82"/>
        <v>50</v>
      </c>
      <c r="E848" t="str">
        <f t="shared" si="78"/>
        <v xml:space="preserve"> 👨🏽‍❤‍💋‍👨🏽 E13.1 kiss: man, man, medium skin tone</v>
      </c>
      <c r="F848" t="b">
        <f t="shared" si="83"/>
        <v>1</v>
      </c>
      <c r="G848" t="str">
        <f t="shared" si="79"/>
        <v>1F468</v>
      </c>
      <c r="I848">
        <f>HEX2DEC(Table1[[#This Row],[utf8]])</f>
        <v>128104</v>
      </c>
      <c r="J848" t="str">
        <f>_xlfn.UNICHAR(HEX2DEC(Table1[[#This Row],[utf8]]))</f>
        <v>👨</v>
      </c>
      <c r="K848" s="3" t="str" cm="1">
        <f t="array" ref="K848">"Case "&amp;wRandomLetter()&amp;wRandomLetter()&amp;I848&amp;":    UniConst = ChrW(" &amp; I848 &amp;")"</f>
        <v>Case IF128104:    UniConst = ChrW(128104)</v>
      </c>
    </row>
    <row r="849" spans="1:11" hidden="1">
      <c r="A849" t="s">
        <v>2794</v>
      </c>
      <c r="B849" t="str">
        <f t="shared" si="80"/>
        <v>1F468 1F3FD 200D 2764 200D 1F48B 200D 1F468 1F3FE ; minimally-qualified # 👨🏽‍❤‍💋‍👨🏾 E13.1 kiss: man, man, medium skin tone, medium-dark skin tone</v>
      </c>
      <c r="C849" t="str">
        <f t="shared" si="81"/>
        <v xml:space="preserve">1F468 1F3FD 200D 2764 200D 1F48B 200D 1F468 1F3FE </v>
      </c>
      <c r="D849">
        <f t="shared" si="82"/>
        <v>50</v>
      </c>
      <c r="E849" t="str">
        <f t="shared" si="78"/>
        <v xml:space="preserve"> 👨🏽‍❤‍💋‍👨🏾 E13.1 kiss: man, man, medium skin tone, medium-dark skin tone</v>
      </c>
      <c r="F849" t="b">
        <f t="shared" si="83"/>
        <v>1</v>
      </c>
      <c r="G849" t="str">
        <f t="shared" si="79"/>
        <v>1F468</v>
      </c>
      <c r="I849">
        <f>HEX2DEC(Table1[[#This Row],[utf8]])</f>
        <v>128104</v>
      </c>
      <c r="J849" t="str">
        <f>_xlfn.UNICHAR(HEX2DEC(Table1[[#This Row],[utf8]]))</f>
        <v>👨</v>
      </c>
      <c r="K849" s="3" t="str" cm="1">
        <f t="array" ref="K849">"Case "&amp;wRandomLetter()&amp;wRandomLetter()&amp;I849&amp;":    UniConst = ChrW(" &amp; I849 &amp;")"</f>
        <v>Case Dp128104:    UniConst = ChrW(128104)</v>
      </c>
    </row>
    <row r="850" spans="1:11" hidden="1">
      <c r="A850" t="s">
        <v>2796</v>
      </c>
      <c r="B850" t="str">
        <f t="shared" si="80"/>
        <v>1F468 1F3FD 200D 2764 200D 1F48B 200D 1F468 1F3FF ; minimally-qualified # 👨🏽‍❤‍💋‍👨🏿 E13.1 kiss: man, man, medium skin tone, dark skin tone</v>
      </c>
      <c r="C850" t="str">
        <f t="shared" si="81"/>
        <v xml:space="preserve">1F468 1F3FD 200D 2764 200D 1F48B 200D 1F468 1F3FF </v>
      </c>
      <c r="D850">
        <f t="shared" si="82"/>
        <v>50</v>
      </c>
      <c r="E850" t="str">
        <f t="shared" si="78"/>
        <v xml:space="preserve"> 👨🏽‍❤‍💋‍👨🏿 E13.1 kiss: man, man, medium skin tone, dark skin tone</v>
      </c>
      <c r="F850" t="b">
        <f t="shared" si="83"/>
        <v>1</v>
      </c>
      <c r="G850" t="str">
        <f t="shared" si="79"/>
        <v>1F468</v>
      </c>
      <c r="I850">
        <f>HEX2DEC(Table1[[#This Row],[utf8]])</f>
        <v>128104</v>
      </c>
      <c r="J850" t="str">
        <f>_xlfn.UNICHAR(HEX2DEC(Table1[[#This Row],[utf8]]))</f>
        <v>👨</v>
      </c>
      <c r="K850" s="3" t="str" cm="1">
        <f t="array" ref="K850">"Case "&amp;wRandomLetter()&amp;wRandomLetter()&amp;I850&amp;":    UniConst = ChrW(" &amp; I850 &amp;")"</f>
        <v>Case hL128104:    UniConst = ChrW(128104)</v>
      </c>
    </row>
    <row r="851" spans="1:11" hidden="1">
      <c r="A851" t="s">
        <v>2989</v>
      </c>
      <c r="B851" t="str">
        <f t="shared" si="80"/>
        <v>1F468 1F3FD 200D 2764 FE0F 200D 1F468 1F3FB ; fully-qualified # 👨🏽‍❤️‍👨🏻 E13.1 couple with heart: man, man, medium skin tone, light skin tone</v>
      </c>
      <c r="C851" t="str">
        <f t="shared" si="81"/>
        <v xml:space="preserve">1F468 1F3FD 200D 2764 FE0F 200D 1F468 1F3FB </v>
      </c>
      <c r="D851">
        <f t="shared" si="82"/>
        <v>44</v>
      </c>
      <c r="E851" t="str">
        <f t="shared" si="78"/>
        <v xml:space="preserve"> 👨🏽‍❤️‍👨🏻 E13.1 couple with heart: man, man, medium skin tone, light skin tone</v>
      </c>
      <c r="F851" t="b">
        <f t="shared" si="83"/>
        <v>1</v>
      </c>
      <c r="G851" t="str">
        <f t="shared" si="79"/>
        <v>1F468</v>
      </c>
      <c r="I851">
        <f>HEX2DEC(Table1[[#This Row],[utf8]])</f>
        <v>128104</v>
      </c>
      <c r="J851" t="str">
        <f>_xlfn.UNICHAR(HEX2DEC(Table1[[#This Row],[utf8]]))</f>
        <v>👨</v>
      </c>
      <c r="K851" s="3" t="str" cm="1">
        <f t="array" ref="K851">"Case "&amp;wRandomLetter()&amp;wRandomLetter()&amp;I851&amp;":    UniConst = ChrW(" &amp; I851 &amp;")"</f>
        <v>Case Em128104:    UniConst = ChrW(128104)</v>
      </c>
    </row>
    <row r="852" spans="1:11" hidden="1">
      <c r="A852" t="s">
        <v>2991</v>
      </c>
      <c r="B852" t="str">
        <f t="shared" si="80"/>
        <v>1F468 1F3FD 200D 2764 FE0F 200D 1F468 1F3FC ; fully-qualified # 👨🏽‍❤️‍👨🏼 E13.1 couple with heart: man, man, medium skin tone, medium-light skin tone</v>
      </c>
      <c r="C852" t="str">
        <f t="shared" si="81"/>
        <v xml:space="preserve">1F468 1F3FD 200D 2764 FE0F 200D 1F468 1F3FC </v>
      </c>
      <c r="D852">
        <f t="shared" si="82"/>
        <v>44</v>
      </c>
      <c r="E852" t="str">
        <f t="shared" si="78"/>
        <v xml:space="preserve"> 👨🏽‍❤️‍👨🏼 E13.1 couple with heart: man, man, medium skin tone, medium-light skin tone</v>
      </c>
      <c r="F852" t="b">
        <f t="shared" si="83"/>
        <v>1</v>
      </c>
      <c r="G852" t="str">
        <f t="shared" si="79"/>
        <v>1F468</v>
      </c>
      <c r="I852">
        <f>HEX2DEC(Table1[[#This Row],[utf8]])</f>
        <v>128104</v>
      </c>
      <c r="J852" t="str">
        <f>_xlfn.UNICHAR(HEX2DEC(Table1[[#This Row],[utf8]]))</f>
        <v>👨</v>
      </c>
      <c r="K852" s="3" t="str" cm="1">
        <f t="array" ref="K852">"Case "&amp;wRandomLetter()&amp;wRandomLetter()&amp;I852&amp;":    UniConst = ChrW(" &amp; I852 &amp;")"</f>
        <v>Case sW128104:    UniConst = ChrW(128104)</v>
      </c>
    </row>
    <row r="853" spans="1:11" hidden="1">
      <c r="A853" t="s">
        <v>2993</v>
      </c>
      <c r="B853" t="str">
        <f t="shared" si="80"/>
        <v>1F468 1F3FD 200D 2764 FE0F 200D 1F468 1F3FD ; fully-qualified # 👨🏽‍❤️‍👨🏽 E13.1 couple with heart: man, man, medium skin tone</v>
      </c>
      <c r="C853" t="str">
        <f t="shared" si="81"/>
        <v xml:space="preserve">1F468 1F3FD 200D 2764 FE0F 200D 1F468 1F3FD </v>
      </c>
      <c r="D853">
        <f t="shared" si="82"/>
        <v>44</v>
      </c>
      <c r="E853" t="str">
        <f t="shared" si="78"/>
        <v xml:space="preserve"> 👨🏽‍❤️‍👨🏽 E13.1 couple with heart: man, man, medium skin tone</v>
      </c>
      <c r="F853" t="b">
        <f t="shared" si="83"/>
        <v>1</v>
      </c>
      <c r="G853" t="str">
        <f t="shared" si="79"/>
        <v>1F468</v>
      </c>
      <c r="I853">
        <f>HEX2DEC(Table1[[#This Row],[utf8]])</f>
        <v>128104</v>
      </c>
      <c r="J853" t="str">
        <f>_xlfn.UNICHAR(HEX2DEC(Table1[[#This Row],[utf8]]))</f>
        <v>👨</v>
      </c>
      <c r="K853" s="3" t="str" cm="1">
        <f t="array" ref="K853">"Case "&amp;wRandomLetter()&amp;wRandomLetter()&amp;I853&amp;":    UniConst = ChrW(" &amp; I853 &amp;")"</f>
        <v>Case je128104:    UniConst = ChrW(128104)</v>
      </c>
    </row>
    <row r="854" spans="1:11" hidden="1">
      <c r="A854" t="s">
        <v>2995</v>
      </c>
      <c r="B854" t="str">
        <f t="shared" si="80"/>
        <v>1F468 1F3FD 200D 2764 FE0F 200D 1F468 1F3FE ; fully-qualified # 👨🏽‍❤️‍👨🏾 E13.1 couple with heart: man, man, medium skin tone, medium-dark skin tone</v>
      </c>
      <c r="C854" t="str">
        <f t="shared" si="81"/>
        <v xml:space="preserve">1F468 1F3FD 200D 2764 FE0F 200D 1F468 1F3FE </v>
      </c>
      <c r="D854">
        <f t="shared" si="82"/>
        <v>44</v>
      </c>
      <c r="E854" t="str">
        <f t="shared" si="78"/>
        <v xml:space="preserve"> 👨🏽‍❤️‍👨🏾 E13.1 couple with heart: man, man, medium skin tone, medium-dark skin tone</v>
      </c>
      <c r="F854" t="b">
        <f t="shared" si="83"/>
        <v>1</v>
      </c>
      <c r="G854" t="str">
        <f t="shared" si="79"/>
        <v>1F468</v>
      </c>
      <c r="I854">
        <f>HEX2DEC(Table1[[#This Row],[utf8]])</f>
        <v>128104</v>
      </c>
      <c r="J854" t="str">
        <f>_xlfn.UNICHAR(HEX2DEC(Table1[[#This Row],[utf8]]))</f>
        <v>👨</v>
      </c>
      <c r="K854" s="3" t="str" cm="1">
        <f t="array" ref="K854">"Case "&amp;wRandomLetter()&amp;wRandomLetter()&amp;I854&amp;":    UniConst = ChrW(" &amp; I854 &amp;")"</f>
        <v>Case Bv128104:    UniConst = ChrW(128104)</v>
      </c>
    </row>
    <row r="855" spans="1:11" hidden="1">
      <c r="A855" t="s">
        <v>2997</v>
      </c>
      <c r="B855" t="str">
        <f t="shared" si="80"/>
        <v>1F468 1F3FD 200D 2764 FE0F 200D 1F468 1F3FF ; fully-qualified # 👨🏽‍❤️‍👨🏿 E13.1 couple with heart: man, man, medium skin tone, dark skin tone</v>
      </c>
      <c r="C855" t="str">
        <f t="shared" si="81"/>
        <v xml:space="preserve">1F468 1F3FD 200D 2764 FE0F 200D 1F468 1F3FF </v>
      </c>
      <c r="D855">
        <f t="shared" si="82"/>
        <v>44</v>
      </c>
      <c r="E855" t="str">
        <f t="shared" si="78"/>
        <v xml:space="preserve"> 👨🏽‍❤️‍👨🏿 E13.1 couple with heart: man, man, medium skin tone, dark skin tone</v>
      </c>
      <c r="F855" t="b">
        <f t="shared" si="83"/>
        <v>1</v>
      </c>
      <c r="G855" t="str">
        <f t="shared" si="79"/>
        <v>1F468</v>
      </c>
      <c r="I855">
        <f>HEX2DEC(Table1[[#This Row],[utf8]])</f>
        <v>128104</v>
      </c>
      <c r="J855" t="str">
        <f>_xlfn.UNICHAR(HEX2DEC(Table1[[#This Row],[utf8]]))</f>
        <v>👨</v>
      </c>
      <c r="K855" s="3" t="str" cm="1">
        <f t="array" ref="K855">"Case "&amp;wRandomLetter()&amp;wRandomLetter()&amp;I855&amp;":    UniConst = ChrW(" &amp; I855 &amp;")"</f>
        <v>Case WV128104:    UniConst = ChrW(128104)</v>
      </c>
    </row>
    <row r="856" spans="1:11" hidden="1">
      <c r="A856" t="s">
        <v>2787</v>
      </c>
      <c r="B856" t="str">
        <f t="shared" si="80"/>
        <v>1F468 1F3FD 200D 2764 FE0F 200D 1F48B 200D 1F468 1F3FB ; fully-qualified # 👨🏽‍❤️‍💋‍👨🏻 E13.1 kiss: man, man, medium skin tone, light skin tone</v>
      </c>
      <c r="C856" t="str">
        <f t="shared" si="81"/>
        <v xml:space="preserve">1F468 1F3FD 200D 2764 FE0F 200D 1F48B 200D 1F468 1F3FB </v>
      </c>
      <c r="D856">
        <f t="shared" si="82"/>
        <v>55</v>
      </c>
      <c r="E856" t="str">
        <f t="shared" si="78"/>
        <v xml:space="preserve"> 👨🏽‍❤️‍💋‍👨🏻 E13.1 kiss: man, man, medium skin tone, light skin tone</v>
      </c>
      <c r="F856" t="b">
        <f t="shared" si="83"/>
        <v>1</v>
      </c>
      <c r="G856" t="str">
        <f t="shared" si="79"/>
        <v>1F468</v>
      </c>
      <c r="I856">
        <f>HEX2DEC(Table1[[#This Row],[utf8]])</f>
        <v>128104</v>
      </c>
      <c r="J856" t="str">
        <f>_xlfn.UNICHAR(HEX2DEC(Table1[[#This Row],[utf8]]))</f>
        <v>👨</v>
      </c>
      <c r="K856" s="3" t="str" cm="1">
        <f t="array" ref="K856">"Case "&amp;wRandomLetter()&amp;wRandomLetter()&amp;I856&amp;":    UniConst = ChrW(" &amp; I856 &amp;")"</f>
        <v>Case au128104:    UniConst = ChrW(128104)</v>
      </c>
    </row>
    <row r="857" spans="1:11" hidden="1">
      <c r="A857" t="s">
        <v>2789</v>
      </c>
      <c r="B857" t="str">
        <f t="shared" si="80"/>
        <v>1F468 1F3FD 200D 2764 FE0F 200D 1F48B 200D 1F468 1F3FC ; fully-qualified # 👨🏽‍❤️‍💋‍👨🏼 E13.1 kiss: man, man, medium skin tone, medium-light skin tone</v>
      </c>
      <c r="C857" t="str">
        <f t="shared" si="81"/>
        <v xml:space="preserve">1F468 1F3FD 200D 2764 FE0F 200D 1F48B 200D 1F468 1F3FC </v>
      </c>
      <c r="D857">
        <f t="shared" si="82"/>
        <v>55</v>
      </c>
      <c r="E857" t="str">
        <f t="shared" si="78"/>
        <v xml:space="preserve"> 👨🏽‍❤️‍💋‍👨🏼 E13.1 kiss: man, man, medium skin tone, medium-light skin tone</v>
      </c>
      <c r="F857" t="b">
        <f t="shared" si="83"/>
        <v>1</v>
      </c>
      <c r="G857" t="str">
        <f t="shared" si="79"/>
        <v>1F468</v>
      </c>
      <c r="I857">
        <f>HEX2DEC(Table1[[#This Row],[utf8]])</f>
        <v>128104</v>
      </c>
      <c r="J857" t="str">
        <f>_xlfn.UNICHAR(HEX2DEC(Table1[[#This Row],[utf8]]))</f>
        <v>👨</v>
      </c>
      <c r="K857" s="3" t="str" cm="1">
        <f t="array" ref="K857">"Case "&amp;wRandomLetter()&amp;wRandomLetter()&amp;I857&amp;":    UniConst = ChrW(" &amp; I857 &amp;")"</f>
        <v>Case KZ128104:    UniConst = ChrW(128104)</v>
      </c>
    </row>
    <row r="858" spans="1:11" hidden="1">
      <c r="A858" t="s">
        <v>2791</v>
      </c>
      <c r="B858" t="str">
        <f t="shared" si="80"/>
        <v>1F468 1F3FD 200D 2764 FE0F 200D 1F48B 200D 1F468 1F3FD ; fully-qualified # 👨🏽‍❤️‍💋‍👨🏽 E13.1 kiss: man, man, medium skin tone</v>
      </c>
      <c r="C858" t="str">
        <f t="shared" si="81"/>
        <v xml:space="preserve">1F468 1F3FD 200D 2764 FE0F 200D 1F48B 200D 1F468 1F3FD </v>
      </c>
      <c r="D858">
        <f t="shared" si="82"/>
        <v>55</v>
      </c>
      <c r="E858" t="str">
        <f t="shared" si="78"/>
        <v xml:space="preserve"> 👨🏽‍❤️‍💋‍👨🏽 E13.1 kiss: man, man, medium skin tone</v>
      </c>
      <c r="F858" t="b">
        <f t="shared" si="83"/>
        <v>1</v>
      </c>
      <c r="G858" t="str">
        <f t="shared" si="79"/>
        <v>1F468</v>
      </c>
      <c r="I858">
        <f>HEX2DEC(Table1[[#This Row],[utf8]])</f>
        <v>128104</v>
      </c>
      <c r="J858" t="str">
        <f>_xlfn.UNICHAR(HEX2DEC(Table1[[#This Row],[utf8]]))</f>
        <v>👨</v>
      </c>
      <c r="K858" s="3" t="str" cm="1">
        <f t="array" ref="K858">"Case "&amp;wRandomLetter()&amp;wRandomLetter()&amp;I858&amp;":    UniConst = ChrW(" &amp; I858 &amp;")"</f>
        <v>Case SQ128104:    UniConst = ChrW(128104)</v>
      </c>
    </row>
    <row r="859" spans="1:11" hidden="1">
      <c r="A859" t="s">
        <v>2793</v>
      </c>
      <c r="B859" t="str">
        <f t="shared" si="80"/>
        <v>1F468 1F3FD 200D 2764 FE0F 200D 1F48B 200D 1F468 1F3FE ; fully-qualified # 👨🏽‍❤️‍💋‍👨🏾 E13.1 kiss: man, man, medium skin tone, medium-dark skin tone</v>
      </c>
      <c r="C859" t="str">
        <f t="shared" si="81"/>
        <v xml:space="preserve">1F468 1F3FD 200D 2764 FE0F 200D 1F48B 200D 1F468 1F3FE </v>
      </c>
      <c r="D859">
        <f t="shared" si="82"/>
        <v>55</v>
      </c>
      <c r="E859" t="str">
        <f t="shared" si="78"/>
        <v xml:space="preserve"> 👨🏽‍❤️‍💋‍👨🏾 E13.1 kiss: man, man, medium skin tone, medium-dark skin tone</v>
      </c>
      <c r="F859" t="b">
        <f t="shared" si="83"/>
        <v>1</v>
      </c>
      <c r="G859" t="str">
        <f t="shared" si="79"/>
        <v>1F468</v>
      </c>
      <c r="I859">
        <f>HEX2DEC(Table1[[#This Row],[utf8]])</f>
        <v>128104</v>
      </c>
      <c r="J859" t="str">
        <f>_xlfn.UNICHAR(HEX2DEC(Table1[[#This Row],[utf8]]))</f>
        <v>👨</v>
      </c>
      <c r="K859" s="3" t="str" cm="1">
        <f t="array" ref="K859">"Case "&amp;wRandomLetter()&amp;wRandomLetter()&amp;I859&amp;":    UniConst = ChrW(" &amp; I859 &amp;")"</f>
        <v>Case dJ128104:    UniConst = ChrW(128104)</v>
      </c>
    </row>
    <row r="860" spans="1:11" hidden="1">
      <c r="A860" t="s">
        <v>2795</v>
      </c>
      <c r="B860" t="str">
        <f t="shared" si="80"/>
        <v>1F468 1F3FD 200D 2764 FE0F 200D 1F48B 200D 1F468 1F3FF ; fully-qualified # 👨🏽‍❤️‍💋‍👨🏿 E13.1 kiss: man, man, medium skin tone, dark skin tone</v>
      </c>
      <c r="C860" t="str">
        <f t="shared" si="81"/>
        <v xml:space="preserve">1F468 1F3FD 200D 2764 FE0F 200D 1F48B 200D 1F468 1F3FF </v>
      </c>
      <c r="D860">
        <f t="shared" si="82"/>
        <v>55</v>
      </c>
      <c r="E860" t="str">
        <f t="shared" si="78"/>
        <v xml:space="preserve"> 👨🏽‍❤️‍💋‍👨🏿 E13.1 kiss: man, man, medium skin tone, dark skin tone</v>
      </c>
      <c r="F860" t="b">
        <f t="shared" si="83"/>
        <v>1</v>
      </c>
      <c r="G860" t="str">
        <f t="shared" si="79"/>
        <v>1F468</v>
      </c>
      <c r="I860">
        <f>HEX2DEC(Table1[[#This Row],[utf8]])</f>
        <v>128104</v>
      </c>
      <c r="J860" t="str">
        <f>_xlfn.UNICHAR(HEX2DEC(Table1[[#This Row],[utf8]]))</f>
        <v>👨</v>
      </c>
      <c r="K860" s="3" t="str" cm="1">
        <f t="array" ref="K860">"Case "&amp;wRandomLetter()&amp;wRandomLetter()&amp;I860&amp;":    UniConst = ChrW(" &amp; I860 &amp;")"</f>
        <v>Case Bv128104:    UniConst = ChrW(128104)</v>
      </c>
    </row>
    <row r="861" spans="1:11" hidden="1">
      <c r="A861" t="s">
        <v>488</v>
      </c>
      <c r="B861" t="str">
        <f t="shared" si="80"/>
        <v>1F468 1F3FE ; fully-qualified # 👨🏾 E1.0 man: medium-dark skin tone</v>
      </c>
      <c r="C861" t="str">
        <f t="shared" si="81"/>
        <v xml:space="preserve">1F468 1F3FE </v>
      </c>
      <c r="D861">
        <f t="shared" si="82"/>
        <v>12</v>
      </c>
      <c r="E861" t="str">
        <f t="shared" si="78"/>
        <v xml:space="preserve"> 👨🏾 E1.0 man: medium-dark skin tone</v>
      </c>
      <c r="F861" t="b">
        <f t="shared" si="83"/>
        <v>1</v>
      </c>
      <c r="G861" t="str">
        <f t="shared" si="79"/>
        <v>1F468</v>
      </c>
      <c r="I861">
        <f>HEX2DEC(Table1[[#This Row],[utf8]])</f>
        <v>128104</v>
      </c>
      <c r="J861" t="str">
        <f>_xlfn.UNICHAR(HEX2DEC(Table1[[#This Row],[utf8]]))</f>
        <v>👨</v>
      </c>
      <c r="K861" s="3" t="str" cm="1">
        <f t="array" ref="K861">"Case "&amp;wRandomLetter()&amp;wRandomLetter()&amp;I861&amp;":    UniConst = ChrW(" &amp; I861 &amp;")"</f>
        <v>Case kr128104:    UniConst = ChrW(128104)</v>
      </c>
    </row>
    <row r="862" spans="1:11" hidden="1">
      <c r="A862" t="s">
        <v>1060</v>
      </c>
      <c r="B862" t="str">
        <f t="shared" si="80"/>
        <v>1F468 1F3FE 200D 1F33E ; fully-qualified # 👨🏾‍🌾 E4.0 man farmer: medium-dark skin tone</v>
      </c>
      <c r="C862" t="str">
        <f t="shared" si="81"/>
        <v xml:space="preserve">1F468 1F3FE 200D 1F33E </v>
      </c>
      <c r="D862">
        <f t="shared" si="82"/>
        <v>23</v>
      </c>
      <c r="E862" t="str">
        <f t="shared" si="78"/>
        <v xml:space="preserve"> 👨🏾‍🌾 E4.0 man farmer: medium-dark skin tone</v>
      </c>
      <c r="F862" t="b">
        <f t="shared" si="83"/>
        <v>1</v>
      </c>
      <c r="G862" t="str">
        <f t="shared" si="79"/>
        <v>1F468</v>
      </c>
      <c r="I862">
        <f>HEX2DEC(Table1[[#This Row],[utf8]])</f>
        <v>128104</v>
      </c>
      <c r="J862" t="str">
        <f>_xlfn.UNICHAR(HEX2DEC(Table1[[#This Row],[utf8]]))</f>
        <v>👨</v>
      </c>
      <c r="K862" s="3" t="str" cm="1">
        <f t="array" ref="K862">"Case "&amp;wRandomLetter()&amp;wRandomLetter()&amp;I862&amp;":    UniConst = ChrW(" &amp; I862 &amp;")"</f>
        <v>Case yF128104:    UniConst = ChrW(128104)</v>
      </c>
    </row>
    <row r="863" spans="1:11" hidden="1">
      <c r="A863" t="s">
        <v>1078</v>
      </c>
      <c r="B863" t="str">
        <f t="shared" si="80"/>
        <v>1F468 1F3FE 200D 1F373 ; fully-qualified # 👨🏾‍🍳 E4.0 man cook: medium-dark skin tone</v>
      </c>
      <c r="C863" t="str">
        <f t="shared" si="81"/>
        <v xml:space="preserve">1F468 1F3FE 200D 1F373 </v>
      </c>
      <c r="D863">
        <f t="shared" si="82"/>
        <v>23</v>
      </c>
      <c r="E863" t="str">
        <f t="shared" si="78"/>
        <v xml:space="preserve"> 👨🏾‍🍳 E4.0 man cook: medium-dark skin tone</v>
      </c>
      <c r="F863" t="b">
        <f t="shared" si="83"/>
        <v>1</v>
      </c>
      <c r="G863" t="str">
        <f t="shared" si="79"/>
        <v>1F468</v>
      </c>
      <c r="I863">
        <f>HEX2DEC(Table1[[#This Row],[utf8]])</f>
        <v>128104</v>
      </c>
      <c r="J863" t="str">
        <f>_xlfn.UNICHAR(HEX2DEC(Table1[[#This Row],[utf8]]))</f>
        <v>👨</v>
      </c>
      <c r="K863" s="3" t="str" cm="1">
        <f t="array" ref="K863">"Case "&amp;wRandomLetter()&amp;wRandomLetter()&amp;I863&amp;":    UniConst = ChrW(" &amp; I863 &amp;")"</f>
        <v>Case cB128104:    UniConst = ChrW(128104)</v>
      </c>
    </row>
    <row r="864" spans="1:11" hidden="1">
      <c r="A864" t="s">
        <v>1551</v>
      </c>
      <c r="B864" t="str">
        <f t="shared" si="80"/>
        <v>1F468 1F3FE 200D 1F37C ; fully-qualified # 👨🏾‍🍼 E13.0 man feeding baby: medium-dark skin tone</v>
      </c>
      <c r="C864" t="str">
        <f t="shared" si="81"/>
        <v xml:space="preserve">1F468 1F3FE 200D 1F37C </v>
      </c>
      <c r="D864">
        <f t="shared" si="82"/>
        <v>23</v>
      </c>
      <c r="E864" t="str">
        <f t="shared" si="78"/>
        <v xml:space="preserve"> 👨🏾‍🍼 E13.0 man feeding baby: medium-dark skin tone</v>
      </c>
      <c r="F864" t="b">
        <f t="shared" si="83"/>
        <v>1</v>
      </c>
      <c r="G864" t="str">
        <f t="shared" si="79"/>
        <v>1F468</v>
      </c>
      <c r="I864">
        <f>HEX2DEC(Table1[[#This Row],[utf8]])</f>
        <v>128104</v>
      </c>
      <c r="J864" t="str">
        <f>_xlfn.UNICHAR(HEX2DEC(Table1[[#This Row],[utf8]]))</f>
        <v>👨</v>
      </c>
      <c r="K864" s="3" t="str" cm="1">
        <f t="array" ref="K864">"Case "&amp;wRandomLetter()&amp;wRandomLetter()&amp;I864&amp;":    UniConst = ChrW(" &amp; I864 &amp;")"</f>
        <v>Case ac128104:    UniConst = ChrW(128104)</v>
      </c>
    </row>
    <row r="865" spans="1:11" hidden="1">
      <c r="A865" t="s">
        <v>988</v>
      </c>
      <c r="B865" t="str">
        <f t="shared" si="80"/>
        <v>1F468 1F3FE 200D 1F393 ; fully-qualified # 👨🏾‍🎓 E4.0 man student: medium-dark skin tone</v>
      </c>
      <c r="C865" t="str">
        <f t="shared" si="81"/>
        <v xml:space="preserve">1F468 1F3FE 200D 1F393 </v>
      </c>
      <c r="D865">
        <f t="shared" si="82"/>
        <v>23</v>
      </c>
      <c r="E865" t="str">
        <f t="shared" si="78"/>
        <v xml:space="preserve"> 👨🏾‍🎓 E4.0 man student: medium-dark skin tone</v>
      </c>
      <c r="F865" t="b">
        <f t="shared" si="83"/>
        <v>1</v>
      </c>
      <c r="G865" t="str">
        <f t="shared" si="79"/>
        <v>1F468</v>
      </c>
      <c r="I865">
        <f>HEX2DEC(Table1[[#This Row],[utf8]])</f>
        <v>128104</v>
      </c>
      <c r="J865" t="str">
        <f>_xlfn.UNICHAR(HEX2DEC(Table1[[#This Row],[utf8]]))</f>
        <v>👨</v>
      </c>
      <c r="K865" s="3" t="str" cm="1">
        <f t="array" ref="K865">"Case "&amp;wRandomLetter()&amp;wRandomLetter()&amp;I865&amp;":    UniConst = ChrW(" &amp; I865 &amp;")"</f>
        <v>Case lH128104:    UniConst = ChrW(128104)</v>
      </c>
    </row>
    <row r="866" spans="1:11" hidden="1">
      <c r="A866" t="s">
        <v>1186</v>
      </c>
      <c r="B866" t="str">
        <f t="shared" si="80"/>
        <v>1F468 1F3FE 200D 1F3A4 ; fully-qualified # 👨🏾‍🎤 E4.0 man singer: medium-dark skin tone</v>
      </c>
      <c r="C866" t="str">
        <f t="shared" si="81"/>
        <v xml:space="preserve">1F468 1F3FE 200D 1F3A4 </v>
      </c>
      <c r="D866">
        <f t="shared" si="82"/>
        <v>23</v>
      </c>
      <c r="E866" t="str">
        <f t="shared" si="78"/>
        <v xml:space="preserve"> 👨🏾‍🎤 E4.0 man singer: medium-dark skin tone</v>
      </c>
      <c r="F866" t="b">
        <f t="shared" si="83"/>
        <v>1</v>
      </c>
      <c r="G866" t="str">
        <f t="shared" si="79"/>
        <v>1F468</v>
      </c>
      <c r="I866">
        <f>HEX2DEC(Table1[[#This Row],[utf8]])</f>
        <v>128104</v>
      </c>
      <c r="J866" t="str">
        <f>_xlfn.UNICHAR(HEX2DEC(Table1[[#This Row],[utf8]]))</f>
        <v>👨</v>
      </c>
      <c r="K866" s="3" t="str" cm="1">
        <f t="array" ref="K866">"Case "&amp;wRandomLetter()&amp;wRandomLetter()&amp;I866&amp;":    UniConst = ChrW(" &amp; I866 &amp;")"</f>
        <v>Case Md128104:    UniConst = ChrW(128104)</v>
      </c>
    </row>
    <row r="867" spans="1:11" hidden="1">
      <c r="A867" t="s">
        <v>1204</v>
      </c>
      <c r="B867" t="str">
        <f t="shared" si="80"/>
        <v>1F468 1F3FE 200D 1F3A8 ; fully-qualified # 👨🏾‍🎨 E4.0 man artist: medium-dark skin tone</v>
      </c>
      <c r="C867" t="str">
        <f t="shared" si="81"/>
        <v xml:space="preserve">1F468 1F3FE 200D 1F3A8 </v>
      </c>
      <c r="D867">
        <f t="shared" si="82"/>
        <v>23</v>
      </c>
      <c r="E867" t="str">
        <f t="shared" si="78"/>
        <v xml:space="preserve"> 👨🏾‍🎨 E4.0 man artist: medium-dark skin tone</v>
      </c>
      <c r="F867" t="b">
        <f t="shared" si="83"/>
        <v>1</v>
      </c>
      <c r="G867" t="str">
        <f t="shared" si="79"/>
        <v>1F468</v>
      </c>
      <c r="I867">
        <f>HEX2DEC(Table1[[#This Row],[utf8]])</f>
        <v>128104</v>
      </c>
      <c r="J867" t="str">
        <f>_xlfn.UNICHAR(HEX2DEC(Table1[[#This Row],[utf8]]))</f>
        <v>👨</v>
      </c>
      <c r="K867" s="3" t="str" cm="1">
        <f t="array" ref="K867">"Case "&amp;wRandomLetter()&amp;wRandomLetter()&amp;I867&amp;":    UniConst = ChrW(" &amp; I867 &amp;")"</f>
        <v>Case Fi128104:    UniConst = ChrW(128104)</v>
      </c>
    </row>
    <row r="868" spans="1:11" hidden="1">
      <c r="A868" t="s">
        <v>1006</v>
      </c>
      <c r="B868" t="str">
        <f t="shared" si="80"/>
        <v>1F468 1F3FE 200D 1F3EB ; fully-qualified # 👨🏾‍🏫 E4.0 man teacher: medium-dark skin tone</v>
      </c>
      <c r="C868" t="str">
        <f t="shared" si="81"/>
        <v xml:space="preserve">1F468 1F3FE 200D 1F3EB </v>
      </c>
      <c r="D868">
        <f t="shared" si="82"/>
        <v>23</v>
      </c>
      <c r="E868" t="str">
        <f t="shared" si="78"/>
        <v xml:space="preserve"> 👨🏾‍🏫 E4.0 man teacher: medium-dark skin tone</v>
      </c>
      <c r="F868" t="b">
        <f t="shared" si="83"/>
        <v>1</v>
      </c>
      <c r="G868" t="str">
        <f t="shared" si="79"/>
        <v>1F468</v>
      </c>
      <c r="I868">
        <f>HEX2DEC(Table1[[#This Row],[utf8]])</f>
        <v>128104</v>
      </c>
      <c r="J868" t="str">
        <f>_xlfn.UNICHAR(HEX2DEC(Table1[[#This Row],[utf8]]))</f>
        <v>👨</v>
      </c>
      <c r="K868" s="3" t="str" cm="1">
        <f t="array" ref="K868">"Case "&amp;wRandomLetter()&amp;wRandomLetter()&amp;I868&amp;":    UniConst = ChrW(" &amp; I868 &amp;")"</f>
        <v>Case Jm128104:    UniConst = ChrW(128104)</v>
      </c>
    </row>
    <row r="869" spans="1:11" hidden="1">
      <c r="A869" t="s">
        <v>1114</v>
      </c>
      <c r="B869" t="str">
        <f t="shared" si="80"/>
        <v>1F468 1F3FE 200D 1F3ED ; fully-qualified # 👨🏾‍🏭 E4.0 man factory worker: medium-dark skin tone</v>
      </c>
      <c r="C869" t="str">
        <f t="shared" si="81"/>
        <v xml:space="preserve">1F468 1F3FE 200D 1F3ED </v>
      </c>
      <c r="D869">
        <f t="shared" si="82"/>
        <v>23</v>
      </c>
      <c r="E869" t="str">
        <f t="shared" si="78"/>
        <v xml:space="preserve"> 👨🏾‍🏭 E4.0 man factory worker: medium-dark skin tone</v>
      </c>
      <c r="F869" t="b">
        <f t="shared" si="83"/>
        <v>1</v>
      </c>
      <c r="G869" t="str">
        <f t="shared" si="79"/>
        <v>1F468</v>
      </c>
      <c r="I869">
        <f>HEX2DEC(Table1[[#This Row],[utf8]])</f>
        <v>128104</v>
      </c>
      <c r="J869" t="str">
        <f>_xlfn.UNICHAR(HEX2DEC(Table1[[#This Row],[utf8]]))</f>
        <v>👨</v>
      </c>
      <c r="K869" s="3" t="str" cm="1">
        <f t="array" ref="K869">"Case "&amp;wRandomLetter()&amp;wRandomLetter()&amp;I869&amp;":    UniConst = ChrW(" &amp; I869 &amp;")"</f>
        <v>Case dK128104:    UniConst = ChrW(128104)</v>
      </c>
    </row>
    <row r="870" spans="1:11" hidden="1">
      <c r="A870" t="s">
        <v>1168</v>
      </c>
      <c r="B870" t="str">
        <f t="shared" si="80"/>
        <v>1F468 1F3FE 200D 1F4BB ; fully-qualified # 👨🏾‍💻 E4.0 man technologist: medium-dark skin tone</v>
      </c>
      <c r="C870" t="str">
        <f t="shared" si="81"/>
        <v xml:space="preserve">1F468 1F3FE 200D 1F4BB </v>
      </c>
      <c r="D870">
        <f t="shared" si="82"/>
        <v>23</v>
      </c>
      <c r="E870" t="str">
        <f t="shared" si="78"/>
        <v xml:space="preserve"> 👨🏾‍💻 E4.0 man technologist: medium-dark skin tone</v>
      </c>
      <c r="F870" t="b">
        <f t="shared" si="83"/>
        <v>1</v>
      </c>
      <c r="G870" t="str">
        <f t="shared" si="79"/>
        <v>1F468</v>
      </c>
      <c r="I870">
        <f>HEX2DEC(Table1[[#This Row],[utf8]])</f>
        <v>128104</v>
      </c>
      <c r="J870" t="str">
        <f>_xlfn.UNICHAR(HEX2DEC(Table1[[#This Row],[utf8]]))</f>
        <v>👨</v>
      </c>
      <c r="K870" s="3" t="str" cm="1">
        <f t="array" ref="K870">"Case "&amp;wRandomLetter()&amp;wRandomLetter()&amp;I870&amp;":    UniConst = ChrW(" &amp; I870 &amp;")"</f>
        <v>Case LJ128104:    UniConst = ChrW(128104)</v>
      </c>
    </row>
    <row r="871" spans="1:11" hidden="1">
      <c r="A871" t="s">
        <v>1132</v>
      </c>
      <c r="B871" t="str">
        <f t="shared" si="80"/>
        <v>1F468 1F3FE 200D 1F4BC ; fully-qualified # 👨🏾‍💼 E4.0 man office worker: medium-dark skin tone</v>
      </c>
      <c r="C871" t="str">
        <f t="shared" si="81"/>
        <v xml:space="preserve">1F468 1F3FE 200D 1F4BC </v>
      </c>
      <c r="D871">
        <f t="shared" si="82"/>
        <v>23</v>
      </c>
      <c r="E871" t="str">
        <f t="shared" si="78"/>
        <v xml:space="preserve"> 👨🏾‍💼 E4.0 man office worker: medium-dark skin tone</v>
      </c>
      <c r="F871" t="b">
        <f t="shared" si="83"/>
        <v>1</v>
      </c>
      <c r="G871" t="str">
        <f t="shared" si="79"/>
        <v>1F468</v>
      </c>
      <c r="I871">
        <f>HEX2DEC(Table1[[#This Row],[utf8]])</f>
        <v>128104</v>
      </c>
      <c r="J871" t="str">
        <f>_xlfn.UNICHAR(HEX2DEC(Table1[[#This Row],[utf8]]))</f>
        <v>👨</v>
      </c>
      <c r="K871" s="3" t="str" cm="1">
        <f t="array" ref="K871">"Case "&amp;wRandomLetter()&amp;wRandomLetter()&amp;I871&amp;":    UniConst = ChrW(" &amp; I871 &amp;")"</f>
        <v>Case Fk128104:    UniConst = ChrW(128104)</v>
      </c>
    </row>
    <row r="872" spans="1:11" hidden="1">
      <c r="A872" t="s">
        <v>1096</v>
      </c>
      <c r="B872" t="str">
        <f t="shared" si="80"/>
        <v>1F468 1F3FE 200D 1F527 ; fully-qualified # 👨🏾‍🔧 E4.0 man mechanic: medium-dark skin tone</v>
      </c>
      <c r="C872" t="str">
        <f t="shared" si="81"/>
        <v xml:space="preserve">1F468 1F3FE 200D 1F527 </v>
      </c>
      <c r="D872">
        <f t="shared" si="82"/>
        <v>23</v>
      </c>
      <c r="E872" t="str">
        <f t="shared" si="78"/>
        <v xml:space="preserve"> 👨🏾‍🔧 E4.0 man mechanic: medium-dark skin tone</v>
      </c>
      <c r="F872" t="b">
        <f t="shared" si="83"/>
        <v>1</v>
      </c>
      <c r="G872" t="str">
        <f t="shared" si="79"/>
        <v>1F468</v>
      </c>
      <c r="I872">
        <f>HEX2DEC(Table1[[#This Row],[utf8]])</f>
        <v>128104</v>
      </c>
      <c r="J872" t="str">
        <f>_xlfn.UNICHAR(HEX2DEC(Table1[[#This Row],[utf8]]))</f>
        <v>👨</v>
      </c>
      <c r="K872" s="3" t="str" cm="1">
        <f t="array" ref="K872">"Case "&amp;wRandomLetter()&amp;wRandomLetter()&amp;I872&amp;":    UniConst = ChrW(" &amp; I872 &amp;")"</f>
        <v>Case xI128104:    UniConst = ChrW(128104)</v>
      </c>
    </row>
    <row r="873" spans="1:11" hidden="1">
      <c r="A873" t="s">
        <v>1150</v>
      </c>
      <c r="B873" t="str">
        <f t="shared" si="80"/>
        <v>1F468 1F3FE 200D 1F52C ; fully-qualified # 👨🏾‍🔬 E4.0 man scientist: medium-dark skin tone</v>
      </c>
      <c r="C873" t="str">
        <f t="shared" si="81"/>
        <v xml:space="preserve">1F468 1F3FE 200D 1F52C </v>
      </c>
      <c r="D873">
        <f t="shared" si="82"/>
        <v>23</v>
      </c>
      <c r="E873" t="str">
        <f t="shared" si="78"/>
        <v xml:space="preserve"> 👨🏾‍🔬 E4.0 man scientist: medium-dark skin tone</v>
      </c>
      <c r="F873" t="b">
        <f t="shared" si="83"/>
        <v>1</v>
      </c>
      <c r="G873" t="str">
        <f t="shared" si="79"/>
        <v>1F468</v>
      </c>
      <c r="I873">
        <f>HEX2DEC(Table1[[#This Row],[utf8]])</f>
        <v>128104</v>
      </c>
      <c r="J873" t="str">
        <f>_xlfn.UNICHAR(HEX2DEC(Table1[[#This Row],[utf8]]))</f>
        <v>👨</v>
      </c>
      <c r="K873" s="3" t="str" cm="1">
        <f t="array" ref="K873">"Case "&amp;wRandomLetter()&amp;wRandomLetter()&amp;I873&amp;":    UniConst = ChrW(" &amp; I873 &amp;")"</f>
        <v>Case YA128104:    UniConst = ChrW(128104)</v>
      </c>
    </row>
    <row r="874" spans="1:11" hidden="1">
      <c r="A874" t="s">
        <v>1258</v>
      </c>
      <c r="B874" t="str">
        <f t="shared" si="80"/>
        <v>1F468 1F3FE 200D 1F680 ; fully-qualified # 👨🏾‍🚀 E4.0 man astronaut: medium-dark skin tone</v>
      </c>
      <c r="C874" t="str">
        <f t="shared" si="81"/>
        <v xml:space="preserve">1F468 1F3FE 200D 1F680 </v>
      </c>
      <c r="D874">
        <f t="shared" si="82"/>
        <v>23</v>
      </c>
      <c r="E874" t="str">
        <f t="shared" si="78"/>
        <v xml:space="preserve"> 👨🏾‍🚀 E4.0 man astronaut: medium-dark skin tone</v>
      </c>
      <c r="F874" t="b">
        <f t="shared" si="83"/>
        <v>1</v>
      </c>
      <c r="G874" t="str">
        <f t="shared" si="79"/>
        <v>1F468</v>
      </c>
      <c r="I874">
        <f>HEX2DEC(Table1[[#This Row],[utf8]])</f>
        <v>128104</v>
      </c>
      <c r="J874" t="str">
        <f>_xlfn.UNICHAR(HEX2DEC(Table1[[#This Row],[utf8]]))</f>
        <v>👨</v>
      </c>
      <c r="K874" s="3" t="str" cm="1">
        <f t="array" ref="K874">"Case "&amp;wRandomLetter()&amp;wRandomLetter()&amp;I874&amp;":    UniConst = ChrW(" &amp; I874 &amp;")"</f>
        <v>Case yt128104:    UniConst = ChrW(128104)</v>
      </c>
    </row>
    <row r="875" spans="1:11" hidden="1">
      <c r="A875" t="s">
        <v>1276</v>
      </c>
      <c r="B875" t="str">
        <f t="shared" si="80"/>
        <v>1F468 1F3FE 200D 1F692 ; fully-qualified # 👨🏾‍🚒 E4.0 man firefighter: medium-dark skin tone</v>
      </c>
      <c r="C875" t="str">
        <f t="shared" si="81"/>
        <v xml:space="preserve">1F468 1F3FE 200D 1F692 </v>
      </c>
      <c r="D875">
        <f t="shared" si="82"/>
        <v>23</v>
      </c>
      <c r="E875" t="str">
        <f t="shared" si="78"/>
        <v xml:space="preserve"> 👨🏾‍🚒 E4.0 man firefighter: medium-dark skin tone</v>
      </c>
      <c r="F875" t="b">
        <f t="shared" si="83"/>
        <v>1</v>
      </c>
      <c r="G875" t="str">
        <f t="shared" si="79"/>
        <v>1F468</v>
      </c>
      <c r="I875">
        <f>HEX2DEC(Table1[[#This Row],[utf8]])</f>
        <v>128104</v>
      </c>
      <c r="J875" t="str">
        <f>_xlfn.UNICHAR(HEX2DEC(Table1[[#This Row],[utf8]]))</f>
        <v>👨</v>
      </c>
      <c r="K875" s="3" t="str" cm="1">
        <f t="array" ref="K875">"Case "&amp;wRandomLetter()&amp;wRandomLetter()&amp;I875&amp;":    UniConst = ChrW(" &amp; I875 &amp;")"</f>
        <v>Case pr128104:    UniConst = ChrW(128104)</v>
      </c>
    </row>
    <row r="876" spans="1:11" hidden="1">
      <c r="A876" t="s">
        <v>2657</v>
      </c>
      <c r="B876" t="str">
        <f t="shared" si="80"/>
        <v>1F468 1F3FE 200D 1F91D 200D 1F468 1F3FB ; fully-qualified # 👨🏾‍🤝‍👨🏻 E12.0 men holding hands: medium-dark skin tone, light skin tone</v>
      </c>
      <c r="C876" t="str">
        <f t="shared" si="81"/>
        <v xml:space="preserve">1F468 1F3FE 200D 1F91D 200D 1F468 1F3FB </v>
      </c>
      <c r="D876">
        <f t="shared" si="82"/>
        <v>40</v>
      </c>
      <c r="E876" t="str">
        <f t="shared" si="78"/>
        <v xml:space="preserve"> 👨🏾‍🤝‍👨🏻 E12.0 men holding hands: medium-dark skin tone, light skin tone</v>
      </c>
      <c r="F876" t="b">
        <f t="shared" si="83"/>
        <v>1</v>
      </c>
      <c r="G876" t="str">
        <f t="shared" si="79"/>
        <v>1F468</v>
      </c>
      <c r="I876">
        <f>HEX2DEC(Table1[[#This Row],[utf8]])</f>
        <v>128104</v>
      </c>
      <c r="J876" t="str">
        <f>_xlfn.UNICHAR(HEX2DEC(Table1[[#This Row],[utf8]]))</f>
        <v>👨</v>
      </c>
      <c r="K876" s="3" t="str" cm="1">
        <f t="array" ref="K876">"Case "&amp;wRandomLetter()&amp;wRandomLetter()&amp;I876&amp;":    UniConst = ChrW(" &amp; I876 &amp;")"</f>
        <v>Case aE128104:    UniConst = ChrW(128104)</v>
      </c>
    </row>
    <row r="877" spans="1:11" hidden="1">
      <c r="A877" t="s">
        <v>2658</v>
      </c>
      <c r="B877" t="str">
        <f t="shared" si="80"/>
        <v>1F468 1F3FE 200D 1F91D 200D 1F468 1F3FC ; fully-qualified # 👨🏾‍🤝‍👨🏼 E12.0 men holding hands: medium-dark skin tone, medium-light skin tone</v>
      </c>
      <c r="C877" t="str">
        <f t="shared" si="81"/>
        <v xml:space="preserve">1F468 1F3FE 200D 1F91D 200D 1F468 1F3FC </v>
      </c>
      <c r="D877">
        <f t="shared" si="82"/>
        <v>40</v>
      </c>
      <c r="E877" t="str">
        <f t="shared" si="78"/>
        <v xml:space="preserve"> 👨🏾‍🤝‍👨🏼 E12.0 men holding hands: medium-dark skin tone, medium-light skin tone</v>
      </c>
      <c r="F877" t="b">
        <f t="shared" si="83"/>
        <v>1</v>
      </c>
      <c r="G877" t="str">
        <f t="shared" si="79"/>
        <v>1F468</v>
      </c>
      <c r="I877">
        <f>HEX2DEC(Table1[[#This Row],[utf8]])</f>
        <v>128104</v>
      </c>
      <c r="J877" t="str">
        <f>_xlfn.UNICHAR(HEX2DEC(Table1[[#This Row],[utf8]]))</f>
        <v>👨</v>
      </c>
      <c r="K877" s="3" t="str" cm="1">
        <f t="array" ref="K877">"Case "&amp;wRandomLetter()&amp;wRandomLetter()&amp;I877&amp;":    UniConst = ChrW(" &amp; I877 &amp;")"</f>
        <v>Case oX128104:    UniConst = ChrW(128104)</v>
      </c>
    </row>
    <row r="878" spans="1:11" hidden="1">
      <c r="A878" t="s">
        <v>2659</v>
      </c>
      <c r="B878" t="str">
        <f t="shared" si="80"/>
        <v>1F468 1F3FE 200D 1F91D 200D 1F468 1F3FD ; fully-qualified # 👨🏾‍🤝‍👨🏽 E12.0 men holding hands: medium-dark skin tone, medium skin tone</v>
      </c>
      <c r="C878" t="str">
        <f t="shared" si="81"/>
        <v xml:space="preserve">1F468 1F3FE 200D 1F91D 200D 1F468 1F3FD </v>
      </c>
      <c r="D878">
        <f t="shared" si="82"/>
        <v>40</v>
      </c>
      <c r="E878" t="str">
        <f t="shared" si="78"/>
        <v xml:space="preserve"> 👨🏾‍🤝‍👨🏽 E12.0 men holding hands: medium-dark skin tone, medium skin tone</v>
      </c>
      <c r="F878" t="b">
        <f t="shared" si="83"/>
        <v>1</v>
      </c>
      <c r="G878" t="str">
        <f t="shared" si="79"/>
        <v>1F468</v>
      </c>
      <c r="I878">
        <f>HEX2DEC(Table1[[#This Row],[utf8]])</f>
        <v>128104</v>
      </c>
      <c r="J878" t="str">
        <f>_xlfn.UNICHAR(HEX2DEC(Table1[[#This Row],[utf8]]))</f>
        <v>👨</v>
      </c>
      <c r="K878" s="3" t="str" cm="1">
        <f t="array" ref="K878">"Case "&amp;wRandomLetter()&amp;wRandomLetter()&amp;I878&amp;":    UniConst = ChrW(" &amp; I878 &amp;")"</f>
        <v>Case Uq128104:    UniConst = ChrW(128104)</v>
      </c>
    </row>
    <row r="879" spans="1:11" hidden="1">
      <c r="A879" t="s">
        <v>2661</v>
      </c>
      <c r="B879" t="str">
        <f t="shared" si="80"/>
        <v>1F468 1F3FE 200D 1F91D 200D 1F468 1F3FF ; fully-qualified # 👨🏾‍🤝‍👨🏿 E12.1 men holding hands: medium-dark skin tone, dark skin tone</v>
      </c>
      <c r="C879" t="str">
        <f t="shared" si="81"/>
        <v xml:space="preserve">1F468 1F3FE 200D 1F91D 200D 1F468 1F3FF </v>
      </c>
      <c r="D879">
        <f t="shared" si="82"/>
        <v>40</v>
      </c>
      <c r="E879" t="str">
        <f t="shared" si="78"/>
        <v xml:space="preserve"> 👨🏾‍🤝‍👨🏿 E12.1 men holding hands: medium-dark skin tone, dark skin tone</v>
      </c>
      <c r="F879" t="b">
        <f t="shared" si="83"/>
        <v>1</v>
      </c>
      <c r="G879" t="str">
        <f t="shared" si="79"/>
        <v>1F468</v>
      </c>
      <c r="I879">
        <f>HEX2DEC(Table1[[#This Row],[utf8]])</f>
        <v>128104</v>
      </c>
      <c r="J879" t="str">
        <f>_xlfn.UNICHAR(HEX2DEC(Table1[[#This Row],[utf8]]))</f>
        <v>👨</v>
      </c>
      <c r="K879" s="3" t="str" cm="1">
        <f t="array" ref="K879">"Case "&amp;wRandomLetter()&amp;wRandomLetter()&amp;I879&amp;":    UniConst = ChrW(" &amp; I879 &amp;")"</f>
        <v>Case gC128104:    UniConst = ChrW(128104)</v>
      </c>
    </row>
    <row r="880" spans="1:11" hidden="1">
      <c r="A880" t="s">
        <v>1965</v>
      </c>
      <c r="B880" t="str">
        <f t="shared" si="80"/>
        <v>1F468 1F3FE 200D 1F9AF ; fully-qualified # 👨🏾‍🦯 E12.0 man with white cane: medium-dark skin tone</v>
      </c>
      <c r="C880" t="str">
        <f t="shared" si="81"/>
        <v xml:space="preserve">1F468 1F3FE 200D 1F9AF </v>
      </c>
      <c r="D880">
        <f t="shared" si="82"/>
        <v>23</v>
      </c>
      <c r="E880" t="str">
        <f t="shared" si="78"/>
        <v xml:space="preserve"> 👨🏾‍🦯 E12.0 man with white cane: medium-dark skin tone</v>
      </c>
      <c r="F880" t="b">
        <f t="shared" si="83"/>
        <v>1</v>
      </c>
      <c r="G880" t="str">
        <f t="shared" si="79"/>
        <v>1F468</v>
      </c>
      <c r="I880">
        <f>HEX2DEC(Table1[[#This Row],[utf8]])</f>
        <v>128104</v>
      </c>
      <c r="J880" t="str">
        <f>_xlfn.UNICHAR(HEX2DEC(Table1[[#This Row],[utf8]]))</f>
        <v>👨</v>
      </c>
      <c r="K880" s="3" t="str" cm="1">
        <f t="array" ref="K880">"Case "&amp;wRandomLetter()&amp;wRandomLetter()&amp;I880&amp;":    UniConst = ChrW(" &amp; I880 &amp;")"</f>
        <v>Case Me128104:    UniConst = ChrW(128104)</v>
      </c>
    </row>
    <row r="881" spans="1:11" hidden="1">
      <c r="A881" t="s">
        <v>524</v>
      </c>
      <c r="B881" t="str">
        <f t="shared" si="80"/>
        <v>1F468 1F3FE 200D 1F9B0 ; fully-qualified # 👨🏾‍🦰 E11.0 man: medium-dark skin tone, red hair</v>
      </c>
      <c r="C881" t="str">
        <f t="shared" si="81"/>
        <v xml:space="preserve">1F468 1F3FE 200D 1F9B0 </v>
      </c>
      <c r="D881">
        <f t="shared" si="82"/>
        <v>23</v>
      </c>
      <c r="E881" t="str">
        <f t="shared" si="78"/>
        <v xml:space="preserve"> 👨🏾‍🦰 E11.0 man: medium-dark skin tone, red hair</v>
      </c>
      <c r="F881" t="b">
        <f t="shared" si="83"/>
        <v>1</v>
      </c>
      <c r="G881" t="str">
        <f t="shared" si="79"/>
        <v>1F468</v>
      </c>
      <c r="I881">
        <f>HEX2DEC(Table1[[#This Row],[utf8]])</f>
        <v>128104</v>
      </c>
      <c r="J881" t="str">
        <f>_xlfn.UNICHAR(HEX2DEC(Table1[[#This Row],[utf8]]))</f>
        <v>👨</v>
      </c>
      <c r="K881" s="3" t="str" cm="1">
        <f t="array" ref="K881">"Case "&amp;wRandomLetter()&amp;wRandomLetter()&amp;I881&amp;":    UniConst = ChrW(" &amp; I881 &amp;")"</f>
        <v>Case TR128104:    UniConst = ChrW(128104)</v>
      </c>
    </row>
    <row r="882" spans="1:11" hidden="1">
      <c r="A882" t="s">
        <v>530</v>
      </c>
      <c r="B882" t="str">
        <f t="shared" si="80"/>
        <v>1F468 1F3FE 200D 1F9B1 ; fully-qualified # 👨🏾‍🦱 E11.0 man: medium-dark skin tone, curly hair</v>
      </c>
      <c r="C882" t="str">
        <f t="shared" si="81"/>
        <v xml:space="preserve">1F468 1F3FE 200D 1F9B1 </v>
      </c>
      <c r="D882">
        <f t="shared" si="82"/>
        <v>23</v>
      </c>
      <c r="E882" t="str">
        <f t="shared" si="78"/>
        <v xml:space="preserve"> 👨🏾‍🦱 E11.0 man: medium-dark skin tone, curly hair</v>
      </c>
      <c r="F882" t="b">
        <f t="shared" si="83"/>
        <v>1</v>
      </c>
      <c r="G882" t="str">
        <f t="shared" si="79"/>
        <v>1F468</v>
      </c>
      <c r="I882">
        <f>HEX2DEC(Table1[[#This Row],[utf8]])</f>
        <v>128104</v>
      </c>
      <c r="J882" t="str">
        <f>_xlfn.UNICHAR(HEX2DEC(Table1[[#This Row],[utf8]]))</f>
        <v>👨</v>
      </c>
      <c r="K882" s="3" t="str" cm="1">
        <f t="array" ref="K882">"Case "&amp;wRandomLetter()&amp;wRandomLetter()&amp;I882&amp;":    UniConst = ChrW(" &amp; I882 &amp;")"</f>
        <v>Case kU128104:    UniConst = ChrW(128104)</v>
      </c>
    </row>
    <row r="883" spans="1:11" hidden="1">
      <c r="A883" t="s">
        <v>542</v>
      </c>
      <c r="B883" t="str">
        <f t="shared" si="80"/>
        <v>1F468 1F3FE 200D 1F9B2 ; fully-qualified # 👨🏾‍🦲 E11.0 man: medium-dark skin tone, bald</v>
      </c>
      <c r="C883" t="str">
        <f t="shared" si="81"/>
        <v xml:space="preserve">1F468 1F3FE 200D 1F9B2 </v>
      </c>
      <c r="D883">
        <f t="shared" si="82"/>
        <v>23</v>
      </c>
      <c r="E883" t="str">
        <f t="shared" si="78"/>
        <v xml:space="preserve"> 👨🏾‍🦲 E11.0 man: medium-dark skin tone, bald</v>
      </c>
      <c r="F883" t="b">
        <f t="shared" si="83"/>
        <v>1</v>
      </c>
      <c r="G883" t="str">
        <f t="shared" si="79"/>
        <v>1F468</v>
      </c>
      <c r="I883">
        <f>HEX2DEC(Table1[[#This Row],[utf8]])</f>
        <v>128104</v>
      </c>
      <c r="J883" t="str">
        <f>_xlfn.UNICHAR(HEX2DEC(Table1[[#This Row],[utf8]]))</f>
        <v>👨</v>
      </c>
      <c r="K883" s="3" t="str" cm="1">
        <f t="array" ref="K883">"Case "&amp;wRandomLetter()&amp;wRandomLetter()&amp;I883&amp;":    UniConst = ChrW(" &amp; I883 &amp;")"</f>
        <v>Case zp128104:    UniConst = ChrW(128104)</v>
      </c>
    </row>
    <row r="884" spans="1:11" hidden="1">
      <c r="A884" t="s">
        <v>536</v>
      </c>
      <c r="B884" t="str">
        <f t="shared" si="80"/>
        <v>1F468 1F3FE 200D 1F9B3 ; fully-qualified # 👨🏾‍🦳 E11.0 man: medium-dark skin tone, white hair</v>
      </c>
      <c r="C884" t="str">
        <f t="shared" si="81"/>
        <v xml:space="preserve">1F468 1F3FE 200D 1F9B3 </v>
      </c>
      <c r="D884">
        <f t="shared" si="82"/>
        <v>23</v>
      </c>
      <c r="E884" t="str">
        <f t="shared" si="78"/>
        <v xml:space="preserve"> 👨🏾‍🦳 E11.0 man: medium-dark skin tone, white hair</v>
      </c>
      <c r="F884" t="b">
        <f t="shared" si="83"/>
        <v>1</v>
      </c>
      <c r="G884" t="str">
        <f t="shared" si="79"/>
        <v>1F468</v>
      </c>
      <c r="I884">
        <f>HEX2DEC(Table1[[#This Row],[utf8]])</f>
        <v>128104</v>
      </c>
      <c r="J884" t="str">
        <f>_xlfn.UNICHAR(HEX2DEC(Table1[[#This Row],[utf8]]))</f>
        <v>👨</v>
      </c>
      <c r="K884" s="3" t="str" cm="1">
        <f t="array" ref="K884">"Case "&amp;wRandomLetter()&amp;wRandomLetter()&amp;I884&amp;":    UniConst = ChrW(" &amp; I884 &amp;")"</f>
        <v>Case Ut128104:    UniConst = ChrW(128104)</v>
      </c>
    </row>
    <row r="885" spans="1:11" hidden="1">
      <c r="A885" t="s">
        <v>1983</v>
      </c>
      <c r="B885" t="str">
        <f t="shared" si="80"/>
        <v>1F468 1F3FE 200D 1F9BC ; fully-qualified # 👨🏾‍🦼 E12.0 man in motorized wheelchair: medium-dark skin tone</v>
      </c>
      <c r="C885" t="str">
        <f t="shared" si="81"/>
        <v xml:space="preserve">1F468 1F3FE 200D 1F9BC </v>
      </c>
      <c r="D885">
        <f t="shared" si="82"/>
        <v>23</v>
      </c>
      <c r="E885" t="str">
        <f t="shared" si="78"/>
        <v xml:space="preserve"> 👨🏾‍🦼 E12.0 man in motorized wheelchair: medium-dark skin tone</v>
      </c>
      <c r="F885" t="b">
        <f t="shared" si="83"/>
        <v>1</v>
      </c>
      <c r="G885" t="str">
        <f t="shared" si="79"/>
        <v>1F468</v>
      </c>
      <c r="I885">
        <f>HEX2DEC(Table1[[#This Row],[utf8]])</f>
        <v>128104</v>
      </c>
      <c r="J885" t="str">
        <f>_xlfn.UNICHAR(HEX2DEC(Table1[[#This Row],[utf8]]))</f>
        <v>👨</v>
      </c>
      <c r="K885" s="3" t="str" cm="1">
        <f t="array" ref="K885">"Case "&amp;wRandomLetter()&amp;wRandomLetter()&amp;I885&amp;":    UniConst = ChrW(" &amp; I885 &amp;")"</f>
        <v>Case ae128104:    UniConst = ChrW(128104)</v>
      </c>
    </row>
    <row r="886" spans="1:11" hidden="1">
      <c r="A886" t="s">
        <v>2001</v>
      </c>
      <c r="B886" t="str">
        <f t="shared" si="80"/>
        <v>1F468 1F3FE 200D 1F9BD ; fully-qualified # 👨🏾‍🦽 E12.0 man in manual wheelchair: medium-dark skin tone</v>
      </c>
      <c r="C886" t="str">
        <f t="shared" si="81"/>
        <v xml:space="preserve">1F468 1F3FE 200D 1F9BD </v>
      </c>
      <c r="D886">
        <f t="shared" si="82"/>
        <v>23</v>
      </c>
      <c r="E886" t="str">
        <f t="shared" si="78"/>
        <v xml:space="preserve"> 👨🏾‍🦽 E12.0 man in manual wheelchair: medium-dark skin tone</v>
      </c>
      <c r="F886" t="b">
        <f t="shared" si="83"/>
        <v>1</v>
      </c>
      <c r="G886" t="str">
        <f t="shared" si="79"/>
        <v>1F468</v>
      </c>
      <c r="I886">
        <f>HEX2DEC(Table1[[#This Row],[utf8]])</f>
        <v>128104</v>
      </c>
      <c r="J886" t="str">
        <f>_xlfn.UNICHAR(HEX2DEC(Table1[[#This Row],[utf8]]))</f>
        <v>👨</v>
      </c>
      <c r="K886" s="3" t="str" cm="1">
        <f t="array" ref="K886">"Case "&amp;wRandomLetter()&amp;wRandomLetter()&amp;I886&amp;":    UniConst = ChrW(" &amp; I886 &amp;")"</f>
        <v>Case UL128104:    UniConst = ChrW(128104)</v>
      </c>
    </row>
    <row r="887" spans="1:11" hidden="1">
      <c r="A887" t="s">
        <v>963</v>
      </c>
      <c r="B887" t="str">
        <f t="shared" si="80"/>
        <v>1F468 1F3FE 200D 2695 ; minimally-qualified # 👨🏾‍⚕ E4.0 man health worker: medium-dark skin tone</v>
      </c>
      <c r="C887" t="str">
        <f t="shared" si="81"/>
        <v xml:space="preserve">1F468 1F3FE 200D 2695 </v>
      </c>
      <c r="D887">
        <f t="shared" si="82"/>
        <v>22</v>
      </c>
      <c r="E887" t="str">
        <f t="shared" si="78"/>
        <v xml:space="preserve"> 👨🏾‍⚕ E4.0 man health worker: medium-dark skin tone</v>
      </c>
      <c r="F887" t="b">
        <f t="shared" si="83"/>
        <v>1</v>
      </c>
      <c r="G887" t="str">
        <f t="shared" si="79"/>
        <v>1F468</v>
      </c>
      <c r="I887">
        <f>HEX2DEC(Table1[[#This Row],[utf8]])</f>
        <v>128104</v>
      </c>
      <c r="J887" t="str">
        <f>_xlfn.UNICHAR(HEX2DEC(Table1[[#This Row],[utf8]]))</f>
        <v>👨</v>
      </c>
      <c r="K887" s="3" t="str" cm="1">
        <f t="array" ref="K887">"Case "&amp;wRandomLetter()&amp;wRandomLetter()&amp;I887&amp;":    UniConst = ChrW(" &amp; I887 &amp;")"</f>
        <v>Case xv128104:    UniConst = ChrW(128104)</v>
      </c>
    </row>
    <row r="888" spans="1:11" hidden="1">
      <c r="A888" t="s">
        <v>962</v>
      </c>
      <c r="B888" t="str">
        <f t="shared" si="80"/>
        <v>1F468 1F3FE 200D 2695 FE0F ; fully-qualified # 👨🏾‍⚕️ E4.0 man health worker: medium-dark skin tone</v>
      </c>
      <c r="C888" t="str">
        <f t="shared" si="81"/>
        <v xml:space="preserve">1F468 1F3FE 200D 2695 FE0F </v>
      </c>
      <c r="D888">
        <f t="shared" si="82"/>
        <v>27</v>
      </c>
      <c r="E888" t="str">
        <f t="shared" si="78"/>
        <v xml:space="preserve"> 👨🏾‍⚕️ E4.0 man health worker: medium-dark skin tone</v>
      </c>
      <c r="F888" t="b">
        <f t="shared" si="83"/>
        <v>1</v>
      </c>
      <c r="G888" t="str">
        <f t="shared" si="79"/>
        <v>1F468</v>
      </c>
      <c r="I888">
        <f>HEX2DEC(Table1[[#This Row],[utf8]])</f>
        <v>128104</v>
      </c>
      <c r="J888" t="str">
        <f>_xlfn.UNICHAR(HEX2DEC(Table1[[#This Row],[utf8]]))</f>
        <v>👨</v>
      </c>
      <c r="K888" s="3" t="str" cm="1">
        <f t="array" ref="K888">"Case "&amp;wRandomLetter()&amp;wRandomLetter()&amp;I888&amp;":    UniConst = ChrW(" &amp; I888 &amp;")"</f>
        <v>Case nJ128104:    UniConst = ChrW(128104)</v>
      </c>
    </row>
    <row r="889" spans="1:11" hidden="1">
      <c r="A889" t="s">
        <v>1035</v>
      </c>
      <c r="B889" t="str">
        <f t="shared" si="80"/>
        <v>1F468 1F3FE 200D 2696 ; minimally-qualified # 👨🏾‍⚖ E4.0 man judge: medium-dark skin tone</v>
      </c>
      <c r="C889" t="str">
        <f t="shared" si="81"/>
        <v xml:space="preserve">1F468 1F3FE 200D 2696 </v>
      </c>
      <c r="D889">
        <f t="shared" si="82"/>
        <v>22</v>
      </c>
      <c r="E889" t="str">
        <f t="shared" si="78"/>
        <v xml:space="preserve"> 👨🏾‍⚖ E4.0 man judge: medium-dark skin tone</v>
      </c>
      <c r="F889" t="b">
        <f t="shared" si="83"/>
        <v>1</v>
      </c>
      <c r="G889" t="str">
        <f t="shared" si="79"/>
        <v>1F468</v>
      </c>
      <c r="I889">
        <f>HEX2DEC(Table1[[#This Row],[utf8]])</f>
        <v>128104</v>
      </c>
      <c r="J889" t="str">
        <f>_xlfn.UNICHAR(HEX2DEC(Table1[[#This Row],[utf8]]))</f>
        <v>👨</v>
      </c>
      <c r="K889" s="3" t="str" cm="1">
        <f t="array" ref="K889">"Case "&amp;wRandomLetter()&amp;wRandomLetter()&amp;I889&amp;":    UniConst = ChrW(" &amp; I889 &amp;")"</f>
        <v>Case Iq128104:    UniConst = ChrW(128104)</v>
      </c>
    </row>
    <row r="890" spans="1:11" hidden="1">
      <c r="A890" t="s">
        <v>1034</v>
      </c>
      <c r="B890" t="str">
        <f t="shared" si="80"/>
        <v>1F468 1F3FE 200D 2696 FE0F ; fully-qualified # 👨🏾‍⚖️ E4.0 man judge: medium-dark skin tone</v>
      </c>
      <c r="C890" t="str">
        <f t="shared" si="81"/>
        <v xml:space="preserve">1F468 1F3FE 200D 2696 FE0F </v>
      </c>
      <c r="D890">
        <f t="shared" si="82"/>
        <v>27</v>
      </c>
      <c r="E890" t="str">
        <f t="shared" si="78"/>
        <v xml:space="preserve"> 👨🏾‍⚖️ E4.0 man judge: medium-dark skin tone</v>
      </c>
      <c r="F890" t="b">
        <f t="shared" si="83"/>
        <v>1</v>
      </c>
      <c r="G890" t="str">
        <f t="shared" si="79"/>
        <v>1F468</v>
      </c>
      <c r="I890">
        <f>HEX2DEC(Table1[[#This Row],[utf8]])</f>
        <v>128104</v>
      </c>
      <c r="J890" t="str">
        <f>_xlfn.UNICHAR(HEX2DEC(Table1[[#This Row],[utf8]]))</f>
        <v>👨</v>
      </c>
      <c r="K890" s="3" t="str" cm="1">
        <f t="array" ref="K890">"Case "&amp;wRandomLetter()&amp;wRandomLetter()&amp;I890&amp;":    UniConst = ChrW(" &amp; I890 &amp;")"</f>
        <v>Case et128104:    UniConst = ChrW(128104)</v>
      </c>
    </row>
    <row r="891" spans="1:11" hidden="1">
      <c r="A891" t="s">
        <v>1233</v>
      </c>
      <c r="B891" t="str">
        <f t="shared" si="80"/>
        <v>1F468 1F3FE 200D 2708 ; minimally-qualified # 👨🏾‍✈ E4.0 man pilot: medium-dark skin tone</v>
      </c>
      <c r="C891" t="str">
        <f t="shared" si="81"/>
        <v xml:space="preserve">1F468 1F3FE 200D 2708 </v>
      </c>
      <c r="D891">
        <f t="shared" si="82"/>
        <v>22</v>
      </c>
      <c r="E891" t="str">
        <f t="shared" si="78"/>
        <v xml:space="preserve"> 👨🏾‍✈ E4.0 man pilot: medium-dark skin tone</v>
      </c>
      <c r="F891" t="b">
        <f t="shared" si="83"/>
        <v>1</v>
      </c>
      <c r="G891" t="str">
        <f t="shared" si="79"/>
        <v>1F468</v>
      </c>
      <c r="I891">
        <f>HEX2DEC(Table1[[#This Row],[utf8]])</f>
        <v>128104</v>
      </c>
      <c r="J891" t="str">
        <f>_xlfn.UNICHAR(HEX2DEC(Table1[[#This Row],[utf8]]))</f>
        <v>👨</v>
      </c>
      <c r="K891" s="3" t="str" cm="1">
        <f t="array" ref="K891">"Case "&amp;wRandomLetter()&amp;wRandomLetter()&amp;I891&amp;":    UniConst = ChrW(" &amp; I891 &amp;")"</f>
        <v>Case qh128104:    UniConst = ChrW(128104)</v>
      </c>
    </row>
    <row r="892" spans="1:11" hidden="1">
      <c r="A892" t="s">
        <v>1232</v>
      </c>
      <c r="B892" t="str">
        <f t="shared" si="80"/>
        <v>1F468 1F3FE 200D 2708 FE0F ; fully-qualified # 👨🏾‍✈️ E4.0 man pilot: medium-dark skin tone</v>
      </c>
      <c r="C892" t="str">
        <f t="shared" si="81"/>
        <v xml:space="preserve">1F468 1F3FE 200D 2708 FE0F </v>
      </c>
      <c r="D892">
        <f t="shared" si="82"/>
        <v>27</v>
      </c>
      <c r="E892" t="str">
        <f t="shared" si="78"/>
        <v xml:space="preserve"> 👨🏾‍✈️ E4.0 man pilot: medium-dark skin tone</v>
      </c>
      <c r="F892" t="b">
        <f t="shared" si="83"/>
        <v>1</v>
      </c>
      <c r="G892" t="str">
        <f t="shared" si="79"/>
        <v>1F468</v>
      </c>
      <c r="I892">
        <f>HEX2DEC(Table1[[#This Row],[utf8]])</f>
        <v>128104</v>
      </c>
      <c r="J892" t="str">
        <f>_xlfn.UNICHAR(HEX2DEC(Table1[[#This Row],[utf8]]))</f>
        <v>👨</v>
      </c>
      <c r="K892" s="3" t="str" cm="1">
        <f t="array" ref="K892">"Case "&amp;wRandomLetter()&amp;wRandomLetter()&amp;I892&amp;":    UniConst = ChrW(" &amp; I892 &amp;")"</f>
        <v>Case Ct128104:    UniConst = ChrW(128104)</v>
      </c>
    </row>
    <row r="893" spans="1:11" hidden="1">
      <c r="A893" t="s">
        <v>3000</v>
      </c>
      <c r="B893" t="str">
        <f t="shared" si="80"/>
        <v>1F468 1F3FE 200D 2764 200D 1F468 1F3FB ; minimally-qualified # 👨🏾‍❤‍👨🏻 E13.1 couple with heart: man, man, medium-dark skin tone, light skin tone</v>
      </c>
      <c r="C893" t="str">
        <f t="shared" si="81"/>
        <v xml:space="preserve">1F468 1F3FE 200D 2764 200D 1F468 1F3FB </v>
      </c>
      <c r="D893">
        <f t="shared" si="82"/>
        <v>39</v>
      </c>
      <c r="E893" t="str">
        <f t="shared" si="78"/>
        <v xml:space="preserve"> 👨🏾‍❤‍👨🏻 E13.1 couple with heart: man, man, medium-dark skin tone, light skin tone</v>
      </c>
      <c r="F893" t="b">
        <f t="shared" si="83"/>
        <v>1</v>
      </c>
      <c r="G893" t="str">
        <f t="shared" si="79"/>
        <v>1F468</v>
      </c>
      <c r="I893">
        <f>HEX2DEC(Table1[[#This Row],[utf8]])</f>
        <v>128104</v>
      </c>
      <c r="J893" t="str">
        <f>_xlfn.UNICHAR(HEX2DEC(Table1[[#This Row],[utf8]]))</f>
        <v>👨</v>
      </c>
      <c r="K893" s="3" t="str" cm="1">
        <f t="array" ref="K893">"Case "&amp;wRandomLetter()&amp;wRandomLetter()&amp;I893&amp;":    UniConst = ChrW(" &amp; I893 &amp;")"</f>
        <v>Case xX128104:    UniConst = ChrW(128104)</v>
      </c>
    </row>
    <row r="894" spans="1:11" hidden="1">
      <c r="A894" t="s">
        <v>3002</v>
      </c>
      <c r="B894" t="str">
        <f t="shared" si="80"/>
        <v>1F468 1F3FE 200D 2764 200D 1F468 1F3FC ; minimally-qualified # 👨🏾‍❤‍👨🏼 E13.1 couple with heart: man, man, medium-dark skin tone, medium-light skin tone</v>
      </c>
      <c r="C894" t="str">
        <f t="shared" si="81"/>
        <v xml:space="preserve">1F468 1F3FE 200D 2764 200D 1F468 1F3FC </v>
      </c>
      <c r="D894">
        <f t="shared" si="82"/>
        <v>39</v>
      </c>
      <c r="E894" t="str">
        <f t="shared" si="78"/>
        <v xml:space="preserve"> 👨🏾‍❤‍👨🏼 E13.1 couple with heart: man, man, medium-dark skin tone, medium-light skin tone</v>
      </c>
      <c r="F894" t="b">
        <f t="shared" si="83"/>
        <v>1</v>
      </c>
      <c r="G894" t="str">
        <f t="shared" si="79"/>
        <v>1F468</v>
      </c>
      <c r="I894">
        <f>HEX2DEC(Table1[[#This Row],[utf8]])</f>
        <v>128104</v>
      </c>
      <c r="J894" t="str">
        <f>_xlfn.UNICHAR(HEX2DEC(Table1[[#This Row],[utf8]]))</f>
        <v>👨</v>
      </c>
      <c r="K894" s="3" t="str" cm="1">
        <f t="array" ref="K894">"Case "&amp;wRandomLetter()&amp;wRandomLetter()&amp;I894&amp;":    UniConst = ChrW(" &amp; I894 &amp;")"</f>
        <v>Case SE128104:    UniConst = ChrW(128104)</v>
      </c>
    </row>
    <row r="895" spans="1:11" hidden="1">
      <c r="A895" t="s">
        <v>3004</v>
      </c>
      <c r="B895" t="str">
        <f t="shared" si="80"/>
        <v>1F468 1F3FE 200D 2764 200D 1F468 1F3FD ; minimally-qualified # 👨🏾‍❤‍👨🏽 E13.1 couple with heart: man, man, medium-dark skin tone, medium skin tone</v>
      </c>
      <c r="C895" t="str">
        <f t="shared" si="81"/>
        <v xml:space="preserve">1F468 1F3FE 200D 2764 200D 1F468 1F3FD </v>
      </c>
      <c r="D895">
        <f t="shared" si="82"/>
        <v>39</v>
      </c>
      <c r="E895" t="str">
        <f t="shared" si="78"/>
        <v xml:space="preserve"> 👨🏾‍❤‍👨🏽 E13.1 couple with heart: man, man, medium-dark skin tone, medium skin tone</v>
      </c>
      <c r="F895" t="b">
        <f t="shared" si="83"/>
        <v>1</v>
      </c>
      <c r="G895" t="str">
        <f t="shared" si="79"/>
        <v>1F468</v>
      </c>
      <c r="I895">
        <f>HEX2DEC(Table1[[#This Row],[utf8]])</f>
        <v>128104</v>
      </c>
      <c r="J895" t="str">
        <f>_xlfn.UNICHAR(HEX2DEC(Table1[[#This Row],[utf8]]))</f>
        <v>👨</v>
      </c>
      <c r="K895" s="3" t="str" cm="1">
        <f t="array" ref="K895">"Case "&amp;wRandomLetter()&amp;wRandomLetter()&amp;I895&amp;":    UniConst = ChrW(" &amp; I895 &amp;")"</f>
        <v>Case XE128104:    UniConst = ChrW(128104)</v>
      </c>
    </row>
    <row r="896" spans="1:11" hidden="1">
      <c r="A896" t="s">
        <v>3006</v>
      </c>
      <c r="B896" t="str">
        <f t="shared" si="80"/>
        <v>1F468 1F3FE 200D 2764 200D 1F468 1F3FE ; minimally-qualified # 👨🏾‍❤‍👨🏾 E13.1 couple with heart: man, man, medium-dark skin tone</v>
      </c>
      <c r="C896" t="str">
        <f t="shared" si="81"/>
        <v xml:space="preserve">1F468 1F3FE 200D 2764 200D 1F468 1F3FE </v>
      </c>
      <c r="D896">
        <f t="shared" si="82"/>
        <v>39</v>
      </c>
      <c r="E896" t="str">
        <f t="shared" si="78"/>
        <v xml:space="preserve"> 👨🏾‍❤‍👨🏾 E13.1 couple with heart: man, man, medium-dark skin tone</v>
      </c>
      <c r="F896" t="b">
        <f t="shared" si="83"/>
        <v>1</v>
      </c>
      <c r="G896" t="str">
        <f t="shared" si="79"/>
        <v>1F468</v>
      </c>
      <c r="I896">
        <f>HEX2DEC(Table1[[#This Row],[utf8]])</f>
        <v>128104</v>
      </c>
      <c r="J896" t="str">
        <f>_xlfn.UNICHAR(HEX2DEC(Table1[[#This Row],[utf8]]))</f>
        <v>👨</v>
      </c>
      <c r="K896" s="3" t="str" cm="1">
        <f t="array" ref="K896">"Case "&amp;wRandomLetter()&amp;wRandomLetter()&amp;I896&amp;":    UniConst = ChrW(" &amp; I896 &amp;")"</f>
        <v>Case TR128104:    UniConst = ChrW(128104)</v>
      </c>
    </row>
    <row r="897" spans="1:11" hidden="1">
      <c r="A897" t="s">
        <v>3008</v>
      </c>
      <c r="B897" t="str">
        <f t="shared" si="80"/>
        <v>1F468 1F3FE 200D 2764 200D 1F468 1F3FF ; minimally-qualified # 👨🏾‍❤‍👨🏿 E13.1 couple with heart: man, man, medium-dark skin tone, dark skin tone</v>
      </c>
      <c r="C897" t="str">
        <f t="shared" si="81"/>
        <v xml:space="preserve">1F468 1F3FE 200D 2764 200D 1F468 1F3FF </v>
      </c>
      <c r="D897">
        <f t="shared" si="82"/>
        <v>39</v>
      </c>
      <c r="E897" t="str">
        <f t="shared" si="78"/>
        <v xml:space="preserve"> 👨🏾‍❤‍👨🏿 E13.1 couple with heart: man, man, medium-dark skin tone, dark skin tone</v>
      </c>
      <c r="F897" t="b">
        <f t="shared" si="83"/>
        <v>1</v>
      </c>
      <c r="G897" t="str">
        <f t="shared" si="79"/>
        <v>1F468</v>
      </c>
      <c r="I897">
        <f>HEX2DEC(Table1[[#This Row],[utf8]])</f>
        <v>128104</v>
      </c>
      <c r="J897" t="str">
        <f>_xlfn.UNICHAR(HEX2DEC(Table1[[#This Row],[utf8]]))</f>
        <v>👨</v>
      </c>
      <c r="K897" s="3" t="str" cm="1">
        <f t="array" ref="K897">"Case "&amp;wRandomLetter()&amp;wRandomLetter()&amp;I897&amp;":    UniConst = ChrW(" &amp; I897 &amp;")"</f>
        <v>Case zs128104:    UniConst = ChrW(128104)</v>
      </c>
    </row>
    <row r="898" spans="1:11" hidden="1">
      <c r="A898" t="s">
        <v>2798</v>
      </c>
      <c r="B898" t="str">
        <f t="shared" si="80"/>
        <v>1F468 1F3FE 200D 2764 200D 1F48B 200D 1F468 1F3FB ; minimally-qualified # 👨🏾‍❤‍💋‍👨🏻 E13.1 kiss: man, man, medium-dark skin tone, light skin tone</v>
      </c>
      <c r="C898" t="str">
        <f t="shared" si="81"/>
        <v xml:space="preserve">1F468 1F3FE 200D 2764 200D 1F48B 200D 1F468 1F3FB </v>
      </c>
      <c r="D898">
        <f t="shared" si="82"/>
        <v>50</v>
      </c>
      <c r="E898" t="str">
        <f t="shared" ref="E898:E961" si="84">MID(A898,FIND("#",A898)+1,256)</f>
        <v xml:space="preserve"> 👨🏾‍❤‍💋‍👨🏻 E13.1 kiss: man, man, medium-dark skin tone, light skin tone</v>
      </c>
      <c r="F898" t="b">
        <f t="shared" si="83"/>
        <v>1</v>
      </c>
      <c r="G898" t="str">
        <f t="shared" ref="G898:G961" si="85">LEFT(C898,(FIND(" ",C898,1)-1))</f>
        <v>1F468</v>
      </c>
      <c r="I898">
        <f>HEX2DEC(Table1[[#This Row],[utf8]])</f>
        <v>128104</v>
      </c>
      <c r="J898" t="str">
        <f>_xlfn.UNICHAR(HEX2DEC(Table1[[#This Row],[utf8]]))</f>
        <v>👨</v>
      </c>
      <c r="K898" s="3" t="str" cm="1">
        <f t="array" ref="K898">"Case "&amp;wRandomLetter()&amp;wRandomLetter()&amp;I898&amp;":    UniConst = ChrW(" &amp; I898 &amp;")"</f>
        <v>Case ou128104:    UniConst = ChrW(128104)</v>
      </c>
    </row>
    <row r="899" spans="1:11" hidden="1">
      <c r="A899" t="s">
        <v>2800</v>
      </c>
      <c r="B899" t="str">
        <f t="shared" ref="B899:B962" si="86">TRIM(A899)</f>
        <v>1F468 1F3FE 200D 2764 200D 1F48B 200D 1F468 1F3FC ; minimally-qualified # 👨🏾‍❤‍💋‍👨🏼 E13.1 kiss: man, man, medium-dark skin tone, medium-light skin tone</v>
      </c>
      <c r="C899" t="str">
        <f t="shared" ref="C899:C962" si="87">LEFT(B899,(FIND(";",B899,1)-1))</f>
        <v xml:space="preserve">1F468 1F3FE 200D 2764 200D 1F48B 200D 1F468 1F3FC </v>
      </c>
      <c r="D899">
        <f t="shared" ref="D899:D962" si="88">LEN(C899)</f>
        <v>50</v>
      </c>
      <c r="E899" t="str">
        <f t="shared" si="84"/>
        <v xml:space="preserve"> 👨🏾‍❤‍💋‍👨🏼 E13.1 kiss: man, man, medium-dark skin tone, medium-light skin tone</v>
      </c>
      <c r="F899" t="b">
        <f t="shared" ref="F899:F962" si="89">IF(LEFT(C899,2)="1F",TRUE,FALSE)</f>
        <v>1</v>
      </c>
      <c r="G899" t="str">
        <f t="shared" si="85"/>
        <v>1F468</v>
      </c>
      <c r="I899">
        <f>HEX2DEC(Table1[[#This Row],[utf8]])</f>
        <v>128104</v>
      </c>
      <c r="J899" t="str">
        <f>_xlfn.UNICHAR(HEX2DEC(Table1[[#This Row],[utf8]]))</f>
        <v>👨</v>
      </c>
      <c r="K899" s="3" t="str" cm="1">
        <f t="array" ref="K899">"Case "&amp;wRandomLetter()&amp;wRandomLetter()&amp;I899&amp;":    UniConst = ChrW(" &amp; I899 &amp;")"</f>
        <v>Case ck128104:    UniConst = ChrW(128104)</v>
      </c>
    </row>
    <row r="900" spans="1:11" hidden="1">
      <c r="A900" t="s">
        <v>2802</v>
      </c>
      <c r="B900" t="str">
        <f t="shared" si="86"/>
        <v>1F468 1F3FE 200D 2764 200D 1F48B 200D 1F468 1F3FD ; minimally-qualified # 👨🏾‍❤‍💋‍👨🏽 E13.1 kiss: man, man, medium-dark skin tone, medium skin tone</v>
      </c>
      <c r="C900" t="str">
        <f t="shared" si="87"/>
        <v xml:space="preserve">1F468 1F3FE 200D 2764 200D 1F48B 200D 1F468 1F3FD </v>
      </c>
      <c r="D900">
        <f t="shared" si="88"/>
        <v>50</v>
      </c>
      <c r="E900" t="str">
        <f t="shared" si="84"/>
        <v xml:space="preserve"> 👨🏾‍❤‍💋‍👨🏽 E13.1 kiss: man, man, medium-dark skin tone, medium skin tone</v>
      </c>
      <c r="F900" t="b">
        <f t="shared" si="89"/>
        <v>1</v>
      </c>
      <c r="G900" t="str">
        <f t="shared" si="85"/>
        <v>1F468</v>
      </c>
      <c r="I900">
        <f>HEX2DEC(Table1[[#This Row],[utf8]])</f>
        <v>128104</v>
      </c>
      <c r="J900" t="str">
        <f>_xlfn.UNICHAR(HEX2DEC(Table1[[#This Row],[utf8]]))</f>
        <v>👨</v>
      </c>
      <c r="K900" s="3" t="str" cm="1">
        <f t="array" ref="K900">"Case "&amp;wRandomLetter()&amp;wRandomLetter()&amp;I900&amp;":    UniConst = ChrW(" &amp; I900 &amp;")"</f>
        <v>Case fE128104:    UniConst = ChrW(128104)</v>
      </c>
    </row>
    <row r="901" spans="1:11" hidden="1">
      <c r="A901" t="s">
        <v>2804</v>
      </c>
      <c r="B901" t="str">
        <f t="shared" si="86"/>
        <v>1F468 1F3FE 200D 2764 200D 1F48B 200D 1F468 1F3FE ; minimally-qualified # 👨🏾‍❤‍💋‍👨🏾 E13.1 kiss: man, man, medium-dark skin tone</v>
      </c>
      <c r="C901" t="str">
        <f t="shared" si="87"/>
        <v xml:space="preserve">1F468 1F3FE 200D 2764 200D 1F48B 200D 1F468 1F3FE </v>
      </c>
      <c r="D901">
        <f t="shared" si="88"/>
        <v>50</v>
      </c>
      <c r="E901" t="str">
        <f t="shared" si="84"/>
        <v xml:space="preserve"> 👨🏾‍❤‍💋‍👨🏾 E13.1 kiss: man, man, medium-dark skin tone</v>
      </c>
      <c r="F901" t="b">
        <f t="shared" si="89"/>
        <v>1</v>
      </c>
      <c r="G901" t="str">
        <f t="shared" si="85"/>
        <v>1F468</v>
      </c>
      <c r="I901">
        <f>HEX2DEC(Table1[[#This Row],[utf8]])</f>
        <v>128104</v>
      </c>
      <c r="J901" t="str">
        <f>_xlfn.UNICHAR(HEX2DEC(Table1[[#This Row],[utf8]]))</f>
        <v>👨</v>
      </c>
      <c r="K901" s="3" t="str" cm="1">
        <f t="array" ref="K901">"Case "&amp;wRandomLetter()&amp;wRandomLetter()&amp;I901&amp;":    UniConst = ChrW(" &amp; I901 &amp;")"</f>
        <v>Case Jp128104:    UniConst = ChrW(128104)</v>
      </c>
    </row>
    <row r="902" spans="1:11" hidden="1">
      <c r="A902" t="s">
        <v>2806</v>
      </c>
      <c r="B902" t="str">
        <f t="shared" si="86"/>
        <v>1F468 1F3FE 200D 2764 200D 1F48B 200D 1F468 1F3FF ; minimally-qualified # 👨🏾‍❤‍💋‍👨🏿 E13.1 kiss: man, man, medium-dark skin tone, dark skin tone</v>
      </c>
      <c r="C902" t="str">
        <f t="shared" si="87"/>
        <v xml:space="preserve">1F468 1F3FE 200D 2764 200D 1F48B 200D 1F468 1F3FF </v>
      </c>
      <c r="D902">
        <f t="shared" si="88"/>
        <v>50</v>
      </c>
      <c r="E902" t="str">
        <f t="shared" si="84"/>
        <v xml:space="preserve"> 👨🏾‍❤‍💋‍👨🏿 E13.1 kiss: man, man, medium-dark skin tone, dark skin tone</v>
      </c>
      <c r="F902" t="b">
        <f t="shared" si="89"/>
        <v>1</v>
      </c>
      <c r="G902" t="str">
        <f t="shared" si="85"/>
        <v>1F468</v>
      </c>
      <c r="I902">
        <f>HEX2DEC(Table1[[#This Row],[utf8]])</f>
        <v>128104</v>
      </c>
      <c r="J902" t="str">
        <f>_xlfn.UNICHAR(HEX2DEC(Table1[[#This Row],[utf8]]))</f>
        <v>👨</v>
      </c>
      <c r="K902" s="3" t="str" cm="1">
        <f t="array" ref="K902">"Case "&amp;wRandomLetter()&amp;wRandomLetter()&amp;I902&amp;":    UniConst = ChrW(" &amp; I902 &amp;")"</f>
        <v>Case OP128104:    UniConst = ChrW(128104)</v>
      </c>
    </row>
    <row r="903" spans="1:11" hidden="1">
      <c r="A903" t="s">
        <v>2999</v>
      </c>
      <c r="B903" t="str">
        <f t="shared" si="86"/>
        <v>1F468 1F3FE 200D 2764 FE0F 200D 1F468 1F3FB ; fully-qualified # 👨🏾‍❤️‍👨🏻 E13.1 couple with heart: man, man, medium-dark skin tone, light skin tone</v>
      </c>
      <c r="C903" t="str">
        <f t="shared" si="87"/>
        <v xml:space="preserve">1F468 1F3FE 200D 2764 FE0F 200D 1F468 1F3FB </v>
      </c>
      <c r="D903">
        <f t="shared" si="88"/>
        <v>44</v>
      </c>
      <c r="E903" t="str">
        <f t="shared" si="84"/>
        <v xml:space="preserve"> 👨🏾‍❤️‍👨🏻 E13.1 couple with heart: man, man, medium-dark skin tone, light skin tone</v>
      </c>
      <c r="F903" t="b">
        <f t="shared" si="89"/>
        <v>1</v>
      </c>
      <c r="G903" t="str">
        <f t="shared" si="85"/>
        <v>1F468</v>
      </c>
      <c r="I903">
        <f>HEX2DEC(Table1[[#This Row],[utf8]])</f>
        <v>128104</v>
      </c>
      <c r="J903" t="str">
        <f>_xlfn.UNICHAR(HEX2DEC(Table1[[#This Row],[utf8]]))</f>
        <v>👨</v>
      </c>
      <c r="K903" s="3" t="str" cm="1">
        <f t="array" ref="K903">"Case "&amp;wRandomLetter()&amp;wRandomLetter()&amp;I903&amp;":    UniConst = ChrW(" &amp; I903 &amp;")"</f>
        <v>Case xY128104:    UniConst = ChrW(128104)</v>
      </c>
    </row>
    <row r="904" spans="1:11" hidden="1">
      <c r="A904" t="s">
        <v>3001</v>
      </c>
      <c r="B904" t="str">
        <f t="shared" si="86"/>
        <v>1F468 1F3FE 200D 2764 FE0F 200D 1F468 1F3FC ; fully-qualified # 👨🏾‍❤️‍👨🏼 E13.1 couple with heart: man, man, medium-dark skin tone, medium-light skin tone</v>
      </c>
      <c r="C904" t="str">
        <f t="shared" si="87"/>
        <v xml:space="preserve">1F468 1F3FE 200D 2764 FE0F 200D 1F468 1F3FC </v>
      </c>
      <c r="D904">
        <f t="shared" si="88"/>
        <v>44</v>
      </c>
      <c r="E904" t="str">
        <f t="shared" si="84"/>
        <v xml:space="preserve"> 👨🏾‍❤️‍👨🏼 E13.1 couple with heart: man, man, medium-dark skin tone, medium-light skin tone</v>
      </c>
      <c r="F904" t="b">
        <f t="shared" si="89"/>
        <v>1</v>
      </c>
      <c r="G904" t="str">
        <f t="shared" si="85"/>
        <v>1F468</v>
      </c>
      <c r="I904">
        <f>HEX2DEC(Table1[[#This Row],[utf8]])</f>
        <v>128104</v>
      </c>
      <c r="J904" t="str">
        <f>_xlfn.UNICHAR(HEX2DEC(Table1[[#This Row],[utf8]]))</f>
        <v>👨</v>
      </c>
      <c r="K904" s="3" t="str" cm="1">
        <f t="array" ref="K904">"Case "&amp;wRandomLetter()&amp;wRandomLetter()&amp;I904&amp;":    UniConst = ChrW(" &amp; I904 &amp;")"</f>
        <v>Case oH128104:    UniConst = ChrW(128104)</v>
      </c>
    </row>
    <row r="905" spans="1:11" hidden="1">
      <c r="A905" t="s">
        <v>3003</v>
      </c>
      <c r="B905" t="str">
        <f t="shared" si="86"/>
        <v>1F468 1F3FE 200D 2764 FE0F 200D 1F468 1F3FD ; fully-qualified # 👨🏾‍❤️‍👨🏽 E13.1 couple with heart: man, man, medium-dark skin tone, medium skin tone</v>
      </c>
      <c r="C905" t="str">
        <f t="shared" si="87"/>
        <v xml:space="preserve">1F468 1F3FE 200D 2764 FE0F 200D 1F468 1F3FD </v>
      </c>
      <c r="D905">
        <f t="shared" si="88"/>
        <v>44</v>
      </c>
      <c r="E905" t="str">
        <f t="shared" si="84"/>
        <v xml:space="preserve"> 👨🏾‍❤️‍👨🏽 E13.1 couple with heart: man, man, medium-dark skin tone, medium skin tone</v>
      </c>
      <c r="F905" t="b">
        <f t="shared" si="89"/>
        <v>1</v>
      </c>
      <c r="G905" t="str">
        <f t="shared" si="85"/>
        <v>1F468</v>
      </c>
      <c r="I905">
        <f>HEX2DEC(Table1[[#This Row],[utf8]])</f>
        <v>128104</v>
      </c>
      <c r="J905" t="str">
        <f>_xlfn.UNICHAR(HEX2DEC(Table1[[#This Row],[utf8]]))</f>
        <v>👨</v>
      </c>
      <c r="K905" s="3" t="str" cm="1">
        <f t="array" ref="K905">"Case "&amp;wRandomLetter()&amp;wRandomLetter()&amp;I905&amp;":    UniConst = ChrW(" &amp; I905 &amp;")"</f>
        <v>Case uD128104:    UniConst = ChrW(128104)</v>
      </c>
    </row>
    <row r="906" spans="1:11" hidden="1">
      <c r="A906" t="s">
        <v>3005</v>
      </c>
      <c r="B906" t="str">
        <f t="shared" si="86"/>
        <v>1F468 1F3FE 200D 2764 FE0F 200D 1F468 1F3FE ; fully-qualified # 👨🏾‍❤️‍👨🏾 E13.1 couple with heart: man, man, medium-dark skin tone</v>
      </c>
      <c r="C906" t="str">
        <f t="shared" si="87"/>
        <v xml:space="preserve">1F468 1F3FE 200D 2764 FE0F 200D 1F468 1F3FE </v>
      </c>
      <c r="D906">
        <f t="shared" si="88"/>
        <v>44</v>
      </c>
      <c r="E906" t="str">
        <f t="shared" si="84"/>
        <v xml:space="preserve"> 👨🏾‍❤️‍👨🏾 E13.1 couple with heart: man, man, medium-dark skin tone</v>
      </c>
      <c r="F906" t="b">
        <f t="shared" si="89"/>
        <v>1</v>
      </c>
      <c r="G906" t="str">
        <f t="shared" si="85"/>
        <v>1F468</v>
      </c>
      <c r="I906">
        <f>HEX2DEC(Table1[[#This Row],[utf8]])</f>
        <v>128104</v>
      </c>
      <c r="J906" t="str">
        <f>_xlfn.UNICHAR(HEX2DEC(Table1[[#This Row],[utf8]]))</f>
        <v>👨</v>
      </c>
      <c r="K906" s="3" t="str" cm="1">
        <f t="array" ref="K906">"Case "&amp;wRandomLetter()&amp;wRandomLetter()&amp;I906&amp;":    UniConst = ChrW(" &amp; I906 &amp;")"</f>
        <v>Case KW128104:    UniConst = ChrW(128104)</v>
      </c>
    </row>
    <row r="907" spans="1:11" hidden="1">
      <c r="A907" t="s">
        <v>3007</v>
      </c>
      <c r="B907" t="str">
        <f t="shared" si="86"/>
        <v>1F468 1F3FE 200D 2764 FE0F 200D 1F468 1F3FF ; fully-qualified # 👨🏾‍❤️‍👨🏿 E13.1 couple with heart: man, man, medium-dark skin tone, dark skin tone</v>
      </c>
      <c r="C907" t="str">
        <f t="shared" si="87"/>
        <v xml:space="preserve">1F468 1F3FE 200D 2764 FE0F 200D 1F468 1F3FF </v>
      </c>
      <c r="D907">
        <f t="shared" si="88"/>
        <v>44</v>
      </c>
      <c r="E907" t="str">
        <f t="shared" si="84"/>
        <v xml:space="preserve"> 👨🏾‍❤️‍👨🏿 E13.1 couple with heart: man, man, medium-dark skin tone, dark skin tone</v>
      </c>
      <c r="F907" t="b">
        <f t="shared" si="89"/>
        <v>1</v>
      </c>
      <c r="G907" t="str">
        <f t="shared" si="85"/>
        <v>1F468</v>
      </c>
      <c r="I907">
        <f>HEX2DEC(Table1[[#This Row],[utf8]])</f>
        <v>128104</v>
      </c>
      <c r="J907" t="str">
        <f>_xlfn.UNICHAR(HEX2DEC(Table1[[#This Row],[utf8]]))</f>
        <v>👨</v>
      </c>
      <c r="K907" s="3" t="str" cm="1">
        <f t="array" ref="K907">"Case "&amp;wRandomLetter()&amp;wRandomLetter()&amp;I907&amp;":    UniConst = ChrW(" &amp; I907 &amp;")"</f>
        <v>Case KW128104:    UniConst = ChrW(128104)</v>
      </c>
    </row>
    <row r="908" spans="1:11" hidden="1">
      <c r="A908" t="s">
        <v>2797</v>
      </c>
      <c r="B908" t="str">
        <f t="shared" si="86"/>
        <v>1F468 1F3FE 200D 2764 FE0F 200D 1F48B 200D 1F468 1F3FB ; fully-qualified # 👨🏾‍❤️‍💋‍👨🏻 E13.1 kiss: man, man, medium-dark skin tone, light skin tone</v>
      </c>
      <c r="C908" t="str">
        <f t="shared" si="87"/>
        <v xml:space="preserve">1F468 1F3FE 200D 2764 FE0F 200D 1F48B 200D 1F468 1F3FB </v>
      </c>
      <c r="D908">
        <f t="shared" si="88"/>
        <v>55</v>
      </c>
      <c r="E908" t="str">
        <f t="shared" si="84"/>
        <v xml:space="preserve"> 👨🏾‍❤️‍💋‍👨🏻 E13.1 kiss: man, man, medium-dark skin tone, light skin tone</v>
      </c>
      <c r="F908" t="b">
        <f t="shared" si="89"/>
        <v>1</v>
      </c>
      <c r="G908" t="str">
        <f t="shared" si="85"/>
        <v>1F468</v>
      </c>
      <c r="I908">
        <f>HEX2DEC(Table1[[#This Row],[utf8]])</f>
        <v>128104</v>
      </c>
      <c r="J908" t="str">
        <f>_xlfn.UNICHAR(HEX2DEC(Table1[[#This Row],[utf8]]))</f>
        <v>👨</v>
      </c>
      <c r="K908" s="3" t="str" cm="1">
        <f t="array" ref="K908">"Case "&amp;wRandomLetter()&amp;wRandomLetter()&amp;I908&amp;":    UniConst = ChrW(" &amp; I908 &amp;")"</f>
        <v>Case dg128104:    UniConst = ChrW(128104)</v>
      </c>
    </row>
    <row r="909" spans="1:11" hidden="1">
      <c r="A909" t="s">
        <v>2799</v>
      </c>
      <c r="B909" t="str">
        <f t="shared" si="86"/>
        <v>1F468 1F3FE 200D 2764 FE0F 200D 1F48B 200D 1F468 1F3FC ; fully-qualified # 👨🏾‍❤️‍💋‍👨🏼 E13.1 kiss: man, man, medium-dark skin tone, medium-light skin tone</v>
      </c>
      <c r="C909" t="str">
        <f t="shared" si="87"/>
        <v xml:space="preserve">1F468 1F3FE 200D 2764 FE0F 200D 1F48B 200D 1F468 1F3FC </v>
      </c>
      <c r="D909">
        <f t="shared" si="88"/>
        <v>55</v>
      </c>
      <c r="E909" t="str">
        <f t="shared" si="84"/>
        <v xml:space="preserve"> 👨🏾‍❤️‍💋‍👨🏼 E13.1 kiss: man, man, medium-dark skin tone, medium-light skin tone</v>
      </c>
      <c r="F909" t="b">
        <f t="shared" si="89"/>
        <v>1</v>
      </c>
      <c r="G909" t="str">
        <f t="shared" si="85"/>
        <v>1F468</v>
      </c>
      <c r="I909">
        <f>HEX2DEC(Table1[[#This Row],[utf8]])</f>
        <v>128104</v>
      </c>
      <c r="J909" t="str">
        <f>_xlfn.UNICHAR(HEX2DEC(Table1[[#This Row],[utf8]]))</f>
        <v>👨</v>
      </c>
      <c r="K909" s="3" t="str" cm="1">
        <f t="array" ref="K909">"Case "&amp;wRandomLetter()&amp;wRandomLetter()&amp;I909&amp;":    UniConst = ChrW(" &amp; I909 &amp;")"</f>
        <v>Case Zz128104:    UniConst = ChrW(128104)</v>
      </c>
    </row>
    <row r="910" spans="1:11" hidden="1">
      <c r="A910" t="s">
        <v>2801</v>
      </c>
      <c r="B910" t="str">
        <f t="shared" si="86"/>
        <v>1F468 1F3FE 200D 2764 FE0F 200D 1F48B 200D 1F468 1F3FD ; fully-qualified # 👨🏾‍❤️‍💋‍👨🏽 E13.1 kiss: man, man, medium-dark skin tone, medium skin tone</v>
      </c>
      <c r="C910" t="str">
        <f t="shared" si="87"/>
        <v xml:space="preserve">1F468 1F3FE 200D 2764 FE0F 200D 1F48B 200D 1F468 1F3FD </v>
      </c>
      <c r="D910">
        <f t="shared" si="88"/>
        <v>55</v>
      </c>
      <c r="E910" t="str">
        <f t="shared" si="84"/>
        <v xml:space="preserve"> 👨🏾‍❤️‍💋‍👨🏽 E13.1 kiss: man, man, medium-dark skin tone, medium skin tone</v>
      </c>
      <c r="F910" t="b">
        <f t="shared" si="89"/>
        <v>1</v>
      </c>
      <c r="G910" t="str">
        <f t="shared" si="85"/>
        <v>1F468</v>
      </c>
      <c r="I910">
        <f>HEX2DEC(Table1[[#This Row],[utf8]])</f>
        <v>128104</v>
      </c>
      <c r="J910" t="str">
        <f>_xlfn.UNICHAR(HEX2DEC(Table1[[#This Row],[utf8]]))</f>
        <v>👨</v>
      </c>
      <c r="K910" s="3" t="str" cm="1">
        <f t="array" ref="K910">"Case "&amp;wRandomLetter()&amp;wRandomLetter()&amp;I910&amp;":    UniConst = ChrW(" &amp; I910 &amp;")"</f>
        <v>Case QY128104:    UniConst = ChrW(128104)</v>
      </c>
    </row>
    <row r="911" spans="1:11" hidden="1">
      <c r="A911" t="s">
        <v>2803</v>
      </c>
      <c r="B911" t="str">
        <f t="shared" si="86"/>
        <v>1F468 1F3FE 200D 2764 FE0F 200D 1F48B 200D 1F468 1F3FE ; fully-qualified # 👨🏾‍❤️‍💋‍👨🏾 E13.1 kiss: man, man, medium-dark skin tone</v>
      </c>
      <c r="C911" t="str">
        <f t="shared" si="87"/>
        <v xml:space="preserve">1F468 1F3FE 200D 2764 FE0F 200D 1F48B 200D 1F468 1F3FE </v>
      </c>
      <c r="D911">
        <f t="shared" si="88"/>
        <v>55</v>
      </c>
      <c r="E911" t="str">
        <f t="shared" si="84"/>
        <v xml:space="preserve"> 👨🏾‍❤️‍💋‍👨🏾 E13.1 kiss: man, man, medium-dark skin tone</v>
      </c>
      <c r="F911" t="b">
        <f t="shared" si="89"/>
        <v>1</v>
      </c>
      <c r="G911" t="str">
        <f t="shared" si="85"/>
        <v>1F468</v>
      </c>
      <c r="I911">
        <f>HEX2DEC(Table1[[#This Row],[utf8]])</f>
        <v>128104</v>
      </c>
      <c r="J911" t="str">
        <f>_xlfn.UNICHAR(HEX2DEC(Table1[[#This Row],[utf8]]))</f>
        <v>👨</v>
      </c>
      <c r="K911" s="3" t="str" cm="1">
        <f t="array" ref="K911">"Case "&amp;wRandomLetter()&amp;wRandomLetter()&amp;I911&amp;":    UniConst = ChrW(" &amp; I911 &amp;")"</f>
        <v>Case Pm128104:    UniConst = ChrW(128104)</v>
      </c>
    </row>
    <row r="912" spans="1:11" hidden="1">
      <c r="A912" t="s">
        <v>2805</v>
      </c>
      <c r="B912" t="str">
        <f t="shared" si="86"/>
        <v>1F468 1F3FE 200D 2764 FE0F 200D 1F48B 200D 1F468 1F3FF ; fully-qualified # 👨🏾‍❤️‍💋‍👨🏿 E13.1 kiss: man, man, medium-dark skin tone, dark skin tone</v>
      </c>
      <c r="C912" t="str">
        <f t="shared" si="87"/>
        <v xml:space="preserve">1F468 1F3FE 200D 2764 FE0F 200D 1F48B 200D 1F468 1F3FF </v>
      </c>
      <c r="D912">
        <f t="shared" si="88"/>
        <v>55</v>
      </c>
      <c r="E912" t="str">
        <f t="shared" si="84"/>
        <v xml:space="preserve"> 👨🏾‍❤️‍💋‍👨🏿 E13.1 kiss: man, man, medium-dark skin tone, dark skin tone</v>
      </c>
      <c r="F912" t="b">
        <f t="shared" si="89"/>
        <v>1</v>
      </c>
      <c r="G912" t="str">
        <f t="shared" si="85"/>
        <v>1F468</v>
      </c>
      <c r="I912">
        <f>HEX2DEC(Table1[[#This Row],[utf8]])</f>
        <v>128104</v>
      </c>
      <c r="J912" t="str">
        <f>_xlfn.UNICHAR(HEX2DEC(Table1[[#This Row],[utf8]]))</f>
        <v>👨</v>
      </c>
      <c r="K912" s="3" t="str" cm="1">
        <f t="array" ref="K912">"Case "&amp;wRandomLetter()&amp;wRandomLetter()&amp;I912&amp;":    UniConst = ChrW(" &amp; I912 &amp;")"</f>
        <v>Case KO128104:    UniConst = ChrW(128104)</v>
      </c>
    </row>
    <row r="913" spans="1:11" hidden="1">
      <c r="A913" t="s">
        <v>489</v>
      </c>
      <c r="B913" t="str">
        <f t="shared" si="86"/>
        <v>1F468 1F3FF ; fully-qualified # 👨🏿 E1.0 man: dark skin tone</v>
      </c>
      <c r="C913" t="str">
        <f t="shared" si="87"/>
        <v xml:space="preserve">1F468 1F3FF </v>
      </c>
      <c r="D913">
        <f t="shared" si="88"/>
        <v>12</v>
      </c>
      <c r="E913" t="str">
        <f t="shared" si="84"/>
        <v xml:space="preserve"> 👨🏿 E1.0 man: dark skin tone</v>
      </c>
      <c r="F913" t="b">
        <f t="shared" si="89"/>
        <v>1</v>
      </c>
      <c r="G913" t="str">
        <f t="shared" si="85"/>
        <v>1F468</v>
      </c>
      <c r="I913">
        <f>HEX2DEC(Table1[[#This Row],[utf8]])</f>
        <v>128104</v>
      </c>
      <c r="J913" t="str">
        <f>_xlfn.UNICHAR(HEX2DEC(Table1[[#This Row],[utf8]]))</f>
        <v>👨</v>
      </c>
      <c r="K913" s="3" t="str" cm="1">
        <f t="array" ref="K913">"Case "&amp;wRandomLetter()&amp;wRandomLetter()&amp;I913&amp;":    UniConst = ChrW(" &amp; I913 &amp;")"</f>
        <v>Case PM128104:    UniConst = ChrW(128104)</v>
      </c>
    </row>
    <row r="914" spans="1:11" hidden="1">
      <c r="A914" t="s">
        <v>1061</v>
      </c>
      <c r="B914" t="str">
        <f t="shared" si="86"/>
        <v>1F468 1F3FF 200D 1F33E ; fully-qualified # 👨🏿‍🌾 E4.0 man farmer: dark skin tone</v>
      </c>
      <c r="C914" t="str">
        <f t="shared" si="87"/>
        <v xml:space="preserve">1F468 1F3FF 200D 1F33E </v>
      </c>
      <c r="D914">
        <f t="shared" si="88"/>
        <v>23</v>
      </c>
      <c r="E914" t="str">
        <f t="shared" si="84"/>
        <v xml:space="preserve"> 👨🏿‍🌾 E4.0 man farmer: dark skin tone</v>
      </c>
      <c r="F914" t="b">
        <f t="shared" si="89"/>
        <v>1</v>
      </c>
      <c r="G914" t="str">
        <f t="shared" si="85"/>
        <v>1F468</v>
      </c>
      <c r="I914">
        <f>HEX2DEC(Table1[[#This Row],[utf8]])</f>
        <v>128104</v>
      </c>
      <c r="J914" t="str">
        <f>_xlfn.UNICHAR(HEX2DEC(Table1[[#This Row],[utf8]]))</f>
        <v>👨</v>
      </c>
      <c r="K914" s="3" t="str" cm="1">
        <f t="array" ref="K914">"Case "&amp;wRandomLetter()&amp;wRandomLetter()&amp;I914&amp;":    UniConst = ChrW(" &amp; I914 &amp;")"</f>
        <v>Case Kl128104:    UniConst = ChrW(128104)</v>
      </c>
    </row>
    <row r="915" spans="1:11" hidden="1">
      <c r="A915" t="s">
        <v>1079</v>
      </c>
      <c r="B915" t="str">
        <f t="shared" si="86"/>
        <v>1F468 1F3FF 200D 1F373 ; fully-qualified # 👨🏿‍🍳 E4.0 man cook: dark skin tone</v>
      </c>
      <c r="C915" t="str">
        <f t="shared" si="87"/>
        <v xml:space="preserve">1F468 1F3FF 200D 1F373 </v>
      </c>
      <c r="D915">
        <f t="shared" si="88"/>
        <v>23</v>
      </c>
      <c r="E915" t="str">
        <f t="shared" si="84"/>
        <v xml:space="preserve"> 👨🏿‍🍳 E4.0 man cook: dark skin tone</v>
      </c>
      <c r="F915" t="b">
        <f t="shared" si="89"/>
        <v>1</v>
      </c>
      <c r="G915" t="str">
        <f t="shared" si="85"/>
        <v>1F468</v>
      </c>
      <c r="I915">
        <f>HEX2DEC(Table1[[#This Row],[utf8]])</f>
        <v>128104</v>
      </c>
      <c r="J915" t="str">
        <f>_xlfn.UNICHAR(HEX2DEC(Table1[[#This Row],[utf8]]))</f>
        <v>👨</v>
      </c>
      <c r="K915" s="3" t="str" cm="1">
        <f t="array" ref="K915">"Case "&amp;wRandomLetter()&amp;wRandomLetter()&amp;I915&amp;":    UniConst = ChrW(" &amp; I915 &amp;")"</f>
        <v>Case Zy128104:    UniConst = ChrW(128104)</v>
      </c>
    </row>
    <row r="916" spans="1:11" hidden="1">
      <c r="A916" t="s">
        <v>1552</v>
      </c>
      <c r="B916" t="str">
        <f t="shared" si="86"/>
        <v>1F468 1F3FF 200D 1F37C ; fully-qualified # 👨🏿‍🍼 E13.0 man feeding baby: dark skin tone</v>
      </c>
      <c r="C916" t="str">
        <f t="shared" si="87"/>
        <v xml:space="preserve">1F468 1F3FF 200D 1F37C </v>
      </c>
      <c r="D916">
        <f t="shared" si="88"/>
        <v>23</v>
      </c>
      <c r="E916" t="str">
        <f t="shared" si="84"/>
        <v xml:space="preserve"> 👨🏿‍🍼 E13.0 man feeding baby: dark skin tone</v>
      </c>
      <c r="F916" t="b">
        <f t="shared" si="89"/>
        <v>1</v>
      </c>
      <c r="G916" t="str">
        <f t="shared" si="85"/>
        <v>1F468</v>
      </c>
      <c r="I916">
        <f>HEX2DEC(Table1[[#This Row],[utf8]])</f>
        <v>128104</v>
      </c>
      <c r="J916" t="str">
        <f>_xlfn.UNICHAR(HEX2DEC(Table1[[#This Row],[utf8]]))</f>
        <v>👨</v>
      </c>
      <c r="K916" s="3" t="str" cm="1">
        <f t="array" ref="K916">"Case "&amp;wRandomLetter()&amp;wRandomLetter()&amp;I916&amp;":    UniConst = ChrW(" &amp; I916 &amp;")"</f>
        <v>Case KZ128104:    UniConst = ChrW(128104)</v>
      </c>
    </row>
    <row r="917" spans="1:11" hidden="1">
      <c r="A917" t="s">
        <v>989</v>
      </c>
      <c r="B917" t="str">
        <f t="shared" si="86"/>
        <v>1F468 1F3FF 200D 1F393 ; fully-qualified # 👨🏿‍🎓 E4.0 man student: dark skin tone</v>
      </c>
      <c r="C917" t="str">
        <f t="shared" si="87"/>
        <v xml:space="preserve">1F468 1F3FF 200D 1F393 </v>
      </c>
      <c r="D917">
        <f t="shared" si="88"/>
        <v>23</v>
      </c>
      <c r="E917" t="str">
        <f t="shared" si="84"/>
        <v xml:space="preserve"> 👨🏿‍🎓 E4.0 man student: dark skin tone</v>
      </c>
      <c r="F917" t="b">
        <f t="shared" si="89"/>
        <v>1</v>
      </c>
      <c r="G917" t="str">
        <f t="shared" si="85"/>
        <v>1F468</v>
      </c>
      <c r="I917">
        <f>HEX2DEC(Table1[[#This Row],[utf8]])</f>
        <v>128104</v>
      </c>
      <c r="J917" t="str">
        <f>_xlfn.UNICHAR(HEX2DEC(Table1[[#This Row],[utf8]]))</f>
        <v>👨</v>
      </c>
      <c r="K917" s="3" t="str" cm="1">
        <f t="array" ref="K917">"Case "&amp;wRandomLetter()&amp;wRandomLetter()&amp;I917&amp;":    UniConst = ChrW(" &amp; I917 &amp;")"</f>
        <v>Case wz128104:    UniConst = ChrW(128104)</v>
      </c>
    </row>
    <row r="918" spans="1:11" hidden="1">
      <c r="A918" t="s">
        <v>1187</v>
      </c>
      <c r="B918" t="str">
        <f t="shared" si="86"/>
        <v>1F468 1F3FF 200D 1F3A4 ; fully-qualified # 👨🏿‍🎤 E4.0 man singer: dark skin tone</v>
      </c>
      <c r="C918" t="str">
        <f t="shared" si="87"/>
        <v xml:space="preserve">1F468 1F3FF 200D 1F3A4 </v>
      </c>
      <c r="D918">
        <f t="shared" si="88"/>
        <v>23</v>
      </c>
      <c r="E918" t="str">
        <f t="shared" si="84"/>
        <v xml:space="preserve"> 👨🏿‍🎤 E4.0 man singer: dark skin tone</v>
      </c>
      <c r="F918" t="b">
        <f t="shared" si="89"/>
        <v>1</v>
      </c>
      <c r="G918" t="str">
        <f t="shared" si="85"/>
        <v>1F468</v>
      </c>
      <c r="I918">
        <f>HEX2DEC(Table1[[#This Row],[utf8]])</f>
        <v>128104</v>
      </c>
      <c r="J918" t="str">
        <f>_xlfn.UNICHAR(HEX2DEC(Table1[[#This Row],[utf8]]))</f>
        <v>👨</v>
      </c>
      <c r="K918" s="3" t="str" cm="1">
        <f t="array" ref="K918">"Case "&amp;wRandomLetter()&amp;wRandomLetter()&amp;I918&amp;":    UniConst = ChrW(" &amp; I918 &amp;")"</f>
        <v>Case Np128104:    UniConst = ChrW(128104)</v>
      </c>
    </row>
    <row r="919" spans="1:11" hidden="1">
      <c r="A919" t="s">
        <v>1205</v>
      </c>
      <c r="B919" t="str">
        <f t="shared" si="86"/>
        <v>1F468 1F3FF 200D 1F3A8 ; fully-qualified # 👨🏿‍🎨 E4.0 man artist: dark skin tone</v>
      </c>
      <c r="C919" t="str">
        <f t="shared" si="87"/>
        <v xml:space="preserve">1F468 1F3FF 200D 1F3A8 </v>
      </c>
      <c r="D919">
        <f t="shared" si="88"/>
        <v>23</v>
      </c>
      <c r="E919" t="str">
        <f t="shared" si="84"/>
        <v xml:space="preserve"> 👨🏿‍🎨 E4.0 man artist: dark skin tone</v>
      </c>
      <c r="F919" t="b">
        <f t="shared" si="89"/>
        <v>1</v>
      </c>
      <c r="G919" t="str">
        <f t="shared" si="85"/>
        <v>1F468</v>
      </c>
      <c r="I919">
        <f>HEX2DEC(Table1[[#This Row],[utf8]])</f>
        <v>128104</v>
      </c>
      <c r="J919" t="str">
        <f>_xlfn.UNICHAR(HEX2DEC(Table1[[#This Row],[utf8]]))</f>
        <v>👨</v>
      </c>
      <c r="K919" s="3" t="str" cm="1">
        <f t="array" ref="K919">"Case "&amp;wRandomLetter()&amp;wRandomLetter()&amp;I919&amp;":    UniConst = ChrW(" &amp; I919 &amp;")"</f>
        <v>Case Cv128104:    UniConst = ChrW(128104)</v>
      </c>
    </row>
    <row r="920" spans="1:11" hidden="1">
      <c r="A920" t="s">
        <v>1007</v>
      </c>
      <c r="B920" t="str">
        <f t="shared" si="86"/>
        <v>1F468 1F3FF 200D 1F3EB ; fully-qualified # 👨🏿‍🏫 E4.0 man teacher: dark skin tone</v>
      </c>
      <c r="C920" t="str">
        <f t="shared" si="87"/>
        <v xml:space="preserve">1F468 1F3FF 200D 1F3EB </v>
      </c>
      <c r="D920">
        <f t="shared" si="88"/>
        <v>23</v>
      </c>
      <c r="E920" t="str">
        <f t="shared" si="84"/>
        <v xml:space="preserve"> 👨🏿‍🏫 E4.0 man teacher: dark skin tone</v>
      </c>
      <c r="F920" t="b">
        <f t="shared" si="89"/>
        <v>1</v>
      </c>
      <c r="G920" t="str">
        <f t="shared" si="85"/>
        <v>1F468</v>
      </c>
      <c r="I920">
        <f>HEX2DEC(Table1[[#This Row],[utf8]])</f>
        <v>128104</v>
      </c>
      <c r="J920" t="str">
        <f>_xlfn.UNICHAR(HEX2DEC(Table1[[#This Row],[utf8]]))</f>
        <v>👨</v>
      </c>
      <c r="K920" s="3" t="str" cm="1">
        <f t="array" ref="K920">"Case "&amp;wRandomLetter()&amp;wRandomLetter()&amp;I920&amp;":    UniConst = ChrW(" &amp; I920 &amp;")"</f>
        <v>Case DG128104:    UniConst = ChrW(128104)</v>
      </c>
    </row>
    <row r="921" spans="1:11" hidden="1">
      <c r="A921" t="s">
        <v>1115</v>
      </c>
      <c r="B921" t="str">
        <f t="shared" si="86"/>
        <v>1F468 1F3FF 200D 1F3ED ; fully-qualified # 👨🏿‍🏭 E4.0 man factory worker: dark skin tone</v>
      </c>
      <c r="C921" t="str">
        <f t="shared" si="87"/>
        <v xml:space="preserve">1F468 1F3FF 200D 1F3ED </v>
      </c>
      <c r="D921">
        <f t="shared" si="88"/>
        <v>23</v>
      </c>
      <c r="E921" t="str">
        <f t="shared" si="84"/>
        <v xml:space="preserve"> 👨🏿‍🏭 E4.0 man factory worker: dark skin tone</v>
      </c>
      <c r="F921" t="b">
        <f t="shared" si="89"/>
        <v>1</v>
      </c>
      <c r="G921" t="str">
        <f t="shared" si="85"/>
        <v>1F468</v>
      </c>
      <c r="I921">
        <f>HEX2DEC(Table1[[#This Row],[utf8]])</f>
        <v>128104</v>
      </c>
      <c r="J921" t="str">
        <f>_xlfn.UNICHAR(HEX2DEC(Table1[[#This Row],[utf8]]))</f>
        <v>👨</v>
      </c>
      <c r="K921" s="3" t="str" cm="1">
        <f t="array" ref="K921">"Case "&amp;wRandomLetter()&amp;wRandomLetter()&amp;I921&amp;":    UniConst = ChrW(" &amp; I921 &amp;")"</f>
        <v>Case iw128104:    UniConst = ChrW(128104)</v>
      </c>
    </row>
    <row r="922" spans="1:11" hidden="1">
      <c r="A922" t="s">
        <v>1169</v>
      </c>
      <c r="B922" t="str">
        <f t="shared" si="86"/>
        <v>1F468 1F3FF 200D 1F4BB ; fully-qualified # 👨🏿‍💻 E4.0 man technologist: dark skin tone</v>
      </c>
      <c r="C922" t="str">
        <f t="shared" si="87"/>
        <v xml:space="preserve">1F468 1F3FF 200D 1F4BB </v>
      </c>
      <c r="D922">
        <f t="shared" si="88"/>
        <v>23</v>
      </c>
      <c r="E922" t="str">
        <f t="shared" si="84"/>
        <v xml:space="preserve"> 👨🏿‍💻 E4.0 man technologist: dark skin tone</v>
      </c>
      <c r="F922" t="b">
        <f t="shared" si="89"/>
        <v>1</v>
      </c>
      <c r="G922" t="str">
        <f t="shared" si="85"/>
        <v>1F468</v>
      </c>
      <c r="I922">
        <f>HEX2DEC(Table1[[#This Row],[utf8]])</f>
        <v>128104</v>
      </c>
      <c r="J922" t="str">
        <f>_xlfn.UNICHAR(HEX2DEC(Table1[[#This Row],[utf8]]))</f>
        <v>👨</v>
      </c>
      <c r="K922" s="3" t="str" cm="1">
        <f t="array" ref="K922">"Case "&amp;wRandomLetter()&amp;wRandomLetter()&amp;I922&amp;":    UniConst = ChrW(" &amp; I922 &amp;")"</f>
        <v>Case kz128104:    UniConst = ChrW(128104)</v>
      </c>
    </row>
    <row r="923" spans="1:11" hidden="1">
      <c r="A923" t="s">
        <v>1133</v>
      </c>
      <c r="B923" t="str">
        <f t="shared" si="86"/>
        <v>1F468 1F3FF 200D 1F4BC ; fully-qualified # 👨🏿‍💼 E4.0 man office worker: dark skin tone</v>
      </c>
      <c r="C923" t="str">
        <f t="shared" si="87"/>
        <v xml:space="preserve">1F468 1F3FF 200D 1F4BC </v>
      </c>
      <c r="D923">
        <f t="shared" si="88"/>
        <v>23</v>
      </c>
      <c r="E923" t="str">
        <f t="shared" si="84"/>
        <v xml:space="preserve"> 👨🏿‍💼 E4.0 man office worker: dark skin tone</v>
      </c>
      <c r="F923" t="b">
        <f t="shared" si="89"/>
        <v>1</v>
      </c>
      <c r="G923" t="str">
        <f t="shared" si="85"/>
        <v>1F468</v>
      </c>
      <c r="I923">
        <f>HEX2DEC(Table1[[#This Row],[utf8]])</f>
        <v>128104</v>
      </c>
      <c r="J923" t="str">
        <f>_xlfn.UNICHAR(HEX2DEC(Table1[[#This Row],[utf8]]))</f>
        <v>👨</v>
      </c>
      <c r="K923" s="3" t="str" cm="1">
        <f t="array" ref="K923">"Case "&amp;wRandomLetter()&amp;wRandomLetter()&amp;I923&amp;":    UniConst = ChrW(" &amp; I923 &amp;")"</f>
        <v>Case AP128104:    UniConst = ChrW(128104)</v>
      </c>
    </row>
    <row r="924" spans="1:11" hidden="1">
      <c r="A924" t="s">
        <v>1097</v>
      </c>
      <c r="B924" t="str">
        <f t="shared" si="86"/>
        <v>1F468 1F3FF 200D 1F527 ; fully-qualified # 👨🏿‍🔧 E4.0 man mechanic: dark skin tone</v>
      </c>
      <c r="C924" t="str">
        <f t="shared" si="87"/>
        <v xml:space="preserve">1F468 1F3FF 200D 1F527 </v>
      </c>
      <c r="D924">
        <f t="shared" si="88"/>
        <v>23</v>
      </c>
      <c r="E924" t="str">
        <f t="shared" si="84"/>
        <v xml:space="preserve"> 👨🏿‍🔧 E4.0 man mechanic: dark skin tone</v>
      </c>
      <c r="F924" t="b">
        <f t="shared" si="89"/>
        <v>1</v>
      </c>
      <c r="G924" t="str">
        <f t="shared" si="85"/>
        <v>1F468</v>
      </c>
      <c r="I924">
        <f>HEX2DEC(Table1[[#This Row],[utf8]])</f>
        <v>128104</v>
      </c>
      <c r="J924" t="str">
        <f>_xlfn.UNICHAR(HEX2DEC(Table1[[#This Row],[utf8]]))</f>
        <v>👨</v>
      </c>
      <c r="K924" s="3" t="str" cm="1">
        <f t="array" ref="K924">"Case "&amp;wRandomLetter()&amp;wRandomLetter()&amp;I924&amp;":    UniConst = ChrW(" &amp; I924 &amp;")"</f>
        <v>Case KM128104:    UniConst = ChrW(128104)</v>
      </c>
    </row>
    <row r="925" spans="1:11" hidden="1">
      <c r="A925" t="s">
        <v>1151</v>
      </c>
      <c r="B925" t="str">
        <f t="shared" si="86"/>
        <v>1F468 1F3FF 200D 1F52C ; fully-qualified # 👨🏿‍🔬 E4.0 man scientist: dark skin tone</v>
      </c>
      <c r="C925" t="str">
        <f t="shared" si="87"/>
        <v xml:space="preserve">1F468 1F3FF 200D 1F52C </v>
      </c>
      <c r="D925">
        <f t="shared" si="88"/>
        <v>23</v>
      </c>
      <c r="E925" t="str">
        <f t="shared" si="84"/>
        <v xml:space="preserve"> 👨🏿‍🔬 E4.0 man scientist: dark skin tone</v>
      </c>
      <c r="F925" t="b">
        <f t="shared" si="89"/>
        <v>1</v>
      </c>
      <c r="G925" t="str">
        <f t="shared" si="85"/>
        <v>1F468</v>
      </c>
      <c r="I925">
        <f>HEX2DEC(Table1[[#This Row],[utf8]])</f>
        <v>128104</v>
      </c>
      <c r="J925" t="str">
        <f>_xlfn.UNICHAR(HEX2DEC(Table1[[#This Row],[utf8]]))</f>
        <v>👨</v>
      </c>
      <c r="K925" s="3" t="str" cm="1">
        <f t="array" ref="K925">"Case "&amp;wRandomLetter()&amp;wRandomLetter()&amp;I925&amp;":    UniConst = ChrW(" &amp; I925 &amp;")"</f>
        <v>Case nJ128104:    UniConst = ChrW(128104)</v>
      </c>
    </row>
    <row r="926" spans="1:11" hidden="1">
      <c r="A926" t="s">
        <v>1259</v>
      </c>
      <c r="B926" t="str">
        <f t="shared" si="86"/>
        <v>1F468 1F3FF 200D 1F680 ; fully-qualified # 👨🏿‍🚀 E4.0 man astronaut: dark skin tone</v>
      </c>
      <c r="C926" t="str">
        <f t="shared" si="87"/>
        <v xml:space="preserve">1F468 1F3FF 200D 1F680 </v>
      </c>
      <c r="D926">
        <f t="shared" si="88"/>
        <v>23</v>
      </c>
      <c r="E926" t="str">
        <f t="shared" si="84"/>
        <v xml:space="preserve"> 👨🏿‍🚀 E4.0 man astronaut: dark skin tone</v>
      </c>
      <c r="F926" t="b">
        <f t="shared" si="89"/>
        <v>1</v>
      </c>
      <c r="G926" t="str">
        <f t="shared" si="85"/>
        <v>1F468</v>
      </c>
      <c r="I926">
        <f>HEX2DEC(Table1[[#This Row],[utf8]])</f>
        <v>128104</v>
      </c>
      <c r="J926" t="str">
        <f>_xlfn.UNICHAR(HEX2DEC(Table1[[#This Row],[utf8]]))</f>
        <v>👨</v>
      </c>
      <c r="K926" s="3" t="str" cm="1">
        <f t="array" ref="K926">"Case "&amp;wRandomLetter()&amp;wRandomLetter()&amp;I926&amp;":    UniConst = ChrW(" &amp; I926 &amp;")"</f>
        <v>Case Lz128104:    UniConst = ChrW(128104)</v>
      </c>
    </row>
    <row r="927" spans="1:11" hidden="1">
      <c r="A927" t="s">
        <v>1277</v>
      </c>
      <c r="B927" t="str">
        <f t="shared" si="86"/>
        <v>1F468 1F3FF 200D 1F692 ; fully-qualified # 👨🏿‍🚒 E4.0 man firefighter: dark skin tone</v>
      </c>
      <c r="C927" t="str">
        <f t="shared" si="87"/>
        <v xml:space="preserve">1F468 1F3FF 200D 1F692 </v>
      </c>
      <c r="D927">
        <f t="shared" si="88"/>
        <v>23</v>
      </c>
      <c r="E927" t="str">
        <f t="shared" si="84"/>
        <v xml:space="preserve"> 👨🏿‍🚒 E4.0 man firefighter: dark skin tone</v>
      </c>
      <c r="F927" t="b">
        <f t="shared" si="89"/>
        <v>1</v>
      </c>
      <c r="G927" t="str">
        <f t="shared" si="85"/>
        <v>1F468</v>
      </c>
      <c r="I927">
        <f>HEX2DEC(Table1[[#This Row],[utf8]])</f>
        <v>128104</v>
      </c>
      <c r="J927" t="str">
        <f>_xlfn.UNICHAR(HEX2DEC(Table1[[#This Row],[utf8]]))</f>
        <v>👨</v>
      </c>
      <c r="K927" s="3" t="str" cm="1">
        <f t="array" ref="K927">"Case "&amp;wRandomLetter()&amp;wRandomLetter()&amp;I927&amp;":    UniConst = ChrW(" &amp; I927 &amp;")"</f>
        <v>Case zS128104:    UniConst = ChrW(128104)</v>
      </c>
    </row>
    <row r="928" spans="1:11" hidden="1">
      <c r="A928" t="s">
        <v>2662</v>
      </c>
      <c r="B928" t="str">
        <f t="shared" si="86"/>
        <v>1F468 1F3FF 200D 1F91D 200D 1F468 1F3FB ; fully-qualified # 👨🏿‍🤝‍👨🏻 E12.0 men holding hands: dark skin tone, light skin tone</v>
      </c>
      <c r="C928" t="str">
        <f t="shared" si="87"/>
        <v xml:space="preserve">1F468 1F3FF 200D 1F91D 200D 1F468 1F3FB </v>
      </c>
      <c r="D928">
        <f t="shared" si="88"/>
        <v>40</v>
      </c>
      <c r="E928" t="str">
        <f t="shared" si="84"/>
        <v xml:space="preserve"> 👨🏿‍🤝‍👨🏻 E12.0 men holding hands: dark skin tone, light skin tone</v>
      </c>
      <c r="F928" t="b">
        <f t="shared" si="89"/>
        <v>1</v>
      </c>
      <c r="G928" t="str">
        <f t="shared" si="85"/>
        <v>1F468</v>
      </c>
      <c r="I928">
        <f>HEX2DEC(Table1[[#This Row],[utf8]])</f>
        <v>128104</v>
      </c>
      <c r="J928" t="str">
        <f>_xlfn.UNICHAR(HEX2DEC(Table1[[#This Row],[utf8]]))</f>
        <v>👨</v>
      </c>
      <c r="K928" s="3" t="str" cm="1">
        <f t="array" ref="K928">"Case "&amp;wRandomLetter()&amp;wRandomLetter()&amp;I928&amp;":    UniConst = ChrW(" &amp; I928 &amp;")"</f>
        <v>Case NT128104:    UniConst = ChrW(128104)</v>
      </c>
    </row>
    <row r="929" spans="1:11" hidden="1">
      <c r="A929" t="s">
        <v>2663</v>
      </c>
      <c r="B929" t="str">
        <f t="shared" si="86"/>
        <v>1F468 1F3FF 200D 1F91D 200D 1F468 1F3FC ; fully-qualified # 👨🏿‍🤝‍👨🏼 E12.0 men holding hands: dark skin tone, medium-light skin tone</v>
      </c>
      <c r="C929" t="str">
        <f t="shared" si="87"/>
        <v xml:space="preserve">1F468 1F3FF 200D 1F91D 200D 1F468 1F3FC </v>
      </c>
      <c r="D929">
        <f t="shared" si="88"/>
        <v>40</v>
      </c>
      <c r="E929" t="str">
        <f t="shared" si="84"/>
        <v xml:space="preserve"> 👨🏿‍🤝‍👨🏼 E12.0 men holding hands: dark skin tone, medium-light skin tone</v>
      </c>
      <c r="F929" t="b">
        <f t="shared" si="89"/>
        <v>1</v>
      </c>
      <c r="G929" t="str">
        <f t="shared" si="85"/>
        <v>1F468</v>
      </c>
      <c r="I929">
        <f>HEX2DEC(Table1[[#This Row],[utf8]])</f>
        <v>128104</v>
      </c>
      <c r="J929" t="str">
        <f>_xlfn.UNICHAR(HEX2DEC(Table1[[#This Row],[utf8]]))</f>
        <v>👨</v>
      </c>
      <c r="K929" s="3" t="str" cm="1">
        <f t="array" ref="K929">"Case "&amp;wRandomLetter()&amp;wRandomLetter()&amp;I929&amp;":    UniConst = ChrW(" &amp; I929 &amp;")"</f>
        <v>Case WW128104:    UniConst = ChrW(128104)</v>
      </c>
    </row>
    <row r="930" spans="1:11" hidden="1">
      <c r="A930" t="s">
        <v>2664</v>
      </c>
      <c r="B930" t="str">
        <f t="shared" si="86"/>
        <v>1F468 1F3FF 200D 1F91D 200D 1F468 1F3FD ; fully-qualified # 👨🏿‍🤝‍👨🏽 E12.0 men holding hands: dark skin tone, medium skin tone</v>
      </c>
      <c r="C930" t="str">
        <f t="shared" si="87"/>
        <v xml:space="preserve">1F468 1F3FF 200D 1F91D 200D 1F468 1F3FD </v>
      </c>
      <c r="D930">
        <f t="shared" si="88"/>
        <v>40</v>
      </c>
      <c r="E930" t="str">
        <f t="shared" si="84"/>
        <v xml:space="preserve"> 👨🏿‍🤝‍👨🏽 E12.0 men holding hands: dark skin tone, medium skin tone</v>
      </c>
      <c r="F930" t="b">
        <f t="shared" si="89"/>
        <v>1</v>
      </c>
      <c r="G930" t="str">
        <f t="shared" si="85"/>
        <v>1F468</v>
      </c>
      <c r="I930">
        <f>HEX2DEC(Table1[[#This Row],[utf8]])</f>
        <v>128104</v>
      </c>
      <c r="J930" t="str">
        <f>_xlfn.UNICHAR(HEX2DEC(Table1[[#This Row],[utf8]]))</f>
        <v>👨</v>
      </c>
      <c r="K930" s="3" t="str" cm="1">
        <f t="array" ref="K930">"Case "&amp;wRandomLetter()&amp;wRandomLetter()&amp;I930&amp;":    UniConst = ChrW(" &amp; I930 &amp;")"</f>
        <v>Case EM128104:    UniConst = ChrW(128104)</v>
      </c>
    </row>
    <row r="931" spans="1:11" hidden="1">
      <c r="A931" t="s">
        <v>2665</v>
      </c>
      <c r="B931" t="str">
        <f t="shared" si="86"/>
        <v>1F468 1F3FF 200D 1F91D 200D 1F468 1F3FE ; fully-qualified # 👨🏿‍🤝‍👨🏾 E12.0 men holding hands: dark skin tone, medium-dark skin tone</v>
      </c>
      <c r="C931" t="str">
        <f t="shared" si="87"/>
        <v xml:space="preserve">1F468 1F3FF 200D 1F91D 200D 1F468 1F3FE </v>
      </c>
      <c r="D931">
        <f t="shared" si="88"/>
        <v>40</v>
      </c>
      <c r="E931" t="str">
        <f t="shared" si="84"/>
        <v xml:space="preserve"> 👨🏿‍🤝‍👨🏾 E12.0 men holding hands: dark skin tone, medium-dark skin tone</v>
      </c>
      <c r="F931" t="b">
        <f t="shared" si="89"/>
        <v>1</v>
      </c>
      <c r="G931" t="str">
        <f t="shared" si="85"/>
        <v>1F468</v>
      </c>
      <c r="I931">
        <f>HEX2DEC(Table1[[#This Row],[utf8]])</f>
        <v>128104</v>
      </c>
      <c r="J931" t="str">
        <f>_xlfn.UNICHAR(HEX2DEC(Table1[[#This Row],[utf8]]))</f>
        <v>👨</v>
      </c>
      <c r="K931" s="3" t="str" cm="1">
        <f t="array" ref="K931">"Case "&amp;wRandomLetter()&amp;wRandomLetter()&amp;I931&amp;":    UniConst = ChrW(" &amp; I931 &amp;")"</f>
        <v>Case Yl128104:    UniConst = ChrW(128104)</v>
      </c>
    </row>
    <row r="932" spans="1:11" hidden="1">
      <c r="A932" t="s">
        <v>1966</v>
      </c>
      <c r="B932" t="str">
        <f t="shared" si="86"/>
        <v>1F468 1F3FF 200D 1F9AF ; fully-qualified # 👨🏿‍🦯 E12.0 man with white cane: dark skin tone</v>
      </c>
      <c r="C932" t="str">
        <f t="shared" si="87"/>
        <v xml:space="preserve">1F468 1F3FF 200D 1F9AF </v>
      </c>
      <c r="D932">
        <f t="shared" si="88"/>
        <v>23</v>
      </c>
      <c r="E932" t="str">
        <f t="shared" si="84"/>
        <v xml:space="preserve"> 👨🏿‍🦯 E12.0 man with white cane: dark skin tone</v>
      </c>
      <c r="F932" t="b">
        <f t="shared" si="89"/>
        <v>1</v>
      </c>
      <c r="G932" t="str">
        <f t="shared" si="85"/>
        <v>1F468</v>
      </c>
      <c r="I932">
        <f>HEX2DEC(Table1[[#This Row],[utf8]])</f>
        <v>128104</v>
      </c>
      <c r="J932" t="str">
        <f>_xlfn.UNICHAR(HEX2DEC(Table1[[#This Row],[utf8]]))</f>
        <v>👨</v>
      </c>
      <c r="K932" s="3" t="str" cm="1">
        <f t="array" ref="K932">"Case "&amp;wRandomLetter()&amp;wRandomLetter()&amp;I932&amp;":    UniConst = ChrW(" &amp; I932 &amp;")"</f>
        <v>Case kF128104:    UniConst = ChrW(128104)</v>
      </c>
    </row>
    <row r="933" spans="1:11" hidden="1">
      <c r="A933" t="s">
        <v>525</v>
      </c>
      <c r="B933" t="str">
        <f t="shared" si="86"/>
        <v>1F468 1F3FF 200D 1F9B0 ; fully-qualified # 👨🏿‍🦰 E11.0 man: dark skin tone, red hair</v>
      </c>
      <c r="C933" t="str">
        <f t="shared" si="87"/>
        <v xml:space="preserve">1F468 1F3FF 200D 1F9B0 </v>
      </c>
      <c r="D933">
        <f t="shared" si="88"/>
        <v>23</v>
      </c>
      <c r="E933" t="str">
        <f t="shared" si="84"/>
        <v xml:space="preserve"> 👨🏿‍🦰 E11.0 man: dark skin tone, red hair</v>
      </c>
      <c r="F933" t="b">
        <f t="shared" si="89"/>
        <v>1</v>
      </c>
      <c r="G933" t="str">
        <f t="shared" si="85"/>
        <v>1F468</v>
      </c>
      <c r="I933">
        <f>HEX2DEC(Table1[[#This Row],[utf8]])</f>
        <v>128104</v>
      </c>
      <c r="J933" t="str">
        <f>_xlfn.UNICHAR(HEX2DEC(Table1[[#This Row],[utf8]]))</f>
        <v>👨</v>
      </c>
      <c r="K933" s="3" t="str" cm="1">
        <f t="array" ref="K933">"Case "&amp;wRandomLetter()&amp;wRandomLetter()&amp;I933&amp;":    UniConst = ChrW(" &amp; I933 &amp;")"</f>
        <v>Case Sq128104:    UniConst = ChrW(128104)</v>
      </c>
    </row>
    <row r="934" spans="1:11" hidden="1">
      <c r="A934" t="s">
        <v>531</v>
      </c>
      <c r="B934" t="str">
        <f t="shared" si="86"/>
        <v>1F468 1F3FF 200D 1F9B1 ; fully-qualified # 👨🏿‍🦱 E11.0 man: dark skin tone, curly hair</v>
      </c>
      <c r="C934" t="str">
        <f t="shared" si="87"/>
        <v xml:space="preserve">1F468 1F3FF 200D 1F9B1 </v>
      </c>
      <c r="D934">
        <f t="shared" si="88"/>
        <v>23</v>
      </c>
      <c r="E934" t="str">
        <f t="shared" si="84"/>
        <v xml:space="preserve"> 👨🏿‍🦱 E11.0 man: dark skin tone, curly hair</v>
      </c>
      <c r="F934" t="b">
        <f t="shared" si="89"/>
        <v>1</v>
      </c>
      <c r="G934" t="str">
        <f t="shared" si="85"/>
        <v>1F468</v>
      </c>
      <c r="I934">
        <f>HEX2DEC(Table1[[#This Row],[utf8]])</f>
        <v>128104</v>
      </c>
      <c r="J934" t="str">
        <f>_xlfn.UNICHAR(HEX2DEC(Table1[[#This Row],[utf8]]))</f>
        <v>👨</v>
      </c>
      <c r="K934" s="3" t="str" cm="1">
        <f t="array" ref="K934">"Case "&amp;wRandomLetter()&amp;wRandomLetter()&amp;I934&amp;":    UniConst = ChrW(" &amp; I934 &amp;")"</f>
        <v>Case Ep128104:    UniConst = ChrW(128104)</v>
      </c>
    </row>
    <row r="935" spans="1:11" hidden="1">
      <c r="A935" t="s">
        <v>543</v>
      </c>
      <c r="B935" t="str">
        <f t="shared" si="86"/>
        <v>1F468 1F3FF 200D 1F9B2 ; fully-qualified # 👨🏿‍🦲 E11.0 man: dark skin tone, bald</v>
      </c>
      <c r="C935" t="str">
        <f t="shared" si="87"/>
        <v xml:space="preserve">1F468 1F3FF 200D 1F9B2 </v>
      </c>
      <c r="D935">
        <f t="shared" si="88"/>
        <v>23</v>
      </c>
      <c r="E935" t="str">
        <f t="shared" si="84"/>
        <v xml:space="preserve"> 👨🏿‍🦲 E11.0 man: dark skin tone, bald</v>
      </c>
      <c r="F935" t="b">
        <f t="shared" si="89"/>
        <v>1</v>
      </c>
      <c r="G935" t="str">
        <f t="shared" si="85"/>
        <v>1F468</v>
      </c>
      <c r="I935">
        <f>HEX2DEC(Table1[[#This Row],[utf8]])</f>
        <v>128104</v>
      </c>
      <c r="J935" t="str">
        <f>_xlfn.UNICHAR(HEX2DEC(Table1[[#This Row],[utf8]]))</f>
        <v>👨</v>
      </c>
      <c r="K935" s="3" t="str" cm="1">
        <f t="array" ref="K935">"Case "&amp;wRandomLetter()&amp;wRandomLetter()&amp;I935&amp;":    UniConst = ChrW(" &amp; I935 &amp;")"</f>
        <v>Case iv128104:    UniConst = ChrW(128104)</v>
      </c>
    </row>
    <row r="936" spans="1:11" hidden="1">
      <c r="A936" t="s">
        <v>537</v>
      </c>
      <c r="B936" t="str">
        <f t="shared" si="86"/>
        <v>1F468 1F3FF 200D 1F9B3 ; fully-qualified # 👨🏿‍🦳 E11.0 man: dark skin tone, white hair</v>
      </c>
      <c r="C936" t="str">
        <f t="shared" si="87"/>
        <v xml:space="preserve">1F468 1F3FF 200D 1F9B3 </v>
      </c>
      <c r="D936">
        <f t="shared" si="88"/>
        <v>23</v>
      </c>
      <c r="E936" t="str">
        <f t="shared" si="84"/>
        <v xml:space="preserve"> 👨🏿‍🦳 E11.0 man: dark skin tone, white hair</v>
      </c>
      <c r="F936" t="b">
        <f t="shared" si="89"/>
        <v>1</v>
      </c>
      <c r="G936" t="str">
        <f t="shared" si="85"/>
        <v>1F468</v>
      </c>
      <c r="I936">
        <f>HEX2DEC(Table1[[#This Row],[utf8]])</f>
        <v>128104</v>
      </c>
      <c r="J936" t="str">
        <f>_xlfn.UNICHAR(HEX2DEC(Table1[[#This Row],[utf8]]))</f>
        <v>👨</v>
      </c>
      <c r="K936" s="3" t="str" cm="1">
        <f t="array" ref="K936">"Case "&amp;wRandomLetter()&amp;wRandomLetter()&amp;I936&amp;":    UniConst = ChrW(" &amp; I936 &amp;")"</f>
        <v>Case ne128104:    UniConst = ChrW(128104)</v>
      </c>
    </row>
    <row r="937" spans="1:11" hidden="1">
      <c r="A937" t="s">
        <v>1984</v>
      </c>
      <c r="B937" t="str">
        <f t="shared" si="86"/>
        <v>1F468 1F3FF 200D 1F9BC ; fully-qualified # 👨🏿‍🦼 E12.0 man in motorized wheelchair: dark skin tone</v>
      </c>
      <c r="C937" t="str">
        <f t="shared" si="87"/>
        <v xml:space="preserve">1F468 1F3FF 200D 1F9BC </v>
      </c>
      <c r="D937">
        <f t="shared" si="88"/>
        <v>23</v>
      </c>
      <c r="E937" t="str">
        <f t="shared" si="84"/>
        <v xml:space="preserve"> 👨🏿‍🦼 E12.0 man in motorized wheelchair: dark skin tone</v>
      </c>
      <c r="F937" t="b">
        <f t="shared" si="89"/>
        <v>1</v>
      </c>
      <c r="G937" t="str">
        <f t="shared" si="85"/>
        <v>1F468</v>
      </c>
      <c r="I937">
        <f>HEX2DEC(Table1[[#This Row],[utf8]])</f>
        <v>128104</v>
      </c>
      <c r="J937" t="str">
        <f>_xlfn.UNICHAR(HEX2DEC(Table1[[#This Row],[utf8]]))</f>
        <v>👨</v>
      </c>
      <c r="K937" s="3" t="str" cm="1">
        <f t="array" ref="K937">"Case "&amp;wRandomLetter()&amp;wRandomLetter()&amp;I937&amp;":    UniConst = ChrW(" &amp; I937 &amp;")"</f>
        <v>Case er128104:    UniConst = ChrW(128104)</v>
      </c>
    </row>
    <row r="938" spans="1:11" hidden="1">
      <c r="A938" t="s">
        <v>2002</v>
      </c>
      <c r="B938" t="str">
        <f t="shared" si="86"/>
        <v>1F468 1F3FF 200D 1F9BD ; fully-qualified # 👨🏿‍🦽 E12.0 man in manual wheelchair: dark skin tone</v>
      </c>
      <c r="C938" t="str">
        <f t="shared" si="87"/>
        <v xml:space="preserve">1F468 1F3FF 200D 1F9BD </v>
      </c>
      <c r="D938">
        <f t="shared" si="88"/>
        <v>23</v>
      </c>
      <c r="E938" t="str">
        <f t="shared" si="84"/>
        <v xml:space="preserve"> 👨🏿‍🦽 E12.0 man in manual wheelchair: dark skin tone</v>
      </c>
      <c r="F938" t="b">
        <f t="shared" si="89"/>
        <v>1</v>
      </c>
      <c r="G938" t="str">
        <f t="shared" si="85"/>
        <v>1F468</v>
      </c>
      <c r="I938">
        <f>HEX2DEC(Table1[[#This Row],[utf8]])</f>
        <v>128104</v>
      </c>
      <c r="J938" t="str">
        <f>_xlfn.UNICHAR(HEX2DEC(Table1[[#This Row],[utf8]]))</f>
        <v>👨</v>
      </c>
      <c r="K938" s="3" t="str" cm="1">
        <f t="array" ref="K938">"Case "&amp;wRandomLetter()&amp;wRandomLetter()&amp;I938&amp;":    UniConst = ChrW(" &amp; I938 &amp;")"</f>
        <v>Case He128104:    UniConst = ChrW(128104)</v>
      </c>
    </row>
    <row r="939" spans="1:11" hidden="1">
      <c r="A939" t="s">
        <v>965</v>
      </c>
      <c r="B939" t="str">
        <f t="shared" si="86"/>
        <v>1F468 1F3FF 200D 2695 ; minimally-qualified # 👨🏿‍⚕ E4.0 man health worker: dark skin tone</v>
      </c>
      <c r="C939" t="str">
        <f t="shared" si="87"/>
        <v xml:space="preserve">1F468 1F3FF 200D 2695 </v>
      </c>
      <c r="D939">
        <f t="shared" si="88"/>
        <v>22</v>
      </c>
      <c r="E939" t="str">
        <f t="shared" si="84"/>
        <v xml:space="preserve"> 👨🏿‍⚕ E4.0 man health worker: dark skin tone</v>
      </c>
      <c r="F939" t="b">
        <f t="shared" si="89"/>
        <v>1</v>
      </c>
      <c r="G939" t="str">
        <f t="shared" si="85"/>
        <v>1F468</v>
      </c>
      <c r="I939">
        <f>HEX2DEC(Table1[[#This Row],[utf8]])</f>
        <v>128104</v>
      </c>
      <c r="J939" t="str">
        <f>_xlfn.UNICHAR(HEX2DEC(Table1[[#This Row],[utf8]]))</f>
        <v>👨</v>
      </c>
      <c r="K939" s="3" t="str" cm="1">
        <f t="array" ref="K939">"Case "&amp;wRandomLetter()&amp;wRandomLetter()&amp;I939&amp;":    UniConst = ChrW(" &amp; I939 &amp;")"</f>
        <v>Case Ia128104:    UniConst = ChrW(128104)</v>
      </c>
    </row>
    <row r="940" spans="1:11" hidden="1">
      <c r="A940" t="s">
        <v>964</v>
      </c>
      <c r="B940" t="str">
        <f t="shared" si="86"/>
        <v>1F468 1F3FF 200D 2695 FE0F ; fully-qualified # 👨🏿‍⚕️ E4.0 man health worker: dark skin tone</v>
      </c>
      <c r="C940" t="str">
        <f t="shared" si="87"/>
        <v xml:space="preserve">1F468 1F3FF 200D 2695 FE0F </v>
      </c>
      <c r="D940">
        <f t="shared" si="88"/>
        <v>27</v>
      </c>
      <c r="E940" t="str">
        <f t="shared" si="84"/>
        <v xml:space="preserve"> 👨🏿‍⚕️ E4.0 man health worker: dark skin tone</v>
      </c>
      <c r="F940" t="b">
        <f t="shared" si="89"/>
        <v>1</v>
      </c>
      <c r="G940" t="str">
        <f t="shared" si="85"/>
        <v>1F468</v>
      </c>
      <c r="I940">
        <f>HEX2DEC(Table1[[#This Row],[utf8]])</f>
        <v>128104</v>
      </c>
      <c r="J940" t="str">
        <f>_xlfn.UNICHAR(HEX2DEC(Table1[[#This Row],[utf8]]))</f>
        <v>👨</v>
      </c>
      <c r="K940" s="3" t="str" cm="1">
        <f t="array" ref="K940">"Case "&amp;wRandomLetter()&amp;wRandomLetter()&amp;I940&amp;":    UniConst = ChrW(" &amp; I940 &amp;")"</f>
        <v>Case QI128104:    UniConst = ChrW(128104)</v>
      </c>
    </row>
    <row r="941" spans="1:11" hidden="1">
      <c r="A941" t="s">
        <v>1037</v>
      </c>
      <c r="B941" t="str">
        <f t="shared" si="86"/>
        <v>1F468 1F3FF 200D 2696 ; minimally-qualified # 👨🏿‍⚖ E4.0 man judge: dark skin tone</v>
      </c>
      <c r="C941" t="str">
        <f t="shared" si="87"/>
        <v xml:space="preserve">1F468 1F3FF 200D 2696 </v>
      </c>
      <c r="D941">
        <f t="shared" si="88"/>
        <v>22</v>
      </c>
      <c r="E941" t="str">
        <f t="shared" si="84"/>
        <v xml:space="preserve"> 👨🏿‍⚖ E4.0 man judge: dark skin tone</v>
      </c>
      <c r="F941" t="b">
        <f t="shared" si="89"/>
        <v>1</v>
      </c>
      <c r="G941" t="str">
        <f t="shared" si="85"/>
        <v>1F468</v>
      </c>
      <c r="I941">
        <f>HEX2DEC(Table1[[#This Row],[utf8]])</f>
        <v>128104</v>
      </c>
      <c r="J941" t="str">
        <f>_xlfn.UNICHAR(HEX2DEC(Table1[[#This Row],[utf8]]))</f>
        <v>👨</v>
      </c>
      <c r="K941" s="3" t="str" cm="1">
        <f t="array" ref="K941">"Case "&amp;wRandomLetter()&amp;wRandomLetter()&amp;I941&amp;":    UniConst = ChrW(" &amp; I941 &amp;")"</f>
        <v>Case Gi128104:    UniConst = ChrW(128104)</v>
      </c>
    </row>
    <row r="942" spans="1:11" hidden="1">
      <c r="A942" t="s">
        <v>1036</v>
      </c>
      <c r="B942" t="str">
        <f t="shared" si="86"/>
        <v>1F468 1F3FF 200D 2696 FE0F ; fully-qualified # 👨🏿‍⚖️ E4.0 man judge: dark skin tone</v>
      </c>
      <c r="C942" t="str">
        <f t="shared" si="87"/>
        <v xml:space="preserve">1F468 1F3FF 200D 2696 FE0F </v>
      </c>
      <c r="D942">
        <f t="shared" si="88"/>
        <v>27</v>
      </c>
      <c r="E942" t="str">
        <f t="shared" si="84"/>
        <v xml:space="preserve"> 👨🏿‍⚖️ E4.0 man judge: dark skin tone</v>
      </c>
      <c r="F942" t="b">
        <f t="shared" si="89"/>
        <v>1</v>
      </c>
      <c r="G942" t="str">
        <f t="shared" si="85"/>
        <v>1F468</v>
      </c>
      <c r="I942">
        <f>HEX2DEC(Table1[[#This Row],[utf8]])</f>
        <v>128104</v>
      </c>
      <c r="J942" t="str">
        <f>_xlfn.UNICHAR(HEX2DEC(Table1[[#This Row],[utf8]]))</f>
        <v>👨</v>
      </c>
      <c r="K942" s="3" t="str" cm="1">
        <f t="array" ref="K942">"Case "&amp;wRandomLetter()&amp;wRandomLetter()&amp;I942&amp;":    UniConst = ChrW(" &amp; I942 &amp;")"</f>
        <v>Case pR128104:    UniConst = ChrW(128104)</v>
      </c>
    </row>
    <row r="943" spans="1:11" hidden="1">
      <c r="A943" t="s">
        <v>1235</v>
      </c>
      <c r="B943" t="str">
        <f t="shared" si="86"/>
        <v>1F468 1F3FF 200D 2708 ; minimally-qualified # 👨🏿‍✈ E4.0 man pilot: dark skin tone</v>
      </c>
      <c r="C943" t="str">
        <f t="shared" si="87"/>
        <v xml:space="preserve">1F468 1F3FF 200D 2708 </v>
      </c>
      <c r="D943">
        <f t="shared" si="88"/>
        <v>22</v>
      </c>
      <c r="E943" t="str">
        <f t="shared" si="84"/>
        <v xml:space="preserve"> 👨🏿‍✈ E4.0 man pilot: dark skin tone</v>
      </c>
      <c r="F943" t="b">
        <f t="shared" si="89"/>
        <v>1</v>
      </c>
      <c r="G943" t="str">
        <f t="shared" si="85"/>
        <v>1F468</v>
      </c>
      <c r="I943">
        <f>HEX2DEC(Table1[[#This Row],[utf8]])</f>
        <v>128104</v>
      </c>
      <c r="J943" t="str">
        <f>_xlfn.UNICHAR(HEX2DEC(Table1[[#This Row],[utf8]]))</f>
        <v>👨</v>
      </c>
      <c r="K943" s="3" t="str" cm="1">
        <f t="array" ref="K943">"Case "&amp;wRandomLetter()&amp;wRandomLetter()&amp;I943&amp;":    UniConst = ChrW(" &amp; I943 &amp;")"</f>
        <v>Case hA128104:    UniConst = ChrW(128104)</v>
      </c>
    </row>
    <row r="944" spans="1:11" hidden="1">
      <c r="A944" t="s">
        <v>1234</v>
      </c>
      <c r="B944" t="str">
        <f t="shared" si="86"/>
        <v>1F468 1F3FF 200D 2708 FE0F ; fully-qualified # 👨🏿‍✈️ E4.0 man pilot: dark skin tone</v>
      </c>
      <c r="C944" t="str">
        <f t="shared" si="87"/>
        <v xml:space="preserve">1F468 1F3FF 200D 2708 FE0F </v>
      </c>
      <c r="D944">
        <f t="shared" si="88"/>
        <v>27</v>
      </c>
      <c r="E944" t="str">
        <f t="shared" si="84"/>
        <v xml:space="preserve"> 👨🏿‍✈️ E4.0 man pilot: dark skin tone</v>
      </c>
      <c r="F944" t="b">
        <f t="shared" si="89"/>
        <v>1</v>
      </c>
      <c r="G944" t="str">
        <f t="shared" si="85"/>
        <v>1F468</v>
      </c>
      <c r="I944">
        <f>HEX2DEC(Table1[[#This Row],[utf8]])</f>
        <v>128104</v>
      </c>
      <c r="J944" t="str">
        <f>_xlfn.UNICHAR(HEX2DEC(Table1[[#This Row],[utf8]]))</f>
        <v>👨</v>
      </c>
      <c r="K944" s="3" t="str" cm="1">
        <f t="array" ref="K944">"Case "&amp;wRandomLetter()&amp;wRandomLetter()&amp;I944&amp;":    UniConst = ChrW(" &amp; I944 &amp;")"</f>
        <v>Case Ol128104:    UniConst = ChrW(128104)</v>
      </c>
    </row>
    <row r="945" spans="1:11" hidden="1">
      <c r="A945" t="s">
        <v>3010</v>
      </c>
      <c r="B945" t="str">
        <f t="shared" si="86"/>
        <v>1F468 1F3FF 200D 2764 200D 1F468 1F3FB ; minimally-qualified # 👨🏿‍❤‍👨🏻 E13.1 couple with heart: man, man, dark skin tone, light skin tone</v>
      </c>
      <c r="C945" t="str">
        <f t="shared" si="87"/>
        <v xml:space="preserve">1F468 1F3FF 200D 2764 200D 1F468 1F3FB </v>
      </c>
      <c r="D945">
        <f t="shared" si="88"/>
        <v>39</v>
      </c>
      <c r="E945" t="str">
        <f t="shared" si="84"/>
        <v xml:space="preserve"> 👨🏿‍❤‍👨🏻 E13.1 couple with heart: man, man, dark skin tone, light skin tone</v>
      </c>
      <c r="F945" t="b">
        <f t="shared" si="89"/>
        <v>1</v>
      </c>
      <c r="G945" t="str">
        <f t="shared" si="85"/>
        <v>1F468</v>
      </c>
      <c r="I945">
        <f>HEX2DEC(Table1[[#This Row],[utf8]])</f>
        <v>128104</v>
      </c>
      <c r="J945" t="str">
        <f>_xlfn.UNICHAR(HEX2DEC(Table1[[#This Row],[utf8]]))</f>
        <v>👨</v>
      </c>
      <c r="K945" s="3" t="str" cm="1">
        <f t="array" ref="K945">"Case "&amp;wRandomLetter()&amp;wRandomLetter()&amp;I945&amp;":    UniConst = ChrW(" &amp; I945 &amp;")"</f>
        <v>Case aa128104:    UniConst = ChrW(128104)</v>
      </c>
    </row>
    <row r="946" spans="1:11" hidden="1">
      <c r="A946" t="s">
        <v>3012</v>
      </c>
      <c r="B946" t="str">
        <f t="shared" si="86"/>
        <v>1F468 1F3FF 200D 2764 200D 1F468 1F3FC ; minimally-qualified # 👨🏿‍❤‍👨🏼 E13.1 couple with heart: man, man, dark skin tone, medium-light skin tone</v>
      </c>
      <c r="C946" t="str">
        <f t="shared" si="87"/>
        <v xml:space="preserve">1F468 1F3FF 200D 2764 200D 1F468 1F3FC </v>
      </c>
      <c r="D946">
        <f t="shared" si="88"/>
        <v>39</v>
      </c>
      <c r="E946" t="str">
        <f t="shared" si="84"/>
        <v xml:space="preserve"> 👨🏿‍❤‍👨🏼 E13.1 couple with heart: man, man, dark skin tone, medium-light skin tone</v>
      </c>
      <c r="F946" t="b">
        <f t="shared" si="89"/>
        <v>1</v>
      </c>
      <c r="G946" t="str">
        <f t="shared" si="85"/>
        <v>1F468</v>
      </c>
      <c r="I946">
        <f>HEX2DEC(Table1[[#This Row],[utf8]])</f>
        <v>128104</v>
      </c>
      <c r="J946" t="str">
        <f>_xlfn.UNICHAR(HEX2DEC(Table1[[#This Row],[utf8]]))</f>
        <v>👨</v>
      </c>
      <c r="K946" s="3" t="str" cm="1">
        <f t="array" ref="K946">"Case "&amp;wRandomLetter()&amp;wRandomLetter()&amp;I946&amp;":    UniConst = ChrW(" &amp; I946 &amp;")"</f>
        <v>Case fr128104:    UniConst = ChrW(128104)</v>
      </c>
    </row>
    <row r="947" spans="1:11" hidden="1">
      <c r="A947" t="s">
        <v>3014</v>
      </c>
      <c r="B947" t="str">
        <f t="shared" si="86"/>
        <v>1F468 1F3FF 200D 2764 200D 1F468 1F3FD ; minimally-qualified # 👨🏿‍❤‍👨🏽 E13.1 couple with heart: man, man, dark skin tone, medium skin tone</v>
      </c>
      <c r="C947" t="str">
        <f t="shared" si="87"/>
        <v xml:space="preserve">1F468 1F3FF 200D 2764 200D 1F468 1F3FD </v>
      </c>
      <c r="D947">
        <f t="shared" si="88"/>
        <v>39</v>
      </c>
      <c r="E947" t="str">
        <f t="shared" si="84"/>
        <v xml:space="preserve"> 👨🏿‍❤‍👨🏽 E13.1 couple with heart: man, man, dark skin tone, medium skin tone</v>
      </c>
      <c r="F947" t="b">
        <f t="shared" si="89"/>
        <v>1</v>
      </c>
      <c r="G947" t="str">
        <f t="shared" si="85"/>
        <v>1F468</v>
      </c>
      <c r="I947">
        <f>HEX2DEC(Table1[[#This Row],[utf8]])</f>
        <v>128104</v>
      </c>
      <c r="J947" t="str">
        <f>_xlfn.UNICHAR(HEX2DEC(Table1[[#This Row],[utf8]]))</f>
        <v>👨</v>
      </c>
      <c r="K947" s="3" t="str" cm="1">
        <f t="array" ref="K947">"Case "&amp;wRandomLetter()&amp;wRandomLetter()&amp;I947&amp;":    UniConst = ChrW(" &amp; I947 &amp;")"</f>
        <v>Case fQ128104:    UniConst = ChrW(128104)</v>
      </c>
    </row>
    <row r="948" spans="1:11" hidden="1">
      <c r="A948" t="s">
        <v>3016</v>
      </c>
      <c r="B948" t="str">
        <f t="shared" si="86"/>
        <v>1F468 1F3FF 200D 2764 200D 1F468 1F3FE ; minimally-qualified # 👨🏿‍❤‍👨🏾 E13.1 couple with heart: man, man, dark skin tone, medium-dark skin tone</v>
      </c>
      <c r="C948" t="str">
        <f t="shared" si="87"/>
        <v xml:space="preserve">1F468 1F3FF 200D 2764 200D 1F468 1F3FE </v>
      </c>
      <c r="D948">
        <f t="shared" si="88"/>
        <v>39</v>
      </c>
      <c r="E948" t="str">
        <f t="shared" si="84"/>
        <v xml:space="preserve"> 👨🏿‍❤‍👨🏾 E13.1 couple with heart: man, man, dark skin tone, medium-dark skin tone</v>
      </c>
      <c r="F948" t="b">
        <f t="shared" si="89"/>
        <v>1</v>
      </c>
      <c r="G948" t="str">
        <f t="shared" si="85"/>
        <v>1F468</v>
      </c>
      <c r="I948">
        <f>HEX2DEC(Table1[[#This Row],[utf8]])</f>
        <v>128104</v>
      </c>
      <c r="J948" t="str">
        <f>_xlfn.UNICHAR(HEX2DEC(Table1[[#This Row],[utf8]]))</f>
        <v>👨</v>
      </c>
      <c r="K948" s="3" t="str" cm="1">
        <f t="array" ref="K948">"Case "&amp;wRandomLetter()&amp;wRandomLetter()&amp;I948&amp;":    UniConst = ChrW(" &amp; I948 &amp;")"</f>
        <v>Case bb128104:    UniConst = ChrW(128104)</v>
      </c>
    </row>
    <row r="949" spans="1:11" hidden="1">
      <c r="A949" t="s">
        <v>3018</v>
      </c>
      <c r="B949" t="str">
        <f t="shared" si="86"/>
        <v>1F468 1F3FF 200D 2764 200D 1F468 1F3FF ; minimally-qualified # 👨🏿‍❤‍👨🏿 E13.1 couple with heart: man, man, dark skin tone</v>
      </c>
      <c r="C949" t="str">
        <f t="shared" si="87"/>
        <v xml:space="preserve">1F468 1F3FF 200D 2764 200D 1F468 1F3FF </v>
      </c>
      <c r="D949">
        <f t="shared" si="88"/>
        <v>39</v>
      </c>
      <c r="E949" t="str">
        <f t="shared" si="84"/>
        <v xml:space="preserve"> 👨🏿‍❤‍👨🏿 E13.1 couple with heart: man, man, dark skin tone</v>
      </c>
      <c r="F949" t="b">
        <f t="shared" si="89"/>
        <v>1</v>
      </c>
      <c r="G949" t="str">
        <f t="shared" si="85"/>
        <v>1F468</v>
      </c>
      <c r="I949">
        <f>HEX2DEC(Table1[[#This Row],[utf8]])</f>
        <v>128104</v>
      </c>
      <c r="J949" t="str">
        <f>_xlfn.UNICHAR(HEX2DEC(Table1[[#This Row],[utf8]]))</f>
        <v>👨</v>
      </c>
      <c r="K949" s="3" t="str" cm="1">
        <f t="array" ref="K949">"Case "&amp;wRandomLetter()&amp;wRandomLetter()&amp;I949&amp;":    UniConst = ChrW(" &amp; I949 &amp;")"</f>
        <v>Case XE128104:    UniConst = ChrW(128104)</v>
      </c>
    </row>
    <row r="950" spans="1:11" hidden="1">
      <c r="A950" t="s">
        <v>2808</v>
      </c>
      <c r="B950" t="str">
        <f t="shared" si="86"/>
        <v>1F468 1F3FF 200D 2764 200D 1F48B 200D 1F468 1F3FB ; minimally-qualified # 👨🏿‍❤‍💋‍👨🏻 E13.1 kiss: man, man, dark skin tone, light skin tone</v>
      </c>
      <c r="C950" t="str">
        <f t="shared" si="87"/>
        <v xml:space="preserve">1F468 1F3FF 200D 2764 200D 1F48B 200D 1F468 1F3FB </v>
      </c>
      <c r="D950">
        <f t="shared" si="88"/>
        <v>50</v>
      </c>
      <c r="E950" t="str">
        <f t="shared" si="84"/>
        <v xml:space="preserve"> 👨🏿‍❤‍💋‍👨🏻 E13.1 kiss: man, man, dark skin tone, light skin tone</v>
      </c>
      <c r="F950" t="b">
        <f t="shared" si="89"/>
        <v>1</v>
      </c>
      <c r="G950" t="str">
        <f t="shared" si="85"/>
        <v>1F468</v>
      </c>
      <c r="I950">
        <f>HEX2DEC(Table1[[#This Row],[utf8]])</f>
        <v>128104</v>
      </c>
      <c r="J950" t="str">
        <f>_xlfn.UNICHAR(HEX2DEC(Table1[[#This Row],[utf8]]))</f>
        <v>👨</v>
      </c>
      <c r="K950" s="3" t="str" cm="1">
        <f t="array" ref="K950">"Case "&amp;wRandomLetter()&amp;wRandomLetter()&amp;I950&amp;":    UniConst = ChrW(" &amp; I950 &amp;")"</f>
        <v>Case nX128104:    UniConst = ChrW(128104)</v>
      </c>
    </row>
    <row r="951" spans="1:11" hidden="1">
      <c r="A951" t="s">
        <v>2810</v>
      </c>
      <c r="B951" t="str">
        <f t="shared" si="86"/>
        <v>1F468 1F3FF 200D 2764 200D 1F48B 200D 1F468 1F3FC ; minimally-qualified # 👨🏿‍❤‍💋‍👨🏼 E13.1 kiss: man, man, dark skin tone, medium-light skin tone</v>
      </c>
      <c r="C951" t="str">
        <f t="shared" si="87"/>
        <v xml:space="preserve">1F468 1F3FF 200D 2764 200D 1F48B 200D 1F468 1F3FC </v>
      </c>
      <c r="D951">
        <f t="shared" si="88"/>
        <v>50</v>
      </c>
      <c r="E951" t="str">
        <f t="shared" si="84"/>
        <v xml:space="preserve"> 👨🏿‍❤‍💋‍👨🏼 E13.1 kiss: man, man, dark skin tone, medium-light skin tone</v>
      </c>
      <c r="F951" t="b">
        <f t="shared" si="89"/>
        <v>1</v>
      </c>
      <c r="G951" t="str">
        <f t="shared" si="85"/>
        <v>1F468</v>
      </c>
      <c r="I951">
        <f>HEX2DEC(Table1[[#This Row],[utf8]])</f>
        <v>128104</v>
      </c>
      <c r="J951" t="str">
        <f>_xlfn.UNICHAR(HEX2DEC(Table1[[#This Row],[utf8]]))</f>
        <v>👨</v>
      </c>
      <c r="K951" s="3" t="str" cm="1">
        <f t="array" ref="K951">"Case "&amp;wRandomLetter()&amp;wRandomLetter()&amp;I951&amp;":    UniConst = ChrW(" &amp; I951 &amp;")"</f>
        <v>Case pV128104:    UniConst = ChrW(128104)</v>
      </c>
    </row>
    <row r="952" spans="1:11" hidden="1">
      <c r="A952" t="s">
        <v>2812</v>
      </c>
      <c r="B952" t="str">
        <f t="shared" si="86"/>
        <v>1F468 1F3FF 200D 2764 200D 1F48B 200D 1F468 1F3FD ; minimally-qualified # 👨🏿‍❤‍💋‍👨🏽 E13.1 kiss: man, man, dark skin tone, medium skin tone</v>
      </c>
      <c r="C952" t="str">
        <f t="shared" si="87"/>
        <v xml:space="preserve">1F468 1F3FF 200D 2764 200D 1F48B 200D 1F468 1F3FD </v>
      </c>
      <c r="D952">
        <f t="shared" si="88"/>
        <v>50</v>
      </c>
      <c r="E952" t="str">
        <f t="shared" si="84"/>
        <v xml:space="preserve"> 👨🏿‍❤‍💋‍👨🏽 E13.1 kiss: man, man, dark skin tone, medium skin tone</v>
      </c>
      <c r="F952" t="b">
        <f t="shared" si="89"/>
        <v>1</v>
      </c>
      <c r="G952" t="str">
        <f t="shared" si="85"/>
        <v>1F468</v>
      </c>
      <c r="I952">
        <f>HEX2DEC(Table1[[#This Row],[utf8]])</f>
        <v>128104</v>
      </c>
      <c r="J952" t="str">
        <f>_xlfn.UNICHAR(HEX2DEC(Table1[[#This Row],[utf8]]))</f>
        <v>👨</v>
      </c>
      <c r="K952" s="3" t="str" cm="1">
        <f t="array" ref="K952">"Case "&amp;wRandomLetter()&amp;wRandomLetter()&amp;I952&amp;":    UniConst = ChrW(" &amp; I952 &amp;")"</f>
        <v>Case GY128104:    UniConst = ChrW(128104)</v>
      </c>
    </row>
    <row r="953" spans="1:11" hidden="1">
      <c r="A953" t="s">
        <v>2814</v>
      </c>
      <c r="B953" t="str">
        <f t="shared" si="86"/>
        <v>1F468 1F3FF 200D 2764 200D 1F48B 200D 1F468 1F3FE ; minimally-qualified # 👨🏿‍❤‍💋‍👨🏾 E13.1 kiss: man, man, dark skin tone, medium-dark skin tone</v>
      </c>
      <c r="C953" t="str">
        <f t="shared" si="87"/>
        <v xml:space="preserve">1F468 1F3FF 200D 2764 200D 1F48B 200D 1F468 1F3FE </v>
      </c>
      <c r="D953">
        <f t="shared" si="88"/>
        <v>50</v>
      </c>
      <c r="E953" t="str">
        <f t="shared" si="84"/>
        <v xml:space="preserve"> 👨🏿‍❤‍💋‍👨🏾 E13.1 kiss: man, man, dark skin tone, medium-dark skin tone</v>
      </c>
      <c r="F953" t="b">
        <f t="shared" si="89"/>
        <v>1</v>
      </c>
      <c r="G953" t="str">
        <f t="shared" si="85"/>
        <v>1F468</v>
      </c>
      <c r="I953">
        <f>HEX2DEC(Table1[[#This Row],[utf8]])</f>
        <v>128104</v>
      </c>
      <c r="J953" t="str">
        <f>_xlfn.UNICHAR(HEX2DEC(Table1[[#This Row],[utf8]]))</f>
        <v>👨</v>
      </c>
      <c r="K953" s="3" t="str" cm="1">
        <f t="array" ref="K953">"Case "&amp;wRandomLetter()&amp;wRandomLetter()&amp;I953&amp;":    UniConst = ChrW(" &amp; I953 &amp;")"</f>
        <v>Case eH128104:    UniConst = ChrW(128104)</v>
      </c>
    </row>
    <row r="954" spans="1:11" hidden="1">
      <c r="A954" t="s">
        <v>2816</v>
      </c>
      <c r="B954" t="str">
        <f t="shared" si="86"/>
        <v>1F468 1F3FF 200D 2764 200D 1F48B 200D 1F468 1F3FF ; minimally-qualified # 👨🏿‍❤‍💋‍👨🏿 E13.1 kiss: man, man, dark skin tone</v>
      </c>
      <c r="C954" t="str">
        <f t="shared" si="87"/>
        <v xml:space="preserve">1F468 1F3FF 200D 2764 200D 1F48B 200D 1F468 1F3FF </v>
      </c>
      <c r="D954">
        <f t="shared" si="88"/>
        <v>50</v>
      </c>
      <c r="E954" t="str">
        <f t="shared" si="84"/>
        <v xml:space="preserve"> 👨🏿‍❤‍💋‍👨🏿 E13.1 kiss: man, man, dark skin tone</v>
      </c>
      <c r="F954" t="b">
        <f t="shared" si="89"/>
        <v>1</v>
      </c>
      <c r="G954" t="str">
        <f t="shared" si="85"/>
        <v>1F468</v>
      </c>
      <c r="I954">
        <f>HEX2DEC(Table1[[#This Row],[utf8]])</f>
        <v>128104</v>
      </c>
      <c r="J954" t="str">
        <f>_xlfn.UNICHAR(HEX2DEC(Table1[[#This Row],[utf8]]))</f>
        <v>👨</v>
      </c>
      <c r="K954" s="3" t="str" cm="1">
        <f t="array" ref="K954">"Case "&amp;wRandomLetter()&amp;wRandomLetter()&amp;I954&amp;":    UniConst = ChrW(" &amp; I954 &amp;")"</f>
        <v>Case VL128104:    UniConst = ChrW(128104)</v>
      </c>
    </row>
    <row r="955" spans="1:11" hidden="1">
      <c r="A955" t="s">
        <v>3009</v>
      </c>
      <c r="B955" t="str">
        <f t="shared" si="86"/>
        <v>1F468 1F3FF 200D 2764 FE0F 200D 1F468 1F3FB ; fully-qualified # 👨🏿‍❤️‍👨🏻 E13.1 couple with heart: man, man, dark skin tone, light skin tone</v>
      </c>
      <c r="C955" t="str">
        <f t="shared" si="87"/>
        <v xml:space="preserve">1F468 1F3FF 200D 2764 FE0F 200D 1F468 1F3FB </v>
      </c>
      <c r="D955">
        <f t="shared" si="88"/>
        <v>44</v>
      </c>
      <c r="E955" t="str">
        <f t="shared" si="84"/>
        <v xml:space="preserve"> 👨🏿‍❤️‍👨🏻 E13.1 couple with heart: man, man, dark skin tone, light skin tone</v>
      </c>
      <c r="F955" t="b">
        <f t="shared" si="89"/>
        <v>1</v>
      </c>
      <c r="G955" t="str">
        <f t="shared" si="85"/>
        <v>1F468</v>
      </c>
      <c r="I955">
        <f>HEX2DEC(Table1[[#This Row],[utf8]])</f>
        <v>128104</v>
      </c>
      <c r="J955" t="str">
        <f>_xlfn.UNICHAR(HEX2DEC(Table1[[#This Row],[utf8]]))</f>
        <v>👨</v>
      </c>
      <c r="K955" s="3" t="str" cm="1">
        <f t="array" ref="K955">"Case "&amp;wRandomLetter()&amp;wRandomLetter()&amp;I955&amp;":    UniConst = ChrW(" &amp; I955 &amp;")"</f>
        <v>Case hE128104:    UniConst = ChrW(128104)</v>
      </c>
    </row>
    <row r="956" spans="1:11" hidden="1">
      <c r="A956" t="s">
        <v>3011</v>
      </c>
      <c r="B956" t="str">
        <f t="shared" si="86"/>
        <v>1F468 1F3FF 200D 2764 FE0F 200D 1F468 1F3FC ; fully-qualified # 👨🏿‍❤️‍👨🏼 E13.1 couple with heart: man, man, dark skin tone, medium-light skin tone</v>
      </c>
      <c r="C956" t="str">
        <f t="shared" si="87"/>
        <v xml:space="preserve">1F468 1F3FF 200D 2764 FE0F 200D 1F468 1F3FC </v>
      </c>
      <c r="D956">
        <f t="shared" si="88"/>
        <v>44</v>
      </c>
      <c r="E956" t="str">
        <f t="shared" si="84"/>
        <v xml:space="preserve"> 👨🏿‍❤️‍👨🏼 E13.1 couple with heart: man, man, dark skin tone, medium-light skin tone</v>
      </c>
      <c r="F956" t="b">
        <f t="shared" si="89"/>
        <v>1</v>
      </c>
      <c r="G956" t="str">
        <f t="shared" si="85"/>
        <v>1F468</v>
      </c>
      <c r="I956">
        <f>HEX2DEC(Table1[[#This Row],[utf8]])</f>
        <v>128104</v>
      </c>
      <c r="J956" t="str">
        <f>_xlfn.UNICHAR(HEX2DEC(Table1[[#This Row],[utf8]]))</f>
        <v>👨</v>
      </c>
      <c r="K956" s="3" t="str" cm="1">
        <f t="array" ref="K956">"Case "&amp;wRandomLetter()&amp;wRandomLetter()&amp;I956&amp;":    UniConst = ChrW(" &amp; I956 &amp;")"</f>
        <v>Case oe128104:    UniConst = ChrW(128104)</v>
      </c>
    </row>
    <row r="957" spans="1:11" hidden="1">
      <c r="A957" t="s">
        <v>3013</v>
      </c>
      <c r="B957" t="str">
        <f t="shared" si="86"/>
        <v>1F468 1F3FF 200D 2764 FE0F 200D 1F468 1F3FD ; fully-qualified # 👨🏿‍❤️‍👨🏽 E13.1 couple with heart: man, man, dark skin tone, medium skin tone</v>
      </c>
      <c r="C957" t="str">
        <f t="shared" si="87"/>
        <v xml:space="preserve">1F468 1F3FF 200D 2764 FE0F 200D 1F468 1F3FD </v>
      </c>
      <c r="D957">
        <f t="shared" si="88"/>
        <v>44</v>
      </c>
      <c r="E957" t="str">
        <f t="shared" si="84"/>
        <v xml:space="preserve"> 👨🏿‍❤️‍👨🏽 E13.1 couple with heart: man, man, dark skin tone, medium skin tone</v>
      </c>
      <c r="F957" t="b">
        <f t="shared" si="89"/>
        <v>1</v>
      </c>
      <c r="G957" t="str">
        <f t="shared" si="85"/>
        <v>1F468</v>
      </c>
      <c r="I957">
        <f>HEX2DEC(Table1[[#This Row],[utf8]])</f>
        <v>128104</v>
      </c>
      <c r="J957" t="str">
        <f>_xlfn.UNICHAR(HEX2DEC(Table1[[#This Row],[utf8]]))</f>
        <v>👨</v>
      </c>
      <c r="K957" s="3" t="str" cm="1">
        <f t="array" ref="K957">"Case "&amp;wRandomLetter()&amp;wRandomLetter()&amp;I957&amp;":    UniConst = ChrW(" &amp; I957 &amp;")"</f>
        <v>Case WG128104:    UniConst = ChrW(128104)</v>
      </c>
    </row>
    <row r="958" spans="1:11" hidden="1">
      <c r="A958" t="s">
        <v>3015</v>
      </c>
      <c r="B958" t="str">
        <f t="shared" si="86"/>
        <v>1F468 1F3FF 200D 2764 FE0F 200D 1F468 1F3FE ; fully-qualified # 👨🏿‍❤️‍👨🏾 E13.1 couple with heart: man, man, dark skin tone, medium-dark skin tone</v>
      </c>
      <c r="C958" t="str">
        <f t="shared" si="87"/>
        <v xml:space="preserve">1F468 1F3FF 200D 2764 FE0F 200D 1F468 1F3FE </v>
      </c>
      <c r="D958">
        <f t="shared" si="88"/>
        <v>44</v>
      </c>
      <c r="E958" t="str">
        <f t="shared" si="84"/>
        <v xml:space="preserve"> 👨🏿‍❤️‍👨🏾 E13.1 couple with heart: man, man, dark skin tone, medium-dark skin tone</v>
      </c>
      <c r="F958" t="b">
        <f t="shared" si="89"/>
        <v>1</v>
      </c>
      <c r="G958" t="str">
        <f t="shared" si="85"/>
        <v>1F468</v>
      </c>
      <c r="I958">
        <f>HEX2DEC(Table1[[#This Row],[utf8]])</f>
        <v>128104</v>
      </c>
      <c r="J958" t="str">
        <f>_xlfn.UNICHAR(HEX2DEC(Table1[[#This Row],[utf8]]))</f>
        <v>👨</v>
      </c>
      <c r="K958" s="3" t="str" cm="1">
        <f t="array" ref="K958">"Case "&amp;wRandomLetter()&amp;wRandomLetter()&amp;I958&amp;":    UniConst = ChrW(" &amp; I958 &amp;")"</f>
        <v>Case Li128104:    UniConst = ChrW(128104)</v>
      </c>
    </row>
    <row r="959" spans="1:11" hidden="1">
      <c r="A959" t="s">
        <v>3017</v>
      </c>
      <c r="B959" t="str">
        <f t="shared" si="86"/>
        <v>1F468 1F3FF 200D 2764 FE0F 200D 1F468 1F3FF ; fully-qualified # 👨🏿‍❤️‍👨🏿 E13.1 couple with heart: man, man, dark skin tone</v>
      </c>
      <c r="C959" t="str">
        <f t="shared" si="87"/>
        <v xml:space="preserve">1F468 1F3FF 200D 2764 FE0F 200D 1F468 1F3FF </v>
      </c>
      <c r="D959">
        <f t="shared" si="88"/>
        <v>44</v>
      </c>
      <c r="E959" t="str">
        <f t="shared" si="84"/>
        <v xml:space="preserve"> 👨🏿‍❤️‍👨🏿 E13.1 couple with heart: man, man, dark skin tone</v>
      </c>
      <c r="F959" t="b">
        <f t="shared" si="89"/>
        <v>1</v>
      </c>
      <c r="G959" t="str">
        <f t="shared" si="85"/>
        <v>1F468</v>
      </c>
      <c r="I959">
        <f>HEX2DEC(Table1[[#This Row],[utf8]])</f>
        <v>128104</v>
      </c>
      <c r="J959" t="str">
        <f>_xlfn.UNICHAR(HEX2DEC(Table1[[#This Row],[utf8]]))</f>
        <v>👨</v>
      </c>
      <c r="K959" s="3" t="str" cm="1">
        <f t="array" ref="K959">"Case "&amp;wRandomLetter()&amp;wRandomLetter()&amp;I959&amp;":    UniConst = ChrW(" &amp; I959 &amp;")"</f>
        <v>Case KA128104:    UniConst = ChrW(128104)</v>
      </c>
    </row>
    <row r="960" spans="1:11" hidden="1">
      <c r="A960" t="s">
        <v>2807</v>
      </c>
      <c r="B960" t="str">
        <f t="shared" si="86"/>
        <v>1F468 1F3FF 200D 2764 FE0F 200D 1F48B 200D 1F468 1F3FB ; fully-qualified # 👨🏿‍❤️‍💋‍👨🏻 E13.1 kiss: man, man, dark skin tone, light skin tone</v>
      </c>
      <c r="C960" t="str">
        <f t="shared" si="87"/>
        <v xml:space="preserve">1F468 1F3FF 200D 2764 FE0F 200D 1F48B 200D 1F468 1F3FB </v>
      </c>
      <c r="D960">
        <f t="shared" si="88"/>
        <v>55</v>
      </c>
      <c r="E960" t="str">
        <f t="shared" si="84"/>
        <v xml:space="preserve"> 👨🏿‍❤️‍💋‍👨🏻 E13.1 kiss: man, man, dark skin tone, light skin tone</v>
      </c>
      <c r="F960" t="b">
        <f t="shared" si="89"/>
        <v>1</v>
      </c>
      <c r="G960" t="str">
        <f t="shared" si="85"/>
        <v>1F468</v>
      </c>
      <c r="I960">
        <f>HEX2DEC(Table1[[#This Row],[utf8]])</f>
        <v>128104</v>
      </c>
      <c r="J960" t="str">
        <f>_xlfn.UNICHAR(HEX2DEC(Table1[[#This Row],[utf8]]))</f>
        <v>👨</v>
      </c>
      <c r="K960" s="3" t="str" cm="1">
        <f t="array" ref="K960">"Case "&amp;wRandomLetter()&amp;wRandomLetter()&amp;I960&amp;":    UniConst = ChrW(" &amp; I960 &amp;")"</f>
        <v>Case He128104:    UniConst = ChrW(128104)</v>
      </c>
    </row>
    <row r="961" spans="1:11" hidden="1">
      <c r="A961" t="s">
        <v>2809</v>
      </c>
      <c r="B961" t="str">
        <f t="shared" si="86"/>
        <v>1F468 1F3FF 200D 2764 FE0F 200D 1F48B 200D 1F468 1F3FC ; fully-qualified # 👨🏿‍❤️‍💋‍👨🏼 E13.1 kiss: man, man, dark skin tone, medium-light skin tone</v>
      </c>
      <c r="C961" t="str">
        <f t="shared" si="87"/>
        <v xml:space="preserve">1F468 1F3FF 200D 2764 FE0F 200D 1F48B 200D 1F468 1F3FC </v>
      </c>
      <c r="D961">
        <f t="shared" si="88"/>
        <v>55</v>
      </c>
      <c r="E961" t="str">
        <f t="shared" si="84"/>
        <v xml:space="preserve"> 👨🏿‍❤️‍💋‍👨🏼 E13.1 kiss: man, man, dark skin tone, medium-light skin tone</v>
      </c>
      <c r="F961" t="b">
        <f t="shared" si="89"/>
        <v>1</v>
      </c>
      <c r="G961" t="str">
        <f t="shared" si="85"/>
        <v>1F468</v>
      </c>
      <c r="I961">
        <f>HEX2DEC(Table1[[#This Row],[utf8]])</f>
        <v>128104</v>
      </c>
      <c r="J961" t="str">
        <f>_xlfn.UNICHAR(HEX2DEC(Table1[[#This Row],[utf8]]))</f>
        <v>👨</v>
      </c>
      <c r="K961" s="3" t="str" cm="1">
        <f t="array" ref="K961">"Case "&amp;wRandomLetter()&amp;wRandomLetter()&amp;I961&amp;":    UniConst = ChrW(" &amp; I961 &amp;")"</f>
        <v>Case NS128104:    UniConst = ChrW(128104)</v>
      </c>
    </row>
    <row r="962" spans="1:11" hidden="1">
      <c r="A962" t="s">
        <v>2811</v>
      </c>
      <c r="B962" t="str">
        <f t="shared" si="86"/>
        <v>1F468 1F3FF 200D 2764 FE0F 200D 1F48B 200D 1F468 1F3FD ; fully-qualified # 👨🏿‍❤️‍💋‍👨🏽 E13.1 kiss: man, man, dark skin tone, medium skin tone</v>
      </c>
      <c r="C962" t="str">
        <f t="shared" si="87"/>
        <v xml:space="preserve">1F468 1F3FF 200D 2764 FE0F 200D 1F48B 200D 1F468 1F3FD </v>
      </c>
      <c r="D962">
        <f t="shared" si="88"/>
        <v>55</v>
      </c>
      <c r="E962" t="str">
        <f t="shared" ref="E962:E1025" si="90">MID(A962,FIND("#",A962)+1,256)</f>
        <v xml:space="preserve"> 👨🏿‍❤️‍💋‍👨🏽 E13.1 kiss: man, man, dark skin tone, medium skin tone</v>
      </c>
      <c r="F962" t="b">
        <f t="shared" si="89"/>
        <v>1</v>
      </c>
      <c r="G962" t="str">
        <f t="shared" ref="G962:G1025" si="91">LEFT(C962,(FIND(" ",C962,1)-1))</f>
        <v>1F468</v>
      </c>
      <c r="I962">
        <f>HEX2DEC(Table1[[#This Row],[utf8]])</f>
        <v>128104</v>
      </c>
      <c r="J962" t="str">
        <f>_xlfn.UNICHAR(HEX2DEC(Table1[[#This Row],[utf8]]))</f>
        <v>👨</v>
      </c>
      <c r="K962" s="3" t="str" cm="1">
        <f t="array" ref="K962">"Case "&amp;wRandomLetter()&amp;wRandomLetter()&amp;I962&amp;":    UniConst = ChrW(" &amp; I962 &amp;")"</f>
        <v>Case DS128104:    UniConst = ChrW(128104)</v>
      </c>
    </row>
    <row r="963" spans="1:11" hidden="1">
      <c r="A963" t="s">
        <v>2813</v>
      </c>
      <c r="B963" t="str">
        <f t="shared" ref="B963:B1026" si="92">TRIM(A963)</f>
        <v>1F468 1F3FF 200D 2764 FE0F 200D 1F48B 200D 1F468 1F3FE ; fully-qualified # 👨🏿‍❤️‍💋‍👨🏾 E13.1 kiss: man, man, dark skin tone, medium-dark skin tone</v>
      </c>
      <c r="C963" t="str">
        <f t="shared" ref="C963:C1026" si="93">LEFT(B963,(FIND(";",B963,1)-1))</f>
        <v xml:space="preserve">1F468 1F3FF 200D 2764 FE0F 200D 1F48B 200D 1F468 1F3FE </v>
      </c>
      <c r="D963">
        <f t="shared" ref="D963:D1026" si="94">LEN(C963)</f>
        <v>55</v>
      </c>
      <c r="E963" t="str">
        <f t="shared" si="90"/>
        <v xml:space="preserve"> 👨🏿‍❤️‍💋‍👨🏾 E13.1 kiss: man, man, dark skin tone, medium-dark skin tone</v>
      </c>
      <c r="F963" t="b">
        <f t="shared" ref="F963:F1026" si="95">IF(LEFT(C963,2)="1F",TRUE,FALSE)</f>
        <v>1</v>
      </c>
      <c r="G963" t="str">
        <f t="shared" si="91"/>
        <v>1F468</v>
      </c>
      <c r="I963">
        <f>HEX2DEC(Table1[[#This Row],[utf8]])</f>
        <v>128104</v>
      </c>
      <c r="J963" t="str">
        <f>_xlfn.UNICHAR(HEX2DEC(Table1[[#This Row],[utf8]]))</f>
        <v>👨</v>
      </c>
      <c r="K963" s="3" t="str" cm="1">
        <f t="array" ref="K963">"Case "&amp;wRandomLetter()&amp;wRandomLetter()&amp;I963&amp;":    UniConst = ChrW(" &amp; I963 &amp;")"</f>
        <v>Case dh128104:    UniConst = ChrW(128104)</v>
      </c>
    </row>
    <row r="964" spans="1:11" hidden="1">
      <c r="A964" t="s">
        <v>2815</v>
      </c>
      <c r="B964" t="str">
        <f t="shared" si="92"/>
        <v>1F468 1F3FF 200D 2764 FE0F 200D 1F48B 200D 1F468 1F3FF ; fully-qualified # 👨🏿‍❤️‍💋‍👨🏿 E13.1 kiss: man, man, dark skin tone</v>
      </c>
      <c r="C964" t="str">
        <f t="shared" si="93"/>
        <v xml:space="preserve">1F468 1F3FF 200D 2764 FE0F 200D 1F48B 200D 1F468 1F3FF </v>
      </c>
      <c r="D964">
        <f t="shared" si="94"/>
        <v>55</v>
      </c>
      <c r="E964" t="str">
        <f t="shared" si="90"/>
        <v xml:space="preserve"> 👨🏿‍❤️‍💋‍👨🏿 E13.1 kiss: man, man, dark skin tone</v>
      </c>
      <c r="F964" t="b">
        <f t="shared" si="95"/>
        <v>1</v>
      </c>
      <c r="G964" t="str">
        <f t="shared" si="91"/>
        <v>1F468</v>
      </c>
      <c r="I964">
        <f>HEX2DEC(Table1[[#This Row],[utf8]])</f>
        <v>128104</v>
      </c>
      <c r="J964" t="str">
        <f>_xlfn.UNICHAR(HEX2DEC(Table1[[#This Row],[utf8]]))</f>
        <v>👨</v>
      </c>
      <c r="K964" s="3" t="str" cm="1">
        <f t="array" ref="K964">"Case "&amp;wRandomLetter()&amp;wRandomLetter()&amp;I964&amp;":    UniConst = ChrW(" &amp; I964 &amp;")"</f>
        <v>Case Ce128104:    UniConst = ChrW(128104)</v>
      </c>
    </row>
    <row r="965" spans="1:11" hidden="1">
      <c r="A965" t="s">
        <v>1056</v>
      </c>
      <c r="B965" t="str">
        <f t="shared" si="92"/>
        <v>1F468 200D 1F33E ; fully-qualified # 👨‍🌾 E4.0 man farmer</v>
      </c>
      <c r="C965" t="str">
        <f t="shared" si="93"/>
        <v xml:space="preserve">1F468 200D 1F33E </v>
      </c>
      <c r="D965">
        <f t="shared" si="94"/>
        <v>17</v>
      </c>
      <c r="E965" t="str">
        <f t="shared" si="90"/>
        <v xml:space="preserve"> 👨‍🌾 E4.0 man farmer</v>
      </c>
      <c r="F965" t="b">
        <f t="shared" si="95"/>
        <v>1</v>
      </c>
      <c r="G965" t="str">
        <f t="shared" si="91"/>
        <v>1F468</v>
      </c>
      <c r="I965">
        <f>HEX2DEC(Table1[[#This Row],[utf8]])</f>
        <v>128104</v>
      </c>
      <c r="J965" t="str">
        <f>_xlfn.UNICHAR(HEX2DEC(Table1[[#This Row],[utf8]]))</f>
        <v>👨</v>
      </c>
      <c r="K965" s="3" t="str" cm="1">
        <f t="array" ref="K965">"Case "&amp;wRandomLetter()&amp;wRandomLetter()&amp;I965&amp;":    UniConst = ChrW(" &amp; I965 &amp;")"</f>
        <v>Case YB128104:    UniConst = ChrW(128104)</v>
      </c>
    </row>
    <row r="966" spans="1:11" hidden="1">
      <c r="A966" t="s">
        <v>1074</v>
      </c>
      <c r="B966" t="str">
        <f t="shared" si="92"/>
        <v>1F468 200D 1F373 ; fully-qualified # 👨‍🍳 E4.0 man cook</v>
      </c>
      <c r="C966" t="str">
        <f t="shared" si="93"/>
        <v xml:space="preserve">1F468 200D 1F373 </v>
      </c>
      <c r="D966">
        <f t="shared" si="94"/>
        <v>17</v>
      </c>
      <c r="E966" t="str">
        <f t="shared" si="90"/>
        <v xml:space="preserve"> 👨‍🍳 E4.0 man cook</v>
      </c>
      <c r="F966" t="b">
        <f t="shared" si="95"/>
        <v>1</v>
      </c>
      <c r="G966" t="str">
        <f t="shared" si="91"/>
        <v>1F468</v>
      </c>
      <c r="I966">
        <f>HEX2DEC(Table1[[#This Row],[utf8]])</f>
        <v>128104</v>
      </c>
      <c r="J966" t="str">
        <f>_xlfn.UNICHAR(HEX2DEC(Table1[[#This Row],[utf8]]))</f>
        <v>👨</v>
      </c>
      <c r="K966" s="3" t="str" cm="1">
        <f t="array" ref="K966">"Case "&amp;wRandomLetter()&amp;wRandomLetter()&amp;I966&amp;":    UniConst = ChrW(" &amp; I966 &amp;")"</f>
        <v>Case Db128104:    UniConst = ChrW(128104)</v>
      </c>
    </row>
    <row r="967" spans="1:11" hidden="1">
      <c r="A967" t="s">
        <v>1547</v>
      </c>
      <c r="B967" t="str">
        <f t="shared" si="92"/>
        <v>1F468 200D 1F37C ; fully-qualified # 👨‍🍼 E13.0 man feeding baby</v>
      </c>
      <c r="C967" t="str">
        <f t="shared" si="93"/>
        <v xml:space="preserve">1F468 200D 1F37C </v>
      </c>
      <c r="D967">
        <f t="shared" si="94"/>
        <v>17</v>
      </c>
      <c r="E967" t="str">
        <f t="shared" si="90"/>
        <v xml:space="preserve"> 👨‍🍼 E13.0 man feeding baby</v>
      </c>
      <c r="F967" t="b">
        <f t="shared" si="95"/>
        <v>1</v>
      </c>
      <c r="G967" t="str">
        <f t="shared" si="91"/>
        <v>1F468</v>
      </c>
      <c r="I967">
        <f>HEX2DEC(Table1[[#This Row],[utf8]])</f>
        <v>128104</v>
      </c>
      <c r="J967" t="str">
        <f>_xlfn.UNICHAR(HEX2DEC(Table1[[#This Row],[utf8]]))</f>
        <v>👨</v>
      </c>
      <c r="K967" s="3" t="str" cm="1">
        <f t="array" ref="K967">"Case "&amp;wRandomLetter()&amp;wRandomLetter()&amp;I967&amp;":    UniConst = ChrW(" &amp; I967 &amp;")"</f>
        <v>Case Vx128104:    UniConst = ChrW(128104)</v>
      </c>
    </row>
    <row r="968" spans="1:11" hidden="1">
      <c r="A968" t="s">
        <v>984</v>
      </c>
      <c r="B968" t="str">
        <f t="shared" si="92"/>
        <v>1F468 200D 1F393 ; fully-qualified # 👨‍🎓 E4.0 man student</v>
      </c>
      <c r="C968" t="str">
        <f t="shared" si="93"/>
        <v xml:space="preserve">1F468 200D 1F393 </v>
      </c>
      <c r="D968">
        <f t="shared" si="94"/>
        <v>17</v>
      </c>
      <c r="E968" t="str">
        <f t="shared" si="90"/>
        <v xml:space="preserve"> 👨‍🎓 E4.0 man student</v>
      </c>
      <c r="F968" t="b">
        <f t="shared" si="95"/>
        <v>1</v>
      </c>
      <c r="G968" t="str">
        <f t="shared" si="91"/>
        <v>1F468</v>
      </c>
      <c r="I968">
        <f>HEX2DEC(Table1[[#This Row],[utf8]])</f>
        <v>128104</v>
      </c>
      <c r="J968" t="str">
        <f>_xlfn.UNICHAR(HEX2DEC(Table1[[#This Row],[utf8]]))</f>
        <v>👨</v>
      </c>
      <c r="K968" s="3" t="str" cm="1">
        <f t="array" ref="K968">"Case "&amp;wRandomLetter()&amp;wRandomLetter()&amp;I968&amp;":    UniConst = ChrW(" &amp; I968 &amp;")"</f>
        <v>Case LY128104:    UniConst = ChrW(128104)</v>
      </c>
    </row>
    <row r="969" spans="1:11" hidden="1">
      <c r="A969" t="s">
        <v>1182</v>
      </c>
      <c r="B969" t="str">
        <f t="shared" si="92"/>
        <v>1F468 200D 1F3A4 ; fully-qualified # 👨‍🎤 E4.0 man singer</v>
      </c>
      <c r="C969" t="str">
        <f t="shared" si="93"/>
        <v xml:space="preserve">1F468 200D 1F3A4 </v>
      </c>
      <c r="D969">
        <f t="shared" si="94"/>
        <v>17</v>
      </c>
      <c r="E969" t="str">
        <f t="shared" si="90"/>
        <v xml:space="preserve"> 👨‍🎤 E4.0 man singer</v>
      </c>
      <c r="F969" t="b">
        <f t="shared" si="95"/>
        <v>1</v>
      </c>
      <c r="G969" t="str">
        <f t="shared" si="91"/>
        <v>1F468</v>
      </c>
      <c r="I969">
        <f>HEX2DEC(Table1[[#This Row],[utf8]])</f>
        <v>128104</v>
      </c>
      <c r="J969" t="str">
        <f>_xlfn.UNICHAR(HEX2DEC(Table1[[#This Row],[utf8]]))</f>
        <v>👨</v>
      </c>
      <c r="K969" s="3" t="str" cm="1">
        <f t="array" ref="K969">"Case "&amp;wRandomLetter()&amp;wRandomLetter()&amp;I969&amp;":    UniConst = ChrW(" &amp; I969 &amp;")"</f>
        <v>Case Rd128104:    UniConst = ChrW(128104)</v>
      </c>
    </row>
    <row r="970" spans="1:11" hidden="1">
      <c r="A970" t="s">
        <v>1200</v>
      </c>
      <c r="B970" t="str">
        <f t="shared" si="92"/>
        <v>1F468 200D 1F3A8 ; fully-qualified # 👨‍🎨 E4.0 man artist</v>
      </c>
      <c r="C970" t="str">
        <f t="shared" si="93"/>
        <v xml:space="preserve">1F468 200D 1F3A8 </v>
      </c>
      <c r="D970">
        <f t="shared" si="94"/>
        <v>17</v>
      </c>
      <c r="E970" t="str">
        <f t="shared" si="90"/>
        <v xml:space="preserve"> 👨‍🎨 E4.0 man artist</v>
      </c>
      <c r="F970" t="b">
        <f t="shared" si="95"/>
        <v>1</v>
      </c>
      <c r="G970" t="str">
        <f t="shared" si="91"/>
        <v>1F468</v>
      </c>
      <c r="I970">
        <f>HEX2DEC(Table1[[#This Row],[utf8]])</f>
        <v>128104</v>
      </c>
      <c r="J970" t="str">
        <f>_xlfn.UNICHAR(HEX2DEC(Table1[[#This Row],[utf8]]))</f>
        <v>👨</v>
      </c>
      <c r="K970" s="3" t="str" cm="1">
        <f t="array" ref="K970">"Case "&amp;wRandomLetter()&amp;wRandomLetter()&amp;I970&amp;":    UniConst = ChrW(" &amp; I970 &amp;")"</f>
        <v>Case Bj128104:    UniConst = ChrW(128104)</v>
      </c>
    </row>
    <row r="971" spans="1:11" hidden="1">
      <c r="A971" t="s">
        <v>1002</v>
      </c>
      <c r="B971" t="str">
        <f t="shared" si="92"/>
        <v>1F468 200D 1F3EB ; fully-qualified # 👨‍🏫 E4.0 man teacher</v>
      </c>
      <c r="C971" t="str">
        <f t="shared" si="93"/>
        <v xml:space="preserve">1F468 200D 1F3EB </v>
      </c>
      <c r="D971">
        <f t="shared" si="94"/>
        <v>17</v>
      </c>
      <c r="E971" t="str">
        <f t="shared" si="90"/>
        <v xml:space="preserve"> 👨‍🏫 E4.0 man teacher</v>
      </c>
      <c r="F971" t="b">
        <f t="shared" si="95"/>
        <v>1</v>
      </c>
      <c r="G971" t="str">
        <f t="shared" si="91"/>
        <v>1F468</v>
      </c>
      <c r="I971">
        <f>HEX2DEC(Table1[[#This Row],[utf8]])</f>
        <v>128104</v>
      </c>
      <c r="J971" t="str">
        <f>_xlfn.UNICHAR(HEX2DEC(Table1[[#This Row],[utf8]]))</f>
        <v>👨</v>
      </c>
      <c r="K971" s="3" t="str" cm="1">
        <f t="array" ref="K971">"Case "&amp;wRandomLetter()&amp;wRandomLetter()&amp;I971&amp;":    UniConst = ChrW(" &amp; I971 &amp;")"</f>
        <v>Case rj128104:    UniConst = ChrW(128104)</v>
      </c>
    </row>
    <row r="972" spans="1:11" hidden="1">
      <c r="A972" t="s">
        <v>1110</v>
      </c>
      <c r="B972" t="str">
        <f t="shared" si="92"/>
        <v>1F468 200D 1F3ED ; fully-qualified # 👨‍🏭 E4.0 man factory worker</v>
      </c>
      <c r="C972" t="str">
        <f t="shared" si="93"/>
        <v xml:space="preserve">1F468 200D 1F3ED </v>
      </c>
      <c r="D972">
        <f t="shared" si="94"/>
        <v>17</v>
      </c>
      <c r="E972" t="str">
        <f t="shared" si="90"/>
        <v xml:space="preserve"> 👨‍🏭 E4.0 man factory worker</v>
      </c>
      <c r="F972" t="b">
        <f t="shared" si="95"/>
        <v>1</v>
      </c>
      <c r="G972" t="str">
        <f t="shared" si="91"/>
        <v>1F468</v>
      </c>
      <c r="I972">
        <f>HEX2DEC(Table1[[#This Row],[utf8]])</f>
        <v>128104</v>
      </c>
      <c r="J972" t="str">
        <f>_xlfn.UNICHAR(HEX2DEC(Table1[[#This Row],[utf8]]))</f>
        <v>👨</v>
      </c>
      <c r="K972" s="3" t="str" cm="1">
        <f t="array" ref="K972">"Case "&amp;wRandomLetter()&amp;wRandomLetter()&amp;I972&amp;":    UniConst = ChrW(" &amp; I972 &amp;")"</f>
        <v>Case Qj128104:    UniConst = ChrW(128104)</v>
      </c>
    </row>
    <row r="973" spans="1:11" hidden="1">
      <c r="A973" t="s">
        <v>3087</v>
      </c>
      <c r="B973" t="str">
        <f t="shared" si="92"/>
        <v>1F468 200D 1F466 ; fully-qualified # 👨‍👦 E4.0 family: man, boy</v>
      </c>
      <c r="C973" t="str">
        <f t="shared" si="93"/>
        <v xml:space="preserve">1F468 200D 1F466 </v>
      </c>
      <c r="D973">
        <f t="shared" si="94"/>
        <v>17</v>
      </c>
      <c r="E973" t="str">
        <f t="shared" si="90"/>
        <v xml:space="preserve"> 👨‍👦 E4.0 family: man, boy</v>
      </c>
      <c r="F973" t="b">
        <f t="shared" si="95"/>
        <v>1</v>
      </c>
      <c r="G973" t="str">
        <f t="shared" si="91"/>
        <v>1F468</v>
      </c>
      <c r="I973">
        <f>HEX2DEC(Table1[[#This Row],[utf8]])</f>
        <v>128104</v>
      </c>
      <c r="J973" t="str">
        <f>_xlfn.UNICHAR(HEX2DEC(Table1[[#This Row],[utf8]]))</f>
        <v>👨</v>
      </c>
      <c r="K973" s="3" t="str" cm="1">
        <f t="array" ref="K973">"Case "&amp;wRandomLetter()&amp;wRandomLetter()&amp;I973&amp;":    UniConst = ChrW(" &amp; I973 &amp;")"</f>
        <v>Case lh128104:    UniConst = ChrW(128104)</v>
      </c>
    </row>
    <row r="974" spans="1:11" hidden="1">
      <c r="A974" t="s">
        <v>3088</v>
      </c>
      <c r="B974" t="str">
        <f t="shared" si="92"/>
        <v>1F468 200D 1F466 200D 1F466 ; fully-qualified # 👨‍👦‍👦 E4.0 family: man, boy, boy</v>
      </c>
      <c r="C974" t="str">
        <f t="shared" si="93"/>
        <v xml:space="preserve">1F468 200D 1F466 200D 1F466 </v>
      </c>
      <c r="D974">
        <f t="shared" si="94"/>
        <v>28</v>
      </c>
      <c r="E974" t="str">
        <f t="shared" si="90"/>
        <v xml:space="preserve"> 👨‍👦‍👦 E4.0 family: man, boy, boy</v>
      </c>
      <c r="F974" t="b">
        <f t="shared" si="95"/>
        <v>1</v>
      </c>
      <c r="G974" t="str">
        <f t="shared" si="91"/>
        <v>1F468</v>
      </c>
      <c r="I974">
        <f>HEX2DEC(Table1[[#This Row],[utf8]])</f>
        <v>128104</v>
      </c>
      <c r="J974" t="str">
        <f>_xlfn.UNICHAR(HEX2DEC(Table1[[#This Row],[utf8]]))</f>
        <v>👨</v>
      </c>
      <c r="K974" s="3" t="str" cm="1">
        <f t="array" ref="K974">"Case "&amp;wRandomLetter()&amp;wRandomLetter()&amp;I974&amp;":    UniConst = ChrW(" &amp; I974 &amp;")"</f>
        <v>Case VY128104:    UniConst = ChrW(128104)</v>
      </c>
    </row>
    <row r="975" spans="1:11" hidden="1">
      <c r="A975" t="s">
        <v>3089</v>
      </c>
      <c r="B975" t="str">
        <f t="shared" si="92"/>
        <v>1F468 200D 1F467 ; fully-qualified # 👨‍👧 E4.0 family: man, girl</v>
      </c>
      <c r="C975" t="str">
        <f t="shared" si="93"/>
        <v xml:space="preserve">1F468 200D 1F467 </v>
      </c>
      <c r="D975">
        <f t="shared" si="94"/>
        <v>17</v>
      </c>
      <c r="E975" t="str">
        <f t="shared" si="90"/>
        <v xml:space="preserve"> 👨‍👧 E4.0 family: man, girl</v>
      </c>
      <c r="F975" t="b">
        <f t="shared" si="95"/>
        <v>1</v>
      </c>
      <c r="G975" t="str">
        <f t="shared" si="91"/>
        <v>1F468</v>
      </c>
      <c r="I975">
        <f>HEX2DEC(Table1[[#This Row],[utf8]])</f>
        <v>128104</v>
      </c>
      <c r="J975" t="str">
        <f>_xlfn.UNICHAR(HEX2DEC(Table1[[#This Row],[utf8]]))</f>
        <v>👨</v>
      </c>
      <c r="K975" s="3" t="str" cm="1">
        <f t="array" ref="K975">"Case "&amp;wRandomLetter()&amp;wRandomLetter()&amp;I975&amp;":    UniConst = ChrW(" &amp; I975 &amp;")"</f>
        <v>Case cB128104:    UniConst = ChrW(128104)</v>
      </c>
    </row>
    <row r="976" spans="1:11" hidden="1">
      <c r="A976" t="s">
        <v>3090</v>
      </c>
      <c r="B976" t="str">
        <f t="shared" si="92"/>
        <v>1F468 200D 1F467 200D 1F466 ; fully-qualified # 👨‍👧‍👦 E4.0 family: man, girl, boy</v>
      </c>
      <c r="C976" t="str">
        <f t="shared" si="93"/>
        <v xml:space="preserve">1F468 200D 1F467 200D 1F466 </v>
      </c>
      <c r="D976">
        <f t="shared" si="94"/>
        <v>28</v>
      </c>
      <c r="E976" t="str">
        <f t="shared" si="90"/>
        <v xml:space="preserve"> 👨‍👧‍👦 E4.0 family: man, girl, boy</v>
      </c>
      <c r="F976" t="b">
        <f t="shared" si="95"/>
        <v>1</v>
      </c>
      <c r="G976" t="str">
        <f t="shared" si="91"/>
        <v>1F468</v>
      </c>
      <c r="I976">
        <f>HEX2DEC(Table1[[#This Row],[utf8]])</f>
        <v>128104</v>
      </c>
      <c r="J976" t="str">
        <f>_xlfn.UNICHAR(HEX2DEC(Table1[[#This Row],[utf8]]))</f>
        <v>👨</v>
      </c>
      <c r="K976" s="3" t="str" cm="1">
        <f t="array" ref="K976">"Case "&amp;wRandomLetter()&amp;wRandomLetter()&amp;I976&amp;":    UniConst = ChrW(" &amp; I976 &amp;")"</f>
        <v>Case VY128104:    UniConst = ChrW(128104)</v>
      </c>
    </row>
    <row r="977" spans="1:11" hidden="1">
      <c r="A977" t="s">
        <v>3091</v>
      </c>
      <c r="B977" t="str">
        <f t="shared" si="92"/>
        <v>1F468 200D 1F467 200D 1F467 ; fully-qualified # 👨‍👧‍👧 E4.0 family: man, girl, girl</v>
      </c>
      <c r="C977" t="str">
        <f t="shared" si="93"/>
        <v xml:space="preserve">1F468 200D 1F467 200D 1F467 </v>
      </c>
      <c r="D977">
        <f t="shared" si="94"/>
        <v>28</v>
      </c>
      <c r="E977" t="str">
        <f t="shared" si="90"/>
        <v xml:space="preserve"> 👨‍👧‍👧 E4.0 family: man, girl, girl</v>
      </c>
      <c r="F977" t="b">
        <f t="shared" si="95"/>
        <v>1</v>
      </c>
      <c r="G977" t="str">
        <f t="shared" si="91"/>
        <v>1F468</v>
      </c>
      <c r="I977">
        <f>HEX2DEC(Table1[[#This Row],[utf8]])</f>
        <v>128104</v>
      </c>
      <c r="J977" t="str">
        <f>_xlfn.UNICHAR(HEX2DEC(Table1[[#This Row],[utf8]]))</f>
        <v>👨</v>
      </c>
      <c r="K977" s="3" t="str" cm="1">
        <f t="array" ref="K977">"Case "&amp;wRandomLetter()&amp;wRandomLetter()&amp;I977&amp;":    UniConst = ChrW(" &amp; I977 &amp;")"</f>
        <v>Case Gv128104:    UniConst = ChrW(128104)</v>
      </c>
    </row>
    <row r="978" spans="1:11" hidden="1">
      <c r="A978" t="s">
        <v>3077</v>
      </c>
      <c r="B978" t="str">
        <f t="shared" si="92"/>
        <v>1F468 200D 1F468 200D 1F466 ; fully-qualified # 👨‍👨‍👦 E2.0 family: man, man, boy</v>
      </c>
      <c r="C978" t="str">
        <f t="shared" si="93"/>
        <v xml:space="preserve">1F468 200D 1F468 200D 1F466 </v>
      </c>
      <c r="D978">
        <f t="shared" si="94"/>
        <v>28</v>
      </c>
      <c r="E978" t="str">
        <f t="shared" si="90"/>
        <v xml:space="preserve"> 👨‍👨‍👦 E2.0 family: man, man, boy</v>
      </c>
      <c r="F978" t="b">
        <f t="shared" si="95"/>
        <v>1</v>
      </c>
      <c r="G978" t="str">
        <f t="shared" si="91"/>
        <v>1F468</v>
      </c>
      <c r="I978">
        <f>HEX2DEC(Table1[[#This Row],[utf8]])</f>
        <v>128104</v>
      </c>
      <c r="J978" t="str">
        <f>_xlfn.UNICHAR(HEX2DEC(Table1[[#This Row],[utf8]]))</f>
        <v>👨</v>
      </c>
      <c r="K978" s="3" t="str" cm="1">
        <f t="array" ref="K978">"Case "&amp;wRandomLetter()&amp;wRandomLetter()&amp;I978&amp;":    UniConst = ChrW(" &amp; I978 &amp;")"</f>
        <v>Case fQ128104:    UniConst = ChrW(128104)</v>
      </c>
    </row>
    <row r="979" spans="1:11" hidden="1">
      <c r="A979" t="s">
        <v>3080</v>
      </c>
      <c r="B979" t="str">
        <f t="shared" si="92"/>
        <v>1F468 200D 1F468 200D 1F466 200D 1F466 ; fully-qualified # 👨‍👨‍👦‍👦 E2.0 family: man, man, boy, boy</v>
      </c>
      <c r="C979" t="str">
        <f t="shared" si="93"/>
        <v xml:space="preserve">1F468 200D 1F468 200D 1F466 200D 1F466 </v>
      </c>
      <c r="D979">
        <f t="shared" si="94"/>
        <v>39</v>
      </c>
      <c r="E979" t="str">
        <f t="shared" si="90"/>
        <v xml:space="preserve"> 👨‍👨‍👦‍👦 E2.0 family: man, man, boy, boy</v>
      </c>
      <c r="F979" t="b">
        <f t="shared" si="95"/>
        <v>1</v>
      </c>
      <c r="G979" t="str">
        <f t="shared" si="91"/>
        <v>1F468</v>
      </c>
      <c r="I979">
        <f>HEX2DEC(Table1[[#This Row],[utf8]])</f>
        <v>128104</v>
      </c>
      <c r="J979" t="str">
        <f>_xlfn.UNICHAR(HEX2DEC(Table1[[#This Row],[utf8]]))</f>
        <v>👨</v>
      </c>
      <c r="K979" s="3" t="str" cm="1">
        <f t="array" ref="K979">"Case "&amp;wRandomLetter()&amp;wRandomLetter()&amp;I979&amp;":    UniConst = ChrW(" &amp; I979 &amp;")"</f>
        <v>Case GL128104:    UniConst = ChrW(128104)</v>
      </c>
    </row>
    <row r="980" spans="1:11" hidden="1">
      <c r="A980" t="s">
        <v>3078</v>
      </c>
      <c r="B980" t="str">
        <f t="shared" si="92"/>
        <v>1F468 200D 1F468 200D 1F467 ; fully-qualified # 👨‍👨‍👧 E2.0 family: man, man, girl</v>
      </c>
      <c r="C980" t="str">
        <f t="shared" si="93"/>
        <v xml:space="preserve">1F468 200D 1F468 200D 1F467 </v>
      </c>
      <c r="D980">
        <f t="shared" si="94"/>
        <v>28</v>
      </c>
      <c r="E980" t="str">
        <f t="shared" si="90"/>
        <v xml:space="preserve"> 👨‍👨‍👧 E2.0 family: man, man, girl</v>
      </c>
      <c r="F980" t="b">
        <f t="shared" si="95"/>
        <v>1</v>
      </c>
      <c r="G980" t="str">
        <f t="shared" si="91"/>
        <v>1F468</v>
      </c>
      <c r="I980">
        <f>HEX2DEC(Table1[[#This Row],[utf8]])</f>
        <v>128104</v>
      </c>
      <c r="J980" t="str">
        <f>_xlfn.UNICHAR(HEX2DEC(Table1[[#This Row],[utf8]]))</f>
        <v>👨</v>
      </c>
      <c r="K980" s="3" t="str" cm="1">
        <f t="array" ref="K980">"Case "&amp;wRandomLetter()&amp;wRandomLetter()&amp;I980&amp;":    UniConst = ChrW(" &amp; I980 &amp;")"</f>
        <v>Case HI128104:    UniConst = ChrW(128104)</v>
      </c>
    </row>
    <row r="981" spans="1:11" hidden="1">
      <c r="A981" t="s">
        <v>3079</v>
      </c>
      <c r="B981" t="str">
        <f t="shared" si="92"/>
        <v>1F468 200D 1F468 200D 1F467 200D 1F466 ; fully-qualified # 👨‍👨‍👧‍👦 E2.0 family: man, man, girl, boy</v>
      </c>
      <c r="C981" t="str">
        <f t="shared" si="93"/>
        <v xml:space="preserve">1F468 200D 1F468 200D 1F467 200D 1F466 </v>
      </c>
      <c r="D981">
        <f t="shared" si="94"/>
        <v>39</v>
      </c>
      <c r="E981" t="str">
        <f t="shared" si="90"/>
        <v xml:space="preserve"> 👨‍👨‍👧‍👦 E2.0 family: man, man, girl, boy</v>
      </c>
      <c r="F981" t="b">
        <f t="shared" si="95"/>
        <v>1</v>
      </c>
      <c r="G981" t="str">
        <f t="shared" si="91"/>
        <v>1F468</v>
      </c>
      <c r="I981">
        <f>HEX2DEC(Table1[[#This Row],[utf8]])</f>
        <v>128104</v>
      </c>
      <c r="J981" t="str">
        <f>_xlfn.UNICHAR(HEX2DEC(Table1[[#This Row],[utf8]]))</f>
        <v>👨</v>
      </c>
      <c r="K981" s="3" t="str" cm="1">
        <f t="array" ref="K981">"Case "&amp;wRandomLetter()&amp;wRandomLetter()&amp;I981&amp;":    UniConst = ChrW(" &amp; I981 &amp;")"</f>
        <v>Case Wf128104:    UniConst = ChrW(128104)</v>
      </c>
    </row>
    <row r="982" spans="1:11" hidden="1">
      <c r="A982" t="s">
        <v>3081</v>
      </c>
      <c r="B982" t="str">
        <f t="shared" si="92"/>
        <v>1F468 200D 1F468 200D 1F467 200D 1F467 ; fully-qualified # 👨‍👨‍👧‍👧 E2.0 family: man, man, girl, girl</v>
      </c>
      <c r="C982" t="str">
        <f t="shared" si="93"/>
        <v xml:space="preserve">1F468 200D 1F468 200D 1F467 200D 1F467 </v>
      </c>
      <c r="D982">
        <f t="shared" si="94"/>
        <v>39</v>
      </c>
      <c r="E982" t="str">
        <f t="shared" si="90"/>
        <v xml:space="preserve"> 👨‍👨‍👧‍👧 E2.0 family: man, man, girl, girl</v>
      </c>
      <c r="F982" t="b">
        <f t="shared" si="95"/>
        <v>1</v>
      </c>
      <c r="G982" t="str">
        <f t="shared" si="91"/>
        <v>1F468</v>
      </c>
      <c r="I982">
        <f>HEX2DEC(Table1[[#This Row],[utf8]])</f>
        <v>128104</v>
      </c>
      <c r="J982" t="str">
        <f>_xlfn.UNICHAR(HEX2DEC(Table1[[#This Row],[utf8]]))</f>
        <v>👨</v>
      </c>
      <c r="K982" s="3" t="str" cm="1">
        <f t="array" ref="K982">"Case "&amp;wRandomLetter()&amp;wRandomLetter()&amp;I982&amp;":    UniConst = ChrW(" &amp; I982 &amp;")"</f>
        <v>Case GZ128104:    UniConst = ChrW(128104)</v>
      </c>
    </row>
    <row r="983" spans="1:11" hidden="1">
      <c r="A983" t="s">
        <v>3072</v>
      </c>
      <c r="B983" t="str">
        <f t="shared" si="92"/>
        <v>1F468 200D 1F469 200D 1F466 ; fully-qualified # 👨‍👩‍👦 E2.0 family: man, woman, boy</v>
      </c>
      <c r="C983" t="str">
        <f t="shared" si="93"/>
        <v xml:space="preserve">1F468 200D 1F469 200D 1F466 </v>
      </c>
      <c r="D983">
        <f t="shared" si="94"/>
        <v>28</v>
      </c>
      <c r="E983" t="str">
        <f t="shared" si="90"/>
        <v xml:space="preserve"> 👨‍👩‍👦 E2.0 family: man, woman, boy</v>
      </c>
      <c r="F983" t="b">
        <f t="shared" si="95"/>
        <v>1</v>
      </c>
      <c r="G983" t="str">
        <f t="shared" si="91"/>
        <v>1F468</v>
      </c>
      <c r="I983">
        <f>HEX2DEC(Table1[[#This Row],[utf8]])</f>
        <v>128104</v>
      </c>
      <c r="J983" t="str">
        <f>_xlfn.UNICHAR(HEX2DEC(Table1[[#This Row],[utf8]]))</f>
        <v>👨</v>
      </c>
      <c r="K983" s="3" t="str" cm="1">
        <f t="array" ref="K983">"Case "&amp;wRandomLetter()&amp;wRandomLetter()&amp;I983&amp;":    UniConst = ChrW(" &amp; I983 &amp;")"</f>
        <v>Case fd128104:    UniConst = ChrW(128104)</v>
      </c>
    </row>
    <row r="984" spans="1:11" hidden="1">
      <c r="A984" t="s">
        <v>3075</v>
      </c>
      <c r="B984" t="str">
        <f t="shared" si="92"/>
        <v>1F468 200D 1F469 200D 1F466 200D 1F466 ; fully-qualified # 👨‍👩‍👦‍👦 E2.0 family: man, woman, boy, boy</v>
      </c>
      <c r="C984" t="str">
        <f t="shared" si="93"/>
        <v xml:space="preserve">1F468 200D 1F469 200D 1F466 200D 1F466 </v>
      </c>
      <c r="D984">
        <f t="shared" si="94"/>
        <v>39</v>
      </c>
      <c r="E984" t="str">
        <f t="shared" si="90"/>
        <v xml:space="preserve"> 👨‍👩‍👦‍👦 E2.0 family: man, woman, boy, boy</v>
      </c>
      <c r="F984" t="b">
        <f t="shared" si="95"/>
        <v>1</v>
      </c>
      <c r="G984" t="str">
        <f t="shared" si="91"/>
        <v>1F468</v>
      </c>
      <c r="I984">
        <f>HEX2DEC(Table1[[#This Row],[utf8]])</f>
        <v>128104</v>
      </c>
      <c r="J984" t="str">
        <f>_xlfn.UNICHAR(HEX2DEC(Table1[[#This Row],[utf8]]))</f>
        <v>👨</v>
      </c>
      <c r="K984" s="3" t="str" cm="1">
        <f t="array" ref="K984">"Case "&amp;wRandomLetter()&amp;wRandomLetter()&amp;I984&amp;":    UniConst = ChrW(" &amp; I984 &amp;")"</f>
        <v>Case Ip128104:    UniConst = ChrW(128104)</v>
      </c>
    </row>
    <row r="985" spans="1:11" hidden="1">
      <c r="A985" t="s">
        <v>3073</v>
      </c>
      <c r="B985" t="str">
        <f t="shared" si="92"/>
        <v>1F468 200D 1F469 200D 1F467 ; fully-qualified # 👨‍👩‍👧 E2.0 family: man, woman, girl</v>
      </c>
      <c r="C985" t="str">
        <f t="shared" si="93"/>
        <v xml:space="preserve">1F468 200D 1F469 200D 1F467 </v>
      </c>
      <c r="D985">
        <f t="shared" si="94"/>
        <v>28</v>
      </c>
      <c r="E985" t="str">
        <f t="shared" si="90"/>
        <v xml:space="preserve"> 👨‍👩‍👧 E2.0 family: man, woman, girl</v>
      </c>
      <c r="F985" t="b">
        <f t="shared" si="95"/>
        <v>1</v>
      </c>
      <c r="G985" t="str">
        <f t="shared" si="91"/>
        <v>1F468</v>
      </c>
      <c r="I985">
        <f>HEX2DEC(Table1[[#This Row],[utf8]])</f>
        <v>128104</v>
      </c>
      <c r="J985" t="str">
        <f>_xlfn.UNICHAR(HEX2DEC(Table1[[#This Row],[utf8]]))</f>
        <v>👨</v>
      </c>
      <c r="K985" s="3" t="str" cm="1">
        <f t="array" ref="K985">"Case "&amp;wRandomLetter()&amp;wRandomLetter()&amp;I985&amp;":    UniConst = ChrW(" &amp; I985 &amp;")"</f>
        <v>Case Ie128104:    UniConst = ChrW(128104)</v>
      </c>
    </row>
    <row r="986" spans="1:11" hidden="1">
      <c r="A986" t="s">
        <v>3074</v>
      </c>
      <c r="B986" t="str">
        <f t="shared" si="92"/>
        <v>1F468 200D 1F469 200D 1F467 200D 1F466 ; fully-qualified # 👨‍👩‍👧‍👦 E2.0 family: man, woman, girl, boy</v>
      </c>
      <c r="C986" t="str">
        <f t="shared" si="93"/>
        <v xml:space="preserve">1F468 200D 1F469 200D 1F467 200D 1F466 </v>
      </c>
      <c r="D986">
        <f t="shared" si="94"/>
        <v>39</v>
      </c>
      <c r="E986" t="str">
        <f t="shared" si="90"/>
        <v xml:space="preserve"> 👨‍👩‍👧‍👦 E2.0 family: man, woman, girl, boy</v>
      </c>
      <c r="F986" t="b">
        <f t="shared" si="95"/>
        <v>1</v>
      </c>
      <c r="G986" t="str">
        <f t="shared" si="91"/>
        <v>1F468</v>
      </c>
      <c r="I986">
        <f>HEX2DEC(Table1[[#This Row],[utf8]])</f>
        <v>128104</v>
      </c>
      <c r="J986" t="str">
        <f>_xlfn.UNICHAR(HEX2DEC(Table1[[#This Row],[utf8]]))</f>
        <v>👨</v>
      </c>
      <c r="K986" s="3" t="str" cm="1">
        <f t="array" ref="K986">"Case "&amp;wRandomLetter()&amp;wRandomLetter()&amp;I986&amp;":    UniConst = ChrW(" &amp; I986 &amp;")"</f>
        <v>Case qO128104:    UniConst = ChrW(128104)</v>
      </c>
    </row>
    <row r="987" spans="1:11" hidden="1">
      <c r="A987" t="s">
        <v>3076</v>
      </c>
      <c r="B987" t="str">
        <f t="shared" si="92"/>
        <v>1F468 200D 1F469 200D 1F467 200D 1F467 ; fully-qualified # 👨‍👩‍👧‍👧 E2.0 family: man, woman, girl, girl</v>
      </c>
      <c r="C987" t="str">
        <f t="shared" si="93"/>
        <v xml:space="preserve">1F468 200D 1F469 200D 1F467 200D 1F467 </v>
      </c>
      <c r="D987">
        <f t="shared" si="94"/>
        <v>39</v>
      </c>
      <c r="E987" t="str">
        <f t="shared" si="90"/>
        <v xml:space="preserve"> 👨‍👩‍👧‍👧 E2.0 family: man, woman, girl, girl</v>
      </c>
      <c r="F987" t="b">
        <f t="shared" si="95"/>
        <v>1</v>
      </c>
      <c r="G987" t="str">
        <f t="shared" si="91"/>
        <v>1F468</v>
      </c>
      <c r="I987">
        <f>HEX2DEC(Table1[[#This Row],[utf8]])</f>
        <v>128104</v>
      </c>
      <c r="J987" t="str">
        <f>_xlfn.UNICHAR(HEX2DEC(Table1[[#This Row],[utf8]]))</f>
        <v>👨</v>
      </c>
      <c r="K987" s="3" t="str" cm="1">
        <f t="array" ref="K987">"Case "&amp;wRandomLetter()&amp;wRandomLetter()&amp;I987&amp;":    UniConst = ChrW(" &amp; I987 &amp;")"</f>
        <v>Case Pl128104:    UniConst = ChrW(128104)</v>
      </c>
    </row>
    <row r="988" spans="1:11" hidden="1">
      <c r="A988" t="s">
        <v>1164</v>
      </c>
      <c r="B988" t="str">
        <f t="shared" si="92"/>
        <v>1F468 200D 1F4BB ; fully-qualified # 👨‍💻 E4.0 man technologist</v>
      </c>
      <c r="C988" t="str">
        <f t="shared" si="93"/>
        <v xml:space="preserve">1F468 200D 1F4BB </v>
      </c>
      <c r="D988">
        <f t="shared" si="94"/>
        <v>17</v>
      </c>
      <c r="E988" t="str">
        <f t="shared" si="90"/>
        <v xml:space="preserve"> 👨‍💻 E4.0 man technologist</v>
      </c>
      <c r="F988" t="b">
        <f t="shared" si="95"/>
        <v>1</v>
      </c>
      <c r="G988" t="str">
        <f t="shared" si="91"/>
        <v>1F468</v>
      </c>
      <c r="I988">
        <f>HEX2DEC(Table1[[#This Row],[utf8]])</f>
        <v>128104</v>
      </c>
      <c r="J988" t="str">
        <f>_xlfn.UNICHAR(HEX2DEC(Table1[[#This Row],[utf8]]))</f>
        <v>👨</v>
      </c>
      <c r="K988" s="3" t="str" cm="1">
        <f t="array" ref="K988">"Case "&amp;wRandomLetter()&amp;wRandomLetter()&amp;I988&amp;":    UniConst = ChrW(" &amp; I988 &amp;")"</f>
        <v>Case iL128104:    UniConst = ChrW(128104)</v>
      </c>
    </row>
    <row r="989" spans="1:11" hidden="1">
      <c r="A989" t="s">
        <v>1128</v>
      </c>
      <c r="B989" t="str">
        <f t="shared" si="92"/>
        <v>1F468 200D 1F4BC ; fully-qualified # 👨‍💼 E4.0 man office worker</v>
      </c>
      <c r="C989" t="str">
        <f t="shared" si="93"/>
        <v xml:space="preserve">1F468 200D 1F4BC </v>
      </c>
      <c r="D989">
        <f t="shared" si="94"/>
        <v>17</v>
      </c>
      <c r="E989" t="str">
        <f t="shared" si="90"/>
        <v xml:space="preserve"> 👨‍💼 E4.0 man office worker</v>
      </c>
      <c r="F989" t="b">
        <f t="shared" si="95"/>
        <v>1</v>
      </c>
      <c r="G989" t="str">
        <f t="shared" si="91"/>
        <v>1F468</v>
      </c>
      <c r="I989">
        <f>HEX2DEC(Table1[[#This Row],[utf8]])</f>
        <v>128104</v>
      </c>
      <c r="J989" t="str">
        <f>_xlfn.UNICHAR(HEX2DEC(Table1[[#This Row],[utf8]]))</f>
        <v>👨</v>
      </c>
      <c r="K989" s="3" t="str" cm="1">
        <f t="array" ref="K989">"Case "&amp;wRandomLetter()&amp;wRandomLetter()&amp;I989&amp;":    UniConst = ChrW(" &amp; I989 &amp;")"</f>
        <v>Case fE128104:    UniConst = ChrW(128104)</v>
      </c>
    </row>
    <row r="990" spans="1:11" hidden="1">
      <c r="A990" t="s">
        <v>1092</v>
      </c>
      <c r="B990" t="str">
        <f t="shared" si="92"/>
        <v>1F468 200D 1F527 ; fully-qualified # 👨‍🔧 E4.0 man mechanic</v>
      </c>
      <c r="C990" t="str">
        <f t="shared" si="93"/>
        <v xml:space="preserve">1F468 200D 1F527 </v>
      </c>
      <c r="D990">
        <f t="shared" si="94"/>
        <v>17</v>
      </c>
      <c r="E990" t="str">
        <f t="shared" si="90"/>
        <v xml:space="preserve"> 👨‍🔧 E4.0 man mechanic</v>
      </c>
      <c r="F990" t="b">
        <f t="shared" si="95"/>
        <v>1</v>
      </c>
      <c r="G990" t="str">
        <f t="shared" si="91"/>
        <v>1F468</v>
      </c>
      <c r="I990">
        <f>HEX2DEC(Table1[[#This Row],[utf8]])</f>
        <v>128104</v>
      </c>
      <c r="J990" t="str">
        <f>_xlfn.UNICHAR(HEX2DEC(Table1[[#This Row],[utf8]]))</f>
        <v>👨</v>
      </c>
      <c r="K990" s="3" t="str" cm="1">
        <f t="array" ref="K990">"Case "&amp;wRandomLetter()&amp;wRandomLetter()&amp;I990&amp;":    UniConst = ChrW(" &amp; I990 &amp;")"</f>
        <v>Case JP128104:    UniConst = ChrW(128104)</v>
      </c>
    </row>
    <row r="991" spans="1:11" hidden="1">
      <c r="A991" t="s">
        <v>1146</v>
      </c>
      <c r="B991" t="str">
        <f t="shared" si="92"/>
        <v>1F468 200D 1F52C ; fully-qualified # 👨‍🔬 E4.0 man scientist</v>
      </c>
      <c r="C991" t="str">
        <f t="shared" si="93"/>
        <v xml:space="preserve">1F468 200D 1F52C </v>
      </c>
      <c r="D991">
        <f t="shared" si="94"/>
        <v>17</v>
      </c>
      <c r="E991" t="str">
        <f t="shared" si="90"/>
        <v xml:space="preserve"> 👨‍🔬 E4.0 man scientist</v>
      </c>
      <c r="F991" t="b">
        <f t="shared" si="95"/>
        <v>1</v>
      </c>
      <c r="G991" t="str">
        <f t="shared" si="91"/>
        <v>1F468</v>
      </c>
      <c r="I991">
        <f>HEX2DEC(Table1[[#This Row],[utf8]])</f>
        <v>128104</v>
      </c>
      <c r="J991" t="str">
        <f>_xlfn.UNICHAR(HEX2DEC(Table1[[#This Row],[utf8]]))</f>
        <v>👨</v>
      </c>
      <c r="K991" s="3" t="str" cm="1">
        <f t="array" ref="K991">"Case "&amp;wRandomLetter()&amp;wRandomLetter()&amp;I991&amp;":    UniConst = ChrW(" &amp; I991 &amp;")"</f>
        <v>Case as128104:    UniConst = ChrW(128104)</v>
      </c>
    </row>
    <row r="992" spans="1:11" hidden="1">
      <c r="A992" t="s">
        <v>1254</v>
      </c>
      <c r="B992" t="str">
        <f t="shared" si="92"/>
        <v>1F468 200D 1F680 ; fully-qualified # 👨‍🚀 E4.0 man astronaut</v>
      </c>
      <c r="C992" t="str">
        <f t="shared" si="93"/>
        <v xml:space="preserve">1F468 200D 1F680 </v>
      </c>
      <c r="D992">
        <f t="shared" si="94"/>
        <v>17</v>
      </c>
      <c r="E992" t="str">
        <f t="shared" si="90"/>
        <v xml:space="preserve"> 👨‍🚀 E4.0 man astronaut</v>
      </c>
      <c r="F992" t="b">
        <f t="shared" si="95"/>
        <v>1</v>
      </c>
      <c r="G992" t="str">
        <f t="shared" si="91"/>
        <v>1F468</v>
      </c>
      <c r="I992">
        <f>HEX2DEC(Table1[[#This Row],[utf8]])</f>
        <v>128104</v>
      </c>
      <c r="J992" t="str">
        <f>_xlfn.UNICHAR(HEX2DEC(Table1[[#This Row],[utf8]]))</f>
        <v>👨</v>
      </c>
      <c r="K992" s="3" t="str" cm="1">
        <f t="array" ref="K992">"Case "&amp;wRandomLetter()&amp;wRandomLetter()&amp;I992&amp;":    UniConst = ChrW(" &amp; I992 &amp;")"</f>
        <v>Case lA128104:    UniConst = ChrW(128104)</v>
      </c>
    </row>
    <row r="993" spans="1:11" hidden="1">
      <c r="A993" t="s">
        <v>1272</v>
      </c>
      <c r="B993" t="str">
        <f t="shared" si="92"/>
        <v>1F468 200D 1F692 ; fully-qualified # 👨‍🚒 E4.0 man firefighter</v>
      </c>
      <c r="C993" t="str">
        <f t="shared" si="93"/>
        <v xml:space="preserve">1F468 200D 1F692 </v>
      </c>
      <c r="D993">
        <f t="shared" si="94"/>
        <v>17</v>
      </c>
      <c r="E993" t="str">
        <f t="shared" si="90"/>
        <v xml:space="preserve"> 👨‍🚒 E4.0 man firefighter</v>
      </c>
      <c r="F993" t="b">
        <f t="shared" si="95"/>
        <v>1</v>
      </c>
      <c r="G993" t="str">
        <f t="shared" si="91"/>
        <v>1F468</v>
      </c>
      <c r="I993">
        <f>HEX2DEC(Table1[[#This Row],[utf8]])</f>
        <v>128104</v>
      </c>
      <c r="J993" t="str">
        <f>_xlfn.UNICHAR(HEX2DEC(Table1[[#This Row],[utf8]]))</f>
        <v>👨</v>
      </c>
      <c r="K993" s="3" t="str" cm="1">
        <f t="array" ref="K993">"Case "&amp;wRandomLetter()&amp;wRandomLetter()&amp;I993&amp;":    UniConst = ChrW(" &amp; I993 &amp;")"</f>
        <v>Case Sp128104:    UniConst = ChrW(128104)</v>
      </c>
    </row>
    <row r="994" spans="1:11" hidden="1">
      <c r="A994" t="s">
        <v>1961</v>
      </c>
      <c r="B994" t="str">
        <f t="shared" si="92"/>
        <v>1F468 200D 1F9AF ; fully-qualified # 👨‍🦯 E12.0 man with white cane</v>
      </c>
      <c r="C994" t="str">
        <f t="shared" si="93"/>
        <v xml:space="preserve">1F468 200D 1F9AF </v>
      </c>
      <c r="D994">
        <f t="shared" si="94"/>
        <v>17</v>
      </c>
      <c r="E994" t="str">
        <f t="shared" si="90"/>
        <v xml:space="preserve"> 👨‍🦯 E12.0 man with white cane</v>
      </c>
      <c r="F994" t="b">
        <f t="shared" si="95"/>
        <v>1</v>
      </c>
      <c r="G994" t="str">
        <f t="shared" si="91"/>
        <v>1F468</v>
      </c>
      <c r="I994">
        <f>HEX2DEC(Table1[[#This Row],[utf8]])</f>
        <v>128104</v>
      </c>
      <c r="J994" t="str">
        <f>_xlfn.UNICHAR(HEX2DEC(Table1[[#This Row],[utf8]]))</f>
        <v>👨</v>
      </c>
      <c r="K994" s="3" t="str" cm="1">
        <f t="array" ref="K994">"Case "&amp;wRandomLetter()&amp;wRandomLetter()&amp;I994&amp;":    UniConst = ChrW(" &amp; I994 &amp;")"</f>
        <v>Case Zx128104:    UniConst = ChrW(128104)</v>
      </c>
    </row>
    <row r="995" spans="1:11" hidden="1">
      <c r="A995" t="s">
        <v>520</v>
      </c>
      <c r="B995" t="str">
        <f t="shared" si="92"/>
        <v>1F468 200D 1F9B0 ; fully-qualified # 👨‍🦰 E11.0 man: red hair</v>
      </c>
      <c r="C995" t="str">
        <f t="shared" si="93"/>
        <v xml:space="preserve">1F468 200D 1F9B0 </v>
      </c>
      <c r="D995">
        <f t="shared" si="94"/>
        <v>17</v>
      </c>
      <c r="E995" t="str">
        <f t="shared" si="90"/>
        <v xml:space="preserve"> 👨‍🦰 E11.0 man: red hair</v>
      </c>
      <c r="F995" t="b">
        <f t="shared" si="95"/>
        <v>1</v>
      </c>
      <c r="G995" t="str">
        <f t="shared" si="91"/>
        <v>1F468</v>
      </c>
      <c r="I995">
        <f>HEX2DEC(Table1[[#This Row],[utf8]])</f>
        <v>128104</v>
      </c>
      <c r="J995" t="str">
        <f>_xlfn.UNICHAR(HEX2DEC(Table1[[#This Row],[utf8]]))</f>
        <v>👨</v>
      </c>
      <c r="K995" s="3" t="str" cm="1">
        <f t="array" ref="K995">"Case "&amp;wRandomLetter()&amp;wRandomLetter()&amp;I995&amp;":    UniConst = ChrW(" &amp; I995 &amp;")"</f>
        <v>Case On128104:    UniConst = ChrW(128104)</v>
      </c>
    </row>
    <row r="996" spans="1:11" hidden="1">
      <c r="A996" t="s">
        <v>526</v>
      </c>
      <c r="B996" t="str">
        <f t="shared" si="92"/>
        <v>1F468 200D 1F9B1 ; fully-qualified # 👨‍🦱 E11.0 man: curly hair</v>
      </c>
      <c r="C996" t="str">
        <f t="shared" si="93"/>
        <v xml:space="preserve">1F468 200D 1F9B1 </v>
      </c>
      <c r="D996">
        <f t="shared" si="94"/>
        <v>17</v>
      </c>
      <c r="E996" t="str">
        <f t="shared" si="90"/>
        <v xml:space="preserve"> 👨‍🦱 E11.0 man: curly hair</v>
      </c>
      <c r="F996" t="b">
        <f t="shared" si="95"/>
        <v>1</v>
      </c>
      <c r="G996" t="str">
        <f t="shared" si="91"/>
        <v>1F468</v>
      </c>
      <c r="I996">
        <f>HEX2DEC(Table1[[#This Row],[utf8]])</f>
        <v>128104</v>
      </c>
      <c r="J996" t="str">
        <f>_xlfn.UNICHAR(HEX2DEC(Table1[[#This Row],[utf8]]))</f>
        <v>👨</v>
      </c>
      <c r="K996" s="3" t="str" cm="1">
        <f t="array" ref="K996">"Case "&amp;wRandomLetter()&amp;wRandomLetter()&amp;I996&amp;":    UniConst = ChrW(" &amp; I996 &amp;")"</f>
        <v>Case dJ128104:    UniConst = ChrW(128104)</v>
      </c>
    </row>
    <row r="997" spans="1:11" hidden="1">
      <c r="A997" t="s">
        <v>538</v>
      </c>
      <c r="B997" t="str">
        <f t="shared" si="92"/>
        <v>1F468 200D 1F9B2 ; fully-qualified # 👨‍🦲 E11.0 man: bald</v>
      </c>
      <c r="C997" t="str">
        <f t="shared" si="93"/>
        <v xml:space="preserve">1F468 200D 1F9B2 </v>
      </c>
      <c r="D997">
        <f t="shared" si="94"/>
        <v>17</v>
      </c>
      <c r="E997" t="str">
        <f t="shared" si="90"/>
        <v xml:space="preserve"> 👨‍🦲 E11.0 man: bald</v>
      </c>
      <c r="F997" t="b">
        <f t="shared" si="95"/>
        <v>1</v>
      </c>
      <c r="G997" t="str">
        <f t="shared" si="91"/>
        <v>1F468</v>
      </c>
      <c r="I997">
        <f>HEX2DEC(Table1[[#This Row],[utf8]])</f>
        <v>128104</v>
      </c>
      <c r="J997" t="str">
        <f>_xlfn.UNICHAR(HEX2DEC(Table1[[#This Row],[utf8]]))</f>
        <v>👨</v>
      </c>
      <c r="K997" s="3" t="str" cm="1">
        <f t="array" ref="K997">"Case "&amp;wRandomLetter()&amp;wRandomLetter()&amp;I997&amp;":    UniConst = ChrW(" &amp; I997 &amp;")"</f>
        <v>Case DS128104:    UniConst = ChrW(128104)</v>
      </c>
    </row>
    <row r="998" spans="1:11" hidden="1">
      <c r="A998" t="s">
        <v>532</v>
      </c>
      <c r="B998" t="str">
        <f t="shared" si="92"/>
        <v>1F468 200D 1F9B3 ; fully-qualified # 👨‍🦳 E11.0 man: white hair</v>
      </c>
      <c r="C998" t="str">
        <f t="shared" si="93"/>
        <v xml:space="preserve">1F468 200D 1F9B3 </v>
      </c>
      <c r="D998">
        <f t="shared" si="94"/>
        <v>17</v>
      </c>
      <c r="E998" t="str">
        <f t="shared" si="90"/>
        <v xml:space="preserve"> 👨‍🦳 E11.0 man: white hair</v>
      </c>
      <c r="F998" t="b">
        <f t="shared" si="95"/>
        <v>1</v>
      </c>
      <c r="G998" t="str">
        <f t="shared" si="91"/>
        <v>1F468</v>
      </c>
      <c r="I998">
        <f>HEX2DEC(Table1[[#This Row],[utf8]])</f>
        <v>128104</v>
      </c>
      <c r="J998" t="str">
        <f>_xlfn.UNICHAR(HEX2DEC(Table1[[#This Row],[utf8]]))</f>
        <v>👨</v>
      </c>
      <c r="K998" s="3" t="str" cm="1">
        <f t="array" ref="K998">"Case "&amp;wRandomLetter()&amp;wRandomLetter()&amp;I998&amp;":    UniConst = ChrW(" &amp; I998 &amp;")"</f>
        <v>Case Fc128104:    UniConst = ChrW(128104)</v>
      </c>
    </row>
    <row r="999" spans="1:11" hidden="1">
      <c r="A999" t="s">
        <v>1979</v>
      </c>
      <c r="B999" t="str">
        <f t="shared" si="92"/>
        <v>1F468 200D 1F9BC ; fully-qualified # 👨‍🦼 E12.0 man in motorized wheelchair</v>
      </c>
      <c r="C999" t="str">
        <f t="shared" si="93"/>
        <v xml:space="preserve">1F468 200D 1F9BC </v>
      </c>
      <c r="D999">
        <f t="shared" si="94"/>
        <v>17</v>
      </c>
      <c r="E999" t="str">
        <f t="shared" si="90"/>
        <v xml:space="preserve"> 👨‍🦼 E12.0 man in motorized wheelchair</v>
      </c>
      <c r="F999" t="b">
        <f t="shared" si="95"/>
        <v>1</v>
      </c>
      <c r="G999" t="str">
        <f t="shared" si="91"/>
        <v>1F468</v>
      </c>
      <c r="I999">
        <f>HEX2DEC(Table1[[#This Row],[utf8]])</f>
        <v>128104</v>
      </c>
      <c r="J999" t="str">
        <f>_xlfn.UNICHAR(HEX2DEC(Table1[[#This Row],[utf8]]))</f>
        <v>👨</v>
      </c>
      <c r="K999" s="3" t="str" cm="1">
        <f t="array" ref="K999">"Case "&amp;wRandomLetter()&amp;wRandomLetter()&amp;I999&amp;":    UniConst = ChrW(" &amp; I999 &amp;")"</f>
        <v>Case qm128104:    UniConst = ChrW(128104)</v>
      </c>
    </row>
    <row r="1000" spans="1:11" hidden="1">
      <c r="A1000" t="s">
        <v>1997</v>
      </c>
      <c r="B1000" t="str">
        <f t="shared" si="92"/>
        <v>1F468 200D 1F9BD ; fully-qualified # 👨‍🦽 E12.0 man in manual wheelchair</v>
      </c>
      <c r="C1000" t="str">
        <f t="shared" si="93"/>
        <v xml:space="preserve">1F468 200D 1F9BD </v>
      </c>
      <c r="D1000">
        <f t="shared" si="94"/>
        <v>17</v>
      </c>
      <c r="E1000" t="str">
        <f t="shared" si="90"/>
        <v xml:space="preserve"> 👨‍🦽 E12.0 man in manual wheelchair</v>
      </c>
      <c r="F1000" t="b">
        <f t="shared" si="95"/>
        <v>1</v>
      </c>
      <c r="G1000" t="str">
        <f t="shared" si="91"/>
        <v>1F468</v>
      </c>
      <c r="I1000">
        <f>HEX2DEC(Table1[[#This Row],[utf8]])</f>
        <v>128104</v>
      </c>
      <c r="J1000" t="str">
        <f>_xlfn.UNICHAR(HEX2DEC(Table1[[#This Row],[utf8]]))</f>
        <v>👨</v>
      </c>
      <c r="K1000" s="3" t="str" cm="1">
        <f t="array" ref="K1000">"Case "&amp;wRandomLetter()&amp;wRandomLetter()&amp;I1000&amp;":    UniConst = ChrW(" &amp; I1000 &amp;")"</f>
        <v>Case Oy128104:    UniConst = ChrW(128104)</v>
      </c>
    </row>
    <row r="1001" spans="1:11" hidden="1">
      <c r="A1001" t="s">
        <v>955</v>
      </c>
      <c r="B1001" t="str">
        <f t="shared" si="92"/>
        <v>1F468 200D 2695 ; minimally-qualified # 👨‍⚕ E4.0 man health worker</v>
      </c>
      <c r="C1001" t="str">
        <f t="shared" si="93"/>
        <v xml:space="preserve">1F468 200D 2695 </v>
      </c>
      <c r="D1001">
        <f t="shared" si="94"/>
        <v>16</v>
      </c>
      <c r="E1001" t="str">
        <f t="shared" si="90"/>
        <v xml:space="preserve"> 👨‍⚕ E4.0 man health worker</v>
      </c>
      <c r="F1001" t="b">
        <f t="shared" si="95"/>
        <v>1</v>
      </c>
      <c r="G1001" t="str">
        <f t="shared" si="91"/>
        <v>1F468</v>
      </c>
      <c r="I1001">
        <f>HEX2DEC(Table1[[#This Row],[utf8]])</f>
        <v>128104</v>
      </c>
      <c r="J1001" t="str">
        <f>_xlfn.UNICHAR(HEX2DEC(Table1[[#This Row],[utf8]]))</f>
        <v>👨</v>
      </c>
      <c r="K1001" s="3" t="str" cm="1">
        <f t="array" ref="K1001">"Case "&amp;wRandomLetter()&amp;wRandomLetter()&amp;I1001&amp;":    UniConst = ChrW(" &amp; I1001 &amp;")"</f>
        <v>Case Rr128104:    UniConst = ChrW(128104)</v>
      </c>
    </row>
    <row r="1002" spans="1:11" hidden="1">
      <c r="A1002" t="s">
        <v>954</v>
      </c>
      <c r="B1002" t="str">
        <f t="shared" si="92"/>
        <v>1F468 200D 2695 FE0F ; fully-qualified # 👨‍⚕️ E4.0 man health worker</v>
      </c>
      <c r="C1002" t="str">
        <f t="shared" si="93"/>
        <v xml:space="preserve">1F468 200D 2695 FE0F </v>
      </c>
      <c r="D1002">
        <f t="shared" si="94"/>
        <v>21</v>
      </c>
      <c r="E1002" t="str">
        <f t="shared" si="90"/>
        <v xml:space="preserve"> 👨‍⚕️ E4.0 man health worker</v>
      </c>
      <c r="F1002" t="b">
        <f t="shared" si="95"/>
        <v>1</v>
      </c>
      <c r="G1002" t="str">
        <f t="shared" si="91"/>
        <v>1F468</v>
      </c>
      <c r="I1002">
        <f>HEX2DEC(Table1[[#This Row],[utf8]])</f>
        <v>128104</v>
      </c>
      <c r="J1002" t="str">
        <f>_xlfn.UNICHAR(HEX2DEC(Table1[[#This Row],[utf8]]))</f>
        <v>👨</v>
      </c>
      <c r="K1002" s="3" t="str" cm="1">
        <f t="array" ref="K1002">"Case "&amp;wRandomLetter()&amp;wRandomLetter()&amp;I1002&amp;":    UniConst = ChrW(" &amp; I1002 &amp;")"</f>
        <v>Case tI128104:    UniConst = ChrW(128104)</v>
      </c>
    </row>
    <row r="1003" spans="1:11" hidden="1">
      <c r="A1003" t="s">
        <v>1027</v>
      </c>
      <c r="B1003" t="str">
        <f t="shared" si="92"/>
        <v>1F468 200D 2696 ; minimally-qualified # 👨‍⚖ E4.0 man judge</v>
      </c>
      <c r="C1003" t="str">
        <f t="shared" si="93"/>
        <v xml:space="preserve">1F468 200D 2696 </v>
      </c>
      <c r="D1003">
        <f t="shared" si="94"/>
        <v>16</v>
      </c>
      <c r="E1003" t="str">
        <f t="shared" si="90"/>
        <v xml:space="preserve"> 👨‍⚖ E4.0 man judge</v>
      </c>
      <c r="F1003" t="b">
        <f t="shared" si="95"/>
        <v>1</v>
      </c>
      <c r="G1003" t="str">
        <f t="shared" si="91"/>
        <v>1F468</v>
      </c>
      <c r="I1003">
        <f>HEX2DEC(Table1[[#This Row],[utf8]])</f>
        <v>128104</v>
      </c>
      <c r="J1003" t="str">
        <f>_xlfn.UNICHAR(HEX2DEC(Table1[[#This Row],[utf8]]))</f>
        <v>👨</v>
      </c>
      <c r="K1003" s="3" t="str" cm="1">
        <f t="array" ref="K1003">"Case "&amp;wRandomLetter()&amp;wRandomLetter()&amp;I1003&amp;":    UniConst = ChrW(" &amp; I1003 &amp;")"</f>
        <v>Case SR128104:    UniConst = ChrW(128104)</v>
      </c>
    </row>
    <row r="1004" spans="1:11" hidden="1">
      <c r="A1004" t="s">
        <v>1026</v>
      </c>
      <c r="B1004" t="str">
        <f t="shared" si="92"/>
        <v>1F468 200D 2696 FE0F ; fully-qualified # 👨‍⚖️ E4.0 man judge</v>
      </c>
      <c r="C1004" t="str">
        <f t="shared" si="93"/>
        <v xml:space="preserve">1F468 200D 2696 FE0F </v>
      </c>
      <c r="D1004">
        <f t="shared" si="94"/>
        <v>21</v>
      </c>
      <c r="E1004" t="str">
        <f t="shared" si="90"/>
        <v xml:space="preserve"> 👨‍⚖️ E4.0 man judge</v>
      </c>
      <c r="F1004" t="b">
        <f t="shared" si="95"/>
        <v>1</v>
      </c>
      <c r="G1004" t="str">
        <f t="shared" si="91"/>
        <v>1F468</v>
      </c>
      <c r="I1004">
        <f>HEX2DEC(Table1[[#This Row],[utf8]])</f>
        <v>128104</v>
      </c>
      <c r="J1004" t="str">
        <f>_xlfn.UNICHAR(HEX2DEC(Table1[[#This Row],[utf8]]))</f>
        <v>👨</v>
      </c>
      <c r="K1004" s="3" t="str" cm="1">
        <f t="array" ref="K1004">"Case "&amp;wRandomLetter()&amp;wRandomLetter()&amp;I1004&amp;":    UniConst = ChrW(" &amp; I1004 &amp;")"</f>
        <v>Case yf128104:    UniConst = ChrW(128104)</v>
      </c>
    </row>
    <row r="1005" spans="1:11" hidden="1">
      <c r="A1005" t="s">
        <v>1225</v>
      </c>
      <c r="B1005" t="str">
        <f t="shared" si="92"/>
        <v>1F468 200D 2708 ; minimally-qualified # 👨‍✈ E4.0 man pilot</v>
      </c>
      <c r="C1005" t="str">
        <f t="shared" si="93"/>
        <v xml:space="preserve">1F468 200D 2708 </v>
      </c>
      <c r="D1005">
        <f t="shared" si="94"/>
        <v>16</v>
      </c>
      <c r="E1005" t="str">
        <f t="shared" si="90"/>
        <v xml:space="preserve"> 👨‍✈ E4.0 man pilot</v>
      </c>
      <c r="F1005" t="b">
        <f t="shared" si="95"/>
        <v>1</v>
      </c>
      <c r="G1005" t="str">
        <f t="shared" si="91"/>
        <v>1F468</v>
      </c>
      <c r="I1005">
        <f>HEX2DEC(Table1[[#This Row],[utf8]])</f>
        <v>128104</v>
      </c>
      <c r="J1005" t="str">
        <f>_xlfn.UNICHAR(HEX2DEC(Table1[[#This Row],[utf8]]))</f>
        <v>👨</v>
      </c>
      <c r="K1005" s="3" t="str" cm="1">
        <f t="array" ref="K1005">"Case "&amp;wRandomLetter()&amp;wRandomLetter()&amp;I1005&amp;":    UniConst = ChrW(" &amp; I1005 &amp;")"</f>
        <v>Case Ic128104:    UniConst = ChrW(128104)</v>
      </c>
    </row>
    <row r="1006" spans="1:11" hidden="1">
      <c r="A1006" t="s">
        <v>1224</v>
      </c>
      <c r="B1006" t="str">
        <f t="shared" si="92"/>
        <v>1F468 200D 2708 FE0F ; fully-qualified # 👨‍✈️ E4.0 man pilot</v>
      </c>
      <c r="C1006" t="str">
        <f t="shared" si="93"/>
        <v xml:space="preserve">1F468 200D 2708 FE0F </v>
      </c>
      <c r="D1006">
        <f t="shared" si="94"/>
        <v>21</v>
      </c>
      <c r="E1006" t="str">
        <f t="shared" si="90"/>
        <v xml:space="preserve"> 👨‍✈️ E4.0 man pilot</v>
      </c>
      <c r="F1006" t="b">
        <f t="shared" si="95"/>
        <v>1</v>
      </c>
      <c r="G1006" t="str">
        <f t="shared" si="91"/>
        <v>1F468</v>
      </c>
      <c r="I1006">
        <f>HEX2DEC(Table1[[#This Row],[utf8]])</f>
        <v>128104</v>
      </c>
      <c r="J1006" t="str">
        <f>_xlfn.UNICHAR(HEX2DEC(Table1[[#This Row],[utf8]]))</f>
        <v>👨</v>
      </c>
      <c r="K1006" s="3" t="str" cm="1">
        <f t="array" ref="K1006">"Case "&amp;wRandomLetter()&amp;wRandomLetter()&amp;I1006&amp;":    UniConst = ChrW(" &amp; I1006 &amp;")"</f>
        <v>Case HI128104:    UniConst = ChrW(128104)</v>
      </c>
    </row>
    <row r="1007" spans="1:11" hidden="1">
      <c r="A1007" t="s">
        <v>2968</v>
      </c>
      <c r="B1007" t="str">
        <f t="shared" si="92"/>
        <v>1F468 200D 2764 200D 1F468 ; minimally-qualified # 👨‍❤‍👨 E2.0 couple with heart: man, man</v>
      </c>
      <c r="C1007" t="str">
        <f t="shared" si="93"/>
        <v xml:space="preserve">1F468 200D 2764 200D 1F468 </v>
      </c>
      <c r="D1007">
        <f t="shared" si="94"/>
        <v>27</v>
      </c>
      <c r="E1007" t="str">
        <f t="shared" si="90"/>
        <v xml:space="preserve"> 👨‍❤‍👨 E2.0 couple with heart: man, man</v>
      </c>
      <c r="F1007" t="b">
        <f t="shared" si="95"/>
        <v>1</v>
      </c>
      <c r="G1007" t="str">
        <f t="shared" si="91"/>
        <v>1F468</v>
      </c>
      <c r="I1007">
        <f>HEX2DEC(Table1[[#This Row],[utf8]])</f>
        <v>128104</v>
      </c>
      <c r="J1007" t="str">
        <f>_xlfn.UNICHAR(HEX2DEC(Table1[[#This Row],[utf8]]))</f>
        <v>👨</v>
      </c>
      <c r="K1007" s="3" t="str" cm="1">
        <f t="array" ref="K1007">"Case "&amp;wRandomLetter()&amp;wRandomLetter()&amp;I1007&amp;":    UniConst = ChrW(" &amp; I1007 &amp;")"</f>
        <v>Case oe128104:    UniConst = ChrW(128104)</v>
      </c>
    </row>
    <row r="1008" spans="1:11" hidden="1">
      <c r="A1008" t="s">
        <v>2766</v>
      </c>
      <c r="B1008" t="str">
        <f t="shared" si="92"/>
        <v>1F468 200D 2764 200D 1F48B 200D 1F468 ; minimally-qualified # 👨‍❤‍💋‍👨 E2.0 kiss: man, man</v>
      </c>
      <c r="C1008" t="str">
        <f t="shared" si="93"/>
        <v xml:space="preserve">1F468 200D 2764 200D 1F48B 200D 1F468 </v>
      </c>
      <c r="D1008">
        <f t="shared" si="94"/>
        <v>38</v>
      </c>
      <c r="E1008" t="str">
        <f t="shared" si="90"/>
        <v xml:space="preserve"> 👨‍❤‍💋‍👨 E2.0 kiss: man, man</v>
      </c>
      <c r="F1008" t="b">
        <f t="shared" si="95"/>
        <v>1</v>
      </c>
      <c r="G1008" t="str">
        <f t="shared" si="91"/>
        <v>1F468</v>
      </c>
      <c r="I1008">
        <f>HEX2DEC(Table1[[#This Row],[utf8]])</f>
        <v>128104</v>
      </c>
      <c r="J1008" t="str">
        <f>_xlfn.UNICHAR(HEX2DEC(Table1[[#This Row],[utf8]]))</f>
        <v>👨</v>
      </c>
      <c r="K1008" s="3" t="str" cm="1">
        <f t="array" ref="K1008">"Case "&amp;wRandomLetter()&amp;wRandomLetter()&amp;I1008&amp;":    UniConst = ChrW(" &amp; I1008 &amp;")"</f>
        <v>Case yH128104:    UniConst = ChrW(128104)</v>
      </c>
    </row>
    <row r="1009" spans="1:11" hidden="1">
      <c r="A1009" t="s">
        <v>2967</v>
      </c>
      <c r="B1009" t="str">
        <f t="shared" si="92"/>
        <v>1F468 200D 2764 FE0F 200D 1F468 ; fully-qualified # 👨‍❤️‍👨 E2.0 couple with heart: man, man</v>
      </c>
      <c r="C1009" t="str">
        <f t="shared" si="93"/>
        <v xml:space="preserve">1F468 200D 2764 FE0F 200D 1F468 </v>
      </c>
      <c r="D1009">
        <f t="shared" si="94"/>
        <v>32</v>
      </c>
      <c r="E1009" t="str">
        <f t="shared" si="90"/>
        <v xml:space="preserve"> 👨‍❤️‍👨 E2.0 couple with heart: man, man</v>
      </c>
      <c r="F1009" t="b">
        <f t="shared" si="95"/>
        <v>1</v>
      </c>
      <c r="G1009" t="str">
        <f t="shared" si="91"/>
        <v>1F468</v>
      </c>
      <c r="I1009">
        <f>HEX2DEC(Table1[[#This Row],[utf8]])</f>
        <v>128104</v>
      </c>
      <c r="J1009" t="str">
        <f>_xlfn.UNICHAR(HEX2DEC(Table1[[#This Row],[utf8]]))</f>
        <v>👨</v>
      </c>
      <c r="K1009" s="3" t="str" cm="1">
        <f t="array" ref="K1009">"Case "&amp;wRandomLetter()&amp;wRandomLetter()&amp;I1009&amp;":    UniConst = ChrW(" &amp; I1009 &amp;")"</f>
        <v>Case EP128104:    UniConst = ChrW(128104)</v>
      </c>
    </row>
    <row r="1010" spans="1:11" hidden="1">
      <c r="A1010" t="s">
        <v>2765</v>
      </c>
      <c r="B1010" t="str">
        <f t="shared" si="92"/>
        <v>1F468 200D 2764 FE0F 200D 1F48B 200D 1F468 ; fully-qualified # 👨‍❤️‍💋‍👨 E2.0 kiss: man, man</v>
      </c>
      <c r="C1010" t="str">
        <f t="shared" si="93"/>
        <v xml:space="preserve">1F468 200D 2764 FE0F 200D 1F48B 200D 1F468 </v>
      </c>
      <c r="D1010">
        <f t="shared" si="94"/>
        <v>43</v>
      </c>
      <c r="E1010" t="str">
        <f t="shared" si="90"/>
        <v xml:space="preserve"> 👨‍❤️‍💋‍👨 E2.0 kiss: man, man</v>
      </c>
      <c r="F1010" t="b">
        <f t="shared" si="95"/>
        <v>1</v>
      </c>
      <c r="G1010" t="str">
        <f t="shared" si="91"/>
        <v>1F468</v>
      </c>
      <c r="I1010">
        <f>HEX2DEC(Table1[[#This Row],[utf8]])</f>
        <v>128104</v>
      </c>
      <c r="J1010" t="str">
        <f>_xlfn.UNICHAR(HEX2DEC(Table1[[#This Row],[utf8]]))</f>
        <v>👨</v>
      </c>
      <c r="K1010" s="3" t="str" cm="1">
        <f t="array" ref="K1010">"Case "&amp;wRandomLetter()&amp;wRandomLetter()&amp;I1010&amp;":    UniConst = ChrW(" &amp; I1010 &amp;")"</f>
        <v>Case ys128104:    UniConst = ChrW(128104)</v>
      </c>
    </row>
    <row r="1011" spans="1:11" hidden="1">
      <c r="A1011" t="s">
        <v>544</v>
      </c>
      <c r="B1011" t="str">
        <f t="shared" si="92"/>
        <v>1F469 ; fully-qualified # 👩 E0.6 woman</v>
      </c>
      <c r="C1011" t="str">
        <f t="shared" si="93"/>
        <v xml:space="preserve">1F469 </v>
      </c>
      <c r="D1011">
        <f t="shared" si="94"/>
        <v>6</v>
      </c>
      <c r="E1011" t="str">
        <f t="shared" si="90"/>
        <v xml:space="preserve"> 👩 E0.6 woman</v>
      </c>
      <c r="F1011" t="b">
        <f t="shared" si="95"/>
        <v>1</v>
      </c>
      <c r="G1011" t="str">
        <f t="shared" si="91"/>
        <v>1F469</v>
      </c>
      <c r="I1011">
        <f>HEX2DEC(Table1[[#This Row],[utf8]])</f>
        <v>128105</v>
      </c>
      <c r="J1011" t="str">
        <f>_xlfn.UNICHAR(HEX2DEC(Table1[[#This Row],[utf8]]))</f>
        <v>👩</v>
      </c>
      <c r="K1011" s="3" t="str" cm="1">
        <f t="array" ref="K1011">"Case "&amp;wRandomLetter()&amp;wRandomLetter()&amp;I1011&amp;":    UniConst = ChrW(" &amp; I1011 &amp;")"</f>
        <v>Case oU128105:    UniConst = ChrW(128105)</v>
      </c>
    </row>
    <row r="1012" spans="1:11" hidden="1">
      <c r="A1012" t="s">
        <v>545</v>
      </c>
      <c r="B1012" t="str">
        <f t="shared" si="92"/>
        <v>1F469 1F3FB ; fully-qualified # 👩🏻 E1.0 woman: light skin tone</v>
      </c>
      <c r="C1012" t="str">
        <f t="shared" si="93"/>
        <v xml:space="preserve">1F469 1F3FB </v>
      </c>
      <c r="D1012">
        <f t="shared" si="94"/>
        <v>12</v>
      </c>
      <c r="E1012" t="str">
        <f t="shared" si="90"/>
        <v xml:space="preserve"> 👩🏻 E1.0 woman: light skin tone</v>
      </c>
      <c r="F1012" t="b">
        <f t="shared" si="95"/>
        <v>1</v>
      </c>
      <c r="G1012" t="str">
        <f t="shared" si="91"/>
        <v>1F469</v>
      </c>
      <c r="I1012">
        <f>HEX2DEC(Table1[[#This Row],[utf8]])</f>
        <v>128105</v>
      </c>
      <c r="J1012" t="str">
        <f>_xlfn.UNICHAR(HEX2DEC(Table1[[#This Row],[utf8]]))</f>
        <v>👩</v>
      </c>
      <c r="K1012" s="3" t="str" cm="1">
        <f t="array" ref="K1012">"Case "&amp;wRandomLetter()&amp;wRandomLetter()&amp;I1012&amp;":    UniConst = ChrW(" &amp; I1012 &amp;")"</f>
        <v>Case uR128105:    UniConst = ChrW(128105)</v>
      </c>
    </row>
    <row r="1013" spans="1:11" hidden="1">
      <c r="A1013" t="s">
        <v>1063</v>
      </c>
      <c r="B1013" t="str">
        <f t="shared" si="92"/>
        <v>1F469 1F3FB 200D 1F33E ; fully-qualified # 👩🏻‍🌾 E4.0 woman farmer: light skin tone</v>
      </c>
      <c r="C1013" t="str">
        <f t="shared" si="93"/>
        <v xml:space="preserve">1F469 1F3FB 200D 1F33E </v>
      </c>
      <c r="D1013">
        <f t="shared" si="94"/>
        <v>23</v>
      </c>
      <c r="E1013" t="str">
        <f t="shared" si="90"/>
        <v xml:space="preserve"> 👩🏻‍🌾 E4.0 woman farmer: light skin tone</v>
      </c>
      <c r="F1013" t="b">
        <f t="shared" si="95"/>
        <v>1</v>
      </c>
      <c r="G1013" t="str">
        <f t="shared" si="91"/>
        <v>1F469</v>
      </c>
      <c r="I1013">
        <f>HEX2DEC(Table1[[#This Row],[utf8]])</f>
        <v>128105</v>
      </c>
      <c r="J1013" t="str">
        <f>_xlfn.UNICHAR(HEX2DEC(Table1[[#This Row],[utf8]]))</f>
        <v>👩</v>
      </c>
      <c r="K1013" s="3" t="str" cm="1">
        <f t="array" ref="K1013">"Case "&amp;wRandomLetter()&amp;wRandomLetter()&amp;I1013&amp;":    UniConst = ChrW(" &amp; I1013 &amp;")"</f>
        <v>Case iH128105:    UniConst = ChrW(128105)</v>
      </c>
    </row>
    <row r="1014" spans="1:11" hidden="1">
      <c r="A1014" t="s">
        <v>1081</v>
      </c>
      <c r="B1014" t="str">
        <f t="shared" si="92"/>
        <v>1F469 1F3FB 200D 1F373 ; fully-qualified # 👩🏻‍🍳 E4.0 woman cook: light skin tone</v>
      </c>
      <c r="C1014" t="str">
        <f t="shared" si="93"/>
        <v xml:space="preserve">1F469 1F3FB 200D 1F373 </v>
      </c>
      <c r="D1014">
        <f t="shared" si="94"/>
        <v>23</v>
      </c>
      <c r="E1014" t="str">
        <f t="shared" si="90"/>
        <v xml:space="preserve"> 👩🏻‍🍳 E4.0 woman cook: light skin tone</v>
      </c>
      <c r="F1014" t="b">
        <f t="shared" si="95"/>
        <v>1</v>
      </c>
      <c r="G1014" t="str">
        <f t="shared" si="91"/>
        <v>1F469</v>
      </c>
      <c r="I1014">
        <f>HEX2DEC(Table1[[#This Row],[utf8]])</f>
        <v>128105</v>
      </c>
      <c r="J1014" t="str">
        <f>_xlfn.UNICHAR(HEX2DEC(Table1[[#This Row],[utf8]]))</f>
        <v>👩</v>
      </c>
      <c r="K1014" s="3" t="str" cm="1">
        <f t="array" ref="K1014">"Case "&amp;wRandomLetter()&amp;wRandomLetter()&amp;I1014&amp;":    UniConst = ChrW(" &amp; I1014 &amp;")"</f>
        <v>Case TH128105:    UniConst = ChrW(128105)</v>
      </c>
    </row>
    <row r="1015" spans="1:11" hidden="1">
      <c r="A1015" t="s">
        <v>1542</v>
      </c>
      <c r="B1015" t="str">
        <f t="shared" si="92"/>
        <v>1F469 1F3FB 200D 1F37C ; fully-qualified # 👩🏻‍🍼 E13.0 woman feeding baby: light skin tone</v>
      </c>
      <c r="C1015" t="str">
        <f t="shared" si="93"/>
        <v xml:space="preserve">1F469 1F3FB 200D 1F37C </v>
      </c>
      <c r="D1015">
        <f t="shared" si="94"/>
        <v>23</v>
      </c>
      <c r="E1015" t="str">
        <f t="shared" si="90"/>
        <v xml:space="preserve"> 👩🏻‍🍼 E13.0 woman feeding baby: light skin tone</v>
      </c>
      <c r="F1015" t="b">
        <f t="shared" si="95"/>
        <v>1</v>
      </c>
      <c r="G1015" t="str">
        <f t="shared" si="91"/>
        <v>1F469</v>
      </c>
      <c r="I1015">
        <f>HEX2DEC(Table1[[#This Row],[utf8]])</f>
        <v>128105</v>
      </c>
      <c r="J1015" t="str">
        <f>_xlfn.UNICHAR(HEX2DEC(Table1[[#This Row],[utf8]]))</f>
        <v>👩</v>
      </c>
      <c r="K1015" s="3" t="str" cm="1">
        <f t="array" ref="K1015">"Case "&amp;wRandomLetter()&amp;wRandomLetter()&amp;I1015&amp;":    UniConst = ChrW(" &amp; I1015 &amp;")"</f>
        <v>Case AP128105:    UniConst = ChrW(128105)</v>
      </c>
    </row>
    <row r="1016" spans="1:11" hidden="1">
      <c r="A1016" t="s">
        <v>991</v>
      </c>
      <c r="B1016" t="str">
        <f t="shared" si="92"/>
        <v>1F469 1F3FB 200D 1F393 ; fully-qualified # 👩🏻‍🎓 E4.0 woman student: light skin tone</v>
      </c>
      <c r="C1016" t="str">
        <f t="shared" si="93"/>
        <v xml:space="preserve">1F469 1F3FB 200D 1F393 </v>
      </c>
      <c r="D1016">
        <f t="shared" si="94"/>
        <v>23</v>
      </c>
      <c r="E1016" t="str">
        <f t="shared" si="90"/>
        <v xml:space="preserve"> 👩🏻‍🎓 E4.0 woman student: light skin tone</v>
      </c>
      <c r="F1016" t="b">
        <f t="shared" si="95"/>
        <v>1</v>
      </c>
      <c r="G1016" t="str">
        <f t="shared" si="91"/>
        <v>1F469</v>
      </c>
      <c r="I1016">
        <f>HEX2DEC(Table1[[#This Row],[utf8]])</f>
        <v>128105</v>
      </c>
      <c r="J1016" t="str">
        <f>_xlfn.UNICHAR(HEX2DEC(Table1[[#This Row],[utf8]]))</f>
        <v>👩</v>
      </c>
      <c r="K1016" s="3" t="str" cm="1">
        <f t="array" ref="K1016">"Case "&amp;wRandomLetter()&amp;wRandomLetter()&amp;I1016&amp;":    UniConst = ChrW(" &amp; I1016 &amp;")"</f>
        <v>Case kd128105:    UniConst = ChrW(128105)</v>
      </c>
    </row>
    <row r="1017" spans="1:11" hidden="1">
      <c r="A1017" t="s">
        <v>1189</v>
      </c>
      <c r="B1017" t="str">
        <f t="shared" si="92"/>
        <v>1F469 1F3FB 200D 1F3A4 ; fully-qualified # 👩🏻‍🎤 E4.0 woman singer: light skin tone</v>
      </c>
      <c r="C1017" t="str">
        <f t="shared" si="93"/>
        <v xml:space="preserve">1F469 1F3FB 200D 1F3A4 </v>
      </c>
      <c r="D1017">
        <f t="shared" si="94"/>
        <v>23</v>
      </c>
      <c r="E1017" t="str">
        <f t="shared" si="90"/>
        <v xml:space="preserve"> 👩🏻‍🎤 E4.0 woman singer: light skin tone</v>
      </c>
      <c r="F1017" t="b">
        <f t="shared" si="95"/>
        <v>1</v>
      </c>
      <c r="G1017" t="str">
        <f t="shared" si="91"/>
        <v>1F469</v>
      </c>
      <c r="I1017">
        <f>HEX2DEC(Table1[[#This Row],[utf8]])</f>
        <v>128105</v>
      </c>
      <c r="J1017" t="str">
        <f>_xlfn.UNICHAR(HEX2DEC(Table1[[#This Row],[utf8]]))</f>
        <v>👩</v>
      </c>
      <c r="K1017" s="3" t="str" cm="1">
        <f t="array" ref="K1017">"Case "&amp;wRandomLetter()&amp;wRandomLetter()&amp;I1017&amp;":    UniConst = ChrW(" &amp; I1017 &amp;")"</f>
        <v>Case pT128105:    UniConst = ChrW(128105)</v>
      </c>
    </row>
    <row r="1018" spans="1:11" hidden="1">
      <c r="A1018" t="s">
        <v>1207</v>
      </c>
      <c r="B1018" t="str">
        <f t="shared" si="92"/>
        <v>1F469 1F3FB 200D 1F3A8 ; fully-qualified # 👩🏻‍🎨 E4.0 woman artist: light skin tone</v>
      </c>
      <c r="C1018" t="str">
        <f t="shared" si="93"/>
        <v xml:space="preserve">1F469 1F3FB 200D 1F3A8 </v>
      </c>
      <c r="D1018">
        <f t="shared" si="94"/>
        <v>23</v>
      </c>
      <c r="E1018" t="str">
        <f t="shared" si="90"/>
        <v xml:space="preserve"> 👩🏻‍🎨 E4.0 woman artist: light skin tone</v>
      </c>
      <c r="F1018" t="b">
        <f t="shared" si="95"/>
        <v>1</v>
      </c>
      <c r="G1018" t="str">
        <f t="shared" si="91"/>
        <v>1F469</v>
      </c>
      <c r="I1018">
        <f>HEX2DEC(Table1[[#This Row],[utf8]])</f>
        <v>128105</v>
      </c>
      <c r="J1018" t="str">
        <f>_xlfn.UNICHAR(HEX2DEC(Table1[[#This Row],[utf8]]))</f>
        <v>👩</v>
      </c>
      <c r="K1018" s="3" t="str" cm="1">
        <f t="array" ref="K1018">"Case "&amp;wRandomLetter()&amp;wRandomLetter()&amp;I1018&amp;":    UniConst = ChrW(" &amp; I1018 &amp;")"</f>
        <v>Case hz128105:    UniConst = ChrW(128105)</v>
      </c>
    </row>
    <row r="1019" spans="1:11" hidden="1">
      <c r="A1019" t="s">
        <v>1009</v>
      </c>
      <c r="B1019" t="str">
        <f t="shared" si="92"/>
        <v>1F469 1F3FB 200D 1F3EB ; fully-qualified # 👩🏻‍🏫 E4.0 woman teacher: light skin tone</v>
      </c>
      <c r="C1019" t="str">
        <f t="shared" si="93"/>
        <v xml:space="preserve">1F469 1F3FB 200D 1F3EB </v>
      </c>
      <c r="D1019">
        <f t="shared" si="94"/>
        <v>23</v>
      </c>
      <c r="E1019" t="str">
        <f t="shared" si="90"/>
        <v xml:space="preserve"> 👩🏻‍🏫 E4.0 woman teacher: light skin tone</v>
      </c>
      <c r="F1019" t="b">
        <f t="shared" si="95"/>
        <v>1</v>
      </c>
      <c r="G1019" t="str">
        <f t="shared" si="91"/>
        <v>1F469</v>
      </c>
      <c r="I1019">
        <f>HEX2DEC(Table1[[#This Row],[utf8]])</f>
        <v>128105</v>
      </c>
      <c r="J1019" t="str">
        <f>_xlfn.UNICHAR(HEX2DEC(Table1[[#This Row],[utf8]]))</f>
        <v>👩</v>
      </c>
      <c r="K1019" s="3" t="str" cm="1">
        <f t="array" ref="K1019">"Case "&amp;wRandomLetter()&amp;wRandomLetter()&amp;I1019&amp;":    UniConst = ChrW(" &amp; I1019 &amp;")"</f>
        <v>Case nz128105:    UniConst = ChrW(128105)</v>
      </c>
    </row>
    <row r="1020" spans="1:11" hidden="1">
      <c r="A1020" t="s">
        <v>1117</v>
      </c>
      <c r="B1020" t="str">
        <f t="shared" si="92"/>
        <v>1F469 1F3FB 200D 1F3ED ; fully-qualified # 👩🏻‍🏭 E4.0 woman factory worker: light skin tone</v>
      </c>
      <c r="C1020" t="str">
        <f t="shared" si="93"/>
        <v xml:space="preserve">1F469 1F3FB 200D 1F3ED </v>
      </c>
      <c r="D1020">
        <f t="shared" si="94"/>
        <v>23</v>
      </c>
      <c r="E1020" t="str">
        <f t="shared" si="90"/>
        <v xml:space="preserve"> 👩🏻‍🏭 E4.0 woman factory worker: light skin tone</v>
      </c>
      <c r="F1020" t="b">
        <f t="shared" si="95"/>
        <v>1</v>
      </c>
      <c r="G1020" t="str">
        <f t="shared" si="91"/>
        <v>1F469</v>
      </c>
      <c r="I1020">
        <f>HEX2DEC(Table1[[#This Row],[utf8]])</f>
        <v>128105</v>
      </c>
      <c r="J1020" t="str">
        <f>_xlfn.UNICHAR(HEX2DEC(Table1[[#This Row],[utf8]]))</f>
        <v>👩</v>
      </c>
      <c r="K1020" s="3" t="str" cm="1">
        <f t="array" ref="K1020">"Case "&amp;wRandomLetter()&amp;wRandomLetter()&amp;I1020&amp;":    UniConst = ChrW(" &amp; I1020 &amp;")"</f>
        <v>Case SR128105:    UniConst = ChrW(128105)</v>
      </c>
    </row>
    <row r="1021" spans="1:11" hidden="1">
      <c r="A1021" t="s">
        <v>1171</v>
      </c>
      <c r="B1021" t="str">
        <f t="shared" si="92"/>
        <v>1F469 1F3FB 200D 1F4BB ; fully-qualified # 👩🏻‍💻 E4.0 woman technologist: light skin tone</v>
      </c>
      <c r="C1021" t="str">
        <f t="shared" si="93"/>
        <v xml:space="preserve">1F469 1F3FB 200D 1F4BB </v>
      </c>
      <c r="D1021">
        <f t="shared" si="94"/>
        <v>23</v>
      </c>
      <c r="E1021" t="str">
        <f t="shared" si="90"/>
        <v xml:space="preserve"> 👩🏻‍💻 E4.0 woman technologist: light skin tone</v>
      </c>
      <c r="F1021" t="b">
        <f t="shared" si="95"/>
        <v>1</v>
      </c>
      <c r="G1021" t="str">
        <f t="shared" si="91"/>
        <v>1F469</v>
      </c>
      <c r="I1021">
        <f>HEX2DEC(Table1[[#This Row],[utf8]])</f>
        <v>128105</v>
      </c>
      <c r="J1021" t="str">
        <f>_xlfn.UNICHAR(HEX2DEC(Table1[[#This Row],[utf8]]))</f>
        <v>👩</v>
      </c>
      <c r="K1021" s="3" t="str" cm="1">
        <f t="array" ref="K1021">"Case "&amp;wRandomLetter()&amp;wRandomLetter()&amp;I1021&amp;":    UniConst = ChrW(" &amp; I1021 &amp;")"</f>
        <v>Case hA128105:    UniConst = ChrW(128105)</v>
      </c>
    </row>
    <row r="1022" spans="1:11" hidden="1">
      <c r="A1022" t="s">
        <v>1135</v>
      </c>
      <c r="B1022" t="str">
        <f t="shared" si="92"/>
        <v>1F469 1F3FB 200D 1F4BC ; fully-qualified # 👩🏻‍💼 E4.0 woman office worker: light skin tone</v>
      </c>
      <c r="C1022" t="str">
        <f t="shared" si="93"/>
        <v xml:space="preserve">1F469 1F3FB 200D 1F4BC </v>
      </c>
      <c r="D1022">
        <f t="shared" si="94"/>
        <v>23</v>
      </c>
      <c r="E1022" t="str">
        <f t="shared" si="90"/>
        <v xml:space="preserve"> 👩🏻‍💼 E4.0 woman office worker: light skin tone</v>
      </c>
      <c r="F1022" t="b">
        <f t="shared" si="95"/>
        <v>1</v>
      </c>
      <c r="G1022" t="str">
        <f t="shared" si="91"/>
        <v>1F469</v>
      </c>
      <c r="I1022">
        <f>HEX2DEC(Table1[[#This Row],[utf8]])</f>
        <v>128105</v>
      </c>
      <c r="J1022" t="str">
        <f>_xlfn.UNICHAR(HEX2DEC(Table1[[#This Row],[utf8]]))</f>
        <v>👩</v>
      </c>
      <c r="K1022" s="3" t="str" cm="1">
        <f t="array" ref="K1022">"Case "&amp;wRandomLetter()&amp;wRandomLetter()&amp;I1022&amp;":    UniConst = ChrW(" &amp; I1022 &amp;")"</f>
        <v>Case zp128105:    UniConst = ChrW(128105)</v>
      </c>
    </row>
    <row r="1023" spans="1:11" hidden="1">
      <c r="A1023" t="s">
        <v>1099</v>
      </c>
      <c r="B1023" t="str">
        <f t="shared" si="92"/>
        <v>1F469 1F3FB 200D 1F527 ; fully-qualified # 👩🏻‍🔧 E4.0 woman mechanic: light skin tone</v>
      </c>
      <c r="C1023" t="str">
        <f t="shared" si="93"/>
        <v xml:space="preserve">1F469 1F3FB 200D 1F527 </v>
      </c>
      <c r="D1023">
        <f t="shared" si="94"/>
        <v>23</v>
      </c>
      <c r="E1023" t="str">
        <f t="shared" si="90"/>
        <v xml:space="preserve"> 👩🏻‍🔧 E4.0 woman mechanic: light skin tone</v>
      </c>
      <c r="F1023" t="b">
        <f t="shared" si="95"/>
        <v>1</v>
      </c>
      <c r="G1023" t="str">
        <f t="shared" si="91"/>
        <v>1F469</v>
      </c>
      <c r="I1023">
        <f>HEX2DEC(Table1[[#This Row],[utf8]])</f>
        <v>128105</v>
      </c>
      <c r="J1023" t="str">
        <f>_xlfn.UNICHAR(HEX2DEC(Table1[[#This Row],[utf8]]))</f>
        <v>👩</v>
      </c>
      <c r="K1023" s="3" t="str" cm="1">
        <f t="array" ref="K1023">"Case "&amp;wRandomLetter()&amp;wRandomLetter()&amp;I1023&amp;":    UniConst = ChrW(" &amp; I1023 &amp;")"</f>
        <v>Case Gi128105:    UniConst = ChrW(128105)</v>
      </c>
    </row>
    <row r="1024" spans="1:11" hidden="1">
      <c r="A1024" t="s">
        <v>1153</v>
      </c>
      <c r="B1024" t="str">
        <f t="shared" si="92"/>
        <v>1F469 1F3FB 200D 1F52C ; fully-qualified # 👩🏻‍🔬 E4.0 woman scientist: light skin tone</v>
      </c>
      <c r="C1024" t="str">
        <f t="shared" si="93"/>
        <v xml:space="preserve">1F469 1F3FB 200D 1F52C </v>
      </c>
      <c r="D1024">
        <f t="shared" si="94"/>
        <v>23</v>
      </c>
      <c r="E1024" t="str">
        <f t="shared" si="90"/>
        <v xml:space="preserve"> 👩🏻‍🔬 E4.0 woman scientist: light skin tone</v>
      </c>
      <c r="F1024" t="b">
        <f t="shared" si="95"/>
        <v>1</v>
      </c>
      <c r="G1024" t="str">
        <f t="shared" si="91"/>
        <v>1F469</v>
      </c>
      <c r="I1024">
        <f>HEX2DEC(Table1[[#This Row],[utf8]])</f>
        <v>128105</v>
      </c>
      <c r="J1024" t="str">
        <f>_xlfn.UNICHAR(HEX2DEC(Table1[[#This Row],[utf8]]))</f>
        <v>👩</v>
      </c>
      <c r="K1024" s="3" t="str" cm="1">
        <f t="array" ref="K1024">"Case "&amp;wRandomLetter()&amp;wRandomLetter()&amp;I1024&amp;":    UniConst = ChrW(" &amp; I1024 &amp;")"</f>
        <v>Case oH128105:    UniConst = ChrW(128105)</v>
      </c>
    </row>
    <row r="1025" spans="1:11" hidden="1">
      <c r="A1025" t="s">
        <v>1261</v>
      </c>
      <c r="B1025" t="str">
        <f t="shared" si="92"/>
        <v>1F469 1F3FB 200D 1F680 ; fully-qualified # 👩🏻‍🚀 E4.0 woman astronaut: light skin tone</v>
      </c>
      <c r="C1025" t="str">
        <f t="shared" si="93"/>
        <v xml:space="preserve">1F469 1F3FB 200D 1F680 </v>
      </c>
      <c r="D1025">
        <f t="shared" si="94"/>
        <v>23</v>
      </c>
      <c r="E1025" t="str">
        <f t="shared" si="90"/>
        <v xml:space="preserve"> 👩🏻‍🚀 E4.0 woman astronaut: light skin tone</v>
      </c>
      <c r="F1025" t="b">
        <f t="shared" si="95"/>
        <v>1</v>
      </c>
      <c r="G1025" t="str">
        <f t="shared" si="91"/>
        <v>1F469</v>
      </c>
      <c r="I1025">
        <f>HEX2DEC(Table1[[#This Row],[utf8]])</f>
        <v>128105</v>
      </c>
      <c r="J1025" t="str">
        <f>_xlfn.UNICHAR(HEX2DEC(Table1[[#This Row],[utf8]]))</f>
        <v>👩</v>
      </c>
      <c r="K1025" s="3" t="str" cm="1">
        <f t="array" ref="K1025">"Case "&amp;wRandomLetter()&amp;wRandomLetter()&amp;I1025&amp;":    UniConst = ChrW(" &amp; I1025 &amp;")"</f>
        <v>Case yb128105:    UniConst = ChrW(128105)</v>
      </c>
    </row>
    <row r="1026" spans="1:11" hidden="1">
      <c r="A1026" t="s">
        <v>1279</v>
      </c>
      <c r="B1026" t="str">
        <f t="shared" si="92"/>
        <v>1F469 1F3FB 200D 1F692 ; fully-qualified # 👩🏻‍🚒 E4.0 woman firefighter: light skin tone</v>
      </c>
      <c r="C1026" t="str">
        <f t="shared" si="93"/>
        <v xml:space="preserve">1F469 1F3FB 200D 1F692 </v>
      </c>
      <c r="D1026">
        <f t="shared" si="94"/>
        <v>23</v>
      </c>
      <c r="E1026" t="str">
        <f t="shared" ref="E1026:E1089" si="96">MID(A1026,FIND("#",A1026)+1,256)</f>
        <v xml:space="preserve"> 👩🏻‍🚒 E4.0 woman firefighter: light skin tone</v>
      </c>
      <c r="F1026" t="b">
        <f t="shared" si="95"/>
        <v>1</v>
      </c>
      <c r="G1026" t="str">
        <f t="shared" ref="G1026:G1089" si="97">LEFT(C1026,(FIND(" ",C1026,1)-1))</f>
        <v>1F469</v>
      </c>
      <c r="I1026">
        <f>HEX2DEC(Table1[[#This Row],[utf8]])</f>
        <v>128105</v>
      </c>
      <c r="J1026" t="str">
        <f>_xlfn.UNICHAR(HEX2DEC(Table1[[#This Row],[utf8]]))</f>
        <v>👩</v>
      </c>
      <c r="K1026" s="3" t="str" cm="1">
        <f t="array" ref="K1026">"Case "&amp;wRandomLetter()&amp;wRandomLetter()&amp;I1026&amp;":    UniConst = ChrW(" &amp; I1026 &amp;")"</f>
        <v>Case jf128105:    UniConst = ChrW(128105)</v>
      </c>
    </row>
    <row r="1027" spans="1:11" hidden="1">
      <c r="A1027" t="s">
        <v>2617</v>
      </c>
      <c r="B1027" t="str">
        <f t="shared" ref="B1027:B1090" si="98">TRIM(A1027)</f>
        <v>1F469 1F3FB 200D 1F91D 200D 1F468 1F3FC ; fully-qualified # 👩🏻‍🤝‍👨🏼 E12.0 woman and man holding hands: light skin tone, medium-light skin tone</v>
      </c>
      <c r="C1027" t="str">
        <f t="shared" ref="C1027:C1090" si="99">LEFT(B1027,(FIND(";",B1027,1)-1))</f>
        <v xml:space="preserve">1F469 1F3FB 200D 1F91D 200D 1F468 1F3FC </v>
      </c>
      <c r="D1027">
        <f t="shared" ref="D1027:D1090" si="100">LEN(C1027)</f>
        <v>40</v>
      </c>
      <c r="E1027" t="str">
        <f t="shared" si="96"/>
        <v xml:space="preserve"> 👩🏻‍🤝‍👨🏼 E12.0 woman and man holding hands: light skin tone, medium-light skin tone</v>
      </c>
      <c r="F1027" t="b">
        <f t="shared" ref="F1027:F1090" si="101">IF(LEFT(C1027,2)="1F",TRUE,FALSE)</f>
        <v>1</v>
      </c>
      <c r="G1027" t="str">
        <f t="shared" si="97"/>
        <v>1F469</v>
      </c>
      <c r="I1027">
        <f>HEX2DEC(Table1[[#This Row],[utf8]])</f>
        <v>128105</v>
      </c>
      <c r="J1027" t="str">
        <f>_xlfn.UNICHAR(HEX2DEC(Table1[[#This Row],[utf8]]))</f>
        <v>👩</v>
      </c>
      <c r="K1027" s="3" t="str" cm="1">
        <f t="array" ref="K1027">"Case "&amp;wRandomLetter()&amp;wRandomLetter()&amp;I1027&amp;":    UniConst = ChrW(" &amp; I1027 &amp;")"</f>
        <v>Case RV128105:    UniConst = ChrW(128105)</v>
      </c>
    </row>
    <row r="1028" spans="1:11" hidden="1">
      <c r="A1028" t="s">
        <v>2618</v>
      </c>
      <c r="B1028" t="str">
        <f t="shared" si="98"/>
        <v>1F469 1F3FB 200D 1F91D 200D 1F468 1F3FD ; fully-qualified # 👩🏻‍🤝‍👨🏽 E12.0 woman and man holding hands: light skin tone, medium skin tone</v>
      </c>
      <c r="C1028" t="str">
        <f t="shared" si="99"/>
        <v xml:space="preserve">1F469 1F3FB 200D 1F91D 200D 1F468 1F3FD </v>
      </c>
      <c r="D1028">
        <f t="shared" si="100"/>
        <v>40</v>
      </c>
      <c r="E1028" t="str">
        <f t="shared" si="96"/>
        <v xml:space="preserve"> 👩🏻‍🤝‍👨🏽 E12.0 woman and man holding hands: light skin tone, medium skin tone</v>
      </c>
      <c r="F1028" t="b">
        <f t="shared" si="101"/>
        <v>1</v>
      </c>
      <c r="G1028" t="str">
        <f t="shared" si="97"/>
        <v>1F469</v>
      </c>
      <c r="I1028">
        <f>HEX2DEC(Table1[[#This Row],[utf8]])</f>
        <v>128105</v>
      </c>
      <c r="J1028" t="str">
        <f>_xlfn.UNICHAR(HEX2DEC(Table1[[#This Row],[utf8]]))</f>
        <v>👩</v>
      </c>
      <c r="K1028" s="3" t="str" cm="1">
        <f t="array" ref="K1028">"Case "&amp;wRandomLetter()&amp;wRandomLetter()&amp;I1028&amp;":    UniConst = ChrW(" &amp; I1028 &amp;")"</f>
        <v>Case YW128105:    UniConst = ChrW(128105)</v>
      </c>
    </row>
    <row r="1029" spans="1:11" hidden="1">
      <c r="A1029" t="s">
        <v>2619</v>
      </c>
      <c r="B1029" t="str">
        <f t="shared" si="98"/>
        <v>1F469 1F3FB 200D 1F91D 200D 1F468 1F3FE ; fully-qualified # 👩🏻‍🤝‍👨🏾 E12.0 woman and man holding hands: light skin tone, medium-dark skin tone</v>
      </c>
      <c r="C1029" t="str">
        <f t="shared" si="99"/>
        <v xml:space="preserve">1F469 1F3FB 200D 1F91D 200D 1F468 1F3FE </v>
      </c>
      <c r="D1029">
        <f t="shared" si="100"/>
        <v>40</v>
      </c>
      <c r="E1029" t="str">
        <f t="shared" si="96"/>
        <v xml:space="preserve"> 👩🏻‍🤝‍👨🏾 E12.0 woman and man holding hands: light skin tone, medium-dark skin tone</v>
      </c>
      <c r="F1029" t="b">
        <f t="shared" si="101"/>
        <v>1</v>
      </c>
      <c r="G1029" t="str">
        <f t="shared" si="97"/>
        <v>1F469</v>
      </c>
      <c r="I1029">
        <f>HEX2DEC(Table1[[#This Row],[utf8]])</f>
        <v>128105</v>
      </c>
      <c r="J1029" t="str">
        <f>_xlfn.UNICHAR(HEX2DEC(Table1[[#This Row],[utf8]]))</f>
        <v>👩</v>
      </c>
      <c r="K1029" s="3" t="str" cm="1">
        <f t="array" ref="K1029">"Case "&amp;wRandomLetter()&amp;wRandomLetter()&amp;I1029&amp;":    UniConst = ChrW(" &amp; I1029 &amp;")"</f>
        <v>Case GD128105:    UniConst = ChrW(128105)</v>
      </c>
    </row>
    <row r="1030" spans="1:11" hidden="1">
      <c r="A1030" t="s">
        <v>2620</v>
      </c>
      <c r="B1030" t="str">
        <f t="shared" si="98"/>
        <v>1F469 1F3FB 200D 1F91D 200D 1F468 1F3FF ; fully-qualified # 👩🏻‍🤝‍👨🏿 E12.0 woman and man holding hands: light skin tone, dark skin tone</v>
      </c>
      <c r="C1030" t="str">
        <f t="shared" si="99"/>
        <v xml:space="preserve">1F469 1F3FB 200D 1F91D 200D 1F468 1F3FF </v>
      </c>
      <c r="D1030">
        <f t="shared" si="100"/>
        <v>40</v>
      </c>
      <c r="E1030" t="str">
        <f t="shared" si="96"/>
        <v xml:space="preserve"> 👩🏻‍🤝‍👨🏿 E12.0 woman and man holding hands: light skin tone, dark skin tone</v>
      </c>
      <c r="F1030" t="b">
        <f t="shared" si="101"/>
        <v>1</v>
      </c>
      <c r="G1030" t="str">
        <f t="shared" si="97"/>
        <v>1F469</v>
      </c>
      <c r="I1030">
        <f>HEX2DEC(Table1[[#This Row],[utf8]])</f>
        <v>128105</v>
      </c>
      <c r="J1030" t="str">
        <f>_xlfn.UNICHAR(HEX2DEC(Table1[[#This Row],[utf8]]))</f>
        <v>👩</v>
      </c>
      <c r="K1030" s="3" t="str" cm="1">
        <f t="array" ref="K1030">"Case "&amp;wRandomLetter()&amp;wRandomLetter()&amp;I1030&amp;":    UniConst = ChrW(" &amp; I1030 &amp;")"</f>
        <v>Case Bx128105:    UniConst = ChrW(128105)</v>
      </c>
    </row>
    <row r="1031" spans="1:11" hidden="1">
      <c r="A1031" t="s">
        <v>2591</v>
      </c>
      <c r="B1031" t="str">
        <f t="shared" si="98"/>
        <v>1F469 1F3FB 200D 1F91D 200D 1F469 1F3FC ; fully-qualified # 👩🏻‍🤝‍👩🏼 E12.1 women holding hands: light skin tone, medium-light skin tone</v>
      </c>
      <c r="C1031" t="str">
        <f t="shared" si="99"/>
        <v xml:space="preserve">1F469 1F3FB 200D 1F91D 200D 1F469 1F3FC </v>
      </c>
      <c r="D1031">
        <f t="shared" si="100"/>
        <v>40</v>
      </c>
      <c r="E1031" t="str">
        <f t="shared" si="96"/>
        <v xml:space="preserve"> 👩🏻‍🤝‍👩🏼 E12.1 women holding hands: light skin tone, medium-light skin tone</v>
      </c>
      <c r="F1031" t="b">
        <f t="shared" si="101"/>
        <v>1</v>
      </c>
      <c r="G1031" t="str">
        <f t="shared" si="97"/>
        <v>1F469</v>
      </c>
      <c r="I1031">
        <f>HEX2DEC(Table1[[#This Row],[utf8]])</f>
        <v>128105</v>
      </c>
      <c r="J1031" t="str">
        <f>_xlfn.UNICHAR(HEX2DEC(Table1[[#This Row],[utf8]]))</f>
        <v>👩</v>
      </c>
      <c r="K1031" s="3" t="str" cm="1">
        <f t="array" ref="K1031">"Case "&amp;wRandomLetter()&amp;wRandomLetter()&amp;I1031&amp;":    UniConst = ChrW(" &amp; I1031 &amp;")"</f>
        <v>Case bB128105:    UniConst = ChrW(128105)</v>
      </c>
    </row>
    <row r="1032" spans="1:11" hidden="1">
      <c r="A1032" t="s">
        <v>2592</v>
      </c>
      <c r="B1032" t="str">
        <f t="shared" si="98"/>
        <v>1F469 1F3FB 200D 1F91D 200D 1F469 1F3FD ; fully-qualified # 👩🏻‍🤝‍👩🏽 E12.1 women holding hands: light skin tone, medium skin tone</v>
      </c>
      <c r="C1032" t="str">
        <f t="shared" si="99"/>
        <v xml:space="preserve">1F469 1F3FB 200D 1F91D 200D 1F469 1F3FD </v>
      </c>
      <c r="D1032">
        <f t="shared" si="100"/>
        <v>40</v>
      </c>
      <c r="E1032" t="str">
        <f t="shared" si="96"/>
        <v xml:space="preserve"> 👩🏻‍🤝‍👩🏽 E12.1 women holding hands: light skin tone, medium skin tone</v>
      </c>
      <c r="F1032" t="b">
        <f t="shared" si="101"/>
        <v>1</v>
      </c>
      <c r="G1032" t="str">
        <f t="shared" si="97"/>
        <v>1F469</v>
      </c>
      <c r="I1032">
        <f>HEX2DEC(Table1[[#This Row],[utf8]])</f>
        <v>128105</v>
      </c>
      <c r="J1032" t="str">
        <f>_xlfn.UNICHAR(HEX2DEC(Table1[[#This Row],[utf8]]))</f>
        <v>👩</v>
      </c>
      <c r="K1032" s="3" t="str" cm="1">
        <f t="array" ref="K1032">"Case "&amp;wRandomLetter()&amp;wRandomLetter()&amp;I1032&amp;":    UniConst = ChrW(" &amp; I1032 &amp;")"</f>
        <v>Case xX128105:    UniConst = ChrW(128105)</v>
      </c>
    </row>
    <row r="1033" spans="1:11" hidden="1">
      <c r="A1033" t="s">
        <v>2593</v>
      </c>
      <c r="B1033" t="str">
        <f t="shared" si="98"/>
        <v>1F469 1F3FB 200D 1F91D 200D 1F469 1F3FE ; fully-qualified # 👩🏻‍🤝‍👩🏾 E12.1 women holding hands: light skin tone, medium-dark skin tone</v>
      </c>
      <c r="C1033" t="str">
        <f t="shared" si="99"/>
        <v xml:space="preserve">1F469 1F3FB 200D 1F91D 200D 1F469 1F3FE </v>
      </c>
      <c r="D1033">
        <f t="shared" si="100"/>
        <v>40</v>
      </c>
      <c r="E1033" t="str">
        <f t="shared" si="96"/>
        <v xml:space="preserve"> 👩🏻‍🤝‍👩🏾 E12.1 women holding hands: light skin tone, medium-dark skin tone</v>
      </c>
      <c r="F1033" t="b">
        <f t="shared" si="101"/>
        <v>1</v>
      </c>
      <c r="G1033" t="str">
        <f t="shared" si="97"/>
        <v>1F469</v>
      </c>
      <c r="I1033">
        <f>HEX2DEC(Table1[[#This Row],[utf8]])</f>
        <v>128105</v>
      </c>
      <c r="J1033" t="str">
        <f>_xlfn.UNICHAR(HEX2DEC(Table1[[#This Row],[utf8]]))</f>
        <v>👩</v>
      </c>
      <c r="K1033" s="3" t="str" cm="1">
        <f t="array" ref="K1033">"Case "&amp;wRandomLetter()&amp;wRandomLetter()&amp;I1033&amp;":    UniConst = ChrW(" &amp; I1033 &amp;")"</f>
        <v>Case zE128105:    UniConst = ChrW(128105)</v>
      </c>
    </row>
    <row r="1034" spans="1:11" hidden="1">
      <c r="A1034" t="s">
        <v>2594</v>
      </c>
      <c r="B1034" t="str">
        <f t="shared" si="98"/>
        <v>1F469 1F3FB 200D 1F91D 200D 1F469 1F3FF ; fully-qualified # 👩🏻‍🤝‍👩🏿 E12.1 women holding hands: light skin tone, dark skin tone</v>
      </c>
      <c r="C1034" t="str">
        <f t="shared" si="99"/>
        <v xml:space="preserve">1F469 1F3FB 200D 1F91D 200D 1F469 1F3FF </v>
      </c>
      <c r="D1034">
        <f t="shared" si="100"/>
        <v>40</v>
      </c>
      <c r="E1034" t="str">
        <f t="shared" si="96"/>
        <v xml:space="preserve"> 👩🏻‍🤝‍👩🏿 E12.1 women holding hands: light skin tone, dark skin tone</v>
      </c>
      <c r="F1034" t="b">
        <f t="shared" si="101"/>
        <v>1</v>
      </c>
      <c r="G1034" t="str">
        <f t="shared" si="97"/>
        <v>1F469</v>
      </c>
      <c r="I1034">
        <f>HEX2DEC(Table1[[#This Row],[utf8]])</f>
        <v>128105</v>
      </c>
      <c r="J1034" t="str">
        <f>_xlfn.UNICHAR(HEX2DEC(Table1[[#This Row],[utf8]]))</f>
        <v>👩</v>
      </c>
      <c r="K1034" s="3" t="str" cm="1">
        <f t="array" ref="K1034">"Case "&amp;wRandomLetter()&amp;wRandomLetter()&amp;I1034&amp;":    UniConst = ChrW(" &amp; I1034 &amp;")"</f>
        <v>Case PM128105:    UniConst = ChrW(128105)</v>
      </c>
    </row>
    <row r="1035" spans="1:11" hidden="1">
      <c r="A1035" t="s">
        <v>1968</v>
      </c>
      <c r="B1035" t="str">
        <f t="shared" si="98"/>
        <v>1F469 1F3FB 200D 1F9AF ; fully-qualified # 👩🏻‍🦯 E12.0 woman with white cane: light skin tone</v>
      </c>
      <c r="C1035" t="str">
        <f t="shared" si="99"/>
        <v xml:space="preserve">1F469 1F3FB 200D 1F9AF </v>
      </c>
      <c r="D1035">
        <f t="shared" si="100"/>
        <v>23</v>
      </c>
      <c r="E1035" t="str">
        <f t="shared" si="96"/>
        <v xml:space="preserve"> 👩🏻‍🦯 E12.0 woman with white cane: light skin tone</v>
      </c>
      <c r="F1035" t="b">
        <f t="shared" si="101"/>
        <v>1</v>
      </c>
      <c r="G1035" t="str">
        <f t="shared" si="97"/>
        <v>1F469</v>
      </c>
      <c r="I1035">
        <f>HEX2DEC(Table1[[#This Row],[utf8]])</f>
        <v>128105</v>
      </c>
      <c r="J1035" t="str">
        <f>_xlfn.UNICHAR(HEX2DEC(Table1[[#This Row],[utf8]]))</f>
        <v>👩</v>
      </c>
      <c r="K1035" s="3" t="str" cm="1">
        <f t="array" ref="K1035">"Case "&amp;wRandomLetter()&amp;wRandomLetter()&amp;I1035&amp;":    UniConst = ChrW(" &amp; I1035 &amp;")"</f>
        <v>Case ma128105:    UniConst = ChrW(128105)</v>
      </c>
    </row>
    <row r="1036" spans="1:11" hidden="1">
      <c r="A1036" t="s">
        <v>551</v>
      </c>
      <c r="B1036" t="str">
        <f t="shared" si="98"/>
        <v>1F469 1F3FB 200D 1F9B0 ; fully-qualified # 👩🏻‍🦰 E11.0 woman: light skin tone, red hair</v>
      </c>
      <c r="C1036" t="str">
        <f t="shared" si="99"/>
        <v xml:space="preserve">1F469 1F3FB 200D 1F9B0 </v>
      </c>
      <c r="D1036">
        <f t="shared" si="100"/>
        <v>23</v>
      </c>
      <c r="E1036" t="str">
        <f t="shared" si="96"/>
        <v xml:space="preserve"> 👩🏻‍🦰 E11.0 woman: light skin tone, red hair</v>
      </c>
      <c r="F1036" t="b">
        <f t="shared" si="101"/>
        <v>1</v>
      </c>
      <c r="G1036" t="str">
        <f t="shared" si="97"/>
        <v>1F469</v>
      </c>
      <c r="I1036">
        <f>HEX2DEC(Table1[[#This Row],[utf8]])</f>
        <v>128105</v>
      </c>
      <c r="J1036" t="str">
        <f>_xlfn.UNICHAR(HEX2DEC(Table1[[#This Row],[utf8]]))</f>
        <v>👩</v>
      </c>
      <c r="K1036" s="3" t="str" cm="1">
        <f t="array" ref="K1036">"Case "&amp;wRandomLetter()&amp;wRandomLetter()&amp;I1036&amp;":    UniConst = ChrW(" &amp; I1036 &amp;")"</f>
        <v>Case Gi128105:    UniConst = ChrW(128105)</v>
      </c>
    </row>
    <row r="1037" spans="1:11" hidden="1">
      <c r="A1037" t="s">
        <v>563</v>
      </c>
      <c r="B1037" t="str">
        <f t="shared" si="98"/>
        <v>1F469 1F3FB 200D 1F9B1 ; fully-qualified # 👩🏻‍🦱 E11.0 woman: light skin tone, curly hair</v>
      </c>
      <c r="C1037" t="str">
        <f t="shared" si="99"/>
        <v xml:space="preserve">1F469 1F3FB 200D 1F9B1 </v>
      </c>
      <c r="D1037">
        <f t="shared" si="100"/>
        <v>23</v>
      </c>
      <c r="E1037" t="str">
        <f t="shared" si="96"/>
        <v xml:space="preserve"> 👩🏻‍🦱 E11.0 woman: light skin tone, curly hair</v>
      </c>
      <c r="F1037" t="b">
        <f t="shared" si="101"/>
        <v>1</v>
      </c>
      <c r="G1037" t="str">
        <f t="shared" si="97"/>
        <v>1F469</v>
      </c>
      <c r="I1037">
        <f>HEX2DEC(Table1[[#This Row],[utf8]])</f>
        <v>128105</v>
      </c>
      <c r="J1037" t="str">
        <f>_xlfn.UNICHAR(HEX2DEC(Table1[[#This Row],[utf8]]))</f>
        <v>👩</v>
      </c>
      <c r="K1037" s="3" t="str" cm="1">
        <f t="array" ref="K1037">"Case "&amp;wRandomLetter()&amp;wRandomLetter()&amp;I1037&amp;":    UniConst = ChrW(" &amp; I1037 &amp;")"</f>
        <v>Case KZ128105:    UniConst = ChrW(128105)</v>
      </c>
    </row>
    <row r="1038" spans="1:11" hidden="1">
      <c r="A1038" t="s">
        <v>587</v>
      </c>
      <c r="B1038" t="str">
        <f t="shared" si="98"/>
        <v>1F469 1F3FB 200D 1F9B2 ; fully-qualified # 👩🏻‍🦲 E11.0 woman: light skin tone, bald</v>
      </c>
      <c r="C1038" t="str">
        <f t="shared" si="99"/>
        <v xml:space="preserve">1F469 1F3FB 200D 1F9B2 </v>
      </c>
      <c r="D1038">
        <f t="shared" si="100"/>
        <v>23</v>
      </c>
      <c r="E1038" t="str">
        <f t="shared" si="96"/>
        <v xml:space="preserve"> 👩🏻‍🦲 E11.0 woman: light skin tone, bald</v>
      </c>
      <c r="F1038" t="b">
        <f t="shared" si="101"/>
        <v>1</v>
      </c>
      <c r="G1038" t="str">
        <f t="shared" si="97"/>
        <v>1F469</v>
      </c>
      <c r="I1038">
        <f>HEX2DEC(Table1[[#This Row],[utf8]])</f>
        <v>128105</v>
      </c>
      <c r="J1038" t="str">
        <f>_xlfn.UNICHAR(HEX2DEC(Table1[[#This Row],[utf8]]))</f>
        <v>👩</v>
      </c>
      <c r="K1038" s="3" t="str" cm="1">
        <f t="array" ref="K1038">"Case "&amp;wRandomLetter()&amp;wRandomLetter()&amp;I1038&amp;":    UniConst = ChrW(" &amp; I1038 &amp;")"</f>
        <v>Case ar128105:    UniConst = ChrW(128105)</v>
      </c>
    </row>
    <row r="1039" spans="1:11" hidden="1">
      <c r="A1039" t="s">
        <v>575</v>
      </c>
      <c r="B1039" t="str">
        <f t="shared" si="98"/>
        <v>1F469 1F3FB 200D 1F9B3 ; fully-qualified # 👩🏻‍🦳 E11.0 woman: light skin tone, white hair</v>
      </c>
      <c r="C1039" t="str">
        <f t="shared" si="99"/>
        <v xml:space="preserve">1F469 1F3FB 200D 1F9B3 </v>
      </c>
      <c r="D1039">
        <f t="shared" si="100"/>
        <v>23</v>
      </c>
      <c r="E1039" t="str">
        <f t="shared" si="96"/>
        <v xml:space="preserve"> 👩🏻‍🦳 E11.0 woman: light skin tone, white hair</v>
      </c>
      <c r="F1039" t="b">
        <f t="shared" si="101"/>
        <v>1</v>
      </c>
      <c r="G1039" t="str">
        <f t="shared" si="97"/>
        <v>1F469</v>
      </c>
      <c r="I1039">
        <f>HEX2DEC(Table1[[#This Row],[utf8]])</f>
        <v>128105</v>
      </c>
      <c r="J1039" t="str">
        <f>_xlfn.UNICHAR(HEX2DEC(Table1[[#This Row],[utf8]]))</f>
        <v>👩</v>
      </c>
      <c r="K1039" s="3" t="str" cm="1">
        <f t="array" ref="K1039">"Case "&amp;wRandomLetter()&amp;wRandomLetter()&amp;I1039&amp;":    UniConst = ChrW(" &amp; I1039 &amp;")"</f>
        <v>Case qU128105:    UniConst = ChrW(128105)</v>
      </c>
    </row>
    <row r="1040" spans="1:11" hidden="1">
      <c r="A1040" t="s">
        <v>1986</v>
      </c>
      <c r="B1040" t="str">
        <f t="shared" si="98"/>
        <v>1F469 1F3FB 200D 1F9BC ; fully-qualified # 👩🏻‍🦼 E12.0 woman in motorized wheelchair: light skin tone</v>
      </c>
      <c r="C1040" t="str">
        <f t="shared" si="99"/>
        <v xml:space="preserve">1F469 1F3FB 200D 1F9BC </v>
      </c>
      <c r="D1040">
        <f t="shared" si="100"/>
        <v>23</v>
      </c>
      <c r="E1040" t="str">
        <f t="shared" si="96"/>
        <v xml:space="preserve"> 👩🏻‍🦼 E12.0 woman in motorized wheelchair: light skin tone</v>
      </c>
      <c r="F1040" t="b">
        <f t="shared" si="101"/>
        <v>1</v>
      </c>
      <c r="G1040" t="str">
        <f t="shared" si="97"/>
        <v>1F469</v>
      </c>
      <c r="I1040">
        <f>HEX2DEC(Table1[[#This Row],[utf8]])</f>
        <v>128105</v>
      </c>
      <c r="J1040" t="str">
        <f>_xlfn.UNICHAR(HEX2DEC(Table1[[#This Row],[utf8]]))</f>
        <v>👩</v>
      </c>
      <c r="K1040" s="3" t="str" cm="1">
        <f t="array" ref="K1040">"Case "&amp;wRandomLetter()&amp;wRandomLetter()&amp;I1040&amp;":    UniConst = ChrW(" &amp; I1040 &amp;")"</f>
        <v>Case er128105:    UniConst = ChrW(128105)</v>
      </c>
    </row>
    <row r="1041" spans="1:11" hidden="1">
      <c r="A1041" t="s">
        <v>2004</v>
      </c>
      <c r="B1041" t="str">
        <f t="shared" si="98"/>
        <v>1F469 1F3FB 200D 1F9BD ; fully-qualified # 👩🏻‍🦽 E12.0 woman in manual wheelchair: light skin tone</v>
      </c>
      <c r="C1041" t="str">
        <f t="shared" si="99"/>
        <v xml:space="preserve">1F469 1F3FB 200D 1F9BD </v>
      </c>
      <c r="D1041">
        <f t="shared" si="100"/>
        <v>23</v>
      </c>
      <c r="E1041" t="str">
        <f t="shared" si="96"/>
        <v xml:space="preserve"> 👩🏻‍🦽 E12.0 woman in manual wheelchair: light skin tone</v>
      </c>
      <c r="F1041" t="b">
        <f t="shared" si="101"/>
        <v>1</v>
      </c>
      <c r="G1041" t="str">
        <f t="shared" si="97"/>
        <v>1F469</v>
      </c>
      <c r="I1041">
        <f>HEX2DEC(Table1[[#This Row],[utf8]])</f>
        <v>128105</v>
      </c>
      <c r="J1041" t="str">
        <f>_xlfn.UNICHAR(HEX2DEC(Table1[[#This Row],[utf8]]))</f>
        <v>👩</v>
      </c>
      <c r="K1041" s="3" t="str" cm="1">
        <f t="array" ref="K1041">"Case "&amp;wRandomLetter()&amp;wRandomLetter()&amp;I1041&amp;":    UniConst = ChrW(" &amp; I1041 &amp;")"</f>
        <v>Case uq128105:    UniConst = ChrW(128105)</v>
      </c>
    </row>
    <row r="1042" spans="1:11" hidden="1">
      <c r="A1042" t="s">
        <v>969</v>
      </c>
      <c r="B1042" t="str">
        <f t="shared" si="98"/>
        <v>1F469 1F3FB 200D 2695 ; minimally-qualified # 👩🏻‍⚕ E4.0 woman health worker: light skin tone</v>
      </c>
      <c r="C1042" t="str">
        <f t="shared" si="99"/>
        <v xml:space="preserve">1F469 1F3FB 200D 2695 </v>
      </c>
      <c r="D1042">
        <f t="shared" si="100"/>
        <v>22</v>
      </c>
      <c r="E1042" t="str">
        <f t="shared" si="96"/>
        <v xml:space="preserve"> 👩🏻‍⚕ E4.0 woman health worker: light skin tone</v>
      </c>
      <c r="F1042" t="b">
        <f t="shared" si="101"/>
        <v>1</v>
      </c>
      <c r="G1042" t="str">
        <f t="shared" si="97"/>
        <v>1F469</v>
      </c>
      <c r="I1042">
        <f>HEX2DEC(Table1[[#This Row],[utf8]])</f>
        <v>128105</v>
      </c>
      <c r="J1042" t="str">
        <f>_xlfn.UNICHAR(HEX2DEC(Table1[[#This Row],[utf8]]))</f>
        <v>👩</v>
      </c>
      <c r="K1042" s="3" t="str" cm="1">
        <f t="array" ref="K1042">"Case "&amp;wRandomLetter()&amp;wRandomLetter()&amp;I1042&amp;":    UniConst = ChrW(" &amp; I1042 &amp;")"</f>
        <v>Case IF128105:    UniConst = ChrW(128105)</v>
      </c>
    </row>
    <row r="1043" spans="1:11" hidden="1">
      <c r="A1043" t="s">
        <v>968</v>
      </c>
      <c r="B1043" t="str">
        <f t="shared" si="98"/>
        <v>1F469 1F3FB 200D 2695 FE0F ; fully-qualified # 👩🏻‍⚕️ E4.0 woman health worker: light skin tone</v>
      </c>
      <c r="C1043" t="str">
        <f t="shared" si="99"/>
        <v xml:space="preserve">1F469 1F3FB 200D 2695 FE0F </v>
      </c>
      <c r="D1043">
        <f t="shared" si="100"/>
        <v>27</v>
      </c>
      <c r="E1043" t="str">
        <f t="shared" si="96"/>
        <v xml:space="preserve"> 👩🏻‍⚕️ E4.0 woman health worker: light skin tone</v>
      </c>
      <c r="F1043" t="b">
        <f t="shared" si="101"/>
        <v>1</v>
      </c>
      <c r="G1043" t="str">
        <f t="shared" si="97"/>
        <v>1F469</v>
      </c>
      <c r="I1043">
        <f>HEX2DEC(Table1[[#This Row],[utf8]])</f>
        <v>128105</v>
      </c>
      <c r="J1043" t="str">
        <f>_xlfn.UNICHAR(HEX2DEC(Table1[[#This Row],[utf8]]))</f>
        <v>👩</v>
      </c>
      <c r="K1043" s="3" t="str" cm="1">
        <f t="array" ref="K1043">"Case "&amp;wRandomLetter()&amp;wRandomLetter()&amp;I1043&amp;":    UniConst = ChrW(" &amp; I1043 &amp;")"</f>
        <v>Case OQ128105:    UniConst = ChrW(128105)</v>
      </c>
    </row>
    <row r="1044" spans="1:11" hidden="1">
      <c r="A1044" t="s">
        <v>1041</v>
      </c>
      <c r="B1044" t="str">
        <f t="shared" si="98"/>
        <v>1F469 1F3FB 200D 2696 ; minimally-qualified # 👩🏻‍⚖ E4.0 woman judge: light skin tone</v>
      </c>
      <c r="C1044" t="str">
        <f t="shared" si="99"/>
        <v xml:space="preserve">1F469 1F3FB 200D 2696 </v>
      </c>
      <c r="D1044">
        <f t="shared" si="100"/>
        <v>22</v>
      </c>
      <c r="E1044" t="str">
        <f t="shared" si="96"/>
        <v xml:space="preserve"> 👩🏻‍⚖ E4.0 woman judge: light skin tone</v>
      </c>
      <c r="F1044" t="b">
        <f t="shared" si="101"/>
        <v>1</v>
      </c>
      <c r="G1044" t="str">
        <f t="shared" si="97"/>
        <v>1F469</v>
      </c>
      <c r="I1044">
        <f>HEX2DEC(Table1[[#This Row],[utf8]])</f>
        <v>128105</v>
      </c>
      <c r="J1044" t="str">
        <f>_xlfn.UNICHAR(HEX2DEC(Table1[[#This Row],[utf8]]))</f>
        <v>👩</v>
      </c>
      <c r="K1044" s="3" t="str" cm="1">
        <f t="array" ref="K1044">"Case "&amp;wRandomLetter()&amp;wRandomLetter()&amp;I1044&amp;":    UniConst = ChrW(" &amp; I1044 &amp;")"</f>
        <v>Case yF128105:    UniConst = ChrW(128105)</v>
      </c>
    </row>
    <row r="1045" spans="1:11" hidden="1">
      <c r="A1045" t="s">
        <v>1040</v>
      </c>
      <c r="B1045" t="str">
        <f t="shared" si="98"/>
        <v>1F469 1F3FB 200D 2696 FE0F ; fully-qualified # 👩🏻‍⚖️ E4.0 woman judge: light skin tone</v>
      </c>
      <c r="C1045" t="str">
        <f t="shared" si="99"/>
        <v xml:space="preserve">1F469 1F3FB 200D 2696 FE0F </v>
      </c>
      <c r="D1045">
        <f t="shared" si="100"/>
        <v>27</v>
      </c>
      <c r="E1045" t="str">
        <f t="shared" si="96"/>
        <v xml:space="preserve"> 👩🏻‍⚖️ E4.0 woman judge: light skin tone</v>
      </c>
      <c r="F1045" t="b">
        <f t="shared" si="101"/>
        <v>1</v>
      </c>
      <c r="G1045" t="str">
        <f t="shared" si="97"/>
        <v>1F469</v>
      </c>
      <c r="I1045">
        <f>HEX2DEC(Table1[[#This Row],[utf8]])</f>
        <v>128105</v>
      </c>
      <c r="J1045" t="str">
        <f>_xlfn.UNICHAR(HEX2DEC(Table1[[#This Row],[utf8]]))</f>
        <v>👩</v>
      </c>
      <c r="K1045" s="3" t="str" cm="1">
        <f t="array" ref="K1045">"Case "&amp;wRandomLetter()&amp;wRandomLetter()&amp;I1045&amp;":    UniConst = ChrW(" &amp; I1045 &amp;")"</f>
        <v>Case vP128105:    UniConst = ChrW(128105)</v>
      </c>
    </row>
    <row r="1046" spans="1:11" hidden="1">
      <c r="A1046" t="s">
        <v>1239</v>
      </c>
      <c r="B1046" t="str">
        <f t="shared" si="98"/>
        <v>1F469 1F3FB 200D 2708 ; minimally-qualified # 👩🏻‍✈ E4.0 woman pilot: light skin tone</v>
      </c>
      <c r="C1046" t="str">
        <f t="shared" si="99"/>
        <v xml:space="preserve">1F469 1F3FB 200D 2708 </v>
      </c>
      <c r="D1046">
        <f t="shared" si="100"/>
        <v>22</v>
      </c>
      <c r="E1046" t="str">
        <f t="shared" si="96"/>
        <v xml:space="preserve"> 👩🏻‍✈ E4.0 woman pilot: light skin tone</v>
      </c>
      <c r="F1046" t="b">
        <f t="shared" si="101"/>
        <v>1</v>
      </c>
      <c r="G1046" t="str">
        <f t="shared" si="97"/>
        <v>1F469</v>
      </c>
      <c r="I1046">
        <f>HEX2DEC(Table1[[#This Row],[utf8]])</f>
        <v>128105</v>
      </c>
      <c r="J1046" t="str">
        <f>_xlfn.UNICHAR(HEX2DEC(Table1[[#This Row],[utf8]]))</f>
        <v>👩</v>
      </c>
      <c r="K1046" s="3" t="str" cm="1">
        <f t="array" ref="K1046">"Case "&amp;wRandomLetter()&amp;wRandomLetter()&amp;I1046&amp;":    UniConst = ChrW(" &amp; I1046 &amp;")"</f>
        <v>Case OR128105:    UniConst = ChrW(128105)</v>
      </c>
    </row>
    <row r="1047" spans="1:11" hidden="1">
      <c r="A1047" t="s">
        <v>1238</v>
      </c>
      <c r="B1047" t="str">
        <f t="shared" si="98"/>
        <v>1F469 1F3FB 200D 2708 FE0F ; fully-qualified # 👩🏻‍✈️ E4.0 woman pilot: light skin tone</v>
      </c>
      <c r="C1047" t="str">
        <f t="shared" si="99"/>
        <v xml:space="preserve">1F469 1F3FB 200D 2708 FE0F </v>
      </c>
      <c r="D1047">
        <f t="shared" si="100"/>
        <v>27</v>
      </c>
      <c r="E1047" t="str">
        <f t="shared" si="96"/>
        <v xml:space="preserve"> 👩🏻‍✈️ E4.0 woman pilot: light skin tone</v>
      </c>
      <c r="F1047" t="b">
        <f t="shared" si="101"/>
        <v>1</v>
      </c>
      <c r="G1047" t="str">
        <f t="shared" si="97"/>
        <v>1F469</v>
      </c>
      <c r="I1047">
        <f>HEX2DEC(Table1[[#This Row],[utf8]])</f>
        <v>128105</v>
      </c>
      <c r="J1047" t="str">
        <f>_xlfn.UNICHAR(HEX2DEC(Table1[[#This Row],[utf8]]))</f>
        <v>👩</v>
      </c>
      <c r="K1047" s="3" t="str" cm="1">
        <f t="array" ref="K1047">"Case "&amp;wRandomLetter()&amp;wRandomLetter()&amp;I1047&amp;":    UniConst = ChrW(" &amp; I1047 &amp;")"</f>
        <v>Case Bx128105:    UniConst = ChrW(128105)</v>
      </c>
    </row>
    <row r="1048" spans="1:11" hidden="1">
      <c r="A1048" t="s">
        <v>2918</v>
      </c>
      <c r="B1048" t="str">
        <f t="shared" si="98"/>
        <v>1F469 1F3FB 200D 2764 200D 1F468 1F3FB ; minimally-qualified # 👩🏻‍❤‍👨🏻 E13.1 couple with heart: woman, man, light skin tone</v>
      </c>
      <c r="C1048" t="str">
        <f t="shared" si="99"/>
        <v xml:space="preserve">1F469 1F3FB 200D 2764 200D 1F468 1F3FB </v>
      </c>
      <c r="D1048">
        <f t="shared" si="100"/>
        <v>39</v>
      </c>
      <c r="E1048" t="str">
        <f t="shared" si="96"/>
        <v xml:space="preserve"> 👩🏻‍❤‍👨🏻 E13.1 couple with heart: woman, man, light skin tone</v>
      </c>
      <c r="F1048" t="b">
        <f t="shared" si="101"/>
        <v>1</v>
      </c>
      <c r="G1048" t="str">
        <f t="shared" si="97"/>
        <v>1F469</v>
      </c>
      <c r="I1048">
        <f>HEX2DEC(Table1[[#This Row],[utf8]])</f>
        <v>128105</v>
      </c>
      <c r="J1048" t="str">
        <f>_xlfn.UNICHAR(HEX2DEC(Table1[[#This Row],[utf8]]))</f>
        <v>👩</v>
      </c>
      <c r="K1048" s="3" t="str" cm="1">
        <f t="array" ref="K1048">"Case "&amp;wRandomLetter()&amp;wRandomLetter()&amp;I1048&amp;":    UniConst = ChrW(" &amp; I1048 &amp;")"</f>
        <v>Case jX128105:    UniConst = ChrW(128105)</v>
      </c>
    </row>
    <row r="1049" spans="1:11" hidden="1">
      <c r="A1049" t="s">
        <v>2920</v>
      </c>
      <c r="B1049" t="str">
        <f t="shared" si="98"/>
        <v>1F469 1F3FB 200D 2764 200D 1F468 1F3FC ; minimally-qualified # 👩🏻‍❤‍👨🏼 E13.1 couple with heart: woman, man, light skin tone, medium-light skin tone</v>
      </c>
      <c r="C1049" t="str">
        <f t="shared" si="99"/>
        <v xml:space="preserve">1F469 1F3FB 200D 2764 200D 1F468 1F3FC </v>
      </c>
      <c r="D1049">
        <f t="shared" si="100"/>
        <v>39</v>
      </c>
      <c r="E1049" t="str">
        <f t="shared" si="96"/>
        <v xml:space="preserve"> 👩🏻‍❤‍👨🏼 E13.1 couple with heart: woman, man, light skin tone, medium-light skin tone</v>
      </c>
      <c r="F1049" t="b">
        <f t="shared" si="101"/>
        <v>1</v>
      </c>
      <c r="G1049" t="str">
        <f t="shared" si="97"/>
        <v>1F469</v>
      </c>
      <c r="I1049">
        <f>HEX2DEC(Table1[[#This Row],[utf8]])</f>
        <v>128105</v>
      </c>
      <c r="J1049" t="str">
        <f>_xlfn.UNICHAR(HEX2DEC(Table1[[#This Row],[utf8]]))</f>
        <v>👩</v>
      </c>
      <c r="K1049" s="3" t="str" cm="1">
        <f t="array" ref="K1049">"Case "&amp;wRandomLetter()&amp;wRandomLetter()&amp;I1049&amp;":    UniConst = ChrW(" &amp; I1049 &amp;")"</f>
        <v>Case fW128105:    UniConst = ChrW(128105)</v>
      </c>
    </row>
    <row r="1050" spans="1:11" hidden="1">
      <c r="A1050" t="s">
        <v>2922</v>
      </c>
      <c r="B1050" t="str">
        <f t="shared" si="98"/>
        <v>1F469 1F3FB 200D 2764 200D 1F468 1F3FD ; minimally-qualified # 👩🏻‍❤‍👨🏽 E13.1 couple with heart: woman, man, light skin tone, medium skin tone</v>
      </c>
      <c r="C1050" t="str">
        <f t="shared" si="99"/>
        <v xml:space="preserve">1F469 1F3FB 200D 2764 200D 1F468 1F3FD </v>
      </c>
      <c r="D1050">
        <f t="shared" si="100"/>
        <v>39</v>
      </c>
      <c r="E1050" t="str">
        <f t="shared" si="96"/>
        <v xml:space="preserve"> 👩🏻‍❤‍👨🏽 E13.1 couple with heart: woman, man, light skin tone, medium skin tone</v>
      </c>
      <c r="F1050" t="b">
        <f t="shared" si="101"/>
        <v>1</v>
      </c>
      <c r="G1050" t="str">
        <f t="shared" si="97"/>
        <v>1F469</v>
      </c>
      <c r="I1050">
        <f>HEX2DEC(Table1[[#This Row],[utf8]])</f>
        <v>128105</v>
      </c>
      <c r="J1050" t="str">
        <f>_xlfn.UNICHAR(HEX2DEC(Table1[[#This Row],[utf8]]))</f>
        <v>👩</v>
      </c>
      <c r="K1050" s="3" t="str" cm="1">
        <f t="array" ref="K1050">"Case "&amp;wRandomLetter()&amp;wRandomLetter()&amp;I1050&amp;":    UniConst = ChrW(" &amp; I1050 &amp;")"</f>
        <v>Case bp128105:    UniConst = ChrW(128105)</v>
      </c>
    </row>
    <row r="1051" spans="1:11" hidden="1">
      <c r="A1051" t="s">
        <v>2924</v>
      </c>
      <c r="B1051" t="str">
        <f t="shared" si="98"/>
        <v>1F469 1F3FB 200D 2764 200D 1F468 1F3FE ; minimally-qualified # 👩🏻‍❤‍👨🏾 E13.1 couple with heart: woman, man, light skin tone, medium-dark skin tone</v>
      </c>
      <c r="C1051" t="str">
        <f t="shared" si="99"/>
        <v xml:space="preserve">1F469 1F3FB 200D 2764 200D 1F468 1F3FE </v>
      </c>
      <c r="D1051">
        <f t="shared" si="100"/>
        <v>39</v>
      </c>
      <c r="E1051" t="str">
        <f t="shared" si="96"/>
        <v xml:space="preserve"> 👩🏻‍❤‍👨🏾 E13.1 couple with heart: woman, man, light skin tone, medium-dark skin tone</v>
      </c>
      <c r="F1051" t="b">
        <f t="shared" si="101"/>
        <v>1</v>
      </c>
      <c r="G1051" t="str">
        <f t="shared" si="97"/>
        <v>1F469</v>
      </c>
      <c r="I1051">
        <f>HEX2DEC(Table1[[#This Row],[utf8]])</f>
        <v>128105</v>
      </c>
      <c r="J1051" t="str">
        <f>_xlfn.UNICHAR(HEX2DEC(Table1[[#This Row],[utf8]]))</f>
        <v>👩</v>
      </c>
      <c r="K1051" s="3" t="str" cm="1">
        <f t="array" ref="K1051">"Case "&amp;wRandomLetter()&amp;wRandomLetter()&amp;I1051&amp;":    UniConst = ChrW(" &amp; I1051 &amp;")"</f>
        <v>Case zb128105:    UniConst = ChrW(128105)</v>
      </c>
    </row>
    <row r="1052" spans="1:11" hidden="1">
      <c r="A1052" t="s">
        <v>2926</v>
      </c>
      <c r="B1052" t="str">
        <f t="shared" si="98"/>
        <v>1F469 1F3FB 200D 2764 200D 1F468 1F3FF ; minimally-qualified # 👩🏻‍❤‍👨🏿 E13.1 couple with heart: woman, man, light skin tone, dark skin tone</v>
      </c>
      <c r="C1052" t="str">
        <f t="shared" si="99"/>
        <v xml:space="preserve">1F469 1F3FB 200D 2764 200D 1F468 1F3FF </v>
      </c>
      <c r="D1052">
        <f t="shared" si="100"/>
        <v>39</v>
      </c>
      <c r="E1052" t="str">
        <f t="shared" si="96"/>
        <v xml:space="preserve"> 👩🏻‍❤‍👨🏿 E13.1 couple with heart: woman, man, light skin tone, dark skin tone</v>
      </c>
      <c r="F1052" t="b">
        <f t="shared" si="101"/>
        <v>1</v>
      </c>
      <c r="G1052" t="str">
        <f t="shared" si="97"/>
        <v>1F469</v>
      </c>
      <c r="I1052">
        <f>HEX2DEC(Table1[[#This Row],[utf8]])</f>
        <v>128105</v>
      </c>
      <c r="J1052" t="str">
        <f>_xlfn.UNICHAR(HEX2DEC(Table1[[#This Row],[utf8]]))</f>
        <v>👩</v>
      </c>
      <c r="K1052" s="3" t="str" cm="1">
        <f t="array" ref="K1052">"Case "&amp;wRandomLetter()&amp;wRandomLetter()&amp;I1052&amp;":    UniConst = ChrW(" &amp; I1052 &amp;")"</f>
        <v>Case fe128105:    UniConst = ChrW(128105)</v>
      </c>
    </row>
    <row r="1053" spans="1:11" hidden="1">
      <c r="A1053" t="s">
        <v>3022</v>
      </c>
      <c r="B1053" t="str">
        <f t="shared" si="98"/>
        <v>1F469 1F3FB 200D 2764 200D 1F469 1F3FB ; minimally-qualified # 👩🏻‍❤‍👩🏻 E13.1 couple with heart: woman, woman, light skin tone</v>
      </c>
      <c r="C1053" t="str">
        <f t="shared" si="99"/>
        <v xml:space="preserve">1F469 1F3FB 200D 2764 200D 1F469 1F3FB </v>
      </c>
      <c r="D1053">
        <f t="shared" si="100"/>
        <v>39</v>
      </c>
      <c r="E1053" t="str">
        <f t="shared" si="96"/>
        <v xml:space="preserve"> 👩🏻‍❤‍👩🏻 E13.1 couple with heart: woman, woman, light skin tone</v>
      </c>
      <c r="F1053" t="b">
        <f t="shared" si="101"/>
        <v>1</v>
      </c>
      <c r="G1053" t="str">
        <f t="shared" si="97"/>
        <v>1F469</v>
      </c>
      <c r="I1053">
        <f>HEX2DEC(Table1[[#This Row],[utf8]])</f>
        <v>128105</v>
      </c>
      <c r="J1053" t="str">
        <f>_xlfn.UNICHAR(HEX2DEC(Table1[[#This Row],[utf8]]))</f>
        <v>👩</v>
      </c>
      <c r="K1053" s="3" t="str" cm="1">
        <f t="array" ref="K1053">"Case "&amp;wRandomLetter()&amp;wRandomLetter()&amp;I1053&amp;":    UniConst = ChrW(" &amp; I1053 &amp;")"</f>
        <v>Case mf128105:    UniConst = ChrW(128105)</v>
      </c>
    </row>
    <row r="1054" spans="1:11" hidden="1">
      <c r="A1054" t="s">
        <v>3024</v>
      </c>
      <c r="B1054" t="str">
        <f t="shared" si="98"/>
        <v>1F469 1F3FB 200D 2764 200D 1F469 1F3FC ; minimally-qualified # 👩🏻‍❤‍👩🏼 E13.1 couple with heart: woman, woman, light skin tone, medium-light skin tone</v>
      </c>
      <c r="C1054" t="str">
        <f t="shared" si="99"/>
        <v xml:space="preserve">1F469 1F3FB 200D 2764 200D 1F469 1F3FC </v>
      </c>
      <c r="D1054">
        <f t="shared" si="100"/>
        <v>39</v>
      </c>
      <c r="E1054" t="str">
        <f t="shared" si="96"/>
        <v xml:space="preserve"> 👩🏻‍❤‍👩🏼 E13.1 couple with heart: woman, woman, light skin tone, medium-light skin tone</v>
      </c>
      <c r="F1054" t="b">
        <f t="shared" si="101"/>
        <v>1</v>
      </c>
      <c r="G1054" t="str">
        <f t="shared" si="97"/>
        <v>1F469</v>
      </c>
      <c r="I1054">
        <f>HEX2DEC(Table1[[#This Row],[utf8]])</f>
        <v>128105</v>
      </c>
      <c r="J1054" t="str">
        <f>_xlfn.UNICHAR(HEX2DEC(Table1[[#This Row],[utf8]]))</f>
        <v>👩</v>
      </c>
      <c r="K1054" s="3" t="str" cm="1">
        <f t="array" ref="K1054">"Case "&amp;wRandomLetter()&amp;wRandomLetter()&amp;I1054&amp;":    UniConst = ChrW(" &amp; I1054 &amp;")"</f>
        <v>Case KM128105:    UniConst = ChrW(128105)</v>
      </c>
    </row>
    <row r="1055" spans="1:11" hidden="1">
      <c r="A1055" t="s">
        <v>3026</v>
      </c>
      <c r="B1055" t="str">
        <f t="shared" si="98"/>
        <v>1F469 1F3FB 200D 2764 200D 1F469 1F3FD ; minimally-qualified # 👩🏻‍❤‍👩🏽 E13.1 couple with heart: woman, woman, light skin tone, medium skin tone</v>
      </c>
      <c r="C1055" t="str">
        <f t="shared" si="99"/>
        <v xml:space="preserve">1F469 1F3FB 200D 2764 200D 1F469 1F3FD </v>
      </c>
      <c r="D1055">
        <f t="shared" si="100"/>
        <v>39</v>
      </c>
      <c r="E1055" t="str">
        <f t="shared" si="96"/>
        <v xml:space="preserve"> 👩🏻‍❤‍👩🏽 E13.1 couple with heart: woman, woman, light skin tone, medium skin tone</v>
      </c>
      <c r="F1055" t="b">
        <f t="shared" si="101"/>
        <v>1</v>
      </c>
      <c r="G1055" t="str">
        <f t="shared" si="97"/>
        <v>1F469</v>
      </c>
      <c r="I1055">
        <f>HEX2DEC(Table1[[#This Row],[utf8]])</f>
        <v>128105</v>
      </c>
      <c r="J1055" t="str">
        <f>_xlfn.UNICHAR(HEX2DEC(Table1[[#This Row],[utf8]]))</f>
        <v>👩</v>
      </c>
      <c r="K1055" s="3" t="str" cm="1">
        <f t="array" ref="K1055">"Case "&amp;wRandomLetter()&amp;wRandomLetter()&amp;I1055&amp;":    UniConst = ChrW(" &amp; I1055 &amp;")"</f>
        <v>Case kp128105:    UniConst = ChrW(128105)</v>
      </c>
    </row>
    <row r="1056" spans="1:11" hidden="1">
      <c r="A1056" t="s">
        <v>3028</v>
      </c>
      <c r="B1056" t="str">
        <f t="shared" si="98"/>
        <v>1F469 1F3FB 200D 2764 200D 1F469 1F3FE ; minimally-qualified # 👩🏻‍❤‍👩🏾 E13.1 couple with heart: woman, woman, light skin tone, medium-dark skin tone</v>
      </c>
      <c r="C1056" t="str">
        <f t="shared" si="99"/>
        <v xml:space="preserve">1F469 1F3FB 200D 2764 200D 1F469 1F3FE </v>
      </c>
      <c r="D1056">
        <f t="shared" si="100"/>
        <v>39</v>
      </c>
      <c r="E1056" t="str">
        <f t="shared" si="96"/>
        <v xml:space="preserve"> 👩🏻‍❤‍👩🏾 E13.1 couple with heart: woman, woman, light skin tone, medium-dark skin tone</v>
      </c>
      <c r="F1056" t="b">
        <f t="shared" si="101"/>
        <v>1</v>
      </c>
      <c r="G1056" t="str">
        <f t="shared" si="97"/>
        <v>1F469</v>
      </c>
      <c r="I1056">
        <f>HEX2DEC(Table1[[#This Row],[utf8]])</f>
        <v>128105</v>
      </c>
      <c r="J1056" t="str">
        <f>_xlfn.UNICHAR(HEX2DEC(Table1[[#This Row],[utf8]]))</f>
        <v>👩</v>
      </c>
      <c r="K1056" s="3" t="str" cm="1">
        <f t="array" ref="K1056">"Case "&amp;wRandomLetter()&amp;wRandomLetter()&amp;I1056&amp;":    UniConst = ChrW(" &amp; I1056 &amp;")"</f>
        <v>Case bq128105:    UniConst = ChrW(128105)</v>
      </c>
    </row>
    <row r="1057" spans="1:11" hidden="1">
      <c r="A1057" t="s">
        <v>3030</v>
      </c>
      <c r="B1057" t="str">
        <f t="shared" si="98"/>
        <v>1F469 1F3FB 200D 2764 200D 1F469 1F3FF ; minimally-qualified # 👩🏻‍❤‍👩🏿 E13.1 couple with heart: woman, woman, light skin tone, dark skin tone</v>
      </c>
      <c r="C1057" t="str">
        <f t="shared" si="99"/>
        <v xml:space="preserve">1F469 1F3FB 200D 2764 200D 1F469 1F3FF </v>
      </c>
      <c r="D1057">
        <f t="shared" si="100"/>
        <v>39</v>
      </c>
      <c r="E1057" t="str">
        <f t="shared" si="96"/>
        <v xml:space="preserve"> 👩🏻‍❤‍👩🏿 E13.1 couple with heart: woman, woman, light skin tone, dark skin tone</v>
      </c>
      <c r="F1057" t="b">
        <f t="shared" si="101"/>
        <v>1</v>
      </c>
      <c r="G1057" t="str">
        <f t="shared" si="97"/>
        <v>1F469</v>
      </c>
      <c r="I1057">
        <f>HEX2DEC(Table1[[#This Row],[utf8]])</f>
        <v>128105</v>
      </c>
      <c r="J1057" t="str">
        <f>_xlfn.UNICHAR(HEX2DEC(Table1[[#This Row],[utf8]]))</f>
        <v>👩</v>
      </c>
      <c r="K1057" s="3" t="str" cm="1">
        <f t="array" ref="K1057">"Case "&amp;wRandomLetter()&amp;wRandomLetter()&amp;I1057&amp;":    UniConst = ChrW(" &amp; I1057 &amp;")"</f>
        <v>Case Tm128105:    UniConst = ChrW(128105)</v>
      </c>
    </row>
    <row r="1058" spans="1:11" hidden="1">
      <c r="A1058" t="s">
        <v>2716</v>
      </c>
      <c r="B1058" t="str">
        <f t="shared" si="98"/>
        <v>1F469 1F3FB 200D 2764 200D 1F48B 200D 1F468 1F3FB ; minimally-qualified # 👩🏻‍❤‍💋‍👨🏻 E13.1 kiss: woman, man, light skin tone</v>
      </c>
      <c r="C1058" t="str">
        <f t="shared" si="99"/>
        <v xml:space="preserve">1F469 1F3FB 200D 2764 200D 1F48B 200D 1F468 1F3FB </v>
      </c>
      <c r="D1058">
        <f t="shared" si="100"/>
        <v>50</v>
      </c>
      <c r="E1058" t="str">
        <f t="shared" si="96"/>
        <v xml:space="preserve"> 👩🏻‍❤‍💋‍👨🏻 E13.1 kiss: woman, man, light skin tone</v>
      </c>
      <c r="F1058" t="b">
        <f t="shared" si="101"/>
        <v>1</v>
      </c>
      <c r="G1058" t="str">
        <f t="shared" si="97"/>
        <v>1F469</v>
      </c>
      <c r="I1058">
        <f>HEX2DEC(Table1[[#This Row],[utf8]])</f>
        <v>128105</v>
      </c>
      <c r="J1058" t="str">
        <f>_xlfn.UNICHAR(HEX2DEC(Table1[[#This Row],[utf8]]))</f>
        <v>👩</v>
      </c>
      <c r="K1058" s="3" t="str" cm="1">
        <f t="array" ref="K1058">"Case "&amp;wRandomLetter()&amp;wRandomLetter()&amp;I1058&amp;":    UniConst = ChrW(" &amp; I1058 &amp;")"</f>
        <v>Case Xp128105:    UniConst = ChrW(128105)</v>
      </c>
    </row>
    <row r="1059" spans="1:11" hidden="1">
      <c r="A1059" t="s">
        <v>2718</v>
      </c>
      <c r="B1059" t="str">
        <f t="shared" si="98"/>
        <v>1F469 1F3FB 200D 2764 200D 1F48B 200D 1F468 1F3FC ; minimally-qualified # 👩🏻‍❤‍💋‍👨🏼 E13.1 kiss: woman, man, light skin tone, medium-light skin tone</v>
      </c>
      <c r="C1059" t="str">
        <f t="shared" si="99"/>
        <v xml:space="preserve">1F469 1F3FB 200D 2764 200D 1F48B 200D 1F468 1F3FC </v>
      </c>
      <c r="D1059">
        <f t="shared" si="100"/>
        <v>50</v>
      </c>
      <c r="E1059" t="str">
        <f t="shared" si="96"/>
        <v xml:space="preserve"> 👩🏻‍❤‍💋‍👨🏼 E13.1 kiss: woman, man, light skin tone, medium-light skin tone</v>
      </c>
      <c r="F1059" t="b">
        <f t="shared" si="101"/>
        <v>1</v>
      </c>
      <c r="G1059" t="str">
        <f t="shared" si="97"/>
        <v>1F469</v>
      </c>
      <c r="I1059">
        <f>HEX2DEC(Table1[[#This Row],[utf8]])</f>
        <v>128105</v>
      </c>
      <c r="J1059" t="str">
        <f>_xlfn.UNICHAR(HEX2DEC(Table1[[#This Row],[utf8]]))</f>
        <v>👩</v>
      </c>
      <c r="K1059" s="3" t="str" cm="1">
        <f t="array" ref="K1059">"Case "&amp;wRandomLetter()&amp;wRandomLetter()&amp;I1059&amp;":    UniConst = ChrW(" &amp; I1059 &amp;")"</f>
        <v>Case fb128105:    UniConst = ChrW(128105)</v>
      </c>
    </row>
    <row r="1060" spans="1:11" hidden="1">
      <c r="A1060" t="s">
        <v>2720</v>
      </c>
      <c r="B1060" t="str">
        <f t="shared" si="98"/>
        <v>1F469 1F3FB 200D 2764 200D 1F48B 200D 1F468 1F3FD ; minimally-qualified # 👩🏻‍❤‍💋‍👨🏽 E13.1 kiss: woman, man, light skin tone, medium skin tone</v>
      </c>
      <c r="C1060" t="str">
        <f t="shared" si="99"/>
        <v xml:space="preserve">1F469 1F3FB 200D 2764 200D 1F48B 200D 1F468 1F3FD </v>
      </c>
      <c r="D1060">
        <f t="shared" si="100"/>
        <v>50</v>
      </c>
      <c r="E1060" t="str">
        <f t="shared" si="96"/>
        <v xml:space="preserve"> 👩🏻‍❤‍💋‍👨🏽 E13.1 kiss: woman, man, light skin tone, medium skin tone</v>
      </c>
      <c r="F1060" t="b">
        <f t="shared" si="101"/>
        <v>1</v>
      </c>
      <c r="G1060" t="str">
        <f t="shared" si="97"/>
        <v>1F469</v>
      </c>
      <c r="I1060">
        <f>HEX2DEC(Table1[[#This Row],[utf8]])</f>
        <v>128105</v>
      </c>
      <c r="J1060" t="str">
        <f>_xlfn.UNICHAR(HEX2DEC(Table1[[#This Row],[utf8]]))</f>
        <v>👩</v>
      </c>
      <c r="K1060" s="3" t="str" cm="1">
        <f t="array" ref="K1060">"Case "&amp;wRandomLetter()&amp;wRandomLetter()&amp;I1060&amp;":    UniConst = ChrW(" &amp; I1060 &amp;")"</f>
        <v>Case Cd128105:    UniConst = ChrW(128105)</v>
      </c>
    </row>
    <row r="1061" spans="1:11" hidden="1">
      <c r="A1061" t="s">
        <v>2722</v>
      </c>
      <c r="B1061" t="str">
        <f t="shared" si="98"/>
        <v>1F469 1F3FB 200D 2764 200D 1F48B 200D 1F468 1F3FE ; minimally-qualified # 👩🏻‍❤‍💋‍👨🏾 E13.1 kiss: woman, man, light skin tone, medium-dark skin tone</v>
      </c>
      <c r="C1061" t="str">
        <f t="shared" si="99"/>
        <v xml:space="preserve">1F469 1F3FB 200D 2764 200D 1F48B 200D 1F468 1F3FE </v>
      </c>
      <c r="D1061">
        <f t="shared" si="100"/>
        <v>50</v>
      </c>
      <c r="E1061" t="str">
        <f t="shared" si="96"/>
        <v xml:space="preserve"> 👩🏻‍❤‍💋‍👨🏾 E13.1 kiss: woman, man, light skin tone, medium-dark skin tone</v>
      </c>
      <c r="F1061" t="b">
        <f t="shared" si="101"/>
        <v>1</v>
      </c>
      <c r="G1061" t="str">
        <f t="shared" si="97"/>
        <v>1F469</v>
      </c>
      <c r="I1061">
        <f>HEX2DEC(Table1[[#This Row],[utf8]])</f>
        <v>128105</v>
      </c>
      <c r="J1061" t="str">
        <f>_xlfn.UNICHAR(HEX2DEC(Table1[[#This Row],[utf8]]))</f>
        <v>👩</v>
      </c>
      <c r="K1061" s="3" t="str" cm="1">
        <f t="array" ref="K1061">"Case "&amp;wRandomLetter()&amp;wRandomLetter()&amp;I1061&amp;":    UniConst = ChrW(" &amp; I1061 &amp;")"</f>
        <v>Case Mk128105:    UniConst = ChrW(128105)</v>
      </c>
    </row>
    <row r="1062" spans="1:11" hidden="1">
      <c r="A1062" t="s">
        <v>2724</v>
      </c>
      <c r="B1062" t="str">
        <f t="shared" si="98"/>
        <v>1F469 1F3FB 200D 2764 200D 1F48B 200D 1F468 1F3FF ; minimally-qualified # 👩🏻‍❤‍💋‍👨🏿 E13.1 kiss: woman, man, light skin tone, dark skin tone</v>
      </c>
      <c r="C1062" t="str">
        <f t="shared" si="99"/>
        <v xml:space="preserve">1F469 1F3FB 200D 2764 200D 1F48B 200D 1F468 1F3FF </v>
      </c>
      <c r="D1062">
        <f t="shared" si="100"/>
        <v>50</v>
      </c>
      <c r="E1062" t="str">
        <f t="shared" si="96"/>
        <v xml:space="preserve"> 👩🏻‍❤‍💋‍👨🏿 E13.1 kiss: woman, man, light skin tone, dark skin tone</v>
      </c>
      <c r="F1062" t="b">
        <f t="shared" si="101"/>
        <v>1</v>
      </c>
      <c r="G1062" t="str">
        <f t="shared" si="97"/>
        <v>1F469</v>
      </c>
      <c r="I1062">
        <f>HEX2DEC(Table1[[#This Row],[utf8]])</f>
        <v>128105</v>
      </c>
      <c r="J1062" t="str">
        <f>_xlfn.UNICHAR(HEX2DEC(Table1[[#This Row],[utf8]]))</f>
        <v>👩</v>
      </c>
      <c r="K1062" s="3" t="str" cm="1">
        <f t="array" ref="K1062">"Case "&amp;wRandomLetter()&amp;wRandomLetter()&amp;I1062&amp;":    UniConst = ChrW(" &amp; I1062 &amp;")"</f>
        <v>Case mk128105:    UniConst = ChrW(128105)</v>
      </c>
    </row>
    <row r="1063" spans="1:11" hidden="1">
      <c r="A1063" t="s">
        <v>2820</v>
      </c>
      <c r="B1063" t="str">
        <f t="shared" si="98"/>
        <v>1F469 1F3FB 200D 2764 200D 1F48B 200D 1F469 1F3FB ; minimally-qualified # 👩🏻‍❤‍💋‍👩🏻 E13.1 kiss: woman, woman, light skin tone</v>
      </c>
      <c r="C1063" t="str">
        <f t="shared" si="99"/>
        <v xml:space="preserve">1F469 1F3FB 200D 2764 200D 1F48B 200D 1F469 1F3FB </v>
      </c>
      <c r="D1063">
        <f t="shared" si="100"/>
        <v>50</v>
      </c>
      <c r="E1063" t="str">
        <f t="shared" si="96"/>
        <v xml:space="preserve"> 👩🏻‍❤‍💋‍👩🏻 E13.1 kiss: woman, woman, light skin tone</v>
      </c>
      <c r="F1063" t="b">
        <f t="shared" si="101"/>
        <v>1</v>
      </c>
      <c r="G1063" t="str">
        <f t="shared" si="97"/>
        <v>1F469</v>
      </c>
      <c r="I1063">
        <f>HEX2DEC(Table1[[#This Row],[utf8]])</f>
        <v>128105</v>
      </c>
      <c r="J1063" t="str">
        <f>_xlfn.UNICHAR(HEX2DEC(Table1[[#This Row],[utf8]]))</f>
        <v>👩</v>
      </c>
      <c r="K1063" s="3" t="str" cm="1">
        <f t="array" ref="K1063">"Case "&amp;wRandomLetter()&amp;wRandomLetter()&amp;I1063&amp;":    UniConst = ChrW(" &amp; I1063 &amp;")"</f>
        <v>Case MJ128105:    UniConst = ChrW(128105)</v>
      </c>
    </row>
    <row r="1064" spans="1:11" hidden="1">
      <c r="A1064" t="s">
        <v>2822</v>
      </c>
      <c r="B1064" t="str">
        <f t="shared" si="98"/>
        <v>1F469 1F3FB 200D 2764 200D 1F48B 200D 1F469 1F3FC ; minimally-qualified # 👩🏻‍❤‍💋‍👩🏼 E13.1 kiss: woman, woman, light skin tone, medium-light skin tone</v>
      </c>
      <c r="C1064" t="str">
        <f t="shared" si="99"/>
        <v xml:space="preserve">1F469 1F3FB 200D 2764 200D 1F48B 200D 1F469 1F3FC </v>
      </c>
      <c r="D1064">
        <f t="shared" si="100"/>
        <v>50</v>
      </c>
      <c r="E1064" t="str">
        <f t="shared" si="96"/>
        <v xml:space="preserve"> 👩🏻‍❤‍💋‍👩🏼 E13.1 kiss: woman, woman, light skin tone, medium-light skin tone</v>
      </c>
      <c r="F1064" t="b">
        <f t="shared" si="101"/>
        <v>1</v>
      </c>
      <c r="G1064" t="str">
        <f t="shared" si="97"/>
        <v>1F469</v>
      </c>
      <c r="I1064">
        <f>HEX2DEC(Table1[[#This Row],[utf8]])</f>
        <v>128105</v>
      </c>
      <c r="J1064" t="str">
        <f>_xlfn.UNICHAR(HEX2DEC(Table1[[#This Row],[utf8]]))</f>
        <v>👩</v>
      </c>
      <c r="K1064" s="3" t="str" cm="1">
        <f t="array" ref="K1064">"Case "&amp;wRandomLetter()&amp;wRandomLetter()&amp;I1064&amp;":    UniConst = ChrW(" &amp; I1064 &amp;")"</f>
        <v>Case WG128105:    UniConst = ChrW(128105)</v>
      </c>
    </row>
    <row r="1065" spans="1:11" hidden="1">
      <c r="A1065" t="s">
        <v>2824</v>
      </c>
      <c r="B1065" t="str">
        <f t="shared" si="98"/>
        <v>1F469 1F3FB 200D 2764 200D 1F48B 200D 1F469 1F3FD ; minimally-qualified # 👩🏻‍❤‍💋‍👩🏽 E13.1 kiss: woman, woman, light skin tone, medium skin tone</v>
      </c>
      <c r="C1065" t="str">
        <f t="shared" si="99"/>
        <v xml:space="preserve">1F469 1F3FB 200D 2764 200D 1F48B 200D 1F469 1F3FD </v>
      </c>
      <c r="D1065">
        <f t="shared" si="100"/>
        <v>50</v>
      </c>
      <c r="E1065" t="str">
        <f t="shared" si="96"/>
        <v xml:space="preserve"> 👩🏻‍❤‍💋‍👩🏽 E13.1 kiss: woman, woman, light skin tone, medium skin tone</v>
      </c>
      <c r="F1065" t="b">
        <f t="shared" si="101"/>
        <v>1</v>
      </c>
      <c r="G1065" t="str">
        <f t="shared" si="97"/>
        <v>1F469</v>
      </c>
      <c r="I1065">
        <f>HEX2DEC(Table1[[#This Row],[utf8]])</f>
        <v>128105</v>
      </c>
      <c r="J1065" t="str">
        <f>_xlfn.UNICHAR(HEX2DEC(Table1[[#This Row],[utf8]]))</f>
        <v>👩</v>
      </c>
      <c r="K1065" s="3" t="str" cm="1">
        <f t="array" ref="K1065">"Case "&amp;wRandomLetter()&amp;wRandomLetter()&amp;I1065&amp;":    UniConst = ChrW(" &amp; I1065 &amp;")"</f>
        <v>Case rK128105:    UniConst = ChrW(128105)</v>
      </c>
    </row>
    <row r="1066" spans="1:11" hidden="1">
      <c r="A1066" t="s">
        <v>2826</v>
      </c>
      <c r="B1066" t="str">
        <f t="shared" si="98"/>
        <v>1F469 1F3FB 200D 2764 200D 1F48B 200D 1F469 1F3FE ; minimally-qualified # 👩🏻‍❤‍💋‍👩🏾 E13.1 kiss: woman, woman, light skin tone, medium-dark skin tone</v>
      </c>
      <c r="C1066" t="str">
        <f t="shared" si="99"/>
        <v xml:space="preserve">1F469 1F3FB 200D 2764 200D 1F48B 200D 1F469 1F3FE </v>
      </c>
      <c r="D1066">
        <f t="shared" si="100"/>
        <v>50</v>
      </c>
      <c r="E1066" t="str">
        <f t="shared" si="96"/>
        <v xml:space="preserve"> 👩🏻‍❤‍💋‍👩🏾 E13.1 kiss: woman, woman, light skin tone, medium-dark skin tone</v>
      </c>
      <c r="F1066" t="b">
        <f t="shared" si="101"/>
        <v>1</v>
      </c>
      <c r="G1066" t="str">
        <f t="shared" si="97"/>
        <v>1F469</v>
      </c>
      <c r="I1066">
        <f>HEX2DEC(Table1[[#This Row],[utf8]])</f>
        <v>128105</v>
      </c>
      <c r="J1066" t="str">
        <f>_xlfn.UNICHAR(HEX2DEC(Table1[[#This Row],[utf8]]))</f>
        <v>👩</v>
      </c>
      <c r="K1066" s="3" t="str" cm="1">
        <f t="array" ref="K1066">"Case "&amp;wRandomLetter()&amp;wRandomLetter()&amp;I1066&amp;":    UniConst = ChrW(" &amp; I1066 &amp;")"</f>
        <v>Case Vx128105:    UniConst = ChrW(128105)</v>
      </c>
    </row>
    <row r="1067" spans="1:11" hidden="1">
      <c r="A1067" t="s">
        <v>2828</v>
      </c>
      <c r="B1067" t="str">
        <f t="shared" si="98"/>
        <v>1F469 1F3FB 200D 2764 200D 1F48B 200D 1F469 1F3FF ; minimally-qualified # 👩🏻‍❤‍💋‍👩🏿 E13.1 kiss: woman, woman, light skin tone, dark skin tone</v>
      </c>
      <c r="C1067" t="str">
        <f t="shared" si="99"/>
        <v xml:space="preserve">1F469 1F3FB 200D 2764 200D 1F48B 200D 1F469 1F3FF </v>
      </c>
      <c r="D1067">
        <f t="shared" si="100"/>
        <v>50</v>
      </c>
      <c r="E1067" t="str">
        <f t="shared" si="96"/>
        <v xml:space="preserve"> 👩🏻‍❤‍💋‍👩🏿 E13.1 kiss: woman, woman, light skin tone, dark skin tone</v>
      </c>
      <c r="F1067" t="b">
        <f t="shared" si="101"/>
        <v>1</v>
      </c>
      <c r="G1067" t="str">
        <f t="shared" si="97"/>
        <v>1F469</v>
      </c>
      <c r="I1067">
        <f>HEX2DEC(Table1[[#This Row],[utf8]])</f>
        <v>128105</v>
      </c>
      <c r="J1067" t="str">
        <f>_xlfn.UNICHAR(HEX2DEC(Table1[[#This Row],[utf8]]))</f>
        <v>👩</v>
      </c>
      <c r="K1067" s="3" t="str" cm="1">
        <f t="array" ref="K1067">"Case "&amp;wRandomLetter()&amp;wRandomLetter()&amp;I1067&amp;":    UniConst = ChrW(" &amp; I1067 &amp;")"</f>
        <v>Case ed128105:    UniConst = ChrW(128105)</v>
      </c>
    </row>
    <row r="1068" spans="1:11" hidden="1">
      <c r="A1068" t="s">
        <v>2917</v>
      </c>
      <c r="B1068" t="str">
        <f t="shared" si="98"/>
        <v>1F469 1F3FB 200D 2764 FE0F 200D 1F468 1F3FB ; fully-qualified # 👩🏻‍❤️‍👨🏻 E13.1 couple with heart: woman, man, light skin tone</v>
      </c>
      <c r="C1068" t="str">
        <f t="shared" si="99"/>
        <v xml:space="preserve">1F469 1F3FB 200D 2764 FE0F 200D 1F468 1F3FB </v>
      </c>
      <c r="D1068">
        <f t="shared" si="100"/>
        <v>44</v>
      </c>
      <c r="E1068" t="str">
        <f t="shared" si="96"/>
        <v xml:space="preserve"> 👩🏻‍❤️‍👨🏻 E13.1 couple with heart: woman, man, light skin tone</v>
      </c>
      <c r="F1068" t="b">
        <f t="shared" si="101"/>
        <v>1</v>
      </c>
      <c r="G1068" t="str">
        <f t="shared" si="97"/>
        <v>1F469</v>
      </c>
      <c r="I1068">
        <f>HEX2DEC(Table1[[#This Row],[utf8]])</f>
        <v>128105</v>
      </c>
      <c r="J1068" t="str">
        <f>_xlfn.UNICHAR(HEX2DEC(Table1[[#This Row],[utf8]]))</f>
        <v>👩</v>
      </c>
      <c r="K1068" s="3" t="str" cm="1">
        <f t="array" ref="K1068">"Case "&amp;wRandomLetter()&amp;wRandomLetter()&amp;I1068&amp;":    UniConst = ChrW(" &amp; I1068 &amp;")"</f>
        <v>Case KA128105:    UniConst = ChrW(128105)</v>
      </c>
    </row>
    <row r="1069" spans="1:11" hidden="1">
      <c r="A1069" t="s">
        <v>2919</v>
      </c>
      <c r="B1069" t="str">
        <f t="shared" si="98"/>
        <v>1F469 1F3FB 200D 2764 FE0F 200D 1F468 1F3FC ; fully-qualified # 👩🏻‍❤️‍👨🏼 E13.1 couple with heart: woman, man, light skin tone, medium-light skin tone</v>
      </c>
      <c r="C1069" t="str">
        <f t="shared" si="99"/>
        <v xml:space="preserve">1F469 1F3FB 200D 2764 FE0F 200D 1F468 1F3FC </v>
      </c>
      <c r="D1069">
        <f t="shared" si="100"/>
        <v>44</v>
      </c>
      <c r="E1069" t="str">
        <f t="shared" si="96"/>
        <v xml:space="preserve"> 👩🏻‍❤️‍👨🏼 E13.1 couple with heart: woman, man, light skin tone, medium-light skin tone</v>
      </c>
      <c r="F1069" t="b">
        <f t="shared" si="101"/>
        <v>1</v>
      </c>
      <c r="G1069" t="str">
        <f t="shared" si="97"/>
        <v>1F469</v>
      </c>
      <c r="I1069">
        <f>HEX2DEC(Table1[[#This Row],[utf8]])</f>
        <v>128105</v>
      </c>
      <c r="J1069" t="str">
        <f>_xlfn.UNICHAR(HEX2DEC(Table1[[#This Row],[utf8]]))</f>
        <v>👩</v>
      </c>
      <c r="K1069" s="3" t="str" cm="1">
        <f t="array" ref="K1069">"Case "&amp;wRandomLetter()&amp;wRandomLetter()&amp;I1069&amp;":    UniConst = ChrW(" &amp; I1069 &amp;")"</f>
        <v>Case sP128105:    UniConst = ChrW(128105)</v>
      </c>
    </row>
    <row r="1070" spans="1:11" hidden="1">
      <c r="A1070" t="s">
        <v>2921</v>
      </c>
      <c r="B1070" t="str">
        <f t="shared" si="98"/>
        <v>1F469 1F3FB 200D 2764 FE0F 200D 1F468 1F3FD ; fully-qualified # 👩🏻‍❤️‍👨🏽 E13.1 couple with heart: woman, man, light skin tone, medium skin tone</v>
      </c>
      <c r="C1070" t="str">
        <f t="shared" si="99"/>
        <v xml:space="preserve">1F469 1F3FB 200D 2764 FE0F 200D 1F468 1F3FD </v>
      </c>
      <c r="D1070">
        <f t="shared" si="100"/>
        <v>44</v>
      </c>
      <c r="E1070" t="str">
        <f t="shared" si="96"/>
        <v xml:space="preserve"> 👩🏻‍❤️‍👨🏽 E13.1 couple with heart: woman, man, light skin tone, medium skin tone</v>
      </c>
      <c r="F1070" t="b">
        <f t="shared" si="101"/>
        <v>1</v>
      </c>
      <c r="G1070" t="str">
        <f t="shared" si="97"/>
        <v>1F469</v>
      </c>
      <c r="I1070">
        <f>HEX2DEC(Table1[[#This Row],[utf8]])</f>
        <v>128105</v>
      </c>
      <c r="J1070" t="str">
        <f>_xlfn.UNICHAR(HEX2DEC(Table1[[#This Row],[utf8]]))</f>
        <v>👩</v>
      </c>
      <c r="K1070" s="3" t="str" cm="1">
        <f t="array" ref="K1070">"Case "&amp;wRandomLetter()&amp;wRandomLetter()&amp;I1070&amp;":    UniConst = ChrW(" &amp; I1070 &amp;")"</f>
        <v>Case ml128105:    UniConst = ChrW(128105)</v>
      </c>
    </row>
    <row r="1071" spans="1:11" hidden="1">
      <c r="A1071" t="s">
        <v>2923</v>
      </c>
      <c r="B1071" t="str">
        <f t="shared" si="98"/>
        <v>1F469 1F3FB 200D 2764 FE0F 200D 1F468 1F3FE ; fully-qualified # 👩🏻‍❤️‍👨🏾 E13.1 couple with heart: woman, man, light skin tone, medium-dark skin tone</v>
      </c>
      <c r="C1071" t="str">
        <f t="shared" si="99"/>
        <v xml:space="preserve">1F469 1F3FB 200D 2764 FE0F 200D 1F468 1F3FE </v>
      </c>
      <c r="D1071">
        <f t="shared" si="100"/>
        <v>44</v>
      </c>
      <c r="E1071" t="str">
        <f t="shared" si="96"/>
        <v xml:space="preserve"> 👩🏻‍❤️‍👨🏾 E13.1 couple with heart: woman, man, light skin tone, medium-dark skin tone</v>
      </c>
      <c r="F1071" t="b">
        <f t="shared" si="101"/>
        <v>1</v>
      </c>
      <c r="G1071" t="str">
        <f t="shared" si="97"/>
        <v>1F469</v>
      </c>
      <c r="I1071">
        <f>HEX2DEC(Table1[[#This Row],[utf8]])</f>
        <v>128105</v>
      </c>
      <c r="J1071" t="str">
        <f>_xlfn.UNICHAR(HEX2DEC(Table1[[#This Row],[utf8]]))</f>
        <v>👩</v>
      </c>
      <c r="K1071" s="3" t="str" cm="1">
        <f t="array" ref="K1071">"Case "&amp;wRandomLetter()&amp;wRandomLetter()&amp;I1071&amp;":    UniConst = ChrW(" &amp; I1071 &amp;")"</f>
        <v>Case oF128105:    UniConst = ChrW(128105)</v>
      </c>
    </row>
    <row r="1072" spans="1:11" hidden="1">
      <c r="A1072" t="s">
        <v>2925</v>
      </c>
      <c r="B1072" t="str">
        <f t="shared" si="98"/>
        <v>1F469 1F3FB 200D 2764 FE0F 200D 1F468 1F3FF ; fully-qualified # 👩🏻‍❤️‍👨🏿 E13.1 couple with heart: woman, man, light skin tone, dark skin tone</v>
      </c>
      <c r="C1072" t="str">
        <f t="shared" si="99"/>
        <v xml:space="preserve">1F469 1F3FB 200D 2764 FE0F 200D 1F468 1F3FF </v>
      </c>
      <c r="D1072">
        <f t="shared" si="100"/>
        <v>44</v>
      </c>
      <c r="E1072" t="str">
        <f t="shared" si="96"/>
        <v xml:space="preserve"> 👩🏻‍❤️‍👨🏿 E13.1 couple with heart: woman, man, light skin tone, dark skin tone</v>
      </c>
      <c r="F1072" t="b">
        <f t="shared" si="101"/>
        <v>1</v>
      </c>
      <c r="G1072" t="str">
        <f t="shared" si="97"/>
        <v>1F469</v>
      </c>
      <c r="I1072">
        <f>HEX2DEC(Table1[[#This Row],[utf8]])</f>
        <v>128105</v>
      </c>
      <c r="J1072" t="str">
        <f>_xlfn.UNICHAR(HEX2DEC(Table1[[#This Row],[utf8]]))</f>
        <v>👩</v>
      </c>
      <c r="K1072" s="3" t="str" cm="1">
        <f t="array" ref="K1072">"Case "&amp;wRandomLetter()&amp;wRandomLetter()&amp;I1072&amp;":    UniConst = ChrW(" &amp; I1072 &amp;")"</f>
        <v>Case Mg128105:    UniConst = ChrW(128105)</v>
      </c>
    </row>
    <row r="1073" spans="1:11" hidden="1">
      <c r="A1073" t="s">
        <v>3021</v>
      </c>
      <c r="B1073" t="str">
        <f t="shared" si="98"/>
        <v>1F469 1F3FB 200D 2764 FE0F 200D 1F469 1F3FB ; fully-qualified # 👩🏻‍❤️‍👩🏻 E13.1 couple with heart: woman, woman, light skin tone</v>
      </c>
      <c r="C1073" t="str">
        <f t="shared" si="99"/>
        <v xml:space="preserve">1F469 1F3FB 200D 2764 FE0F 200D 1F469 1F3FB </v>
      </c>
      <c r="D1073">
        <f t="shared" si="100"/>
        <v>44</v>
      </c>
      <c r="E1073" t="str">
        <f t="shared" si="96"/>
        <v xml:space="preserve"> 👩🏻‍❤️‍👩🏻 E13.1 couple with heart: woman, woman, light skin tone</v>
      </c>
      <c r="F1073" t="b">
        <f t="shared" si="101"/>
        <v>1</v>
      </c>
      <c r="G1073" t="str">
        <f t="shared" si="97"/>
        <v>1F469</v>
      </c>
      <c r="I1073">
        <f>HEX2DEC(Table1[[#This Row],[utf8]])</f>
        <v>128105</v>
      </c>
      <c r="J1073" t="str">
        <f>_xlfn.UNICHAR(HEX2DEC(Table1[[#This Row],[utf8]]))</f>
        <v>👩</v>
      </c>
      <c r="K1073" s="3" t="str" cm="1">
        <f t="array" ref="K1073">"Case "&amp;wRandomLetter()&amp;wRandomLetter()&amp;I1073&amp;":    UniConst = ChrW(" &amp; I1073 &amp;")"</f>
        <v>Case HV128105:    UniConst = ChrW(128105)</v>
      </c>
    </row>
    <row r="1074" spans="1:11" hidden="1">
      <c r="A1074" t="s">
        <v>3023</v>
      </c>
      <c r="B1074" t="str">
        <f t="shared" si="98"/>
        <v>1F469 1F3FB 200D 2764 FE0F 200D 1F469 1F3FC ; fully-qualified # 👩🏻‍❤️‍👩🏼 E13.1 couple with heart: woman, woman, light skin tone, medium-light skin tone</v>
      </c>
      <c r="C1074" t="str">
        <f t="shared" si="99"/>
        <v xml:space="preserve">1F469 1F3FB 200D 2764 FE0F 200D 1F469 1F3FC </v>
      </c>
      <c r="D1074">
        <f t="shared" si="100"/>
        <v>44</v>
      </c>
      <c r="E1074" t="str">
        <f t="shared" si="96"/>
        <v xml:space="preserve"> 👩🏻‍❤️‍👩🏼 E13.1 couple with heart: woman, woman, light skin tone, medium-light skin tone</v>
      </c>
      <c r="F1074" t="b">
        <f t="shared" si="101"/>
        <v>1</v>
      </c>
      <c r="G1074" t="str">
        <f t="shared" si="97"/>
        <v>1F469</v>
      </c>
      <c r="I1074">
        <f>HEX2DEC(Table1[[#This Row],[utf8]])</f>
        <v>128105</v>
      </c>
      <c r="J1074" t="str">
        <f>_xlfn.UNICHAR(HEX2DEC(Table1[[#This Row],[utf8]]))</f>
        <v>👩</v>
      </c>
      <c r="K1074" s="3" t="str" cm="1">
        <f t="array" ref="K1074">"Case "&amp;wRandomLetter()&amp;wRandomLetter()&amp;I1074&amp;":    UniConst = ChrW(" &amp; I1074 &amp;")"</f>
        <v>Case Ay128105:    UniConst = ChrW(128105)</v>
      </c>
    </row>
    <row r="1075" spans="1:11" hidden="1">
      <c r="A1075" t="s">
        <v>3025</v>
      </c>
      <c r="B1075" t="str">
        <f t="shared" si="98"/>
        <v>1F469 1F3FB 200D 2764 FE0F 200D 1F469 1F3FD ; fully-qualified # 👩🏻‍❤️‍👩🏽 E13.1 couple with heart: woman, woman, light skin tone, medium skin tone</v>
      </c>
      <c r="C1075" t="str">
        <f t="shared" si="99"/>
        <v xml:space="preserve">1F469 1F3FB 200D 2764 FE0F 200D 1F469 1F3FD </v>
      </c>
      <c r="D1075">
        <f t="shared" si="100"/>
        <v>44</v>
      </c>
      <c r="E1075" t="str">
        <f t="shared" si="96"/>
        <v xml:space="preserve"> 👩🏻‍❤️‍👩🏽 E13.1 couple with heart: woman, woman, light skin tone, medium skin tone</v>
      </c>
      <c r="F1075" t="b">
        <f t="shared" si="101"/>
        <v>1</v>
      </c>
      <c r="G1075" t="str">
        <f t="shared" si="97"/>
        <v>1F469</v>
      </c>
      <c r="I1075">
        <f>HEX2DEC(Table1[[#This Row],[utf8]])</f>
        <v>128105</v>
      </c>
      <c r="J1075" t="str">
        <f>_xlfn.UNICHAR(HEX2DEC(Table1[[#This Row],[utf8]]))</f>
        <v>👩</v>
      </c>
      <c r="K1075" s="3" t="str" cm="1">
        <f t="array" ref="K1075">"Case "&amp;wRandomLetter()&amp;wRandomLetter()&amp;I1075&amp;":    UniConst = ChrW(" &amp; I1075 &amp;")"</f>
        <v>Case XS128105:    UniConst = ChrW(128105)</v>
      </c>
    </row>
    <row r="1076" spans="1:11" hidden="1">
      <c r="A1076" t="s">
        <v>3027</v>
      </c>
      <c r="B1076" t="str">
        <f t="shared" si="98"/>
        <v>1F469 1F3FB 200D 2764 FE0F 200D 1F469 1F3FE ; fully-qualified # 👩🏻‍❤️‍👩🏾 E13.1 couple with heart: woman, woman, light skin tone, medium-dark skin tone</v>
      </c>
      <c r="C1076" t="str">
        <f t="shared" si="99"/>
        <v xml:space="preserve">1F469 1F3FB 200D 2764 FE0F 200D 1F469 1F3FE </v>
      </c>
      <c r="D1076">
        <f t="shared" si="100"/>
        <v>44</v>
      </c>
      <c r="E1076" t="str">
        <f t="shared" si="96"/>
        <v xml:space="preserve"> 👩🏻‍❤️‍👩🏾 E13.1 couple with heart: woman, woman, light skin tone, medium-dark skin tone</v>
      </c>
      <c r="F1076" t="b">
        <f t="shared" si="101"/>
        <v>1</v>
      </c>
      <c r="G1076" t="str">
        <f t="shared" si="97"/>
        <v>1F469</v>
      </c>
      <c r="I1076">
        <f>HEX2DEC(Table1[[#This Row],[utf8]])</f>
        <v>128105</v>
      </c>
      <c r="J1076" t="str">
        <f>_xlfn.UNICHAR(HEX2DEC(Table1[[#This Row],[utf8]]))</f>
        <v>👩</v>
      </c>
      <c r="K1076" s="3" t="str" cm="1">
        <f t="array" ref="K1076">"Case "&amp;wRandomLetter()&amp;wRandomLetter()&amp;I1076&amp;":    UniConst = ChrW(" &amp; I1076 &amp;")"</f>
        <v>Case yU128105:    UniConst = ChrW(128105)</v>
      </c>
    </row>
    <row r="1077" spans="1:11" hidden="1">
      <c r="A1077" t="s">
        <v>3029</v>
      </c>
      <c r="B1077" t="str">
        <f t="shared" si="98"/>
        <v>1F469 1F3FB 200D 2764 FE0F 200D 1F469 1F3FF ; fully-qualified # 👩🏻‍❤️‍👩🏿 E13.1 couple with heart: woman, woman, light skin tone, dark skin tone</v>
      </c>
      <c r="C1077" t="str">
        <f t="shared" si="99"/>
        <v xml:space="preserve">1F469 1F3FB 200D 2764 FE0F 200D 1F469 1F3FF </v>
      </c>
      <c r="D1077">
        <f t="shared" si="100"/>
        <v>44</v>
      </c>
      <c r="E1077" t="str">
        <f t="shared" si="96"/>
        <v xml:space="preserve"> 👩🏻‍❤️‍👩🏿 E13.1 couple with heart: woman, woman, light skin tone, dark skin tone</v>
      </c>
      <c r="F1077" t="b">
        <f t="shared" si="101"/>
        <v>1</v>
      </c>
      <c r="G1077" t="str">
        <f t="shared" si="97"/>
        <v>1F469</v>
      </c>
      <c r="I1077">
        <f>HEX2DEC(Table1[[#This Row],[utf8]])</f>
        <v>128105</v>
      </c>
      <c r="J1077" t="str">
        <f>_xlfn.UNICHAR(HEX2DEC(Table1[[#This Row],[utf8]]))</f>
        <v>👩</v>
      </c>
      <c r="K1077" s="3" t="str" cm="1">
        <f t="array" ref="K1077">"Case "&amp;wRandomLetter()&amp;wRandomLetter()&amp;I1077&amp;":    UniConst = ChrW(" &amp; I1077 &amp;")"</f>
        <v>Case kb128105:    UniConst = ChrW(128105)</v>
      </c>
    </row>
    <row r="1078" spans="1:11" hidden="1">
      <c r="A1078" t="s">
        <v>2715</v>
      </c>
      <c r="B1078" t="str">
        <f t="shared" si="98"/>
        <v>1F469 1F3FB 200D 2764 FE0F 200D 1F48B 200D 1F468 1F3FB ; fully-qualified # 👩🏻‍❤️‍💋‍👨🏻 E13.1 kiss: woman, man, light skin tone</v>
      </c>
      <c r="C1078" t="str">
        <f t="shared" si="99"/>
        <v xml:space="preserve">1F469 1F3FB 200D 2764 FE0F 200D 1F48B 200D 1F468 1F3FB </v>
      </c>
      <c r="D1078">
        <f t="shared" si="100"/>
        <v>55</v>
      </c>
      <c r="E1078" t="str">
        <f t="shared" si="96"/>
        <v xml:space="preserve"> 👩🏻‍❤️‍💋‍👨🏻 E13.1 kiss: woman, man, light skin tone</v>
      </c>
      <c r="F1078" t="b">
        <f t="shared" si="101"/>
        <v>1</v>
      </c>
      <c r="G1078" t="str">
        <f t="shared" si="97"/>
        <v>1F469</v>
      </c>
      <c r="I1078">
        <f>HEX2DEC(Table1[[#This Row],[utf8]])</f>
        <v>128105</v>
      </c>
      <c r="J1078" t="str">
        <f>_xlfn.UNICHAR(HEX2DEC(Table1[[#This Row],[utf8]]))</f>
        <v>👩</v>
      </c>
      <c r="K1078" s="3" t="str" cm="1">
        <f t="array" ref="K1078">"Case "&amp;wRandomLetter()&amp;wRandomLetter()&amp;I1078&amp;":    UniConst = ChrW(" &amp; I1078 &amp;")"</f>
        <v>Case yU128105:    UniConst = ChrW(128105)</v>
      </c>
    </row>
    <row r="1079" spans="1:11" hidden="1">
      <c r="A1079" t="s">
        <v>2717</v>
      </c>
      <c r="B1079" t="str">
        <f t="shared" si="98"/>
        <v>1F469 1F3FB 200D 2764 FE0F 200D 1F48B 200D 1F468 1F3FC ; fully-qualified # 👩🏻‍❤️‍💋‍👨🏼 E13.1 kiss: woman, man, light skin tone, medium-light skin tone</v>
      </c>
      <c r="C1079" t="str">
        <f t="shared" si="99"/>
        <v xml:space="preserve">1F469 1F3FB 200D 2764 FE0F 200D 1F48B 200D 1F468 1F3FC </v>
      </c>
      <c r="D1079">
        <f t="shared" si="100"/>
        <v>55</v>
      </c>
      <c r="E1079" t="str">
        <f t="shared" si="96"/>
        <v xml:space="preserve"> 👩🏻‍❤️‍💋‍👨🏼 E13.1 kiss: woman, man, light skin tone, medium-light skin tone</v>
      </c>
      <c r="F1079" t="b">
        <f t="shared" si="101"/>
        <v>1</v>
      </c>
      <c r="G1079" t="str">
        <f t="shared" si="97"/>
        <v>1F469</v>
      </c>
      <c r="I1079">
        <f>HEX2DEC(Table1[[#This Row],[utf8]])</f>
        <v>128105</v>
      </c>
      <c r="J1079" t="str">
        <f>_xlfn.UNICHAR(HEX2DEC(Table1[[#This Row],[utf8]]))</f>
        <v>👩</v>
      </c>
      <c r="K1079" s="3" t="str" cm="1">
        <f t="array" ref="K1079">"Case "&amp;wRandomLetter()&amp;wRandomLetter()&amp;I1079&amp;":    UniConst = ChrW(" &amp; I1079 &amp;")"</f>
        <v>Case ek128105:    UniConst = ChrW(128105)</v>
      </c>
    </row>
    <row r="1080" spans="1:11" hidden="1">
      <c r="A1080" t="s">
        <v>2719</v>
      </c>
      <c r="B1080" t="str">
        <f t="shared" si="98"/>
        <v>1F469 1F3FB 200D 2764 FE0F 200D 1F48B 200D 1F468 1F3FD ; fully-qualified # 👩🏻‍❤️‍💋‍👨🏽 E13.1 kiss: woman, man, light skin tone, medium skin tone</v>
      </c>
      <c r="C1080" t="str">
        <f t="shared" si="99"/>
        <v xml:space="preserve">1F469 1F3FB 200D 2764 FE0F 200D 1F48B 200D 1F468 1F3FD </v>
      </c>
      <c r="D1080">
        <f t="shared" si="100"/>
        <v>55</v>
      </c>
      <c r="E1080" t="str">
        <f t="shared" si="96"/>
        <v xml:space="preserve"> 👩🏻‍❤️‍💋‍👨🏽 E13.1 kiss: woman, man, light skin tone, medium skin tone</v>
      </c>
      <c r="F1080" t="b">
        <f t="shared" si="101"/>
        <v>1</v>
      </c>
      <c r="G1080" t="str">
        <f t="shared" si="97"/>
        <v>1F469</v>
      </c>
      <c r="I1080">
        <f>HEX2DEC(Table1[[#This Row],[utf8]])</f>
        <v>128105</v>
      </c>
      <c r="J1080" t="str">
        <f>_xlfn.UNICHAR(HEX2DEC(Table1[[#This Row],[utf8]]))</f>
        <v>👩</v>
      </c>
      <c r="K1080" s="3" t="str" cm="1">
        <f t="array" ref="K1080">"Case "&amp;wRandomLetter()&amp;wRandomLetter()&amp;I1080&amp;":    UniConst = ChrW(" &amp; I1080 &amp;")"</f>
        <v>Case yV128105:    UniConst = ChrW(128105)</v>
      </c>
    </row>
    <row r="1081" spans="1:11" hidden="1">
      <c r="A1081" t="s">
        <v>2721</v>
      </c>
      <c r="B1081" t="str">
        <f t="shared" si="98"/>
        <v>1F469 1F3FB 200D 2764 FE0F 200D 1F48B 200D 1F468 1F3FE ; fully-qualified # 👩🏻‍❤️‍💋‍👨🏾 E13.1 kiss: woman, man, light skin tone, medium-dark skin tone</v>
      </c>
      <c r="C1081" t="str">
        <f t="shared" si="99"/>
        <v xml:space="preserve">1F469 1F3FB 200D 2764 FE0F 200D 1F48B 200D 1F468 1F3FE </v>
      </c>
      <c r="D1081">
        <f t="shared" si="100"/>
        <v>55</v>
      </c>
      <c r="E1081" t="str">
        <f t="shared" si="96"/>
        <v xml:space="preserve"> 👩🏻‍❤️‍💋‍👨🏾 E13.1 kiss: woman, man, light skin tone, medium-dark skin tone</v>
      </c>
      <c r="F1081" t="b">
        <f t="shared" si="101"/>
        <v>1</v>
      </c>
      <c r="G1081" t="str">
        <f t="shared" si="97"/>
        <v>1F469</v>
      </c>
      <c r="I1081">
        <f>HEX2DEC(Table1[[#This Row],[utf8]])</f>
        <v>128105</v>
      </c>
      <c r="J1081" t="str">
        <f>_xlfn.UNICHAR(HEX2DEC(Table1[[#This Row],[utf8]]))</f>
        <v>👩</v>
      </c>
      <c r="K1081" s="3" t="str" cm="1">
        <f t="array" ref="K1081">"Case "&amp;wRandomLetter()&amp;wRandomLetter()&amp;I1081&amp;":    UniConst = ChrW(" &amp; I1081 &amp;")"</f>
        <v>Case EC128105:    UniConst = ChrW(128105)</v>
      </c>
    </row>
    <row r="1082" spans="1:11" hidden="1">
      <c r="A1082" t="s">
        <v>2723</v>
      </c>
      <c r="B1082" t="str">
        <f t="shared" si="98"/>
        <v>1F469 1F3FB 200D 2764 FE0F 200D 1F48B 200D 1F468 1F3FF ; fully-qualified # 👩🏻‍❤️‍💋‍👨🏿 E13.1 kiss: woman, man, light skin tone, dark skin tone</v>
      </c>
      <c r="C1082" t="str">
        <f t="shared" si="99"/>
        <v xml:space="preserve">1F469 1F3FB 200D 2764 FE0F 200D 1F48B 200D 1F468 1F3FF </v>
      </c>
      <c r="D1082">
        <f t="shared" si="100"/>
        <v>55</v>
      </c>
      <c r="E1082" t="str">
        <f t="shared" si="96"/>
        <v xml:space="preserve"> 👩🏻‍❤️‍💋‍👨🏿 E13.1 kiss: woman, man, light skin tone, dark skin tone</v>
      </c>
      <c r="F1082" t="b">
        <f t="shared" si="101"/>
        <v>1</v>
      </c>
      <c r="G1082" t="str">
        <f t="shared" si="97"/>
        <v>1F469</v>
      </c>
      <c r="I1082">
        <f>HEX2DEC(Table1[[#This Row],[utf8]])</f>
        <v>128105</v>
      </c>
      <c r="J1082" t="str">
        <f>_xlfn.UNICHAR(HEX2DEC(Table1[[#This Row],[utf8]]))</f>
        <v>👩</v>
      </c>
      <c r="K1082" s="3" t="str" cm="1">
        <f t="array" ref="K1082">"Case "&amp;wRandomLetter()&amp;wRandomLetter()&amp;I1082&amp;":    UniConst = ChrW(" &amp; I1082 &amp;")"</f>
        <v>Case hQ128105:    UniConst = ChrW(128105)</v>
      </c>
    </row>
    <row r="1083" spans="1:11" hidden="1">
      <c r="A1083" t="s">
        <v>2819</v>
      </c>
      <c r="B1083" t="str">
        <f t="shared" si="98"/>
        <v>1F469 1F3FB 200D 2764 FE0F 200D 1F48B 200D 1F469 1F3FB ; fully-qualified # 👩🏻‍❤️‍💋‍👩🏻 E13.1 kiss: woman, woman, light skin tone</v>
      </c>
      <c r="C1083" t="str">
        <f t="shared" si="99"/>
        <v xml:space="preserve">1F469 1F3FB 200D 2764 FE0F 200D 1F48B 200D 1F469 1F3FB </v>
      </c>
      <c r="D1083">
        <f t="shared" si="100"/>
        <v>55</v>
      </c>
      <c r="E1083" t="str">
        <f t="shared" si="96"/>
        <v xml:space="preserve"> 👩🏻‍❤️‍💋‍👩🏻 E13.1 kiss: woman, woman, light skin tone</v>
      </c>
      <c r="F1083" t="b">
        <f t="shared" si="101"/>
        <v>1</v>
      </c>
      <c r="G1083" t="str">
        <f t="shared" si="97"/>
        <v>1F469</v>
      </c>
      <c r="I1083">
        <f>HEX2DEC(Table1[[#This Row],[utf8]])</f>
        <v>128105</v>
      </c>
      <c r="J1083" t="str">
        <f>_xlfn.UNICHAR(HEX2DEC(Table1[[#This Row],[utf8]]))</f>
        <v>👩</v>
      </c>
      <c r="K1083" s="3" t="str" cm="1">
        <f t="array" ref="K1083">"Case "&amp;wRandomLetter()&amp;wRandomLetter()&amp;I1083&amp;":    UniConst = ChrW(" &amp; I1083 &amp;")"</f>
        <v>Case QY128105:    UniConst = ChrW(128105)</v>
      </c>
    </row>
    <row r="1084" spans="1:11" hidden="1">
      <c r="A1084" t="s">
        <v>2821</v>
      </c>
      <c r="B1084" t="str">
        <f t="shared" si="98"/>
        <v>1F469 1F3FB 200D 2764 FE0F 200D 1F48B 200D 1F469 1F3FC ; fully-qualified # 👩🏻‍❤️‍💋‍👩🏼 E13.1 kiss: woman, woman, light skin tone, medium-light skin tone</v>
      </c>
      <c r="C1084" t="str">
        <f t="shared" si="99"/>
        <v xml:space="preserve">1F469 1F3FB 200D 2764 FE0F 200D 1F48B 200D 1F469 1F3FC </v>
      </c>
      <c r="D1084">
        <f t="shared" si="100"/>
        <v>55</v>
      </c>
      <c r="E1084" t="str">
        <f t="shared" si="96"/>
        <v xml:space="preserve"> 👩🏻‍❤️‍💋‍👩🏼 E13.1 kiss: woman, woman, light skin tone, medium-light skin tone</v>
      </c>
      <c r="F1084" t="b">
        <f t="shared" si="101"/>
        <v>1</v>
      </c>
      <c r="G1084" t="str">
        <f t="shared" si="97"/>
        <v>1F469</v>
      </c>
      <c r="I1084">
        <f>HEX2DEC(Table1[[#This Row],[utf8]])</f>
        <v>128105</v>
      </c>
      <c r="J1084" t="str">
        <f>_xlfn.UNICHAR(HEX2DEC(Table1[[#This Row],[utf8]]))</f>
        <v>👩</v>
      </c>
      <c r="K1084" s="3" t="str" cm="1">
        <f t="array" ref="K1084">"Case "&amp;wRandomLetter()&amp;wRandomLetter()&amp;I1084&amp;":    UniConst = ChrW(" &amp; I1084 &amp;")"</f>
        <v>Case Ut128105:    UniConst = ChrW(128105)</v>
      </c>
    </row>
    <row r="1085" spans="1:11" hidden="1">
      <c r="A1085" t="s">
        <v>2823</v>
      </c>
      <c r="B1085" t="str">
        <f t="shared" si="98"/>
        <v>1F469 1F3FB 200D 2764 FE0F 200D 1F48B 200D 1F469 1F3FD ; fully-qualified # 👩🏻‍❤️‍💋‍👩🏽 E13.1 kiss: woman, woman, light skin tone, medium skin tone</v>
      </c>
      <c r="C1085" t="str">
        <f t="shared" si="99"/>
        <v xml:space="preserve">1F469 1F3FB 200D 2764 FE0F 200D 1F48B 200D 1F469 1F3FD </v>
      </c>
      <c r="D1085">
        <f t="shared" si="100"/>
        <v>55</v>
      </c>
      <c r="E1085" t="str">
        <f t="shared" si="96"/>
        <v xml:space="preserve"> 👩🏻‍❤️‍💋‍👩🏽 E13.1 kiss: woman, woman, light skin tone, medium skin tone</v>
      </c>
      <c r="F1085" t="b">
        <f t="shared" si="101"/>
        <v>1</v>
      </c>
      <c r="G1085" t="str">
        <f t="shared" si="97"/>
        <v>1F469</v>
      </c>
      <c r="I1085">
        <f>HEX2DEC(Table1[[#This Row],[utf8]])</f>
        <v>128105</v>
      </c>
      <c r="J1085" t="str">
        <f>_xlfn.UNICHAR(HEX2DEC(Table1[[#This Row],[utf8]]))</f>
        <v>👩</v>
      </c>
      <c r="K1085" s="3" t="str" cm="1">
        <f t="array" ref="K1085">"Case "&amp;wRandomLetter()&amp;wRandomLetter()&amp;I1085&amp;":    UniConst = ChrW(" &amp; I1085 &amp;")"</f>
        <v>Case yU128105:    UniConst = ChrW(128105)</v>
      </c>
    </row>
    <row r="1086" spans="1:11" hidden="1">
      <c r="A1086" t="s">
        <v>2825</v>
      </c>
      <c r="B1086" t="str">
        <f t="shared" si="98"/>
        <v>1F469 1F3FB 200D 2764 FE0F 200D 1F48B 200D 1F469 1F3FE ; fully-qualified # 👩🏻‍❤️‍💋‍👩🏾 E13.1 kiss: woman, woman, light skin tone, medium-dark skin tone</v>
      </c>
      <c r="C1086" t="str">
        <f t="shared" si="99"/>
        <v xml:space="preserve">1F469 1F3FB 200D 2764 FE0F 200D 1F48B 200D 1F469 1F3FE </v>
      </c>
      <c r="D1086">
        <f t="shared" si="100"/>
        <v>55</v>
      </c>
      <c r="E1086" t="str">
        <f t="shared" si="96"/>
        <v xml:space="preserve"> 👩🏻‍❤️‍💋‍👩🏾 E13.1 kiss: woman, woman, light skin tone, medium-dark skin tone</v>
      </c>
      <c r="F1086" t="b">
        <f t="shared" si="101"/>
        <v>1</v>
      </c>
      <c r="G1086" t="str">
        <f t="shared" si="97"/>
        <v>1F469</v>
      </c>
      <c r="I1086">
        <f>HEX2DEC(Table1[[#This Row],[utf8]])</f>
        <v>128105</v>
      </c>
      <c r="J1086" t="str">
        <f>_xlfn.UNICHAR(HEX2DEC(Table1[[#This Row],[utf8]]))</f>
        <v>👩</v>
      </c>
      <c r="K1086" s="3" t="str" cm="1">
        <f t="array" ref="K1086">"Case "&amp;wRandomLetter()&amp;wRandomLetter()&amp;I1086&amp;":    UniConst = ChrW(" &amp; I1086 &amp;")"</f>
        <v>Case MX128105:    UniConst = ChrW(128105)</v>
      </c>
    </row>
    <row r="1087" spans="1:11" hidden="1">
      <c r="A1087" t="s">
        <v>2827</v>
      </c>
      <c r="B1087" t="str">
        <f t="shared" si="98"/>
        <v>1F469 1F3FB 200D 2764 FE0F 200D 1F48B 200D 1F469 1F3FF ; fully-qualified # 👩🏻‍❤️‍💋‍👩🏿 E13.1 kiss: woman, woman, light skin tone, dark skin tone</v>
      </c>
      <c r="C1087" t="str">
        <f t="shared" si="99"/>
        <v xml:space="preserve">1F469 1F3FB 200D 2764 FE0F 200D 1F48B 200D 1F469 1F3FF </v>
      </c>
      <c r="D1087">
        <f t="shared" si="100"/>
        <v>55</v>
      </c>
      <c r="E1087" t="str">
        <f t="shared" si="96"/>
        <v xml:space="preserve"> 👩🏻‍❤️‍💋‍👩🏿 E13.1 kiss: woman, woman, light skin tone, dark skin tone</v>
      </c>
      <c r="F1087" t="b">
        <f t="shared" si="101"/>
        <v>1</v>
      </c>
      <c r="G1087" t="str">
        <f t="shared" si="97"/>
        <v>1F469</v>
      </c>
      <c r="I1087">
        <f>HEX2DEC(Table1[[#This Row],[utf8]])</f>
        <v>128105</v>
      </c>
      <c r="J1087" t="str">
        <f>_xlfn.UNICHAR(HEX2DEC(Table1[[#This Row],[utf8]]))</f>
        <v>👩</v>
      </c>
      <c r="K1087" s="3" t="str" cm="1">
        <f t="array" ref="K1087">"Case "&amp;wRandomLetter()&amp;wRandomLetter()&amp;I1087&amp;":    UniConst = ChrW(" &amp; I1087 &amp;")"</f>
        <v>Case UR128105:    UniConst = ChrW(128105)</v>
      </c>
    </row>
    <row r="1088" spans="1:11" hidden="1">
      <c r="A1088" t="s">
        <v>546</v>
      </c>
      <c r="B1088" t="str">
        <f t="shared" si="98"/>
        <v>1F469 1F3FC ; fully-qualified # 👩🏼 E1.0 woman: medium-light skin tone</v>
      </c>
      <c r="C1088" t="str">
        <f t="shared" si="99"/>
        <v xml:space="preserve">1F469 1F3FC </v>
      </c>
      <c r="D1088">
        <f t="shared" si="100"/>
        <v>12</v>
      </c>
      <c r="E1088" t="str">
        <f t="shared" si="96"/>
        <v xml:space="preserve"> 👩🏼 E1.0 woman: medium-light skin tone</v>
      </c>
      <c r="F1088" t="b">
        <f t="shared" si="101"/>
        <v>1</v>
      </c>
      <c r="G1088" t="str">
        <f t="shared" si="97"/>
        <v>1F469</v>
      </c>
      <c r="I1088">
        <f>HEX2DEC(Table1[[#This Row],[utf8]])</f>
        <v>128105</v>
      </c>
      <c r="J1088" t="str">
        <f>_xlfn.UNICHAR(HEX2DEC(Table1[[#This Row],[utf8]]))</f>
        <v>👩</v>
      </c>
      <c r="K1088" s="3" t="str" cm="1">
        <f t="array" ref="K1088">"Case "&amp;wRandomLetter()&amp;wRandomLetter()&amp;I1088&amp;":    UniConst = ChrW(" &amp; I1088 &amp;")"</f>
        <v>Case yr128105:    UniConst = ChrW(128105)</v>
      </c>
    </row>
    <row r="1089" spans="1:11" hidden="1">
      <c r="A1089" t="s">
        <v>1064</v>
      </c>
      <c r="B1089" t="str">
        <f t="shared" si="98"/>
        <v>1F469 1F3FC 200D 1F33E ; fully-qualified # 👩🏼‍🌾 E4.0 woman farmer: medium-light skin tone</v>
      </c>
      <c r="C1089" t="str">
        <f t="shared" si="99"/>
        <v xml:space="preserve">1F469 1F3FC 200D 1F33E </v>
      </c>
      <c r="D1089">
        <f t="shared" si="100"/>
        <v>23</v>
      </c>
      <c r="E1089" t="str">
        <f t="shared" si="96"/>
        <v xml:space="preserve"> 👩🏼‍🌾 E4.0 woman farmer: medium-light skin tone</v>
      </c>
      <c r="F1089" t="b">
        <f t="shared" si="101"/>
        <v>1</v>
      </c>
      <c r="G1089" t="str">
        <f t="shared" si="97"/>
        <v>1F469</v>
      </c>
      <c r="I1089">
        <f>HEX2DEC(Table1[[#This Row],[utf8]])</f>
        <v>128105</v>
      </c>
      <c r="J1089" t="str">
        <f>_xlfn.UNICHAR(HEX2DEC(Table1[[#This Row],[utf8]]))</f>
        <v>👩</v>
      </c>
      <c r="K1089" s="3" t="str" cm="1">
        <f t="array" ref="K1089">"Case "&amp;wRandomLetter()&amp;wRandomLetter()&amp;I1089&amp;":    UniConst = ChrW(" &amp; I1089 &amp;")"</f>
        <v>Case Ki128105:    UniConst = ChrW(128105)</v>
      </c>
    </row>
    <row r="1090" spans="1:11" hidden="1">
      <c r="A1090" t="s">
        <v>1082</v>
      </c>
      <c r="B1090" t="str">
        <f t="shared" si="98"/>
        <v>1F469 1F3FC 200D 1F373 ; fully-qualified # 👩🏼‍🍳 E4.0 woman cook: medium-light skin tone</v>
      </c>
      <c r="C1090" t="str">
        <f t="shared" si="99"/>
        <v xml:space="preserve">1F469 1F3FC 200D 1F373 </v>
      </c>
      <c r="D1090">
        <f t="shared" si="100"/>
        <v>23</v>
      </c>
      <c r="E1090" t="str">
        <f t="shared" ref="E1090:E1153" si="102">MID(A1090,FIND("#",A1090)+1,256)</f>
        <v xml:space="preserve"> 👩🏼‍🍳 E4.0 woman cook: medium-light skin tone</v>
      </c>
      <c r="F1090" t="b">
        <f t="shared" si="101"/>
        <v>1</v>
      </c>
      <c r="G1090" t="str">
        <f t="shared" ref="G1090:G1153" si="103">LEFT(C1090,(FIND(" ",C1090,1)-1))</f>
        <v>1F469</v>
      </c>
      <c r="I1090">
        <f>HEX2DEC(Table1[[#This Row],[utf8]])</f>
        <v>128105</v>
      </c>
      <c r="J1090" t="str">
        <f>_xlfn.UNICHAR(HEX2DEC(Table1[[#This Row],[utf8]]))</f>
        <v>👩</v>
      </c>
      <c r="K1090" s="3" t="str" cm="1">
        <f t="array" ref="K1090">"Case "&amp;wRandomLetter()&amp;wRandomLetter()&amp;I1090&amp;":    UniConst = ChrW(" &amp; I1090 &amp;")"</f>
        <v>Case pc128105:    UniConst = ChrW(128105)</v>
      </c>
    </row>
    <row r="1091" spans="1:11" hidden="1">
      <c r="A1091" t="s">
        <v>1543</v>
      </c>
      <c r="B1091" t="str">
        <f t="shared" ref="B1091:B1154" si="104">TRIM(A1091)</f>
        <v>1F469 1F3FC 200D 1F37C ; fully-qualified # 👩🏼‍🍼 E13.0 woman feeding baby: medium-light skin tone</v>
      </c>
      <c r="C1091" t="str">
        <f t="shared" ref="C1091:C1154" si="105">LEFT(B1091,(FIND(";",B1091,1)-1))</f>
        <v xml:space="preserve">1F469 1F3FC 200D 1F37C </v>
      </c>
      <c r="D1091">
        <f t="shared" ref="D1091:D1154" si="106">LEN(C1091)</f>
        <v>23</v>
      </c>
      <c r="E1091" t="str">
        <f t="shared" si="102"/>
        <v xml:space="preserve"> 👩🏼‍🍼 E13.0 woman feeding baby: medium-light skin tone</v>
      </c>
      <c r="F1091" t="b">
        <f t="shared" ref="F1091:F1154" si="107">IF(LEFT(C1091,2)="1F",TRUE,FALSE)</f>
        <v>1</v>
      </c>
      <c r="G1091" t="str">
        <f t="shared" si="103"/>
        <v>1F469</v>
      </c>
      <c r="I1091">
        <f>HEX2DEC(Table1[[#This Row],[utf8]])</f>
        <v>128105</v>
      </c>
      <c r="J1091" t="str">
        <f>_xlfn.UNICHAR(HEX2DEC(Table1[[#This Row],[utf8]]))</f>
        <v>👩</v>
      </c>
      <c r="K1091" s="3" t="str" cm="1">
        <f t="array" ref="K1091">"Case "&amp;wRandomLetter()&amp;wRandomLetter()&amp;I1091&amp;":    UniConst = ChrW(" &amp; I1091 &amp;")"</f>
        <v>Case dL128105:    UniConst = ChrW(128105)</v>
      </c>
    </row>
    <row r="1092" spans="1:11" hidden="1">
      <c r="A1092" t="s">
        <v>992</v>
      </c>
      <c r="B1092" t="str">
        <f t="shared" si="104"/>
        <v>1F469 1F3FC 200D 1F393 ; fully-qualified # 👩🏼‍🎓 E4.0 woman student: medium-light skin tone</v>
      </c>
      <c r="C1092" t="str">
        <f t="shared" si="105"/>
        <v xml:space="preserve">1F469 1F3FC 200D 1F393 </v>
      </c>
      <c r="D1092">
        <f t="shared" si="106"/>
        <v>23</v>
      </c>
      <c r="E1092" t="str">
        <f t="shared" si="102"/>
        <v xml:space="preserve"> 👩🏼‍🎓 E4.0 woman student: medium-light skin tone</v>
      </c>
      <c r="F1092" t="b">
        <f t="shared" si="107"/>
        <v>1</v>
      </c>
      <c r="G1092" t="str">
        <f t="shared" si="103"/>
        <v>1F469</v>
      </c>
      <c r="I1092">
        <f>HEX2DEC(Table1[[#This Row],[utf8]])</f>
        <v>128105</v>
      </c>
      <c r="J1092" t="str">
        <f>_xlfn.UNICHAR(HEX2DEC(Table1[[#This Row],[utf8]]))</f>
        <v>👩</v>
      </c>
      <c r="K1092" s="3" t="str" cm="1">
        <f t="array" ref="K1092">"Case "&amp;wRandomLetter()&amp;wRandomLetter()&amp;I1092&amp;":    UniConst = ChrW(" &amp; I1092 &amp;")"</f>
        <v>Case Bj128105:    UniConst = ChrW(128105)</v>
      </c>
    </row>
    <row r="1093" spans="1:11" hidden="1">
      <c r="A1093" t="s">
        <v>1190</v>
      </c>
      <c r="B1093" t="str">
        <f t="shared" si="104"/>
        <v>1F469 1F3FC 200D 1F3A4 ; fully-qualified # 👩🏼‍🎤 E4.0 woman singer: medium-light skin tone</v>
      </c>
      <c r="C1093" t="str">
        <f t="shared" si="105"/>
        <v xml:space="preserve">1F469 1F3FC 200D 1F3A4 </v>
      </c>
      <c r="D1093">
        <f t="shared" si="106"/>
        <v>23</v>
      </c>
      <c r="E1093" t="str">
        <f t="shared" si="102"/>
        <v xml:space="preserve"> 👩🏼‍🎤 E4.0 woman singer: medium-light skin tone</v>
      </c>
      <c r="F1093" t="b">
        <f t="shared" si="107"/>
        <v>1</v>
      </c>
      <c r="G1093" t="str">
        <f t="shared" si="103"/>
        <v>1F469</v>
      </c>
      <c r="I1093">
        <f>HEX2DEC(Table1[[#This Row],[utf8]])</f>
        <v>128105</v>
      </c>
      <c r="J1093" t="str">
        <f>_xlfn.UNICHAR(HEX2DEC(Table1[[#This Row],[utf8]]))</f>
        <v>👩</v>
      </c>
      <c r="K1093" s="3" t="str" cm="1">
        <f t="array" ref="K1093">"Case "&amp;wRandomLetter()&amp;wRandomLetter()&amp;I1093&amp;":    UniConst = ChrW(" &amp; I1093 &amp;")"</f>
        <v>Case rx128105:    UniConst = ChrW(128105)</v>
      </c>
    </row>
    <row r="1094" spans="1:11" hidden="1">
      <c r="A1094" t="s">
        <v>1208</v>
      </c>
      <c r="B1094" t="str">
        <f t="shared" si="104"/>
        <v>1F469 1F3FC 200D 1F3A8 ; fully-qualified # 👩🏼‍🎨 E4.0 woman artist: medium-light skin tone</v>
      </c>
      <c r="C1094" t="str">
        <f t="shared" si="105"/>
        <v xml:space="preserve">1F469 1F3FC 200D 1F3A8 </v>
      </c>
      <c r="D1094">
        <f t="shared" si="106"/>
        <v>23</v>
      </c>
      <c r="E1094" t="str">
        <f t="shared" si="102"/>
        <v xml:space="preserve"> 👩🏼‍🎨 E4.0 woman artist: medium-light skin tone</v>
      </c>
      <c r="F1094" t="b">
        <f t="shared" si="107"/>
        <v>1</v>
      </c>
      <c r="G1094" t="str">
        <f t="shared" si="103"/>
        <v>1F469</v>
      </c>
      <c r="I1094">
        <f>HEX2DEC(Table1[[#This Row],[utf8]])</f>
        <v>128105</v>
      </c>
      <c r="J1094" t="str">
        <f>_xlfn.UNICHAR(HEX2DEC(Table1[[#This Row],[utf8]]))</f>
        <v>👩</v>
      </c>
      <c r="K1094" s="3" t="str" cm="1">
        <f t="array" ref="K1094">"Case "&amp;wRandomLetter()&amp;wRandomLetter()&amp;I1094&amp;":    UniConst = ChrW(" &amp; I1094 &amp;")"</f>
        <v>Case Az128105:    UniConst = ChrW(128105)</v>
      </c>
    </row>
    <row r="1095" spans="1:11" hidden="1">
      <c r="A1095" t="s">
        <v>1010</v>
      </c>
      <c r="B1095" t="str">
        <f t="shared" si="104"/>
        <v>1F469 1F3FC 200D 1F3EB ; fully-qualified # 👩🏼‍🏫 E4.0 woman teacher: medium-light skin tone</v>
      </c>
      <c r="C1095" t="str">
        <f t="shared" si="105"/>
        <v xml:space="preserve">1F469 1F3FC 200D 1F3EB </v>
      </c>
      <c r="D1095">
        <f t="shared" si="106"/>
        <v>23</v>
      </c>
      <c r="E1095" t="str">
        <f t="shared" si="102"/>
        <v xml:space="preserve"> 👩🏼‍🏫 E4.0 woman teacher: medium-light skin tone</v>
      </c>
      <c r="F1095" t="b">
        <f t="shared" si="107"/>
        <v>1</v>
      </c>
      <c r="G1095" t="str">
        <f t="shared" si="103"/>
        <v>1F469</v>
      </c>
      <c r="I1095">
        <f>HEX2DEC(Table1[[#This Row],[utf8]])</f>
        <v>128105</v>
      </c>
      <c r="J1095" t="str">
        <f>_xlfn.UNICHAR(HEX2DEC(Table1[[#This Row],[utf8]]))</f>
        <v>👩</v>
      </c>
      <c r="K1095" s="3" t="str" cm="1">
        <f t="array" ref="K1095">"Case "&amp;wRandomLetter()&amp;wRandomLetter()&amp;I1095&amp;":    UniConst = ChrW(" &amp; I1095 &amp;")"</f>
        <v>Case Ht128105:    UniConst = ChrW(128105)</v>
      </c>
    </row>
    <row r="1096" spans="1:11" hidden="1">
      <c r="A1096" t="s">
        <v>1118</v>
      </c>
      <c r="B1096" t="str">
        <f t="shared" si="104"/>
        <v>1F469 1F3FC 200D 1F3ED ; fully-qualified # 👩🏼‍🏭 E4.0 woman factory worker: medium-light skin tone</v>
      </c>
      <c r="C1096" t="str">
        <f t="shared" si="105"/>
        <v xml:space="preserve">1F469 1F3FC 200D 1F3ED </v>
      </c>
      <c r="D1096">
        <f t="shared" si="106"/>
        <v>23</v>
      </c>
      <c r="E1096" t="str">
        <f t="shared" si="102"/>
        <v xml:space="preserve"> 👩🏼‍🏭 E4.0 woman factory worker: medium-light skin tone</v>
      </c>
      <c r="F1096" t="b">
        <f t="shared" si="107"/>
        <v>1</v>
      </c>
      <c r="G1096" t="str">
        <f t="shared" si="103"/>
        <v>1F469</v>
      </c>
      <c r="I1096">
        <f>HEX2DEC(Table1[[#This Row],[utf8]])</f>
        <v>128105</v>
      </c>
      <c r="J1096" t="str">
        <f>_xlfn.UNICHAR(HEX2DEC(Table1[[#This Row],[utf8]]))</f>
        <v>👩</v>
      </c>
      <c r="K1096" s="3" t="str" cm="1">
        <f t="array" ref="K1096">"Case "&amp;wRandomLetter()&amp;wRandomLetter()&amp;I1096&amp;":    UniConst = ChrW(" &amp; I1096 &amp;")"</f>
        <v>Case my128105:    UniConst = ChrW(128105)</v>
      </c>
    </row>
    <row r="1097" spans="1:11" hidden="1">
      <c r="A1097" t="s">
        <v>1172</v>
      </c>
      <c r="B1097" t="str">
        <f t="shared" si="104"/>
        <v>1F469 1F3FC 200D 1F4BB ; fully-qualified # 👩🏼‍💻 E4.0 woman technologist: medium-light skin tone</v>
      </c>
      <c r="C1097" t="str">
        <f t="shared" si="105"/>
        <v xml:space="preserve">1F469 1F3FC 200D 1F4BB </v>
      </c>
      <c r="D1097">
        <f t="shared" si="106"/>
        <v>23</v>
      </c>
      <c r="E1097" t="str">
        <f t="shared" si="102"/>
        <v xml:space="preserve"> 👩🏼‍💻 E4.0 woman technologist: medium-light skin tone</v>
      </c>
      <c r="F1097" t="b">
        <f t="shared" si="107"/>
        <v>1</v>
      </c>
      <c r="G1097" t="str">
        <f t="shared" si="103"/>
        <v>1F469</v>
      </c>
      <c r="I1097">
        <f>HEX2DEC(Table1[[#This Row],[utf8]])</f>
        <v>128105</v>
      </c>
      <c r="J1097" t="str">
        <f>_xlfn.UNICHAR(HEX2DEC(Table1[[#This Row],[utf8]]))</f>
        <v>👩</v>
      </c>
      <c r="K1097" s="3" t="str" cm="1">
        <f t="array" ref="K1097">"Case "&amp;wRandomLetter()&amp;wRandomLetter()&amp;I1097&amp;":    UniConst = ChrW(" &amp; I1097 &amp;")"</f>
        <v>Case iY128105:    UniConst = ChrW(128105)</v>
      </c>
    </row>
    <row r="1098" spans="1:11" hidden="1">
      <c r="A1098" t="s">
        <v>1136</v>
      </c>
      <c r="B1098" t="str">
        <f t="shared" si="104"/>
        <v>1F469 1F3FC 200D 1F4BC ; fully-qualified # 👩🏼‍💼 E4.0 woman office worker: medium-light skin tone</v>
      </c>
      <c r="C1098" t="str">
        <f t="shared" si="105"/>
        <v xml:space="preserve">1F469 1F3FC 200D 1F4BC </v>
      </c>
      <c r="D1098">
        <f t="shared" si="106"/>
        <v>23</v>
      </c>
      <c r="E1098" t="str">
        <f t="shared" si="102"/>
        <v xml:space="preserve"> 👩🏼‍💼 E4.0 woman office worker: medium-light skin tone</v>
      </c>
      <c r="F1098" t="b">
        <f t="shared" si="107"/>
        <v>1</v>
      </c>
      <c r="G1098" t="str">
        <f t="shared" si="103"/>
        <v>1F469</v>
      </c>
      <c r="I1098">
        <f>HEX2DEC(Table1[[#This Row],[utf8]])</f>
        <v>128105</v>
      </c>
      <c r="J1098" t="str">
        <f>_xlfn.UNICHAR(HEX2DEC(Table1[[#This Row],[utf8]]))</f>
        <v>👩</v>
      </c>
      <c r="K1098" s="3" t="str" cm="1">
        <f t="array" ref="K1098">"Case "&amp;wRandomLetter()&amp;wRandomLetter()&amp;I1098&amp;":    UniConst = ChrW(" &amp; I1098 &amp;")"</f>
        <v>Case Xq128105:    UniConst = ChrW(128105)</v>
      </c>
    </row>
    <row r="1099" spans="1:11" hidden="1">
      <c r="A1099" t="s">
        <v>1100</v>
      </c>
      <c r="B1099" t="str">
        <f t="shared" si="104"/>
        <v>1F469 1F3FC 200D 1F527 ; fully-qualified # 👩🏼‍🔧 E4.0 woman mechanic: medium-light skin tone</v>
      </c>
      <c r="C1099" t="str">
        <f t="shared" si="105"/>
        <v xml:space="preserve">1F469 1F3FC 200D 1F527 </v>
      </c>
      <c r="D1099">
        <f t="shared" si="106"/>
        <v>23</v>
      </c>
      <c r="E1099" t="str">
        <f t="shared" si="102"/>
        <v xml:space="preserve"> 👩🏼‍🔧 E4.0 woman mechanic: medium-light skin tone</v>
      </c>
      <c r="F1099" t="b">
        <f t="shared" si="107"/>
        <v>1</v>
      </c>
      <c r="G1099" t="str">
        <f t="shared" si="103"/>
        <v>1F469</v>
      </c>
      <c r="I1099">
        <f>HEX2DEC(Table1[[#This Row],[utf8]])</f>
        <v>128105</v>
      </c>
      <c r="J1099" t="str">
        <f>_xlfn.UNICHAR(HEX2DEC(Table1[[#This Row],[utf8]]))</f>
        <v>👩</v>
      </c>
      <c r="K1099" s="3" t="str" cm="1">
        <f t="array" ref="K1099">"Case "&amp;wRandomLetter()&amp;wRandomLetter()&amp;I1099&amp;":    UniConst = ChrW(" &amp; I1099 &amp;")"</f>
        <v>Case EC128105:    UniConst = ChrW(128105)</v>
      </c>
    </row>
    <row r="1100" spans="1:11" hidden="1">
      <c r="A1100" t="s">
        <v>1154</v>
      </c>
      <c r="B1100" t="str">
        <f t="shared" si="104"/>
        <v>1F469 1F3FC 200D 1F52C ; fully-qualified # 👩🏼‍🔬 E4.0 woman scientist: medium-light skin tone</v>
      </c>
      <c r="C1100" t="str">
        <f t="shared" si="105"/>
        <v xml:space="preserve">1F469 1F3FC 200D 1F52C </v>
      </c>
      <c r="D1100">
        <f t="shared" si="106"/>
        <v>23</v>
      </c>
      <c r="E1100" t="str">
        <f t="shared" si="102"/>
        <v xml:space="preserve"> 👩🏼‍🔬 E4.0 woman scientist: medium-light skin tone</v>
      </c>
      <c r="F1100" t="b">
        <f t="shared" si="107"/>
        <v>1</v>
      </c>
      <c r="G1100" t="str">
        <f t="shared" si="103"/>
        <v>1F469</v>
      </c>
      <c r="I1100">
        <f>HEX2DEC(Table1[[#This Row],[utf8]])</f>
        <v>128105</v>
      </c>
      <c r="J1100" t="str">
        <f>_xlfn.UNICHAR(HEX2DEC(Table1[[#This Row],[utf8]]))</f>
        <v>👩</v>
      </c>
      <c r="K1100" s="3" t="str" cm="1">
        <f t="array" ref="K1100">"Case "&amp;wRandomLetter()&amp;wRandomLetter()&amp;I1100&amp;":    UniConst = ChrW(" &amp; I1100 &amp;")"</f>
        <v>Case ii128105:    UniConst = ChrW(128105)</v>
      </c>
    </row>
    <row r="1101" spans="1:11" hidden="1">
      <c r="A1101" t="s">
        <v>1262</v>
      </c>
      <c r="B1101" t="str">
        <f t="shared" si="104"/>
        <v>1F469 1F3FC 200D 1F680 ; fully-qualified # 👩🏼‍🚀 E4.0 woman astronaut: medium-light skin tone</v>
      </c>
      <c r="C1101" t="str">
        <f t="shared" si="105"/>
        <v xml:space="preserve">1F469 1F3FC 200D 1F680 </v>
      </c>
      <c r="D1101">
        <f t="shared" si="106"/>
        <v>23</v>
      </c>
      <c r="E1101" t="str">
        <f t="shared" si="102"/>
        <v xml:space="preserve"> 👩🏼‍🚀 E4.0 woman astronaut: medium-light skin tone</v>
      </c>
      <c r="F1101" t="b">
        <f t="shared" si="107"/>
        <v>1</v>
      </c>
      <c r="G1101" t="str">
        <f t="shared" si="103"/>
        <v>1F469</v>
      </c>
      <c r="I1101">
        <f>HEX2DEC(Table1[[#This Row],[utf8]])</f>
        <v>128105</v>
      </c>
      <c r="J1101" t="str">
        <f>_xlfn.UNICHAR(HEX2DEC(Table1[[#This Row],[utf8]]))</f>
        <v>👩</v>
      </c>
      <c r="K1101" s="3" t="str" cm="1">
        <f t="array" ref="K1101">"Case "&amp;wRandomLetter()&amp;wRandomLetter()&amp;I1101&amp;":    UniConst = ChrW(" &amp; I1101 &amp;")"</f>
        <v>Case sK128105:    UniConst = ChrW(128105)</v>
      </c>
    </row>
    <row r="1102" spans="1:11" hidden="1">
      <c r="A1102" t="s">
        <v>1280</v>
      </c>
      <c r="B1102" t="str">
        <f t="shared" si="104"/>
        <v>1F469 1F3FC 200D 1F692 ; fully-qualified # 👩🏼‍🚒 E4.0 woman firefighter: medium-light skin tone</v>
      </c>
      <c r="C1102" t="str">
        <f t="shared" si="105"/>
        <v xml:space="preserve">1F469 1F3FC 200D 1F692 </v>
      </c>
      <c r="D1102">
        <f t="shared" si="106"/>
        <v>23</v>
      </c>
      <c r="E1102" t="str">
        <f t="shared" si="102"/>
        <v xml:space="preserve"> 👩🏼‍🚒 E4.0 woman firefighter: medium-light skin tone</v>
      </c>
      <c r="F1102" t="b">
        <f t="shared" si="107"/>
        <v>1</v>
      </c>
      <c r="G1102" t="str">
        <f t="shared" si="103"/>
        <v>1F469</v>
      </c>
      <c r="I1102">
        <f>HEX2DEC(Table1[[#This Row],[utf8]])</f>
        <v>128105</v>
      </c>
      <c r="J1102" t="str">
        <f>_xlfn.UNICHAR(HEX2DEC(Table1[[#This Row],[utf8]]))</f>
        <v>👩</v>
      </c>
      <c r="K1102" s="3" t="str" cm="1">
        <f t="array" ref="K1102">"Case "&amp;wRandomLetter()&amp;wRandomLetter()&amp;I1102&amp;":    UniConst = ChrW(" &amp; I1102 &amp;")"</f>
        <v>Case SL128105:    UniConst = ChrW(128105)</v>
      </c>
    </row>
    <row r="1103" spans="1:11" hidden="1">
      <c r="A1103" t="s">
        <v>2621</v>
      </c>
      <c r="B1103" t="str">
        <f t="shared" si="104"/>
        <v>1F469 1F3FC 200D 1F91D 200D 1F468 1F3FB ; fully-qualified # 👩🏼‍🤝‍👨🏻 E12.0 woman and man holding hands: medium-light skin tone, light skin tone</v>
      </c>
      <c r="C1103" t="str">
        <f t="shared" si="105"/>
        <v xml:space="preserve">1F469 1F3FC 200D 1F91D 200D 1F468 1F3FB </v>
      </c>
      <c r="D1103">
        <f t="shared" si="106"/>
        <v>40</v>
      </c>
      <c r="E1103" t="str">
        <f t="shared" si="102"/>
        <v xml:space="preserve"> 👩🏼‍🤝‍👨🏻 E12.0 woman and man holding hands: medium-light skin tone, light skin tone</v>
      </c>
      <c r="F1103" t="b">
        <f t="shared" si="107"/>
        <v>1</v>
      </c>
      <c r="G1103" t="str">
        <f t="shared" si="103"/>
        <v>1F469</v>
      </c>
      <c r="I1103">
        <f>HEX2DEC(Table1[[#This Row],[utf8]])</f>
        <v>128105</v>
      </c>
      <c r="J1103" t="str">
        <f>_xlfn.UNICHAR(HEX2DEC(Table1[[#This Row],[utf8]]))</f>
        <v>👩</v>
      </c>
      <c r="K1103" s="3" t="str" cm="1">
        <f t="array" ref="K1103">"Case "&amp;wRandomLetter()&amp;wRandomLetter()&amp;I1103&amp;":    UniConst = ChrW(" &amp; I1103 &amp;")"</f>
        <v>Case OK128105:    UniConst = ChrW(128105)</v>
      </c>
    </row>
    <row r="1104" spans="1:11" hidden="1">
      <c r="A1104" t="s">
        <v>2623</v>
      </c>
      <c r="B1104" t="str">
        <f t="shared" si="104"/>
        <v>1F469 1F3FC 200D 1F91D 200D 1F468 1F3FD ; fully-qualified # 👩🏼‍🤝‍👨🏽 E12.0 woman and man holding hands: medium-light skin tone, medium skin tone</v>
      </c>
      <c r="C1104" t="str">
        <f t="shared" si="105"/>
        <v xml:space="preserve">1F469 1F3FC 200D 1F91D 200D 1F468 1F3FD </v>
      </c>
      <c r="D1104">
        <f t="shared" si="106"/>
        <v>40</v>
      </c>
      <c r="E1104" t="str">
        <f t="shared" si="102"/>
        <v xml:space="preserve"> 👩🏼‍🤝‍👨🏽 E12.0 woman and man holding hands: medium-light skin tone, medium skin tone</v>
      </c>
      <c r="F1104" t="b">
        <f t="shared" si="107"/>
        <v>1</v>
      </c>
      <c r="G1104" t="str">
        <f t="shared" si="103"/>
        <v>1F469</v>
      </c>
      <c r="I1104">
        <f>HEX2DEC(Table1[[#This Row],[utf8]])</f>
        <v>128105</v>
      </c>
      <c r="J1104" t="str">
        <f>_xlfn.UNICHAR(HEX2DEC(Table1[[#This Row],[utf8]]))</f>
        <v>👩</v>
      </c>
      <c r="K1104" s="3" t="str" cm="1">
        <f t="array" ref="K1104">"Case "&amp;wRandomLetter()&amp;wRandomLetter()&amp;I1104&amp;":    UniConst = ChrW(" &amp; I1104 &amp;")"</f>
        <v>Case Bi128105:    UniConst = ChrW(128105)</v>
      </c>
    </row>
    <row r="1105" spans="1:11" hidden="1">
      <c r="A1105" t="s">
        <v>2624</v>
      </c>
      <c r="B1105" t="str">
        <f t="shared" si="104"/>
        <v>1F469 1F3FC 200D 1F91D 200D 1F468 1F3FE ; fully-qualified # 👩🏼‍🤝‍👨🏾 E12.0 woman and man holding hands: medium-light skin tone, medium-dark skin tone</v>
      </c>
      <c r="C1105" t="str">
        <f t="shared" si="105"/>
        <v xml:space="preserve">1F469 1F3FC 200D 1F91D 200D 1F468 1F3FE </v>
      </c>
      <c r="D1105">
        <f t="shared" si="106"/>
        <v>40</v>
      </c>
      <c r="E1105" t="str">
        <f t="shared" si="102"/>
        <v xml:space="preserve"> 👩🏼‍🤝‍👨🏾 E12.0 woman and man holding hands: medium-light skin tone, medium-dark skin tone</v>
      </c>
      <c r="F1105" t="b">
        <f t="shared" si="107"/>
        <v>1</v>
      </c>
      <c r="G1105" t="str">
        <f t="shared" si="103"/>
        <v>1F469</v>
      </c>
      <c r="I1105">
        <f>HEX2DEC(Table1[[#This Row],[utf8]])</f>
        <v>128105</v>
      </c>
      <c r="J1105" t="str">
        <f>_xlfn.UNICHAR(HEX2DEC(Table1[[#This Row],[utf8]]))</f>
        <v>👩</v>
      </c>
      <c r="K1105" s="3" t="str" cm="1">
        <f t="array" ref="K1105">"Case "&amp;wRandomLetter()&amp;wRandomLetter()&amp;I1105&amp;":    UniConst = ChrW(" &amp; I1105 &amp;")"</f>
        <v>Case mz128105:    UniConst = ChrW(128105)</v>
      </c>
    </row>
    <row r="1106" spans="1:11" hidden="1">
      <c r="A1106" t="s">
        <v>2625</v>
      </c>
      <c r="B1106" t="str">
        <f t="shared" si="104"/>
        <v>1F469 1F3FC 200D 1F91D 200D 1F468 1F3FF ; fully-qualified # 👩🏼‍🤝‍👨🏿 E12.0 woman and man holding hands: medium-light skin tone, dark skin tone</v>
      </c>
      <c r="C1106" t="str">
        <f t="shared" si="105"/>
        <v xml:space="preserve">1F469 1F3FC 200D 1F91D 200D 1F468 1F3FF </v>
      </c>
      <c r="D1106">
        <f t="shared" si="106"/>
        <v>40</v>
      </c>
      <c r="E1106" t="str">
        <f t="shared" si="102"/>
        <v xml:space="preserve"> 👩🏼‍🤝‍👨🏿 E12.0 woman and man holding hands: medium-light skin tone, dark skin tone</v>
      </c>
      <c r="F1106" t="b">
        <f t="shared" si="107"/>
        <v>1</v>
      </c>
      <c r="G1106" t="str">
        <f t="shared" si="103"/>
        <v>1F469</v>
      </c>
      <c r="I1106">
        <f>HEX2DEC(Table1[[#This Row],[utf8]])</f>
        <v>128105</v>
      </c>
      <c r="J1106" t="str">
        <f>_xlfn.UNICHAR(HEX2DEC(Table1[[#This Row],[utf8]]))</f>
        <v>👩</v>
      </c>
      <c r="K1106" s="3" t="str" cm="1">
        <f t="array" ref="K1106">"Case "&amp;wRandomLetter()&amp;wRandomLetter()&amp;I1106&amp;":    UniConst = ChrW(" &amp; I1106 &amp;")"</f>
        <v>Case We128105:    UniConst = ChrW(128105)</v>
      </c>
    </row>
    <row r="1107" spans="1:11" hidden="1">
      <c r="A1107" t="s">
        <v>2595</v>
      </c>
      <c r="B1107" t="str">
        <f t="shared" si="104"/>
        <v>1F469 1F3FC 200D 1F91D 200D 1F469 1F3FB ; fully-qualified # 👩🏼‍🤝‍👩🏻 E12.0 women holding hands: medium-light skin tone, light skin tone</v>
      </c>
      <c r="C1107" t="str">
        <f t="shared" si="105"/>
        <v xml:space="preserve">1F469 1F3FC 200D 1F91D 200D 1F469 1F3FB </v>
      </c>
      <c r="D1107">
        <f t="shared" si="106"/>
        <v>40</v>
      </c>
      <c r="E1107" t="str">
        <f t="shared" si="102"/>
        <v xml:space="preserve"> 👩🏼‍🤝‍👩🏻 E12.0 women holding hands: medium-light skin tone, light skin tone</v>
      </c>
      <c r="F1107" t="b">
        <f t="shared" si="107"/>
        <v>1</v>
      </c>
      <c r="G1107" t="str">
        <f t="shared" si="103"/>
        <v>1F469</v>
      </c>
      <c r="I1107">
        <f>HEX2DEC(Table1[[#This Row],[utf8]])</f>
        <v>128105</v>
      </c>
      <c r="J1107" t="str">
        <f>_xlfn.UNICHAR(HEX2DEC(Table1[[#This Row],[utf8]]))</f>
        <v>👩</v>
      </c>
      <c r="K1107" s="3" t="str" cm="1">
        <f t="array" ref="K1107">"Case "&amp;wRandomLetter()&amp;wRandomLetter()&amp;I1107&amp;":    UniConst = ChrW(" &amp; I1107 &amp;")"</f>
        <v>Case GB128105:    UniConst = ChrW(128105)</v>
      </c>
    </row>
    <row r="1108" spans="1:11" hidden="1">
      <c r="A1108" t="s">
        <v>2597</v>
      </c>
      <c r="B1108" t="str">
        <f t="shared" si="104"/>
        <v>1F469 1F3FC 200D 1F91D 200D 1F469 1F3FD ; fully-qualified # 👩🏼‍🤝‍👩🏽 E12.1 women holding hands: medium-light skin tone, medium skin tone</v>
      </c>
      <c r="C1108" t="str">
        <f t="shared" si="105"/>
        <v xml:space="preserve">1F469 1F3FC 200D 1F91D 200D 1F469 1F3FD </v>
      </c>
      <c r="D1108">
        <f t="shared" si="106"/>
        <v>40</v>
      </c>
      <c r="E1108" t="str">
        <f t="shared" si="102"/>
        <v xml:space="preserve"> 👩🏼‍🤝‍👩🏽 E12.1 women holding hands: medium-light skin tone, medium skin tone</v>
      </c>
      <c r="F1108" t="b">
        <f t="shared" si="107"/>
        <v>1</v>
      </c>
      <c r="G1108" t="str">
        <f t="shared" si="103"/>
        <v>1F469</v>
      </c>
      <c r="I1108">
        <f>HEX2DEC(Table1[[#This Row],[utf8]])</f>
        <v>128105</v>
      </c>
      <c r="J1108" t="str">
        <f>_xlfn.UNICHAR(HEX2DEC(Table1[[#This Row],[utf8]]))</f>
        <v>👩</v>
      </c>
      <c r="K1108" s="3" t="str" cm="1">
        <f t="array" ref="K1108">"Case "&amp;wRandomLetter()&amp;wRandomLetter()&amp;I1108&amp;":    UniConst = ChrW(" &amp; I1108 &amp;")"</f>
        <v>Case iv128105:    UniConst = ChrW(128105)</v>
      </c>
    </row>
    <row r="1109" spans="1:11" hidden="1">
      <c r="A1109" t="s">
        <v>2598</v>
      </c>
      <c r="B1109" t="str">
        <f t="shared" si="104"/>
        <v>1F469 1F3FC 200D 1F91D 200D 1F469 1F3FE ; fully-qualified # 👩🏼‍🤝‍👩🏾 E12.1 women holding hands: medium-light skin tone, medium-dark skin tone</v>
      </c>
      <c r="C1109" t="str">
        <f t="shared" si="105"/>
        <v xml:space="preserve">1F469 1F3FC 200D 1F91D 200D 1F469 1F3FE </v>
      </c>
      <c r="D1109">
        <f t="shared" si="106"/>
        <v>40</v>
      </c>
      <c r="E1109" t="str">
        <f t="shared" si="102"/>
        <v xml:space="preserve"> 👩🏼‍🤝‍👩🏾 E12.1 women holding hands: medium-light skin tone, medium-dark skin tone</v>
      </c>
      <c r="F1109" t="b">
        <f t="shared" si="107"/>
        <v>1</v>
      </c>
      <c r="G1109" t="str">
        <f t="shared" si="103"/>
        <v>1F469</v>
      </c>
      <c r="I1109">
        <f>HEX2DEC(Table1[[#This Row],[utf8]])</f>
        <v>128105</v>
      </c>
      <c r="J1109" t="str">
        <f>_xlfn.UNICHAR(HEX2DEC(Table1[[#This Row],[utf8]]))</f>
        <v>👩</v>
      </c>
      <c r="K1109" s="3" t="str" cm="1">
        <f t="array" ref="K1109">"Case "&amp;wRandomLetter()&amp;wRandomLetter()&amp;I1109&amp;":    UniConst = ChrW(" &amp; I1109 &amp;")"</f>
        <v>Case Cf128105:    UniConst = ChrW(128105)</v>
      </c>
    </row>
    <row r="1110" spans="1:11" hidden="1">
      <c r="A1110" t="s">
        <v>2599</v>
      </c>
      <c r="B1110" t="str">
        <f t="shared" si="104"/>
        <v>1F469 1F3FC 200D 1F91D 200D 1F469 1F3FF ; fully-qualified # 👩🏼‍🤝‍👩🏿 E12.1 women holding hands: medium-light skin tone, dark skin tone</v>
      </c>
      <c r="C1110" t="str">
        <f t="shared" si="105"/>
        <v xml:space="preserve">1F469 1F3FC 200D 1F91D 200D 1F469 1F3FF </v>
      </c>
      <c r="D1110">
        <f t="shared" si="106"/>
        <v>40</v>
      </c>
      <c r="E1110" t="str">
        <f t="shared" si="102"/>
        <v xml:space="preserve"> 👩🏼‍🤝‍👩🏿 E12.1 women holding hands: medium-light skin tone, dark skin tone</v>
      </c>
      <c r="F1110" t="b">
        <f t="shared" si="107"/>
        <v>1</v>
      </c>
      <c r="G1110" t="str">
        <f t="shared" si="103"/>
        <v>1F469</v>
      </c>
      <c r="I1110">
        <f>HEX2DEC(Table1[[#This Row],[utf8]])</f>
        <v>128105</v>
      </c>
      <c r="J1110" t="str">
        <f>_xlfn.UNICHAR(HEX2DEC(Table1[[#This Row],[utf8]]))</f>
        <v>👩</v>
      </c>
      <c r="K1110" s="3" t="str" cm="1">
        <f t="array" ref="K1110">"Case "&amp;wRandomLetter()&amp;wRandomLetter()&amp;I1110&amp;":    UniConst = ChrW(" &amp; I1110 &amp;")"</f>
        <v>Case TD128105:    UniConst = ChrW(128105)</v>
      </c>
    </row>
    <row r="1111" spans="1:11" hidden="1">
      <c r="A1111" t="s">
        <v>1969</v>
      </c>
      <c r="B1111" t="str">
        <f t="shared" si="104"/>
        <v>1F469 1F3FC 200D 1F9AF ; fully-qualified # 👩🏼‍🦯 E12.0 woman with white cane: medium-light skin tone</v>
      </c>
      <c r="C1111" t="str">
        <f t="shared" si="105"/>
        <v xml:space="preserve">1F469 1F3FC 200D 1F9AF </v>
      </c>
      <c r="D1111">
        <f t="shared" si="106"/>
        <v>23</v>
      </c>
      <c r="E1111" t="str">
        <f t="shared" si="102"/>
        <v xml:space="preserve"> 👩🏼‍🦯 E12.0 woman with white cane: medium-light skin tone</v>
      </c>
      <c r="F1111" t="b">
        <f t="shared" si="107"/>
        <v>1</v>
      </c>
      <c r="G1111" t="str">
        <f t="shared" si="103"/>
        <v>1F469</v>
      </c>
      <c r="I1111">
        <f>HEX2DEC(Table1[[#This Row],[utf8]])</f>
        <v>128105</v>
      </c>
      <c r="J1111" t="str">
        <f>_xlfn.UNICHAR(HEX2DEC(Table1[[#This Row],[utf8]]))</f>
        <v>👩</v>
      </c>
      <c r="K1111" s="3" t="str" cm="1">
        <f t="array" ref="K1111">"Case "&amp;wRandomLetter()&amp;wRandomLetter()&amp;I1111&amp;":    UniConst = ChrW(" &amp; I1111 &amp;")"</f>
        <v>Case vP128105:    UniConst = ChrW(128105)</v>
      </c>
    </row>
    <row r="1112" spans="1:11" hidden="1">
      <c r="A1112" t="s">
        <v>552</v>
      </c>
      <c r="B1112" t="str">
        <f t="shared" si="104"/>
        <v>1F469 1F3FC 200D 1F9B0 ; fully-qualified # 👩🏼‍🦰 E11.0 woman: medium-light skin tone, red hair</v>
      </c>
      <c r="C1112" t="str">
        <f t="shared" si="105"/>
        <v xml:space="preserve">1F469 1F3FC 200D 1F9B0 </v>
      </c>
      <c r="D1112">
        <f t="shared" si="106"/>
        <v>23</v>
      </c>
      <c r="E1112" t="str">
        <f t="shared" si="102"/>
        <v xml:space="preserve"> 👩🏼‍🦰 E11.0 woman: medium-light skin tone, red hair</v>
      </c>
      <c r="F1112" t="b">
        <f t="shared" si="107"/>
        <v>1</v>
      </c>
      <c r="G1112" t="str">
        <f t="shared" si="103"/>
        <v>1F469</v>
      </c>
      <c r="I1112">
        <f>HEX2DEC(Table1[[#This Row],[utf8]])</f>
        <v>128105</v>
      </c>
      <c r="J1112" t="str">
        <f>_xlfn.UNICHAR(HEX2DEC(Table1[[#This Row],[utf8]]))</f>
        <v>👩</v>
      </c>
      <c r="K1112" s="3" t="str" cm="1">
        <f t="array" ref="K1112">"Case "&amp;wRandomLetter()&amp;wRandomLetter()&amp;I1112&amp;":    UniConst = ChrW(" &amp; I1112 &amp;")"</f>
        <v>Case Gy128105:    UniConst = ChrW(128105)</v>
      </c>
    </row>
    <row r="1113" spans="1:11" hidden="1">
      <c r="A1113" t="s">
        <v>564</v>
      </c>
      <c r="B1113" t="str">
        <f t="shared" si="104"/>
        <v>1F469 1F3FC 200D 1F9B1 ; fully-qualified # 👩🏼‍🦱 E11.0 woman: medium-light skin tone, curly hair</v>
      </c>
      <c r="C1113" t="str">
        <f t="shared" si="105"/>
        <v xml:space="preserve">1F469 1F3FC 200D 1F9B1 </v>
      </c>
      <c r="D1113">
        <f t="shared" si="106"/>
        <v>23</v>
      </c>
      <c r="E1113" t="str">
        <f t="shared" si="102"/>
        <v xml:space="preserve"> 👩🏼‍🦱 E11.0 woman: medium-light skin tone, curly hair</v>
      </c>
      <c r="F1113" t="b">
        <f t="shared" si="107"/>
        <v>1</v>
      </c>
      <c r="G1113" t="str">
        <f t="shared" si="103"/>
        <v>1F469</v>
      </c>
      <c r="I1113">
        <f>HEX2DEC(Table1[[#This Row],[utf8]])</f>
        <v>128105</v>
      </c>
      <c r="J1113" t="str">
        <f>_xlfn.UNICHAR(HEX2DEC(Table1[[#This Row],[utf8]]))</f>
        <v>👩</v>
      </c>
      <c r="K1113" s="3" t="str" cm="1">
        <f t="array" ref="K1113">"Case "&amp;wRandomLetter()&amp;wRandomLetter()&amp;I1113&amp;":    UniConst = ChrW(" &amp; I1113 &amp;")"</f>
        <v>Case YB128105:    UniConst = ChrW(128105)</v>
      </c>
    </row>
    <row r="1114" spans="1:11" hidden="1">
      <c r="A1114" t="s">
        <v>588</v>
      </c>
      <c r="B1114" t="str">
        <f t="shared" si="104"/>
        <v>1F469 1F3FC 200D 1F9B2 ; fully-qualified # 👩🏼‍🦲 E11.0 woman: medium-light skin tone, bald</v>
      </c>
      <c r="C1114" t="str">
        <f t="shared" si="105"/>
        <v xml:space="preserve">1F469 1F3FC 200D 1F9B2 </v>
      </c>
      <c r="D1114">
        <f t="shared" si="106"/>
        <v>23</v>
      </c>
      <c r="E1114" t="str">
        <f t="shared" si="102"/>
        <v xml:space="preserve"> 👩🏼‍🦲 E11.0 woman: medium-light skin tone, bald</v>
      </c>
      <c r="F1114" t="b">
        <f t="shared" si="107"/>
        <v>1</v>
      </c>
      <c r="G1114" t="str">
        <f t="shared" si="103"/>
        <v>1F469</v>
      </c>
      <c r="I1114">
        <f>HEX2DEC(Table1[[#This Row],[utf8]])</f>
        <v>128105</v>
      </c>
      <c r="J1114" t="str">
        <f>_xlfn.UNICHAR(HEX2DEC(Table1[[#This Row],[utf8]]))</f>
        <v>👩</v>
      </c>
      <c r="K1114" s="3" t="str" cm="1">
        <f t="array" ref="K1114">"Case "&amp;wRandomLetter()&amp;wRandomLetter()&amp;I1114&amp;":    UniConst = ChrW(" &amp; I1114 &amp;")"</f>
        <v>Case sf128105:    UniConst = ChrW(128105)</v>
      </c>
    </row>
    <row r="1115" spans="1:11" hidden="1">
      <c r="A1115" t="s">
        <v>576</v>
      </c>
      <c r="B1115" t="str">
        <f t="shared" si="104"/>
        <v>1F469 1F3FC 200D 1F9B3 ; fully-qualified # 👩🏼‍🦳 E11.0 woman: medium-light skin tone, white hair</v>
      </c>
      <c r="C1115" t="str">
        <f t="shared" si="105"/>
        <v xml:space="preserve">1F469 1F3FC 200D 1F9B3 </v>
      </c>
      <c r="D1115">
        <f t="shared" si="106"/>
        <v>23</v>
      </c>
      <c r="E1115" t="str">
        <f t="shared" si="102"/>
        <v xml:space="preserve"> 👩🏼‍🦳 E11.0 woman: medium-light skin tone, white hair</v>
      </c>
      <c r="F1115" t="b">
        <f t="shared" si="107"/>
        <v>1</v>
      </c>
      <c r="G1115" t="str">
        <f t="shared" si="103"/>
        <v>1F469</v>
      </c>
      <c r="I1115">
        <f>HEX2DEC(Table1[[#This Row],[utf8]])</f>
        <v>128105</v>
      </c>
      <c r="J1115" t="str">
        <f>_xlfn.UNICHAR(HEX2DEC(Table1[[#This Row],[utf8]]))</f>
        <v>👩</v>
      </c>
      <c r="K1115" s="3" t="str" cm="1">
        <f t="array" ref="K1115">"Case "&amp;wRandomLetter()&amp;wRandomLetter()&amp;I1115&amp;":    UniConst = ChrW(" &amp; I1115 &amp;")"</f>
        <v>Case NS128105:    UniConst = ChrW(128105)</v>
      </c>
    </row>
    <row r="1116" spans="1:11" hidden="1">
      <c r="A1116" t="s">
        <v>1987</v>
      </c>
      <c r="B1116" t="str">
        <f t="shared" si="104"/>
        <v>1F469 1F3FC 200D 1F9BC ; fully-qualified # 👩🏼‍🦼 E12.0 woman in motorized wheelchair: medium-light skin tone</v>
      </c>
      <c r="C1116" t="str">
        <f t="shared" si="105"/>
        <v xml:space="preserve">1F469 1F3FC 200D 1F9BC </v>
      </c>
      <c r="D1116">
        <f t="shared" si="106"/>
        <v>23</v>
      </c>
      <c r="E1116" t="str">
        <f t="shared" si="102"/>
        <v xml:space="preserve"> 👩🏼‍🦼 E12.0 woman in motorized wheelchair: medium-light skin tone</v>
      </c>
      <c r="F1116" t="b">
        <f t="shared" si="107"/>
        <v>1</v>
      </c>
      <c r="G1116" t="str">
        <f t="shared" si="103"/>
        <v>1F469</v>
      </c>
      <c r="I1116">
        <f>HEX2DEC(Table1[[#This Row],[utf8]])</f>
        <v>128105</v>
      </c>
      <c r="J1116" t="str">
        <f>_xlfn.UNICHAR(HEX2DEC(Table1[[#This Row],[utf8]]))</f>
        <v>👩</v>
      </c>
      <c r="K1116" s="3" t="str" cm="1">
        <f t="array" ref="K1116">"Case "&amp;wRandomLetter()&amp;wRandomLetter()&amp;I1116&amp;":    UniConst = ChrW(" &amp; I1116 &amp;")"</f>
        <v>Case pD128105:    UniConst = ChrW(128105)</v>
      </c>
    </row>
    <row r="1117" spans="1:11" hidden="1">
      <c r="A1117" t="s">
        <v>2005</v>
      </c>
      <c r="B1117" t="str">
        <f t="shared" si="104"/>
        <v>1F469 1F3FC 200D 1F9BD ; fully-qualified # 👩🏼‍🦽 E12.0 woman in manual wheelchair: medium-light skin tone</v>
      </c>
      <c r="C1117" t="str">
        <f t="shared" si="105"/>
        <v xml:space="preserve">1F469 1F3FC 200D 1F9BD </v>
      </c>
      <c r="D1117">
        <f t="shared" si="106"/>
        <v>23</v>
      </c>
      <c r="E1117" t="str">
        <f t="shared" si="102"/>
        <v xml:space="preserve"> 👩🏼‍🦽 E12.0 woman in manual wheelchair: medium-light skin tone</v>
      </c>
      <c r="F1117" t="b">
        <f t="shared" si="107"/>
        <v>1</v>
      </c>
      <c r="G1117" t="str">
        <f t="shared" si="103"/>
        <v>1F469</v>
      </c>
      <c r="I1117">
        <f>HEX2DEC(Table1[[#This Row],[utf8]])</f>
        <v>128105</v>
      </c>
      <c r="J1117" t="str">
        <f>_xlfn.UNICHAR(HEX2DEC(Table1[[#This Row],[utf8]]))</f>
        <v>👩</v>
      </c>
      <c r="K1117" s="3" t="str" cm="1">
        <f t="array" ref="K1117">"Case "&amp;wRandomLetter()&amp;wRandomLetter()&amp;I1117&amp;":    UniConst = ChrW(" &amp; I1117 &amp;")"</f>
        <v>Case hm128105:    UniConst = ChrW(128105)</v>
      </c>
    </row>
    <row r="1118" spans="1:11" hidden="1">
      <c r="A1118" t="s">
        <v>971</v>
      </c>
      <c r="B1118" t="str">
        <f t="shared" si="104"/>
        <v>1F469 1F3FC 200D 2695 ; minimally-qualified # 👩🏼‍⚕ E4.0 woman health worker: medium-light skin tone</v>
      </c>
      <c r="C1118" t="str">
        <f t="shared" si="105"/>
        <v xml:space="preserve">1F469 1F3FC 200D 2695 </v>
      </c>
      <c r="D1118">
        <f t="shared" si="106"/>
        <v>22</v>
      </c>
      <c r="E1118" t="str">
        <f t="shared" si="102"/>
        <v xml:space="preserve"> 👩🏼‍⚕ E4.0 woman health worker: medium-light skin tone</v>
      </c>
      <c r="F1118" t="b">
        <f t="shared" si="107"/>
        <v>1</v>
      </c>
      <c r="G1118" t="str">
        <f t="shared" si="103"/>
        <v>1F469</v>
      </c>
      <c r="I1118">
        <f>HEX2DEC(Table1[[#This Row],[utf8]])</f>
        <v>128105</v>
      </c>
      <c r="J1118" t="str">
        <f>_xlfn.UNICHAR(HEX2DEC(Table1[[#This Row],[utf8]]))</f>
        <v>👩</v>
      </c>
      <c r="K1118" s="3" t="str" cm="1">
        <f t="array" ref="K1118">"Case "&amp;wRandomLetter()&amp;wRandomLetter()&amp;I1118&amp;":    UniConst = ChrW(" &amp; I1118 &amp;")"</f>
        <v>Case xt128105:    UniConst = ChrW(128105)</v>
      </c>
    </row>
    <row r="1119" spans="1:11" hidden="1">
      <c r="A1119" t="s">
        <v>970</v>
      </c>
      <c r="B1119" t="str">
        <f t="shared" si="104"/>
        <v>1F469 1F3FC 200D 2695 FE0F ; fully-qualified # 👩🏼‍⚕️ E4.0 woman health worker: medium-light skin tone</v>
      </c>
      <c r="C1119" t="str">
        <f t="shared" si="105"/>
        <v xml:space="preserve">1F469 1F3FC 200D 2695 FE0F </v>
      </c>
      <c r="D1119">
        <f t="shared" si="106"/>
        <v>27</v>
      </c>
      <c r="E1119" t="str">
        <f t="shared" si="102"/>
        <v xml:space="preserve"> 👩🏼‍⚕️ E4.0 woman health worker: medium-light skin tone</v>
      </c>
      <c r="F1119" t="b">
        <f t="shared" si="107"/>
        <v>1</v>
      </c>
      <c r="G1119" t="str">
        <f t="shared" si="103"/>
        <v>1F469</v>
      </c>
      <c r="I1119">
        <f>HEX2DEC(Table1[[#This Row],[utf8]])</f>
        <v>128105</v>
      </c>
      <c r="J1119" t="str">
        <f>_xlfn.UNICHAR(HEX2DEC(Table1[[#This Row],[utf8]]))</f>
        <v>👩</v>
      </c>
      <c r="K1119" s="3" t="str" cm="1">
        <f t="array" ref="K1119">"Case "&amp;wRandomLetter()&amp;wRandomLetter()&amp;I1119&amp;":    UniConst = ChrW(" &amp; I1119 &amp;")"</f>
        <v>Case XE128105:    UniConst = ChrW(128105)</v>
      </c>
    </row>
    <row r="1120" spans="1:11" hidden="1">
      <c r="A1120" t="s">
        <v>1043</v>
      </c>
      <c r="B1120" t="str">
        <f t="shared" si="104"/>
        <v>1F469 1F3FC 200D 2696 ; minimally-qualified # 👩🏼‍⚖ E4.0 woman judge: medium-light skin tone</v>
      </c>
      <c r="C1120" t="str">
        <f t="shared" si="105"/>
        <v xml:space="preserve">1F469 1F3FC 200D 2696 </v>
      </c>
      <c r="D1120">
        <f t="shared" si="106"/>
        <v>22</v>
      </c>
      <c r="E1120" t="str">
        <f t="shared" si="102"/>
        <v xml:space="preserve"> 👩🏼‍⚖ E4.0 woman judge: medium-light skin tone</v>
      </c>
      <c r="F1120" t="b">
        <f t="shared" si="107"/>
        <v>1</v>
      </c>
      <c r="G1120" t="str">
        <f t="shared" si="103"/>
        <v>1F469</v>
      </c>
      <c r="I1120">
        <f>HEX2DEC(Table1[[#This Row],[utf8]])</f>
        <v>128105</v>
      </c>
      <c r="J1120" t="str">
        <f>_xlfn.UNICHAR(HEX2DEC(Table1[[#This Row],[utf8]]))</f>
        <v>👩</v>
      </c>
      <c r="K1120" s="3" t="str" cm="1">
        <f t="array" ref="K1120">"Case "&amp;wRandomLetter()&amp;wRandomLetter()&amp;I1120&amp;":    UniConst = ChrW(" &amp; I1120 &amp;")"</f>
        <v>Case kd128105:    UniConst = ChrW(128105)</v>
      </c>
    </row>
    <row r="1121" spans="1:11" hidden="1">
      <c r="A1121" t="s">
        <v>1042</v>
      </c>
      <c r="B1121" t="str">
        <f t="shared" si="104"/>
        <v>1F469 1F3FC 200D 2696 FE0F ; fully-qualified # 👩🏼‍⚖️ E4.0 woman judge: medium-light skin tone</v>
      </c>
      <c r="C1121" t="str">
        <f t="shared" si="105"/>
        <v xml:space="preserve">1F469 1F3FC 200D 2696 FE0F </v>
      </c>
      <c r="D1121">
        <f t="shared" si="106"/>
        <v>27</v>
      </c>
      <c r="E1121" t="str">
        <f t="shared" si="102"/>
        <v xml:space="preserve"> 👩🏼‍⚖️ E4.0 woman judge: medium-light skin tone</v>
      </c>
      <c r="F1121" t="b">
        <f t="shared" si="107"/>
        <v>1</v>
      </c>
      <c r="G1121" t="str">
        <f t="shared" si="103"/>
        <v>1F469</v>
      </c>
      <c r="I1121">
        <f>HEX2DEC(Table1[[#This Row],[utf8]])</f>
        <v>128105</v>
      </c>
      <c r="J1121" t="str">
        <f>_xlfn.UNICHAR(HEX2DEC(Table1[[#This Row],[utf8]]))</f>
        <v>👩</v>
      </c>
      <c r="K1121" s="3" t="str" cm="1">
        <f t="array" ref="K1121">"Case "&amp;wRandomLetter()&amp;wRandomLetter()&amp;I1121&amp;":    UniConst = ChrW(" &amp; I1121 &amp;")"</f>
        <v>Case Cv128105:    UniConst = ChrW(128105)</v>
      </c>
    </row>
    <row r="1122" spans="1:11" hidden="1">
      <c r="A1122" t="s">
        <v>1241</v>
      </c>
      <c r="B1122" t="str">
        <f t="shared" si="104"/>
        <v>1F469 1F3FC 200D 2708 ; minimally-qualified # 👩🏼‍✈ E4.0 woman pilot: medium-light skin tone</v>
      </c>
      <c r="C1122" t="str">
        <f t="shared" si="105"/>
        <v xml:space="preserve">1F469 1F3FC 200D 2708 </v>
      </c>
      <c r="D1122">
        <f t="shared" si="106"/>
        <v>22</v>
      </c>
      <c r="E1122" t="str">
        <f t="shared" si="102"/>
        <v xml:space="preserve"> 👩🏼‍✈ E4.0 woman pilot: medium-light skin tone</v>
      </c>
      <c r="F1122" t="b">
        <f t="shared" si="107"/>
        <v>1</v>
      </c>
      <c r="G1122" t="str">
        <f t="shared" si="103"/>
        <v>1F469</v>
      </c>
      <c r="I1122">
        <f>HEX2DEC(Table1[[#This Row],[utf8]])</f>
        <v>128105</v>
      </c>
      <c r="J1122" t="str">
        <f>_xlfn.UNICHAR(HEX2DEC(Table1[[#This Row],[utf8]]))</f>
        <v>👩</v>
      </c>
      <c r="K1122" s="3" t="str" cm="1">
        <f t="array" ref="K1122">"Case "&amp;wRandomLetter()&amp;wRandomLetter()&amp;I1122&amp;":    UniConst = ChrW(" &amp; I1122 &amp;")"</f>
        <v>Case Lh128105:    UniConst = ChrW(128105)</v>
      </c>
    </row>
    <row r="1123" spans="1:11" hidden="1">
      <c r="A1123" t="s">
        <v>1240</v>
      </c>
      <c r="B1123" t="str">
        <f t="shared" si="104"/>
        <v>1F469 1F3FC 200D 2708 FE0F ; fully-qualified # 👩🏼‍✈️ E4.0 woman pilot: medium-light skin tone</v>
      </c>
      <c r="C1123" t="str">
        <f t="shared" si="105"/>
        <v xml:space="preserve">1F469 1F3FC 200D 2708 FE0F </v>
      </c>
      <c r="D1123">
        <f t="shared" si="106"/>
        <v>27</v>
      </c>
      <c r="E1123" t="str">
        <f t="shared" si="102"/>
        <v xml:space="preserve"> 👩🏼‍✈️ E4.0 woman pilot: medium-light skin tone</v>
      </c>
      <c r="F1123" t="b">
        <f t="shared" si="107"/>
        <v>1</v>
      </c>
      <c r="G1123" t="str">
        <f t="shared" si="103"/>
        <v>1F469</v>
      </c>
      <c r="I1123">
        <f>HEX2DEC(Table1[[#This Row],[utf8]])</f>
        <v>128105</v>
      </c>
      <c r="J1123" t="str">
        <f>_xlfn.UNICHAR(HEX2DEC(Table1[[#This Row],[utf8]]))</f>
        <v>👩</v>
      </c>
      <c r="K1123" s="3" t="str" cm="1">
        <f t="array" ref="K1123">"Case "&amp;wRandomLetter()&amp;wRandomLetter()&amp;I1123&amp;":    UniConst = ChrW(" &amp; I1123 &amp;")"</f>
        <v>Case Vf128105:    UniConst = ChrW(128105)</v>
      </c>
    </row>
    <row r="1124" spans="1:11" hidden="1">
      <c r="A1124" t="s">
        <v>2928</v>
      </c>
      <c r="B1124" t="str">
        <f t="shared" si="104"/>
        <v>1F469 1F3FC 200D 2764 200D 1F468 1F3FB ; minimally-qualified # 👩🏼‍❤‍👨🏻 E13.1 couple with heart: woman, man, medium-light skin tone, light skin tone</v>
      </c>
      <c r="C1124" t="str">
        <f t="shared" si="105"/>
        <v xml:space="preserve">1F469 1F3FC 200D 2764 200D 1F468 1F3FB </v>
      </c>
      <c r="D1124">
        <f t="shared" si="106"/>
        <v>39</v>
      </c>
      <c r="E1124" t="str">
        <f t="shared" si="102"/>
        <v xml:space="preserve"> 👩🏼‍❤‍👨🏻 E13.1 couple with heart: woman, man, medium-light skin tone, light skin tone</v>
      </c>
      <c r="F1124" t="b">
        <f t="shared" si="107"/>
        <v>1</v>
      </c>
      <c r="G1124" t="str">
        <f t="shared" si="103"/>
        <v>1F469</v>
      </c>
      <c r="I1124">
        <f>HEX2DEC(Table1[[#This Row],[utf8]])</f>
        <v>128105</v>
      </c>
      <c r="J1124" t="str">
        <f>_xlfn.UNICHAR(HEX2DEC(Table1[[#This Row],[utf8]]))</f>
        <v>👩</v>
      </c>
      <c r="K1124" s="3" t="str" cm="1">
        <f t="array" ref="K1124">"Case "&amp;wRandomLetter()&amp;wRandomLetter()&amp;I1124&amp;":    UniConst = ChrW(" &amp; I1124 &amp;")"</f>
        <v>Case Px128105:    UniConst = ChrW(128105)</v>
      </c>
    </row>
    <row r="1125" spans="1:11" hidden="1">
      <c r="A1125" t="s">
        <v>2930</v>
      </c>
      <c r="B1125" t="str">
        <f t="shared" si="104"/>
        <v>1F469 1F3FC 200D 2764 200D 1F468 1F3FC ; minimally-qualified # 👩🏼‍❤‍👨🏼 E13.1 couple with heart: woman, man, medium-light skin tone</v>
      </c>
      <c r="C1125" t="str">
        <f t="shared" si="105"/>
        <v xml:space="preserve">1F469 1F3FC 200D 2764 200D 1F468 1F3FC </v>
      </c>
      <c r="D1125">
        <f t="shared" si="106"/>
        <v>39</v>
      </c>
      <c r="E1125" t="str">
        <f t="shared" si="102"/>
        <v xml:space="preserve"> 👩🏼‍❤‍👨🏼 E13.1 couple with heart: woman, man, medium-light skin tone</v>
      </c>
      <c r="F1125" t="b">
        <f t="shared" si="107"/>
        <v>1</v>
      </c>
      <c r="G1125" t="str">
        <f t="shared" si="103"/>
        <v>1F469</v>
      </c>
      <c r="I1125">
        <f>HEX2DEC(Table1[[#This Row],[utf8]])</f>
        <v>128105</v>
      </c>
      <c r="J1125" t="str">
        <f>_xlfn.UNICHAR(HEX2DEC(Table1[[#This Row],[utf8]]))</f>
        <v>👩</v>
      </c>
      <c r="K1125" s="3" t="str" cm="1">
        <f t="array" ref="K1125">"Case "&amp;wRandomLetter()&amp;wRandomLetter()&amp;I1125&amp;":    UniConst = ChrW(" &amp; I1125 &amp;")"</f>
        <v>Case hf128105:    UniConst = ChrW(128105)</v>
      </c>
    </row>
    <row r="1126" spans="1:11" hidden="1">
      <c r="A1126" t="s">
        <v>2932</v>
      </c>
      <c r="B1126" t="str">
        <f t="shared" si="104"/>
        <v>1F469 1F3FC 200D 2764 200D 1F468 1F3FD ; minimally-qualified # 👩🏼‍❤‍👨🏽 E13.1 couple with heart: woman, man, medium-light skin tone, medium skin tone</v>
      </c>
      <c r="C1126" t="str">
        <f t="shared" si="105"/>
        <v xml:space="preserve">1F469 1F3FC 200D 2764 200D 1F468 1F3FD </v>
      </c>
      <c r="D1126">
        <f t="shared" si="106"/>
        <v>39</v>
      </c>
      <c r="E1126" t="str">
        <f t="shared" si="102"/>
        <v xml:space="preserve"> 👩🏼‍❤‍👨🏽 E13.1 couple with heart: woman, man, medium-light skin tone, medium skin tone</v>
      </c>
      <c r="F1126" t="b">
        <f t="shared" si="107"/>
        <v>1</v>
      </c>
      <c r="G1126" t="str">
        <f t="shared" si="103"/>
        <v>1F469</v>
      </c>
      <c r="I1126">
        <f>HEX2DEC(Table1[[#This Row],[utf8]])</f>
        <v>128105</v>
      </c>
      <c r="J1126" t="str">
        <f>_xlfn.UNICHAR(HEX2DEC(Table1[[#This Row],[utf8]]))</f>
        <v>👩</v>
      </c>
      <c r="K1126" s="3" t="str" cm="1">
        <f t="array" ref="K1126">"Case "&amp;wRandomLetter()&amp;wRandomLetter()&amp;I1126&amp;":    UniConst = ChrW(" &amp; I1126 &amp;")"</f>
        <v>Case Rc128105:    UniConst = ChrW(128105)</v>
      </c>
    </row>
    <row r="1127" spans="1:11" hidden="1">
      <c r="A1127" t="s">
        <v>2934</v>
      </c>
      <c r="B1127" t="str">
        <f t="shared" si="104"/>
        <v>1F469 1F3FC 200D 2764 200D 1F468 1F3FE ; minimally-qualified # 👩🏼‍❤‍👨🏾 E13.1 couple with heart: woman, man, medium-light skin tone, medium-dark skin tone</v>
      </c>
      <c r="C1127" t="str">
        <f t="shared" si="105"/>
        <v xml:space="preserve">1F469 1F3FC 200D 2764 200D 1F468 1F3FE </v>
      </c>
      <c r="D1127">
        <f t="shared" si="106"/>
        <v>39</v>
      </c>
      <c r="E1127" t="str">
        <f t="shared" si="102"/>
        <v xml:space="preserve"> 👩🏼‍❤‍👨🏾 E13.1 couple with heart: woman, man, medium-light skin tone, medium-dark skin tone</v>
      </c>
      <c r="F1127" t="b">
        <f t="shared" si="107"/>
        <v>1</v>
      </c>
      <c r="G1127" t="str">
        <f t="shared" si="103"/>
        <v>1F469</v>
      </c>
      <c r="I1127">
        <f>HEX2DEC(Table1[[#This Row],[utf8]])</f>
        <v>128105</v>
      </c>
      <c r="J1127" t="str">
        <f>_xlfn.UNICHAR(HEX2DEC(Table1[[#This Row],[utf8]]))</f>
        <v>👩</v>
      </c>
      <c r="K1127" s="3" t="str" cm="1">
        <f t="array" ref="K1127">"Case "&amp;wRandomLetter()&amp;wRandomLetter()&amp;I1127&amp;":    UniConst = ChrW(" &amp; I1127 &amp;")"</f>
        <v>Case BY128105:    UniConst = ChrW(128105)</v>
      </c>
    </row>
    <row r="1128" spans="1:11" hidden="1">
      <c r="A1128" t="s">
        <v>2936</v>
      </c>
      <c r="B1128" t="str">
        <f t="shared" si="104"/>
        <v>1F469 1F3FC 200D 2764 200D 1F468 1F3FF ; minimally-qualified # 👩🏼‍❤‍👨🏿 E13.1 couple with heart: woman, man, medium-light skin tone, dark skin tone</v>
      </c>
      <c r="C1128" t="str">
        <f t="shared" si="105"/>
        <v xml:space="preserve">1F469 1F3FC 200D 2764 200D 1F468 1F3FF </v>
      </c>
      <c r="D1128">
        <f t="shared" si="106"/>
        <v>39</v>
      </c>
      <c r="E1128" t="str">
        <f t="shared" si="102"/>
        <v xml:space="preserve"> 👩🏼‍❤‍👨🏿 E13.1 couple with heart: woman, man, medium-light skin tone, dark skin tone</v>
      </c>
      <c r="F1128" t="b">
        <f t="shared" si="107"/>
        <v>1</v>
      </c>
      <c r="G1128" t="str">
        <f t="shared" si="103"/>
        <v>1F469</v>
      </c>
      <c r="I1128">
        <f>HEX2DEC(Table1[[#This Row],[utf8]])</f>
        <v>128105</v>
      </c>
      <c r="J1128" t="str">
        <f>_xlfn.UNICHAR(HEX2DEC(Table1[[#This Row],[utf8]]))</f>
        <v>👩</v>
      </c>
      <c r="K1128" s="3" t="str" cm="1">
        <f t="array" ref="K1128">"Case "&amp;wRandomLetter()&amp;wRandomLetter()&amp;I1128&amp;":    UniConst = ChrW(" &amp; I1128 &amp;")"</f>
        <v>Case IU128105:    UniConst = ChrW(128105)</v>
      </c>
    </row>
    <row r="1129" spans="1:11" hidden="1">
      <c r="A1129" t="s">
        <v>3032</v>
      </c>
      <c r="B1129" t="str">
        <f t="shared" si="104"/>
        <v>1F469 1F3FC 200D 2764 200D 1F469 1F3FB ; minimally-qualified # 👩🏼‍❤‍👩🏻 E13.1 couple with heart: woman, woman, medium-light skin tone, light skin tone</v>
      </c>
      <c r="C1129" t="str">
        <f t="shared" si="105"/>
        <v xml:space="preserve">1F469 1F3FC 200D 2764 200D 1F469 1F3FB </v>
      </c>
      <c r="D1129">
        <f t="shared" si="106"/>
        <v>39</v>
      </c>
      <c r="E1129" t="str">
        <f t="shared" si="102"/>
        <v xml:space="preserve"> 👩🏼‍❤‍👩🏻 E13.1 couple with heart: woman, woman, medium-light skin tone, light skin tone</v>
      </c>
      <c r="F1129" t="b">
        <f t="shared" si="107"/>
        <v>1</v>
      </c>
      <c r="G1129" t="str">
        <f t="shared" si="103"/>
        <v>1F469</v>
      </c>
      <c r="I1129">
        <f>HEX2DEC(Table1[[#This Row],[utf8]])</f>
        <v>128105</v>
      </c>
      <c r="J1129" t="str">
        <f>_xlfn.UNICHAR(HEX2DEC(Table1[[#This Row],[utf8]]))</f>
        <v>👩</v>
      </c>
      <c r="K1129" s="3" t="str" cm="1">
        <f t="array" ref="K1129">"Case "&amp;wRandomLetter()&amp;wRandomLetter()&amp;I1129&amp;":    UniConst = ChrW(" &amp; I1129 &amp;")"</f>
        <v>Case FN128105:    UniConst = ChrW(128105)</v>
      </c>
    </row>
    <row r="1130" spans="1:11" hidden="1">
      <c r="A1130" t="s">
        <v>3034</v>
      </c>
      <c r="B1130" t="str">
        <f t="shared" si="104"/>
        <v>1F469 1F3FC 200D 2764 200D 1F469 1F3FC ; minimally-qualified # 👩🏼‍❤‍👩🏼 E13.1 couple with heart: woman, woman, medium-light skin tone</v>
      </c>
      <c r="C1130" t="str">
        <f t="shared" si="105"/>
        <v xml:space="preserve">1F469 1F3FC 200D 2764 200D 1F469 1F3FC </v>
      </c>
      <c r="D1130">
        <f t="shared" si="106"/>
        <v>39</v>
      </c>
      <c r="E1130" t="str">
        <f t="shared" si="102"/>
        <v xml:space="preserve"> 👩🏼‍❤‍👩🏼 E13.1 couple with heart: woman, woman, medium-light skin tone</v>
      </c>
      <c r="F1130" t="b">
        <f t="shared" si="107"/>
        <v>1</v>
      </c>
      <c r="G1130" t="str">
        <f t="shared" si="103"/>
        <v>1F469</v>
      </c>
      <c r="I1130">
        <f>HEX2DEC(Table1[[#This Row],[utf8]])</f>
        <v>128105</v>
      </c>
      <c r="J1130" t="str">
        <f>_xlfn.UNICHAR(HEX2DEC(Table1[[#This Row],[utf8]]))</f>
        <v>👩</v>
      </c>
      <c r="K1130" s="3" t="str" cm="1">
        <f t="array" ref="K1130">"Case "&amp;wRandomLetter()&amp;wRandomLetter()&amp;I1130&amp;":    UniConst = ChrW(" &amp; I1130 &amp;")"</f>
        <v>Case Bk128105:    UniConst = ChrW(128105)</v>
      </c>
    </row>
    <row r="1131" spans="1:11" hidden="1">
      <c r="A1131" t="s">
        <v>3036</v>
      </c>
      <c r="B1131" t="str">
        <f t="shared" si="104"/>
        <v>1F469 1F3FC 200D 2764 200D 1F469 1F3FD ; minimally-qualified # 👩🏼‍❤‍👩🏽 E13.1 couple with heart: woman, woman, medium-light skin tone, medium skin tone</v>
      </c>
      <c r="C1131" t="str">
        <f t="shared" si="105"/>
        <v xml:space="preserve">1F469 1F3FC 200D 2764 200D 1F469 1F3FD </v>
      </c>
      <c r="D1131">
        <f t="shared" si="106"/>
        <v>39</v>
      </c>
      <c r="E1131" t="str">
        <f t="shared" si="102"/>
        <v xml:space="preserve"> 👩🏼‍❤‍👩🏽 E13.1 couple with heart: woman, woman, medium-light skin tone, medium skin tone</v>
      </c>
      <c r="F1131" t="b">
        <f t="shared" si="107"/>
        <v>1</v>
      </c>
      <c r="G1131" t="str">
        <f t="shared" si="103"/>
        <v>1F469</v>
      </c>
      <c r="I1131">
        <f>HEX2DEC(Table1[[#This Row],[utf8]])</f>
        <v>128105</v>
      </c>
      <c r="J1131" t="str">
        <f>_xlfn.UNICHAR(HEX2DEC(Table1[[#This Row],[utf8]]))</f>
        <v>👩</v>
      </c>
      <c r="K1131" s="3" t="str" cm="1">
        <f t="array" ref="K1131">"Case "&amp;wRandomLetter()&amp;wRandomLetter()&amp;I1131&amp;":    UniConst = ChrW(" &amp; I1131 &amp;")"</f>
        <v>Case Lv128105:    UniConst = ChrW(128105)</v>
      </c>
    </row>
    <row r="1132" spans="1:11" hidden="1">
      <c r="A1132" t="s">
        <v>3038</v>
      </c>
      <c r="B1132" t="str">
        <f t="shared" si="104"/>
        <v>1F469 1F3FC 200D 2764 200D 1F469 1F3FE ; minimally-qualified # 👩🏼‍❤‍👩🏾 E13.1 couple with heart: woman, woman, medium-light skin tone, medium-dark skin tone</v>
      </c>
      <c r="C1132" t="str">
        <f t="shared" si="105"/>
        <v xml:space="preserve">1F469 1F3FC 200D 2764 200D 1F469 1F3FE </v>
      </c>
      <c r="D1132">
        <f t="shared" si="106"/>
        <v>39</v>
      </c>
      <c r="E1132" t="str">
        <f t="shared" si="102"/>
        <v xml:space="preserve"> 👩🏼‍❤‍👩🏾 E13.1 couple with heart: woman, woman, medium-light skin tone, medium-dark skin tone</v>
      </c>
      <c r="F1132" t="b">
        <f t="shared" si="107"/>
        <v>1</v>
      </c>
      <c r="G1132" t="str">
        <f t="shared" si="103"/>
        <v>1F469</v>
      </c>
      <c r="I1132">
        <f>HEX2DEC(Table1[[#This Row],[utf8]])</f>
        <v>128105</v>
      </c>
      <c r="J1132" t="str">
        <f>_xlfn.UNICHAR(HEX2DEC(Table1[[#This Row],[utf8]]))</f>
        <v>👩</v>
      </c>
      <c r="K1132" s="3" t="str" cm="1">
        <f t="array" ref="K1132">"Case "&amp;wRandomLetter()&amp;wRandomLetter()&amp;I1132&amp;":    UniConst = ChrW(" &amp; I1132 &amp;")"</f>
        <v>Case Xq128105:    UniConst = ChrW(128105)</v>
      </c>
    </row>
    <row r="1133" spans="1:11" hidden="1">
      <c r="A1133" t="s">
        <v>3040</v>
      </c>
      <c r="B1133" t="str">
        <f t="shared" si="104"/>
        <v>1F469 1F3FC 200D 2764 200D 1F469 1F3FF ; minimally-qualified # 👩🏼‍❤‍👩🏿 E13.1 couple with heart: woman, woman, medium-light skin tone, dark skin tone</v>
      </c>
      <c r="C1133" t="str">
        <f t="shared" si="105"/>
        <v xml:space="preserve">1F469 1F3FC 200D 2764 200D 1F469 1F3FF </v>
      </c>
      <c r="D1133">
        <f t="shared" si="106"/>
        <v>39</v>
      </c>
      <c r="E1133" t="str">
        <f t="shared" si="102"/>
        <v xml:space="preserve"> 👩🏼‍❤‍👩🏿 E13.1 couple with heart: woman, woman, medium-light skin tone, dark skin tone</v>
      </c>
      <c r="F1133" t="b">
        <f t="shared" si="107"/>
        <v>1</v>
      </c>
      <c r="G1133" t="str">
        <f t="shared" si="103"/>
        <v>1F469</v>
      </c>
      <c r="I1133">
        <f>HEX2DEC(Table1[[#This Row],[utf8]])</f>
        <v>128105</v>
      </c>
      <c r="J1133" t="str">
        <f>_xlfn.UNICHAR(HEX2DEC(Table1[[#This Row],[utf8]]))</f>
        <v>👩</v>
      </c>
      <c r="K1133" s="3" t="str" cm="1">
        <f t="array" ref="K1133">"Case "&amp;wRandomLetter()&amp;wRandomLetter()&amp;I1133&amp;":    UniConst = ChrW(" &amp; I1133 &amp;")"</f>
        <v>Case zz128105:    UniConst = ChrW(128105)</v>
      </c>
    </row>
    <row r="1134" spans="1:11" hidden="1">
      <c r="A1134" t="s">
        <v>2726</v>
      </c>
      <c r="B1134" t="str">
        <f t="shared" si="104"/>
        <v>1F469 1F3FC 200D 2764 200D 1F48B 200D 1F468 1F3FB ; minimally-qualified # 👩🏼‍❤‍💋‍👨🏻 E13.1 kiss: woman, man, medium-light skin tone, light skin tone</v>
      </c>
      <c r="C1134" t="str">
        <f t="shared" si="105"/>
        <v xml:space="preserve">1F469 1F3FC 200D 2764 200D 1F48B 200D 1F468 1F3FB </v>
      </c>
      <c r="D1134">
        <f t="shared" si="106"/>
        <v>50</v>
      </c>
      <c r="E1134" t="str">
        <f t="shared" si="102"/>
        <v xml:space="preserve"> 👩🏼‍❤‍💋‍👨🏻 E13.1 kiss: woman, man, medium-light skin tone, light skin tone</v>
      </c>
      <c r="F1134" t="b">
        <f t="shared" si="107"/>
        <v>1</v>
      </c>
      <c r="G1134" t="str">
        <f t="shared" si="103"/>
        <v>1F469</v>
      </c>
      <c r="I1134">
        <f>HEX2DEC(Table1[[#This Row],[utf8]])</f>
        <v>128105</v>
      </c>
      <c r="J1134" t="str">
        <f>_xlfn.UNICHAR(HEX2DEC(Table1[[#This Row],[utf8]]))</f>
        <v>👩</v>
      </c>
      <c r="K1134" s="3" t="str" cm="1">
        <f t="array" ref="K1134">"Case "&amp;wRandomLetter()&amp;wRandomLetter()&amp;I1134&amp;":    UniConst = ChrW(" &amp; I1134 &amp;")"</f>
        <v>Case dw128105:    UniConst = ChrW(128105)</v>
      </c>
    </row>
    <row r="1135" spans="1:11" hidden="1">
      <c r="A1135" t="s">
        <v>2728</v>
      </c>
      <c r="B1135" t="str">
        <f t="shared" si="104"/>
        <v>1F469 1F3FC 200D 2764 200D 1F48B 200D 1F468 1F3FC ; minimally-qualified # 👩🏼‍❤‍💋‍👨🏼 E13.1 kiss: woman, man, medium-light skin tone</v>
      </c>
      <c r="C1135" t="str">
        <f t="shared" si="105"/>
        <v xml:space="preserve">1F469 1F3FC 200D 2764 200D 1F48B 200D 1F468 1F3FC </v>
      </c>
      <c r="D1135">
        <f t="shared" si="106"/>
        <v>50</v>
      </c>
      <c r="E1135" t="str">
        <f t="shared" si="102"/>
        <v xml:space="preserve"> 👩🏼‍❤‍💋‍👨🏼 E13.1 kiss: woman, man, medium-light skin tone</v>
      </c>
      <c r="F1135" t="b">
        <f t="shared" si="107"/>
        <v>1</v>
      </c>
      <c r="G1135" t="str">
        <f t="shared" si="103"/>
        <v>1F469</v>
      </c>
      <c r="I1135">
        <f>HEX2DEC(Table1[[#This Row],[utf8]])</f>
        <v>128105</v>
      </c>
      <c r="J1135" t="str">
        <f>_xlfn.UNICHAR(HEX2DEC(Table1[[#This Row],[utf8]]))</f>
        <v>👩</v>
      </c>
      <c r="K1135" s="3" t="str" cm="1">
        <f t="array" ref="K1135">"Case "&amp;wRandomLetter()&amp;wRandomLetter()&amp;I1135&amp;":    UniConst = ChrW(" &amp; I1135 &amp;")"</f>
        <v>Case CK128105:    UniConst = ChrW(128105)</v>
      </c>
    </row>
    <row r="1136" spans="1:11" hidden="1">
      <c r="A1136" t="s">
        <v>2730</v>
      </c>
      <c r="B1136" t="str">
        <f t="shared" si="104"/>
        <v>1F469 1F3FC 200D 2764 200D 1F48B 200D 1F468 1F3FD ; minimally-qualified # 👩🏼‍❤‍💋‍👨🏽 E13.1 kiss: woman, man, medium-light skin tone, medium skin tone</v>
      </c>
      <c r="C1136" t="str">
        <f t="shared" si="105"/>
        <v xml:space="preserve">1F469 1F3FC 200D 2764 200D 1F48B 200D 1F468 1F3FD </v>
      </c>
      <c r="D1136">
        <f t="shared" si="106"/>
        <v>50</v>
      </c>
      <c r="E1136" t="str">
        <f t="shared" si="102"/>
        <v xml:space="preserve"> 👩🏼‍❤‍💋‍👨🏽 E13.1 kiss: woman, man, medium-light skin tone, medium skin tone</v>
      </c>
      <c r="F1136" t="b">
        <f t="shared" si="107"/>
        <v>1</v>
      </c>
      <c r="G1136" t="str">
        <f t="shared" si="103"/>
        <v>1F469</v>
      </c>
      <c r="I1136">
        <f>HEX2DEC(Table1[[#This Row],[utf8]])</f>
        <v>128105</v>
      </c>
      <c r="J1136" t="str">
        <f>_xlfn.UNICHAR(HEX2DEC(Table1[[#This Row],[utf8]]))</f>
        <v>👩</v>
      </c>
      <c r="K1136" s="3" t="str" cm="1">
        <f t="array" ref="K1136">"Case "&amp;wRandomLetter()&amp;wRandomLetter()&amp;I1136&amp;":    UniConst = ChrW(" &amp; I1136 &amp;")"</f>
        <v>Case EQ128105:    UniConst = ChrW(128105)</v>
      </c>
    </row>
    <row r="1137" spans="1:11" hidden="1">
      <c r="A1137" t="s">
        <v>2732</v>
      </c>
      <c r="B1137" t="str">
        <f t="shared" si="104"/>
        <v>1F469 1F3FC 200D 2764 200D 1F48B 200D 1F468 1F3FE ; minimally-qualified # 👩🏼‍❤‍💋‍👨🏾 E13.1 kiss: woman, man, medium-light skin tone, medium-dark skin tone</v>
      </c>
      <c r="C1137" t="str">
        <f t="shared" si="105"/>
        <v xml:space="preserve">1F469 1F3FC 200D 2764 200D 1F48B 200D 1F468 1F3FE </v>
      </c>
      <c r="D1137">
        <f t="shared" si="106"/>
        <v>50</v>
      </c>
      <c r="E1137" t="str">
        <f t="shared" si="102"/>
        <v xml:space="preserve"> 👩🏼‍❤‍💋‍👨🏾 E13.1 kiss: woman, man, medium-light skin tone, medium-dark skin tone</v>
      </c>
      <c r="F1137" t="b">
        <f t="shared" si="107"/>
        <v>1</v>
      </c>
      <c r="G1137" t="str">
        <f t="shared" si="103"/>
        <v>1F469</v>
      </c>
      <c r="I1137">
        <f>HEX2DEC(Table1[[#This Row],[utf8]])</f>
        <v>128105</v>
      </c>
      <c r="J1137" t="str">
        <f>_xlfn.UNICHAR(HEX2DEC(Table1[[#This Row],[utf8]]))</f>
        <v>👩</v>
      </c>
      <c r="K1137" s="3" t="str" cm="1">
        <f t="array" ref="K1137">"Case "&amp;wRandomLetter()&amp;wRandomLetter()&amp;I1137&amp;":    UniConst = ChrW(" &amp; I1137 &amp;")"</f>
        <v>Case pc128105:    UniConst = ChrW(128105)</v>
      </c>
    </row>
    <row r="1138" spans="1:11" hidden="1">
      <c r="A1138" t="s">
        <v>2734</v>
      </c>
      <c r="B1138" t="str">
        <f t="shared" si="104"/>
        <v>1F469 1F3FC 200D 2764 200D 1F48B 200D 1F468 1F3FF ; minimally-qualified # 👩🏼‍❤‍💋‍👨🏿 E13.1 kiss: woman, man, medium-light skin tone, dark skin tone</v>
      </c>
      <c r="C1138" t="str">
        <f t="shared" si="105"/>
        <v xml:space="preserve">1F469 1F3FC 200D 2764 200D 1F48B 200D 1F468 1F3FF </v>
      </c>
      <c r="D1138">
        <f t="shared" si="106"/>
        <v>50</v>
      </c>
      <c r="E1138" t="str">
        <f t="shared" si="102"/>
        <v xml:space="preserve"> 👩🏼‍❤‍💋‍👨🏿 E13.1 kiss: woman, man, medium-light skin tone, dark skin tone</v>
      </c>
      <c r="F1138" t="b">
        <f t="shared" si="107"/>
        <v>1</v>
      </c>
      <c r="G1138" t="str">
        <f t="shared" si="103"/>
        <v>1F469</v>
      </c>
      <c r="I1138">
        <f>HEX2DEC(Table1[[#This Row],[utf8]])</f>
        <v>128105</v>
      </c>
      <c r="J1138" t="str">
        <f>_xlfn.UNICHAR(HEX2DEC(Table1[[#This Row],[utf8]]))</f>
        <v>👩</v>
      </c>
      <c r="K1138" s="3" t="str" cm="1">
        <f t="array" ref="K1138">"Case "&amp;wRandomLetter()&amp;wRandomLetter()&amp;I1138&amp;":    UniConst = ChrW(" &amp; I1138 &amp;")"</f>
        <v>Case bP128105:    UniConst = ChrW(128105)</v>
      </c>
    </row>
    <row r="1139" spans="1:11" hidden="1">
      <c r="A1139" t="s">
        <v>2830</v>
      </c>
      <c r="B1139" t="str">
        <f t="shared" si="104"/>
        <v>1F469 1F3FC 200D 2764 200D 1F48B 200D 1F469 1F3FB ; minimally-qualified # 👩🏼‍❤‍💋‍👩🏻 E13.1 kiss: woman, woman, medium-light skin tone, light skin tone</v>
      </c>
      <c r="C1139" t="str">
        <f t="shared" si="105"/>
        <v xml:space="preserve">1F469 1F3FC 200D 2764 200D 1F48B 200D 1F469 1F3FB </v>
      </c>
      <c r="D1139">
        <f t="shared" si="106"/>
        <v>50</v>
      </c>
      <c r="E1139" t="str">
        <f t="shared" si="102"/>
        <v xml:space="preserve"> 👩🏼‍❤‍💋‍👩🏻 E13.1 kiss: woman, woman, medium-light skin tone, light skin tone</v>
      </c>
      <c r="F1139" t="b">
        <f t="shared" si="107"/>
        <v>1</v>
      </c>
      <c r="G1139" t="str">
        <f t="shared" si="103"/>
        <v>1F469</v>
      </c>
      <c r="I1139">
        <f>HEX2DEC(Table1[[#This Row],[utf8]])</f>
        <v>128105</v>
      </c>
      <c r="J1139" t="str">
        <f>_xlfn.UNICHAR(HEX2DEC(Table1[[#This Row],[utf8]]))</f>
        <v>👩</v>
      </c>
      <c r="K1139" s="3" t="str" cm="1">
        <f t="array" ref="K1139">"Case "&amp;wRandomLetter()&amp;wRandomLetter()&amp;I1139&amp;":    UniConst = ChrW(" &amp; I1139 &amp;")"</f>
        <v>Case sK128105:    UniConst = ChrW(128105)</v>
      </c>
    </row>
    <row r="1140" spans="1:11" hidden="1">
      <c r="A1140" t="s">
        <v>2832</v>
      </c>
      <c r="B1140" t="str">
        <f t="shared" si="104"/>
        <v>1F469 1F3FC 200D 2764 200D 1F48B 200D 1F469 1F3FC ; minimally-qualified # 👩🏼‍❤‍💋‍👩🏼 E13.1 kiss: woman, woman, medium-light skin tone</v>
      </c>
      <c r="C1140" t="str">
        <f t="shared" si="105"/>
        <v xml:space="preserve">1F469 1F3FC 200D 2764 200D 1F48B 200D 1F469 1F3FC </v>
      </c>
      <c r="D1140">
        <f t="shared" si="106"/>
        <v>50</v>
      </c>
      <c r="E1140" t="str">
        <f t="shared" si="102"/>
        <v xml:space="preserve"> 👩🏼‍❤‍💋‍👩🏼 E13.1 kiss: woman, woman, medium-light skin tone</v>
      </c>
      <c r="F1140" t="b">
        <f t="shared" si="107"/>
        <v>1</v>
      </c>
      <c r="G1140" t="str">
        <f t="shared" si="103"/>
        <v>1F469</v>
      </c>
      <c r="I1140">
        <f>HEX2DEC(Table1[[#This Row],[utf8]])</f>
        <v>128105</v>
      </c>
      <c r="J1140" t="str">
        <f>_xlfn.UNICHAR(HEX2DEC(Table1[[#This Row],[utf8]]))</f>
        <v>👩</v>
      </c>
      <c r="K1140" s="3" t="str" cm="1">
        <f t="array" ref="K1140">"Case "&amp;wRandomLetter()&amp;wRandomLetter()&amp;I1140&amp;":    UniConst = ChrW(" &amp; I1140 &amp;")"</f>
        <v>Case XT128105:    UniConst = ChrW(128105)</v>
      </c>
    </row>
    <row r="1141" spans="1:11" hidden="1">
      <c r="A1141" t="s">
        <v>2834</v>
      </c>
      <c r="B1141" t="str">
        <f t="shared" si="104"/>
        <v>1F469 1F3FC 200D 2764 200D 1F48B 200D 1F469 1F3FD ; minimally-qualified # 👩🏼‍❤‍💋‍👩🏽 E13.1 kiss: woman, woman, medium-light skin tone, medium skin tone</v>
      </c>
      <c r="C1141" t="str">
        <f t="shared" si="105"/>
        <v xml:space="preserve">1F469 1F3FC 200D 2764 200D 1F48B 200D 1F469 1F3FD </v>
      </c>
      <c r="D1141">
        <f t="shared" si="106"/>
        <v>50</v>
      </c>
      <c r="E1141" t="str">
        <f t="shared" si="102"/>
        <v xml:space="preserve"> 👩🏼‍❤‍💋‍👩🏽 E13.1 kiss: woman, woman, medium-light skin tone, medium skin tone</v>
      </c>
      <c r="F1141" t="b">
        <f t="shared" si="107"/>
        <v>1</v>
      </c>
      <c r="G1141" t="str">
        <f t="shared" si="103"/>
        <v>1F469</v>
      </c>
      <c r="I1141">
        <f>HEX2DEC(Table1[[#This Row],[utf8]])</f>
        <v>128105</v>
      </c>
      <c r="J1141" t="str">
        <f>_xlfn.UNICHAR(HEX2DEC(Table1[[#This Row],[utf8]]))</f>
        <v>👩</v>
      </c>
      <c r="K1141" s="3" t="str" cm="1">
        <f t="array" ref="K1141">"Case "&amp;wRandomLetter()&amp;wRandomLetter()&amp;I1141&amp;":    UniConst = ChrW(" &amp; I1141 &amp;")"</f>
        <v>Case bF128105:    UniConst = ChrW(128105)</v>
      </c>
    </row>
    <row r="1142" spans="1:11" hidden="1">
      <c r="A1142" t="s">
        <v>2836</v>
      </c>
      <c r="B1142" t="str">
        <f t="shared" si="104"/>
        <v>1F469 1F3FC 200D 2764 200D 1F48B 200D 1F469 1F3FE ; minimally-qualified # 👩🏼‍❤‍💋‍👩🏾 E13.1 kiss: woman, woman, medium-light skin tone, medium-dark skin tone</v>
      </c>
      <c r="C1142" t="str">
        <f t="shared" si="105"/>
        <v xml:space="preserve">1F469 1F3FC 200D 2764 200D 1F48B 200D 1F469 1F3FE </v>
      </c>
      <c r="D1142">
        <f t="shared" si="106"/>
        <v>50</v>
      </c>
      <c r="E1142" t="str">
        <f t="shared" si="102"/>
        <v xml:space="preserve"> 👩🏼‍❤‍💋‍👩🏾 E13.1 kiss: woman, woman, medium-light skin tone, medium-dark skin tone</v>
      </c>
      <c r="F1142" t="b">
        <f t="shared" si="107"/>
        <v>1</v>
      </c>
      <c r="G1142" t="str">
        <f t="shared" si="103"/>
        <v>1F469</v>
      </c>
      <c r="I1142">
        <f>HEX2DEC(Table1[[#This Row],[utf8]])</f>
        <v>128105</v>
      </c>
      <c r="J1142" t="str">
        <f>_xlfn.UNICHAR(HEX2DEC(Table1[[#This Row],[utf8]]))</f>
        <v>👩</v>
      </c>
      <c r="K1142" s="3" t="str" cm="1">
        <f t="array" ref="K1142">"Case "&amp;wRandomLetter()&amp;wRandomLetter()&amp;I1142&amp;":    UniConst = ChrW(" &amp; I1142 &amp;")"</f>
        <v>Case xg128105:    UniConst = ChrW(128105)</v>
      </c>
    </row>
    <row r="1143" spans="1:11" hidden="1">
      <c r="A1143" t="s">
        <v>2838</v>
      </c>
      <c r="B1143" t="str">
        <f t="shared" si="104"/>
        <v>1F469 1F3FC 200D 2764 200D 1F48B 200D 1F469 1F3FF ; minimally-qualified # 👩🏼‍❤‍💋‍👩🏿 E13.1 kiss: woman, woman, medium-light skin tone, dark skin tone</v>
      </c>
      <c r="C1143" t="str">
        <f t="shared" si="105"/>
        <v xml:space="preserve">1F469 1F3FC 200D 2764 200D 1F48B 200D 1F469 1F3FF </v>
      </c>
      <c r="D1143">
        <f t="shared" si="106"/>
        <v>50</v>
      </c>
      <c r="E1143" t="str">
        <f t="shared" si="102"/>
        <v xml:space="preserve"> 👩🏼‍❤‍💋‍👩🏿 E13.1 kiss: woman, woman, medium-light skin tone, dark skin tone</v>
      </c>
      <c r="F1143" t="b">
        <f t="shared" si="107"/>
        <v>1</v>
      </c>
      <c r="G1143" t="str">
        <f t="shared" si="103"/>
        <v>1F469</v>
      </c>
      <c r="I1143">
        <f>HEX2DEC(Table1[[#This Row],[utf8]])</f>
        <v>128105</v>
      </c>
      <c r="J1143" t="str">
        <f>_xlfn.UNICHAR(HEX2DEC(Table1[[#This Row],[utf8]]))</f>
        <v>👩</v>
      </c>
      <c r="K1143" s="3" t="str" cm="1">
        <f t="array" ref="K1143">"Case "&amp;wRandomLetter()&amp;wRandomLetter()&amp;I1143&amp;":    UniConst = ChrW(" &amp; I1143 &amp;")"</f>
        <v>Case xY128105:    UniConst = ChrW(128105)</v>
      </c>
    </row>
    <row r="1144" spans="1:11" hidden="1">
      <c r="A1144" t="s">
        <v>2927</v>
      </c>
      <c r="B1144" t="str">
        <f t="shared" si="104"/>
        <v>1F469 1F3FC 200D 2764 FE0F 200D 1F468 1F3FB ; fully-qualified # 👩🏼‍❤️‍👨🏻 E13.1 couple with heart: woman, man, medium-light skin tone, light skin tone</v>
      </c>
      <c r="C1144" t="str">
        <f t="shared" si="105"/>
        <v xml:space="preserve">1F469 1F3FC 200D 2764 FE0F 200D 1F468 1F3FB </v>
      </c>
      <c r="D1144">
        <f t="shared" si="106"/>
        <v>44</v>
      </c>
      <c r="E1144" t="str">
        <f t="shared" si="102"/>
        <v xml:space="preserve"> 👩🏼‍❤️‍👨🏻 E13.1 couple with heart: woman, man, medium-light skin tone, light skin tone</v>
      </c>
      <c r="F1144" t="b">
        <f t="shared" si="107"/>
        <v>1</v>
      </c>
      <c r="G1144" t="str">
        <f t="shared" si="103"/>
        <v>1F469</v>
      </c>
      <c r="I1144">
        <f>HEX2DEC(Table1[[#This Row],[utf8]])</f>
        <v>128105</v>
      </c>
      <c r="J1144" t="str">
        <f>_xlfn.UNICHAR(HEX2DEC(Table1[[#This Row],[utf8]]))</f>
        <v>👩</v>
      </c>
      <c r="K1144" s="3" t="str" cm="1">
        <f t="array" ref="K1144">"Case "&amp;wRandomLetter()&amp;wRandomLetter()&amp;I1144&amp;":    UniConst = ChrW(" &amp; I1144 &amp;")"</f>
        <v>Case Fk128105:    UniConst = ChrW(128105)</v>
      </c>
    </row>
    <row r="1145" spans="1:11" hidden="1">
      <c r="A1145" t="s">
        <v>2929</v>
      </c>
      <c r="B1145" t="str">
        <f t="shared" si="104"/>
        <v>1F469 1F3FC 200D 2764 FE0F 200D 1F468 1F3FC ; fully-qualified # 👩🏼‍❤️‍👨🏼 E13.1 couple with heart: woman, man, medium-light skin tone</v>
      </c>
      <c r="C1145" t="str">
        <f t="shared" si="105"/>
        <v xml:space="preserve">1F469 1F3FC 200D 2764 FE0F 200D 1F468 1F3FC </v>
      </c>
      <c r="D1145">
        <f t="shared" si="106"/>
        <v>44</v>
      </c>
      <c r="E1145" t="str">
        <f t="shared" si="102"/>
        <v xml:space="preserve"> 👩🏼‍❤️‍👨🏼 E13.1 couple with heart: woman, man, medium-light skin tone</v>
      </c>
      <c r="F1145" t="b">
        <f t="shared" si="107"/>
        <v>1</v>
      </c>
      <c r="G1145" t="str">
        <f t="shared" si="103"/>
        <v>1F469</v>
      </c>
      <c r="I1145">
        <f>HEX2DEC(Table1[[#This Row],[utf8]])</f>
        <v>128105</v>
      </c>
      <c r="J1145" t="str">
        <f>_xlfn.UNICHAR(HEX2DEC(Table1[[#This Row],[utf8]]))</f>
        <v>👩</v>
      </c>
      <c r="K1145" s="3" t="str" cm="1">
        <f t="array" ref="K1145">"Case "&amp;wRandomLetter()&amp;wRandomLetter()&amp;I1145&amp;":    UniConst = ChrW(" &amp; I1145 &amp;")"</f>
        <v>Case NA128105:    UniConst = ChrW(128105)</v>
      </c>
    </row>
    <row r="1146" spans="1:11" hidden="1">
      <c r="A1146" t="s">
        <v>2931</v>
      </c>
      <c r="B1146" t="str">
        <f t="shared" si="104"/>
        <v>1F469 1F3FC 200D 2764 FE0F 200D 1F468 1F3FD ; fully-qualified # 👩🏼‍❤️‍👨🏽 E13.1 couple with heart: woman, man, medium-light skin tone, medium skin tone</v>
      </c>
      <c r="C1146" t="str">
        <f t="shared" si="105"/>
        <v xml:space="preserve">1F469 1F3FC 200D 2764 FE0F 200D 1F468 1F3FD </v>
      </c>
      <c r="D1146">
        <f t="shared" si="106"/>
        <v>44</v>
      </c>
      <c r="E1146" t="str">
        <f t="shared" si="102"/>
        <v xml:space="preserve"> 👩🏼‍❤️‍👨🏽 E13.1 couple with heart: woman, man, medium-light skin tone, medium skin tone</v>
      </c>
      <c r="F1146" t="b">
        <f t="shared" si="107"/>
        <v>1</v>
      </c>
      <c r="G1146" t="str">
        <f t="shared" si="103"/>
        <v>1F469</v>
      </c>
      <c r="I1146">
        <f>HEX2DEC(Table1[[#This Row],[utf8]])</f>
        <v>128105</v>
      </c>
      <c r="J1146" t="str">
        <f>_xlfn.UNICHAR(HEX2DEC(Table1[[#This Row],[utf8]]))</f>
        <v>👩</v>
      </c>
      <c r="K1146" s="3" t="str" cm="1">
        <f t="array" ref="K1146">"Case "&amp;wRandomLetter()&amp;wRandomLetter()&amp;I1146&amp;":    UniConst = ChrW(" &amp; I1146 &amp;")"</f>
        <v>Case Qj128105:    UniConst = ChrW(128105)</v>
      </c>
    </row>
    <row r="1147" spans="1:11" hidden="1">
      <c r="A1147" t="s">
        <v>2933</v>
      </c>
      <c r="B1147" t="str">
        <f t="shared" si="104"/>
        <v>1F469 1F3FC 200D 2764 FE0F 200D 1F468 1F3FE ; fully-qualified # 👩🏼‍❤️‍👨🏾 E13.1 couple with heart: woman, man, medium-light skin tone, medium-dark skin tone</v>
      </c>
      <c r="C1147" t="str">
        <f t="shared" si="105"/>
        <v xml:space="preserve">1F469 1F3FC 200D 2764 FE0F 200D 1F468 1F3FE </v>
      </c>
      <c r="D1147">
        <f t="shared" si="106"/>
        <v>44</v>
      </c>
      <c r="E1147" t="str">
        <f t="shared" si="102"/>
        <v xml:space="preserve"> 👩🏼‍❤️‍👨🏾 E13.1 couple with heart: woman, man, medium-light skin tone, medium-dark skin tone</v>
      </c>
      <c r="F1147" t="b">
        <f t="shared" si="107"/>
        <v>1</v>
      </c>
      <c r="G1147" t="str">
        <f t="shared" si="103"/>
        <v>1F469</v>
      </c>
      <c r="I1147">
        <f>HEX2DEC(Table1[[#This Row],[utf8]])</f>
        <v>128105</v>
      </c>
      <c r="J1147" t="str">
        <f>_xlfn.UNICHAR(HEX2DEC(Table1[[#This Row],[utf8]]))</f>
        <v>👩</v>
      </c>
      <c r="K1147" s="3" t="str" cm="1">
        <f t="array" ref="K1147">"Case "&amp;wRandomLetter()&amp;wRandomLetter()&amp;I1147&amp;":    UniConst = ChrW(" &amp; I1147 &amp;")"</f>
        <v>Case nX128105:    UniConst = ChrW(128105)</v>
      </c>
    </row>
    <row r="1148" spans="1:11" hidden="1">
      <c r="A1148" t="s">
        <v>2935</v>
      </c>
      <c r="B1148" t="str">
        <f t="shared" si="104"/>
        <v>1F469 1F3FC 200D 2764 FE0F 200D 1F468 1F3FF ; fully-qualified # 👩🏼‍❤️‍👨🏿 E13.1 couple with heart: woman, man, medium-light skin tone, dark skin tone</v>
      </c>
      <c r="C1148" t="str">
        <f t="shared" si="105"/>
        <v xml:space="preserve">1F469 1F3FC 200D 2764 FE0F 200D 1F468 1F3FF </v>
      </c>
      <c r="D1148">
        <f t="shared" si="106"/>
        <v>44</v>
      </c>
      <c r="E1148" t="str">
        <f t="shared" si="102"/>
        <v xml:space="preserve"> 👩🏼‍❤️‍👨🏿 E13.1 couple with heart: woman, man, medium-light skin tone, dark skin tone</v>
      </c>
      <c r="F1148" t="b">
        <f t="shared" si="107"/>
        <v>1</v>
      </c>
      <c r="G1148" t="str">
        <f t="shared" si="103"/>
        <v>1F469</v>
      </c>
      <c r="I1148">
        <f>HEX2DEC(Table1[[#This Row],[utf8]])</f>
        <v>128105</v>
      </c>
      <c r="J1148" t="str">
        <f>_xlfn.UNICHAR(HEX2DEC(Table1[[#This Row],[utf8]]))</f>
        <v>👩</v>
      </c>
      <c r="K1148" s="3" t="str" cm="1">
        <f t="array" ref="K1148">"Case "&amp;wRandomLetter()&amp;wRandomLetter()&amp;I1148&amp;":    UniConst = ChrW(" &amp; I1148 &amp;")"</f>
        <v>Case Cs128105:    UniConst = ChrW(128105)</v>
      </c>
    </row>
    <row r="1149" spans="1:11" hidden="1">
      <c r="A1149" t="s">
        <v>3031</v>
      </c>
      <c r="B1149" t="str">
        <f t="shared" si="104"/>
        <v>1F469 1F3FC 200D 2764 FE0F 200D 1F469 1F3FB ; fully-qualified # 👩🏼‍❤️‍👩🏻 E13.1 couple with heart: woman, woman, medium-light skin tone, light skin tone</v>
      </c>
      <c r="C1149" t="str">
        <f t="shared" si="105"/>
        <v xml:space="preserve">1F469 1F3FC 200D 2764 FE0F 200D 1F469 1F3FB </v>
      </c>
      <c r="D1149">
        <f t="shared" si="106"/>
        <v>44</v>
      </c>
      <c r="E1149" t="str">
        <f t="shared" si="102"/>
        <v xml:space="preserve"> 👩🏼‍❤️‍👩🏻 E13.1 couple with heart: woman, woman, medium-light skin tone, light skin tone</v>
      </c>
      <c r="F1149" t="b">
        <f t="shared" si="107"/>
        <v>1</v>
      </c>
      <c r="G1149" t="str">
        <f t="shared" si="103"/>
        <v>1F469</v>
      </c>
      <c r="I1149">
        <f>HEX2DEC(Table1[[#This Row],[utf8]])</f>
        <v>128105</v>
      </c>
      <c r="J1149" t="str">
        <f>_xlfn.UNICHAR(HEX2DEC(Table1[[#This Row],[utf8]]))</f>
        <v>👩</v>
      </c>
      <c r="K1149" s="3" t="str" cm="1">
        <f t="array" ref="K1149">"Case "&amp;wRandomLetter()&amp;wRandomLetter()&amp;I1149&amp;":    UniConst = ChrW(" &amp; I1149 &amp;")"</f>
        <v>Case bC128105:    UniConst = ChrW(128105)</v>
      </c>
    </row>
    <row r="1150" spans="1:11" hidden="1">
      <c r="A1150" t="s">
        <v>3033</v>
      </c>
      <c r="B1150" t="str">
        <f t="shared" si="104"/>
        <v>1F469 1F3FC 200D 2764 FE0F 200D 1F469 1F3FC ; fully-qualified # 👩🏼‍❤️‍👩🏼 E13.1 couple with heart: woman, woman, medium-light skin tone</v>
      </c>
      <c r="C1150" t="str">
        <f t="shared" si="105"/>
        <v xml:space="preserve">1F469 1F3FC 200D 2764 FE0F 200D 1F469 1F3FC </v>
      </c>
      <c r="D1150">
        <f t="shared" si="106"/>
        <v>44</v>
      </c>
      <c r="E1150" t="str">
        <f t="shared" si="102"/>
        <v xml:space="preserve"> 👩🏼‍❤️‍👩🏼 E13.1 couple with heart: woman, woman, medium-light skin tone</v>
      </c>
      <c r="F1150" t="b">
        <f t="shared" si="107"/>
        <v>1</v>
      </c>
      <c r="G1150" t="str">
        <f t="shared" si="103"/>
        <v>1F469</v>
      </c>
      <c r="I1150">
        <f>HEX2DEC(Table1[[#This Row],[utf8]])</f>
        <v>128105</v>
      </c>
      <c r="J1150" t="str">
        <f>_xlfn.UNICHAR(HEX2DEC(Table1[[#This Row],[utf8]]))</f>
        <v>👩</v>
      </c>
      <c r="K1150" s="3" t="str" cm="1">
        <f t="array" ref="K1150">"Case "&amp;wRandomLetter()&amp;wRandomLetter()&amp;I1150&amp;":    UniConst = ChrW(" &amp; I1150 &amp;")"</f>
        <v>Case Kk128105:    UniConst = ChrW(128105)</v>
      </c>
    </row>
    <row r="1151" spans="1:11" hidden="1">
      <c r="A1151" t="s">
        <v>3035</v>
      </c>
      <c r="B1151" t="str">
        <f t="shared" si="104"/>
        <v>1F469 1F3FC 200D 2764 FE0F 200D 1F469 1F3FD ; fully-qualified # 👩🏼‍❤️‍👩🏽 E13.1 couple with heart: woman, woman, medium-light skin tone, medium skin tone</v>
      </c>
      <c r="C1151" t="str">
        <f t="shared" si="105"/>
        <v xml:space="preserve">1F469 1F3FC 200D 2764 FE0F 200D 1F469 1F3FD </v>
      </c>
      <c r="D1151">
        <f t="shared" si="106"/>
        <v>44</v>
      </c>
      <c r="E1151" t="str">
        <f t="shared" si="102"/>
        <v xml:space="preserve"> 👩🏼‍❤️‍👩🏽 E13.1 couple with heart: woman, woman, medium-light skin tone, medium skin tone</v>
      </c>
      <c r="F1151" t="b">
        <f t="shared" si="107"/>
        <v>1</v>
      </c>
      <c r="G1151" t="str">
        <f t="shared" si="103"/>
        <v>1F469</v>
      </c>
      <c r="I1151">
        <f>HEX2DEC(Table1[[#This Row],[utf8]])</f>
        <v>128105</v>
      </c>
      <c r="J1151" t="str">
        <f>_xlfn.UNICHAR(HEX2DEC(Table1[[#This Row],[utf8]]))</f>
        <v>👩</v>
      </c>
      <c r="K1151" s="3" t="str" cm="1">
        <f t="array" ref="K1151">"Case "&amp;wRandomLetter()&amp;wRandomLetter()&amp;I1151&amp;":    UniConst = ChrW(" &amp; I1151 &amp;")"</f>
        <v>Case QY128105:    UniConst = ChrW(128105)</v>
      </c>
    </row>
    <row r="1152" spans="1:11" hidden="1">
      <c r="A1152" t="s">
        <v>3037</v>
      </c>
      <c r="B1152" t="str">
        <f t="shared" si="104"/>
        <v>1F469 1F3FC 200D 2764 FE0F 200D 1F469 1F3FE ; fully-qualified # 👩🏼‍❤️‍👩🏾 E13.1 couple with heart: woman, woman, medium-light skin tone, medium-dark skin tone</v>
      </c>
      <c r="C1152" t="str">
        <f t="shared" si="105"/>
        <v xml:space="preserve">1F469 1F3FC 200D 2764 FE0F 200D 1F469 1F3FE </v>
      </c>
      <c r="D1152">
        <f t="shared" si="106"/>
        <v>44</v>
      </c>
      <c r="E1152" t="str">
        <f t="shared" si="102"/>
        <v xml:space="preserve"> 👩🏼‍❤️‍👩🏾 E13.1 couple with heart: woman, woman, medium-light skin tone, medium-dark skin tone</v>
      </c>
      <c r="F1152" t="b">
        <f t="shared" si="107"/>
        <v>1</v>
      </c>
      <c r="G1152" t="str">
        <f t="shared" si="103"/>
        <v>1F469</v>
      </c>
      <c r="I1152">
        <f>HEX2DEC(Table1[[#This Row],[utf8]])</f>
        <v>128105</v>
      </c>
      <c r="J1152" t="str">
        <f>_xlfn.UNICHAR(HEX2DEC(Table1[[#This Row],[utf8]]))</f>
        <v>👩</v>
      </c>
      <c r="K1152" s="3" t="str" cm="1">
        <f t="array" ref="K1152">"Case "&amp;wRandomLetter()&amp;wRandomLetter()&amp;I1152&amp;":    UniConst = ChrW(" &amp; I1152 &amp;")"</f>
        <v>Case hj128105:    UniConst = ChrW(128105)</v>
      </c>
    </row>
    <row r="1153" spans="1:11" hidden="1">
      <c r="A1153" t="s">
        <v>3039</v>
      </c>
      <c r="B1153" t="str">
        <f t="shared" si="104"/>
        <v>1F469 1F3FC 200D 2764 FE0F 200D 1F469 1F3FF ; fully-qualified # 👩🏼‍❤️‍👩🏿 E13.1 couple with heart: woman, woman, medium-light skin tone, dark skin tone</v>
      </c>
      <c r="C1153" t="str">
        <f t="shared" si="105"/>
        <v xml:space="preserve">1F469 1F3FC 200D 2764 FE0F 200D 1F469 1F3FF </v>
      </c>
      <c r="D1153">
        <f t="shared" si="106"/>
        <v>44</v>
      </c>
      <c r="E1153" t="str">
        <f t="shared" si="102"/>
        <v xml:space="preserve"> 👩🏼‍❤️‍👩🏿 E13.1 couple with heart: woman, woman, medium-light skin tone, dark skin tone</v>
      </c>
      <c r="F1153" t="b">
        <f t="shared" si="107"/>
        <v>1</v>
      </c>
      <c r="G1153" t="str">
        <f t="shared" si="103"/>
        <v>1F469</v>
      </c>
      <c r="I1153">
        <f>HEX2DEC(Table1[[#This Row],[utf8]])</f>
        <v>128105</v>
      </c>
      <c r="J1153" t="str">
        <f>_xlfn.UNICHAR(HEX2DEC(Table1[[#This Row],[utf8]]))</f>
        <v>👩</v>
      </c>
      <c r="K1153" s="3" t="str" cm="1">
        <f t="array" ref="K1153">"Case "&amp;wRandomLetter()&amp;wRandomLetter()&amp;I1153&amp;":    UniConst = ChrW(" &amp; I1153 &amp;")"</f>
        <v>Case CW128105:    UniConst = ChrW(128105)</v>
      </c>
    </row>
    <row r="1154" spans="1:11" hidden="1">
      <c r="A1154" t="s">
        <v>2725</v>
      </c>
      <c r="B1154" t="str">
        <f t="shared" si="104"/>
        <v>1F469 1F3FC 200D 2764 FE0F 200D 1F48B 200D 1F468 1F3FB ; fully-qualified # 👩🏼‍❤️‍💋‍👨🏻 E13.1 kiss: woman, man, medium-light skin tone, light skin tone</v>
      </c>
      <c r="C1154" t="str">
        <f t="shared" si="105"/>
        <v xml:space="preserve">1F469 1F3FC 200D 2764 FE0F 200D 1F48B 200D 1F468 1F3FB </v>
      </c>
      <c r="D1154">
        <f t="shared" si="106"/>
        <v>55</v>
      </c>
      <c r="E1154" t="str">
        <f t="shared" ref="E1154:E1217" si="108">MID(A1154,FIND("#",A1154)+1,256)</f>
        <v xml:space="preserve"> 👩🏼‍❤️‍💋‍👨🏻 E13.1 kiss: woman, man, medium-light skin tone, light skin tone</v>
      </c>
      <c r="F1154" t="b">
        <f t="shared" si="107"/>
        <v>1</v>
      </c>
      <c r="G1154" t="str">
        <f t="shared" ref="G1154:G1217" si="109">LEFT(C1154,(FIND(" ",C1154,1)-1))</f>
        <v>1F469</v>
      </c>
      <c r="I1154">
        <f>HEX2DEC(Table1[[#This Row],[utf8]])</f>
        <v>128105</v>
      </c>
      <c r="J1154" t="str">
        <f>_xlfn.UNICHAR(HEX2DEC(Table1[[#This Row],[utf8]]))</f>
        <v>👩</v>
      </c>
      <c r="K1154" s="3" t="str" cm="1">
        <f t="array" ref="K1154">"Case "&amp;wRandomLetter()&amp;wRandomLetter()&amp;I1154&amp;":    UniConst = ChrW(" &amp; I1154 &amp;")"</f>
        <v>Case nt128105:    UniConst = ChrW(128105)</v>
      </c>
    </row>
    <row r="1155" spans="1:11" hidden="1">
      <c r="A1155" t="s">
        <v>2727</v>
      </c>
      <c r="B1155" t="str">
        <f t="shared" ref="B1155:B1218" si="110">TRIM(A1155)</f>
        <v>1F469 1F3FC 200D 2764 FE0F 200D 1F48B 200D 1F468 1F3FC ; fully-qualified # 👩🏼‍❤️‍💋‍👨🏼 E13.1 kiss: woman, man, medium-light skin tone</v>
      </c>
      <c r="C1155" t="str">
        <f t="shared" ref="C1155:C1218" si="111">LEFT(B1155,(FIND(";",B1155,1)-1))</f>
        <v xml:space="preserve">1F469 1F3FC 200D 2764 FE0F 200D 1F48B 200D 1F468 1F3FC </v>
      </c>
      <c r="D1155">
        <f t="shared" ref="D1155:D1218" si="112">LEN(C1155)</f>
        <v>55</v>
      </c>
      <c r="E1155" t="str">
        <f t="shared" si="108"/>
        <v xml:space="preserve"> 👩🏼‍❤️‍💋‍👨🏼 E13.1 kiss: woman, man, medium-light skin tone</v>
      </c>
      <c r="F1155" t="b">
        <f t="shared" ref="F1155:F1218" si="113">IF(LEFT(C1155,2)="1F",TRUE,FALSE)</f>
        <v>1</v>
      </c>
      <c r="G1155" t="str">
        <f t="shared" si="109"/>
        <v>1F469</v>
      </c>
      <c r="I1155">
        <f>HEX2DEC(Table1[[#This Row],[utf8]])</f>
        <v>128105</v>
      </c>
      <c r="J1155" t="str">
        <f>_xlfn.UNICHAR(HEX2DEC(Table1[[#This Row],[utf8]]))</f>
        <v>👩</v>
      </c>
      <c r="K1155" s="3" t="str" cm="1">
        <f t="array" ref="K1155">"Case "&amp;wRandomLetter()&amp;wRandomLetter()&amp;I1155&amp;":    UniConst = ChrW(" &amp; I1155 &amp;")"</f>
        <v>Case qB128105:    UniConst = ChrW(128105)</v>
      </c>
    </row>
    <row r="1156" spans="1:11" hidden="1">
      <c r="A1156" t="s">
        <v>2729</v>
      </c>
      <c r="B1156" t="str">
        <f t="shared" si="110"/>
        <v>1F469 1F3FC 200D 2764 FE0F 200D 1F48B 200D 1F468 1F3FD ; fully-qualified # 👩🏼‍❤️‍💋‍👨🏽 E13.1 kiss: woman, man, medium-light skin tone, medium skin tone</v>
      </c>
      <c r="C1156" t="str">
        <f t="shared" si="111"/>
        <v xml:space="preserve">1F469 1F3FC 200D 2764 FE0F 200D 1F48B 200D 1F468 1F3FD </v>
      </c>
      <c r="D1156">
        <f t="shared" si="112"/>
        <v>55</v>
      </c>
      <c r="E1156" t="str">
        <f t="shared" si="108"/>
        <v xml:space="preserve"> 👩🏼‍❤️‍💋‍👨🏽 E13.1 kiss: woman, man, medium-light skin tone, medium skin tone</v>
      </c>
      <c r="F1156" t="b">
        <f t="shared" si="113"/>
        <v>1</v>
      </c>
      <c r="G1156" t="str">
        <f t="shared" si="109"/>
        <v>1F469</v>
      </c>
      <c r="I1156">
        <f>HEX2DEC(Table1[[#This Row],[utf8]])</f>
        <v>128105</v>
      </c>
      <c r="J1156" t="str">
        <f>_xlfn.UNICHAR(HEX2DEC(Table1[[#This Row],[utf8]]))</f>
        <v>👩</v>
      </c>
      <c r="K1156" s="3" t="str" cm="1">
        <f t="array" ref="K1156">"Case "&amp;wRandomLetter()&amp;wRandomLetter()&amp;I1156&amp;":    UniConst = ChrW(" &amp; I1156 &amp;")"</f>
        <v>Case KG128105:    UniConst = ChrW(128105)</v>
      </c>
    </row>
    <row r="1157" spans="1:11" hidden="1">
      <c r="A1157" t="s">
        <v>2731</v>
      </c>
      <c r="B1157" t="str">
        <f t="shared" si="110"/>
        <v>1F469 1F3FC 200D 2764 FE0F 200D 1F48B 200D 1F468 1F3FE ; fully-qualified # 👩🏼‍❤️‍💋‍👨🏾 E13.1 kiss: woman, man, medium-light skin tone, medium-dark skin tone</v>
      </c>
      <c r="C1157" t="str">
        <f t="shared" si="111"/>
        <v xml:space="preserve">1F469 1F3FC 200D 2764 FE0F 200D 1F48B 200D 1F468 1F3FE </v>
      </c>
      <c r="D1157">
        <f t="shared" si="112"/>
        <v>55</v>
      </c>
      <c r="E1157" t="str">
        <f t="shared" si="108"/>
        <v xml:space="preserve"> 👩🏼‍❤️‍💋‍👨🏾 E13.1 kiss: woman, man, medium-light skin tone, medium-dark skin tone</v>
      </c>
      <c r="F1157" t="b">
        <f t="shared" si="113"/>
        <v>1</v>
      </c>
      <c r="G1157" t="str">
        <f t="shared" si="109"/>
        <v>1F469</v>
      </c>
      <c r="I1157">
        <f>HEX2DEC(Table1[[#This Row],[utf8]])</f>
        <v>128105</v>
      </c>
      <c r="J1157" t="str">
        <f>_xlfn.UNICHAR(HEX2DEC(Table1[[#This Row],[utf8]]))</f>
        <v>👩</v>
      </c>
      <c r="K1157" s="3" t="str" cm="1">
        <f t="array" ref="K1157">"Case "&amp;wRandomLetter()&amp;wRandomLetter()&amp;I1157&amp;":    UniConst = ChrW(" &amp; I1157 &amp;")"</f>
        <v>Case cl128105:    UniConst = ChrW(128105)</v>
      </c>
    </row>
    <row r="1158" spans="1:11" hidden="1">
      <c r="A1158" t="s">
        <v>2733</v>
      </c>
      <c r="B1158" t="str">
        <f t="shared" si="110"/>
        <v>1F469 1F3FC 200D 2764 FE0F 200D 1F48B 200D 1F468 1F3FF ; fully-qualified # 👩🏼‍❤️‍💋‍👨🏿 E13.1 kiss: woman, man, medium-light skin tone, dark skin tone</v>
      </c>
      <c r="C1158" t="str">
        <f t="shared" si="111"/>
        <v xml:space="preserve">1F469 1F3FC 200D 2764 FE0F 200D 1F48B 200D 1F468 1F3FF </v>
      </c>
      <c r="D1158">
        <f t="shared" si="112"/>
        <v>55</v>
      </c>
      <c r="E1158" t="str">
        <f t="shared" si="108"/>
        <v xml:space="preserve"> 👩🏼‍❤️‍💋‍👨🏿 E13.1 kiss: woman, man, medium-light skin tone, dark skin tone</v>
      </c>
      <c r="F1158" t="b">
        <f t="shared" si="113"/>
        <v>1</v>
      </c>
      <c r="G1158" t="str">
        <f t="shared" si="109"/>
        <v>1F469</v>
      </c>
      <c r="I1158">
        <f>HEX2DEC(Table1[[#This Row],[utf8]])</f>
        <v>128105</v>
      </c>
      <c r="J1158" t="str">
        <f>_xlfn.UNICHAR(HEX2DEC(Table1[[#This Row],[utf8]]))</f>
        <v>👩</v>
      </c>
      <c r="K1158" s="3" t="str" cm="1">
        <f t="array" ref="K1158">"Case "&amp;wRandomLetter()&amp;wRandomLetter()&amp;I1158&amp;":    UniConst = ChrW(" &amp; I1158 &amp;")"</f>
        <v>Case Gg128105:    UniConst = ChrW(128105)</v>
      </c>
    </row>
    <row r="1159" spans="1:11" hidden="1">
      <c r="A1159" t="s">
        <v>2829</v>
      </c>
      <c r="B1159" t="str">
        <f t="shared" si="110"/>
        <v>1F469 1F3FC 200D 2764 FE0F 200D 1F48B 200D 1F469 1F3FB ; fully-qualified # 👩🏼‍❤️‍💋‍👩🏻 E13.1 kiss: woman, woman, medium-light skin tone, light skin tone</v>
      </c>
      <c r="C1159" t="str">
        <f t="shared" si="111"/>
        <v xml:space="preserve">1F469 1F3FC 200D 2764 FE0F 200D 1F48B 200D 1F469 1F3FB </v>
      </c>
      <c r="D1159">
        <f t="shared" si="112"/>
        <v>55</v>
      </c>
      <c r="E1159" t="str">
        <f t="shared" si="108"/>
        <v xml:space="preserve"> 👩🏼‍❤️‍💋‍👩🏻 E13.1 kiss: woman, woman, medium-light skin tone, light skin tone</v>
      </c>
      <c r="F1159" t="b">
        <f t="shared" si="113"/>
        <v>1</v>
      </c>
      <c r="G1159" t="str">
        <f t="shared" si="109"/>
        <v>1F469</v>
      </c>
      <c r="I1159">
        <f>HEX2DEC(Table1[[#This Row],[utf8]])</f>
        <v>128105</v>
      </c>
      <c r="J1159" t="str">
        <f>_xlfn.UNICHAR(HEX2DEC(Table1[[#This Row],[utf8]]))</f>
        <v>👩</v>
      </c>
      <c r="K1159" s="3" t="str" cm="1">
        <f t="array" ref="K1159">"Case "&amp;wRandomLetter()&amp;wRandomLetter()&amp;I1159&amp;":    UniConst = ChrW(" &amp; I1159 &amp;")"</f>
        <v>Case LL128105:    UniConst = ChrW(128105)</v>
      </c>
    </row>
    <row r="1160" spans="1:11" hidden="1">
      <c r="A1160" t="s">
        <v>2831</v>
      </c>
      <c r="B1160" t="str">
        <f t="shared" si="110"/>
        <v>1F469 1F3FC 200D 2764 FE0F 200D 1F48B 200D 1F469 1F3FC ; fully-qualified # 👩🏼‍❤️‍💋‍👩🏼 E13.1 kiss: woman, woman, medium-light skin tone</v>
      </c>
      <c r="C1160" t="str">
        <f t="shared" si="111"/>
        <v xml:space="preserve">1F469 1F3FC 200D 2764 FE0F 200D 1F48B 200D 1F469 1F3FC </v>
      </c>
      <c r="D1160">
        <f t="shared" si="112"/>
        <v>55</v>
      </c>
      <c r="E1160" t="str">
        <f t="shared" si="108"/>
        <v xml:space="preserve"> 👩🏼‍❤️‍💋‍👩🏼 E13.1 kiss: woman, woman, medium-light skin tone</v>
      </c>
      <c r="F1160" t="b">
        <f t="shared" si="113"/>
        <v>1</v>
      </c>
      <c r="G1160" t="str">
        <f t="shared" si="109"/>
        <v>1F469</v>
      </c>
      <c r="I1160">
        <f>HEX2DEC(Table1[[#This Row],[utf8]])</f>
        <v>128105</v>
      </c>
      <c r="J1160" t="str">
        <f>_xlfn.UNICHAR(HEX2DEC(Table1[[#This Row],[utf8]]))</f>
        <v>👩</v>
      </c>
      <c r="K1160" s="3" t="str" cm="1">
        <f t="array" ref="K1160">"Case "&amp;wRandomLetter()&amp;wRandomLetter()&amp;I1160&amp;":    UniConst = ChrW(" &amp; I1160 &amp;")"</f>
        <v>Case CJ128105:    UniConst = ChrW(128105)</v>
      </c>
    </row>
    <row r="1161" spans="1:11" hidden="1">
      <c r="A1161" t="s">
        <v>2833</v>
      </c>
      <c r="B1161" t="str">
        <f t="shared" si="110"/>
        <v>1F469 1F3FC 200D 2764 FE0F 200D 1F48B 200D 1F469 1F3FD ; fully-qualified # 👩🏼‍❤️‍💋‍👩🏽 E13.1 kiss: woman, woman, medium-light skin tone, medium skin tone</v>
      </c>
      <c r="C1161" t="str">
        <f t="shared" si="111"/>
        <v xml:space="preserve">1F469 1F3FC 200D 2764 FE0F 200D 1F48B 200D 1F469 1F3FD </v>
      </c>
      <c r="D1161">
        <f t="shared" si="112"/>
        <v>55</v>
      </c>
      <c r="E1161" t="str">
        <f t="shared" si="108"/>
        <v xml:space="preserve"> 👩🏼‍❤️‍💋‍👩🏽 E13.1 kiss: woman, woman, medium-light skin tone, medium skin tone</v>
      </c>
      <c r="F1161" t="b">
        <f t="shared" si="113"/>
        <v>1</v>
      </c>
      <c r="G1161" t="str">
        <f t="shared" si="109"/>
        <v>1F469</v>
      </c>
      <c r="I1161">
        <f>HEX2DEC(Table1[[#This Row],[utf8]])</f>
        <v>128105</v>
      </c>
      <c r="J1161" t="str">
        <f>_xlfn.UNICHAR(HEX2DEC(Table1[[#This Row],[utf8]]))</f>
        <v>👩</v>
      </c>
      <c r="K1161" s="3" t="str" cm="1">
        <f t="array" ref="K1161">"Case "&amp;wRandomLetter()&amp;wRandomLetter()&amp;I1161&amp;":    UniConst = ChrW(" &amp; I1161 &amp;")"</f>
        <v>Case ld128105:    UniConst = ChrW(128105)</v>
      </c>
    </row>
    <row r="1162" spans="1:11" hidden="1">
      <c r="A1162" t="s">
        <v>2835</v>
      </c>
      <c r="B1162" t="str">
        <f t="shared" si="110"/>
        <v>1F469 1F3FC 200D 2764 FE0F 200D 1F48B 200D 1F469 1F3FE ; fully-qualified # 👩🏼‍❤️‍💋‍👩🏾 E13.1 kiss: woman, woman, medium-light skin tone, medium-dark skin tone</v>
      </c>
      <c r="C1162" t="str">
        <f t="shared" si="111"/>
        <v xml:space="preserve">1F469 1F3FC 200D 2764 FE0F 200D 1F48B 200D 1F469 1F3FE </v>
      </c>
      <c r="D1162">
        <f t="shared" si="112"/>
        <v>55</v>
      </c>
      <c r="E1162" t="str">
        <f t="shared" si="108"/>
        <v xml:space="preserve"> 👩🏼‍❤️‍💋‍👩🏾 E13.1 kiss: woman, woman, medium-light skin tone, medium-dark skin tone</v>
      </c>
      <c r="F1162" t="b">
        <f t="shared" si="113"/>
        <v>1</v>
      </c>
      <c r="G1162" t="str">
        <f t="shared" si="109"/>
        <v>1F469</v>
      </c>
      <c r="I1162">
        <f>HEX2DEC(Table1[[#This Row],[utf8]])</f>
        <v>128105</v>
      </c>
      <c r="J1162" t="str">
        <f>_xlfn.UNICHAR(HEX2DEC(Table1[[#This Row],[utf8]]))</f>
        <v>👩</v>
      </c>
      <c r="K1162" s="3" t="str" cm="1">
        <f t="array" ref="K1162">"Case "&amp;wRandomLetter()&amp;wRandomLetter()&amp;I1162&amp;":    UniConst = ChrW(" &amp; I1162 &amp;")"</f>
        <v>Case OK128105:    UniConst = ChrW(128105)</v>
      </c>
    </row>
    <row r="1163" spans="1:11" hidden="1">
      <c r="A1163" t="s">
        <v>2837</v>
      </c>
      <c r="B1163" t="str">
        <f t="shared" si="110"/>
        <v>1F469 1F3FC 200D 2764 FE0F 200D 1F48B 200D 1F469 1F3FF ; fully-qualified # 👩🏼‍❤️‍💋‍👩🏿 E13.1 kiss: woman, woman, medium-light skin tone, dark skin tone</v>
      </c>
      <c r="C1163" t="str">
        <f t="shared" si="111"/>
        <v xml:space="preserve">1F469 1F3FC 200D 2764 FE0F 200D 1F48B 200D 1F469 1F3FF </v>
      </c>
      <c r="D1163">
        <f t="shared" si="112"/>
        <v>55</v>
      </c>
      <c r="E1163" t="str">
        <f t="shared" si="108"/>
        <v xml:space="preserve"> 👩🏼‍❤️‍💋‍👩🏿 E13.1 kiss: woman, woman, medium-light skin tone, dark skin tone</v>
      </c>
      <c r="F1163" t="b">
        <f t="shared" si="113"/>
        <v>1</v>
      </c>
      <c r="G1163" t="str">
        <f t="shared" si="109"/>
        <v>1F469</v>
      </c>
      <c r="I1163">
        <f>HEX2DEC(Table1[[#This Row],[utf8]])</f>
        <v>128105</v>
      </c>
      <c r="J1163" t="str">
        <f>_xlfn.UNICHAR(HEX2DEC(Table1[[#This Row],[utf8]]))</f>
        <v>👩</v>
      </c>
      <c r="K1163" s="3" t="str" cm="1">
        <f t="array" ref="K1163">"Case "&amp;wRandomLetter()&amp;wRandomLetter()&amp;I1163&amp;":    UniConst = ChrW(" &amp; I1163 &amp;")"</f>
        <v>Case SG128105:    UniConst = ChrW(128105)</v>
      </c>
    </row>
    <row r="1164" spans="1:11" hidden="1">
      <c r="A1164" t="s">
        <v>547</v>
      </c>
      <c r="B1164" t="str">
        <f t="shared" si="110"/>
        <v>1F469 1F3FD ; fully-qualified # 👩🏽 E1.0 woman: medium skin tone</v>
      </c>
      <c r="C1164" t="str">
        <f t="shared" si="111"/>
        <v xml:space="preserve">1F469 1F3FD </v>
      </c>
      <c r="D1164">
        <f t="shared" si="112"/>
        <v>12</v>
      </c>
      <c r="E1164" t="str">
        <f t="shared" si="108"/>
        <v xml:space="preserve"> 👩🏽 E1.0 woman: medium skin tone</v>
      </c>
      <c r="F1164" t="b">
        <f t="shared" si="113"/>
        <v>1</v>
      </c>
      <c r="G1164" t="str">
        <f t="shared" si="109"/>
        <v>1F469</v>
      </c>
      <c r="I1164">
        <f>HEX2DEC(Table1[[#This Row],[utf8]])</f>
        <v>128105</v>
      </c>
      <c r="J1164" t="str">
        <f>_xlfn.UNICHAR(HEX2DEC(Table1[[#This Row],[utf8]]))</f>
        <v>👩</v>
      </c>
      <c r="K1164" s="3" t="str" cm="1">
        <f t="array" ref="K1164">"Case "&amp;wRandomLetter()&amp;wRandomLetter()&amp;I1164&amp;":    UniConst = ChrW(" &amp; I1164 &amp;")"</f>
        <v>Case oe128105:    UniConst = ChrW(128105)</v>
      </c>
    </row>
    <row r="1165" spans="1:11" hidden="1">
      <c r="A1165" t="s">
        <v>1065</v>
      </c>
      <c r="B1165" t="str">
        <f t="shared" si="110"/>
        <v>1F469 1F3FD 200D 1F33E ; fully-qualified # 👩🏽‍🌾 E4.0 woman farmer: medium skin tone</v>
      </c>
      <c r="C1165" t="str">
        <f t="shared" si="111"/>
        <v xml:space="preserve">1F469 1F3FD 200D 1F33E </v>
      </c>
      <c r="D1165">
        <f t="shared" si="112"/>
        <v>23</v>
      </c>
      <c r="E1165" t="str">
        <f t="shared" si="108"/>
        <v xml:space="preserve"> 👩🏽‍🌾 E4.0 woman farmer: medium skin tone</v>
      </c>
      <c r="F1165" t="b">
        <f t="shared" si="113"/>
        <v>1</v>
      </c>
      <c r="G1165" t="str">
        <f t="shared" si="109"/>
        <v>1F469</v>
      </c>
      <c r="I1165">
        <f>HEX2DEC(Table1[[#This Row],[utf8]])</f>
        <v>128105</v>
      </c>
      <c r="J1165" t="str">
        <f>_xlfn.UNICHAR(HEX2DEC(Table1[[#This Row],[utf8]]))</f>
        <v>👩</v>
      </c>
      <c r="K1165" s="3" t="str" cm="1">
        <f t="array" ref="K1165">"Case "&amp;wRandomLetter()&amp;wRandomLetter()&amp;I1165&amp;":    UniConst = ChrW(" &amp; I1165 &amp;")"</f>
        <v>Case RE128105:    UniConst = ChrW(128105)</v>
      </c>
    </row>
    <row r="1166" spans="1:11" hidden="1">
      <c r="A1166" t="s">
        <v>1083</v>
      </c>
      <c r="B1166" t="str">
        <f t="shared" si="110"/>
        <v>1F469 1F3FD 200D 1F373 ; fully-qualified # 👩🏽‍🍳 E4.0 woman cook: medium skin tone</v>
      </c>
      <c r="C1166" t="str">
        <f t="shared" si="111"/>
        <v xml:space="preserve">1F469 1F3FD 200D 1F373 </v>
      </c>
      <c r="D1166">
        <f t="shared" si="112"/>
        <v>23</v>
      </c>
      <c r="E1166" t="str">
        <f t="shared" si="108"/>
        <v xml:space="preserve"> 👩🏽‍🍳 E4.0 woman cook: medium skin tone</v>
      </c>
      <c r="F1166" t="b">
        <f t="shared" si="113"/>
        <v>1</v>
      </c>
      <c r="G1166" t="str">
        <f t="shared" si="109"/>
        <v>1F469</v>
      </c>
      <c r="I1166">
        <f>HEX2DEC(Table1[[#This Row],[utf8]])</f>
        <v>128105</v>
      </c>
      <c r="J1166" t="str">
        <f>_xlfn.UNICHAR(HEX2DEC(Table1[[#This Row],[utf8]]))</f>
        <v>👩</v>
      </c>
      <c r="K1166" s="3" t="str" cm="1">
        <f t="array" ref="K1166">"Case "&amp;wRandomLetter()&amp;wRandomLetter()&amp;I1166&amp;":    UniConst = ChrW(" &amp; I1166 &amp;")"</f>
        <v>Case PB128105:    UniConst = ChrW(128105)</v>
      </c>
    </row>
    <row r="1167" spans="1:11" hidden="1">
      <c r="A1167" t="s">
        <v>1544</v>
      </c>
      <c r="B1167" t="str">
        <f t="shared" si="110"/>
        <v>1F469 1F3FD 200D 1F37C ; fully-qualified # 👩🏽‍🍼 E13.0 woman feeding baby: medium skin tone</v>
      </c>
      <c r="C1167" t="str">
        <f t="shared" si="111"/>
        <v xml:space="preserve">1F469 1F3FD 200D 1F37C </v>
      </c>
      <c r="D1167">
        <f t="shared" si="112"/>
        <v>23</v>
      </c>
      <c r="E1167" t="str">
        <f t="shared" si="108"/>
        <v xml:space="preserve"> 👩🏽‍🍼 E13.0 woman feeding baby: medium skin tone</v>
      </c>
      <c r="F1167" t="b">
        <f t="shared" si="113"/>
        <v>1</v>
      </c>
      <c r="G1167" t="str">
        <f t="shared" si="109"/>
        <v>1F469</v>
      </c>
      <c r="I1167">
        <f>HEX2DEC(Table1[[#This Row],[utf8]])</f>
        <v>128105</v>
      </c>
      <c r="J1167" t="str">
        <f>_xlfn.UNICHAR(HEX2DEC(Table1[[#This Row],[utf8]]))</f>
        <v>👩</v>
      </c>
      <c r="K1167" s="3" t="str" cm="1">
        <f t="array" ref="K1167">"Case "&amp;wRandomLetter()&amp;wRandomLetter()&amp;I1167&amp;":    UniConst = ChrW(" &amp; I1167 &amp;")"</f>
        <v>Case Fm128105:    UniConst = ChrW(128105)</v>
      </c>
    </row>
    <row r="1168" spans="1:11" hidden="1">
      <c r="A1168" t="s">
        <v>993</v>
      </c>
      <c r="B1168" t="str">
        <f t="shared" si="110"/>
        <v>1F469 1F3FD 200D 1F393 ; fully-qualified # 👩🏽‍🎓 E4.0 woman student: medium skin tone</v>
      </c>
      <c r="C1168" t="str">
        <f t="shared" si="111"/>
        <v xml:space="preserve">1F469 1F3FD 200D 1F393 </v>
      </c>
      <c r="D1168">
        <f t="shared" si="112"/>
        <v>23</v>
      </c>
      <c r="E1168" t="str">
        <f t="shared" si="108"/>
        <v xml:space="preserve"> 👩🏽‍🎓 E4.0 woman student: medium skin tone</v>
      </c>
      <c r="F1168" t="b">
        <f t="shared" si="113"/>
        <v>1</v>
      </c>
      <c r="G1168" t="str">
        <f t="shared" si="109"/>
        <v>1F469</v>
      </c>
      <c r="I1168">
        <f>HEX2DEC(Table1[[#This Row],[utf8]])</f>
        <v>128105</v>
      </c>
      <c r="J1168" t="str">
        <f>_xlfn.UNICHAR(HEX2DEC(Table1[[#This Row],[utf8]]))</f>
        <v>👩</v>
      </c>
      <c r="K1168" s="3" t="str" cm="1">
        <f t="array" ref="K1168">"Case "&amp;wRandomLetter()&amp;wRandomLetter()&amp;I1168&amp;":    UniConst = ChrW(" &amp; I1168 &amp;")"</f>
        <v>Case BN128105:    UniConst = ChrW(128105)</v>
      </c>
    </row>
    <row r="1169" spans="1:11" hidden="1">
      <c r="A1169" t="s">
        <v>1191</v>
      </c>
      <c r="B1169" t="str">
        <f t="shared" si="110"/>
        <v>1F469 1F3FD 200D 1F3A4 ; fully-qualified # 👩🏽‍🎤 E4.0 woman singer: medium skin tone</v>
      </c>
      <c r="C1169" t="str">
        <f t="shared" si="111"/>
        <v xml:space="preserve">1F469 1F3FD 200D 1F3A4 </v>
      </c>
      <c r="D1169">
        <f t="shared" si="112"/>
        <v>23</v>
      </c>
      <c r="E1169" t="str">
        <f t="shared" si="108"/>
        <v xml:space="preserve"> 👩🏽‍🎤 E4.0 woman singer: medium skin tone</v>
      </c>
      <c r="F1169" t="b">
        <f t="shared" si="113"/>
        <v>1</v>
      </c>
      <c r="G1169" t="str">
        <f t="shared" si="109"/>
        <v>1F469</v>
      </c>
      <c r="I1169">
        <f>HEX2DEC(Table1[[#This Row],[utf8]])</f>
        <v>128105</v>
      </c>
      <c r="J1169" t="str">
        <f>_xlfn.UNICHAR(HEX2DEC(Table1[[#This Row],[utf8]]))</f>
        <v>👩</v>
      </c>
      <c r="K1169" s="3" t="str" cm="1">
        <f t="array" ref="K1169">"Case "&amp;wRandomLetter()&amp;wRandomLetter()&amp;I1169&amp;":    UniConst = ChrW(" &amp; I1169 &amp;")"</f>
        <v>Case gP128105:    UniConst = ChrW(128105)</v>
      </c>
    </row>
    <row r="1170" spans="1:11" hidden="1">
      <c r="A1170" t="s">
        <v>1209</v>
      </c>
      <c r="B1170" t="str">
        <f t="shared" si="110"/>
        <v>1F469 1F3FD 200D 1F3A8 ; fully-qualified # 👩🏽‍🎨 E4.0 woman artist: medium skin tone</v>
      </c>
      <c r="C1170" t="str">
        <f t="shared" si="111"/>
        <v xml:space="preserve">1F469 1F3FD 200D 1F3A8 </v>
      </c>
      <c r="D1170">
        <f t="shared" si="112"/>
        <v>23</v>
      </c>
      <c r="E1170" t="str">
        <f t="shared" si="108"/>
        <v xml:space="preserve"> 👩🏽‍🎨 E4.0 woman artist: medium skin tone</v>
      </c>
      <c r="F1170" t="b">
        <f t="shared" si="113"/>
        <v>1</v>
      </c>
      <c r="G1170" t="str">
        <f t="shared" si="109"/>
        <v>1F469</v>
      </c>
      <c r="I1170">
        <f>HEX2DEC(Table1[[#This Row],[utf8]])</f>
        <v>128105</v>
      </c>
      <c r="J1170" t="str">
        <f>_xlfn.UNICHAR(HEX2DEC(Table1[[#This Row],[utf8]]))</f>
        <v>👩</v>
      </c>
      <c r="K1170" s="3" t="str" cm="1">
        <f t="array" ref="K1170">"Case "&amp;wRandomLetter()&amp;wRandomLetter()&amp;I1170&amp;":    UniConst = ChrW(" &amp; I1170 &amp;")"</f>
        <v>Case qz128105:    UniConst = ChrW(128105)</v>
      </c>
    </row>
    <row r="1171" spans="1:11" hidden="1">
      <c r="A1171" t="s">
        <v>1011</v>
      </c>
      <c r="B1171" t="str">
        <f t="shared" si="110"/>
        <v>1F469 1F3FD 200D 1F3EB ; fully-qualified # 👩🏽‍🏫 E4.0 woman teacher: medium skin tone</v>
      </c>
      <c r="C1171" t="str">
        <f t="shared" si="111"/>
        <v xml:space="preserve">1F469 1F3FD 200D 1F3EB </v>
      </c>
      <c r="D1171">
        <f t="shared" si="112"/>
        <v>23</v>
      </c>
      <c r="E1171" t="str">
        <f t="shared" si="108"/>
        <v xml:space="preserve"> 👩🏽‍🏫 E4.0 woman teacher: medium skin tone</v>
      </c>
      <c r="F1171" t="b">
        <f t="shared" si="113"/>
        <v>1</v>
      </c>
      <c r="G1171" t="str">
        <f t="shared" si="109"/>
        <v>1F469</v>
      </c>
      <c r="I1171">
        <f>HEX2DEC(Table1[[#This Row],[utf8]])</f>
        <v>128105</v>
      </c>
      <c r="J1171" t="str">
        <f>_xlfn.UNICHAR(HEX2DEC(Table1[[#This Row],[utf8]]))</f>
        <v>👩</v>
      </c>
      <c r="K1171" s="3" t="str" cm="1">
        <f t="array" ref="K1171">"Case "&amp;wRandomLetter()&amp;wRandomLetter()&amp;I1171&amp;":    UniConst = ChrW(" &amp; I1171 &amp;")"</f>
        <v>Case FO128105:    UniConst = ChrW(128105)</v>
      </c>
    </row>
    <row r="1172" spans="1:11" hidden="1">
      <c r="A1172" t="s">
        <v>1119</v>
      </c>
      <c r="B1172" t="str">
        <f t="shared" si="110"/>
        <v>1F469 1F3FD 200D 1F3ED ; fully-qualified # 👩🏽‍🏭 E4.0 woman factory worker: medium skin tone</v>
      </c>
      <c r="C1172" t="str">
        <f t="shared" si="111"/>
        <v xml:space="preserve">1F469 1F3FD 200D 1F3ED </v>
      </c>
      <c r="D1172">
        <f t="shared" si="112"/>
        <v>23</v>
      </c>
      <c r="E1172" t="str">
        <f t="shared" si="108"/>
        <v xml:space="preserve"> 👩🏽‍🏭 E4.0 woman factory worker: medium skin tone</v>
      </c>
      <c r="F1172" t="b">
        <f t="shared" si="113"/>
        <v>1</v>
      </c>
      <c r="G1172" t="str">
        <f t="shared" si="109"/>
        <v>1F469</v>
      </c>
      <c r="I1172">
        <f>HEX2DEC(Table1[[#This Row],[utf8]])</f>
        <v>128105</v>
      </c>
      <c r="J1172" t="str">
        <f>_xlfn.UNICHAR(HEX2DEC(Table1[[#This Row],[utf8]]))</f>
        <v>👩</v>
      </c>
      <c r="K1172" s="3" t="str" cm="1">
        <f t="array" ref="K1172">"Case "&amp;wRandomLetter()&amp;wRandomLetter()&amp;I1172&amp;":    UniConst = ChrW(" &amp; I1172 &amp;")"</f>
        <v>Case at128105:    UniConst = ChrW(128105)</v>
      </c>
    </row>
    <row r="1173" spans="1:11" hidden="1">
      <c r="A1173" t="s">
        <v>1173</v>
      </c>
      <c r="B1173" t="str">
        <f t="shared" si="110"/>
        <v>1F469 1F3FD 200D 1F4BB ; fully-qualified # 👩🏽‍💻 E4.0 woman technologist: medium skin tone</v>
      </c>
      <c r="C1173" t="str">
        <f t="shared" si="111"/>
        <v xml:space="preserve">1F469 1F3FD 200D 1F4BB </v>
      </c>
      <c r="D1173">
        <f t="shared" si="112"/>
        <v>23</v>
      </c>
      <c r="E1173" t="str">
        <f t="shared" si="108"/>
        <v xml:space="preserve"> 👩🏽‍💻 E4.0 woman technologist: medium skin tone</v>
      </c>
      <c r="F1173" t="b">
        <f t="shared" si="113"/>
        <v>1</v>
      </c>
      <c r="G1173" t="str">
        <f t="shared" si="109"/>
        <v>1F469</v>
      </c>
      <c r="I1173">
        <f>HEX2DEC(Table1[[#This Row],[utf8]])</f>
        <v>128105</v>
      </c>
      <c r="J1173" t="str">
        <f>_xlfn.UNICHAR(HEX2DEC(Table1[[#This Row],[utf8]]))</f>
        <v>👩</v>
      </c>
      <c r="K1173" s="3" t="str" cm="1">
        <f t="array" ref="K1173">"Case "&amp;wRandomLetter()&amp;wRandomLetter()&amp;I1173&amp;":    UniConst = ChrW(" &amp; I1173 &amp;")"</f>
        <v>Case Eo128105:    UniConst = ChrW(128105)</v>
      </c>
    </row>
    <row r="1174" spans="1:11" hidden="1">
      <c r="A1174" t="s">
        <v>1137</v>
      </c>
      <c r="B1174" t="str">
        <f t="shared" si="110"/>
        <v>1F469 1F3FD 200D 1F4BC ; fully-qualified # 👩🏽‍💼 E4.0 woman office worker: medium skin tone</v>
      </c>
      <c r="C1174" t="str">
        <f t="shared" si="111"/>
        <v xml:space="preserve">1F469 1F3FD 200D 1F4BC </v>
      </c>
      <c r="D1174">
        <f t="shared" si="112"/>
        <v>23</v>
      </c>
      <c r="E1174" t="str">
        <f t="shared" si="108"/>
        <v xml:space="preserve"> 👩🏽‍💼 E4.0 woman office worker: medium skin tone</v>
      </c>
      <c r="F1174" t="b">
        <f t="shared" si="113"/>
        <v>1</v>
      </c>
      <c r="G1174" t="str">
        <f t="shared" si="109"/>
        <v>1F469</v>
      </c>
      <c r="I1174">
        <f>HEX2DEC(Table1[[#This Row],[utf8]])</f>
        <v>128105</v>
      </c>
      <c r="J1174" t="str">
        <f>_xlfn.UNICHAR(HEX2DEC(Table1[[#This Row],[utf8]]))</f>
        <v>👩</v>
      </c>
      <c r="K1174" s="3" t="str" cm="1">
        <f t="array" ref="K1174">"Case "&amp;wRandomLetter()&amp;wRandomLetter()&amp;I1174&amp;":    UniConst = ChrW(" &amp; I1174 &amp;")"</f>
        <v>Case wy128105:    UniConst = ChrW(128105)</v>
      </c>
    </row>
    <row r="1175" spans="1:11" hidden="1">
      <c r="A1175" t="s">
        <v>1101</v>
      </c>
      <c r="B1175" t="str">
        <f t="shared" si="110"/>
        <v>1F469 1F3FD 200D 1F527 ; fully-qualified # 👩🏽‍🔧 E4.0 woman mechanic: medium skin tone</v>
      </c>
      <c r="C1175" t="str">
        <f t="shared" si="111"/>
        <v xml:space="preserve">1F469 1F3FD 200D 1F527 </v>
      </c>
      <c r="D1175">
        <f t="shared" si="112"/>
        <v>23</v>
      </c>
      <c r="E1175" t="str">
        <f t="shared" si="108"/>
        <v xml:space="preserve"> 👩🏽‍🔧 E4.0 woman mechanic: medium skin tone</v>
      </c>
      <c r="F1175" t="b">
        <f t="shared" si="113"/>
        <v>1</v>
      </c>
      <c r="G1175" t="str">
        <f t="shared" si="109"/>
        <v>1F469</v>
      </c>
      <c r="I1175">
        <f>HEX2DEC(Table1[[#This Row],[utf8]])</f>
        <v>128105</v>
      </c>
      <c r="J1175" t="str">
        <f>_xlfn.UNICHAR(HEX2DEC(Table1[[#This Row],[utf8]]))</f>
        <v>👩</v>
      </c>
      <c r="K1175" s="3" t="str" cm="1">
        <f t="array" ref="K1175">"Case "&amp;wRandomLetter()&amp;wRandomLetter()&amp;I1175&amp;":    UniConst = ChrW(" &amp; I1175 &amp;")"</f>
        <v>Case MG128105:    UniConst = ChrW(128105)</v>
      </c>
    </row>
    <row r="1176" spans="1:11" hidden="1">
      <c r="A1176" t="s">
        <v>1155</v>
      </c>
      <c r="B1176" t="str">
        <f t="shared" si="110"/>
        <v>1F469 1F3FD 200D 1F52C ; fully-qualified # 👩🏽‍🔬 E4.0 woman scientist: medium skin tone</v>
      </c>
      <c r="C1176" t="str">
        <f t="shared" si="111"/>
        <v xml:space="preserve">1F469 1F3FD 200D 1F52C </v>
      </c>
      <c r="D1176">
        <f t="shared" si="112"/>
        <v>23</v>
      </c>
      <c r="E1176" t="str">
        <f t="shared" si="108"/>
        <v xml:space="preserve"> 👩🏽‍🔬 E4.0 woman scientist: medium skin tone</v>
      </c>
      <c r="F1176" t="b">
        <f t="shared" si="113"/>
        <v>1</v>
      </c>
      <c r="G1176" t="str">
        <f t="shared" si="109"/>
        <v>1F469</v>
      </c>
      <c r="I1176">
        <f>HEX2DEC(Table1[[#This Row],[utf8]])</f>
        <v>128105</v>
      </c>
      <c r="J1176" t="str">
        <f>_xlfn.UNICHAR(HEX2DEC(Table1[[#This Row],[utf8]]))</f>
        <v>👩</v>
      </c>
      <c r="K1176" s="3" t="str" cm="1">
        <f t="array" ref="K1176">"Case "&amp;wRandomLetter()&amp;wRandomLetter()&amp;I1176&amp;":    UniConst = ChrW(" &amp; I1176 &amp;")"</f>
        <v>Case qr128105:    UniConst = ChrW(128105)</v>
      </c>
    </row>
    <row r="1177" spans="1:11" hidden="1">
      <c r="A1177" t="s">
        <v>1263</v>
      </c>
      <c r="B1177" t="str">
        <f t="shared" si="110"/>
        <v>1F469 1F3FD 200D 1F680 ; fully-qualified # 👩🏽‍🚀 E4.0 woman astronaut: medium skin tone</v>
      </c>
      <c r="C1177" t="str">
        <f t="shared" si="111"/>
        <v xml:space="preserve">1F469 1F3FD 200D 1F680 </v>
      </c>
      <c r="D1177">
        <f t="shared" si="112"/>
        <v>23</v>
      </c>
      <c r="E1177" t="str">
        <f t="shared" si="108"/>
        <v xml:space="preserve"> 👩🏽‍🚀 E4.0 woman astronaut: medium skin tone</v>
      </c>
      <c r="F1177" t="b">
        <f t="shared" si="113"/>
        <v>1</v>
      </c>
      <c r="G1177" t="str">
        <f t="shared" si="109"/>
        <v>1F469</v>
      </c>
      <c r="I1177">
        <f>HEX2DEC(Table1[[#This Row],[utf8]])</f>
        <v>128105</v>
      </c>
      <c r="J1177" t="str">
        <f>_xlfn.UNICHAR(HEX2DEC(Table1[[#This Row],[utf8]]))</f>
        <v>👩</v>
      </c>
      <c r="K1177" s="3" t="str" cm="1">
        <f t="array" ref="K1177">"Case "&amp;wRandomLetter()&amp;wRandomLetter()&amp;I1177&amp;":    UniConst = ChrW(" &amp; I1177 &amp;")"</f>
        <v>Case LY128105:    UniConst = ChrW(128105)</v>
      </c>
    </row>
    <row r="1178" spans="1:11" hidden="1">
      <c r="A1178" t="s">
        <v>1281</v>
      </c>
      <c r="B1178" t="str">
        <f t="shared" si="110"/>
        <v>1F469 1F3FD 200D 1F692 ; fully-qualified # 👩🏽‍🚒 E4.0 woman firefighter: medium skin tone</v>
      </c>
      <c r="C1178" t="str">
        <f t="shared" si="111"/>
        <v xml:space="preserve">1F469 1F3FD 200D 1F692 </v>
      </c>
      <c r="D1178">
        <f t="shared" si="112"/>
        <v>23</v>
      </c>
      <c r="E1178" t="str">
        <f t="shared" si="108"/>
        <v xml:space="preserve"> 👩🏽‍🚒 E4.0 woman firefighter: medium skin tone</v>
      </c>
      <c r="F1178" t="b">
        <f t="shared" si="113"/>
        <v>1</v>
      </c>
      <c r="G1178" t="str">
        <f t="shared" si="109"/>
        <v>1F469</v>
      </c>
      <c r="I1178">
        <f>HEX2DEC(Table1[[#This Row],[utf8]])</f>
        <v>128105</v>
      </c>
      <c r="J1178" t="str">
        <f>_xlfn.UNICHAR(HEX2DEC(Table1[[#This Row],[utf8]]))</f>
        <v>👩</v>
      </c>
      <c r="K1178" s="3" t="str" cm="1">
        <f t="array" ref="K1178">"Case "&amp;wRandomLetter()&amp;wRandomLetter()&amp;I1178&amp;":    UniConst = ChrW(" &amp; I1178 &amp;")"</f>
        <v>Case Ge128105:    UniConst = ChrW(128105)</v>
      </c>
    </row>
    <row r="1179" spans="1:11" hidden="1">
      <c r="A1179" t="s">
        <v>2626</v>
      </c>
      <c r="B1179" t="str">
        <f t="shared" si="110"/>
        <v>1F469 1F3FD 200D 1F91D 200D 1F468 1F3FB ; fully-qualified # 👩🏽‍🤝‍👨🏻 E12.0 woman and man holding hands: medium skin tone, light skin tone</v>
      </c>
      <c r="C1179" t="str">
        <f t="shared" si="111"/>
        <v xml:space="preserve">1F469 1F3FD 200D 1F91D 200D 1F468 1F3FB </v>
      </c>
      <c r="D1179">
        <f t="shared" si="112"/>
        <v>40</v>
      </c>
      <c r="E1179" t="str">
        <f t="shared" si="108"/>
        <v xml:space="preserve"> 👩🏽‍🤝‍👨🏻 E12.0 woman and man holding hands: medium skin tone, light skin tone</v>
      </c>
      <c r="F1179" t="b">
        <f t="shared" si="113"/>
        <v>1</v>
      </c>
      <c r="G1179" t="str">
        <f t="shared" si="109"/>
        <v>1F469</v>
      </c>
      <c r="I1179">
        <f>HEX2DEC(Table1[[#This Row],[utf8]])</f>
        <v>128105</v>
      </c>
      <c r="J1179" t="str">
        <f>_xlfn.UNICHAR(HEX2DEC(Table1[[#This Row],[utf8]]))</f>
        <v>👩</v>
      </c>
      <c r="K1179" s="3" t="str" cm="1">
        <f t="array" ref="K1179">"Case "&amp;wRandomLetter()&amp;wRandomLetter()&amp;I1179&amp;":    UniConst = ChrW(" &amp; I1179 &amp;")"</f>
        <v>Case qV128105:    UniConst = ChrW(128105)</v>
      </c>
    </row>
    <row r="1180" spans="1:11" hidden="1">
      <c r="A1180" t="s">
        <v>2627</v>
      </c>
      <c r="B1180" t="str">
        <f t="shared" si="110"/>
        <v>1F469 1F3FD 200D 1F91D 200D 1F468 1F3FC ; fully-qualified # 👩🏽‍🤝‍👨🏼 E12.0 woman and man holding hands: medium skin tone, medium-light skin tone</v>
      </c>
      <c r="C1180" t="str">
        <f t="shared" si="111"/>
        <v xml:space="preserve">1F469 1F3FD 200D 1F91D 200D 1F468 1F3FC </v>
      </c>
      <c r="D1180">
        <f t="shared" si="112"/>
        <v>40</v>
      </c>
      <c r="E1180" t="str">
        <f t="shared" si="108"/>
        <v xml:space="preserve"> 👩🏽‍🤝‍👨🏼 E12.0 woman and man holding hands: medium skin tone, medium-light skin tone</v>
      </c>
      <c r="F1180" t="b">
        <f t="shared" si="113"/>
        <v>1</v>
      </c>
      <c r="G1180" t="str">
        <f t="shared" si="109"/>
        <v>1F469</v>
      </c>
      <c r="I1180">
        <f>HEX2DEC(Table1[[#This Row],[utf8]])</f>
        <v>128105</v>
      </c>
      <c r="J1180" t="str">
        <f>_xlfn.UNICHAR(HEX2DEC(Table1[[#This Row],[utf8]]))</f>
        <v>👩</v>
      </c>
      <c r="K1180" s="3" t="str" cm="1">
        <f t="array" ref="K1180">"Case "&amp;wRandomLetter()&amp;wRandomLetter()&amp;I1180&amp;":    UniConst = ChrW(" &amp; I1180 &amp;")"</f>
        <v>Case JQ128105:    UniConst = ChrW(128105)</v>
      </c>
    </row>
    <row r="1181" spans="1:11" hidden="1">
      <c r="A1181" t="s">
        <v>2629</v>
      </c>
      <c r="B1181" t="str">
        <f t="shared" si="110"/>
        <v>1F469 1F3FD 200D 1F91D 200D 1F468 1F3FE ; fully-qualified # 👩🏽‍🤝‍👨🏾 E12.0 woman and man holding hands: medium skin tone, medium-dark skin tone</v>
      </c>
      <c r="C1181" t="str">
        <f t="shared" si="111"/>
        <v xml:space="preserve">1F469 1F3FD 200D 1F91D 200D 1F468 1F3FE </v>
      </c>
      <c r="D1181">
        <f t="shared" si="112"/>
        <v>40</v>
      </c>
      <c r="E1181" t="str">
        <f t="shared" si="108"/>
        <v xml:space="preserve"> 👩🏽‍🤝‍👨🏾 E12.0 woman and man holding hands: medium skin tone, medium-dark skin tone</v>
      </c>
      <c r="F1181" t="b">
        <f t="shared" si="113"/>
        <v>1</v>
      </c>
      <c r="G1181" t="str">
        <f t="shared" si="109"/>
        <v>1F469</v>
      </c>
      <c r="I1181">
        <f>HEX2DEC(Table1[[#This Row],[utf8]])</f>
        <v>128105</v>
      </c>
      <c r="J1181" t="str">
        <f>_xlfn.UNICHAR(HEX2DEC(Table1[[#This Row],[utf8]]))</f>
        <v>👩</v>
      </c>
      <c r="K1181" s="3" t="str" cm="1">
        <f t="array" ref="K1181">"Case "&amp;wRandomLetter()&amp;wRandomLetter()&amp;I1181&amp;":    UniConst = ChrW(" &amp; I1181 &amp;")"</f>
        <v>Case kM128105:    UniConst = ChrW(128105)</v>
      </c>
    </row>
    <row r="1182" spans="1:11" hidden="1">
      <c r="A1182" t="s">
        <v>2630</v>
      </c>
      <c r="B1182" t="str">
        <f t="shared" si="110"/>
        <v>1F469 1F3FD 200D 1F91D 200D 1F468 1F3FF ; fully-qualified # 👩🏽‍🤝‍👨🏿 E12.0 woman and man holding hands: medium skin tone, dark skin tone</v>
      </c>
      <c r="C1182" t="str">
        <f t="shared" si="111"/>
        <v xml:space="preserve">1F469 1F3FD 200D 1F91D 200D 1F468 1F3FF </v>
      </c>
      <c r="D1182">
        <f t="shared" si="112"/>
        <v>40</v>
      </c>
      <c r="E1182" t="str">
        <f t="shared" si="108"/>
        <v xml:space="preserve"> 👩🏽‍🤝‍👨🏿 E12.0 woman and man holding hands: medium skin tone, dark skin tone</v>
      </c>
      <c r="F1182" t="b">
        <f t="shared" si="113"/>
        <v>1</v>
      </c>
      <c r="G1182" t="str">
        <f t="shared" si="109"/>
        <v>1F469</v>
      </c>
      <c r="I1182">
        <f>HEX2DEC(Table1[[#This Row],[utf8]])</f>
        <v>128105</v>
      </c>
      <c r="J1182" t="str">
        <f>_xlfn.UNICHAR(HEX2DEC(Table1[[#This Row],[utf8]]))</f>
        <v>👩</v>
      </c>
      <c r="K1182" s="3" t="str" cm="1">
        <f t="array" ref="K1182">"Case "&amp;wRandomLetter()&amp;wRandomLetter()&amp;I1182&amp;":    UniConst = ChrW(" &amp; I1182 &amp;")"</f>
        <v>Case Fy128105:    UniConst = ChrW(128105)</v>
      </c>
    </row>
    <row r="1183" spans="1:11" hidden="1">
      <c r="A1183" t="s">
        <v>2600</v>
      </c>
      <c r="B1183" t="str">
        <f t="shared" si="110"/>
        <v>1F469 1F3FD 200D 1F91D 200D 1F469 1F3FB ; fully-qualified # 👩🏽‍🤝‍👩🏻 E12.0 women holding hands: medium skin tone, light skin tone</v>
      </c>
      <c r="C1183" t="str">
        <f t="shared" si="111"/>
        <v xml:space="preserve">1F469 1F3FD 200D 1F91D 200D 1F469 1F3FB </v>
      </c>
      <c r="D1183">
        <f t="shared" si="112"/>
        <v>40</v>
      </c>
      <c r="E1183" t="str">
        <f t="shared" si="108"/>
        <v xml:space="preserve"> 👩🏽‍🤝‍👩🏻 E12.0 women holding hands: medium skin tone, light skin tone</v>
      </c>
      <c r="F1183" t="b">
        <f t="shared" si="113"/>
        <v>1</v>
      </c>
      <c r="G1183" t="str">
        <f t="shared" si="109"/>
        <v>1F469</v>
      </c>
      <c r="I1183">
        <f>HEX2DEC(Table1[[#This Row],[utf8]])</f>
        <v>128105</v>
      </c>
      <c r="J1183" t="str">
        <f>_xlfn.UNICHAR(HEX2DEC(Table1[[#This Row],[utf8]]))</f>
        <v>👩</v>
      </c>
      <c r="K1183" s="3" t="str" cm="1">
        <f t="array" ref="K1183">"Case "&amp;wRandomLetter()&amp;wRandomLetter()&amp;I1183&amp;":    UniConst = ChrW(" &amp; I1183 &amp;")"</f>
        <v>Case jW128105:    UniConst = ChrW(128105)</v>
      </c>
    </row>
    <row r="1184" spans="1:11" hidden="1">
      <c r="A1184" t="s">
        <v>2601</v>
      </c>
      <c r="B1184" t="str">
        <f t="shared" si="110"/>
        <v>1F469 1F3FD 200D 1F91D 200D 1F469 1F3FC ; fully-qualified # 👩🏽‍🤝‍👩🏼 E12.0 women holding hands: medium skin tone, medium-light skin tone</v>
      </c>
      <c r="C1184" t="str">
        <f t="shared" si="111"/>
        <v xml:space="preserve">1F469 1F3FD 200D 1F91D 200D 1F469 1F3FC </v>
      </c>
      <c r="D1184">
        <f t="shared" si="112"/>
        <v>40</v>
      </c>
      <c r="E1184" t="str">
        <f t="shared" si="108"/>
        <v xml:space="preserve"> 👩🏽‍🤝‍👩🏼 E12.0 women holding hands: medium skin tone, medium-light skin tone</v>
      </c>
      <c r="F1184" t="b">
        <f t="shared" si="113"/>
        <v>1</v>
      </c>
      <c r="G1184" t="str">
        <f t="shared" si="109"/>
        <v>1F469</v>
      </c>
      <c r="I1184">
        <f>HEX2DEC(Table1[[#This Row],[utf8]])</f>
        <v>128105</v>
      </c>
      <c r="J1184" t="str">
        <f>_xlfn.UNICHAR(HEX2DEC(Table1[[#This Row],[utf8]]))</f>
        <v>👩</v>
      </c>
      <c r="K1184" s="3" t="str" cm="1">
        <f t="array" ref="K1184">"Case "&amp;wRandomLetter()&amp;wRandomLetter()&amp;I1184&amp;":    UniConst = ChrW(" &amp; I1184 &amp;")"</f>
        <v>Case nu128105:    UniConst = ChrW(128105)</v>
      </c>
    </row>
    <row r="1185" spans="1:11" hidden="1">
      <c r="A1185" t="s">
        <v>2603</v>
      </c>
      <c r="B1185" t="str">
        <f t="shared" si="110"/>
        <v>1F469 1F3FD 200D 1F91D 200D 1F469 1F3FE ; fully-qualified # 👩🏽‍🤝‍👩🏾 E12.1 women holding hands: medium skin tone, medium-dark skin tone</v>
      </c>
      <c r="C1185" t="str">
        <f t="shared" si="111"/>
        <v xml:space="preserve">1F469 1F3FD 200D 1F91D 200D 1F469 1F3FE </v>
      </c>
      <c r="D1185">
        <f t="shared" si="112"/>
        <v>40</v>
      </c>
      <c r="E1185" t="str">
        <f t="shared" si="108"/>
        <v xml:space="preserve"> 👩🏽‍🤝‍👩🏾 E12.1 women holding hands: medium skin tone, medium-dark skin tone</v>
      </c>
      <c r="F1185" t="b">
        <f t="shared" si="113"/>
        <v>1</v>
      </c>
      <c r="G1185" t="str">
        <f t="shared" si="109"/>
        <v>1F469</v>
      </c>
      <c r="I1185">
        <f>HEX2DEC(Table1[[#This Row],[utf8]])</f>
        <v>128105</v>
      </c>
      <c r="J1185" t="str">
        <f>_xlfn.UNICHAR(HEX2DEC(Table1[[#This Row],[utf8]]))</f>
        <v>👩</v>
      </c>
      <c r="K1185" s="3" t="str" cm="1">
        <f t="array" ref="K1185">"Case "&amp;wRandomLetter()&amp;wRandomLetter()&amp;I1185&amp;":    UniConst = ChrW(" &amp; I1185 &amp;")"</f>
        <v>Case ST128105:    UniConst = ChrW(128105)</v>
      </c>
    </row>
    <row r="1186" spans="1:11" hidden="1">
      <c r="A1186" t="s">
        <v>2604</v>
      </c>
      <c r="B1186" t="str">
        <f t="shared" si="110"/>
        <v>1F469 1F3FD 200D 1F91D 200D 1F469 1F3FF ; fully-qualified # 👩🏽‍🤝‍👩🏿 E12.1 women holding hands: medium skin tone, dark skin tone</v>
      </c>
      <c r="C1186" t="str">
        <f t="shared" si="111"/>
        <v xml:space="preserve">1F469 1F3FD 200D 1F91D 200D 1F469 1F3FF </v>
      </c>
      <c r="D1186">
        <f t="shared" si="112"/>
        <v>40</v>
      </c>
      <c r="E1186" t="str">
        <f t="shared" si="108"/>
        <v xml:space="preserve"> 👩🏽‍🤝‍👩🏿 E12.1 women holding hands: medium skin tone, dark skin tone</v>
      </c>
      <c r="F1186" t="b">
        <f t="shared" si="113"/>
        <v>1</v>
      </c>
      <c r="G1186" t="str">
        <f t="shared" si="109"/>
        <v>1F469</v>
      </c>
      <c r="I1186">
        <f>HEX2DEC(Table1[[#This Row],[utf8]])</f>
        <v>128105</v>
      </c>
      <c r="J1186" t="str">
        <f>_xlfn.UNICHAR(HEX2DEC(Table1[[#This Row],[utf8]]))</f>
        <v>👩</v>
      </c>
      <c r="K1186" s="3" t="str" cm="1">
        <f t="array" ref="K1186">"Case "&amp;wRandomLetter()&amp;wRandomLetter()&amp;I1186&amp;":    UniConst = ChrW(" &amp; I1186 &amp;")"</f>
        <v>Case wU128105:    UniConst = ChrW(128105)</v>
      </c>
    </row>
    <row r="1187" spans="1:11" hidden="1">
      <c r="A1187" t="s">
        <v>1970</v>
      </c>
      <c r="B1187" t="str">
        <f t="shared" si="110"/>
        <v>1F469 1F3FD 200D 1F9AF ; fully-qualified # 👩🏽‍🦯 E12.0 woman with white cane: medium skin tone</v>
      </c>
      <c r="C1187" t="str">
        <f t="shared" si="111"/>
        <v xml:space="preserve">1F469 1F3FD 200D 1F9AF </v>
      </c>
      <c r="D1187">
        <f t="shared" si="112"/>
        <v>23</v>
      </c>
      <c r="E1187" t="str">
        <f t="shared" si="108"/>
        <v xml:space="preserve"> 👩🏽‍🦯 E12.0 woman with white cane: medium skin tone</v>
      </c>
      <c r="F1187" t="b">
        <f t="shared" si="113"/>
        <v>1</v>
      </c>
      <c r="G1187" t="str">
        <f t="shared" si="109"/>
        <v>1F469</v>
      </c>
      <c r="I1187">
        <f>HEX2DEC(Table1[[#This Row],[utf8]])</f>
        <v>128105</v>
      </c>
      <c r="J1187" t="str">
        <f>_xlfn.UNICHAR(HEX2DEC(Table1[[#This Row],[utf8]]))</f>
        <v>👩</v>
      </c>
      <c r="K1187" s="3" t="str" cm="1">
        <f t="array" ref="K1187">"Case "&amp;wRandomLetter()&amp;wRandomLetter()&amp;I1187&amp;":    UniConst = ChrW(" &amp; I1187 &amp;")"</f>
        <v>Case zo128105:    UniConst = ChrW(128105)</v>
      </c>
    </row>
    <row r="1188" spans="1:11" hidden="1">
      <c r="A1188" t="s">
        <v>553</v>
      </c>
      <c r="B1188" t="str">
        <f t="shared" si="110"/>
        <v>1F469 1F3FD 200D 1F9B0 ; fully-qualified # 👩🏽‍🦰 E11.0 woman: medium skin tone, red hair</v>
      </c>
      <c r="C1188" t="str">
        <f t="shared" si="111"/>
        <v xml:space="preserve">1F469 1F3FD 200D 1F9B0 </v>
      </c>
      <c r="D1188">
        <f t="shared" si="112"/>
        <v>23</v>
      </c>
      <c r="E1188" t="str">
        <f t="shared" si="108"/>
        <v xml:space="preserve"> 👩🏽‍🦰 E11.0 woman: medium skin tone, red hair</v>
      </c>
      <c r="F1188" t="b">
        <f t="shared" si="113"/>
        <v>1</v>
      </c>
      <c r="G1188" t="str">
        <f t="shared" si="109"/>
        <v>1F469</v>
      </c>
      <c r="I1188">
        <f>HEX2DEC(Table1[[#This Row],[utf8]])</f>
        <v>128105</v>
      </c>
      <c r="J1188" t="str">
        <f>_xlfn.UNICHAR(HEX2DEC(Table1[[#This Row],[utf8]]))</f>
        <v>👩</v>
      </c>
      <c r="K1188" s="3" t="str" cm="1">
        <f t="array" ref="K1188">"Case "&amp;wRandomLetter()&amp;wRandomLetter()&amp;I1188&amp;":    UniConst = ChrW(" &amp; I1188 &amp;")"</f>
        <v>Case MU128105:    UniConst = ChrW(128105)</v>
      </c>
    </row>
    <row r="1189" spans="1:11" hidden="1">
      <c r="A1189" t="s">
        <v>565</v>
      </c>
      <c r="B1189" t="str">
        <f t="shared" si="110"/>
        <v>1F469 1F3FD 200D 1F9B1 ; fully-qualified # 👩🏽‍🦱 E11.0 woman: medium skin tone, curly hair</v>
      </c>
      <c r="C1189" t="str">
        <f t="shared" si="111"/>
        <v xml:space="preserve">1F469 1F3FD 200D 1F9B1 </v>
      </c>
      <c r="D1189">
        <f t="shared" si="112"/>
        <v>23</v>
      </c>
      <c r="E1189" t="str">
        <f t="shared" si="108"/>
        <v xml:space="preserve"> 👩🏽‍🦱 E11.0 woman: medium skin tone, curly hair</v>
      </c>
      <c r="F1189" t="b">
        <f t="shared" si="113"/>
        <v>1</v>
      </c>
      <c r="G1189" t="str">
        <f t="shared" si="109"/>
        <v>1F469</v>
      </c>
      <c r="I1189">
        <f>HEX2DEC(Table1[[#This Row],[utf8]])</f>
        <v>128105</v>
      </c>
      <c r="J1189" t="str">
        <f>_xlfn.UNICHAR(HEX2DEC(Table1[[#This Row],[utf8]]))</f>
        <v>👩</v>
      </c>
      <c r="K1189" s="3" t="str" cm="1">
        <f t="array" ref="K1189">"Case "&amp;wRandomLetter()&amp;wRandomLetter()&amp;I1189&amp;":    UniConst = ChrW(" &amp; I1189 &amp;")"</f>
        <v>Case gi128105:    UniConst = ChrW(128105)</v>
      </c>
    </row>
    <row r="1190" spans="1:11" hidden="1">
      <c r="A1190" t="s">
        <v>589</v>
      </c>
      <c r="B1190" t="str">
        <f t="shared" si="110"/>
        <v>1F469 1F3FD 200D 1F9B2 ; fully-qualified # 👩🏽‍🦲 E11.0 woman: medium skin tone, bald</v>
      </c>
      <c r="C1190" t="str">
        <f t="shared" si="111"/>
        <v xml:space="preserve">1F469 1F3FD 200D 1F9B2 </v>
      </c>
      <c r="D1190">
        <f t="shared" si="112"/>
        <v>23</v>
      </c>
      <c r="E1190" t="str">
        <f t="shared" si="108"/>
        <v xml:space="preserve"> 👩🏽‍🦲 E11.0 woman: medium skin tone, bald</v>
      </c>
      <c r="F1190" t="b">
        <f t="shared" si="113"/>
        <v>1</v>
      </c>
      <c r="G1190" t="str">
        <f t="shared" si="109"/>
        <v>1F469</v>
      </c>
      <c r="I1190">
        <f>HEX2DEC(Table1[[#This Row],[utf8]])</f>
        <v>128105</v>
      </c>
      <c r="J1190" t="str">
        <f>_xlfn.UNICHAR(HEX2DEC(Table1[[#This Row],[utf8]]))</f>
        <v>👩</v>
      </c>
      <c r="K1190" s="3" t="str" cm="1">
        <f t="array" ref="K1190">"Case "&amp;wRandomLetter()&amp;wRandomLetter()&amp;I1190&amp;":    UniConst = ChrW(" &amp; I1190 &amp;")"</f>
        <v>Case rM128105:    UniConst = ChrW(128105)</v>
      </c>
    </row>
    <row r="1191" spans="1:11" hidden="1">
      <c r="A1191" t="s">
        <v>577</v>
      </c>
      <c r="B1191" t="str">
        <f t="shared" si="110"/>
        <v>1F469 1F3FD 200D 1F9B3 ; fully-qualified # 👩🏽‍🦳 E11.0 woman: medium skin tone, white hair</v>
      </c>
      <c r="C1191" t="str">
        <f t="shared" si="111"/>
        <v xml:space="preserve">1F469 1F3FD 200D 1F9B3 </v>
      </c>
      <c r="D1191">
        <f t="shared" si="112"/>
        <v>23</v>
      </c>
      <c r="E1191" t="str">
        <f t="shared" si="108"/>
        <v xml:space="preserve"> 👩🏽‍🦳 E11.0 woman: medium skin tone, white hair</v>
      </c>
      <c r="F1191" t="b">
        <f t="shared" si="113"/>
        <v>1</v>
      </c>
      <c r="G1191" t="str">
        <f t="shared" si="109"/>
        <v>1F469</v>
      </c>
      <c r="I1191">
        <f>HEX2DEC(Table1[[#This Row],[utf8]])</f>
        <v>128105</v>
      </c>
      <c r="J1191" t="str">
        <f>_xlfn.UNICHAR(HEX2DEC(Table1[[#This Row],[utf8]]))</f>
        <v>👩</v>
      </c>
      <c r="K1191" s="3" t="str" cm="1">
        <f t="array" ref="K1191">"Case "&amp;wRandomLetter()&amp;wRandomLetter()&amp;I1191&amp;":    UniConst = ChrW(" &amp; I1191 &amp;")"</f>
        <v>Case pU128105:    UniConst = ChrW(128105)</v>
      </c>
    </row>
    <row r="1192" spans="1:11" hidden="1">
      <c r="A1192" t="s">
        <v>1988</v>
      </c>
      <c r="B1192" t="str">
        <f t="shared" si="110"/>
        <v>1F469 1F3FD 200D 1F9BC ; fully-qualified # 👩🏽‍🦼 E12.0 woman in motorized wheelchair: medium skin tone</v>
      </c>
      <c r="C1192" t="str">
        <f t="shared" si="111"/>
        <v xml:space="preserve">1F469 1F3FD 200D 1F9BC </v>
      </c>
      <c r="D1192">
        <f t="shared" si="112"/>
        <v>23</v>
      </c>
      <c r="E1192" t="str">
        <f t="shared" si="108"/>
        <v xml:space="preserve"> 👩🏽‍🦼 E12.0 woman in motorized wheelchair: medium skin tone</v>
      </c>
      <c r="F1192" t="b">
        <f t="shared" si="113"/>
        <v>1</v>
      </c>
      <c r="G1192" t="str">
        <f t="shared" si="109"/>
        <v>1F469</v>
      </c>
      <c r="I1192">
        <f>HEX2DEC(Table1[[#This Row],[utf8]])</f>
        <v>128105</v>
      </c>
      <c r="J1192" t="str">
        <f>_xlfn.UNICHAR(HEX2DEC(Table1[[#This Row],[utf8]]))</f>
        <v>👩</v>
      </c>
      <c r="K1192" s="3" t="str" cm="1">
        <f t="array" ref="K1192">"Case "&amp;wRandomLetter()&amp;wRandomLetter()&amp;I1192&amp;":    UniConst = ChrW(" &amp; I1192 &amp;")"</f>
        <v>Case PM128105:    UniConst = ChrW(128105)</v>
      </c>
    </row>
    <row r="1193" spans="1:11" hidden="1">
      <c r="A1193" t="s">
        <v>2006</v>
      </c>
      <c r="B1193" t="str">
        <f t="shared" si="110"/>
        <v>1F469 1F3FD 200D 1F9BD ; fully-qualified # 👩🏽‍🦽 E12.0 woman in manual wheelchair: medium skin tone</v>
      </c>
      <c r="C1193" t="str">
        <f t="shared" si="111"/>
        <v xml:space="preserve">1F469 1F3FD 200D 1F9BD </v>
      </c>
      <c r="D1193">
        <f t="shared" si="112"/>
        <v>23</v>
      </c>
      <c r="E1193" t="str">
        <f t="shared" si="108"/>
        <v xml:space="preserve"> 👩🏽‍🦽 E12.0 woman in manual wheelchair: medium skin tone</v>
      </c>
      <c r="F1193" t="b">
        <f t="shared" si="113"/>
        <v>1</v>
      </c>
      <c r="G1193" t="str">
        <f t="shared" si="109"/>
        <v>1F469</v>
      </c>
      <c r="I1193">
        <f>HEX2DEC(Table1[[#This Row],[utf8]])</f>
        <v>128105</v>
      </c>
      <c r="J1193" t="str">
        <f>_xlfn.UNICHAR(HEX2DEC(Table1[[#This Row],[utf8]]))</f>
        <v>👩</v>
      </c>
      <c r="K1193" s="3" t="str" cm="1">
        <f t="array" ref="K1193">"Case "&amp;wRandomLetter()&amp;wRandomLetter()&amp;I1193&amp;":    UniConst = ChrW(" &amp; I1193 &amp;")"</f>
        <v>Case zo128105:    UniConst = ChrW(128105)</v>
      </c>
    </row>
    <row r="1194" spans="1:11" hidden="1">
      <c r="A1194" t="s">
        <v>973</v>
      </c>
      <c r="B1194" t="str">
        <f t="shared" si="110"/>
        <v>1F469 1F3FD 200D 2695 ; minimally-qualified # 👩🏽‍⚕ E4.0 woman health worker: medium skin tone</v>
      </c>
      <c r="C1194" t="str">
        <f t="shared" si="111"/>
        <v xml:space="preserve">1F469 1F3FD 200D 2695 </v>
      </c>
      <c r="D1194">
        <f t="shared" si="112"/>
        <v>22</v>
      </c>
      <c r="E1194" t="str">
        <f t="shared" si="108"/>
        <v xml:space="preserve"> 👩🏽‍⚕ E4.0 woman health worker: medium skin tone</v>
      </c>
      <c r="F1194" t="b">
        <f t="shared" si="113"/>
        <v>1</v>
      </c>
      <c r="G1194" t="str">
        <f t="shared" si="109"/>
        <v>1F469</v>
      </c>
      <c r="I1194">
        <f>HEX2DEC(Table1[[#This Row],[utf8]])</f>
        <v>128105</v>
      </c>
      <c r="J1194" t="str">
        <f>_xlfn.UNICHAR(HEX2DEC(Table1[[#This Row],[utf8]]))</f>
        <v>👩</v>
      </c>
      <c r="K1194" s="3" t="str" cm="1">
        <f t="array" ref="K1194">"Case "&amp;wRandomLetter()&amp;wRandomLetter()&amp;I1194&amp;":    UniConst = ChrW(" &amp; I1194 &amp;")"</f>
        <v>Case UN128105:    UniConst = ChrW(128105)</v>
      </c>
    </row>
    <row r="1195" spans="1:11" hidden="1">
      <c r="A1195" t="s">
        <v>972</v>
      </c>
      <c r="B1195" t="str">
        <f t="shared" si="110"/>
        <v>1F469 1F3FD 200D 2695 FE0F ; fully-qualified # 👩🏽‍⚕️ E4.0 woman health worker: medium skin tone</v>
      </c>
      <c r="C1195" t="str">
        <f t="shared" si="111"/>
        <v xml:space="preserve">1F469 1F3FD 200D 2695 FE0F </v>
      </c>
      <c r="D1195">
        <f t="shared" si="112"/>
        <v>27</v>
      </c>
      <c r="E1195" t="str">
        <f t="shared" si="108"/>
        <v xml:space="preserve"> 👩🏽‍⚕️ E4.0 woman health worker: medium skin tone</v>
      </c>
      <c r="F1195" t="b">
        <f t="shared" si="113"/>
        <v>1</v>
      </c>
      <c r="G1195" t="str">
        <f t="shared" si="109"/>
        <v>1F469</v>
      </c>
      <c r="I1195">
        <f>HEX2DEC(Table1[[#This Row],[utf8]])</f>
        <v>128105</v>
      </c>
      <c r="J1195" t="str">
        <f>_xlfn.UNICHAR(HEX2DEC(Table1[[#This Row],[utf8]]))</f>
        <v>👩</v>
      </c>
      <c r="K1195" s="3" t="str" cm="1">
        <f t="array" ref="K1195">"Case "&amp;wRandomLetter()&amp;wRandomLetter()&amp;I1195&amp;":    UniConst = ChrW(" &amp; I1195 &amp;")"</f>
        <v>Case Lg128105:    UniConst = ChrW(128105)</v>
      </c>
    </row>
    <row r="1196" spans="1:11" hidden="1">
      <c r="A1196" t="s">
        <v>1045</v>
      </c>
      <c r="B1196" t="str">
        <f t="shared" si="110"/>
        <v>1F469 1F3FD 200D 2696 ; minimally-qualified # 👩🏽‍⚖ E4.0 woman judge: medium skin tone</v>
      </c>
      <c r="C1196" t="str">
        <f t="shared" si="111"/>
        <v xml:space="preserve">1F469 1F3FD 200D 2696 </v>
      </c>
      <c r="D1196">
        <f t="shared" si="112"/>
        <v>22</v>
      </c>
      <c r="E1196" t="str">
        <f t="shared" si="108"/>
        <v xml:space="preserve"> 👩🏽‍⚖ E4.0 woman judge: medium skin tone</v>
      </c>
      <c r="F1196" t="b">
        <f t="shared" si="113"/>
        <v>1</v>
      </c>
      <c r="G1196" t="str">
        <f t="shared" si="109"/>
        <v>1F469</v>
      </c>
      <c r="I1196">
        <f>HEX2DEC(Table1[[#This Row],[utf8]])</f>
        <v>128105</v>
      </c>
      <c r="J1196" t="str">
        <f>_xlfn.UNICHAR(HEX2DEC(Table1[[#This Row],[utf8]]))</f>
        <v>👩</v>
      </c>
      <c r="K1196" s="3" t="str" cm="1">
        <f t="array" ref="K1196">"Case "&amp;wRandomLetter()&amp;wRandomLetter()&amp;I1196&amp;":    UniConst = ChrW(" &amp; I1196 &amp;")"</f>
        <v>Case kE128105:    UniConst = ChrW(128105)</v>
      </c>
    </row>
    <row r="1197" spans="1:11" hidden="1">
      <c r="A1197" t="s">
        <v>1044</v>
      </c>
      <c r="B1197" t="str">
        <f t="shared" si="110"/>
        <v>1F469 1F3FD 200D 2696 FE0F ; fully-qualified # 👩🏽‍⚖️ E4.0 woman judge: medium skin tone</v>
      </c>
      <c r="C1197" t="str">
        <f t="shared" si="111"/>
        <v xml:space="preserve">1F469 1F3FD 200D 2696 FE0F </v>
      </c>
      <c r="D1197">
        <f t="shared" si="112"/>
        <v>27</v>
      </c>
      <c r="E1197" t="str">
        <f t="shared" si="108"/>
        <v xml:space="preserve"> 👩🏽‍⚖️ E4.0 woman judge: medium skin tone</v>
      </c>
      <c r="F1197" t="b">
        <f t="shared" si="113"/>
        <v>1</v>
      </c>
      <c r="G1197" t="str">
        <f t="shared" si="109"/>
        <v>1F469</v>
      </c>
      <c r="I1197">
        <f>HEX2DEC(Table1[[#This Row],[utf8]])</f>
        <v>128105</v>
      </c>
      <c r="J1197" t="str">
        <f>_xlfn.UNICHAR(HEX2DEC(Table1[[#This Row],[utf8]]))</f>
        <v>👩</v>
      </c>
      <c r="K1197" s="3" t="str" cm="1">
        <f t="array" ref="K1197">"Case "&amp;wRandomLetter()&amp;wRandomLetter()&amp;I1197&amp;":    UniConst = ChrW(" &amp; I1197 &amp;")"</f>
        <v>Case NV128105:    UniConst = ChrW(128105)</v>
      </c>
    </row>
    <row r="1198" spans="1:11" hidden="1">
      <c r="A1198" t="s">
        <v>1243</v>
      </c>
      <c r="B1198" t="str">
        <f t="shared" si="110"/>
        <v>1F469 1F3FD 200D 2708 ; minimally-qualified # 👩🏽‍✈ E4.0 woman pilot: medium skin tone</v>
      </c>
      <c r="C1198" t="str">
        <f t="shared" si="111"/>
        <v xml:space="preserve">1F469 1F3FD 200D 2708 </v>
      </c>
      <c r="D1198">
        <f t="shared" si="112"/>
        <v>22</v>
      </c>
      <c r="E1198" t="str">
        <f t="shared" si="108"/>
        <v xml:space="preserve"> 👩🏽‍✈ E4.0 woman pilot: medium skin tone</v>
      </c>
      <c r="F1198" t="b">
        <f t="shared" si="113"/>
        <v>1</v>
      </c>
      <c r="G1198" t="str">
        <f t="shared" si="109"/>
        <v>1F469</v>
      </c>
      <c r="I1198">
        <f>HEX2DEC(Table1[[#This Row],[utf8]])</f>
        <v>128105</v>
      </c>
      <c r="J1198" t="str">
        <f>_xlfn.UNICHAR(HEX2DEC(Table1[[#This Row],[utf8]]))</f>
        <v>👩</v>
      </c>
      <c r="K1198" s="3" t="str" cm="1">
        <f t="array" ref="K1198">"Case "&amp;wRandomLetter()&amp;wRandomLetter()&amp;I1198&amp;":    UniConst = ChrW(" &amp; I1198 &amp;")"</f>
        <v>Case yq128105:    UniConst = ChrW(128105)</v>
      </c>
    </row>
    <row r="1199" spans="1:11" hidden="1">
      <c r="A1199" t="s">
        <v>1242</v>
      </c>
      <c r="B1199" t="str">
        <f t="shared" si="110"/>
        <v>1F469 1F3FD 200D 2708 FE0F ; fully-qualified # 👩🏽‍✈️ E4.0 woman pilot: medium skin tone</v>
      </c>
      <c r="C1199" t="str">
        <f t="shared" si="111"/>
        <v xml:space="preserve">1F469 1F3FD 200D 2708 FE0F </v>
      </c>
      <c r="D1199">
        <f t="shared" si="112"/>
        <v>27</v>
      </c>
      <c r="E1199" t="str">
        <f t="shared" si="108"/>
        <v xml:space="preserve"> 👩🏽‍✈️ E4.0 woman pilot: medium skin tone</v>
      </c>
      <c r="F1199" t="b">
        <f t="shared" si="113"/>
        <v>1</v>
      </c>
      <c r="G1199" t="str">
        <f t="shared" si="109"/>
        <v>1F469</v>
      </c>
      <c r="I1199">
        <f>HEX2DEC(Table1[[#This Row],[utf8]])</f>
        <v>128105</v>
      </c>
      <c r="J1199" t="str">
        <f>_xlfn.UNICHAR(HEX2DEC(Table1[[#This Row],[utf8]]))</f>
        <v>👩</v>
      </c>
      <c r="K1199" s="3" t="str" cm="1">
        <f t="array" ref="K1199">"Case "&amp;wRandomLetter()&amp;wRandomLetter()&amp;I1199&amp;":    UniConst = ChrW(" &amp; I1199 &amp;")"</f>
        <v>Case pa128105:    UniConst = ChrW(128105)</v>
      </c>
    </row>
    <row r="1200" spans="1:11" hidden="1">
      <c r="A1200" t="s">
        <v>2938</v>
      </c>
      <c r="B1200" t="str">
        <f t="shared" si="110"/>
        <v>1F469 1F3FD 200D 2764 200D 1F468 1F3FB ; minimally-qualified # 👩🏽‍❤‍👨🏻 E13.1 couple with heart: woman, man, medium skin tone, light skin tone</v>
      </c>
      <c r="C1200" t="str">
        <f t="shared" si="111"/>
        <v xml:space="preserve">1F469 1F3FD 200D 2764 200D 1F468 1F3FB </v>
      </c>
      <c r="D1200">
        <f t="shared" si="112"/>
        <v>39</v>
      </c>
      <c r="E1200" t="str">
        <f t="shared" si="108"/>
        <v xml:space="preserve"> 👩🏽‍❤‍👨🏻 E13.1 couple with heart: woman, man, medium skin tone, light skin tone</v>
      </c>
      <c r="F1200" t="b">
        <f t="shared" si="113"/>
        <v>1</v>
      </c>
      <c r="G1200" t="str">
        <f t="shared" si="109"/>
        <v>1F469</v>
      </c>
      <c r="I1200">
        <f>HEX2DEC(Table1[[#This Row],[utf8]])</f>
        <v>128105</v>
      </c>
      <c r="J1200" t="str">
        <f>_xlfn.UNICHAR(HEX2DEC(Table1[[#This Row],[utf8]]))</f>
        <v>👩</v>
      </c>
      <c r="K1200" s="3" t="str" cm="1">
        <f t="array" ref="K1200">"Case "&amp;wRandomLetter()&amp;wRandomLetter()&amp;I1200&amp;":    UniConst = ChrW(" &amp; I1200 &amp;")"</f>
        <v>Case So128105:    UniConst = ChrW(128105)</v>
      </c>
    </row>
    <row r="1201" spans="1:11" hidden="1">
      <c r="A1201" t="s">
        <v>2940</v>
      </c>
      <c r="B1201" t="str">
        <f t="shared" si="110"/>
        <v>1F469 1F3FD 200D 2764 200D 1F468 1F3FC ; minimally-qualified # 👩🏽‍❤‍👨🏼 E13.1 couple with heart: woman, man, medium skin tone, medium-light skin tone</v>
      </c>
      <c r="C1201" t="str">
        <f t="shared" si="111"/>
        <v xml:space="preserve">1F469 1F3FD 200D 2764 200D 1F468 1F3FC </v>
      </c>
      <c r="D1201">
        <f t="shared" si="112"/>
        <v>39</v>
      </c>
      <c r="E1201" t="str">
        <f t="shared" si="108"/>
        <v xml:space="preserve"> 👩🏽‍❤‍👨🏼 E13.1 couple with heart: woman, man, medium skin tone, medium-light skin tone</v>
      </c>
      <c r="F1201" t="b">
        <f t="shared" si="113"/>
        <v>1</v>
      </c>
      <c r="G1201" t="str">
        <f t="shared" si="109"/>
        <v>1F469</v>
      </c>
      <c r="I1201">
        <f>HEX2DEC(Table1[[#This Row],[utf8]])</f>
        <v>128105</v>
      </c>
      <c r="J1201" t="str">
        <f>_xlfn.UNICHAR(HEX2DEC(Table1[[#This Row],[utf8]]))</f>
        <v>👩</v>
      </c>
      <c r="K1201" s="3" t="str" cm="1">
        <f t="array" ref="K1201">"Case "&amp;wRandomLetter()&amp;wRandomLetter()&amp;I1201&amp;":    UniConst = ChrW(" &amp; I1201 &amp;")"</f>
        <v>Case Wg128105:    UniConst = ChrW(128105)</v>
      </c>
    </row>
    <row r="1202" spans="1:11" hidden="1">
      <c r="A1202" t="s">
        <v>2942</v>
      </c>
      <c r="B1202" t="str">
        <f t="shared" si="110"/>
        <v>1F469 1F3FD 200D 2764 200D 1F468 1F3FD ; minimally-qualified # 👩🏽‍❤‍👨🏽 E13.1 couple with heart: woman, man, medium skin tone</v>
      </c>
      <c r="C1202" t="str">
        <f t="shared" si="111"/>
        <v xml:space="preserve">1F469 1F3FD 200D 2764 200D 1F468 1F3FD </v>
      </c>
      <c r="D1202">
        <f t="shared" si="112"/>
        <v>39</v>
      </c>
      <c r="E1202" t="str">
        <f t="shared" si="108"/>
        <v xml:space="preserve"> 👩🏽‍❤‍👨🏽 E13.1 couple with heart: woman, man, medium skin tone</v>
      </c>
      <c r="F1202" t="b">
        <f t="shared" si="113"/>
        <v>1</v>
      </c>
      <c r="G1202" t="str">
        <f t="shared" si="109"/>
        <v>1F469</v>
      </c>
      <c r="I1202">
        <f>HEX2DEC(Table1[[#This Row],[utf8]])</f>
        <v>128105</v>
      </c>
      <c r="J1202" t="str">
        <f>_xlfn.UNICHAR(HEX2DEC(Table1[[#This Row],[utf8]]))</f>
        <v>👩</v>
      </c>
      <c r="K1202" s="3" t="str" cm="1">
        <f t="array" ref="K1202">"Case "&amp;wRandomLetter()&amp;wRandomLetter()&amp;I1202&amp;":    UniConst = ChrW(" &amp; I1202 &amp;")"</f>
        <v>Case pa128105:    UniConst = ChrW(128105)</v>
      </c>
    </row>
    <row r="1203" spans="1:11" hidden="1">
      <c r="A1203" t="s">
        <v>2944</v>
      </c>
      <c r="B1203" t="str">
        <f t="shared" si="110"/>
        <v>1F469 1F3FD 200D 2764 200D 1F468 1F3FE ; minimally-qualified # 👩🏽‍❤‍👨🏾 E13.1 couple with heart: woman, man, medium skin tone, medium-dark skin tone</v>
      </c>
      <c r="C1203" t="str">
        <f t="shared" si="111"/>
        <v xml:space="preserve">1F469 1F3FD 200D 2764 200D 1F468 1F3FE </v>
      </c>
      <c r="D1203">
        <f t="shared" si="112"/>
        <v>39</v>
      </c>
      <c r="E1203" t="str">
        <f t="shared" si="108"/>
        <v xml:space="preserve"> 👩🏽‍❤‍👨🏾 E13.1 couple with heart: woman, man, medium skin tone, medium-dark skin tone</v>
      </c>
      <c r="F1203" t="b">
        <f t="shared" si="113"/>
        <v>1</v>
      </c>
      <c r="G1203" t="str">
        <f t="shared" si="109"/>
        <v>1F469</v>
      </c>
      <c r="I1203">
        <f>HEX2DEC(Table1[[#This Row],[utf8]])</f>
        <v>128105</v>
      </c>
      <c r="J1203" t="str">
        <f>_xlfn.UNICHAR(HEX2DEC(Table1[[#This Row],[utf8]]))</f>
        <v>👩</v>
      </c>
      <c r="K1203" s="3" t="str" cm="1">
        <f t="array" ref="K1203">"Case "&amp;wRandomLetter()&amp;wRandomLetter()&amp;I1203&amp;":    UniConst = ChrW(" &amp; I1203 &amp;")"</f>
        <v>Case mk128105:    UniConst = ChrW(128105)</v>
      </c>
    </row>
    <row r="1204" spans="1:11" hidden="1">
      <c r="A1204" t="s">
        <v>2946</v>
      </c>
      <c r="B1204" t="str">
        <f t="shared" si="110"/>
        <v>1F469 1F3FD 200D 2764 200D 1F468 1F3FF ; minimally-qualified # 👩🏽‍❤‍👨🏿 E13.1 couple with heart: woman, man, medium skin tone, dark skin tone</v>
      </c>
      <c r="C1204" t="str">
        <f t="shared" si="111"/>
        <v xml:space="preserve">1F469 1F3FD 200D 2764 200D 1F468 1F3FF </v>
      </c>
      <c r="D1204">
        <f t="shared" si="112"/>
        <v>39</v>
      </c>
      <c r="E1204" t="str">
        <f t="shared" si="108"/>
        <v xml:space="preserve"> 👩🏽‍❤‍👨🏿 E13.1 couple with heart: woman, man, medium skin tone, dark skin tone</v>
      </c>
      <c r="F1204" t="b">
        <f t="shared" si="113"/>
        <v>1</v>
      </c>
      <c r="G1204" t="str">
        <f t="shared" si="109"/>
        <v>1F469</v>
      </c>
      <c r="I1204">
        <f>HEX2DEC(Table1[[#This Row],[utf8]])</f>
        <v>128105</v>
      </c>
      <c r="J1204" t="str">
        <f>_xlfn.UNICHAR(HEX2DEC(Table1[[#This Row],[utf8]]))</f>
        <v>👩</v>
      </c>
      <c r="K1204" s="3" t="str" cm="1">
        <f t="array" ref="K1204">"Case "&amp;wRandomLetter()&amp;wRandomLetter()&amp;I1204&amp;":    UniConst = ChrW(" &amp; I1204 &amp;")"</f>
        <v>Case BJ128105:    UniConst = ChrW(128105)</v>
      </c>
    </row>
    <row r="1205" spans="1:11" hidden="1">
      <c r="A1205" t="s">
        <v>3042</v>
      </c>
      <c r="B1205" t="str">
        <f t="shared" si="110"/>
        <v>1F469 1F3FD 200D 2764 200D 1F469 1F3FB ; minimally-qualified # 👩🏽‍❤‍👩🏻 E13.1 couple with heart: woman, woman, medium skin tone, light skin tone</v>
      </c>
      <c r="C1205" t="str">
        <f t="shared" si="111"/>
        <v xml:space="preserve">1F469 1F3FD 200D 2764 200D 1F469 1F3FB </v>
      </c>
      <c r="D1205">
        <f t="shared" si="112"/>
        <v>39</v>
      </c>
      <c r="E1205" t="str">
        <f t="shared" si="108"/>
        <v xml:space="preserve"> 👩🏽‍❤‍👩🏻 E13.1 couple with heart: woman, woman, medium skin tone, light skin tone</v>
      </c>
      <c r="F1205" t="b">
        <f t="shared" si="113"/>
        <v>1</v>
      </c>
      <c r="G1205" t="str">
        <f t="shared" si="109"/>
        <v>1F469</v>
      </c>
      <c r="I1205">
        <f>HEX2DEC(Table1[[#This Row],[utf8]])</f>
        <v>128105</v>
      </c>
      <c r="J1205" t="str">
        <f>_xlfn.UNICHAR(HEX2DEC(Table1[[#This Row],[utf8]]))</f>
        <v>👩</v>
      </c>
      <c r="K1205" s="3" t="str" cm="1">
        <f t="array" ref="K1205">"Case "&amp;wRandomLetter()&amp;wRandomLetter()&amp;I1205&amp;":    UniConst = ChrW(" &amp; I1205 &amp;")"</f>
        <v>Case ql128105:    UniConst = ChrW(128105)</v>
      </c>
    </row>
    <row r="1206" spans="1:11" hidden="1">
      <c r="A1206" t="s">
        <v>3044</v>
      </c>
      <c r="B1206" t="str">
        <f t="shared" si="110"/>
        <v>1F469 1F3FD 200D 2764 200D 1F469 1F3FC ; minimally-qualified # 👩🏽‍❤‍👩🏼 E13.1 couple with heart: woman, woman, medium skin tone, medium-light skin tone</v>
      </c>
      <c r="C1206" t="str">
        <f t="shared" si="111"/>
        <v xml:space="preserve">1F469 1F3FD 200D 2764 200D 1F469 1F3FC </v>
      </c>
      <c r="D1206">
        <f t="shared" si="112"/>
        <v>39</v>
      </c>
      <c r="E1206" t="str">
        <f t="shared" si="108"/>
        <v xml:space="preserve"> 👩🏽‍❤‍👩🏼 E13.1 couple with heart: woman, woman, medium skin tone, medium-light skin tone</v>
      </c>
      <c r="F1206" t="b">
        <f t="shared" si="113"/>
        <v>1</v>
      </c>
      <c r="G1206" t="str">
        <f t="shared" si="109"/>
        <v>1F469</v>
      </c>
      <c r="I1206">
        <f>HEX2DEC(Table1[[#This Row],[utf8]])</f>
        <v>128105</v>
      </c>
      <c r="J1206" t="str">
        <f>_xlfn.UNICHAR(HEX2DEC(Table1[[#This Row],[utf8]]))</f>
        <v>👩</v>
      </c>
      <c r="K1206" s="3" t="str" cm="1">
        <f t="array" ref="K1206">"Case "&amp;wRandomLetter()&amp;wRandomLetter()&amp;I1206&amp;":    UniConst = ChrW(" &amp; I1206 &amp;")"</f>
        <v>Case zr128105:    UniConst = ChrW(128105)</v>
      </c>
    </row>
    <row r="1207" spans="1:11" hidden="1">
      <c r="A1207" t="s">
        <v>3046</v>
      </c>
      <c r="B1207" t="str">
        <f t="shared" si="110"/>
        <v>1F469 1F3FD 200D 2764 200D 1F469 1F3FD ; minimally-qualified # 👩🏽‍❤‍👩🏽 E13.1 couple with heart: woman, woman, medium skin tone</v>
      </c>
      <c r="C1207" t="str">
        <f t="shared" si="111"/>
        <v xml:space="preserve">1F469 1F3FD 200D 2764 200D 1F469 1F3FD </v>
      </c>
      <c r="D1207">
        <f t="shared" si="112"/>
        <v>39</v>
      </c>
      <c r="E1207" t="str">
        <f t="shared" si="108"/>
        <v xml:space="preserve"> 👩🏽‍❤‍👩🏽 E13.1 couple with heart: woman, woman, medium skin tone</v>
      </c>
      <c r="F1207" t="b">
        <f t="shared" si="113"/>
        <v>1</v>
      </c>
      <c r="G1207" t="str">
        <f t="shared" si="109"/>
        <v>1F469</v>
      </c>
      <c r="I1207">
        <f>HEX2DEC(Table1[[#This Row],[utf8]])</f>
        <v>128105</v>
      </c>
      <c r="J1207" t="str">
        <f>_xlfn.UNICHAR(HEX2DEC(Table1[[#This Row],[utf8]]))</f>
        <v>👩</v>
      </c>
      <c r="K1207" s="3" t="str" cm="1">
        <f t="array" ref="K1207">"Case "&amp;wRandomLetter()&amp;wRandomLetter()&amp;I1207&amp;":    UniConst = ChrW(" &amp; I1207 &amp;")"</f>
        <v>Case TH128105:    UniConst = ChrW(128105)</v>
      </c>
    </row>
    <row r="1208" spans="1:11" hidden="1">
      <c r="A1208" t="s">
        <v>3048</v>
      </c>
      <c r="B1208" t="str">
        <f t="shared" si="110"/>
        <v>1F469 1F3FD 200D 2764 200D 1F469 1F3FE ; minimally-qualified # 👩🏽‍❤‍👩🏾 E13.1 couple with heart: woman, woman, medium skin tone, medium-dark skin tone</v>
      </c>
      <c r="C1208" t="str">
        <f t="shared" si="111"/>
        <v xml:space="preserve">1F469 1F3FD 200D 2764 200D 1F469 1F3FE </v>
      </c>
      <c r="D1208">
        <f t="shared" si="112"/>
        <v>39</v>
      </c>
      <c r="E1208" t="str">
        <f t="shared" si="108"/>
        <v xml:space="preserve"> 👩🏽‍❤‍👩🏾 E13.1 couple with heart: woman, woman, medium skin tone, medium-dark skin tone</v>
      </c>
      <c r="F1208" t="b">
        <f t="shared" si="113"/>
        <v>1</v>
      </c>
      <c r="G1208" t="str">
        <f t="shared" si="109"/>
        <v>1F469</v>
      </c>
      <c r="I1208">
        <f>HEX2DEC(Table1[[#This Row],[utf8]])</f>
        <v>128105</v>
      </c>
      <c r="J1208" t="str">
        <f>_xlfn.UNICHAR(HEX2DEC(Table1[[#This Row],[utf8]]))</f>
        <v>👩</v>
      </c>
      <c r="K1208" s="3" t="str" cm="1">
        <f t="array" ref="K1208">"Case "&amp;wRandomLetter()&amp;wRandomLetter()&amp;I1208&amp;":    UniConst = ChrW(" &amp; I1208 &amp;")"</f>
        <v>Case jt128105:    UniConst = ChrW(128105)</v>
      </c>
    </row>
    <row r="1209" spans="1:11" hidden="1">
      <c r="A1209" t="s">
        <v>3050</v>
      </c>
      <c r="B1209" t="str">
        <f t="shared" si="110"/>
        <v>1F469 1F3FD 200D 2764 200D 1F469 1F3FF ; minimally-qualified # 👩🏽‍❤‍👩🏿 E13.1 couple with heart: woman, woman, medium skin tone, dark skin tone</v>
      </c>
      <c r="C1209" t="str">
        <f t="shared" si="111"/>
        <v xml:space="preserve">1F469 1F3FD 200D 2764 200D 1F469 1F3FF </v>
      </c>
      <c r="D1209">
        <f t="shared" si="112"/>
        <v>39</v>
      </c>
      <c r="E1209" t="str">
        <f t="shared" si="108"/>
        <v xml:space="preserve"> 👩🏽‍❤‍👩🏿 E13.1 couple with heart: woman, woman, medium skin tone, dark skin tone</v>
      </c>
      <c r="F1209" t="b">
        <f t="shared" si="113"/>
        <v>1</v>
      </c>
      <c r="G1209" t="str">
        <f t="shared" si="109"/>
        <v>1F469</v>
      </c>
      <c r="I1209">
        <f>HEX2DEC(Table1[[#This Row],[utf8]])</f>
        <v>128105</v>
      </c>
      <c r="J1209" t="str">
        <f>_xlfn.UNICHAR(HEX2DEC(Table1[[#This Row],[utf8]]))</f>
        <v>👩</v>
      </c>
      <c r="K1209" s="3" t="str" cm="1">
        <f t="array" ref="K1209">"Case "&amp;wRandomLetter()&amp;wRandomLetter()&amp;I1209&amp;":    UniConst = ChrW(" &amp; I1209 &amp;")"</f>
        <v>Case yF128105:    UniConst = ChrW(128105)</v>
      </c>
    </row>
    <row r="1210" spans="1:11" hidden="1">
      <c r="A1210" t="s">
        <v>2736</v>
      </c>
      <c r="B1210" t="str">
        <f t="shared" si="110"/>
        <v>1F469 1F3FD 200D 2764 200D 1F48B 200D 1F468 1F3FB ; minimally-qualified # 👩🏽‍❤‍💋‍👨🏻 E13.1 kiss: woman, man, medium skin tone, light skin tone</v>
      </c>
      <c r="C1210" t="str">
        <f t="shared" si="111"/>
        <v xml:space="preserve">1F469 1F3FD 200D 2764 200D 1F48B 200D 1F468 1F3FB </v>
      </c>
      <c r="D1210">
        <f t="shared" si="112"/>
        <v>50</v>
      </c>
      <c r="E1210" t="str">
        <f t="shared" si="108"/>
        <v xml:space="preserve"> 👩🏽‍❤‍💋‍👨🏻 E13.1 kiss: woman, man, medium skin tone, light skin tone</v>
      </c>
      <c r="F1210" t="b">
        <f t="shared" si="113"/>
        <v>1</v>
      </c>
      <c r="G1210" t="str">
        <f t="shared" si="109"/>
        <v>1F469</v>
      </c>
      <c r="I1210">
        <f>HEX2DEC(Table1[[#This Row],[utf8]])</f>
        <v>128105</v>
      </c>
      <c r="J1210" t="str">
        <f>_xlfn.UNICHAR(HEX2DEC(Table1[[#This Row],[utf8]]))</f>
        <v>👩</v>
      </c>
      <c r="K1210" s="3" t="str" cm="1">
        <f t="array" ref="K1210">"Case "&amp;wRandomLetter()&amp;wRandomLetter()&amp;I1210&amp;":    UniConst = ChrW(" &amp; I1210 &amp;")"</f>
        <v>Case oV128105:    UniConst = ChrW(128105)</v>
      </c>
    </row>
    <row r="1211" spans="1:11" hidden="1">
      <c r="A1211" t="s">
        <v>2738</v>
      </c>
      <c r="B1211" t="str">
        <f t="shared" si="110"/>
        <v>1F469 1F3FD 200D 2764 200D 1F48B 200D 1F468 1F3FC ; minimally-qualified # 👩🏽‍❤‍💋‍👨🏼 E13.1 kiss: woman, man, medium skin tone, medium-light skin tone</v>
      </c>
      <c r="C1211" t="str">
        <f t="shared" si="111"/>
        <v xml:space="preserve">1F469 1F3FD 200D 2764 200D 1F48B 200D 1F468 1F3FC </v>
      </c>
      <c r="D1211">
        <f t="shared" si="112"/>
        <v>50</v>
      </c>
      <c r="E1211" t="str">
        <f t="shared" si="108"/>
        <v xml:space="preserve"> 👩🏽‍❤‍💋‍👨🏼 E13.1 kiss: woman, man, medium skin tone, medium-light skin tone</v>
      </c>
      <c r="F1211" t="b">
        <f t="shared" si="113"/>
        <v>1</v>
      </c>
      <c r="G1211" t="str">
        <f t="shared" si="109"/>
        <v>1F469</v>
      </c>
      <c r="I1211">
        <f>HEX2DEC(Table1[[#This Row],[utf8]])</f>
        <v>128105</v>
      </c>
      <c r="J1211" t="str">
        <f>_xlfn.UNICHAR(HEX2DEC(Table1[[#This Row],[utf8]]))</f>
        <v>👩</v>
      </c>
      <c r="K1211" s="3" t="str" cm="1">
        <f t="array" ref="K1211">"Case "&amp;wRandomLetter()&amp;wRandomLetter()&amp;I1211&amp;":    UniConst = ChrW(" &amp; I1211 &amp;")"</f>
        <v>Case bC128105:    UniConst = ChrW(128105)</v>
      </c>
    </row>
    <row r="1212" spans="1:11" hidden="1">
      <c r="A1212" t="s">
        <v>2740</v>
      </c>
      <c r="B1212" t="str">
        <f t="shared" si="110"/>
        <v>1F469 1F3FD 200D 2764 200D 1F48B 200D 1F468 1F3FD ; minimally-qualified # 👩🏽‍❤‍💋‍👨🏽 E13.1 kiss: woman, man, medium skin tone</v>
      </c>
      <c r="C1212" t="str">
        <f t="shared" si="111"/>
        <v xml:space="preserve">1F469 1F3FD 200D 2764 200D 1F48B 200D 1F468 1F3FD </v>
      </c>
      <c r="D1212">
        <f t="shared" si="112"/>
        <v>50</v>
      </c>
      <c r="E1212" t="str">
        <f t="shared" si="108"/>
        <v xml:space="preserve"> 👩🏽‍❤‍💋‍👨🏽 E13.1 kiss: woman, man, medium skin tone</v>
      </c>
      <c r="F1212" t="b">
        <f t="shared" si="113"/>
        <v>1</v>
      </c>
      <c r="G1212" t="str">
        <f t="shared" si="109"/>
        <v>1F469</v>
      </c>
      <c r="I1212">
        <f>HEX2DEC(Table1[[#This Row],[utf8]])</f>
        <v>128105</v>
      </c>
      <c r="J1212" t="str">
        <f>_xlfn.UNICHAR(HEX2DEC(Table1[[#This Row],[utf8]]))</f>
        <v>👩</v>
      </c>
      <c r="K1212" s="3" t="str" cm="1">
        <f t="array" ref="K1212">"Case "&amp;wRandomLetter()&amp;wRandomLetter()&amp;I1212&amp;":    UniConst = ChrW(" &amp; I1212 &amp;")"</f>
        <v>Case qs128105:    UniConst = ChrW(128105)</v>
      </c>
    </row>
    <row r="1213" spans="1:11" hidden="1">
      <c r="A1213" t="s">
        <v>2742</v>
      </c>
      <c r="B1213" t="str">
        <f t="shared" si="110"/>
        <v>1F469 1F3FD 200D 2764 200D 1F48B 200D 1F468 1F3FE ; minimally-qualified # 👩🏽‍❤‍💋‍👨🏾 E13.1 kiss: woman, man, medium skin tone, medium-dark skin tone</v>
      </c>
      <c r="C1213" t="str">
        <f t="shared" si="111"/>
        <v xml:space="preserve">1F469 1F3FD 200D 2764 200D 1F48B 200D 1F468 1F3FE </v>
      </c>
      <c r="D1213">
        <f t="shared" si="112"/>
        <v>50</v>
      </c>
      <c r="E1213" t="str">
        <f t="shared" si="108"/>
        <v xml:space="preserve"> 👩🏽‍❤‍💋‍👨🏾 E13.1 kiss: woman, man, medium skin tone, medium-dark skin tone</v>
      </c>
      <c r="F1213" t="b">
        <f t="shared" si="113"/>
        <v>1</v>
      </c>
      <c r="G1213" t="str">
        <f t="shared" si="109"/>
        <v>1F469</v>
      </c>
      <c r="I1213">
        <f>HEX2DEC(Table1[[#This Row],[utf8]])</f>
        <v>128105</v>
      </c>
      <c r="J1213" t="str">
        <f>_xlfn.UNICHAR(HEX2DEC(Table1[[#This Row],[utf8]]))</f>
        <v>👩</v>
      </c>
      <c r="K1213" s="3" t="str" cm="1">
        <f t="array" ref="K1213">"Case "&amp;wRandomLetter()&amp;wRandomLetter()&amp;I1213&amp;":    UniConst = ChrW(" &amp; I1213 &amp;")"</f>
        <v>Case yf128105:    UniConst = ChrW(128105)</v>
      </c>
    </row>
    <row r="1214" spans="1:11" hidden="1">
      <c r="A1214" t="s">
        <v>2744</v>
      </c>
      <c r="B1214" t="str">
        <f t="shared" si="110"/>
        <v>1F469 1F3FD 200D 2764 200D 1F48B 200D 1F468 1F3FF ; minimally-qualified # 👩🏽‍❤‍💋‍👨🏿 E13.1 kiss: woman, man, medium skin tone, dark skin tone</v>
      </c>
      <c r="C1214" t="str">
        <f t="shared" si="111"/>
        <v xml:space="preserve">1F469 1F3FD 200D 2764 200D 1F48B 200D 1F468 1F3FF </v>
      </c>
      <c r="D1214">
        <f t="shared" si="112"/>
        <v>50</v>
      </c>
      <c r="E1214" t="str">
        <f t="shared" si="108"/>
        <v xml:space="preserve"> 👩🏽‍❤‍💋‍👨🏿 E13.1 kiss: woman, man, medium skin tone, dark skin tone</v>
      </c>
      <c r="F1214" t="b">
        <f t="shared" si="113"/>
        <v>1</v>
      </c>
      <c r="G1214" t="str">
        <f t="shared" si="109"/>
        <v>1F469</v>
      </c>
      <c r="I1214">
        <f>HEX2DEC(Table1[[#This Row],[utf8]])</f>
        <v>128105</v>
      </c>
      <c r="J1214" t="str">
        <f>_xlfn.UNICHAR(HEX2DEC(Table1[[#This Row],[utf8]]))</f>
        <v>👩</v>
      </c>
      <c r="K1214" s="3" t="str" cm="1">
        <f t="array" ref="K1214">"Case "&amp;wRandomLetter()&amp;wRandomLetter()&amp;I1214&amp;":    UniConst = ChrW(" &amp; I1214 &amp;")"</f>
        <v>Case Eo128105:    UniConst = ChrW(128105)</v>
      </c>
    </row>
    <row r="1215" spans="1:11" hidden="1">
      <c r="A1215" t="s">
        <v>2840</v>
      </c>
      <c r="B1215" t="str">
        <f t="shared" si="110"/>
        <v>1F469 1F3FD 200D 2764 200D 1F48B 200D 1F469 1F3FB ; minimally-qualified # 👩🏽‍❤‍💋‍👩🏻 E13.1 kiss: woman, woman, medium skin tone, light skin tone</v>
      </c>
      <c r="C1215" t="str">
        <f t="shared" si="111"/>
        <v xml:space="preserve">1F469 1F3FD 200D 2764 200D 1F48B 200D 1F469 1F3FB </v>
      </c>
      <c r="D1215">
        <f t="shared" si="112"/>
        <v>50</v>
      </c>
      <c r="E1215" t="str">
        <f t="shared" si="108"/>
        <v xml:space="preserve"> 👩🏽‍❤‍💋‍👩🏻 E13.1 kiss: woman, woman, medium skin tone, light skin tone</v>
      </c>
      <c r="F1215" t="b">
        <f t="shared" si="113"/>
        <v>1</v>
      </c>
      <c r="G1215" t="str">
        <f t="shared" si="109"/>
        <v>1F469</v>
      </c>
      <c r="I1215">
        <f>HEX2DEC(Table1[[#This Row],[utf8]])</f>
        <v>128105</v>
      </c>
      <c r="J1215" t="str">
        <f>_xlfn.UNICHAR(HEX2DEC(Table1[[#This Row],[utf8]]))</f>
        <v>👩</v>
      </c>
      <c r="K1215" s="3" t="str" cm="1">
        <f t="array" ref="K1215">"Case "&amp;wRandomLetter()&amp;wRandomLetter()&amp;I1215&amp;":    UniConst = ChrW(" &amp; I1215 &amp;")"</f>
        <v>Case zc128105:    UniConst = ChrW(128105)</v>
      </c>
    </row>
    <row r="1216" spans="1:11" hidden="1">
      <c r="A1216" t="s">
        <v>2842</v>
      </c>
      <c r="B1216" t="str">
        <f t="shared" si="110"/>
        <v>1F469 1F3FD 200D 2764 200D 1F48B 200D 1F469 1F3FC ; minimally-qualified # 👩🏽‍❤‍💋‍👩🏼 E13.1 kiss: woman, woman, medium skin tone, medium-light skin tone</v>
      </c>
      <c r="C1216" t="str">
        <f t="shared" si="111"/>
        <v xml:space="preserve">1F469 1F3FD 200D 2764 200D 1F48B 200D 1F469 1F3FC </v>
      </c>
      <c r="D1216">
        <f t="shared" si="112"/>
        <v>50</v>
      </c>
      <c r="E1216" t="str">
        <f t="shared" si="108"/>
        <v xml:space="preserve"> 👩🏽‍❤‍💋‍👩🏼 E13.1 kiss: woman, woman, medium skin tone, medium-light skin tone</v>
      </c>
      <c r="F1216" t="b">
        <f t="shared" si="113"/>
        <v>1</v>
      </c>
      <c r="G1216" t="str">
        <f t="shared" si="109"/>
        <v>1F469</v>
      </c>
      <c r="I1216">
        <f>HEX2DEC(Table1[[#This Row],[utf8]])</f>
        <v>128105</v>
      </c>
      <c r="J1216" t="str">
        <f>_xlfn.UNICHAR(HEX2DEC(Table1[[#This Row],[utf8]]))</f>
        <v>👩</v>
      </c>
      <c r="K1216" s="3" t="str" cm="1">
        <f t="array" ref="K1216">"Case "&amp;wRandomLetter()&amp;wRandomLetter()&amp;I1216&amp;":    UniConst = ChrW(" &amp; I1216 &amp;")"</f>
        <v>Case zp128105:    UniConst = ChrW(128105)</v>
      </c>
    </row>
    <row r="1217" spans="1:11" hidden="1">
      <c r="A1217" t="s">
        <v>2844</v>
      </c>
      <c r="B1217" t="str">
        <f t="shared" si="110"/>
        <v>1F469 1F3FD 200D 2764 200D 1F48B 200D 1F469 1F3FD ; minimally-qualified # 👩🏽‍❤‍💋‍👩🏽 E13.1 kiss: woman, woman, medium skin tone</v>
      </c>
      <c r="C1217" t="str">
        <f t="shared" si="111"/>
        <v xml:space="preserve">1F469 1F3FD 200D 2764 200D 1F48B 200D 1F469 1F3FD </v>
      </c>
      <c r="D1217">
        <f t="shared" si="112"/>
        <v>50</v>
      </c>
      <c r="E1217" t="str">
        <f t="shared" si="108"/>
        <v xml:space="preserve"> 👩🏽‍❤‍💋‍👩🏽 E13.1 kiss: woman, woman, medium skin tone</v>
      </c>
      <c r="F1217" t="b">
        <f t="shared" si="113"/>
        <v>1</v>
      </c>
      <c r="G1217" t="str">
        <f t="shared" si="109"/>
        <v>1F469</v>
      </c>
      <c r="I1217">
        <f>HEX2DEC(Table1[[#This Row],[utf8]])</f>
        <v>128105</v>
      </c>
      <c r="J1217" t="str">
        <f>_xlfn.UNICHAR(HEX2DEC(Table1[[#This Row],[utf8]]))</f>
        <v>👩</v>
      </c>
      <c r="K1217" s="3" t="str" cm="1">
        <f t="array" ref="K1217">"Case "&amp;wRandomLetter()&amp;wRandomLetter()&amp;I1217&amp;":    UniConst = ChrW(" &amp; I1217 &amp;")"</f>
        <v>Case DV128105:    UniConst = ChrW(128105)</v>
      </c>
    </row>
    <row r="1218" spans="1:11" hidden="1">
      <c r="A1218" t="s">
        <v>2846</v>
      </c>
      <c r="B1218" t="str">
        <f t="shared" si="110"/>
        <v>1F469 1F3FD 200D 2764 200D 1F48B 200D 1F469 1F3FE ; minimally-qualified # 👩🏽‍❤‍💋‍👩🏾 E13.1 kiss: woman, woman, medium skin tone, medium-dark skin tone</v>
      </c>
      <c r="C1218" t="str">
        <f t="shared" si="111"/>
        <v xml:space="preserve">1F469 1F3FD 200D 2764 200D 1F48B 200D 1F469 1F3FE </v>
      </c>
      <c r="D1218">
        <f t="shared" si="112"/>
        <v>50</v>
      </c>
      <c r="E1218" t="str">
        <f t="shared" ref="E1218:E1281" si="114">MID(A1218,FIND("#",A1218)+1,256)</f>
        <v xml:space="preserve"> 👩🏽‍❤‍💋‍👩🏾 E13.1 kiss: woman, woman, medium skin tone, medium-dark skin tone</v>
      </c>
      <c r="F1218" t="b">
        <f t="shared" si="113"/>
        <v>1</v>
      </c>
      <c r="G1218" t="str">
        <f t="shared" ref="G1218:G1281" si="115">LEFT(C1218,(FIND(" ",C1218,1)-1))</f>
        <v>1F469</v>
      </c>
      <c r="I1218">
        <f>HEX2DEC(Table1[[#This Row],[utf8]])</f>
        <v>128105</v>
      </c>
      <c r="J1218" t="str">
        <f>_xlfn.UNICHAR(HEX2DEC(Table1[[#This Row],[utf8]]))</f>
        <v>👩</v>
      </c>
      <c r="K1218" s="3" t="str" cm="1">
        <f t="array" ref="K1218">"Case "&amp;wRandomLetter()&amp;wRandomLetter()&amp;I1218&amp;":    UniConst = ChrW(" &amp; I1218 &amp;")"</f>
        <v>Case WW128105:    UniConst = ChrW(128105)</v>
      </c>
    </row>
    <row r="1219" spans="1:11" hidden="1">
      <c r="A1219" t="s">
        <v>2848</v>
      </c>
      <c r="B1219" t="str">
        <f t="shared" ref="B1219:B1282" si="116">TRIM(A1219)</f>
        <v>1F469 1F3FD 200D 2764 200D 1F48B 200D 1F469 1F3FF ; minimally-qualified # 👩🏽‍❤‍💋‍👩🏿 E13.1 kiss: woman, woman, medium skin tone, dark skin tone</v>
      </c>
      <c r="C1219" t="str">
        <f t="shared" ref="C1219:C1282" si="117">LEFT(B1219,(FIND(";",B1219,1)-1))</f>
        <v xml:space="preserve">1F469 1F3FD 200D 2764 200D 1F48B 200D 1F469 1F3FF </v>
      </c>
      <c r="D1219">
        <f t="shared" ref="D1219:D1282" si="118">LEN(C1219)</f>
        <v>50</v>
      </c>
      <c r="E1219" t="str">
        <f t="shared" si="114"/>
        <v xml:space="preserve"> 👩🏽‍❤‍💋‍👩🏿 E13.1 kiss: woman, woman, medium skin tone, dark skin tone</v>
      </c>
      <c r="F1219" t="b">
        <f t="shared" ref="F1219:F1282" si="119">IF(LEFT(C1219,2)="1F",TRUE,FALSE)</f>
        <v>1</v>
      </c>
      <c r="G1219" t="str">
        <f t="shared" si="115"/>
        <v>1F469</v>
      </c>
      <c r="I1219">
        <f>HEX2DEC(Table1[[#This Row],[utf8]])</f>
        <v>128105</v>
      </c>
      <c r="J1219" t="str">
        <f>_xlfn.UNICHAR(HEX2DEC(Table1[[#This Row],[utf8]]))</f>
        <v>👩</v>
      </c>
      <c r="K1219" s="3" t="str" cm="1">
        <f t="array" ref="K1219">"Case "&amp;wRandomLetter()&amp;wRandomLetter()&amp;I1219&amp;":    UniConst = ChrW(" &amp; I1219 &amp;")"</f>
        <v>Case nh128105:    UniConst = ChrW(128105)</v>
      </c>
    </row>
    <row r="1220" spans="1:11" hidden="1">
      <c r="A1220" t="s">
        <v>2937</v>
      </c>
      <c r="B1220" t="str">
        <f t="shared" si="116"/>
        <v>1F469 1F3FD 200D 2764 FE0F 200D 1F468 1F3FB ; fully-qualified # 👩🏽‍❤️‍👨🏻 E13.1 couple with heart: woman, man, medium skin tone, light skin tone</v>
      </c>
      <c r="C1220" t="str">
        <f t="shared" si="117"/>
        <v xml:space="preserve">1F469 1F3FD 200D 2764 FE0F 200D 1F468 1F3FB </v>
      </c>
      <c r="D1220">
        <f t="shared" si="118"/>
        <v>44</v>
      </c>
      <c r="E1220" t="str">
        <f t="shared" si="114"/>
        <v xml:space="preserve"> 👩🏽‍❤️‍👨🏻 E13.1 couple with heart: woman, man, medium skin tone, light skin tone</v>
      </c>
      <c r="F1220" t="b">
        <f t="shared" si="119"/>
        <v>1</v>
      </c>
      <c r="G1220" t="str">
        <f t="shared" si="115"/>
        <v>1F469</v>
      </c>
      <c r="I1220">
        <f>HEX2DEC(Table1[[#This Row],[utf8]])</f>
        <v>128105</v>
      </c>
      <c r="J1220" t="str">
        <f>_xlfn.UNICHAR(HEX2DEC(Table1[[#This Row],[utf8]]))</f>
        <v>👩</v>
      </c>
      <c r="K1220" s="3" t="str" cm="1">
        <f t="array" ref="K1220">"Case "&amp;wRandomLetter()&amp;wRandomLetter()&amp;I1220&amp;":    UniConst = ChrW(" &amp; I1220 &amp;")"</f>
        <v>Case UH128105:    UniConst = ChrW(128105)</v>
      </c>
    </row>
    <row r="1221" spans="1:11" hidden="1">
      <c r="A1221" t="s">
        <v>2939</v>
      </c>
      <c r="B1221" t="str">
        <f t="shared" si="116"/>
        <v>1F469 1F3FD 200D 2764 FE0F 200D 1F468 1F3FC ; fully-qualified # 👩🏽‍❤️‍👨🏼 E13.1 couple with heart: woman, man, medium skin tone, medium-light skin tone</v>
      </c>
      <c r="C1221" t="str">
        <f t="shared" si="117"/>
        <v xml:space="preserve">1F469 1F3FD 200D 2764 FE0F 200D 1F468 1F3FC </v>
      </c>
      <c r="D1221">
        <f t="shared" si="118"/>
        <v>44</v>
      </c>
      <c r="E1221" t="str">
        <f t="shared" si="114"/>
        <v xml:space="preserve"> 👩🏽‍❤️‍👨🏼 E13.1 couple with heart: woman, man, medium skin tone, medium-light skin tone</v>
      </c>
      <c r="F1221" t="b">
        <f t="shared" si="119"/>
        <v>1</v>
      </c>
      <c r="G1221" t="str">
        <f t="shared" si="115"/>
        <v>1F469</v>
      </c>
      <c r="I1221">
        <f>HEX2DEC(Table1[[#This Row],[utf8]])</f>
        <v>128105</v>
      </c>
      <c r="J1221" t="str">
        <f>_xlfn.UNICHAR(HEX2DEC(Table1[[#This Row],[utf8]]))</f>
        <v>👩</v>
      </c>
      <c r="K1221" s="3" t="str" cm="1">
        <f t="array" ref="K1221">"Case "&amp;wRandomLetter()&amp;wRandomLetter()&amp;I1221&amp;":    UniConst = ChrW(" &amp; I1221 &amp;")"</f>
        <v>Case Ht128105:    UniConst = ChrW(128105)</v>
      </c>
    </row>
    <row r="1222" spans="1:11" hidden="1">
      <c r="A1222" t="s">
        <v>2941</v>
      </c>
      <c r="B1222" t="str">
        <f t="shared" si="116"/>
        <v>1F469 1F3FD 200D 2764 FE0F 200D 1F468 1F3FD ; fully-qualified # 👩🏽‍❤️‍👨🏽 E13.1 couple with heart: woman, man, medium skin tone</v>
      </c>
      <c r="C1222" t="str">
        <f t="shared" si="117"/>
        <v xml:space="preserve">1F469 1F3FD 200D 2764 FE0F 200D 1F468 1F3FD </v>
      </c>
      <c r="D1222">
        <f t="shared" si="118"/>
        <v>44</v>
      </c>
      <c r="E1222" t="str">
        <f t="shared" si="114"/>
        <v xml:space="preserve"> 👩🏽‍❤️‍👨🏽 E13.1 couple with heart: woman, man, medium skin tone</v>
      </c>
      <c r="F1222" t="b">
        <f t="shared" si="119"/>
        <v>1</v>
      </c>
      <c r="G1222" t="str">
        <f t="shared" si="115"/>
        <v>1F469</v>
      </c>
      <c r="I1222">
        <f>HEX2DEC(Table1[[#This Row],[utf8]])</f>
        <v>128105</v>
      </c>
      <c r="J1222" t="str">
        <f>_xlfn.UNICHAR(HEX2DEC(Table1[[#This Row],[utf8]]))</f>
        <v>👩</v>
      </c>
      <c r="K1222" s="3" t="str" cm="1">
        <f t="array" ref="K1222">"Case "&amp;wRandomLetter()&amp;wRandomLetter()&amp;I1222&amp;":    UniConst = ChrW(" &amp; I1222 &amp;")"</f>
        <v>Case ac128105:    UniConst = ChrW(128105)</v>
      </c>
    </row>
    <row r="1223" spans="1:11" hidden="1">
      <c r="A1223" t="s">
        <v>2943</v>
      </c>
      <c r="B1223" t="str">
        <f t="shared" si="116"/>
        <v>1F469 1F3FD 200D 2764 FE0F 200D 1F468 1F3FE ; fully-qualified # 👩🏽‍❤️‍👨🏾 E13.1 couple with heart: woman, man, medium skin tone, medium-dark skin tone</v>
      </c>
      <c r="C1223" t="str">
        <f t="shared" si="117"/>
        <v xml:space="preserve">1F469 1F3FD 200D 2764 FE0F 200D 1F468 1F3FE </v>
      </c>
      <c r="D1223">
        <f t="shared" si="118"/>
        <v>44</v>
      </c>
      <c r="E1223" t="str">
        <f t="shared" si="114"/>
        <v xml:space="preserve"> 👩🏽‍❤️‍👨🏾 E13.1 couple with heart: woman, man, medium skin tone, medium-dark skin tone</v>
      </c>
      <c r="F1223" t="b">
        <f t="shared" si="119"/>
        <v>1</v>
      </c>
      <c r="G1223" t="str">
        <f t="shared" si="115"/>
        <v>1F469</v>
      </c>
      <c r="I1223">
        <f>HEX2DEC(Table1[[#This Row],[utf8]])</f>
        <v>128105</v>
      </c>
      <c r="J1223" t="str">
        <f>_xlfn.UNICHAR(HEX2DEC(Table1[[#This Row],[utf8]]))</f>
        <v>👩</v>
      </c>
      <c r="K1223" s="3" t="str" cm="1">
        <f t="array" ref="K1223">"Case "&amp;wRandomLetter()&amp;wRandomLetter()&amp;I1223&amp;":    UniConst = ChrW(" &amp; I1223 &amp;")"</f>
        <v>Case Aw128105:    UniConst = ChrW(128105)</v>
      </c>
    </row>
    <row r="1224" spans="1:11" hidden="1">
      <c r="A1224" t="s">
        <v>2945</v>
      </c>
      <c r="B1224" t="str">
        <f t="shared" si="116"/>
        <v>1F469 1F3FD 200D 2764 FE0F 200D 1F468 1F3FF ; fully-qualified # 👩🏽‍❤️‍👨🏿 E13.1 couple with heart: woman, man, medium skin tone, dark skin tone</v>
      </c>
      <c r="C1224" t="str">
        <f t="shared" si="117"/>
        <v xml:space="preserve">1F469 1F3FD 200D 2764 FE0F 200D 1F468 1F3FF </v>
      </c>
      <c r="D1224">
        <f t="shared" si="118"/>
        <v>44</v>
      </c>
      <c r="E1224" t="str">
        <f t="shared" si="114"/>
        <v xml:space="preserve"> 👩🏽‍❤️‍👨🏿 E13.1 couple with heart: woman, man, medium skin tone, dark skin tone</v>
      </c>
      <c r="F1224" t="b">
        <f t="shared" si="119"/>
        <v>1</v>
      </c>
      <c r="G1224" t="str">
        <f t="shared" si="115"/>
        <v>1F469</v>
      </c>
      <c r="I1224">
        <f>HEX2DEC(Table1[[#This Row],[utf8]])</f>
        <v>128105</v>
      </c>
      <c r="J1224" t="str">
        <f>_xlfn.UNICHAR(HEX2DEC(Table1[[#This Row],[utf8]]))</f>
        <v>👩</v>
      </c>
      <c r="K1224" s="3" t="str" cm="1">
        <f t="array" ref="K1224">"Case "&amp;wRandomLetter()&amp;wRandomLetter()&amp;I1224&amp;":    UniConst = ChrW(" &amp; I1224 &amp;")"</f>
        <v>Case Ol128105:    UniConst = ChrW(128105)</v>
      </c>
    </row>
    <row r="1225" spans="1:11" hidden="1">
      <c r="A1225" t="s">
        <v>3041</v>
      </c>
      <c r="B1225" t="str">
        <f t="shared" si="116"/>
        <v>1F469 1F3FD 200D 2764 FE0F 200D 1F469 1F3FB ; fully-qualified # 👩🏽‍❤️‍👩🏻 E13.1 couple with heart: woman, woman, medium skin tone, light skin tone</v>
      </c>
      <c r="C1225" t="str">
        <f t="shared" si="117"/>
        <v xml:space="preserve">1F469 1F3FD 200D 2764 FE0F 200D 1F469 1F3FB </v>
      </c>
      <c r="D1225">
        <f t="shared" si="118"/>
        <v>44</v>
      </c>
      <c r="E1225" t="str">
        <f t="shared" si="114"/>
        <v xml:space="preserve"> 👩🏽‍❤️‍👩🏻 E13.1 couple with heart: woman, woman, medium skin tone, light skin tone</v>
      </c>
      <c r="F1225" t="b">
        <f t="shared" si="119"/>
        <v>1</v>
      </c>
      <c r="G1225" t="str">
        <f t="shared" si="115"/>
        <v>1F469</v>
      </c>
      <c r="I1225">
        <f>HEX2DEC(Table1[[#This Row],[utf8]])</f>
        <v>128105</v>
      </c>
      <c r="J1225" t="str">
        <f>_xlfn.UNICHAR(HEX2DEC(Table1[[#This Row],[utf8]]))</f>
        <v>👩</v>
      </c>
      <c r="K1225" s="3" t="str" cm="1">
        <f t="array" ref="K1225">"Case "&amp;wRandomLetter()&amp;wRandomLetter()&amp;I1225&amp;":    UniConst = ChrW(" &amp; I1225 &amp;")"</f>
        <v>Case AA128105:    UniConst = ChrW(128105)</v>
      </c>
    </row>
    <row r="1226" spans="1:11" hidden="1">
      <c r="A1226" t="s">
        <v>3043</v>
      </c>
      <c r="B1226" t="str">
        <f t="shared" si="116"/>
        <v>1F469 1F3FD 200D 2764 FE0F 200D 1F469 1F3FC ; fully-qualified # 👩🏽‍❤️‍👩🏼 E13.1 couple with heart: woman, woman, medium skin tone, medium-light skin tone</v>
      </c>
      <c r="C1226" t="str">
        <f t="shared" si="117"/>
        <v xml:space="preserve">1F469 1F3FD 200D 2764 FE0F 200D 1F469 1F3FC </v>
      </c>
      <c r="D1226">
        <f t="shared" si="118"/>
        <v>44</v>
      </c>
      <c r="E1226" t="str">
        <f t="shared" si="114"/>
        <v xml:space="preserve"> 👩🏽‍❤️‍👩🏼 E13.1 couple with heart: woman, woman, medium skin tone, medium-light skin tone</v>
      </c>
      <c r="F1226" t="b">
        <f t="shared" si="119"/>
        <v>1</v>
      </c>
      <c r="G1226" t="str">
        <f t="shared" si="115"/>
        <v>1F469</v>
      </c>
      <c r="I1226">
        <f>HEX2DEC(Table1[[#This Row],[utf8]])</f>
        <v>128105</v>
      </c>
      <c r="J1226" t="str">
        <f>_xlfn.UNICHAR(HEX2DEC(Table1[[#This Row],[utf8]]))</f>
        <v>👩</v>
      </c>
      <c r="K1226" s="3" t="str" cm="1">
        <f t="array" ref="K1226">"Case "&amp;wRandomLetter()&amp;wRandomLetter()&amp;I1226&amp;":    UniConst = ChrW(" &amp; I1226 &amp;")"</f>
        <v>Case NR128105:    UniConst = ChrW(128105)</v>
      </c>
    </row>
    <row r="1227" spans="1:11" hidden="1">
      <c r="A1227" t="s">
        <v>3045</v>
      </c>
      <c r="B1227" t="str">
        <f t="shared" si="116"/>
        <v>1F469 1F3FD 200D 2764 FE0F 200D 1F469 1F3FD ; fully-qualified # 👩🏽‍❤️‍👩🏽 E13.1 couple with heart: woman, woman, medium skin tone</v>
      </c>
      <c r="C1227" t="str">
        <f t="shared" si="117"/>
        <v xml:space="preserve">1F469 1F3FD 200D 2764 FE0F 200D 1F469 1F3FD </v>
      </c>
      <c r="D1227">
        <f t="shared" si="118"/>
        <v>44</v>
      </c>
      <c r="E1227" t="str">
        <f t="shared" si="114"/>
        <v xml:space="preserve"> 👩🏽‍❤️‍👩🏽 E13.1 couple with heart: woman, woman, medium skin tone</v>
      </c>
      <c r="F1227" t="b">
        <f t="shared" si="119"/>
        <v>1</v>
      </c>
      <c r="G1227" t="str">
        <f t="shared" si="115"/>
        <v>1F469</v>
      </c>
      <c r="I1227">
        <f>HEX2DEC(Table1[[#This Row],[utf8]])</f>
        <v>128105</v>
      </c>
      <c r="J1227" t="str">
        <f>_xlfn.UNICHAR(HEX2DEC(Table1[[#This Row],[utf8]]))</f>
        <v>👩</v>
      </c>
      <c r="K1227" s="3" t="str" cm="1">
        <f t="array" ref="K1227">"Case "&amp;wRandomLetter()&amp;wRandomLetter()&amp;I1227&amp;":    UniConst = ChrW(" &amp; I1227 &amp;")"</f>
        <v>Case xw128105:    UniConst = ChrW(128105)</v>
      </c>
    </row>
    <row r="1228" spans="1:11" hidden="1">
      <c r="A1228" t="s">
        <v>3047</v>
      </c>
      <c r="B1228" t="str">
        <f t="shared" si="116"/>
        <v>1F469 1F3FD 200D 2764 FE0F 200D 1F469 1F3FE ; fully-qualified # 👩🏽‍❤️‍👩🏾 E13.1 couple with heart: woman, woman, medium skin tone, medium-dark skin tone</v>
      </c>
      <c r="C1228" t="str">
        <f t="shared" si="117"/>
        <v xml:space="preserve">1F469 1F3FD 200D 2764 FE0F 200D 1F469 1F3FE </v>
      </c>
      <c r="D1228">
        <f t="shared" si="118"/>
        <v>44</v>
      </c>
      <c r="E1228" t="str">
        <f t="shared" si="114"/>
        <v xml:space="preserve"> 👩🏽‍❤️‍👩🏾 E13.1 couple with heart: woman, woman, medium skin tone, medium-dark skin tone</v>
      </c>
      <c r="F1228" t="b">
        <f t="shared" si="119"/>
        <v>1</v>
      </c>
      <c r="G1228" t="str">
        <f t="shared" si="115"/>
        <v>1F469</v>
      </c>
      <c r="I1228">
        <f>HEX2DEC(Table1[[#This Row],[utf8]])</f>
        <v>128105</v>
      </c>
      <c r="J1228" t="str">
        <f>_xlfn.UNICHAR(HEX2DEC(Table1[[#This Row],[utf8]]))</f>
        <v>👩</v>
      </c>
      <c r="K1228" s="3" t="str" cm="1">
        <f t="array" ref="K1228">"Case "&amp;wRandomLetter()&amp;wRandomLetter()&amp;I1228&amp;":    UniConst = ChrW(" &amp; I1228 &amp;")"</f>
        <v>Case ZK128105:    UniConst = ChrW(128105)</v>
      </c>
    </row>
    <row r="1229" spans="1:11" hidden="1">
      <c r="A1229" t="s">
        <v>3049</v>
      </c>
      <c r="B1229" t="str">
        <f t="shared" si="116"/>
        <v>1F469 1F3FD 200D 2764 FE0F 200D 1F469 1F3FF ; fully-qualified # 👩🏽‍❤️‍👩🏿 E13.1 couple with heart: woman, woman, medium skin tone, dark skin tone</v>
      </c>
      <c r="C1229" t="str">
        <f t="shared" si="117"/>
        <v xml:space="preserve">1F469 1F3FD 200D 2764 FE0F 200D 1F469 1F3FF </v>
      </c>
      <c r="D1229">
        <f t="shared" si="118"/>
        <v>44</v>
      </c>
      <c r="E1229" t="str">
        <f t="shared" si="114"/>
        <v xml:space="preserve"> 👩🏽‍❤️‍👩🏿 E13.1 couple with heart: woman, woman, medium skin tone, dark skin tone</v>
      </c>
      <c r="F1229" t="b">
        <f t="shared" si="119"/>
        <v>1</v>
      </c>
      <c r="G1229" t="str">
        <f t="shared" si="115"/>
        <v>1F469</v>
      </c>
      <c r="I1229">
        <f>HEX2DEC(Table1[[#This Row],[utf8]])</f>
        <v>128105</v>
      </c>
      <c r="J1229" t="str">
        <f>_xlfn.UNICHAR(HEX2DEC(Table1[[#This Row],[utf8]]))</f>
        <v>👩</v>
      </c>
      <c r="K1229" s="3" t="str" cm="1">
        <f t="array" ref="K1229">"Case "&amp;wRandomLetter()&amp;wRandomLetter()&amp;I1229&amp;":    UniConst = ChrW(" &amp; I1229 &amp;")"</f>
        <v>Case vD128105:    UniConst = ChrW(128105)</v>
      </c>
    </row>
    <row r="1230" spans="1:11" hidden="1">
      <c r="A1230" t="s">
        <v>2735</v>
      </c>
      <c r="B1230" t="str">
        <f t="shared" si="116"/>
        <v>1F469 1F3FD 200D 2764 FE0F 200D 1F48B 200D 1F468 1F3FB ; fully-qualified # 👩🏽‍❤️‍💋‍👨🏻 E13.1 kiss: woman, man, medium skin tone, light skin tone</v>
      </c>
      <c r="C1230" t="str">
        <f t="shared" si="117"/>
        <v xml:space="preserve">1F469 1F3FD 200D 2764 FE0F 200D 1F48B 200D 1F468 1F3FB </v>
      </c>
      <c r="D1230">
        <f t="shared" si="118"/>
        <v>55</v>
      </c>
      <c r="E1230" t="str">
        <f t="shared" si="114"/>
        <v xml:space="preserve"> 👩🏽‍❤️‍💋‍👨🏻 E13.1 kiss: woman, man, medium skin tone, light skin tone</v>
      </c>
      <c r="F1230" t="b">
        <f t="shared" si="119"/>
        <v>1</v>
      </c>
      <c r="G1230" t="str">
        <f t="shared" si="115"/>
        <v>1F469</v>
      </c>
      <c r="I1230">
        <f>HEX2DEC(Table1[[#This Row],[utf8]])</f>
        <v>128105</v>
      </c>
      <c r="J1230" t="str">
        <f>_xlfn.UNICHAR(HEX2DEC(Table1[[#This Row],[utf8]]))</f>
        <v>👩</v>
      </c>
      <c r="K1230" s="3" t="str" cm="1">
        <f t="array" ref="K1230">"Case "&amp;wRandomLetter()&amp;wRandomLetter()&amp;I1230&amp;":    UniConst = ChrW(" &amp; I1230 &amp;")"</f>
        <v>Case WH128105:    UniConst = ChrW(128105)</v>
      </c>
    </row>
    <row r="1231" spans="1:11" hidden="1">
      <c r="A1231" t="s">
        <v>2737</v>
      </c>
      <c r="B1231" t="str">
        <f t="shared" si="116"/>
        <v>1F469 1F3FD 200D 2764 FE0F 200D 1F48B 200D 1F468 1F3FC ; fully-qualified # 👩🏽‍❤️‍💋‍👨🏼 E13.1 kiss: woman, man, medium skin tone, medium-light skin tone</v>
      </c>
      <c r="C1231" t="str">
        <f t="shared" si="117"/>
        <v xml:space="preserve">1F469 1F3FD 200D 2764 FE0F 200D 1F48B 200D 1F468 1F3FC </v>
      </c>
      <c r="D1231">
        <f t="shared" si="118"/>
        <v>55</v>
      </c>
      <c r="E1231" t="str">
        <f t="shared" si="114"/>
        <v xml:space="preserve"> 👩🏽‍❤️‍💋‍👨🏼 E13.1 kiss: woman, man, medium skin tone, medium-light skin tone</v>
      </c>
      <c r="F1231" t="b">
        <f t="shared" si="119"/>
        <v>1</v>
      </c>
      <c r="G1231" t="str">
        <f t="shared" si="115"/>
        <v>1F469</v>
      </c>
      <c r="I1231">
        <f>HEX2DEC(Table1[[#This Row],[utf8]])</f>
        <v>128105</v>
      </c>
      <c r="J1231" t="str">
        <f>_xlfn.UNICHAR(HEX2DEC(Table1[[#This Row],[utf8]]))</f>
        <v>👩</v>
      </c>
      <c r="K1231" s="3" t="str" cm="1">
        <f t="array" ref="K1231">"Case "&amp;wRandomLetter()&amp;wRandomLetter()&amp;I1231&amp;":    UniConst = ChrW(" &amp; I1231 &amp;")"</f>
        <v>Case bm128105:    UniConst = ChrW(128105)</v>
      </c>
    </row>
    <row r="1232" spans="1:11" hidden="1">
      <c r="A1232" t="s">
        <v>2739</v>
      </c>
      <c r="B1232" t="str">
        <f t="shared" si="116"/>
        <v>1F469 1F3FD 200D 2764 FE0F 200D 1F48B 200D 1F468 1F3FD ; fully-qualified # 👩🏽‍❤️‍💋‍👨🏽 E13.1 kiss: woman, man, medium skin tone</v>
      </c>
      <c r="C1232" t="str">
        <f t="shared" si="117"/>
        <v xml:space="preserve">1F469 1F3FD 200D 2764 FE0F 200D 1F48B 200D 1F468 1F3FD </v>
      </c>
      <c r="D1232">
        <f t="shared" si="118"/>
        <v>55</v>
      </c>
      <c r="E1232" t="str">
        <f t="shared" si="114"/>
        <v xml:space="preserve"> 👩🏽‍❤️‍💋‍👨🏽 E13.1 kiss: woman, man, medium skin tone</v>
      </c>
      <c r="F1232" t="b">
        <f t="shared" si="119"/>
        <v>1</v>
      </c>
      <c r="G1232" t="str">
        <f t="shared" si="115"/>
        <v>1F469</v>
      </c>
      <c r="I1232">
        <f>HEX2DEC(Table1[[#This Row],[utf8]])</f>
        <v>128105</v>
      </c>
      <c r="J1232" t="str">
        <f>_xlfn.UNICHAR(HEX2DEC(Table1[[#This Row],[utf8]]))</f>
        <v>👩</v>
      </c>
      <c r="K1232" s="3" t="str" cm="1">
        <f t="array" ref="K1232">"Case "&amp;wRandomLetter()&amp;wRandomLetter()&amp;I1232&amp;":    UniConst = ChrW(" &amp; I1232 &amp;")"</f>
        <v>Case Lo128105:    UniConst = ChrW(128105)</v>
      </c>
    </row>
    <row r="1233" spans="1:11" hidden="1">
      <c r="A1233" t="s">
        <v>2741</v>
      </c>
      <c r="B1233" t="str">
        <f t="shared" si="116"/>
        <v>1F469 1F3FD 200D 2764 FE0F 200D 1F48B 200D 1F468 1F3FE ; fully-qualified # 👩🏽‍❤️‍💋‍👨🏾 E13.1 kiss: woman, man, medium skin tone, medium-dark skin tone</v>
      </c>
      <c r="C1233" t="str">
        <f t="shared" si="117"/>
        <v xml:space="preserve">1F469 1F3FD 200D 2764 FE0F 200D 1F48B 200D 1F468 1F3FE </v>
      </c>
      <c r="D1233">
        <f t="shared" si="118"/>
        <v>55</v>
      </c>
      <c r="E1233" t="str">
        <f t="shared" si="114"/>
        <v xml:space="preserve"> 👩🏽‍❤️‍💋‍👨🏾 E13.1 kiss: woman, man, medium skin tone, medium-dark skin tone</v>
      </c>
      <c r="F1233" t="b">
        <f t="shared" si="119"/>
        <v>1</v>
      </c>
      <c r="G1233" t="str">
        <f t="shared" si="115"/>
        <v>1F469</v>
      </c>
      <c r="I1233">
        <f>HEX2DEC(Table1[[#This Row],[utf8]])</f>
        <v>128105</v>
      </c>
      <c r="J1233" t="str">
        <f>_xlfn.UNICHAR(HEX2DEC(Table1[[#This Row],[utf8]]))</f>
        <v>👩</v>
      </c>
      <c r="K1233" s="3" t="str" cm="1">
        <f t="array" ref="K1233">"Case "&amp;wRandomLetter()&amp;wRandomLetter()&amp;I1233&amp;":    UniConst = ChrW(" &amp; I1233 &amp;")"</f>
        <v>Case PM128105:    UniConst = ChrW(128105)</v>
      </c>
    </row>
    <row r="1234" spans="1:11" hidden="1">
      <c r="A1234" t="s">
        <v>2743</v>
      </c>
      <c r="B1234" t="str">
        <f t="shared" si="116"/>
        <v>1F469 1F3FD 200D 2764 FE0F 200D 1F48B 200D 1F468 1F3FF ; fully-qualified # 👩🏽‍❤️‍💋‍👨🏿 E13.1 kiss: woman, man, medium skin tone, dark skin tone</v>
      </c>
      <c r="C1234" t="str">
        <f t="shared" si="117"/>
        <v xml:space="preserve">1F469 1F3FD 200D 2764 FE0F 200D 1F48B 200D 1F468 1F3FF </v>
      </c>
      <c r="D1234">
        <f t="shared" si="118"/>
        <v>55</v>
      </c>
      <c r="E1234" t="str">
        <f t="shared" si="114"/>
        <v xml:space="preserve"> 👩🏽‍❤️‍💋‍👨🏿 E13.1 kiss: woman, man, medium skin tone, dark skin tone</v>
      </c>
      <c r="F1234" t="b">
        <f t="shared" si="119"/>
        <v>1</v>
      </c>
      <c r="G1234" t="str">
        <f t="shared" si="115"/>
        <v>1F469</v>
      </c>
      <c r="I1234">
        <f>HEX2DEC(Table1[[#This Row],[utf8]])</f>
        <v>128105</v>
      </c>
      <c r="J1234" t="str">
        <f>_xlfn.UNICHAR(HEX2DEC(Table1[[#This Row],[utf8]]))</f>
        <v>👩</v>
      </c>
      <c r="K1234" s="3" t="str" cm="1">
        <f t="array" ref="K1234">"Case "&amp;wRandomLetter()&amp;wRandomLetter()&amp;I1234&amp;":    UniConst = ChrW(" &amp; I1234 &amp;")"</f>
        <v>Case fQ128105:    UniConst = ChrW(128105)</v>
      </c>
    </row>
    <row r="1235" spans="1:11" hidden="1">
      <c r="A1235" t="s">
        <v>2839</v>
      </c>
      <c r="B1235" t="str">
        <f t="shared" si="116"/>
        <v>1F469 1F3FD 200D 2764 FE0F 200D 1F48B 200D 1F469 1F3FB ; fully-qualified # 👩🏽‍❤️‍💋‍👩🏻 E13.1 kiss: woman, woman, medium skin tone, light skin tone</v>
      </c>
      <c r="C1235" t="str">
        <f t="shared" si="117"/>
        <v xml:space="preserve">1F469 1F3FD 200D 2764 FE0F 200D 1F48B 200D 1F469 1F3FB </v>
      </c>
      <c r="D1235">
        <f t="shared" si="118"/>
        <v>55</v>
      </c>
      <c r="E1235" t="str">
        <f t="shared" si="114"/>
        <v xml:space="preserve"> 👩🏽‍❤️‍💋‍👩🏻 E13.1 kiss: woman, woman, medium skin tone, light skin tone</v>
      </c>
      <c r="F1235" t="b">
        <f t="shared" si="119"/>
        <v>1</v>
      </c>
      <c r="G1235" t="str">
        <f t="shared" si="115"/>
        <v>1F469</v>
      </c>
      <c r="I1235">
        <f>HEX2DEC(Table1[[#This Row],[utf8]])</f>
        <v>128105</v>
      </c>
      <c r="J1235" t="str">
        <f>_xlfn.UNICHAR(HEX2DEC(Table1[[#This Row],[utf8]]))</f>
        <v>👩</v>
      </c>
      <c r="K1235" s="3" t="str" cm="1">
        <f t="array" ref="K1235">"Case "&amp;wRandomLetter()&amp;wRandomLetter()&amp;I1235&amp;":    UniConst = ChrW(" &amp; I1235 &amp;")"</f>
        <v>Case Qg128105:    UniConst = ChrW(128105)</v>
      </c>
    </row>
    <row r="1236" spans="1:11" hidden="1">
      <c r="A1236" t="s">
        <v>2841</v>
      </c>
      <c r="B1236" t="str">
        <f t="shared" si="116"/>
        <v>1F469 1F3FD 200D 2764 FE0F 200D 1F48B 200D 1F469 1F3FC ; fully-qualified # 👩🏽‍❤️‍💋‍👩🏼 E13.1 kiss: woman, woman, medium skin tone, medium-light skin tone</v>
      </c>
      <c r="C1236" t="str">
        <f t="shared" si="117"/>
        <v xml:space="preserve">1F469 1F3FD 200D 2764 FE0F 200D 1F48B 200D 1F469 1F3FC </v>
      </c>
      <c r="D1236">
        <f t="shared" si="118"/>
        <v>55</v>
      </c>
      <c r="E1236" t="str">
        <f t="shared" si="114"/>
        <v xml:space="preserve"> 👩🏽‍❤️‍💋‍👩🏼 E13.1 kiss: woman, woman, medium skin tone, medium-light skin tone</v>
      </c>
      <c r="F1236" t="b">
        <f t="shared" si="119"/>
        <v>1</v>
      </c>
      <c r="G1236" t="str">
        <f t="shared" si="115"/>
        <v>1F469</v>
      </c>
      <c r="I1236">
        <f>HEX2DEC(Table1[[#This Row],[utf8]])</f>
        <v>128105</v>
      </c>
      <c r="J1236" t="str">
        <f>_xlfn.UNICHAR(HEX2DEC(Table1[[#This Row],[utf8]]))</f>
        <v>👩</v>
      </c>
      <c r="K1236" s="3" t="str" cm="1">
        <f t="array" ref="K1236">"Case "&amp;wRandomLetter()&amp;wRandomLetter()&amp;I1236&amp;":    UniConst = ChrW(" &amp; I1236 &amp;")"</f>
        <v>Case oF128105:    UniConst = ChrW(128105)</v>
      </c>
    </row>
    <row r="1237" spans="1:11" hidden="1">
      <c r="A1237" t="s">
        <v>2843</v>
      </c>
      <c r="B1237" t="str">
        <f t="shared" si="116"/>
        <v>1F469 1F3FD 200D 2764 FE0F 200D 1F48B 200D 1F469 1F3FD ; fully-qualified # 👩🏽‍❤️‍💋‍👩🏽 E13.1 kiss: woman, woman, medium skin tone</v>
      </c>
      <c r="C1237" t="str">
        <f t="shared" si="117"/>
        <v xml:space="preserve">1F469 1F3FD 200D 2764 FE0F 200D 1F48B 200D 1F469 1F3FD </v>
      </c>
      <c r="D1237">
        <f t="shared" si="118"/>
        <v>55</v>
      </c>
      <c r="E1237" t="str">
        <f t="shared" si="114"/>
        <v xml:space="preserve"> 👩🏽‍❤️‍💋‍👩🏽 E13.1 kiss: woman, woman, medium skin tone</v>
      </c>
      <c r="F1237" t="b">
        <f t="shared" si="119"/>
        <v>1</v>
      </c>
      <c r="G1237" t="str">
        <f t="shared" si="115"/>
        <v>1F469</v>
      </c>
      <c r="I1237">
        <f>HEX2DEC(Table1[[#This Row],[utf8]])</f>
        <v>128105</v>
      </c>
      <c r="J1237" t="str">
        <f>_xlfn.UNICHAR(HEX2DEC(Table1[[#This Row],[utf8]]))</f>
        <v>👩</v>
      </c>
      <c r="K1237" s="3" t="str" cm="1">
        <f t="array" ref="K1237">"Case "&amp;wRandomLetter()&amp;wRandomLetter()&amp;I1237&amp;":    UniConst = ChrW(" &amp; I1237 &amp;")"</f>
        <v>Case cO128105:    UniConst = ChrW(128105)</v>
      </c>
    </row>
    <row r="1238" spans="1:11" hidden="1">
      <c r="A1238" t="s">
        <v>2845</v>
      </c>
      <c r="B1238" t="str">
        <f t="shared" si="116"/>
        <v>1F469 1F3FD 200D 2764 FE0F 200D 1F48B 200D 1F469 1F3FE ; fully-qualified # 👩🏽‍❤️‍💋‍👩🏾 E13.1 kiss: woman, woman, medium skin tone, medium-dark skin tone</v>
      </c>
      <c r="C1238" t="str">
        <f t="shared" si="117"/>
        <v xml:space="preserve">1F469 1F3FD 200D 2764 FE0F 200D 1F48B 200D 1F469 1F3FE </v>
      </c>
      <c r="D1238">
        <f t="shared" si="118"/>
        <v>55</v>
      </c>
      <c r="E1238" t="str">
        <f t="shared" si="114"/>
        <v xml:space="preserve"> 👩🏽‍❤️‍💋‍👩🏾 E13.1 kiss: woman, woman, medium skin tone, medium-dark skin tone</v>
      </c>
      <c r="F1238" t="b">
        <f t="shared" si="119"/>
        <v>1</v>
      </c>
      <c r="G1238" t="str">
        <f t="shared" si="115"/>
        <v>1F469</v>
      </c>
      <c r="I1238">
        <f>HEX2DEC(Table1[[#This Row],[utf8]])</f>
        <v>128105</v>
      </c>
      <c r="J1238" t="str">
        <f>_xlfn.UNICHAR(HEX2DEC(Table1[[#This Row],[utf8]]))</f>
        <v>👩</v>
      </c>
      <c r="K1238" s="3" t="str" cm="1">
        <f t="array" ref="K1238">"Case "&amp;wRandomLetter()&amp;wRandomLetter()&amp;I1238&amp;":    UniConst = ChrW(" &amp; I1238 &amp;")"</f>
        <v>Case Tq128105:    UniConst = ChrW(128105)</v>
      </c>
    </row>
    <row r="1239" spans="1:11" hidden="1">
      <c r="A1239" t="s">
        <v>2847</v>
      </c>
      <c r="B1239" t="str">
        <f t="shared" si="116"/>
        <v>1F469 1F3FD 200D 2764 FE0F 200D 1F48B 200D 1F469 1F3FF ; fully-qualified # 👩🏽‍❤️‍💋‍👩🏿 E13.1 kiss: woman, woman, medium skin tone, dark skin tone</v>
      </c>
      <c r="C1239" t="str">
        <f t="shared" si="117"/>
        <v xml:space="preserve">1F469 1F3FD 200D 2764 FE0F 200D 1F48B 200D 1F469 1F3FF </v>
      </c>
      <c r="D1239">
        <f t="shared" si="118"/>
        <v>55</v>
      </c>
      <c r="E1239" t="str">
        <f t="shared" si="114"/>
        <v xml:space="preserve"> 👩🏽‍❤️‍💋‍👩🏿 E13.1 kiss: woman, woman, medium skin tone, dark skin tone</v>
      </c>
      <c r="F1239" t="b">
        <f t="shared" si="119"/>
        <v>1</v>
      </c>
      <c r="G1239" t="str">
        <f t="shared" si="115"/>
        <v>1F469</v>
      </c>
      <c r="I1239">
        <f>HEX2DEC(Table1[[#This Row],[utf8]])</f>
        <v>128105</v>
      </c>
      <c r="J1239" t="str">
        <f>_xlfn.UNICHAR(HEX2DEC(Table1[[#This Row],[utf8]]))</f>
        <v>👩</v>
      </c>
      <c r="K1239" s="3" t="str" cm="1">
        <f t="array" ref="K1239">"Case "&amp;wRandomLetter()&amp;wRandomLetter()&amp;I1239&amp;":    UniConst = ChrW(" &amp; I1239 &amp;")"</f>
        <v>Case vA128105:    UniConst = ChrW(128105)</v>
      </c>
    </row>
    <row r="1240" spans="1:11" hidden="1">
      <c r="A1240" t="s">
        <v>548</v>
      </c>
      <c r="B1240" t="str">
        <f t="shared" si="116"/>
        <v>1F469 1F3FE ; fully-qualified # 👩🏾 E1.0 woman: medium-dark skin tone</v>
      </c>
      <c r="C1240" t="str">
        <f t="shared" si="117"/>
        <v xml:space="preserve">1F469 1F3FE </v>
      </c>
      <c r="D1240">
        <f t="shared" si="118"/>
        <v>12</v>
      </c>
      <c r="E1240" t="str">
        <f t="shared" si="114"/>
        <v xml:space="preserve"> 👩🏾 E1.0 woman: medium-dark skin tone</v>
      </c>
      <c r="F1240" t="b">
        <f t="shared" si="119"/>
        <v>1</v>
      </c>
      <c r="G1240" t="str">
        <f t="shared" si="115"/>
        <v>1F469</v>
      </c>
      <c r="I1240">
        <f>HEX2DEC(Table1[[#This Row],[utf8]])</f>
        <v>128105</v>
      </c>
      <c r="J1240" t="str">
        <f>_xlfn.UNICHAR(HEX2DEC(Table1[[#This Row],[utf8]]))</f>
        <v>👩</v>
      </c>
      <c r="K1240" s="3" t="str" cm="1">
        <f t="array" ref="K1240">"Case "&amp;wRandomLetter()&amp;wRandomLetter()&amp;I1240&amp;":    UniConst = ChrW(" &amp; I1240 &amp;")"</f>
        <v>Case cB128105:    UniConst = ChrW(128105)</v>
      </c>
    </row>
    <row r="1241" spans="1:11" hidden="1">
      <c r="A1241" t="s">
        <v>1066</v>
      </c>
      <c r="B1241" t="str">
        <f t="shared" si="116"/>
        <v>1F469 1F3FE 200D 1F33E ; fully-qualified # 👩🏾‍🌾 E4.0 woman farmer: medium-dark skin tone</v>
      </c>
      <c r="C1241" t="str">
        <f t="shared" si="117"/>
        <v xml:space="preserve">1F469 1F3FE 200D 1F33E </v>
      </c>
      <c r="D1241">
        <f t="shared" si="118"/>
        <v>23</v>
      </c>
      <c r="E1241" t="str">
        <f t="shared" si="114"/>
        <v xml:space="preserve"> 👩🏾‍🌾 E4.0 woman farmer: medium-dark skin tone</v>
      </c>
      <c r="F1241" t="b">
        <f t="shared" si="119"/>
        <v>1</v>
      </c>
      <c r="G1241" t="str">
        <f t="shared" si="115"/>
        <v>1F469</v>
      </c>
      <c r="I1241">
        <f>HEX2DEC(Table1[[#This Row],[utf8]])</f>
        <v>128105</v>
      </c>
      <c r="J1241" t="str">
        <f>_xlfn.UNICHAR(HEX2DEC(Table1[[#This Row],[utf8]]))</f>
        <v>👩</v>
      </c>
      <c r="K1241" s="3" t="str" cm="1">
        <f t="array" ref="K1241">"Case "&amp;wRandomLetter()&amp;wRandomLetter()&amp;I1241&amp;":    UniConst = ChrW(" &amp; I1241 &amp;")"</f>
        <v>Case qn128105:    UniConst = ChrW(128105)</v>
      </c>
    </row>
    <row r="1242" spans="1:11" hidden="1">
      <c r="A1242" t="s">
        <v>1084</v>
      </c>
      <c r="B1242" t="str">
        <f t="shared" si="116"/>
        <v>1F469 1F3FE 200D 1F373 ; fully-qualified # 👩🏾‍🍳 E4.0 woman cook: medium-dark skin tone</v>
      </c>
      <c r="C1242" t="str">
        <f t="shared" si="117"/>
        <v xml:space="preserve">1F469 1F3FE 200D 1F373 </v>
      </c>
      <c r="D1242">
        <f t="shared" si="118"/>
        <v>23</v>
      </c>
      <c r="E1242" t="str">
        <f t="shared" si="114"/>
        <v xml:space="preserve"> 👩🏾‍🍳 E4.0 woman cook: medium-dark skin tone</v>
      </c>
      <c r="F1242" t="b">
        <f t="shared" si="119"/>
        <v>1</v>
      </c>
      <c r="G1242" t="str">
        <f t="shared" si="115"/>
        <v>1F469</v>
      </c>
      <c r="I1242">
        <f>HEX2DEC(Table1[[#This Row],[utf8]])</f>
        <v>128105</v>
      </c>
      <c r="J1242" t="str">
        <f>_xlfn.UNICHAR(HEX2DEC(Table1[[#This Row],[utf8]]))</f>
        <v>👩</v>
      </c>
      <c r="K1242" s="3" t="str" cm="1">
        <f t="array" ref="K1242">"Case "&amp;wRandomLetter()&amp;wRandomLetter()&amp;I1242&amp;":    UniConst = ChrW(" &amp; I1242 &amp;")"</f>
        <v>Case Vu128105:    UniConst = ChrW(128105)</v>
      </c>
    </row>
    <row r="1243" spans="1:11" hidden="1">
      <c r="A1243" t="s">
        <v>1545</v>
      </c>
      <c r="B1243" t="str">
        <f t="shared" si="116"/>
        <v>1F469 1F3FE 200D 1F37C ; fully-qualified # 👩🏾‍🍼 E13.0 woman feeding baby: medium-dark skin tone</v>
      </c>
      <c r="C1243" t="str">
        <f t="shared" si="117"/>
        <v xml:space="preserve">1F469 1F3FE 200D 1F37C </v>
      </c>
      <c r="D1243">
        <f t="shared" si="118"/>
        <v>23</v>
      </c>
      <c r="E1243" t="str">
        <f t="shared" si="114"/>
        <v xml:space="preserve"> 👩🏾‍🍼 E13.0 woman feeding baby: medium-dark skin tone</v>
      </c>
      <c r="F1243" t="b">
        <f t="shared" si="119"/>
        <v>1</v>
      </c>
      <c r="G1243" t="str">
        <f t="shared" si="115"/>
        <v>1F469</v>
      </c>
      <c r="I1243">
        <f>HEX2DEC(Table1[[#This Row],[utf8]])</f>
        <v>128105</v>
      </c>
      <c r="J1243" t="str">
        <f>_xlfn.UNICHAR(HEX2DEC(Table1[[#This Row],[utf8]]))</f>
        <v>👩</v>
      </c>
      <c r="K1243" s="3" t="str" cm="1">
        <f t="array" ref="K1243">"Case "&amp;wRandomLetter()&amp;wRandomLetter()&amp;I1243&amp;":    UniConst = ChrW(" &amp; I1243 &amp;")"</f>
        <v>Case uS128105:    UniConst = ChrW(128105)</v>
      </c>
    </row>
    <row r="1244" spans="1:11" hidden="1">
      <c r="A1244" t="s">
        <v>994</v>
      </c>
      <c r="B1244" t="str">
        <f t="shared" si="116"/>
        <v>1F469 1F3FE 200D 1F393 ; fully-qualified # 👩🏾‍🎓 E4.0 woman student: medium-dark skin tone</v>
      </c>
      <c r="C1244" t="str">
        <f t="shared" si="117"/>
        <v xml:space="preserve">1F469 1F3FE 200D 1F393 </v>
      </c>
      <c r="D1244">
        <f t="shared" si="118"/>
        <v>23</v>
      </c>
      <c r="E1244" t="str">
        <f t="shared" si="114"/>
        <v xml:space="preserve"> 👩🏾‍🎓 E4.0 woman student: medium-dark skin tone</v>
      </c>
      <c r="F1244" t="b">
        <f t="shared" si="119"/>
        <v>1</v>
      </c>
      <c r="G1244" t="str">
        <f t="shared" si="115"/>
        <v>1F469</v>
      </c>
      <c r="I1244">
        <f>HEX2DEC(Table1[[#This Row],[utf8]])</f>
        <v>128105</v>
      </c>
      <c r="J1244" t="str">
        <f>_xlfn.UNICHAR(HEX2DEC(Table1[[#This Row],[utf8]]))</f>
        <v>👩</v>
      </c>
      <c r="K1244" s="3" t="str" cm="1">
        <f t="array" ref="K1244">"Case "&amp;wRandomLetter()&amp;wRandomLetter()&amp;I1244&amp;":    UniConst = ChrW(" &amp; I1244 &amp;")"</f>
        <v>Case iZ128105:    UniConst = ChrW(128105)</v>
      </c>
    </row>
    <row r="1245" spans="1:11" hidden="1">
      <c r="A1245" t="s">
        <v>1192</v>
      </c>
      <c r="B1245" t="str">
        <f t="shared" si="116"/>
        <v>1F469 1F3FE 200D 1F3A4 ; fully-qualified # 👩🏾‍🎤 E4.0 woman singer: medium-dark skin tone</v>
      </c>
      <c r="C1245" t="str">
        <f t="shared" si="117"/>
        <v xml:space="preserve">1F469 1F3FE 200D 1F3A4 </v>
      </c>
      <c r="D1245">
        <f t="shared" si="118"/>
        <v>23</v>
      </c>
      <c r="E1245" t="str">
        <f t="shared" si="114"/>
        <v xml:space="preserve"> 👩🏾‍🎤 E4.0 woman singer: medium-dark skin tone</v>
      </c>
      <c r="F1245" t="b">
        <f t="shared" si="119"/>
        <v>1</v>
      </c>
      <c r="G1245" t="str">
        <f t="shared" si="115"/>
        <v>1F469</v>
      </c>
      <c r="I1245">
        <f>HEX2DEC(Table1[[#This Row],[utf8]])</f>
        <v>128105</v>
      </c>
      <c r="J1245" t="str">
        <f>_xlfn.UNICHAR(HEX2DEC(Table1[[#This Row],[utf8]]))</f>
        <v>👩</v>
      </c>
      <c r="K1245" s="3" t="str" cm="1">
        <f t="array" ref="K1245">"Case "&amp;wRandomLetter()&amp;wRandomLetter()&amp;I1245&amp;":    UniConst = ChrW(" &amp; I1245 &amp;")"</f>
        <v>Case AQ128105:    UniConst = ChrW(128105)</v>
      </c>
    </row>
    <row r="1246" spans="1:11" hidden="1">
      <c r="A1246" t="s">
        <v>1210</v>
      </c>
      <c r="B1246" t="str">
        <f t="shared" si="116"/>
        <v>1F469 1F3FE 200D 1F3A8 ; fully-qualified # 👩🏾‍🎨 E4.0 woman artist: medium-dark skin tone</v>
      </c>
      <c r="C1246" t="str">
        <f t="shared" si="117"/>
        <v xml:space="preserve">1F469 1F3FE 200D 1F3A8 </v>
      </c>
      <c r="D1246">
        <f t="shared" si="118"/>
        <v>23</v>
      </c>
      <c r="E1246" t="str">
        <f t="shared" si="114"/>
        <v xml:space="preserve"> 👩🏾‍🎨 E4.0 woman artist: medium-dark skin tone</v>
      </c>
      <c r="F1246" t="b">
        <f t="shared" si="119"/>
        <v>1</v>
      </c>
      <c r="G1246" t="str">
        <f t="shared" si="115"/>
        <v>1F469</v>
      </c>
      <c r="I1246">
        <f>HEX2DEC(Table1[[#This Row],[utf8]])</f>
        <v>128105</v>
      </c>
      <c r="J1246" t="str">
        <f>_xlfn.UNICHAR(HEX2DEC(Table1[[#This Row],[utf8]]))</f>
        <v>👩</v>
      </c>
      <c r="K1246" s="3" t="str" cm="1">
        <f t="array" ref="K1246">"Case "&amp;wRandomLetter()&amp;wRandomLetter()&amp;I1246&amp;":    UniConst = ChrW(" &amp; I1246 &amp;")"</f>
        <v>Case Ol128105:    UniConst = ChrW(128105)</v>
      </c>
    </row>
    <row r="1247" spans="1:11" hidden="1">
      <c r="A1247" t="s">
        <v>1012</v>
      </c>
      <c r="B1247" t="str">
        <f t="shared" si="116"/>
        <v>1F469 1F3FE 200D 1F3EB ; fully-qualified # 👩🏾‍🏫 E4.0 woman teacher: medium-dark skin tone</v>
      </c>
      <c r="C1247" t="str">
        <f t="shared" si="117"/>
        <v xml:space="preserve">1F469 1F3FE 200D 1F3EB </v>
      </c>
      <c r="D1247">
        <f t="shared" si="118"/>
        <v>23</v>
      </c>
      <c r="E1247" t="str">
        <f t="shared" si="114"/>
        <v xml:space="preserve"> 👩🏾‍🏫 E4.0 woman teacher: medium-dark skin tone</v>
      </c>
      <c r="F1247" t="b">
        <f t="shared" si="119"/>
        <v>1</v>
      </c>
      <c r="G1247" t="str">
        <f t="shared" si="115"/>
        <v>1F469</v>
      </c>
      <c r="I1247">
        <f>HEX2DEC(Table1[[#This Row],[utf8]])</f>
        <v>128105</v>
      </c>
      <c r="J1247" t="str">
        <f>_xlfn.UNICHAR(HEX2DEC(Table1[[#This Row],[utf8]]))</f>
        <v>👩</v>
      </c>
      <c r="K1247" s="3" t="str" cm="1">
        <f t="array" ref="K1247">"Case "&amp;wRandomLetter()&amp;wRandomLetter()&amp;I1247&amp;":    UniConst = ChrW(" &amp; I1247 &amp;")"</f>
        <v>Case zo128105:    UniConst = ChrW(128105)</v>
      </c>
    </row>
    <row r="1248" spans="1:11" hidden="1">
      <c r="A1248" t="s">
        <v>1120</v>
      </c>
      <c r="B1248" t="str">
        <f t="shared" si="116"/>
        <v>1F469 1F3FE 200D 1F3ED ; fully-qualified # 👩🏾‍🏭 E4.0 woman factory worker: medium-dark skin tone</v>
      </c>
      <c r="C1248" t="str">
        <f t="shared" si="117"/>
        <v xml:space="preserve">1F469 1F3FE 200D 1F3ED </v>
      </c>
      <c r="D1248">
        <f t="shared" si="118"/>
        <v>23</v>
      </c>
      <c r="E1248" t="str">
        <f t="shared" si="114"/>
        <v xml:space="preserve"> 👩🏾‍🏭 E4.0 woman factory worker: medium-dark skin tone</v>
      </c>
      <c r="F1248" t="b">
        <f t="shared" si="119"/>
        <v>1</v>
      </c>
      <c r="G1248" t="str">
        <f t="shared" si="115"/>
        <v>1F469</v>
      </c>
      <c r="I1248">
        <f>HEX2DEC(Table1[[#This Row],[utf8]])</f>
        <v>128105</v>
      </c>
      <c r="J1248" t="str">
        <f>_xlfn.UNICHAR(HEX2DEC(Table1[[#This Row],[utf8]]))</f>
        <v>👩</v>
      </c>
      <c r="K1248" s="3" t="str" cm="1">
        <f t="array" ref="K1248">"Case "&amp;wRandomLetter()&amp;wRandomLetter()&amp;I1248&amp;":    UniConst = ChrW(" &amp; I1248 &amp;")"</f>
        <v>Case yt128105:    UniConst = ChrW(128105)</v>
      </c>
    </row>
    <row r="1249" spans="1:11" hidden="1">
      <c r="A1249" t="s">
        <v>1174</v>
      </c>
      <c r="B1249" t="str">
        <f t="shared" si="116"/>
        <v>1F469 1F3FE 200D 1F4BB ; fully-qualified # 👩🏾‍💻 E4.0 woman technologist: medium-dark skin tone</v>
      </c>
      <c r="C1249" t="str">
        <f t="shared" si="117"/>
        <v xml:space="preserve">1F469 1F3FE 200D 1F4BB </v>
      </c>
      <c r="D1249">
        <f t="shared" si="118"/>
        <v>23</v>
      </c>
      <c r="E1249" t="str">
        <f t="shared" si="114"/>
        <v xml:space="preserve"> 👩🏾‍💻 E4.0 woman technologist: medium-dark skin tone</v>
      </c>
      <c r="F1249" t="b">
        <f t="shared" si="119"/>
        <v>1</v>
      </c>
      <c r="G1249" t="str">
        <f t="shared" si="115"/>
        <v>1F469</v>
      </c>
      <c r="I1249">
        <f>HEX2DEC(Table1[[#This Row],[utf8]])</f>
        <v>128105</v>
      </c>
      <c r="J1249" t="str">
        <f>_xlfn.UNICHAR(HEX2DEC(Table1[[#This Row],[utf8]]))</f>
        <v>👩</v>
      </c>
      <c r="K1249" s="3" t="str" cm="1">
        <f t="array" ref="K1249">"Case "&amp;wRandomLetter()&amp;wRandomLetter()&amp;I1249&amp;":    UniConst = ChrW(" &amp; I1249 &amp;")"</f>
        <v>Case qs128105:    UniConst = ChrW(128105)</v>
      </c>
    </row>
    <row r="1250" spans="1:11" hidden="1">
      <c r="A1250" t="s">
        <v>1138</v>
      </c>
      <c r="B1250" t="str">
        <f t="shared" si="116"/>
        <v>1F469 1F3FE 200D 1F4BC ; fully-qualified # 👩🏾‍💼 E4.0 woman office worker: medium-dark skin tone</v>
      </c>
      <c r="C1250" t="str">
        <f t="shared" si="117"/>
        <v xml:space="preserve">1F469 1F3FE 200D 1F4BC </v>
      </c>
      <c r="D1250">
        <f t="shared" si="118"/>
        <v>23</v>
      </c>
      <c r="E1250" t="str">
        <f t="shared" si="114"/>
        <v xml:space="preserve"> 👩🏾‍💼 E4.0 woman office worker: medium-dark skin tone</v>
      </c>
      <c r="F1250" t="b">
        <f t="shared" si="119"/>
        <v>1</v>
      </c>
      <c r="G1250" t="str">
        <f t="shared" si="115"/>
        <v>1F469</v>
      </c>
      <c r="I1250">
        <f>HEX2DEC(Table1[[#This Row],[utf8]])</f>
        <v>128105</v>
      </c>
      <c r="J1250" t="str">
        <f>_xlfn.UNICHAR(HEX2DEC(Table1[[#This Row],[utf8]]))</f>
        <v>👩</v>
      </c>
      <c r="K1250" s="3" t="str" cm="1">
        <f t="array" ref="K1250">"Case "&amp;wRandomLetter()&amp;wRandomLetter()&amp;I1250&amp;":    UniConst = ChrW(" &amp; I1250 &amp;")"</f>
        <v>Case Pl128105:    UniConst = ChrW(128105)</v>
      </c>
    </row>
    <row r="1251" spans="1:11" hidden="1">
      <c r="A1251" t="s">
        <v>1102</v>
      </c>
      <c r="B1251" t="str">
        <f t="shared" si="116"/>
        <v>1F469 1F3FE 200D 1F527 ; fully-qualified # 👩🏾‍🔧 E4.0 woman mechanic: medium-dark skin tone</v>
      </c>
      <c r="C1251" t="str">
        <f t="shared" si="117"/>
        <v xml:space="preserve">1F469 1F3FE 200D 1F527 </v>
      </c>
      <c r="D1251">
        <f t="shared" si="118"/>
        <v>23</v>
      </c>
      <c r="E1251" t="str">
        <f t="shared" si="114"/>
        <v xml:space="preserve"> 👩🏾‍🔧 E4.0 woman mechanic: medium-dark skin tone</v>
      </c>
      <c r="F1251" t="b">
        <f t="shared" si="119"/>
        <v>1</v>
      </c>
      <c r="G1251" t="str">
        <f t="shared" si="115"/>
        <v>1F469</v>
      </c>
      <c r="I1251">
        <f>HEX2DEC(Table1[[#This Row],[utf8]])</f>
        <v>128105</v>
      </c>
      <c r="J1251" t="str">
        <f>_xlfn.UNICHAR(HEX2DEC(Table1[[#This Row],[utf8]]))</f>
        <v>👩</v>
      </c>
      <c r="K1251" s="3" t="str" cm="1">
        <f t="array" ref="K1251">"Case "&amp;wRandomLetter()&amp;wRandomLetter()&amp;I1251&amp;":    UniConst = ChrW(" &amp; I1251 &amp;")"</f>
        <v>Case Xo128105:    UniConst = ChrW(128105)</v>
      </c>
    </row>
    <row r="1252" spans="1:11" hidden="1">
      <c r="A1252" t="s">
        <v>1156</v>
      </c>
      <c r="B1252" t="str">
        <f t="shared" si="116"/>
        <v>1F469 1F3FE 200D 1F52C ; fully-qualified # 👩🏾‍🔬 E4.0 woman scientist: medium-dark skin tone</v>
      </c>
      <c r="C1252" t="str">
        <f t="shared" si="117"/>
        <v xml:space="preserve">1F469 1F3FE 200D 1F52C </v>
      </c>
      <c r="D1252">
        <f t="shared" si="118"/>
        <v>23</v>
      </c>
      <c r="E1252" t="str">
        <f t="shared" si="114"/>
        <v xml:space="preserve"> 👩🏾‍🔬 E4.0 woman scientist: medium-dark skin tone</v>
      </c>
      <c r="F1252" t="b">
        <f t="shared" si="119"/>
        <v>1</v>
      </c>
      <c r="G1252" t="str">
        <f t="shared" si="115"/>
        <v>1F469</v>
      </c>
      <c r="I1252">
        <f>HEX2DEC(Table1[[#This Row],[utf8]])</f>
        <v>128105</v>
      </c>
      <c r="J1252" t="str">
        <f>_xlfn.UNICHAR(HEX2DEC(Table1[[#This Row],[utf8]]))</f>
        <v>👩</v>
      </c>
      <c r="K1252" s="3" t="str" cm="1">
        <f t="array" ref="K1252">"Case "&amp;wRandomLetter()&amp;wRandomLetter()&amp;I1252&amp;":    UniConst = ChrW(" &amp; I1252 &amp;")"</f>
        <v>Case at128105:    UniConst = ChrW(128105)</v>
      </c>
    </row>
    <row r="1253" spans="1:11" hidden="1">
      <c r="A1253" t="s">
        <v>1264</v>
      </c>
      <c r="B1253" t="str">
        <f t="shared" si="116"/>
        <v>1F469 1F3FE 200D 1F680 ; fully-qualified # 👩🏾‍🚀 E4.0 woman astronaut: medium-dark skin tone</v>
      </c>
      <c r="C1253" t="str">
        <f t="shared" si="117"/>
        <v xml:space="preserve">1F469 1F3FE 200D 1F680 </v>
      </c>
      <c r="D1253">
        <f t="shared" si="118"/>
        <v>23</v>
      </c>
      <c r="E1253" t="str">
        <f t="shared" si="114"/>
        <v xml:space="preserve"> 👩🏾‍🚀 E4.0 woman astronaut: medium-dark skin tone</v>
      </c>
      <c r="F1253" t="b">
        <f t="shared" si="119"/>
        <v>1</v>
      </c>
      <c r="G1253" t="str">
        <f t="shared" si="115"/>
        <v>1F469</v>
      </c>
      <c r="I1253">
        <f>HEX2DEC(Table1[[#This Row],[utf8]])</f>
        <v>128105</v>
      </c>
      <c r="J1253" t="str">
        <f>_xlfn.UNICHAR(HEX2DEC(Table1[[#This Row],[utf8]]))</f>
        <v>👩</v>
      </c>
      <c r="K1253" s="3" t="str" cm="1">
        <f t="array" ref="K1253">"Case "&amp;wRandomLetter()&amp;wRandomLetter()&amp;I1253&amp;":    UniConst = ChrW(" &amp; I1253 &amp;")"</f>
        <v>Case dj128105:    UniConst = ChrW(128105)</v>
      </c>
    </row>
    <row r="1254" spans="1:11" hidden="1">
      <c r="A1254" t="s">
        <v>1282</v>
      </c>
      <c r="B1254" t="str">
        <f t="shared" si="116"/>
        <v>1F469 1F3FE 200D 1F692 ; fully-qualified # 👩🏾‍🚒 E4.0 woman firefighter: medium-dark skin tone</v>
      </c>
      <c r="C1254" t="str">
        <f t="shared" si="117"/>
        <v xml:space="preserve">1F469 1F3FE 200D 1F692 </v>
      </c>
      <c r="D1254">
        <f t="shared" si="118"/>
        <v>23</v>
      </c>
      <c r="E1254" t="str">
        <f t="shared" si="114"/>
        <v xml:space="preserve"> 👩🏾‍🚒 E4.0 woman firefighter: medium-dark skin tone</v>
      </c>
      <c r="F1254" t="b">
        <f t="shared" si="119"/>
        <v>1</v>
      </c>
      <c r="G1254" t="str">
        <f t="shared" si="115"/>
        <v>1F469</v>
      </c>
      <c r="I1254">
        <f>HEX2DEC(Table1[[#This Row],[utf8]])</f>
        <v>128105</v>
      </c>
      <c r="J1254" t="str">
        <f>_xlfn.UNICHAR(HEX2DEC(Table1[[#This Row],[utf8]]))</f>
        <v>👩</v>
      </c>
      <c r="K1254" s="3" t="str" cm="1">
        <f t="array" ref="K1254">"Case "&amp;wRandomLetter()&amp;wRandomLetter()&amp;I1254&amp;":    UniConst = ChrW(" &amp; I1254 &amp;")"</f>
        <v>Case mM128105:    UniConst = ChrW(128105)</v>
      </c>
    </row>
    <row r="1255" spans="1:11" hidden="1">
      <c r="A1255" t="s">
        <v>2631</v>
      </c>
      <c r="B1255" t="str">
        <f t="shared" si="116"/>
        <v>1F469 1F3FE 200D 1F91D 200D 1F468 1F3FB ; fully-qualified # 👩🏾‍🤝‍👨🏻 E12.0 woman and man holding hands: medium-dark skin tone, light skin tone</v>
      </c>
      <c r="C1255" t="str">
        <f t="shared" si="117"/>
        <v xml:space="preserve">1F469 1F3FE 200D 1F91D 200D 1F468 1F3FB </v>
      </c>
      <c r="D1255">
        <f t="shared" si="118"/>
        <v>40</v>
      </c>
      <c r="E1255" t="str">
        <f t="shared" si="114"/>
        <v xml:space="preserve"> 👩🏾‍🤝‍👨🏻 E12.0 woman and man holding hands: medium-dark skin tone, light skin tone</v>
      </c>
      <c r="F1255" t="b">
        <f t="shared" si="119"/>
        <v>1</v>
      </c>
      <c r="G1255" t="str">
        <f t="shared" si="115"/>
        <v>1F469</v>
      </c>
      <c r="I1255">
        <f>HEX2DEC(Table1[[#This Row],[utf8]])</f>
        <v>128105</v>
      </c>
      <c r="J1255" t="str">
        <f>_xlfn.UNICHAR(HEX2DEC(Table1[[#This Row],[utf8]]))</f>
        <v>👩</v>
      </c>
      <c r="K1255" s="3" t="str" cm="1">
        <f t="array" ref="K1255">"Case "&amp;wRandomLetter()&amp;wRandomLetter()&amp;I1255&amp;":    UniConst = ChrW(" &amp; I1255 &amp;")"</f>
        <v>Case gR128105:    UniConst = ChrW(128105)</v>
      </c>
    </row>
    <row r="1256" spans="1:11" hidden="1">
      <c r="A1256" t="s">
        <v>2632</v>
      </c>
      <c r="B1256" t="str">
        <f t="shared" si="116"/>
        <v>1F469 1F3FE 200D 1F91D 200D 1F468 1F3FC ; fully-qualified # 👩🏾‍🤝‍👨🏼 E12.0 woman and man holding hands: medium-dark skin tone, medium-light skin tone</v>
      </c>
      <c r="C1256" t="str">
        <f t="shared" si="117"/>
        <v xml:space="preserve">1F469 1F3FE 200D 1F91D 200D 1F468 1F3FC </v>
      </c>
      <c r="D1256">
        <f t="shared" si="118"/>
        <v>40</v>
      </c>
      <c r="E1256" t="str">
        <f t="shared" si="114"/>
        <v xml:space="preserve"> 👩🏾‍🤝‍👨🏼 E12.0 woman and man holding hands: medium-dark skin tone, medium-light skin tone</v>
      </c>
      <c r="F1256" t="b">
        <f t="shared" si="119"/>
        <v>1</v>
      </c>
      <c r="G1256" t="str">
        <f t="shared" si="115"/>
        <v>1F469</v>
      </c>
      <c r="I1256">
        <f>HEX2DEC(Table1[[#This Row],[utf8]])</f>
        <v>128105</v>
      </c>
      <c r="J1256" t="str">
        <f>_xlfn.UNICHAR(HEX2DEC(Table1[[#This Row],[utf8]]))</f>
        <v>👩</v>
      </c>
      <c r="K1256" s="3" t="str" cm="1">
        <f t="array" ref="K1256">"Case "&amp;wRandomLetter()&amp;wRandomLetter()&amp;I1256&amp;":    UniConst = ChrW(" &amp; I1256 &amp;")"</f>
        <v>Case hm128105:    UniConst = ChrW(128105)</v>
      </c>
    </row>
    <row r="1257" spans="1:11" hidden="1">
      <c r="A1257" t="s">
        <v>2633</v>
      </c>
      <c r="B1257" t="str">
        <f t="shared" si="116"/>
        <v>1F469 1F3FE 200D 1F91D 200D 1F468 1F3FD ; fully-qualified # 👩🏾‍🤝‍👨🏽 E12.0 woman and man holding hands: medium-dark skin tone, medium skin tone</v>
      </c>
      <c r="C1257" t="str">
        <f t="shared" si="117"/>
        <v xml:space="preserve">1F469 1F3FE 200D 1F91D 200D 1F468 1F3FD </v>
      </c>
      <c r="D1257">
        <f t="shared" si="118"/>
        <v>40</v>
      </c>
      <c r="E1257" t="str">
        <f t="shared" si="114"/>
        <v xml:space="preserve"> 👩🏾‍🤝‍👨🏽 E12.0 woman and man holding hands: medium-dark skin tone, medium skin tone</v>
      </c>
      <c r="F1257" t="b">
        <f t="shared" si="119"/>
        <v>1</v>
      </c>
      <c r="G1257" t="str">
        <f t="shared" si="115"/>
        <v>1F469</v>
      </c>
      <c r="I1257">
        <f>HEX2DEC(Table1[[#This Row],[utf8]])</f>
        <v>128105</v>
      </c>
      <c r="J1257" t="str">
        <f>_xlfn.UNICHAR(HEX2DEC(Table1[[#This Row],[utf8]]))</f>
        <v>👩</v>
      </c>
      <c r="K1257" s="3" t="str" cm="1">
        <f t="array" ref="K1257">"Case "&amp;wRandomLetter()&amp;wRandomLetter()&amp;I1257&amp;":    UniConst = ChrW(" &amp; I1257 &amp;")"</f>
        <v>Case go128105:    UniConst = ChrW(128105)</v>
      </c>
    </row>
    <row r="1258" spans="1:11" hidden="1">
      <c r="A1258" t="s">
        <v>2635</v>
      </c>
      <c r="B1258" t="str">
        <f t="shared" si="116"/>
        <v>1F469 1F3FE 200D 1F91D 200D 1F468 1F3FF ; fully-qualified # 👩🏾‍🤝‍👨🏿 E12.0 woman and man holding hands: medium-dark skin tone, dark skin tone</v>
      </c>
      <c r="C1258" t="str">
        <f t="shared" si="117"/>
        <v xml:space="preserve">1F469 1F3FE 200D 1F91D 200D 1F468 1F3FF </v>
      </c>
      <c r="D1258">
        <f t="shared" si="118"/>
        <v>40</v>
      </c>
      <c r="E1258" t="str">
        <f t="shared" si="114"/>
        <v xml:space="preserve"> 👩🏾‍🤝‍👨🏿 E12.0 woman and man holding hands: medium-dark skin tone, dark skin tone</v>
      </c>
      <c r="F1258" t="b">
        <f t="shared" si="119"/>
        <v>1</v>
      </c>
      <c r="G1258" t="str">
        <f t="shared" si="115"/>
        <v>1F469</v>
      </c>
      <c r="I1258">
        <f>HEX2DEC(Table1[[#This Row],[utf8]])</f>
        <v>128105</v>
      </c>
      <c r="J1258" t="str">
        <f>_xlfn.UNICHAR(HEX2DEC(Table1[[#This Row],[utf8]]))</f>
        <v>👩</v>
      </c>
      <c r="K1258" s="3" t="str" cm="1">
        <f t="array" ref="K1258">"Case "&amp;wRandomLetter()&amp;wRandomLetter()&amp;I1258&amp;":    UniConst = ChrW(" &amp; I1258 &amp;")"</f>
        <v>Case xZ128105:    UniConst = ChrW(128105)</v>
      </c>
    </row>
    <row r="1259" spans="1:11" hidden="1">
      <c r="A1259" t="s">
        <v>2605</v>
      </c>
      <c r="B1259" t="str">
        <f t="shared" si="116"/>
        <v>1F469 1F3FE 200D 1F91D 200D 1F469 1F3FB ; fully-qualified # 👩🏾‍🤝‍👩🏻 E12.0 women holding hands: medium-dark skin tone, light skin tone</v>
      </c>
      <c r="C1259" t="str">
        <f t="shared" si="117"/>
        <v xml:space="preserve">1F469 1F3FE 200D 1F91D 200D 1F469 1F3FB </v>
      </c>
      <c r="D1259">
        <f t="shared" si="118"/>
        <v>40</v>
      </c>
      <c r="E1259" t="str">
        <f t="shared" si="114"/>
        <v xml:space="preserve"> 👩🏾‍🤝‍👩🏻 E12.0 women holding hands: medium-dark skin tone, light skin tone</v>
      </c>
      <c r="F1259" t="b">
        <f t="shared" si="119"/>
        <v>1</v>
      </c>
      <c r="G1259" t="str">
        <f t="shared" si="115"/>
        <v>1F469</v>
      </c>
      <c r="I1259">
        <f>HEX2DEC(Table1[[#This Row],[utf8]])</f>
        <v>128105</v>
      </c>
      <c r="J1259" t="str">
        <f>_xlfn.UNICHAR(HEX2DEC(Table1[[#This Row],[utf8]]))</f>
        <v>👩</v>
      </c>
      <c r="K1259" s="3" t="str" cm="1">
        <f t="array" ref="K1259">"Case "&amp;wRandomLetter()&amp;wRandomLetter()&amp;I1259&amp;":    UniConst = ChrW(" &amp; I1259 &amp;")"</f>
        <v>Case mA128105:    UniConst = ChrW(128105)</v>
      </c>
    </row>
    <row r="1260" spans="1:11" hidden="1">
      <c r="A1260" t="s">
        <v>2606</v>
      </c>
      <c r="B1260" t="str">
        <f t="shared" si="116"/>
        <v>1F469 1F3FE 200D 1F91D 200D 1F469 1F3FC ; fully-qualified # 👩🏾‍🤝‍👩🏼 E12.0 women holding hands: medium-dark skin tone, medium-light skin tone</v>
      </c>
      <c r="C1260" t="str">
        <f t="shared" si="117"/>
        <v xml:space="preserve">1F469 1F3FE 200D 1F91D 200D 1F469 1F3FC </v>
      </c>
      <c r="D1260">
        <f t="shared" si="118"/>
        <v>40</v>
      </c>
      <c r="E1260" t="str">
        <f t="shared" si="114"/>
        <v xml:space="preserve"> 👩🏾‍🤝‍👩🏼 E12.0 women holding hands: medium-dark skin tone, medium-light skin tone</v>
      </c>
      <c r="F1260" t="b">
        <f t="shared" si="119"/>
        <v>1</v>
      </c>
      <c r="G1260" t="str">
        <f t="shared" si="115"/>
        <v>1F469</v>
      </c>
      <c r="I1260">
        <f>HEX2DEC(Table1[[#This Row],[utf8]])</f>
        <v>128105</v>
      </c>
      <c r="J1260" t="str">
        <f>_xlfn.UNICHAR(HEX2DEC(Table1[[#This Row],[utf8]]))</f>
        <v>👩</v>
      </c>
      <c r="K1260" s="3" t="str" cm="1">
        <f t="array" ref="K1260">"Case "&amp;wRandomLetter()&amp;wRandomLetter()&amp;I1260&amp;":    UniConst = ChrW(" &amp; I1260 &amp;")"</f>
        <v>Case ar128105:    UniConst = ChrW(128105)</v>
      </c>
    </row>
    <row r="1261" spans="1:11" hidden="1">
      <c r="A1261" t="s">
        <v>2607</v>
      </c>
      <c r="B1261" t="str">
        <f t="shared" si="116"/>
        <v>1F469 1F3FE 200D 1F91D 200D 1F469 1F3FD ; fully-qualified # 👩🏾‍🤝‍👩🏽 E12.0 women holding hands: medium-dark skin tone, medium skin tone</v>
      </c>
      <c r="C1261" t="str">
        <f t="shared" si="117"/>
        <v xml:space="preserve">1F469 1F3FE 200D 1F91D 200D 1F469 1F3FD </v>
      </c>
      <c r="D1261">
        <f t="shared" si="118"/>
        <v>40</v>
      </c>
      <c r="E1261" t="str">
        <f t="shared" si="114"/>
        <v xml:space="preserve"> 👩🏾‍🤝‍👩🏽 E12.0 women holding hands: medium-dark skin tone, medium skin tone</v>
      </c>
      <c r="F1261" t="b">
        <f t="shared" si="119"/>
        <v>1</v>
      </c>
      <c r="G1261" t="str">
        <f t="shared" si="115"/>
        <v>1F469</v>
      </c>
      <c r="I1261">
        <f>HEX2DEC(Table1[[#This Row],[utf8]])</f>
        <v>128105</v>
      </c>
      <c r="J1261" t="str">
        <f>_xlfn.UNICHAR(HEX2DEC(Table1[[#This Row],[utf8]]))</f>
        <v>👩</v>
      </c>
      <c r="K1261" s="3" t="str" cm="1">
        <f t="array" ref="K1261">"Case "&amp;wRandomLetter()&amp;wRandomLetter()&amp;I1261&amp;":    UniConst = ChrW(" &amp; I1261 &amp;")"</f>
        <v>Case Nb128105:    UniConst = ChrW(128105)</v>
      </c>
    </row>
    <row r="1262" spans="1:11" hidden="1">
      <c r="A1262" t="s">
        <v>2609</v>
      </c>
      <c r="B1262" t="str">
        <f t="shared" si="116"/>
        <v>1F469 1F3FE 200D 1F91D 200D 1F469 1F3FF ; fully-qualified # 👩🏾‍🤝‍👩🏿 E12.1 women holding hands: medium-dark skin tone, dark skin tone</v>
      </c>
      <c r="C1262" t="str">
        <f t="shared" si="117"/>
        <v xml:space="preserve">1F469 1F3FE 200D 1F91D 200D 1F469 1F3FF </v>
      </c>
      <c r="D1262">
        <f t="shared" si="118"/>
        <v>40</v>
      </c>
      <c r="E1262" t="str">
        <f t="shared" si="114"/>
        <v xml:space="preserve"> 👩🏾‍🤝‍👩🏿 E12.1 women holding hands: medium-dark skin tone, dark skin tone</v>
      </c>
      <c r="F1262" t="b">
        <f t="shared" si="119"/>
        <v>1</v>
      </c>
      <c r="G1262" t="str">
        <f t="shared" si="115"/>
        <v>1F469</v>
      </c>
      <c r="I1262">
        <f>HEX2DEC(Table1[[#This Row],[utf8]])</f>
        <v>128105</v>
      </c>
      <c r="J1262" t="str">
        <f>_xlfn.UNICHAR(HEX2DEC(Table1[[#This Row],[utf8]]))</f>
        <v>👩</v>
      </c>
      <c r="K1262" s="3" t="str" cm="1">
        <f t="array" ref="K1262">"Case "&amp;wRandomLetter()&amp;wRandomLetter()&amp;I1262&amp;":    UniConst = ChrW(" &amp; I1262 &amp;")"</f>
        <v>Case Xc128105:    UniConst = ChrW(128105)</v>
      </c>
    </row>
    <row r="1263" spans="1:11" hidden="1">
      <c r="A1263" t="s">
        <v>1971</v>
      </c>
      <c r="B1263" t="str">
        <f t="shared" si="116"/>
        <v>1F469 1F3FE 200D 1F9AF ; fully-qualified # 👩🏾‍🦯 E12.0 woman with white cane: medium-dark skin tone</v>
      </c>
      <c r="C1263" t="str">
        <f t="shared" si="117"/>
        <v xml:space="preserve">1F469 1F3FE 200D 1F9AF </v>
      </c>
      <c r="D1263">
        <f t="shared" si="118"/>
        <v>23</v>
      </c>
      <c r="E1263" t="str">
        <f t="shared" si="114"/>
        <v xml:space="preserve"> 👩🏾‍🦯 E12.0 woman with white cane: medium-dark skin tone</v>
      </c>
      <c r="F1263" t="b">
        <f t="shared" si="119"/>
        <v>1</v>
      </c>
      <c r="G1263" t="str">
        <f t="shared" si="115"/>
        <v>1F469</v>
      </c>
      <c r="I1263">
        <f>HEX2DEC(Table1[[#This Row],[utf8]])</f>
        <v>128105</v>
      </c>
      <c r="J1263" t="str">
        <f>_xlfn.UNICHAR(HEX2DEC(Table1[[#This Row],[utf8]]))</f>
        <v>👩</v>
      </c>
      <c r="K1263" s="3" t="str" cm="1">
        <f t="array" ref="K1263">"Case "&amp;wRandomLetter()&amp;wRandomLetter()&amp;I1263&amp;":    UniConst = ChrW(" &amp; I1263 &amp;")"</f>
        <v>Case Nw128105:    UniConst = ChrW(128105)</v>
      </c>
    </row>
    <row r="1264" spans="1:11" hidden="1">
      <c r="A1264" t="s">
        <v>554</v>
      </c>
      <c r="B1264" t="str">
        <f t="shared" si="116"/>
        <v>1F469 1F3FE 200D 1F9B0 ; fully-qualified # 👩🏾‍🦰 E11.0 woman: medium-dark skin tone, red hair</v>
      </c>
      <c r="C1264" t="str">
        <f t="shared" si="117"/>
        <v xml:space="preserve">1F469 1F3FE 200D 1F9B0 </v>
      </c>
      <c r="D1264">
        <f t="shared" si="118"/>
        <v>23</v>
      </c>
      <c r="E1264" t="str">
        <f t="shared" si="114"/>
        <v xml:space="preserve"> 👩🏾‍🦰 E11.0 woman: medium-dark skin tone, red hair</v>
      </c>
      <c r="F1264" t="b">
        <f t="shared" si="119"/>
        <v>1</v>
      </c>
      <c r="G1264" t="str">
        <f t="shared" si="115"/>
        <v>1F469</v>
      </c>
      <c r="I1264">
        <f>HEX2DEC(Table1[[#This Row],[utf8]])</f>
        <v>128105</v>
      </c>
      <c r="J1264" t="str">
        <f>_xlfn.UNICHAR(HEX2DEC(Table1[[#This Row],[utf8]]))</f>
        <v>👩</v>
      </c>
      <c r="K1264" s="3" t="str" cm="1">
        <f t="array" ref="K1264">"Case "&amp;wRandomLetter()&amp;wRandomLetter()&amp;I1264&amp;":    UniConst = ChrW(" &amp; I1264 &amp;")"</f>
        <v>Case fs128105:    UniConst = ChrW(128105)</v>
      </c>
    </row>
    <row r="1265" spans="1:11" hidden="1">
      <c r="A1265" t="s">
        <v>566</v>
      </c>
      <c r="B1265" t="str">
        <f t="shared" si="116"/>
        <v>1F469 1F3FE 200D 1F9B1 ; fully-qualified # 👩🏾‍🦱 E11.0 woman: medium-dark skin tone, curly hair</v>
      </c>
      <c r="C1265" t="str">
        <f t="shared" si="117"/>
        <v xml:space="preserve">1F469 1F3FE 200D 1F9B1 </v>
      </c>
      <c r="D1265">
        <f t="shared" si="118"/>
        <v>23</v>
      </c>
      <c r="E1265" t="str">
        <f t="shared" si="114"/>
        <v xml:space="preserve"> 👩🏾‍🦱 E11.0 woman: medium-dark skin tone, curly hair</v>
      </c>
      <c r="F1265" t="b">
        <f t="shared" si="119"/>
        <v>1</v>
      </c>
      <c r="G1265" t="str">
        <f t="shared" si="115"/>
        <v>1F469</v>
      </c>
      <c r="I1265">
        <f>HEX2DEC(Table1[[#This Row],[utf8]])</f>
        <v>128105</v>
      </c>
      <c r="J1265" t="str">
        <f>_xlfn.UNICHAR(HEX2DEC(Table1[[#This Row],[utf8]]))</f>
        <v>👩</v>
      </c>
      <c r="K1265" s="3" t="str" cm="1">
        <f t="array" ref="K1265">"Case "&amp;wRandomLetter()&amp;wRandomLetter()&amp;I1265&amp;":    UniConst = ChrW(" &amp; I1265 &amp;")"</f>
        <v>Case as128105:    UniConst = ChrW(128105)</v>
      </c>
    </row>
    <row r="1266" spans="1:11" hidden="1">
      <c r="A1266" t="s">
        <v>590</v>
      </c>
      <c r="B1266" t="str">
        <f t="shared" si="116"/>
        <v>1F469 1F3FE 200D 1F9B2 ; fully-qualified # 👩🏾‍🦲 E11.0 woman: medium-dark skin tone, bald</v>
      </c>
      <c r="C1266" t="str">
        <f t="shared" si="117"/>
        <v xml:space="preserve">1F469 1F3FE 200D 1F9B2 </v>
      </c>
      <c r="D1266">
        <f t="shared" si="118"/>
        <v>23</v>
      </c>
      <c r="E1266" t="str">
        <f t="shared" si="114"/>
        <v xml:space="preserve"> 👩🏾‍🦲 E11.0 woman: medium-dark skin tone, bald</v>
      </c>
      <c r="F1266" t="b">
        <f t="shared" si="119"/>
        <v>1</v>
      </c>
      <c r="G1266" t="str">
        <f t="shared" si="115"/>
        <v>1F469</v>
      </c>
      <c r="I1266">
        <f>HEX2DEC(Table1[[#This Row],[utf8]])</f>
        <v>128105</v>
      </c>
      <c r="J1266" t="str">
        <f>_xlfn.UNICHAR(HEX2DEC(Table1[[#This Row],[utf8]]))</f>
        <v>👩</v>
      </c>
      <c r="K1266" s="3" t="str" cm="1">
        <f t="array" ref="K1266">"Case "&amp;wRandomLetter()&amp;wRandomLetter()&amp;I1266&amp;":    UniConst = ChrW(" &amp; I1266 &amp;")"</f>
        <v>Case PH128105:    UniConst = ChrW(128105)</v>
      </c>
    </row>
    <row r="1267" spans="1:11" hidden="1">
      <c r="A1267" t="s">
        <v>578</v>
      </c>
      <c r="B1267" t="str">
        <f t="shared" si="116"/>
        <v>1F469 1F3FE 200D 1F9B3 ; fully-qualified # 👩🏾‍🦳 E11.0 woman: medium-dark skin tone, white hair</v>
      </c>
      <c r="C1267" t="str">
        <f t="shared" si="117"/>
        <v xml:space="preserve">1F469 1F3FE 200D 1F9B3 </v>
      </c>
      <c r="D1267">
        <f t="shared" si="118"/>
        <v>23</v>
      </c>
      <c r="E1267" t="str">
        <f t="shared" si="114"/>
        <v xml:space="preserve"> 👩🏾‍🦳 E11.0 woman: medium-dark skin tone, white hair</v>
      </c>
      <c r="F1267" t="b">
        <f t="shared" si="119"/>
        <v>1</v>
      </c>
      <c r="G1267" t="str">
        <f t="shared" si="115"/>
        <v>1F469</v>
      </c>
      <c r="I1267">
        <f>HEX2DEC(Table1[[#This Row],[utf8]])</f>
        <v>128105</v>
      </c>
      <c r="J1267" t="str">
        <f>_xlfn.UNICHAR(HEX2DEC(Table1[[#This Row],[utf8]]))</f>
        <v>👩</v>
      </c>
      <c r="K1267" s="3" t="str" cm="1">
        <f t="array" ref="K1267">"Case "&amp;wRandomLetter()&amp;wRandomLetter()&amp;I1267&amp;":    UniConst = ChrW(" &amp; I1267 &amp;")"</f>
        <v>Case ek128105:    UniConst = ChrW(128105)</v>
      </c>
    </row>
    <row r="1268" spans="1:11" hidden="1">
      <c r="A1268" t="s">
        <v>1989</v>
      </c>
      <c r="B1268" t="str">
        <f t="shared" si="116"/>
        <v>1F469 1F3FE 200D 1F9BC ; fully-qualified # 👩🏾‍🦼 E12.0 woman in motorized wheelchair: medium-dark skin tone</v>
      </c>
      <c r="C1268" t="str">
        <f t="shared" si="117"/>
        <v xml:space="preserve">1F469 1F3FE 200D 1F9BC </v>
      </c>
      <c r="D1268">
        <f t="shared" si="118"/>
        <v>23</v>
      </c>
      <c r="E1268" t="str">
        <f t="shared" si="114"/>
        <v xml:space="preserve"> 👩🏾‍🦼 E12.0 woman in motorized wheelchair: medium-dark skin tone</v>
      </c>
      <c r="F1268" t="b">
        <f t="shared" si="119"/>
        <v>1</v>
      </c>
      <c r="G1268" t="str">
        <f t="shared" si="115"/>
        <v>1F469</v>
      </c>
      <c r="I1268">
        <f>HEX2DEC(Table1[[#This Row],[utf8]])</f>
        <v>128105</v>
      </c>
      <c r="J1268" t="str">
        <f>_xlfn.UNICHAR(HEX2DEC(Table1[[#This Row],[utf8]]))</f>
        <v>👩</v>
      </c>
      <c r="K1268" s="3" t="str" cm="1">
        <f t="array" ref="K1268">"Case "&amp;wRandomLetter()&amp;wRandomLetter()&amp;I1268&amp;":    UniConst = ChrW(" &amp; I1268 &amp;")"</f>
        <v>Case qR128105:    UniConst = ChrW(128105)</v>
      </c>
    </row>
    <row r="1269" spans="1:11" hidden="1">
      <c r="A1269" t="s">
        <v>2007</v>
      </c>
      <c r="B1269" t="str">
        <f t="shared" si="116"/>
        <v>1F469 1F3FE 200D 1F9BD ; fully-qualified # 👩🏾‍🦽 E12.0 woman in manual wheelchair: medium-dark skin tone</v>
      </c>
      <c r="C1269" t="str">
        <f t="shared" si="117"/>
        <v xml:space="preserve">1F469 1F3FE 200D 1F9BD </v>
      </c>
      <c r="D1269">
        <f t="shared" si="118"/>
        <v>23</v>
      </c>
      <c r="E1269" t="str">
        <f t="shared" si="114"/>
        <v xml:space="preserve"> 👩🏾‍🦽 E12.0 woman in manual wheelchair: medium-dark skin tone</v>
      </c>
      <c r="F1269" t="b">
        <f t="shared" si="119"/>
        <v>1</v>
      </c>
      <c r="G1269" t="str">
        <f t="shared" si="115"/>
        <v>1F469</v>
      </c>
      <c r="I1269">
        <f>HEX2DEC(Table1[[#This Row],[utf8]])</f>
        <v>128105</v>
      </c>
      <c r="J1269" t="str">
        <f>_xlfn.UNICHAR(HEX2DEC(Table1[[#This Row],[utf8]]))</f>
        <v>👩</v>
      </c>
      <c r="K1269" s="3" t="str" cm="1">
        <f t="array" ref="K1269">"Case "&amp;wRandomLetter()&amp;wRandomLetter()&amp;I1269&amp;":    UniConst = ChrW(" &amp; I1269 &amp;")"</f>
        <v>Case Sq128105:    UniConst = ChrW(128105)</v>
      </c>
    </row>
    <row r="1270" spans="1:11" hidden="1">
      <c r="A1270" t="s">
        <v>975</v>
      </c>
      <c r="B1270" t="str">
        <f t="shared" si="116"/>
        <v>1F469 1F3FE 200D 2695 ; minimally-qualified # 👩🏾‍⚕ E4.0 woman health worker: medium-dark skin tone</v>
      </c>
      <c r="C1270" t="str">
        <f t="shared" si="117"/>
        <v xml:space="preserve">1F469 1F3FE 200D 2695 </v>
      </c>
      <c r="D1270">
        <f t="shared" si="118"/>
        <v>22</v>
      </c>
      <c r="E1270" t="str">
        <f t="shared" si="114"/>
        <v xml:space="preserve"> 👩🏾‍⚕ E4.0 woman health worker: medium-dark skin tone</v>
      </c>
      <c r="F1270" t="b">
        <f t="shared" si="119"/>
        <v>1</v>
      </c>
      <c r="G1270" t="str">
        <f t="shared" si="115"/>
        <v>1F469</v>
      </c>
      <c r="I1270">
        <f>HEX2DEC(Table1[[#This Row],[utf8]])</f>
        <v>128105</v>
      </c>
      <c r="J1270" t="str">
        <f>_xlfn.UNICHAR(HEX2DEC(Table1[[#This Row],[utf8]]))</f>
        <v>👩</v>
      </c>
      <c r="K1270" s="3" t="str" cm="1">
        <f t="array" ref="K1270">"Case "&amp;wRandomLetter()&amp;wRandomLetter()&amp;I1270&amp;":    UniConst = ChrW(" &amp; I1270 &amp;")"</f>
        <v>Case QK128105:    UniConst = ChrW(128105)</v>
      </c>
    </row>
    <row r="1271" spans="1:11" hidden="1">
      <c r="A1271" t="s">
        <v>974</v>
      </c>
      <c r="B1271" t="str">
        <f t="shared" si="116"/>
        <v>1F469 1F3FE 200D 2695 FE0F ; fully-qualified # 👩🏾‍⚕️ E4.0 woman health worker: medium-dark skin tone</v>
      </c>
      <c r="C1271" t="str">
        <f t="shared" si="117"/>
        <v xml:space="preserve">1F469 1F3FE 200D 2695 FE0F </v>
      </c>
      <c r="D1271">
        <f t="shared" si="118"/>
        <v>27</v>
      </c>
      <c r="E1271" t="str">
        <f t="shared" si="114"/>
        <v xml:space="preserve"> 👩🏾‍⚕️ E4.0 woman health worker: medium-dark skin tone</v>
      </c>
      <c r="F1271" t="b">
        <f t="shared" si="119"/>
        <v>1</v>
      </c>
      <c r="G1271" t="str">
        <f t="shared" si="115"/>
        <v>1F469</v>
      </c>
      <c r="I1271">
        <f>HEX2DEC(Table1[[#This Row],[utf8]])</f>
        <v>128105</v>
      </c>
      <c r="J1271" t="str">
        <f>_xlfn.UNICHAR(HEX2DEC(Table1[[#This Row],[utf8]]))</f>
        <v>👩</v>
      </c>
      <c r="K1271" s="3" t="str" cm="1">
        <f t="array" ref="K1271">"Case "&amp;wRandomLetter()&amp;wRandomLetter()&amp;I1271&amp;":    UniConst = ChrW(" &amp; I1271 &amp;")"</f>
        <v>Case TP128105:    UniConst = ChrW(128105)</v>
      </c>
    </row>
    <row r="1272" spans="1:11" hidden="1">
      <c r="A1272" t="s">
        <v>1047</v>
      </c>
      <c r="B1272" t="str">
        <f t="shared" si="116"/>
        <v>1F469 1F3FE 200D 2696 ; minimally-qualified # 👩🏾‍⚖ E4.0 woman judge: medium-dark skin tone</v>
      </c>
      <c r="C1272" t="str">
        <f t="shared" si="117"/>
        <v xml:space="preserve">1F469 1F3FE 200D 2696 </v>
      </c>
      <c r="D1272">
        <f t="shared" si="118"/>
        <v>22</v>
      </c>
      <c r="E1272" t="str">
        <f t="shared" si="114"/>
        <v xml:space="preserve"> 👩🏾‍⚖ E4.0 woman judge: medium-dark skin tone</v>
      </c>
      <c r="F1272" t="b">
        <f t="shared" si="119"/>
        <v>1</v>
      </c>
      <c r="G1272" t="str">
        <f t="shared" si="115"/>
        <v>1F469</v>
      </c>
      <c r="I1272">
        <f>HEX2DEC(Table1[[#This Row],[utf8]])</f>
        <v>128105</v>
      </c>
      <c r="J1272" t="str">
        <f>_xlfn.UNICHAR(HEX2DEC(Table1[[#This Row],[utf8]]))</f>
        <v>👩</v>
      </c>
      <c r="K1272" s="3" t="str" cm="1">
        <f t="array" ref="K1272">"Case "&amp;wRandomLetter()&amp;wRandomLetter()&amp;I1272&amp;":    UniConst = ChrW(" &amp; I1272 &amp;")"</f>
        <v>Case GM128105:    UniConst = ChrW(128105)</v>
      </c>
    </row>
    <row r="1273" spans="1:11" hidden="1">
      <c r="A1273" t="s">
        <v>1046</v>
      </c>
      <c r="B1273" t="str">
        <f t="shared" si="116"/>
        <v>1F469 1F3FE 200D 2696 FE0F ; fully-qualified # 👩🏾‍⚖️ E4.0 woman judge: medium-dark skin tone</v>
      </c>
      <c r="C1273" t="str">
        <f t="shared" si="117"/>
        <v xml:space="preserve">1F469 1F3FE 200D 2696 FE0F </v>
      </c>
      <c r="D1273">
        <f t="shared" si="118"/>
        <v>27</v>
      </c>
      <c r="E1273" t="str">
        <f t="shared" si="114"/>
        <v xml:space="preserve"> 👩🏾‍⚖️ E4.0 woman judge: medium-dark skin tone</v>
      </c>
      <c r="F1273" t="b">
        <f t="shared" si="119"/>
        <v>1</v>
      </c>
      <c r="G1273" t="str">
        <f t="shared" si="115"/>
        <v>1F469</v>
      </c>
      <c r="I1273">
        <f>HEX2DEC(Table1[[#This Row],[utf8]])</f>
        <v>128105</v>
      </c>
      <c r="J1273" t="str">
        <f>_xlfn.UNICHAR(HEX2DEC(Table1[[#This Row],[utf8]]))</f>
        <v>👩</v>
      </c>
      <c r="K1273" s="3" t="str" cm="1">
        <f t="array" ref="K1273">"Case "&amp;wRandomLetter()&amp;wRandomLetter()&amp;I1273&amp;":    UniConst = ChrW(" &amp; I1273 &amp;")"</f>
        <v>Case gd128105:    UniConst = ChrW(128105)</v>
      </c>
    </row>
    <row r="1274" spans="1:11" hidden="1">
      <c r="A1274" t="s">
        <v>1245</v>
      </c>
      <c r="B1274" t="str">
        <f t="shared" si="116"/>
        <v>1F469 1F3FE 200D 2708 ; minimally-qualified # 👩🏾‍✈ E4.0 woman pilot: medium-dark skin tone</v>
      </c>
      <c r="C1274" t="str">
        <f t="shared" si="117"/>
        <v xml:space="preserve">1F469 1F3FE 200D 2708 </v>
      </c>
      <c r="D1274">
        <f t="shared" si="118"/>
        <v>22</v>
      </c>
      <c r="E1274" t="str">
        <f t="shared" si="114"/>
        <v xml:space="preserve"> 👩🏾‍✈ E4.0 woman pilot: medium-dark skin tone</v>
      </c>
      <c r="F1274" t="b">
        <f t="shared" si="119"/>
        <v>1</v>
      </c>
      <c r="G1274" t="str">
        <f t="shared" si="115"/>
        <v>1F469</v>
      </c>
      <c r="I1274">
        <f>HEX2DEC(Table1[[#This Row],[utf8]])</f>
        <v>128105</v>
      </c>
      <c r="J1274" t="str">
        <f>_xlfn.UNICHAR(HEX2DEC(Table1[[#This Row],[utf8]]))</f>
        <v>👩</v>
      </c>
      <c r="K1274" s="3" t="str" cm="1">
        <f t="array" ref="K1274">"Case "&amp;wRandomLetter()&amp;wRandomLetter()&amp;I1274&amp;":    UniConst = ChrW(" &amp; I1274 &amp;")"</f>
        <v>Case hn128105:    UniConst = ChrW(128105)</v>
      </c>
    </row>
    <row r="1275" spans="1:11" hidden="1">
      <c r="A1275" t="s">
        <v>1244</v>
      </c>
      <c r="B1275" t="str">
        <f t="shared" si="116"/>
        <v>1F469 1F3FE 200D 2708 FE0F ; fully-qualified # 👩🏾‍✈️ E4.0 woman pilot: medium-dark skin tone</v>
      </c>
      <c r="C1275" t="str">
        <f t="shared" si="117"/>
        <v xml:space="preserve">1F469 1F3FE 200D 2708 FE0F </v>
      </c>
      <c r="D1275">
        <f t="shared" si="118"/>
        <v>27</v>
      </c>
      <c r="E1275" t="str">
        <f t="shared" si="114"/>
        <v xml:space="preserve"> 👩🏾‍✈️ E4.0 woman pilot: medium-dark skin tone</v>
      </c>
      <c r="F1275" t="b">
        <f t="shared" si="119"/>
        <v>1</v>
      </c>
      <c r="G1275" t="str">
        <f t="shared" si="115"/>
        <v>1F469</v>
      </c>
      <c r="I1275">
        <f>HEX2DEC(Table1[[#This Row],[utf8]])</f>
        <v>128105</v>
      </c>
      <c r="J1275" t="str">
        <f>_xlfn.UNICHAR(HEX2DEC(Table1[[#This Row],[utf8]]))</f>
        <v>👩</v>
      </c>
      <c r="K1275" s="3" t="str" cm="1">
        <f t="array" ref="K1275">"Case "&amp;wRandomLetter()&amp;wRandomLetter()&amp;I1275&amp;":    UniConst = ChrW(" &amp; I1275 &amp;")"</f>
        <v>Case Mu128105:    UniConst = ChrW(128105)</v>
      </c>
    </row>
    <row r="1276" spans="1:11" hidden="1">
      <c r="A1276" t="s">
        <v>2948</v>
      </c>
      <c r="B1276" t="str">
        <f t="shared" si="116"/>
        <v>1F469 1F3FE 200D 2764 200D 1F468 1F3FB ; minimally-qualified # 👩🏾‍❤‍👨🏻 E13.1 couple with heart: woman, man, medium-dark skin tone, light skin tone</v>
      </c>
      <c r="C1276" t="str">
        <f t="shared" si="117"/>
        <v xml:space="preserve">1F469 1F3FE 200D 2764 200D 1F468 1F3FB </v>
      </c>
      <c r="D1276">
        <f t="shared" si="118"/>
        <v>39</v>
      </c>
      <c r="E1276" t="str">
        <f t="shared" si="114"/>
        <v xml:space="preserve"> 👩🏾‍❤‍👨🏻 E13.1 couple with heart: woman, man, medium-dark skin tone, light skin tone</v>
      </c>
      <c r="F1276" t="b">
        <f t="shared" si="119"/>
        <v>1</v>
      </c>
      <c r="G1276" t="str">
        <f t="shared" si="115"/>
        <v>1F469</v>
      </c>
      <c r="I1276">
        <f>HEX2DEC(Table1[[#This Row],[utf8]])</f>
        <v>128105</v>
      </c>
      <c r="J1276" t="str">
        <f>_xlfn.UNICHAR(HEX2DEC(Table1[[#This Row],[utf8]]))</f>
        <v>👩</v>
      </c>
      <c r="K1276" s="3" t="str" cm="1">
        <f t="array" ref="K1276">"Case "&amp;wRandomLetter()&amp;wRandomLetter()&amp;I1276&amp;":    UniConst = ChrW(" &amp; I1276 &amp;")"</f>
        <v>Case Kk128105:    UniConst = ChrW(128105)</v>
      </c>
    </row>
    <row r="1277" spans="1:11" hidden="1">
      <c r="A1277" t="s">
        <v>2950</v>
      </c>
      <c r="B1277" t="str">
        <f t="shared" si="116"/>
        <v>1F469 1F3FE 200D 2764 200D 1F468 1F3FC ; minimally-qualified # 👩🏾‍❤‍👨🏼 E13.1 couple with heart: woman, man, medium-dark skin tone, medium-light skin tone</v>
      </c>
      <c r="C1277" t="str">
        <f t="shared" si="117"/>
        <v xml:space="preserve">1F469 1F3FE 200D 2764 200D 1F468 1F3FC </v>
      </c>
      <c r="D1277">
        <f t="shared" si="118"/>
        <v>39</v>
      </c>
      <c r="E1277" t="str">
        <f t="shared" si="114"/>
        <v xml:space="preserve"> 👩🏾‍❤‍👨🏼 E13.1 couple with heart: woman, man, medium-dark skin tone, medium-light skin tone</v>
      </c>
      <c r="F1277" t="b">
        <f t="shared" si="119"/>
        <v>1</v>
      </c>
      <c r="G1277" t="str">
        <f t="shared" si="115"/>
        <v>1F469</v>
      </c>
      <c r="I1277">
        <f>HEX2DEC(Table1[[#This Row],[utf8]])</f>
        <v>128105</v>
      </c>
      <c r="J1277" t="str">
        <f>_xlfn.UNICHAR(HEX2DEC(Table1[[#This Row],[utf8]]))</f>
        <v>👩</v>
      </c>
      <c r="K1277" s="3" t="str" cm="1">
        <f t="array" ref="K1277">"Case "&amp;wRandomLetter()&amp;wRandomLetter()&amp;I1277&amp;":    UniConst = ChrW(" &amp; I1277 &amp;")"</f>
        <v>Case SE128105:    UniConst = ChrW(128105)</v>
      </c>
    </row>
    <row r="1278" spans="1:11" hidden="1">
      <c r="A1278" t="s">
        <v>2952</v>
      </c>
      <c r="B1278" t="str">
        <f t="shared" si="116"/>
        <v>1F469 1F3FE 200D 2764 200D 1F468 1F3FD ; minimally-qualified # 👩🏾‍❤‍👨🏽 E13.1 couple with heart: woman, man, medium-dark skin tone, medium skin tone</v>
      </c>
      <c r="C1278" t="str">
        <f t="shared" si="117"/>
        <v xml:space="preserve">1F469 1F3FE 200D 2764 200D 1F468 1F3FD </v>
      </c>
      <c r="D1278">
        <f t="shared" si="118"/>
        <v>39</v>
      </c>
      <c r="E1278" t="str">
        <f t="shared" si="114"/>
        <v xml:space="preserve"> 👩🏾‍❤‍👨🏽 E13.1 couple with heart: woman, man, medium-dark skin tone, medium skin tone</v>
      </c>
      <c r="F1278" t="b">
        <f t="shared" si="119"/>
        <v>1</v>
      </c>
      <c r="G1278" t="str">
        <f t="shared" si="115"/>
        <v>1F469</v>
      </c>
      <c r="I1278">
        <f>HEX2DEC(Table1[[#This Row],[utf8]])</f>
        <v>128105</v>
      </c>
      <c r="J1278" t="str">
        <f>_xlfn.UNICHAR(HEX2DEC(Table1[[#This Row],[utf8]]))</f>
        <v>👩</v>
      </c>
      <c r="K1278" s="3" t="str" cm="1">
        <f t="array" ref="K1278">"Case "&amp;wRandomLetter()&amp;wRandomLetter()&amp;I1278&amp;":    UniConst = ChrW(" &amp; I1278 &amp;")"</f>
        <v>Case fp128105:    UniConst = ChrW(128105)</v>
      </c>
    </row>
    <row r="1279" spans="1:11" hidden="1">
      <c r="A1279" t="s">
        <v>2954</v>
      </c>
      <c r="B1279" t="str">
        <f t="shared" si="116"/>
        <v>1F469 1F3FE 200D 2764 200D 1F468 1F3FE ; minimally-qualified # 👩🏾‍❤‍👨🏾 E13.1 couple with heart: woman, man, medium-dark skin tone</v>
      </c>
      <c r="C1279" t="str">
        <f t="shared" si="117"/>
        <v xml:space="preserve">1F469 1F3FE 200D 2764 200D 1F468 1F3FE </v>
      </c>
      <c r="D1279">
        <f t="shared" si="118"/>
        <v>39</v>
      </c>
      <c r="E1279" t="str">
        <f t="shared" si="114"/>
        <v xml:space="preserve"> 👩🏾‍❤‍👨🏾 E13.1 couple with heart: woman, man, medium-dark skin tone</v>
      </c>
      <c r="F1279" t="b">
        <f t="shared" si="119"/>
        <v>1</v>
      </c>
      <c r="G1279" t="str">
        <f t="shared" si="115"/>
        <v>1F469</v>
      </c>
      <c r="I1279">
        <f>HEX2DEC(Table1[[#This Row],[utf8]])</f>
        <v>128105</v>
      </c>
      <c r="J1279" t="str">
        <f>_xlfn.UNICHAR(HEX2DEC(Table1[[#This Row],[utf8]]))</f>
        <v>👩</v>
      </c>
      <c r="K1279" s="3" t="str" cm="1">
        <f t="array" ref="K1279">"Case "&amp;wRandomLetter()&amp;wRandomLetter()&amp;I1279&amp;":    UniConst = ChrW(" &amp; I1279 &amp;")"</f>
        <v>Case cx128105:    UniConst = ChrW(128105)</v>
      </c>
    </row>
    <row r="1280" spans="1:11" hidden="1">
      <c r="A1280" t="s">
        <v>2956</v>
      </c>
      <c r="B1280" t="str">
        <f t="shared" si="116"/>
        <v>1F469 1F3FE 200D 2764 200D 1F468 1F3FF ; minimally-qualified # 👩🏾‍❤‍👨🏿 E13.1 couple with heart: woman, man, medium-dark skin tone, dark skin tone</v>
      </c>
      <c r="C1280" t="str">
        <f t="shared" si="117"/>
        <v xml:space="preserve">1F469 1F3FE 200D 2764 200D 1F468 1F3FF </v>
      </c>
      <c r="D1280">
        <f t="shared" si="118"/>
        <v>39</v>
      </c>
      <c r="E1280" t="str">
        <f t="shared" si="114"/>
        <v xml:space="preserve"> 👩🏾‍❤‍👨🏿 E13.1 couple with heart: woman, man, medium-dark skin tone, dark skin tone</v>
      </c>
      <c r="F1280" t="b">
        <f t="shared" si="119"/>
        <v>1</v>
      </c>
      <c r="G1280" t="str">
        <f t="shared" si="115"/>
        <v>1F469</v>
      </c>
      <c r="I1280">
        <f>HEX2DEC(Table1[[#This Row],[utf8]])</f>
        <v>128105</v>
      </c>
      <c r="J1280" t="str">
        <f>_xlfn.UNICHAR(HEX2DEC(Table1[[#This Row],[utf8]]))</f>
        <v>👩</v>
      </c>
      <c r="K1280" s="3" t="str" cm="1">
        <f t="array" ref="K1280">"Case "&amp;wRandomLetter()&amp;wRandomLetter()&amp;I1280&amp;":    UniConst = ChrW(" &amp; I1280 &amp;")"</f>
        <v>Case iK128105:    UniConst = ChrW(128105)</v>
      </c>
    </row>
    <row r="1281" spans="1:11" hidden="1">
      <c r="A1281" t="s">
        <v>3052</v>
      </c>
      <c r="B1281" t="str">
        <f t="shared" si="116"/>
        <v>1F469 1F3FE 200D 2764 200D 1F469 1F3FB ; minimally-qualified # 👩🏾‍❤‍👩🏻 E13.1 couple with heart: woman, woman, medium-dark skin tone, light skin tone</v>
      </c>
      <c r="C1281" t="str">
        <f t="shared" si="117"/>
        <v xml:space="preserve">1F469 1F3FE 200D 2764 200D 1F469 1F3FB </v>
      </c>
      <c r="D1281">
        <f t="shared" si="118"/>
        <v>39</v>
      </c>
      <c r="E1281" t="str">
        <f t="shared" si="114"/>
        <v xml:space="preserve"> 👩🏾‍❤‍👩🏻 E13.1 couple with heart: woman, woman, medium-dark skin tone, light skin tone</v>
      </c>
      <c r="F1281" t="b">
        <f t="shared" si="119"/>
        <v>1</v>
      </c>
      <c r="G1281" t="str">
        <f t="shared" si="115"/>
        <v>1F469</v>
      </c>
      <c r="I1281">
        <f>HEX2DEC(Table1[[#This Row],[utf8]])</f>
        <v>128105</v>
      </c>
      <c r="J1281" t="str">
        <f>_xlfn.UNICHAR(HEX2DEC(Table1[[#This Row],[utf8]]))</f>
        <v>👩</v>
      </c>
      <c r="K1281" s="3" t="str" cm="1">
        <f t="array" ref="K1281">"Case "&amp;wRandomLetter()&amp;wRandomLetter()&amp;I1281&amp;":    UniConst = ChrW(" &amp; I1281 &amp;")"</f>
        <v>Case jg128105:    UniConst = ChrW(128105)</v>
      </c>
    </row>
    <row r="1282" spans="1:11" hidden="1">
      <c r="A1282" t="s">
        <v>3054</v>
      </c>
      <c r="B1282" t="str">
        <f t="shared" si="116"/>
        <v>1F469 1F3FE 200D 2764 200D 1F469 1F3FC ; minimally-qualified # 👩🏾‍❤‍👩🏼 E13.1 couple with heart: woman, woman, medium-dark skin tone, medium-light skin tone</v>
      </c>
      <c r="C1282" t="str">
        <f t="shared" si="117"/>
        <v xml:space="preserve">1F469 1F3FE 200D 2764 200D 1F469 1F3FC </v>
      </c>
      <c r="D1282">
        <f t="shared" si="118"/>
        <v>39</v>
      </c>
      <c r="E1282" t="str">
        <f t="shared" ref="E1282:E1345" si="120">MID(A1282,FIND("#",A1282)+1,256)</f>
        <v xml:space="preserve"> 👩🏾‍❤‍👩🏼 E13.1 couple with heart: woman, woman, medium-dark skin tone, medium-light skin tone</v>
      </c>
      <c r="F1282" t="b">
        <f t="shared" si="119"/>
        <v>1</v>
      </c>
      <c r="G1282" t="str">
        <f t="shared" ref="G1282:G1345" si="121">LEFT(C1282,(FIND(" ",C1282,1)-1))</f>
        <v>1F469</v>
      </c>
      <c r="I1282">
        <f>HEX2DEC(Table1[[#This Row],[utf8]])</f>
        <v>128105</v>
      </c>
      <c r="J1282" t="str">
        <f>_xlfn.UNICHAR(HEX2DEC(Table1[[#This Row],[utf8]]))</f>
        <v>👩</v>
      </c>
      <c r="K1282" s="3" t="str" cm="1">
        <f t="array" ref="K1282">"Case "&amp;wRandomLetter()&amp;wRandomLetter()&amp;I1282&amp;":    UniConst = ChrW(" &amp; I1282 &amp;")"</f>
        <v>Case IF128105:    UniConst = ChrW(128105)</v>
      </c>
    </row>
    <row r="1283" spans="1:11" hidden="1">
      <c r="A1283" t="s">
        <v>3056</v>
      </c>
      <c r="B1283" t="str">
        <f t="shared" ref="B1283:B1346" si="122">TRIM(A1283)</f>
        <v>1F469 1F3FE 200D 2764 200D 1F469 1F3FD ; minimally-qualified # 👩🏾‍❤‍👩🏽 E13.1 couple with heart: woman, woman, medium-dark skin tone, medium skin tone</v>
      </c>
      <c r="C1283" t="str">
        <f t="shared" ref="C1283:C1346" si="123">LEFT(B1283,(FIND(";",B1283,1)-1))</f>
        <v xml:space="preserve">1F469 1F3FE 200D 2764 200D 1F469 1F3FD </v>
      </c>
      <c r="D1283">
        <f t="shared" ref="D1283:D1346" si="124">LEN(C1283)</f>
        <v>39</v>
      </c>
      <c r="E1283" t="str">
        <f t="shared" si="120"/>
        <v xml:space="preserve"> 👩🏾‍❤‍👩🏽 E13.1 couple with heart: woman, woman, medium-dark skin tone, medium skin tone</v>
      </c>
      <c r="F1283" t="b">
        <f t="shared" ref="F1283:F1346" si="125">IF(LEFT(C1283,2)="1F",TRUE,FALSE)</f>
        <v>1</v>
      </c>
      <c r="G1283" t="str">
        <f t="shared" si="121"/>
        <v>1F469</v>
      </c>
      <c r="I1283">
        <f>HEX2DEC(Table1[[#This Row],[utf8]])</f>
        <v>128105</v>
      </c>
      <c r="J1283" t="str">
        <f>_xlfn.UNICHAR(HEX2DEC(Table1[[#This Row],[utf8]]))</f>
        <v>👩</v>
      </c>
      <c r="K1283" s="3" t="str" cm="1">
        <f t="array" ref="K1283">"Case "&amp;wRandomLetter()&amp;wRandomLetter()&amp;I1283&amp;":    UniConst = ChrW(" &amp; I1283 &amp;")"</f>
        <v>Case ac128105:    UniConst = ChrW(128105)</v>
      </c>
    </row>
    <row r="1284" spans="1:11" hidden="1">
      <c r="A1284" t="s">
        <v>3058</v>
      </c>
      <c r="B1284" t="str">
        <f t="shared" si="122"/>
        <v>1F469 1F3FE 200D 2764 200D 1F469 1F3FE ; minimally-qualified # 👩🏾‍❤‍👩🏾 E13.1 couple with heart: woman, woman, medium-dark skin tone</v>
      </c>
      <c r="C1284" t="str">
        <f t="shared" si="123"/>
        <v xml:space="preserve">1F469 1F3FE 200D 2764 200D 1F469 1F3FE </v>
      </c>
      <c r="D1284">
        <f t="shared" si="124"/>
        <v>39</v>
      </c>
      <c r="E1284" t="str">
        <f t="shared" si="120"/>
        <v xml:space="preserve"> 👩🏾‍❤‍👩🏾 E13.1 couple with heart: woman, woman, medium-dark skin tone</v>
      </c>
      <c r="F1284" t="b">
        <f t="shared" si="125"/>
        <v>1</v>
      </c>
      <c r="G1284" t="str">
        <f t="shared" si="121"/>
        <v>1F469</v>
      </c>
      <c r="I1284">
        <f>HEX2DEC(Table1[[#This Row],[utf8]])</f>
        <v>128105</v>
      </c>
      <c r="J1284" t="str">
        <f>_xlfn.UNICHAR(HEX2DEC(Table1[[#This Row],[utf8]]))</f>
        <v>👩</v>
      </c>
      <c r="K1284" s="3" t="str" cm="1">
        <f t="array" ref="K1284">"Case "&amp;wRandomLetter()&amp;wRandomLetter()&amp;I1284&amp;":    UniConst = ChrW(" &amp; I1284 &amp;")"</f>
        <v>Case Je128105:    UniConst = ChrW(128105)</v>
      </c>
    </row>
    <row r="1285" spans="1:11" hidden="1">
      <c r="A1285" t="s">
        <v>3060</v>
      </c>
      <c r="B1285" t="str">
        <f t="shared" si="122"/>
        <v>1F469 1F3FE 200D 2764 200D 1F469 1F3FF ; minimally-qualified # 👩🏾‍❤‍👩🏿 E13.1 couple with heart: woman, woman, medium-dark skin tone, dark skin tone</v>
      </c>
      <c r="C1285" t="str">
        <f t="shared" si="123"/>
        <v xml:space="preserve">1F469 1F3FE 200D 2764 200D 1F469 1F3FF </v>
      </c>
      <c r="D1285">
        <f t="shared" si="124"/>
        <v>39</v>
      </c>
      <c r="E1285" t="str">
        <f t="shared" si="120"/>
        <v xml:space="preserve"> 👩🏾‍❤‍👩🏿 E13.1 couple with heart: woman, woman, medium-dark skin tone, dark skin tone</v>
      </c>
      <c r="F1285" t="b">
        <f t="shared" si="125"/>
        <v>1</v>
      </c>
      <c r="G1285" t="str">
        <f t="shared" si="121"/>
        <v>1F469</v>
      </c>
      <c r="I1285">
        <f>HEX2DEC(Table1[[#This Row],[utf8]])</f>
        <v>128105</v>
      </c>
      <c r="J1285" t="str">
        <f>_xlfn.UNICHAR(HEX2DEC(Table1[[#This Row],[utf8]]))</f>
        <v>👩</v>
      </c>
      <c r="K1285" s="3" t="str" cm="1">
        <f t="array" ref="K1285">"Case "&amp;wRandomLetter()&amp;wRandomLetter()&amp;I1285&amp;":    UniConst = ChrW(" &amp; I1285 &amp;")"</f>
        <v>Case wv128105:    UniConst = ChrW(128105)</v>
      </c>
    </row>
    <row r="1286" spans="1:11" hidden="1">
      <c r="A1286" t="s">
        <v>2746</v>
      </c>
      <c r="B1286" t="str">
        <f t="shared" si="122"/>
        <v>1F469 1F3FE 200D 2764 200D 1F48B 200D 1F468 1F3FB ; minimally-qualified # 👩🏾‍❤‍💋‍👨🏻 E13.1 kiss: woman, man, medium-dark skin tone, light skin tone</v>
      </c>
      <c r="C1286" t="str">
        <f t="shared" si="123"/>
        <v xml:space="preserve">1F469 1F3FE 200D 2764 200D 1F48B 200D 1F468 1F3FB </v>
      </c>
      <c r="D1286">
        <f t="shared" si="124"/>
        <v>50</v>
      </c>
      <c r="E1286" t="str">
        <f t="shared" si="120"/>
        <v xml:space="preserve"> 👩🏾‍❤‍💋‍👨🏻 E13.1 kiss: woman, man, medium-dark skin tone, light skin tone</v>
      </c>
      <c r="F1286" t="b">
        <f t="shared" si="125"/>
        <v>1</v>
      </c>
      <c r="G1286" t="str">
        <f t="shared" si="121"/>
        <v>1F469</v>
      </c>
      <c r="I1286">
        <f>HEX2DEC(Table1[[#This Row],[utf8]])</f>
        <v>128105</v>
      </c>
      <c r="J1286" t="str">
        <f>_xlfn.UNICHAR(HEX2DEC(Table1[[#This Row],[utf8]]))</f>
        <v>👩</v>
      </c>
      <c r="K1286" s="3" t="str" cm="1">
        <f t="array" ref="K1286">"Case "&amp;wRandomLetter()&amp;wRandomLetter()&amp;I1286&amp;":    UniConst = ChrW(" &amp; I1286 &amp;")"</f>
        <v>Case DC128105:    UniConst = ChrW(128105)</v>
      </c>
    </row>
    <row r="1287" spans="1:11" hidden="1">
      <c r="A1287" t="s">
        <v>2748</v>
      </c>
      <c r="B1287" t="str">
        <f t="shared" si="122"/>
        <v>1F469 1F3FE 200D 2764 200D 1F48B 200D 1F468 1F3FC ; minimally-qualified # 👩🏾‍❤‍💋‍👨🏼 E13.1 kiss: woman, man, medium-dark skin tone, medium-light skin tone</v>
      </c>
      <c r="C1287" t="str">
        <f t="shared" si="123"/>
        <v xml:space="preserve">1F469 1F3FE 200D 2764 200D 1F48B 200D 1F468 1F3FC </v>
      </c>
      <c r="D1287">
        <f t="shared" si="124"/>
        <v>50</v>
      </c>
      <c r="E1287" t="str">
        <f t="shared" si="120"/>
        <v xml:space="preserve"> 👩🏾‍❤‍💋‍👨🏼 E13.1 kiss: woman, man, medium-dark skin tone, medium-light skin tone</v>
      </c>
      <c r="F1287" t="b">
        <f t="shared" si="125"/>
        <v>1</v>
      </c>
      <c r="G1287" t="str">
        <f t="shared" si="121"/>
        <v>1F469</v>
      </c>
      <c r="I1287">
        <f>HEX2DEC(Table1[[#This Row],[utf8]])</f>
        <v>128105</v>
      </c>
      <c r="J1287" t="str">
        <f>_xlfn.UNICHAR(HEX2DEC(Table1[[#This Row],[utf8]]))</f>
        <v>👩</v>
      </c>
      <c r="K1287" s="3" t="str" cm="1">
        <f t="array" ref="K1287">"Case "&amp;wRandomLetter()&amp;wRandomLetter()&amp;I1287&amp;":    UniConst = ChrW(" &amp; I1287 &amp;")"</f>
        <v>Case vN128105:    UniConst = ChrW(128105)</v>
      </c>
    </row>
    <row r="1288" spans="1:11" hidden="1">
      <c r="A1288" t="s">
        <v>2750</v>
      </c>
      <c r="B1288" t="str">
        <f t="shared" si="122"/>
        <v>1F469 1F3FE 200D 2764 200D 1F48B 200D 1F468 1F3FD ; minimally-qualified # 👩🏾‍❤‍💋‍👨🏽 E13.1 kiss: woman, man, medium-dark skin tone, medium skin tone</v>
      </c>
      <c r="C1288" t="str">
        <f t="shared" si="123"/>
        <v xml:space="preserve">1F469 1F3FE 200D 2764 200D 1F48B 200D 1F468 1F3FD </v>
      </c>
      <c r="D1288">
        <f t="shared" si="124"/>
        <v>50</v>
      </c>
      <c r="E1288" t="str">
        <f t="shared" si="120"/>
        <v xml:space="preserve"> 👩🏾‍❤‍💋‍👨🏽 E13.1 kiss: woman, man, medium-dark skin tone, medium skin tone</v>
      </c>
      <c r="F1288" t="b">
        <f t="shared" si="125"/>
        <v>1</v>
      </c>
      <c r="G1288" t="str">
        <f t="shared" si="121"/>
        <v>1F469</v>
      </c>
      <c r="I1288">
        <f>HEX2DEC(Table1[[#This Row],[utf8]])</f>
        <v>128105</v>
      </c>
      <c r="J1288" t="str">
        <f>_xlfn.UNICHAR(HEX2DEC(Table1[[#This Row],[utf8]]))</f>
        <v>👩</v>
      </c>
      <c r="K1288" s="3" t="str" cm="1">
        <f t="array" ref="K1288">"Case "&amp;wRandomLetter()&amp;wRandomLetter()&amp;I1288&amp;":    UniConst = ChrW(" &amp; I1288 &amp;")"</f>
        <v>Case bB128105:    UniConst = ChrW(128105)</v>
      </c>
    </row>
    <row r="1289" spans="1:11" hidden="1">
      <c r="A1289" t="s">
        <v>2752</v>
      </c>
      <c r="B1289" t="str">
        <f t="shared" si="122"/>
        <v>1F469 1F3FE 200D 2764 200D 1F48B 200D 1F468 1F3FE ; minimally-qualified # 👩🏾‍❤‍💋‍👨🏾 E13.1 kiss: woman, man, medium-dark skin tone</v>
      </c>
      <c r="C1289" t="str">
        <f t="shared" si="123"/>
        <v xml:space="preserve">1F469 1F3FE 200D 2764 200D 1F48B 200D 1F468 1F3FE </v>
      </c>
      <c r="D1289">
        <f t="shared" si="124"/>
        <v>50</v>
      </c>
      <c r="E1289" t="str">
        <f t="shared" si="120"/>
        <v xml:space="preserve"> 👩🏾‍❤‍💋‍👨🏾 E13.1 kiss: woman, man, medium-dark skin tone</v>
      </c>
      <c r="F1289" t="b">
        <f t="shared" si="125"/>
        <v>1</v>
      </c>
      <c r="G1289" t="str">
        <f t="shared" si="121"/>
        <v>1F469</v>
      </c>
      <c r="I1289">
        <f>HEX2DEC(Table1[[#This Row],[utf8]])</f>
        <v>128105</v>
      </c>
      <c r="J1289" t="str">
        <f>_xlfn.UNICHAR(HEX2DEC(Table1[[#This Row],[utf8]]))</f>
        <v>👩</v>
      </c>
      <c r="K1289" s="3" t="str" cm="1">
        <f t="array" ref="K1289">"Case "&amp;wRandomLetter()&amp;wRandomLetter()&amp;I1289&amp;":    UniConst = ChrW(" &amp; I1289 &amp;")"</f>
        <v>Case AQ128105:    UniConst = ChrW(128105)</v>
      </c>
    </row>
    <row r="1290" spans="1:11" hidden="1">
      <c r="A1290" t="s">
        <v>2754</v>
      </c>
      <c r="B1290" t="str">
        <f t="shared" si="122"/>
        <v>1F469 1F3FE 200D 2764 200D 1F48B 200D 1F468 1F3FF ; minimally-qualified # 👩🏾‍❤‍💋‍👨🏿 E13.1 kiss: woman, man, medium-dark skin tone, dark skin tone</v>
      </c>
      <c r="C1290" t="str">
        <f t="shared" si="123"/>
        <v xml:space="preserve">1F469 1F3FE 200D 2764 200D 1F48B 200D 1F468 1F3FF </v>
      </c>
      <c r="D1290">
        <f t="shared" si="124"/>
        <v>50</v>
      </c>
      <c r="E1290" t="str">
        <f t="shared" si="120"/>
        <v xml:space="preserve"> 👩🏾‍❤‍💋‍👨🏿 E13.1 kiss: woman, man, medium-dark skin tone, dark skin tone</v>
      </c>
      <c r="F1290" t="b">
        <f t="shared" si="125"/>
        <v>1</v>
      </c>
      <c r="G1290" t="str">
        <f t="shared" si="121"/>
        <v>1F469</v>
      </c>
      <c r="I1290">
        <f>HEX2DEC(Table1[[#This Row],[utf8]])</f>
        <v>128105</v>
      </c>
      <c r="J1290" t="str">
        <f>_xlfn.UNICHAR(HEX2DEC(Table1[[#This Row],[utf8]]))</f>
        <v>👩</v>
      </c>
      <c r="K1290" s="3" t="str" cm="1">
        <f t="array" ref="K1290">"Case "&amp;wRandomLetter()&amp;wRandomLetter()&amp;I1290&amp;":    UniConst = ChrW(" &amp; I1290 &amp;")"</f>
        <v>Case QM128105:    UniConst = ChrW(128105)</v>
      </c>
    </row>
    <row r="1291" spans="1:11" hidden="1">
      <c r="A1291" t="s">
        <v>2850</v>
      </c>
      <c r="B1291" t="str">
        <f t="shared" si="122"/>
        <v>1F469 1F3FE 200D 2764 200D 1F48B 200D 1F469 1F3FB ; minimally-qualified # 👩🏾‍❤‍💋‍👩🏻 E13.1 kiss: woman, woman, medium-dark skin tone, light skin tone</v>
      </c>
      <c r="C1291" t="str">
        <f t="shared" si="123"/>
        <v xml:space="preserve">1F469 1F3FE 200D 2764 200D 1F48B 200D 1F469 1F3FB </v>
      </c>
      <c r="D1291">
        <f t="shared" si="124"/>
        <v>50</v>
      </c>
      <c r="E1291" t="str">
        <f t="shared" si="120"/>
        <v xml:space="preserve"> 👩🏾‍❤‍💋‍👩🏻 E13.1 kiss: woman, woman, medium-dark skin tone, light skin tone</v>
      </c>
      <c r="F1291" t="b">
        <f t="shared" si="125"/>
        <v>1</v>
      </c>
      <c r="G1291" t="str">
        <f t="shared" si="121"/>
        <v>1F469</v>
      </c>
      <c r="I1291">
        <f>HEX2DEC(Table1[[#This Row],[utf8]])</f>
        <v>128105</v>
      </c>
      <c r="J1291" t="str">
        <f>_xlfn.UNICHAR(HEX2DEC(Table1[[#This Row],[utf8]]))</f>
        <v>👩</v>
      </c>
      <c r="K1291" s="3" t="str" cm="1">
        <f t="array" ref="K1291">"Case "&amp;wRandomLetter()&amp;wRandomLetter()&amp;I1291&amp;":    UniConst = ChrW(" &amp; I1291 &amp;")"</f>
        <v>Case yJ128105:    UniConst = ChrW(128105)</v>
      </c>
    </row>
    <row r="1292" spans="1:11" hidden="1">
      <c r="A1292" t="s">
        <v>2852</v>
      </c>
      <c r="B1292" t="str">
        <f t="shared" si="122"/>
        <v>1F469 1F3FE 200D 2764 200D 1F48B 200D 1F469 1F3FC ; minimally-qualified # 👩🏾‍❤‍💋‍👩🏼 E13.1 kiss: woman, woman, medium-dark skin tone, medium-light skin tone</v>
      </c>
      <c r="C1292" t="str">
        <f t="shared" si="123"/>
        <v xml:space="preserve">1F469 1F3FE 200D 2764 200D 1F48B 200D 1F469 1F3FC </v>
      </c>
      <c r="D1292">
        <f t="shared" si="124"/>
        <v>50</v>
      </c>
      <c r="E1292" t="str">
        <f t="shared" si="120"/>
        <v xml:space="preserve"> 👩🏾‍❤‍💋‍👩🏼 E13.1 kiss: woman, woman, medium-dark skin tone, medium-light skin tone</v>
      </c>
      <c r="F1292" t="b">
        <f t="shared" si="125"/>
        <v>1</v>
      </c>
      <c r="G1292" t="str">
        <f t="shared" si="121"/>
        <v>1F469</v>
      </c>
      <c r="I1292">
        <f>HEX2DEC(Table1[[#This Row],[utf8]])</f>
        <v>128105</v>
      </c>
      <c r="J1292" t="str">
        <f>_xlfn.UNICHAR(HEX2DEC(Table1[[#This Row],[utf8]]))</f>
        <v>👩</v>
      </c>
      <c r="K1292" s="3" t="str" cm="1">
        <f t="array" ref="K1292">"Case "&amp;wRandomLetter()&amp;wRandomLetter()&amp;I1292&amp;":    UniConst = ChrW(" &amp; I1292 &amp;")"</f>
        <v>Case ks128105:    UniConst = ChrW(128105)</v>
      </c>
    </row>
    <row r="1293" spans="1:11" hidden="1">
      <c r="A1293" t="s">
        <v>2854</v>
      </c>
      <c r="B1293" t="str">
        <f t="shared" si="122"/>
        <v>1F469 1F3FE 200D 2764 200D 1F48B 200D 1F469 1F3FD ; minimally-qualified # 👩🏾‍❤‍💋‍👩🏽 E13.1 kiss: woman, woman, medium-dark skin tone, medium skin tone</v>
      </c>
      <c r="C1293" t="str">
        <f t="shared" si="123"/>
        <v xml:space="preserve">1F469 1F3FE 200D 2764 200D 1F48B 200D 1F469 1F3FD </v>
      </c>
      <c r="D1293">
        <f t="shared" si="124"/>
        <v>50</v>
      </c>
      <c r="E1293" t="str">
        <f t="shared" si="120"/>
        <v xml:space="preserve"> 👩🏾‍❤‍💋‍👩🏽 E13.1 kiss: woman, woman, medium-dark skin tone, medium skin tone</v>
      </c>
      <c r="F1293" t="b">
        <f t="shared" si="125"/>
        <v>1</v>
      </c>
      <c r="G1293" t="str">
        <f t="shared" si="121"/>
        <v>1F469</v>
      </c>
      <c r="I1293">
        <f>HEX2DEC(Table1[[#This Row],[utf8]])</f>
        <v>128105</v>
      </c>
      <c r="J1293" t="str">
        <f>_xlfn.UNICHAR(HEX2DEC(Table1[[#This Row],[utf8]]))</f>
        <v>👩</v>
      </c>
      <c r="K1293" s="3" t="str" cm="1">
        <f t="array" ref="K1293">"Case "&amp;wRandomLetter()&amp;wRandomLetter()&amp;I1293&amp;":    UniConst = ChrW(" &amp; I1293 &amp;")"</f>
        <v>Case Ym128105:    UniConst = ChrW(128105)</v>
      </c>
    </row>
    <row r="1294" spans="1:11" hidden="1">
      <c r="A1294" t="s">
        <v>2856</v>
      </c>
      <c r="B1294" t="str">
        <f t="shared" si="122"/>
        <v>1F469 1F3FE 200D 2764 200D 1F48B 200D 1F469 1F3FE ; minimally-qualified # 👩🏾‍❤‍💋‍👩🏾 E13.1 kiss: woman, woman, medium-dark skin tone</v>
      </c>
      <c r="C1294" t="str">
        <f t="shared" si="123"/>
        <v xml:space="preserve">1F469 1F3FE 200D 2764 200D 1F48B 200D 1F469 1F3FE </v>
      </c>
      <c r="D1294">
        <f t="shared" si="124"/>
        <v>50</v>
      </c>
      <c r="E1294" t="str">
        <f t="shared" si="120"/>
        <v xml:space="preserve"> 👩🏾‍❤‍💋‍👩🏾 E13.1 kiss: woman, woman, medium-dark skin tone</v>
      </c>
      <c r="F1294" t="b">
        <f t="shared" si="125"/>
        <v>1</v>
      </c>
      <c r="G1294" t="str">
        <f t="shared" si="121"/>
        <v>1F469</v>
      </c>
      <c r="I1294">
        <f>HEX2DEC(Table1[[#This Row],[utf8]])</f>
        <v>128105</v>
      </c>
      <c r="J1294" t="str">
        <f>_xlfn.UNICHAR(HEX2DEC(Table1[[#This Row],[utf8]]))</f>
        <v>👩</v>
      </c>
      <c r="K1294" s="3" t="str" cm="1">
        <f t="array" ref="K1294">"Case "&amp;wRandomLetter()&amp;wRandomLetter()&amp;I1294&amp;":    UniConst = ChrW(" &amp; I1294 &amp;")"</f>
        <v>Case Ir128105:    UniConst = ChrW(128105)</v>
      </c>
    </row>
    <row r="1295" spans="1:11" hidden="1">
      <c r="A1295" t="s">
        <v>2858</v>
      </c>
      <c r="B1295" t="str">
        <f t="shared" si="122"/>
        <v>1F469 1F3FE 200D 2764 200D 1F48B 200D 1F469 1F3FF ; minimally-qualified # 👩🏾‍❤‍💋‍👩🏿 E13.1 kiss: woman, woman, medium-dark skin tone, dark skin tone</v>
      </c>
      <c r="C1295" t="str">
        <f t="shared" si="123"/>
        <v xml:space="preserve">1F469 1F3FE 200D 2764 200D 1F48B 200D 1F469 1F3FF </v>
      </c>
      <c r="D1295">
        <f t="shared" si="124"/>
        <v>50</v>
      </c>
      <c r="E1295" t="str">
        <f t="shared" si="120"/>
        <v xml:space="preserve"> 👩🏾‍❤‍💋‍👩🏿 E13.1 kiss: woman, woman, medium-dark skin tone, dark skin tone</v>
      </c>
      <c r="F1295" t="b">
        <f t="shared" si="125"/>
        <v>1</v>
      </c>
      <c r="G1295" t="str">
        <f t="shared" si="121"/>
        <v>1F469</v>
      </c>
      <c r="I1295">
        <f>HEX2DEC(Table1[[#This Row],[utf8]])</f>
        <v>128105</v>
      </c>
      <c r="J1295" t="str">
        <f>_xlfn.UNICHAR(HEX2DEC(Table1[[#This Row],[utf8]]))</f>
        <v>👩</v>
      </c>
      <c r="K1295" s="3" t="str" cm="1">
        <f t="array" ref="K1295">"Case "&amp;wRandomLetter()&amp;wRandomLetter()&amp;I1295&amp;":    UniConst = ChrW(" &amp; I1295 &amp;")"</f>
        <v>Case KG128105:    UniConst = ChrW(128105)</v>
      </c>
    </row>
    <row r="1296" spans="1:11" hidden="1">
      <c r="A1296" t="s">
        <v>2947</v>
      </c>
      <c r="B1296" t="str">
        <f t="shared" si="122"/>
        <v>1F469 1F3FE 200D 2764 FE0F 200D 1F468 1F3FB ; fully-qualified # 👩🏾‍❤️‍👨🏻 E13.1 couple with heart: woman, man, medium-dark skin tone, light skin tone</v>
      </c>
      <c r="C1296" t="str">
        <f t="shared" si="123"/>
        <v xml:space="preserve">1F469 1F3FE 200D 2764 FE0F 200D 1F468 1F3FB </v>
      </c>
      <c r="D1296">
        <f t="shared" si="124"/>
        <v>44</v>
      </c>
      <c r="E1296" t="str">
        <f t="shared" si="120"/>
        <v xml:space="preserve"> 👩🏾‍❤️‍👨🏻 E13.1 couple with heart: woman, man, medium-dark skin tone, light skin tone</v>
      </c>
      <c r="F1296" t="b">
        <f t="shared" si="125"/>
        <v>1</v>
      </c>
      <c r="G1296" t="str">
        <f t="shared" si="121"/>
        <v>1F469</v>
      </c>
      <c r="I1296">
        <f>HEX2DEC(Table1[[#This Row],[utf8]])</f>
        <v>128105</v>
      </c>
      <c r="J1296" t="str">
        <f>_xlfn.UNICHAR(HEX2DEC(Table1[[#This Row],[utf8]]))</f>
        <v>👩</v>
      </c>
      <c r="K1296" s="3" t="str" cm="1">
        <f t="array" ref="K1296">"Case "&amp;wRandomLetter()&amp;wRandomLetter()&amp;I1296&amp;":    UniConst = ChrW(" &amp; I1296 &amp;")"</f>
        <v>Case zz128105:    UniConst = ChrW(128105)</v>
      </c>
    </row>
    <row r="1297" spans="1:11" hidden="1">
      <c r="A1297" t="s">
        <v>2949</v>
      </c>
      <c r="B1297" t="str">
        <f t="shared" si="122"/>
        <v>1F469 1F3FE 200D 2764 FE0F 200D 1F468 1F3FC ; fully-qualified # 👩🏾‍❤️‍👨🏼 E13.1 couple with heart: woman, man, medium-dark skin tone, medium-light skin tone</v>
      </c>
      <c r="C1297" t="str">
        <f t="shared" si="123"/>
        <v xml:space="preserve">1F469 1F3FE 200D 2764 FE0F 200D 1F468 1F3FC </v>
      </c>
      <c r="D1297">
        <f t="shared" si="124"/>
        <v>44</v>
      </c>
      <c r="E1297" t="str">
        <f t="shared" si="120"/>
        <v xml:space="preserve"> 👩🏾‍❤️‍👨🏼 E13.1 couple with heart: woman, man, medium-dark skin tone, medium-light skin tone</v>
      </c>
      <c r="F1297" t="b">
        <f t="shared" si="125"/>
        <v>1</v>
      </c>
      <c r="G1297" t="str">
        <f t="shared" si="121"/>
        <v>1F469</v>
      </c>
      <c r="I1297">
        <f>HEX2DEC(Table1[[#This Row],[utf8]])</f>
        <v>128105</v>
      </c>
      <c r="J1297" t="str">
        <f>_xlfn.UNICHAR(HEX2DEC(Table1[[#This Row],[utf8]]))</f>
        <v>👩</v>
      </c>
      <c r="K1297" s="3" t="str" cm="1">
        <f t="array" ref="K1297">"Case "&amp;wRandomLetter()&amp;wRandomLetter()&amp;I1297&amp;":    UniConst = ChrW(" &amp; I1297 &amp;")"</f>
        <v>Case aV128105:    UniConst = ChrW(128105)</v>
      </c>
    </row>
    <row r="1298" spans="1:11" hidden="1">
      <c r="A1298" t="s">
        <v>2951</v>
      </c>
      <c r="B1298" t="str">
        <f t="shared" si="122"/>
        <v>1F469 1F3FE 200D 2764 FE0F 200D 1F468 1F3FD ; fully-qualified # 👩🏾‍❤️‍👨🏽 E13.1 couple with heart: woman, man, medium-dark skin tone, medium skin tone</v>
      </c>
      <c r="C1298" t="str">
        <f t="shared" si="123"/>
        <v xml:space="preserve">1F469 1F3FE 200D 2764 FE0F 200D 1F468 1F3FD </v>
      </c>
      <c r="D1298">
        <f t="shared" si="124"/>
        <v>44</v>
      </c>
      <c r="E1298" t="str">
        <f t="shared" si="120"/>
        <v xml:space="preserve"> 👩🏾‍❤️‍👨🏽 E13.1 couple with heart: woman, man, medium-dark skin tone, medium skin tone</v>
      </c>
      <c r="F1298" t="b">
        <f t="shared" si="125"/>
        <v>1</v>
      </c>
      <c r="G1298" t="str">
        <f t="shared" si="121"/>
        <v>1F469</v>
      </c>
      <c r="I1298">
        <f>HEX2DEC(Table1[[#This Row],[utf8]])</f>
        <v>128105</v>
      </c>
      <c r="J1298" t="str">
        <f>_xlfn.UNICHAR(HEX2DEC(Table1[[#This Row],[utf8]]))</f>
        <v>👩</v>
      </c>
      <c r="K1298" s="3" t="str" cm="1">
        <f t="array" ref="K1298">"Case "&amp;wRandomLetter()&amp;wRandomLetter()&amp;I1298&amp;":    UniConst = ChrW(" &amp; I1298 &amp;")"</f>
        <v>Case lD128105:    UniConst = ChrW(128105)</v>
      </c>
    </row>
    <row r="1299" spans="1:11" hidden="1">
      <c r="A1299" t="s">
        <v>2953</v>
      </c>
      <c r="B1299" t="str">
        <f t="shared" si="122"/>
        <v>1F469 1F3FE 200D 2764 FE0F 200D 1F468 1F3FE ; fully-qualified # 👩🏾‍❤️‍👨🏾 E13.1 couple with heart: woman, man, medium-dark skin tone</v>
      </c>
      <c r="C1299" t="str">
        <f t="shared" si="123"/>
        <v xml:space="preserve">1F469 1F3FE 200D 2764 FE0F 200D 1F468 1F3FE </v>
      </c>
      <c r="D1299">
        <f t="shared" si="124"/>
        <v>44</v>
      </c>
      <c r="E1299" t="str">
        <f t="shared" si="120"/>
        <v xml:space="preserve"> 👩🏾‍❤️‍👨🏾 E13.1 couple with heart: woman, man, medium-dark skin tone</v>
      </c>
      <c r="F1299" t="b">
        <f t="shared" si="125"/>
        <v>1</v>
      </c>
      <c r="G1299" t="str">
        <f t="shared" si="121"/>
        <v>1F469</v>
      </c>
      <c r="I1299">
        <f>HEX2DEC(Table1[[#This Row],[utf8]])</f>
        <v>128105</v>
      </c>
      <c r="J1299" t="str">
        <f>_xlfn.UNICHAR(HEX2DEC(Table1[[#This Row],[utf8]]))</f>
        <v>👩</v>
      </c>
      <c r="K1299" s="3" t="str" cm="1">
        <f t="array" ref="K1299">"Case "&amp;wRandomLetter()&amp;wRandomLetter()&amp;I1299&amp;":    UniConst = ChrW(" &amp; I1299 &amp;")"</f>
        <v>Case mN128105:    UniConst = ChrW(128105)</v>
      </c>
    </row>
    <row r="1300" spans="1:11" hidden="1">
      <c r="A1300" t="s">
        <v>2955</v>
      </c>
      <c r="B1300" t="str">
        <f t="shared" si="122"/>
        <v>1F469 1F3FE 200D 2764 FE0F 200D 1F468 1F3FF ; fully-qualified # 👩🏾‍❤️‍👨🏿 E13.1 couple with heart: woman, man, medium-dark skin tone, dark skin tone</v>
      </c>
      <c r="C1300" t="str">
        <f t="shared" si="123"/>
        <v xml:space="preserve">1F469 1F3FE 200D 2764 FE0F 200D 1F468 1F3FF </v>
      </c>
      <c r="D1300">
        <f t="shared" si="124"/>
        <v>44</v>
      </c>
      <c r="E1300" t="str">
        <f t="shared" si="120"/>
        <v xml:space="preserve"> 👩🏾‍❤️‍👨🏿 E13.1 couple with heart: woman, man, medium-dark skin tone, dark skin tone</v>
      </c>
      <c r="F1300" t="b">
        <f t="shared" si="125"/>
        <v>1</v>
      </c>
      <c r="G1300" t="str">
        <f t="shared" si="121"/>
        <v>1F469</v>
      </c>
      <c r="I1300">
        <f>HEX2DEC(Table1[[#This Row],[utf8]])</f>
        <v>128105</v>
      </c>
      <c r="J1300" t="str">
        <f>_xlfn.UNICHAR(HEX2DEC(Table1[[#This Row],[utf8]]))</f>
        <v>👩</v>
      </c>
      <c r="K1300" s="3" t="str" cm="1">
        <f t="array" ref="K1300">"Case "&amp;wRandomLetter()&amp;wRandomLetter()&amp;I1300&amp;":    UniConst = ChrW(" &amp; I1300 &amp;")"</f>
        <v>Case fN128105:    UniConst = ChrW(128105)</v>
      </c>
    </row>
    <row r="1301" spans="1:11" hidden="1">
      <c r="A1301" t="s">
        <v>3051</v>
      </c>
      <c r="B1301" t="str">
        <f t="shared" si="122"/>
        <v>1F469 1F3FE 200D 2764 FE0F 200D 1F469 1F3FB ; fully-qualified # 👩🏾‍❤️‍👩🏻 E13.1 couple with heart: woman, woman, medium-dark skin tone, light skin tone</v>
      </c>
      <c r="C1301" t="str">
        <f t="shared" si="123"/>
        <v xml:space="preserve">1F469 1F3FE 200D 2764 FE0F 200D 1F469 1F3FB </v>
      </c>
      <c r="D1301">
        <f t="shared" si="124"/>
        <v>44</v>
      </c>
      <c r="E1301" t="str">
        <f t="shared" si="120"/>
        <v xml:space="preserve"> 👩🏾‍❤️‍👩🏻 E13.1 couple with heart: woman, woman, medium-dark skin tone, light skin tone</v>
      </c>
      <c r="F1301" t="b">
        <f t="shared" si="125"/>
        <v>1</v>
      </c>
      <c r="G1301" t="str">
        <f t="shared" si="121"/>
        <v>1F469</v>
      </c>
      <c r="I1301">
        <f>HEX2DEC(Table1[[#This Row],[utf8]])</f>
        <v>128105</v>
      </c>
      <c r="J1301" t="str">
        <f>_xlfn.UNICHAR(HEX2DEC(Table1[[#This Row],[utf8]]))</f>
        <v>👩</v>
      </c>
      <c r="K1301" s="3" t="str" cm="1">
        <f t="array" ref="K1301">"Case "&amp;wRandomLetter()&amp;wRandomLetter()&amp;I1301&amp;":    UniConst = ChrW(" &amp; I1301 &amp;")"</f>
        <v>Case JQ128105:    UniConst = ChrW(128105)</v>
      </c>
    </row>
    <row r="1302" spans="1:11" hidden="1">
      <c r="A1302" t="s">
        <v>3053</v>
      </c>
      <c r="B1302" t="str">
        <f t="shared" si="122"/>
        <v>1F469 1F3FE 200D 2764 FE0F 200D 1F469 1F3FC ; fully-qualified # 👩🏾‍❤️‍👩🏼 E13.1 couple with heart: woman, woman, medium-dark skin tone, medium-light skin tone</v>
      </c>
      <c r="C1302" t="str">
        <f t="shared" si="123"/>
        <v xml:space="preserve">1F469 1F3FE 200D 2764 FE0F 200D 1F469 1F3FC </v>
      </c>
      <c r="D1302">
        <f t="shared" si="124"/>
        <v>44</v>
      </c>
      <c r="E1302" t="str">
        <f t="shared" si="120"/>
        <v xml:space="preserve"> 👩🏾‍❤️‍👩🏼 E13.1 couple with heart: woman, woman, medium-dark skin tone, medium-light skin tone</v>
      </c>
      <c r="F1302" t="b">
        <f t="shared" si="125"/>
        <v>1</v>
      </c>
      <c r="G1302" t="str">
        <f t="shared" si="121"/>
        <v>1F469</v>
      </c>
      <c r="I1302">
        <f>HEX2DEC(Table1[[#This Row],[utf8]])</f>
        <v>128105</v>
      </c>
      <c r="J1302" t="str">
        <f>_xlfn.UNICHAR(HEX2DEC(Table1[[#This Row],[utf8]]))</f>
        <v>👩</v>
      </c>
      <c r="K1302" s="3" t="str" cm="1">
        <f t="array" ref="K1302">"Case "&amp;wRandomLetter()&amp;wRandomLetter()&amp;I1302&amp;":    UniConst = ChrW(" &amp; I1302 &amp;")"</f>
        <v>Case uQ128105:    UniConst = ChrW(128105)</v>
      </c>
    </row>
    <row r="1303" spans="1:11" hidden="1">
      <c r="A1303" t="s">
        <v>3055</v>
      </c>
      <c r="B1303" t="str">
        <f t="shared" si="122"/>
        <v>1F469 1F3FE 200D 2764 FE0F 200D 1F469 1F3FD ; fully-qualified # 👩🏾‍❤️‍👩🏽 E13.1 couple with heart: woman, woman, medium-dark skin tone, medium skin tone</v>
      </c>
      <c r="C1303" t="str">
        <f t="shared" si="123"/>
        <v xml:space="preserve">1F469 1F3FE 200D 2764 FE0F 200D 1F469 1F3FD </v>
      </c>
      <c r="D1303">
        <f t="shared" si="124"/>
        <v>44</v>
      </c>
      <c r="E1303" t="str">
        <f t="shared" si="120"/>
        <v xml:space="preserve"> 👩🏾‍❤️‍👩🏽 E13.1 couple with heart: woman, woman, medium-dark skin tone, medium skin tone</v>
      </c>
      <c r="F1303" t="b">
        <f t="shared" si="125"/>
        <v>1</v>
      </c>
      <c r="G1303" t="str">
        <f t="shared" si="121"/>
        <v>1F469</v>
      </c>
      <c r="I1303">
        <f>HEX2DEC(Table1[[#This Row],[utf8]])</f>
        <v>128105</v>
      </c>
      <c r="J1303" t="str">
        <f>_xlfn.UNICHAR(HEX2DEC(Table1[[#This Row],[utf8]]))</f>
        <v>👩</v>
      </c>
      <c r="K1303" s="3" t="str" cm="1">
        <f t="array" ref="K1303">"Case "&amp;wRandomLetter()&amp;wRandomLetter()&amp;I1303&amp;":    UniConst = ChrW(" &amp; I1303 &amp;")"</f>
        <v>Case dJ128105:    UniConst = ChrW(128105)</v>
      </c>
    </row>
    <row r="1304" spans="1:11" hidden="1">
      <c r="A1304" t="s">
        <v>3057</v>
      </c>
      <c r="B1304" t="str">
        <f t="shared" si="122"/>
        <v>1F469 1F3FE 200D 2764 FE0F 200D 1F469 1F3FE ; fully-qualified # 👩🏾‍❤️‍👩🏾 E13.1 couple with heart: woman, woman, medium-dark skin tone</v>
      </c>
      <c r="C1304" t="str">
        <f t="shared" si="123"/>
        <v xml:space="preserve">1F469 1F3FE 200D 2764 FE0F 200D 1F469 1F3FE </v>
      </c>
      <c r="D1304">
        <f t="shared" si="124"/>
        <v>44</v>
      </c>
      <c r="E1304" t="str">
        <f t="shared" si="120"/>
        <v xml:space="preserve"> 👩🏾‍❤️‍👩🏾 E13.1 couple with heart: woman, woman, medium-dark skin tone</v>
      </c>
      <c r="F1304" t="b">
        <f t="shared" si="125"/>
        <v>1</v>
      </c>
      <c r="G1304" t="str">
        <f t="shared" si="121"/>
        <v>1F469</v>
      </c>
      <c r="I1304">
        <f>HEX2DEC(Table1[[#This Row],[utf8]])</f>
        <v>128105</v>
      </c>
      <c r="J1304" t="str">
        <f>_xlfn.UNICHAR(HEX2DEC(Table1[[#This Row],[utf8]]))</f>
        <v>👩</v>
      </c>
      <c r="K1304" s="3" t="str" cm="1">
        <f t="array" ref="K1304">"Case "&amp;wRandomLetter()&amp;wRandomLetter()&amp;I1304&amp;":    UniConst = ChrW(" &amp; I1304 &amp;")"</f>
        <v>Case PM128105:    UniConst = ChrW(128105)</v>
      </c>
    </row>
    <row r="1305" spans="1:11" hidden="1">
      <c r="A1305" t="s">
        <v>3059</v>
      </c>
      <c r="B1305" t="str">
        <f t="shared" si="122"/>
        <v>1F469 1F3FE 200D 2764 FE0F 200D 1F469 1F3FF ; fully-qualified # 👩🏾‍❤️‍👩🏿 E13.1 couple with heart: woman, woman, medium-dark skin tone, dark skin tone</v>
      </c>
      <c r="C1305" t="str">
        <f t="shared" si="123"/>
        <v xml:space="preserve">1F469 1F3FE 200D 2764 FE0F 200D 1F469 1F3FF </v>
      </c>
      <c r="D1305">
        <f t="shared" si="124"/>
        <v>44</v>
      </c>
      <c r="E1305" t="str">
        <f t="shared" si="120"/>
        <v xml:space="preserve"> 👩🏾‍❤️‍👩🏿 E13.1 couple with heart: woman, woman, medium-dark skin tone, dark skin tone</v>
      </c>
      <c r="F1305" t="b">
        <f t="shared" si="125"/>
        <v>1</v>
      </c>
      <c r="G1305" t="str">
        <f t="shared" si="121"/>
        <v>1F469</v>
      </c>
      <c r="I1305">
        <f>HEX2DEC(Table1[[#This Row],[utf8]])</f>
        <v>128105</v>
      </c>
      <c r="J1305" t="str">
        <f>_xlfn.UNICHAR(HEX2DEC(Table1[[#This Row],[utf8]]))</f>
        <v>👩</v>
      </c>
      <c r="K1305" s="3" t="str" cm="1">
        <f t="array" ref="K1305">"Case "&amp;wRandomLetter()&amp;wRandomLetter()&amp;I1305&amp;":    UniConst = ChrW(" &amp; I1305 &amp;")"</f>
        <v>Case lm128105:    UniConst = ChrW(128105)</v>
      </c>
    </row>
    <row r="1306" spans="1:11" hidden="1">
      <c r="A1306" t="s">
        <v>2745</v>
      </c>
      <c r="B1306" t="str">
        <f t="shared" si="122"/>
        <v>1F469 1F3FE 200D 2764 FE0F 200D 1F48B 200D 1F468 1F3FB ; fully-qualified # 👩🏾‍❤️‍💋‍👨🏻 E13.1 kiss: woman, man, medium-dark skin tone, light skin tone</v>
      </c>
      <c r="C1306" t="str">
        <f t="shared" si="123"/>
        <v xml:space="preserve">1F469 1F3FE 200D 2764 FE0F 200D 1F48B 200D 1F468 1F3FB </v>
      </c>
      <c r="D1306">
        <f t="shared" si="124"/>
        <v>55</v>
      </c>
      <c r="E1306" t="str">
        <f t="shared" si="120"/>
        <v xml:space="preserve"> 👩🏾‍❤️‍💋‍👨🏻 E13.1 kiss: woman, man, medium-dark skin tone, light skin tone</v>
      </c>
      <c r="F1306" t="b">
        <f t="shared" si="125"/>
        <v>1</v>
      </c>
      <c r="G1306" t="str">
        <f t="shared" si="121"/>
        <v>1F469</v>
      </c>
      <c r="I1306">
        <f>HEX2DEC(Table1[[#This Row],[utf8]])</f>
        <v>128105</v>
      </c>
      <c r="J1306" t="str">
        <f>_xlfn.UNICHAR(HEX2DEC(Table1[[#This Row],[utf8]]))</f>
        <v>👩</v>
      </c>
      <c r="K1306" s="3" t="str" cm="1">
        <f t="array" ref="K1306">"Case "&amp;wRandomLetter()&amp;wRandomLetter()&amp;I1306&amp;":    UniConst = ChrW(" &amp; I1306 &amp;")"</f>
        <v>Case en128105:    UniConst = ChrW(128105)</v>
      </c>
    </row>
    <row r="1307" spans="1:11" hidden="1">
      <c r="A1307" t="s">
        <v>2747</v>
      </c>
      <c r="B1307" t="str">
        <f t="shared" si="122"/>
        <v>1F469 1F3FE 200D 2764 FE0F 200D 1F48B 200D 1F468 1F3FC ; fully-qualified # 👩🏾‍❤️‍💋‍👨🏼 E13.1 kiss: woman, man, medium-dark skin tone, medium-light skin tone</v>
      </c>
      <c r="C1307" t="str">
        <f t="shared" si="123"/>
        <v xml:space="preserve">1F469 1F3FE 200D 2764 FE0F 200D 1F48B 200D 1F468 1F3FC </v>
      </c>
      <c r="D1307">
        <f t="shared" si="124"/>
        <v>55</v>
      </c>
      <c r="E1307" t="str">
        <f t="shared" si="120"/>
        <v xml:space="preserve"> 👩🏾‍❤️‍💋‍👨🏼 E13.1 kiss: woman, man, medium-dark skin tone, medium-light skin tone</v>
      </c>
      <c r="F1307" t="b">
        <f t="shared" si="125"/>
        <v>1</v>
      </c>
      <c r="G1307" t="str">
        <f t="shared" si="121"/>
        <v>1F469</v>
      </c>
      <c r="I1307">
        <f>HEX2DEC(Table1[[#This Row],[utf8]])</f>
        <v>128105</v>
      </c>
      <c r="J1307" t="str">
        <f>_xlfn.UNICHAR(HEX2DEC(Table1[[#This Row],[utf8]]))</f>
        <v>👩</v>
      </c>
      <c r="K1307" s="3" t="str" cm="1">
        <f t="array" ref="K1307">"Case "&amp;wRandomLetter()&amp;wRandomLetter()&amp;I1307&amp;":    UniConst = ChrW(" &amp; I1307 &amp;")"</f>
        <v>Case cy128105:    UniConst = ChrW(128105)</v>
      </c>
    </row>
    <row r="1308" spans="1:11" hidden="1">
      <c r="A1308" t="s">
        <v>2749</v>
      </c>
      <c r="B1308" t="str">
        <f t="shared" si="122"/>
        <v>1F469 1F3FE 200D 2764 FE0F 200D 1F48B 200D 1F468 1F3FD ; fully-qualified # 👩🏾‍❤️‍💋‍👨🏽 E13.1 kiss: woman, man, medium-dark skin tone, medium skin tone</v>
      </c>
      <c r="C1308" t="str">
        <f t="shared" si="123"/>
        <v xml:space="preserve">1F469 1F3FE 200D 2764 FE0F 200D 1F48B 200D 1F468 1F3FD </v>
      </c>
      <c r="D1308">
        <f t="shared" si="124"/>
        <v>55</v>
      </c>
      <c r="E1308" t="str">
        <f t="shared" si="120"/>
        <v xml:space="preserve"> 👩🏾‍❤️‍💋‍👨🏽 E13.1 kiss: woman, man, medium-dark skin tone, medium skin tone</v>
      </c>
      <c r="F1308" t="b">
        <f t="shared" si="125"/>
        <v>1</v>
      </c>
      <c r="G1308" t="str">
        <f t="shared" si="121"/>
        <v>1F469</v>
      </c>
      <c r="I1308">
        <f>HEX2DEC(Table1[[#This Row],[utf8]])</f>
        <v>128105</v>
      </c>
      <c r="J1308" t="str">
        <f>_xlfn.UNICHAR(HEX2DEC(Table1[[#This Row],[utf8]]))</f>
        <v>👩</v>
      </c>
      <c r="K1308" s="3" t="str" cm="1">
        <f t="array" ref="K1308">"Case "&amp;wRandomLetter()&amp;wRandomLetter()&amp;I1308&amp;":    UniConst = ChrW(" &amp; I1308 &amp;")"</f>
        <v>Case LN128105:    UniConst = ChrW(128105)</v>
      </c>
    </row>
    <row r="1309" spans="1:11" hidden="1">
      <c r="A1309" t="s">
        <v>2751</v>
      </c>
      <c r="B1309" t="str">
        <f t="shared" si="122"/>
        <v>1F469 1F3FE 200D 2764 FE0F 200D 1F48B 200D 1F468 1F3FE ; fully-qualified # 👩🏾‍❤️‍💋‍👨🏾 E13.1 kiss: woman, man, medium-dark skin tone</v>
      </c>
      <c r="C1309" t="str">
        <f t="shared" si="123"/>
        <v xml:space="preserve">1F469 1F3FE 200D 2764 FE0F 200D 1F48B 200D 1F468 1F3FE </v>
      </c>
      <c r="D1309">
        <f t="shared" si="124"/>
        <v>55</v>
      </c>
      <c r="E1309" t="str">
        <f t="shared" si="120"/>
        <v xml:space="preserve"> 👩🏾‍❤️‍💋‍👨🏾 E13.1 kiss: woman, man, medium-dark skin tone</v>
      </c>
      <c r="F1309" t="b">
        <f t="shared" si="125"/>
        <v>1</v>
      </c>
      <c r="G1309" t="str">
        <f t="shared" si="121"/>
        <v>1F469</v>
      </c>
      <c r="I1309">
        <f>HEX2DEC(Table1[[#This Row],[utf8]])</f>
        <v>128105</v>
      </c>
      <c r="J1309" t="str">
        <f>_xlfn.UNICHAR(HEX2DEC(Table1[[#This Row],[utf8]]))</f>
        <v>👩</v>
      </c>
      <c r="K1309" s="3" t="str" cm="1">
        <f t="array" ref="K1309">"Case "&amp;wRandomLetter()&amp;wRandomLetter()&amp;I1309&amp;":    UniConst = ChrW(" &amp; I1309 &amp;")"</f>
        <v>Case Kl128105:    UniConst = ChrW(128105)</v>
      </c>
    </row>
    <row r="1310" spans="1:11" hidden="1">
      <c r="A1310" t="s">
        <v>2753</v>
      </c>
      <c r="B1310" t="str">
        <f t="shared" si="122"/>
        <v>1F469 1F3FE 200D 2764 FE0F 200D 1F48B 200D 1F468 1F3FF ; fully-qualified # 👩🏾‍❤️‍💋‍👨🏿 E13.1 kiss: woman, man, medium-dark skin tone, dark skin tone</v>
      </c>
      <c r="C1310" t="str">
        <f t="shared" si="123"/>
        <v xml:space="preserve">1F469 1F3FE 200D 2764 FE0F 200D 1F48B 200D 1F468 1F3FF </v>
      </c>
      <c r="D1310">
        <f t="shared" si="124"/>
        <v>55</v>
      </c>
      <c r="E1310" t="str">
        <f t="shared" si="120"/>
        <v xml:space="preserve"> 👩🏾‍❤️‍💋‍👨🏿 E13.1 kiss: woman, man, medium-dark skin tone, dark skin tone</v>
      </c>
      <c r="F1310" t="b">
        <f t="shared" si="125"/>
        <v>1</v>
      </c>
      <c r="G1310" t="str">
        <f t="shared" si="121"/>
        <v>1F469</v>
      </c>
      <c r="I1310">
        <f>HEX2DEC(Table1[[#This Row],[utf8]])</f>
        <v>128105</v>
      </c>
      <c r="J1310" t="str">
        <f>_xlfn.UNICHAR(HEX2DEC(Table1[[#This Row],[utf8]]))</f>
        <v>👩</v>
      </c>
      <c r="K1310" s="3" t="str" cm="1">
        <f t="array" ref="K1310">"Case "&amp;wRandomLetter()&amp;wRandomLetter()&amp;I1310&amp;":    UniConst = ChrW(" &amp; I1310 &amp;")"</f>
        <v>Case Fi128105:    UniConst = ChrW(128105)</v>
      </c>
    </row>
    <row r="1311" spans="1:11" hidden="1">
      <c r="A1311" t="s">
        <v>2849</v>
      </c>
      <c r="B1311" t="str">
        <f t="shared" si="122"/>
        <v>1F469 1F3FE 200D 2764 FE0F 200D 1F48B 200D 1F469 1F3FB ; fully-qualified # 👩🏾‍❤️‍💋‍👩🏻 E13.1 kiss: woman, woman, medium-dark skin tone, light skin tone</v>
      </c>
      <c r="C1311" t="str">
        <f t="shared" si="123"/>
        <v xml:space="preserve">1F469 1F3FE 200D 2764 FE0F 200D 1F48B 200D 1F469 1F3FB </v>
      </c>
      <c r="D1311">
        <f t="shared" si="124"/>
        <v>55</v>
      </c>
      <c r="E1311" t="str">
        <f t="shared" si="120"/>
        <v xml:space="preserve"> 👩🏾‍❤️‍💋‍👩🏻 E13.1 kiss: woman, woman, medium-dark skin tone, light skin tone</v>
      </c>
      <c r="F1311" t="b">
        <f t="shared" si="125"/>
        <v>1</v>
      </c>
      <c r="G1311" t="str">
        <f t="shared" si="121"/>
        <v>1F469</v>
      </c>
      <c r="I1311">
        <f>HEX2DEC(Table1[[#This Row],[utf8]])</f>
        <v>128105</v>
      </c>
      <c r="J1311" t="str">
        <f>_xlfn.UNICHAR(HEX2DEC(Table1[[#This Row],[utf8]]))</f>
        <v>👩</v>
      </c>
      <c r="K1311" s="3" t="str" cm="1">
        <f t="array" ref="K1311">"Case "&amp;wRandomLetter()&amp;wRandomLetter()&amp;I1311&amp;":    UniConst = ChrW(" &amp; I1311 &amp;")"</f>
        <v>Case XE128105:    UniConst = ChrW(128105)</v>
      </c>
    </row>
    <row r="1312" spans="1:11" hidden="1">
      <c r="A1312" t="s">
        <v>2851</v>
      </c>
      <c r="B1312" t="str">
        <f t="shared" si="122"/>
        <v>1F469 1F3FE 200D 2764 FE0F 200D 1F48B 200D 1F469 1F3FC ; fully-qualified # 👩🏾‍❤️‍💋‍👩🏼 E13.1 kiss: woman, woman, medium-dark skin tone, medium-light skin tone</v>
      </c>
      <c r="C1312" t="str">
        <f t="shared" si="123"/>
        <v xml:space="preserve">1F469 1F3FE 200D 2764 FE0F 200D 1F48B 200D 1F469 1F3FC </v>
      </c>
      <c r="D1312">
        <f t="shared" si="124"/>
        <v>55</v>
      </c>
      <c r="E1312" t="str">
        <f t="shared" si="120"/>
        <v xml:space="preserve"> 👩🏾‍❤️‍💋‍👩🏼 E13.1 kiss: woman, woman, medium-dark skin tone, medium-light skin tone</v>
      </c>
      <c r="F1312" t="b">
        <f t="shared" si="125"/>
        <v>1</v>
      </c>
      <c r="G1312" t="str">
        <f t="shared" si="121"/>
        <v>1F469</v>
      </c>
      <c r="I1312">
        <f>HEX2DEC(Table1[[#This Row],[utf8]])</f>
        <v>128105</v>
      </c>
      <c r="J1312" t="str">
        <f>_xlfn.UNICHAR(HEX2DEC(Table1[[#This Row],[utf8]]))</f>
        <v>👩</v>
      </c>
      <c r="K1312" s="3" t="str" cm="1">
        <f t="array" ref="K1312">"Case "&amp;wRandomLetter()&amp;wRandomLetter()&amp;I1312&amp;":    UniConst = ChrW(" &amp; I1312 &amp;")"</f>
        <v>Case Nb128105:    UniConst = ChrW(128105)</v>
      </c>
    </row>
    <row r="1313" spans="1:11" hidden="1">
      <c r="A1313" t="s">
        <v>2853</v>
      </c>
      <c r="B1313" t="str">
        <f t="shared" si="122"/>
        <v>1F469 1F3FE 200D 2764 FE0F 200D 1F48B 200D 1F469 1F3FD ; fully-qualified # 👩🏾‍❤️‍💋‍👩🏽 E13.1 kiss: woman, woman, medium-dark skin tone, medium skin tone</v>
      </c>
      <c r="C1313" t="str">
        <f t="shared" si="123"/>
        <v xml:space="preserve">1F469 1F3FE 200D 2764 FE0F 200D 1F48B 200D 1F469 1F3FD </v>
      </c>
      <c r="D1313">
        <f t="shared" si="124"/>
        <v>55</v>
      </c>
      <c r="E1313" t="str">
        <f t="shared" si="120"/>
        <v xml:space="preserve"> 👩🏾‍❤️‍💋‍👩🏽 E13.1 kiss: woman, woman, medium-dark skin tone, medium skin tone</v>
      </c>
      <c r="F1313" t="b">
        <f t="shared" si="125"/>
        <v>1</v>
      </c>
      <c r="G1313" t="str">
        <f t="shared" si="121"/>
        <v>1F469</v>
      </c>
      <c r="I1313">
        <f>HEX2DEC(Table1[[#This Row],[utf8]])</f>
        <v>128105</v>
      </c>
      <c r="J1313" t="str">
        <f>_xlfn.UNICHAR(HEX2DEC(Table1[[#This Row],[utf8]]))</f>
        <v>👩</v>
      </c>
      <c r="K1313" s="3" t="str" cm="1">
        <f t="array" ref="K1313">"Case "&amp;wRandomLetter()&amp;wRandomLetter()&amp;I1313&amp;":    UniConst = ChrW(" &amp; I1313 &amp;")"</f>
        <v>Case Bi128105:    UniConst = ChrW(128105)</v>
      </c>
    </row>
    <row r="1314" spans="1:11" hidden="1">
      <c r="A1314" t="s">
        <v>2855</v>
      </c>
      <c r="B1314" t="str">
        <f t="shared" si="122"/>
        <v>1F469 1F3FE 200D 2764 FE0F 200D 1F48B 200D 1F469 1F3FE ; fully-qualified # 👩🏾‍❤️‍💋‍👩🏾 E13.1 kiss: woman, woman, medium-dark skin tone</v>
      </c>
      <c r="C1314" t="str">
        <f t="shared" si="123"/>
        <v xml:space="preserve">1F469 1F3FE 200D 2764 FE0F 200D 1F48B 200D 1F469 1F3FE </v>
      </c>
      <c r="D1314">
        <f t="shared" si="124"/>
        <v>55</v>
      </c>
      <c r="E1314" t="str">
        <f t="shared" si="120"/>
        <v xml:space="preserve"> 👩🏾‍❤️‍💋‍👩🏾 E13.1 kiss: woman, woman, medium-dark skin tone</v>
      </c>
      <c r="F1314" t="b">
        <f t="shared" si="125"/>
        <v>1</v>
      </c>
      <c r="G1314" t="str">
        <f t="shared" si="121"/>
        <v>1F469</v>
      </c>
      <c r="I1314">
        <f>HEX2DEC(Table1[[#This Row],[utf8]])</f>
        <v>128105</v>
      </c>
      <c r="J1314" t="str">
        <f>_xlfn.UNICHAR(HEX2DEC(Table1[[#This Row],[utf8]]))</f>
        <v>👩</v>
      </c>
      <c r="K1314" s="3" t="str" cm="1">
        <f t="array" ref="K1314">"Case "&amp;wRandomLetter()&amp;wRandomLetter()&amp;I1314&amp;":    UniConst = ChrW(" &amp; I1314 &amp;")"</f>
        <v>Case zR128105:    UniConst = ChrW(128105)</v>
      </c>
    </row>
    <row r="1315" spans="1:11" hidden="1">
      <c r="A1315" t="s">
        <v>2857</v>
      </c>
      <c r="B1315" t="str">
        <f t="shared" si="122"/>
        <v>1F469 1F3FE 200D 2764 FE0F 200D 1F48B 200D 1F469 1F3FF ; fully-qualified # 👩🏾‍❤️‍💋‍👩🏿 E13.1 kiss: woman, woman, medium-dark skin tone, dark skin tone</v>
      </c>
      <c r="C1315" t="str">
        <f t="shared" si="123"/>
        <v xml:space="preserve">1F469 1F3FE 200D 2764 FE0F 200D 1F48B 200D 1F469 1F3FF </v>
      </c>
      <c r="D1315">
        <f t="shared" si="124"/>
        <v>55</v>
      </c>
      <c r="E1315" t="str">
        <f t="shared" si="120"/>
        <v xml:space="preserve"> 👩🏾‍❤️‍💋‍👩🏿 E13.1 kiss: woman, woman, medium-dark skin tone, dark skin tone</v>
      </c>
      <c r="F1315" t="b">
        <f t="shared" si="125"/>
        <v>1</v>
      </c>
      <c r="G1315" t="str">
        <f t="shared" si="121"/>
        <v>1F469</v>
      </c>
      <c r="I1315">
        <f>HEX2DEC(Table1[[#This Row],[utf8]])</f>
        <v>128105</v>
      </c>
      <c r="J1315" t="str">
        <f>_xlfn.UNICHAR(HEX2DEC(Table1[[#This Row],[utf8]]))</f>
        <v>👩</v>
      </c>
      <c r="K1315" s="3" t="str" cm="1">
        <f t="array" ref="K1315">"Case "&amp;wRandomLetter()&amp;wRandomLetter()&amp;I1315&amp;":    UniConst = ChrW(" &amp; I1315 &amp;")"</f>
        <v>Case uo128105:    UniConst = ChrW(128105)</v>
      </c>
    </row>
    <row r="1316" spans="1:11" hidden="1">
      <c r="A1316" t="s">
        <v>549</v>
      </c>
      <c r="B1316" t="str">
        <f t="shared" si="122"/>
        <v>1F469 1F3FF ; fully-qualified # 👩🏿 E1.0 woman: dark skin tone</v>
      </c>
      <c r="C1316" t="str">
        <f t="shared" si="123"/>
        <v xml:space="preserve">1F469 1F3FF </v>
      </c>
      <c r="D1316">
        <f t="shared" si="124"/>
        <v>12</v>
      </c>
      <c r="E1316" t="str">
        <f t="shared" si="120"/>
        <v xml:space="preserve"> 👩🏿 E1.0 woman: dark skin tone</v>
      </c>
      <c r="F1316" t="b">
        <f t="shared" si="125"/>
        <v>1</v>
      </c>
      <c r="G1316" t="str">
        <f t="shared" si="121"/>
        <v>1F469</v>
      </c>
      <c r="I1316">
        <f>HEX2DEC(Table1[[#This Row],[utf8]])</f>
        <v>128105</v>
      </c>
      <c r="J1316" t="str">
        <f>_xlfn.UNICHAR(HEX2DEC(Table1[[#This Row],[utf8]]))</f>
        <v>👩</v>
      </c>
      <c r="K1316" s="3" t="str" cm="1">
        <f t="array" ref="K1316">"Case "&amp;wRandomLetter()&amp;wRandomLetter()&amp;I1316&amp;":    UniConst = ChrW(" &amp; I1316 &amp;")"</f>
        <v>Case Ic128105:    UniConst = ChrW(128105)</v>
      </c>
    </row>
    <row r="1317" spans="1:11" hidden="1">
      <c r="A1317" t="s">
        <v>1067</v>
      </c>
      <c r="B1317" t="str">
        <f t="shared" si="122"/>
        <v>1F469 1F3FF 200D 1F33E ; fully-qualified # 👩🏿‍🌾 E4.0 woman farmer: dark skin tone</v>
      </c>
      <c r="C1317" t="str">
        <f t="shared" si="123"/>
        <v xml:space="preserve">1F469 1F3FF 200D 1F33E </v>
      </c>
      <c r="D1317">
        <f t="shared" si="124"/>
        <v>23</v>
      </c>
      <c r="E1317" t="str">
        <f t="shared" si="120"/>
        <v xml:space="preserve"> 👩🏿‍🌾 E4.0 woman farmer: dark skin tone</v>
      </c>
      <c r="F1317" t="b">
        <f t="shared" si="125"/>
        <v>1</v>
      </c>
      <c r="G1317" t="str">
        <f t="shared" si="121"/>
        <v>1F469</v>
      </c>
      <c r="I1317">
        <f>HEX2DEC(Table1[[#This Row],[utf8]])</f>
        <v>128105</v>
      </c>
      <c r="J1317" t="str">
        <f>_xlfn.UNICHAR(HEX2DEC(Table1[[#This Row],[utf8]]))</f>
        <v>👩</v>
      </c>
      <c r="K1317" s="3" t="str" cm="1">
        <f t="array" ref="K1317">"Case "&amp;wRandomLetter()&amp;wRandomLetter()&amp;I1317&amp;":    UniConst = ChrW(" &amp; I1317 &amp;")"</f>
        <v>Case ln128105:    UniConst = ChrW(128105)</v>
      </c>
    </row>
    <row r="1318" spans="1:11" hidden="1">
      <c r="A1318" t="s">
        <v>1085</v>
      </c>
      <c r="B1318" t="str">
        <f t="shared" si="122"/>
        <v>1F469 1F3FF 200D 1F373 ; fully-qualified # 👩🏿‍🍳 E4.0 woman cook: dark skin tone</v>
      </c>
      <c r="C1318" t="str">
        <f t="shared" si="123"/>
        <v xml:space="preserve">1F469 1F3FF 200D 1F373 </v>
      </c>
      <c r="D1318">
        <f t="shared" si="124"/>
        <v>23</v>
      </c>
      <c r="E1318" t="str">
        <f t="shared" si="120"/>
        <v xml:space="preserve"> 👩🏿‍🍳 E4.0 woman cook: dark skin tone</v>
      </c>
      <c r="F1318" t="b">
        <f t="shared" si="125"/>
        <v>1</v>
      </c>
      <c r="G1318" t="str">
        <f t="shared" si="121"/>
        <v>1F469</v>
      </c>
      <c r="I1318">
        <f>HEX2DEC(Table1[[#This Row],[utf8]])</f>
        <v>128105</v>
      </c>
      <c r="J1318" t="str">
        <f>_xlfn.UNICHAR(HEX2DEC(Table1[[#This Row],[utf8]]))</f>
        <v>👩</v>
      </c>
      <c r="K1318" s="3" t="str" cm="1">
        <f t="array" ref="K1318">"Case "&amp;wRandomLetter()&amp;wRandomLetter()&amp;I1318&amp;":    UniConst = ChrW(" &amp; I1318 &amp;")"</f>
        <v>Case YC128105:    UniConst = ChrW(128105)</v>
      </c>
    </row>
    <row r="1319" spans="1:11" hidden="1">
      <c r="A1319" t="s">
        <v>1546</v>
      </c>
      <c r="B1319" t="str">
        <f t="shared" si="122"/>
        <v>1F469 1F3FF 200D 1F37C ; fully-qualified # 👩🏿‍🍼 E13.0 woman feeding baby: dark skin tone</v>
      </c>
      <c r="C1319" t="str">
        <f t="shared" si="123"/>
        <v xml:space="preserve">1F469 1F3FF 200D 1F37C </v>
      </c>
      <c r="D1319">
        <f t="shared" si="124"/>
        <v>23</v>
      </c>
      <c r="E1319" t="str">
        <f t="shared" si="120"/>
        <v xml:space="preserve"> 👩🏿‍🍼 E13.0 woman feeding baby: dark skin tone</v>
      </c>
      <c r="F1319" t="b">
        <f t="shared" si="125"/>
        <v>1</v>
      </c>
      <c r="G1319" t="str">
        <f t="shared" si="121"/>
        <v>1F469</v>
      </c>
      <c r="I1319">
        <f>HEX2DEC(Table1[[#This Row],[utf8]])</f>
        <v>128105</v>
      </c>
      <c r="J1319" t="str">
        <f>_xlfn.UNICHAR(HEX2DEC(Table1[[#This Row],[utf8]]))</f>
        <v>👩</v>
      </c>
      <c r="K1319" s="3" t="str" cm="1">
        <f t="array" ref="K1319">"Case "&amp;wRandomLetter()&amp;wRandomLetter()&amp;I1319&amp;":    UniConst = ChrW(" &amp; I1319 &amp;")"</f>
        <v>Case Zo128105:    UniConst = ChrW(128105)</v>
      </c>
    </row>
    <row r="1320" spans="1:11" hidden="1">
      <c r="A1320" t="s">
        <v>995</v>
      </c>
      <c r="B1320" t="str">
        <f t="shared" si="122"/>
        <v>1F469 1F3FF 200D 1F393 ; fully-qualified # 👩🏿‍🎓 E4.0 woman student: dark skin tone</v>
      </c>
      <c r="C1320" t="str">
        <f t="shared" si="123"/>
        <v xml:space="preserve">1F469 1F3FF 200D 1F393 </v>
      </c>
      <c r="D1320">
        <f t="shared" si="124"/>
        <v>23</v>
      </c>
      <c r="E1320" t="str">
        <f t="shared" si="120"/>
        <v xml:space="preserve"> 👩🏿‍🎓 E4.0 woman student: dark skin tone</v>
      </c>
      <c r="F1320" t="b">
        <f t="shared" si="125"/>
        <v>1</v>
      </c>
      <c r="G1320" t="str">
        <f t="shared" si="121"/>
        <v>1F469</v>
      </c>
      <c r="I1320">
        <f>HEX2DEC(Table1[[#This Row],[utf8]])</f>
        <v>128105</v>
      </c>
      <c r="J1320" t="str">
        <f>_xlfn.UNICHAR(HEX2DEC(Table1[[#This Row],[utf8]]))</f>
        <v>👩</v>
      </c>
      <c r="K1320" s="3" t="str" cm="1">
        <f t="array" ref="K1320">"Case "&amp;wRandomLetter()&amp;wRandomLetter()&amp;I1320&amp;":    UniConst = ChrW(" &amp; I1320 &amp;")"</f>
        <v>Case sP128105:    UniConst = ChrW(128105)</v>
      </c>
    </row>
    <row r="1321" spans="1:11" hidden="1">
      <c r="A1321" t="s">
        <v>1193</v>
      </c>
      <c r="B1321" t="str">
        <f t="shared" si="122"/>
        <v>1F469 1F3FF 200D 1F3A4 ; fully-qualified # 👩🏿‍🎤 E4.0 woman singer: dark skin tone</v>
      </c>
      <c r="C1321" t="str">
        <f t="shared" si="123"/>
        <v xml:space="preserve">1F469 1F3FF 200D 1F3A4 </v>
      </c>
      <c r="D1321">
        <f t="shared" si="124"/>
        <v>23</v>
      </c>
      <c r="E1321" t="str">
        <f t="shared" si="120"/>
        <v xml:space="preserve"> 👩🏿‍🎤 E4.0 woman singer: dark skin tone</v>
      </c>
      <c r="F1321" t="b">
        <f t="shared" si="125"/>
        <v>1</v>
      </c>
      <c r="G1321" t="str">
        <f t="shared" si="121"/>
        <v>1F469</v>
      </c>
      <c r="I1321">
        <f>HEX2DEC(Table1[[#This Row],[utf8]])</f>
        <v>128105</v>
      </c>
      <c r="J1321" t="str">
        <f>_xlfn.UNICHAR(HEX2DEC(Table1[[#This Row],[utf8]]))</f>
        <v>👩</v>
      </c>
      <c r="K1321" s="3" t="str" cm="1">
        <f t="array" ref="K1321">"Case "&amp;wRandomLetter()&amp;wRandomLetter()&amp;I1321&amp;":    UniConst = ChrW(" &amp; I1321 &amp;")"</f>
        <v>Case hi128105:    UniConst = ChrW(128105)</v>
      </c>
    </row>
    <row r="1322" spans="1:11" hidden="1">
      <c r="A1322" t="s">
        <v>1211</v>
      </c>
      <c r="B1322" t="str">
        <f t="shared" si="122"/>
        <v>1F469 1F3FF 200D 1F3A8 ; fully-qualified # 👩🏿‍🎨 E4.0 woman artist: dark skin tone</v>
      </c>
      <c r="C1322" t="str">
        <f t="shared" si="123"/>
        <v xml:space="preserve">1F469 1F3FF 200D 1F3A8 </v>
      </c>
      <c r="D1322">
        <f t="shared" si="124"/>
        <v>23</v>
      </c>
      <c r="E1322" t="str">
        <f t="shared" si="120"/>
        <v xml:space="preserve"> 👩🏿‍🎨 E4.0 woman artist: dark skin tone</v>
      </c>
      <c r="F1322" t="b">
        <f t="shared" si="125"/>
        <v>1</v>
      </c>
      <c r="G1322" t="str">
        <f t="shared" si="121"/>
        <v>1F469</v>
      </c>
      <c r="I1322">
        <f>HEX2DEC(Table1[[#This Row],[utf8]])</f>
        <v>128105</v>
      </c>
      <c r="J1322" t="str">
        <f>_xlfn.UNICHAR(HEX2DEC(Table1[[#This Row],[utf8]]))</f>
        <v>👩</v>
      </c>
      <c r="K1322" s="3" t="str" cm="1">
        <f t="array" ref="K1322">"Case "&amp;wRandomLetter()&amp;wRandomLetter()&amp;I1322&amp;":    UniConst = ChrW(" &amp; I1322 &amp;")"</f>
        <v>Case LZ128105:    UniConst = ChrW(128105)</v>
      </c>
    </row>
    <row r="1323" spans="1:11" hidden="1">
      <c r="A1323" t="s">
        <v>1013</v>
      </c>
      <c r="B1323" t="str">
        <f t="shared" si="122"/>
        <v>1F469 1F3FF 200D 1F3EB ; fully-qualified # 👩🏿‍🏫 E4.0 woman teacher: dark skin tone</v>
      </c>
      <c r="C1323" t="str">
        <f t="shared" si="123"/>
        <v xml:space="preserve">1F469 1F3FF 200D 1F3EB </v>
      </c>
      <c r="D1323">
        <f t="shared" si="124"/>
        <v>23</v>
      </c>
      <c r="E1323" t="str">
        <f t="shared" si="120"/>
        <v xml:space="preserve"> 👩🏿‍🏫 E4.0 woman teacher: dark skin tone</v>
      </c>
      <c r="F1323" t="b">
        <f t="shared" si="125"/>
        <v>1</v>
      </c>
      <c r="G1323" t="str">
        <f t="shared" si="121"/>
        <v>1F469</v>
      </c>
      <c r="I1323">
        <f>HEX2DEC(Table1[[#This Row],[utf8]])</f>
        <v>128105</v>
      </c>
      <c r="J1323" t="str">
        <f>_xlfn.UNICHAR(HEX2DEC(Table1[[#This Row],[utf8]]))</f>
        <v>👩</v>
      </c>
      <c r="K1323" s="3" t="str" cm="1">
        <f t="array" ref="K1323">"Case "&amp;wRandomLetter()&amp;wRandomLetter()&amp;I1323&amp;":    UniConst = ChrW(" &amp; I1323 &amp;")"</f>
        <v>Case Mf128105:    UniConst = ChrW(128105)</v>
      </c>
    </row>
    <row r="1324" spans="1:11" hidden="1">
      <c r="A1324" t="s">
        <v>1121</v>
      </c>
      <c r="B1324" t="str">
        <f t="shared" si="122"/>
        <v>1F469 1F3FF 200D 1F3ED ; fully-qualified # 👩🏿‍🏭 E4.0 woman factory worker: dark skin tone</v>
      </c>
      <c r="C1324" t="str">
        <f t="shared" si="123"/>
        <v xml:space="preserve">1F469 1F3FF 200D 1F3ED </v>
      </c>
      <c r="D1324">
        <f t="shared" si="124"/>
        <v>23</v>
      </c>
      <c r="E1324" t="str">
        <f t="shared" si="120"/>
        <v xml:space="preserve"> 👩🏿‍🏭 E4.0 woman factory worker: dark skin tone</v>
      </c>
      <c r="F1324" t="b">
        <f t="shared" si="125"/>
        <v>1</v>
      </c>
      <c r="G1324" t="str">
        <f t="shared" si="121"/>
        <v>1F469</v>
      </c>
      <c r="I1324">
        <f>HEX2DEC(Table1[[#This Row],[utf8]])</f>
        <v>128105</v>
      </c>
      <c r="J1324" t="str">
        <f>_xlfn.UNICHAR(HEX2DEC(Table1[[#This Row],[utf8]]))</f>
        <v>👩</v>
      </c>
      <c r="K1324" s="3" t="str" cm="1">
        <f t="array" ref="K1324">"Case "&amp;wRandomLetter()&amp;wRandomLetter()&amp;I1324&amp;":    UniConst = ChrW(" &amp; I1324 &amp;")"</f>
        <v>Case nu128105:    UniConst = ChrW(128105)</v>
      </c>
    </row>
    <row r="1325" spans="1:11" hidden="1">
      <c r="A1325" t="s">
        <v>1175</v>
      </c>
      <c r="B1325" t="str">
        <f t="shared" si="122"/>
        <v>1F469 1F3FF 200D 1F4BB ; fully-qualified # 👩🏿‍💻 E4.0 woman technologist: dark skin tone</v>
      </c>
      <c r="C1325" t="str">
        <f t="shared" si="123"/>
        <v xml:space="preserve">1F469 1F3FF 200D 1F4BB </v>
      </c>
      <c r="D1325">
        <f t="shared" si="124"/>
        <v>23</v>
      </c>
      <c r="E1325" t="str">
        <f t="shared" si="120"/>
        <v xml:space="preserve"> 👩🏿‍💻 E4.0 woman technologist: dark skin tone</v>
      </c>
      <c r="F1325" t="b">
        <f t="shared" si="125"/>
        <v>1</v>
      </c>
      <c r="G1325" t="str">
        <f t="shared" si="121"/>
        <v>1F469</v>
      </c>
      <c r="I1325">
        <f>HEX2DEC(Table1[[#This Row],[utf8]])</f>
        <v>128105</v>
      </c>
      <c r="J1325" t="str">
        <f>_xlfn.UNICHAR(HEX2DEC(Table1[[#This Row],[utf8]]))</f>
        <v>👩</v>
      </c>
      <c r="K1325" s="3" t="str" cm="1">
        <f t="array" ref="K1325">"Case "&amp;wRandomLetter()&amp;wRandomLetter()&amp;I1325&amp;":    UniConst = ChrW(" &amp; I1325 &amp;")"</f>
        <v>Case jX128105:    UniConst = ChrW(128105)</v>
      </c>
    </row>
    <row r="1326" spans="1:11" hidden="1">
      <c r="A1326" t="s">
        <v>1139</v>
      </c>
      <c r="B1326" t="str">
        <f t="shared" si="122"/>
        <v>1F469 1F3FF 200D 1F4BC ; fully-qualified # 👩🏿‍💼 E4.0 woman office worker: dark skin tone</v>
      </c>
      <c r="C1326" t="str">
        <f t="shared" si="123"/>
        <v xml:space="preserve">1F469 1F3FF 200D 1F4BC </v>
      </c>
      <c r="D1326">
        <f t="shared" si="124"/>
        <v>23</v>
      </c>
      <c r="E1326" t="str">
        <f t="shared" si="120"/>
        <v xml:space="preserve"> 👩🏿‍💼 E4.0 woman office worker: dark skin tone</v>
      </c>
      <c r="F1326" t="b">
        <f t="shared" si="125"/>
        <v>1</v>
      </c>
      <c r="G1326" t="str">
        <f t="shared" si="121"/>
        <v>1F469</v>
      </c>
      <c r="I1326">
        <f>HEX2DEC(Table1[[#This Row],[utf8]])</f>
        <v>128105</v>
      </c>
      <c r="J1326" t="str">
        <f>_xlfn.UNICHAR(HEX2DEC(Table1[[#This Row],[utf8]]))</f>
        <v>👩</v>
      </c>
      <c r="K1326" s="3" t="str" cm="1">
        <f t="array" ref="K1326">"Case "&amp;wRandomLetter()&amp;wRandomLetter()&amp;I1326&amp;":    UniConst = ChrW(" &amp; I1326 &amp;")"</f>
        <v>Case LY128105:    UniConst = ChrW(128105)</v>
      </c>
    </row>
    <row r="1327" spans="1:11" hidden="1">
      <c r="A1327" t="s">
        <v>1103</v>
      </c>
      <c r="B1327" t="str">
        <f t="shared" si="122"/>
        <v>1F469 1F3FF 200D 1F527 ; fully-qualified # 👩🏿‍🔧 E4.0 woman mechanic: dark skin tone</v>
      </c>
      <c r="C1327" t="str">
        <f t="shared" si="123"/>
        <v xml:space="preserve">1F469 1F3FF 200D 1F527 </v>
      </c>
      <c r="D1327">
        <f t="shared" si="124"/>
        <v>23</v>
      </c>
      <c r="E1327" t="str">
        <f t="shared" si="120"/>
        <v xml:space="preserve"> 👩🏿‍🔧 E4.0 woman mechanic: dark skin tone</v>
      </c>
      <c r="F1327" t="b">
        <f t="shared" si="125"/>
        <v>1</v>
      </c>
      <c r="G1327" t="str">
        <f t="shared" si="121"/>
        <v>1F469</v>
      </c>
      <c r="I1327">
        <f>HEX2DEC(Table1[[#This Row],[utf8]])</f>
        <v>128105</v>
      </c>
      <c r="J1327" t="str">
        <f>_xlfn.UNICHAR(HEX2DEC(Table1[[#This Row],[utf8]]))</f>
        <v>👩</v>
      </c>
      <c r="K1327" s="3" t="str" cm="1">
        <f t="array" ref="K1327">"Case "&amp;wRandomLetter()&amp;wRandomLetter()&amp;I1327&amp;":    UniConst = ChrW(" &amp; I1327 &amp;")"</f>
        <v>Case WF128105:    UniConst = ChrW(128105)</v>
      </c>
    </row>
    <row r="1328" spans="1:11" hidden="1">
      <c r="A1328" t="s">
        <v>1157</v>
      </c>
      <c r="B1328" t="str">
        <f t="shared" si="122"/>
        <v>1F469 1F3FF 200D 1F52C ; fully-qualified # 👩🏿‍🔬 E4.0 woman scientist: dark skin tone</v>
      </c>
      <c r="C1328" t="str">
        <f t="shared" si="123"/>
        <v xml:space="preserve">1F469 1F3FF 200D 1F52C </v>
      </c>
      <c r="D1328">
        <f t="shared" si="124"/>
        <v>23</v>
      </c>
      <c r="E1328" t="str">
        <f t="shared" si="120"/>
        <v xml:space="preserve"> 👩🏿‍🔬 E4.0 woman scientist: dark skin tone</v>
      </c>
      <c r="F1328" t="b">
        <f t="shared" si="125"/>
        <v>1</v>
      </c>
      <c r="G1328" t="str">
        <f t="shared" si="121"/>
        <v>1F469</v>
      </c>
      <c r="I1328">
        <f>HEX2DEC(Table1[[#This Row],[utf8]])</f>
        <v>128105</v>
      </c>
      <c r="J1328" t="str">
        <f>_xlfn.UNICHAR(HEX2DEC(Table1[[#This Row],[utf8]]))</f>
        <v>👩</v>
      </c>
      <c r="K1328" s="3" t="str" cm="1">
        <f t="array" ref="K1328">"Case "&amp;wRandomLetter()&amp;wRandomLetter()&amp;I1328&amp;":    UniConst = ChrW(" &amp; I1328 &amp;")"</f>
        <v>Case JO128105:    UniConst = ChrW(128105)</v>
      </c>
    </row>
    <row r="1329" spans="1:11" hidden="1">
      <c r="A1329" t="s">
        <v>1265</v>
      </c>
      <c r="B1329" t="str">
        <f t="shared" si="122"/>
        <v>1F469 1F3FF 200D 1F680 ; fully-qualified # 👩🏿‍🚀 E4.0 woman astronaut: dark skin tone</v>
      </c>
      <c r="C1329" t="str">
        <f t="shared" si="123"/>
        <v xml:space="preserve">1F469 1F3FF 200D 1F680 </v>
      </c>
      <c r="D1329">
        <f t="shared" si="124"/>
        <v>23</v>
      </c>
      <c r="E1329" t="str">
        <f t="shared" si="120"/>
        <v xml:space="preserve"> 👩🏿‍🚀 E4.0 woman astronaut: dark skin tone</v>
      </c>
      <c r="F1329" t="b">
        <f t="shared" si="125"/>
        <v>1</v>
      </c>
      <c r="G1329" t="str">
        <f t="shared" si="121"/>
        <v>1F469</v>
      </c>
      <c r="I1329">
        <f>HEX2DEC(Table1[[#This Row],[utf8]])</f>
        <v>128105</v>
      </c>
      <c r="J1329" t="str">
        <f>_xlfn.UNICHAR(HEX2DEC(Table1[[#This Row],[utf8]]))</f>
        <v>👩</v>
      </c>
      <c r="K1329" s="3" t="str" cm="1">
        <f t="array" ref="K1329">"Case "&amp;wRandomLetter()&amp;wRandomLetter()&amp;I1329&amp;":    UniConst = ChrW(" &amp; I1329 &amp;")"</f>
        <v>Case Uz128105:    UniConst = ChrW(128105)</v>
      </c>
    </row>
    <row r="1330" spans="1:11" hidden="1">
      <c r="A1330" t="s">
        <v>1283</v>
      </c>
      <c r="B1330" t="str">
        <f t="shared" si="122"/>
        <v>1F469 1F3FF 200D 1F692 ; fully-qualified # 👩🏿‍🚒 E4.0 woman firefighter: dark skin tone</v>
      </c>
      <c r="C1330" t="str">
        <f t="shared" si="123"/>
        <v xml:space="preserve">1F469 1F3FF 200D 1F692 </v>
      </c>
      <c r="D1330">
        <f t="shared" si="124"/>
        <v>23</v>
      </c>
      <c r="E1330" t="str">
        <f t="shared" si="120"/>
        <v xml:space="preserve"> 👩🏿‍🚒 E4.0 woman firefighter: dark skin tone</v>
      </c>
      <c r="F1330" t="b">
        <f t="shared" si="125"/>
        <v>1</v>
      </c>
      <c r="G1330" t="str">
        <f t="shared" si="121"/>
        <v>1F469</v>
      </c>
      <c r="I1330">
        <f>HEX2DEC(Table1[[#This Row],[utf8]])</f>
        <v>128105</v>
      </c>
      <c r="J1330" t="str">
        <f>_xlfn.UNICHAR(HEX2DEC(Table1[[#This Row],[utf8]]))</f>
        <v>👩</v>
      </c>
      <c r="K1330" s="3" t="str" cm="1">
        <f t="array" ref="K1330">"Case "&amp;wRandomLetter()&amp;wRandomLetter()&amp;I1330&amp;":    UniConst = ChrW(" &amp; I1330 &amp;")"</f>
        <v>Case BA128105:    UniConst = ChrW(128105)</v>
      </c>
    </row>
    <row r="1331" spans="1:11" hidden="1">
      <c r="A1331" t="s">
        <v>2636</v>
      </c>
      <c r="B1331" t="str">
        <f t="shared" si="122"/>
        <v>1F469 1F3FF 200D 1F91D 200D 1F468 1F3FB ; fully-qualified # 👩🏿‍🤝‍👨🏻 E12.0 woman and man holding hands: dark skin tone, light skin tone</v>
      </c>
      <c r="C1331" t="str">
        <f t="shared" si="123"/>
        <v xml:space="preserve">1F469 1F3FF 200D 1F91D 200D 1F468 1F3FB </v>
      </c>
      <c r="D1331">
        <f t="shared" si="124"/>
        <v>40</v>
      </c>
      <c r="E1331" t="str">
        <f t="shared" si="120"/>
        <v xml:space="preserve"> 👩🏿‍🤝‍👨🏻 E12.0 woman and man holding hands: dark skin tone, light skin tone</v>
      </c>
      <c r="F1331" t="b">
        <f t="shared" si="125"/>
        <v>1</v>
      </c>
      <c r="G1331" t="str">
        <f t="shared" si="121"/>
        <v>1F469</v>
      </c>
      <c r="I1331">
        <f>HEX2DEC(Table1[[#This Row],[utf8]])</f>
        <v>128105</v>
      </c>
      <c r="J1331" t="str">
        <f>_xlfn.UNICHAR(HEX2DEC(Table1[[#This Row],[utf8]]))</f>
        <v>👩</v>
      </c>
      <c r="K1331" s="3" t="str" cm="1">
        <f t="array" ref="K1331">"Case "&amp;wRandomLetter()&amp;wRandomLetter()&amp;I1331&amp;":    UniConst = ChrW(" &amp; I1331 &amp;")"</f>
        <v>Case Ct128105:    UniConst = ChrW(128105)</v>
      </c>
    </row>
    <row r="1332" spans="1:11" hidden="1">
      <c r="A1332" t="s">
        <v>2637</v>
      </c>
      <c r="B1332" t="str">
        <f t="shared" si="122"/>
        <v>1F469 1F3FF 200D 1F91D 200D 1F468 1F3FC ; fully-qualified # 👩🏿‍🤝‍👨🏼 E12.0 woman and man holding hands: dark skin tone, medium-light skin tone</v>
      </c>
      <c r="C1332" t="str">
        <f t="shared" si="123"/>
        <v xml:space="preserve">1F469 1F3FF 200D 1F91D 200D 1F468 1F3FC </v>
      </c>
      <c r="D1332">
        <f t="shared" si="124"/>
        <v>40</v>
      </c>
      <c r="E1332" t="str">
        <f t="shared" si="120"/>
        <v xml:space="preserve"> 👩🏿‍🤝‍👨🏼 E12.0 woman and man holding hands: dark skin tone, medium-light skin tone</v>
      </c>
      <c r="F1332" t="b">
        <f t="shared" si="125"/>
        <v>1</v>
      </c>
      <c r="G1332" t="str">
        <f t="shared" si="121"/>
        <v>1F469</v>
      </c>
      <c r="I1332">
        <f>HEX2DEC(Table1[[#This Row],[utf8]])</f>
        <v>128105</v>
      </c>
      <c r="J1332" t="str">
        <f>_xlfn.UNICHAR(HEX2DEC(Table1[[#This Row],[utf8]]))</f>
        <v>👩</v>
      </c>
      <c r="K1332" s="3" t="str" cm="1">
        <f t="array" ref="K1332">"Case "&amp;wRandomLetter()&amp;wRandomLetter()&amp;I1332&amp;":    UniConst = ChrW(" &amp; I1332 &amp;")"</f>
        <v>Case PA128105:    UniConst = ChrW(128105)</v>
      </c>
    </row>
    <row r="1333" spans="1:11" hidden="1">
      <c r="A1333" t="s">
        <v>2638</v>
      </c>
      <c r="B1333" t="str">
        <f t="shared" si="122"/>
        <v>1F469 1F3FF 200D 1F91D 200D 1F468 1F3FD ; fully-qualified # 👩🏿‍🤝‍👨🏽 E12.0 woman and man holding hands: dark skin tone, medium skin tone</v>
      </c>
      <c r="C1333" t="str">
        <f t="shared" si="123"/>
        <v xml:space="preserve">1F469 1F3FF 200D 1F91D 200D 1F468 1F3FD </v>
      </c>
      <c r="D1333">
        <f t="shared" si="124"/>
        <v>40</v>
      </c>
      <c r="E1333" t="str">
        <f t="shared" si="120"/>
        <v xml:space="preserve"> 👩🏿‍🤝‍👨🏽 E12.0 woman and man holding hands: dark skin tone, medium skin tone</v>
      </c>
      <c r="F1333" t="b">
        <f t="shared" si="125"/>
        <v>1</v>
      </c>
      <c r="G1333" t="str">
        <f t="shared" si="121"/>
        <v>1F469</v>
      </c>
      <c r="I1333">
        <f>HEX2DEC(Table1[[#This Row],[utf8]])</f>
        <v>128105</v>
      </c>
      <c r="J1333" t="str">
        <f>_xlfn.UNICHAR(HEX2DEC(Table1[[#This Row],[utf8]]))</f>
        <v>👩</v>
      </c>
      <c r="K1333" s="3" t="str" cm="1">
        <f t="array" ref="K1333">"Case "&amp;wRandomLetter()&amp;wRandomLetter()&amp;I1333&amp;":    UniConst = ChrW(" &amp; I1333 &amp;")"</f>
        <v>Case WJ128105:    UniConst = ChrW(128105)</v>
      </c>
    </row>
    <row r="1334" spans="1:11" hidden="1">
      <c r="A1334" t="s">
        <v>2639</v>
      </c>
      <c r="B1334" t="str">
        <f t="shared" si="122"/>
        <v>1F469 1F3FF 200D 1F91D 200D 1F468 1F3FE ; fully-qualified # 👩🏿‍🤝‍👨🏾 E12.0 woman and man holding hands: dark skin tone, medium-dark skin tone</v>
      </c>
      <c r="C1334" t="str">
        <f t="shared" si="123"/>
        <v xml:space="preserve">1F469 1F3FF 200D 1F91D 200D 1F468 1F3FE </v>
      </c>
      <c r="D1334">
        <f t="shared" si="124"/>
        <v>40</v>
      </c>
      <c r="E1334" t="str">
        <f t="shared" si="120"/>
        <v xml:space="preserve"> 👩🏿‍🤝‍👨🏾 E12.0 woman and man holding hands: dark skin tone, medium-dark skin tone</v>
      </c>
      <c r="F1334" t="b">
        <f t="shared" si="125"/>
        <v>1</v>
      </c>
      <c r="G1334" t="str">
        <f t="shared" si="121"/>
        <v>1F469</v>
      </c>
      <c r="I1334">
        <f>HEX2DEC(Table1[[#This Row],[utf8]])</f>
        <v>128105</v>
      </c>
      <c r="J1334" t="str">
        <f>_xlfn.UNICHAR(HEX2DEC(Table1[[#This Row],[utf8]]))</f>
        <v>👩</v>
      </c>
      <c r="K1334" s="3" t="str" cm="1">
        <f t="array" ref="K1334">"Case "&amp;wRandomLetter()&amp;wRandomLetter()&amp;I1334&amp;":    UniConst = ChrW(" &amp; I1334 &amp;")"</f>
        <v>Case JR128105:    UniConst = ChrW(128105)</v>
      </c>
    </row>
    <row r="1335" spans="1:11" hidden="1">
      <c r="A1335" t="s">
        <v>2610</v>
      </c>
      <c r="B1335" t="str">
        <f t="shared" si="122"/>
        <v>1F469 1F3FF 200D 1F91D 200D 1F469 1F3FB ; fully-qualified # 👩🏿‍🤝‍👩🏻 E12.0 women holding hands: dark skin tone, light skin tone</v>
      </c>
      <c r="C1335" t="str">
        <f t="shared" si="123"/>
        <v xml:space="preserve">1F469 1F3FF 200D 1F91D 200D 1F469 1F3FB </v>
      </c>
      <c r="D1335">
        <f t="shared" si="124"/>
        <v>40</v>
      </c>
      <c r="E1335" t="str">
        <f t="shared" si="120"/>
        <v xml:space="preserve"> 👩🏿‍🤝‍👩🏻 E12.0 women holding hands: dark skin tone, light skin tone</v>
      </c>
      <c r="F1335" t="b">
        <f t="shared" si="125"/>
        <v>1</v>
      </c>
      <c r="G1335" t="str">
        <f t="shared" si="121"/>
        <v>1F469</v>
      </c>
      <c r="I1335">
        <f>HEX2DEC(Table1[[#This Row],[utf8]])</f>
        <v>128105</v>
      </c>
      <c r="J1335" t="str">
        <f>_xlfn.UNICHAR(HEX2DEC(Table1[[#This Row],[utf8]]))</f>
        <v>👩</v>
      </c>
      <c r="K1335" s="3" t="str" cm="1">
        <f t="array" ref="K1335">"Case "&amp;wRandomLetter()&amp;wRandomLetter()&amp;I1335&amp;":    UniConst = ChrW(" &amp; I1335 &amp;")"</f>
        <v>Case et128105:    UniConst = ChrW(128105)</v>
      </c>
    </row>
    <row r="1336" spans="1:11" hidden="1">
      <c r="A1336" t="s">
        <v>2611</v>
      </c>
      <c r="B1336" t="str">
        <f t="shared" si="122"/>
        <v>1F469 1F3FF 200D 1F91D 200D 1F469 1F3FC ; fully-qualified # 👩🏿‍🤝‍👩🏼 E12.0 women holding hands: dark skin tone, medium-light skin tone</v>
      </c>
      <c r="C1336" t="str">
        <f t="shared" si="123"/>
        <v xml:space="preserve">1F469 1F3FF 200D 1F91D 200D 1F469 1F3FC </v>
      </c>
      <c r="D1336">
        <f t="shared" si="124"/>
        <v>40</v>
      </c>
      <c r="E1336" t="str">
        <f t="shared" si="120"/>
        <v xml:space="preserve"> 👩🏿‍🤝‍👩🏼 E12.0 women holding hands: dark skin tone, medium-light skin tone</v>
      </c>
      <c r="F1336" t="b">
        <f t="shared" si="125"/>
        <v>1</v>
      </c>
      <c r="G1336" t="str">
        <f t="shared" si="121"/>
        <v>1F469</v>
      </c>
      <c r="I1336">
        <f>HEX2DEC(Table1[[#This Row],[utf8]])</f>
        <v>128105</v>
      </c>
      <c r="J1336" t="str">
        <f>_xlfn.UNICHAR(HEX2DEC(Table1[[#This Row],[utf8]]))</f>
        <v>👩</v>
      </c>
      <c r="K1336" s="3" t="str" cm="1">
        <f t="array" ref="K1336">"Case "&amp;wRandomLetter()&amp;wRandomLetter()&amp;I1336&amp;":    UniConst = ChrW(" &amp; I1336 &amp;")"</f>
        <v>Case ub128105:    UniConst = ChrW(128105)</v>
      </c>
    </row>
    <row r="1337" spans="1:11" hidden="1">
      <c r="A1337" t="s">
        <v>2612</v>
      </c>
      <c r="B1337" t="str">
        <f t="shared" si="122"/>
        <v>1F469 1F3FF 200D 1F91D 200D 1F469 1F3FD ; fully-qualified # 👩🏿‍🤝‍👩🏽 E12.0 women holding hands: dark skin tone, medium skin tone</v>
      </c>
      <c r="C1337" t="str">
        <f t="shared" si="123"/>
        <v xml:space="preserve">1F469 1F3FF 200D 1F91D 200D 1F469 1F3FD </v>
      </c>
      <c r="D1337">
        <f t="shared" si="124"/>
        <v>40</v>
      </c>
      <c r="E1337" t="str">
        <f t="shared" si="120"/>
        <v xml:space="preserve"> 👩🏿‍🤝‍👩🏽 E12.0 women holding hands: dark skin tone, medium skin tone</v>
      </c>
      <c r="F1337" t="b">
        <f t="shared" si="125"/>
        <v>1</v>
      </c>
      <c r="G1337" t="str">
        <f t="shared" si="121"/>
        <v>1F469</v>
      </c>
      <c r="I1337">
        <f>HEX2DEC(Table1[[#This Row],[utf8]])</f>
        <v>128105</v>
      </c>
      <c r="J1337" t="str">
        <f>_xlfn.UNICHAR(HEX2DEC(Table1[[#This Row],[utf8]]))</f>
        <v>👩</v>
      </c>
      <c r="K1337" s="3" t="str" cm="1">
        <f t="array" ref="K1337">"Case "&amp;wRandomLetter()&amp;wRandomLetter()&amp;I1337&amp;":    UniConst = ChrW(" &amp; I1337 &amp;")"</f>
        <v>Case jh128105:    UniConst = ChrW(128105)</v>
      </c>
    </row>
    <row r="1338" spans="1:11" hidden="1">
      <c r="A1338" t="s">
        <v>2613</v>
      </c>
      <c r="B1338" t="str">
        <f t="shared" si="122"/>
        <v>1F469 1F3FF 200D 1F91D 200D 1F469 1F3FE ; fully-qualified # 👩🏿‍🤝‍👩🏾 E12.0 women holding hands: dark skin tone, medium-dark skin tone</v>
      </c>
      <c r="C1338" t="str">
        <f t="shared" si="123"/>
        <v xml:space="preserve">1F469 1F3FF 200D 1F91D 200D 1F469 1F3FE </v>
      </c>
      <c r="D1338">
        <f t="shared" si="124"/>
        <v>40</v>
      </c>
      <c r="E1338" t="str">
        <f t="shared" si="120"/>
        <v xml:space="preserve"> 👩🏿‍🤝‍👩🏾 E12.0 women holding hands: dark skin tone, medium-dark skin tone</v>
      </c>
      <c r="F1338" t="b">
        <f t="shared" si="125"/>
        <v>1</v>
      </c>
      <c r="G1338" t="str">
        <f t="shared" si="121"/>
        <v>1F469</v>
      </c>
      <c r="I1338">
        <f>HEX2DEC(Table1[[#This Row],[utf8]])</f>
        <v>128105</v>
      </c>
      <c r="J1338" t="str">
        <f>_xlfn.UNICHAR(HEX2DEC(Table1[[#This Row],[utf8]]))</f>
        <v>👩</v>
      </c>
      <c r="K1338" s="3" t="str" cm="1">
        <f t="array" ref="K1338">"Case "&amp;wRandomLetter()&amp;wRandomLetter()&amp;I1338&amp;":    UniConst = ChrW(" &amp; I1338 &amp;")"</f>
        <v>Case ac128105:    UniConst = ChrW(128105)</v>
      </c>
    </row>
    <row r="1339" spans="1:11" hidden="1">
      <c r="A1339" t="s">
        <v>1972</v>
      </c>
      <c r="B1339" t="str">
        <f t="shared" si="122"/>
        <v>1F469 1F3FF 200D 1F9AF ; fully-qualified # 👩🏿‍🦯 E12.0 woman with white cane: dark skin tone</v>
      </c>
      <c r="C1339" t="str">
        <f t="shared" si="123"/>
        <v xml:space="preserve">1F469 1F3FF 200D 1F9AF </v>
      </c>
      <c r="D1339">
        <f t="shared" si="124"/>
        <v>23</v>
      </c>
      <c r="E1339" t="str">
        <f t="shared" si="120"/>
        <v xml:space="preserve"> 👩🏿‍🦯 E12.0 woman with white cane: dark skin tone</v>
      </c>
      <c r="F1339" t="b">
        <f t="shared" si="125"/>
        <v>1</v>
      </c>
      <c r="G1339" t="str">
        <f t="shared" si="121"/>
        <v>1F469</v>
      </c>
      <c r="I1339">
        <f>HEX2DEC(Table1[[#This Row],[utf8]])</f>
        <v>128105</v>
      </c>
      <c r="J1339" t="str">
        <f>_xlfn.UNICHAR(HEX2DEC(Table1[[#This Row],[utf8]]))</f>
        <v>👩</v>
      </c>
      <c r="K1339" s="3" t="str" cm="1">
        <f t="array" ref="K1339">"Case "&amp;wRandomLetter()&amp;wRandomLetter()&amp;I1339&amp;":    UniConst = ChrW(" &amp; I1339 &amp;")"</f>
        <v>Case YQ128105:    UniConst = ChrW(128105)</v>
      </c>
    </row>
    <row r="1340" spans="1:11" hidden="1">
      <c r="A1340" t="s">
        <v>555</v>
      </c>
      <c r="B1340" t="str">
        <f t="shared" si="122"/>
        <v>1F469 1F3FF 200D 1F9B0 ; fully-qualified # 👩🏿‍🦰 E11.0 woman: dark skin tone, red hair</v>
      </c>
      <c r="C1340" t="str">
        <f t="shared" si="123"/>
        <v xml:space="preserve">1F469 1F3FF 200D 1F9B0 </v>
      </c>
      <c r="D1340">
        <f t="shared" si="124"/>
        <v>23</v>
      </c>
      <c r="E1340" t="str">
        <f t="shared" si="120"/>
        <v xml:space="preserve"> 👩🏿‍🦰 E11.0 woman: dark skin tone, red hair</v>
      </c>
      <c r="F1340" t="b">
        <f t="shared" si="125"/>
        <v>1</v>
      </c>
      <c r="G1340" t="str">
        <f t="shared" si="121"/>
        <v>1F469</v>
      </c>
      <c r="I1340">
        <f>HEX2DEC(Table1[[#This Row],[utf8]])</f>
        <v>128105</v>
      </c>
      <c r="J1340" t="str">
        <f>_xlfn.UNICHAR(HEX2DEC(Table1[[#This Row],[utf8]]))</f>
        <v>👩</v>
      </c>
      <c r="K1340" s="3" t="str" cm="1">
        <f t="array" ref="K1340">"Case "&amp;wRandomLetter()&amp;wRandomLetter()&amp;I1340&amp;":    UniConst = ChrW(" &amp; I1340 &amp;")"</f>
        <v>Case VX128105:    UniConst = ChrW(128105)</v>
      </c>
    </row>
    <row r="1341" spans="1:11" hidden="1">
      <c r="A1341" t="s">
        <v>567</v>
      </c>
      <c r="B1341" t="str">
        <f t="shared" si="122"/>
        <v>1F469 1F3FF 200D 1F9B1 ; fully-qualified # 👩🏿‍🦱 E11.0 woman: dark skin tone, curly hair</v>
      </c>
      <c r="C1341" t="str">
        <f t="shared" si="123"/>
        <v xml:space="preserve">1F469 1F3FF 200D 1F9B1 </v>
      </c>
      <c r="D1341">
        <f t="shared" si="124"/>
        <v>23</v>
      </c>
      <c r="E1341" t="str">
        <f t="shared" si="120"/>
        <v xml:space="preserve"> 👩🏿‍🦱 E11.0 woman: dark skin tone, curly hair</v>
      </c>
      <c r="F1341" t="b">
        <f t="shared" si="125"/>
        <v>1</v>
      </c>
      <c r="G1341" t="str">
        <f t="shared" si="121"/>
        <v>1F469</v>
      </c>
      <c r="I1341">
        <f>HEX2DEC(Table1[[#This Row],[utf8]])</f>
        <v>128105</v>
      </c>
      <c r="J1341" t="str">
        <f>_xlfn.UNICHAR(HEX2DEC(Table1[[#This Row],[utf8]]))</f>
        <v>👩</v>
      </c>
      <c r="K1341" s="3" t="str" cm="1">
        <f t="array" ref="K1341">"Case "&amp;wRandomLetter()&amp;wRandomLetter()&amp;I1341&amp;":    UniConst = ChrW(" &amp; I1341 &amp;")"</f>
        <v>Case yU128105:    UniConst = ChrW(128105)</v>
      </c>
    </row>
    <row r="1342" spans="1:11" hidden="1">
      <c r="A1342" t="s">
        <v>591</v>
      </c>
      <c r="B1342" t="str">
        <f t="shared" si="122"/>
        <v>1F469 1F3FF 200D 1F9B2 ; fully-qualified # 👩🏿‍🦲 E11.0 woman: dark skin tone, bald</v>
      </c>
      <c r="C1342" t="str">
        <f t="shared" si="123"/>
        <v xml:space="preserve">1F469 1F3FF 200D 1F9B2 </v>
      </c>
      <c r="D1342">
        <f t="shared" si="124"/>
        <v>23</v>
      </c>
      <c r="E1342" t="str">
        <f t="shared" si="120"/>
        <v xml:space="preserve"> 👩🏿‍🦲 E11.0 woman: dark skin tone, bald</v>
      </c>
      <c r="F1342" t="b">
        <f t="shared" si="125"/>
        <v>1</v>
      </c>
      <c r="G1342" t="str">
        <f t="shared" si="121"/>
        <v>1F469</v>
      </c>
      <c r="I1342">
        <f>HEX2DEC(Table1[[#This Row],[utf8]])</f>
        <v>128105</v>
      </c>
      <c r="J1342" t="str">
        <f>_xlfn.UNICHAR(HEX2DEC(Table1[[#This Row],[utf8]]))</f>
        <v>👩</v>
      </c>
      <c r="K1342" s="3" t="str" cm="1">
        <f t="array" ref="K1342">"Case "&amp;wRandomLetter()&amp;wRandomLetter()&amp;I1342&amp;":    UniConst = ChrW(" &amp; I1342 &amp;")"</f>
        <v>Case bF128105:    UniConst = ChrW(128105)</v>
      </c>
    </row>
    <row r="1343" spans="1:11" hidden="1">
      <c r="A1343" t="s">
        <v>579</v>
      </c>
      <c r="B1343" t="str">
        <f t="shared" si="122"/>
        <v>1F469 1F3FF 200D 1F9B3 ; fully-qualified # 👩🏿‍🦳 E11.0 woman: dark skin tone, white hair</v>
      </c>
      <c r="C1343" t="str">
        <f t="shared" si="123"/>
        <v xml:space="preserve">1F469 1F3FF 200D 1F9B3 </v>
      </c>
      <c r="D1343">
        <f t="shared" si="124"/>
        <v>23</v>
      </c>
      <c r="E1343" t="str">
        <f t="shared" si="120"/>
        <v xml:space="preserve"> 👩🏿‍🦳 E11.0 woman: dark skin tone, white hair</v>
      </c>
      <c r="F1343" t="b">
        <f t="shared" si="125"/>
        <v>1</v>
      </c>
      <c r="G1343" t="str">
        <f t="shared" si="121"/>
        <v>1F469</v>
      </c>
      <c r="I1343">
        <f>HEX2DEC(Table1[[#This Row],[utf8]])</f>
        <v>128105</v>
      </c>
      <c r="J1343" t="str">
        <f>_xlfn.UNICHAR(HEX2DEC(Table1[[#This Row],[utf8]]))</f>
        <v>👩</v>
      </c>
      <c r="K1343" s="3" t="str" cm="1">
        <f t="array" ref="K1343">"Case "&amp;wRandomLetter()&amp;wRandomLetter()&amp;I1343&amp;":    UniConst = ChrW(" &amp; I1343 &amp;")"</f>
        <v>Case fs128105:    UniConst = ChrW(128105)</v>
      </c>
    </row>
    <row r="1344" spans="1:11" hidden="1">
      <c r="A1344" t="s">
        <v>1990</v>
      </c>
      <c r="B1344" t="str">
        <f t="shared" si="122"/>
        <v>1F469 1F3FF 200D 1F9BC ; fully-qualified # 👩🏿‍🦼 E12.0 woman in motorized wheelchair: dark skin tone</v>
      </c>
      <c r="C1344" t="str">
        <f t="shared" si="123"/>
        <v xml:space="preserve">1F469 1F3FF 200D 1F9BC </v>
      </c>
      <c r="D1344">
        <f t="shared" si="124"/>
        <v>23</v>
      </c>
      <c r="E1344" t="str">
        <f t="shared" si="120"/>
        <v xml:space="preserve"> 👩🏿‍🦼 E12.0 woman in motorized wheelchair: dark skin tone</v>
      </c>
      <c r="F1344" t="b">
        <f t="shared" si="125"/>
        <v>1</v>
      </c>
      <c r="G1344" t="str">
        <f t="shared" si="121"/>
        <v>1F469</v>
      </c>
      <c r="I1344">
        <f>HEX2DEC(Table1[[#This Row],[utf8]])</f>
        <v>128105</v>
      </c>
      <c r="J1344" t="str">
        <f>_xlfn.UNICHAR(HEX2DEC(Table1[[#This Row],[utf8]]))</f>
        <v>👩</v>
      </c>
      <c r="K1344" s="3" t="str" cm="1">
        <f t="array" ref="K1344">"Case "&amp;wRandomLetter()&amp;wRandomLetter()&amp;I1344&amp;":    UniConst = ChrW(" &amp; I1344 &amp;")"</f>
        <v>Case xI128105:    UniConst = ChrW(128105)</v>
      </c>
    </row>
    <row r="1345" spans="1:11" hidden="1">
      <c r="A1345" t="s">
        <v>2008</v>
      </c>
      <c r="B1345" t="str">
        <f t="shared" si="122"/>
        <v>1F469 1F3FF 200D 1F9BD ; fully-qualified # 👩🏿‍🦽 E12.0 woman in manual wheelchair: dark skin tone</v>
      </c>
      <c r="C1345" t="str">
        <f t="shared" si="123"/>
        <v xml:space="preserve">1F469 1F3FF 200D 1F9BD </v>
      </c>
      <c r="D1345">
        <f t="shared" si="124"/>
        <v>23</v>
      </c>
      <c r="E1345" t="str">
        <f t="shared" si="120"/>
        <v xml:space="preserve"> 👩🏿‍🦽 E12.0 woman in manual wheelchair: dark skin tone</v>
      </c>
      <c r="F1345" t="b">
        <f t="shared" si="125"/>
        <v>1</v>
      </c>
      <c r="G1345" t="str">
        <f t="shared" si="121"/>
        <v>1F469</v>
      </c>
      <c r="I1345">
        <f>HEX2DEC(Table1[[#This Row],[utf8]])</f>
        <v>128105</v>
      </c>
      <c r="J1345" t="str">
        <f>_xlfn.UNICHAR(HEX2DEC(Table1[[#This Row],[utf8]]))</f>
        <v>👩</v>
      </c>
      <c r="K1345" s="3" t="str" cm="1">
        <f t="array" ref="K1345">"Case "&amp;wRandomLetter()&amp;wRandomLetter()&amp;I1345&amp;":    UniConst = ChrW(" &amp; I1345 &amp;")"</f>
        <v>Case lG128105:    UniConst = ChrW(128105)</v>
      </c>
    </row>
    <row r="1346" spans="1:11" hidden="1">
      <c r="A1346" t="s">
        <v>977</v>
      </c>
      <c r="B1346" t="str">
        <f t="shared" si="122"/>
        <v>1F469 1F3FF 200D 2695 ; minimally-qualified # 👩🏿‍⚕ E4.0 woman health worker: dark skin tone</v>
      </c>
      <c r="C1346" t="str">
        <f t="shared" si="123"/>
        <v xml:space="preserve">1F469 1F3FF 200D 2695 </v>
      </c>
      <c r="D1346">
        <f t="shared" si="124"/>
        <v>22</v>
      </c>
      <c r="E1346" t="str">
        <f t="shared" ref="E1346:E1409" si="126">MID(A1346,FIND("#",A1346)+1,256)</f>
        <v xml:space="preserve"> 👩🏿‍⚕ E4.0 woman health worker: dark skin tone</v>
      </c>
      <c r="F1346" t="b">
        <f t="shared" si="125"/>
        <v>1</v>
      </c>
      <c r="G1346" t="str">
        <f t="shared" ref="G1346:G1409" si="127">LEFT(C1346,(FIND(" ",C1346,1)-1))</f>
        <v>1F469</v>
      </c>
      <c r="I1346">
        <f>HEX2DEC(Table1[[#This Row],[utf8]])</f>
        <v>128105</v>
      </c>
      <c r="J1346" t="str">
        <f>_xlfn.UNICHAR(HEX2DEC(Table1[[#This Row],[utf8]]))</f>
        <v>👩</v>
      </c>
      <c r="K1346" s="3" t="str" cm="1">
        <f t="array" ref="K1346">"Case "&amp;wRandomLetter()&amp;wRandomLetter()&amp;I1346&amp;":    UniConst = ChrW(" &amp; I1346 &amp;")"</f>
        <v>Case gp128105:    UniConst = ChrW(128105)</v>
      </c>
    </row>
    <row r="1347" spans="1:11" hidden="1">
      <c r="A1347" t="s">
        <v>976</v>
      </c>
      <c r="B1347" t="str">
        <f t="shared" ref="B1347:B1410" si="128">TRIM(A1347)</f>
        <v>1F469 1F3FF 200D 2695 FE0F ; fully-qualified # 👩🏿‍⚕️ E4.0 woman health worker: dark skin tone</v>
      </c>
      <c r="C1347" t="str">
        <f t="shared" ref="C1347:C1410" si="129">LEFT(B1347,(FIND(";",B1347,1)-1))</f>
        <v xml:space="preserve">1F469 1F3FF 200D 2695 FE0F </v>
      </c>
      <c r="D1347">
        <f t="shared" ref="D1347:D1410" si="130">LEN(C1347)</f>
        <v>27</v>
      </c>
      <c r="E1347" t="str">
        <f t="shared" si="126"/>
        <v xml:space="preserve"> 👩🏿‍⚕️ E4.0 woman health worker: dark skin tone</v>
      </c>
      <c r="F1347" t="b">
        <f t="shared" ref="F1347:F1410" si="131">IF(LEFT(C1347,2)="1F",TRUE,FALSE)</f>
        <v>1</v>
      </c>
      <c r="G1347" t="str">
        <f t="shared" si="127"/>
        <v>1F469</v>
      </c>
      <c r="I1347">
        <f>HEX2DEC(Table1[[#This Row],[utf8]])</f>
        <v>128105</v>
      </c>
      <c r="J1347" t="str">
        <f>_xlfn.UNICHAR(HEX2DEC(Table1[[#This Row],[utf8]]))</f>
        <v>👩</v>
      </c>
      <c r="K1347" s="3" t="str" cm="1">
        <f t="array" ref="K1347">"Case "&amp;wRandomLetter()&amp;wRandomLetter()&amp;I1347&amp;":    UniConst = ChrW(" &amp; I1347 &amp;")"</f>
        <v>Case OB128105:    UniConst = ChrW(128105)</v>
      </c>
    </row>
    <row r="1348" spans="1:11" hidden="1">
      <c r="A1348" t="s">
        <v>1049</v>
      </c>
      <c r="B1348" t="str">
        <f t="shared" si="128"/>
        <v>1F469 1F3FF 200D 2696 ; minimally-qualified # 👩🏿‍⚖ E4.0 woman judge: dark skin tone</v>
      </c>
      <c r="C1348" t="str">
        <f t="shared" si="129"/>
        <v xml:space="preserve">1F469 1F3FF 200D 2696 </v>
      </c>
      <c r="D1348">
        <f t="shared" si="130"/>
        <v>22</v>
      </c>
      <c r="E1348" t="str">
        <f t="shared" si="126"/>
        <v xml:space="preserve"> 👩🏿‍⚖ E4.0 woman judge: dark skin tone</v>
      </c>
      <c r="F1348" t="b">
        <f t="shared" si="131"/>
        <v>1</v>
      </c>
      <c r="G1348" t="str">
        <f t="shared" si="127"/>
        <v>1F469</v>
      </c>
      <c r="I1348">
        <f>HEX2DEC(Table1[[#This Row],[utf8]])</f>
        <v>128105</v>
      </c>
      <c r="J1348" t="str">
        <f>_xlfn.UNICHAR(HEX2DEC(Table1[[#This Row],[utf8]]))</f>
        <v>👩</v>
      </c>
      <c r="K1348" s="3" t="str" cm="1">
        <f t="array" ref="K1348">"Case "&amp;wRandomLetter()&amp;wRandomLetter()&amp;I1348&amp;":    UniConst = ChrW(" &amp; I1348 &amp;")"</f>
        <v>Case LY128105:    UniConst = ChrW(128105)</v>
      </c>
    </row>
    <row r="1349" spans="1:11" hidden="1">
      <c r="A1349" t="s">
        <v>1048</v>
      </c>
      <c r="B1349" t="str">
        <f t="shared" si="128"/>
        <v>1F469 1F3FF 200D 2696 FE0F ; fully-qualified # 👩🏿‍⚖️ E4.0 woman judge: dark skin tone</v>
      </c>
      <c r="C1349" t="str">
        <f t="shared" si="129"/>
        <v xml:space="preserve">1F469 1F3FF 200D 2696 FE0F </v>
      </c>
      <c r="D1349">
        <f t="shared" si="130"/>
        <v>27</v>
      </c>
      <c r="E1349" t="str">
        <f t="shared" si="126"/>
        <v xml:space="preserve"> 👩🏿‍⚖️ E4.0 woman judge: dark skin tone</v>
      </c>
      <c r="F1349" t="b">
        <f t="shared" si="131"/>
        <v>1</v>
      </c>
      <c r="G1349" t="str">
        <f t="shared" si="127"/>
        <v>1F469</v>
      </c>
      <c r="I1349">
        <f>HEX2DEC(Table1[[#This Row],[utf8]])</f>
        <v>128105</v>
      </c>
      <c r="J1349" t="str">
        <f>_xlfn.UNICHAR(HEX2DEC(Table1[[#This Row],[utf8]]))</f>
        <v>👩</v>
      </c>
      <c r="K1349" s="3" t="str" cm="1">
        <f t="array" ref="K1349">"Case "&amp;wRandomLetter()&amp;wRandomLetter()&amp;I1349&amp;":    UniConst = ChrW(" &amp; I1349 &amp;")"</f>
        <v>Case aE128105:    UniConst = ChrW(128105)</v>
      </c>
    </row>
    <row r="1350" spans="1:11" hidden="1">
      <c r="A1350" t="s">
        <v>1247</v>
      </c>
      <c r="B1350" t="str">
        <f t="shared" si="128"/>
        <v>1F469 1F3FF 200D 2708 ; minimally-qualified # 👩🏿‍✈ E4.0 woman pilot: dark skin tone</v>
      </c>
      <c r="C1350" t="str">
        <f t="shared" si="129"/>
        <v xml:space="preserve">1F469 1F3FF 200D 2708 </v>
      </c>
      <c r="D1350">
        <f t="shared" si="130"/>
        <v>22</v>
      </c>
      <c r="E1350" t="str">
        <f t="shared" si="126"/>
        <v xml:space="preserve"> 👩🏿‍✈ E4.0 woman pilot: dark skin tone</v>
      </c>
      <c r="F1350" t="b">
        <f t="shared" si="131"/>
        <v>1</v>
      </c>
      <c r="G1350" t="str">
        <f t="shared" si="127"/>
        <v>1F469</v>
      </c>
      <c r="I1350">
        <f>HEX2DEC(Table1[[#This Row],[utf8]])</f>
        <v>128105</v>
      </c>
      <c r="J1350" t="str">
        <f>_xlfn.UNICHAR(HEX2DEC(Table1[[#This Row],[utf8]]))</f>
        <v>👩</v>
      </c>
      <c r="K1350" s="3" t="str" cm="1">
        <f t="array" ref="K1350">"Case "&amp;wRandomLetter()&amp;wRandomLetter()&amp;I1350&amp;":    UniConst = ChrW(" &amp; I1350 &amp;")"</f>
        <v>Case HI128105:    UniConst = ChrW(128105)</v>
      </c>
    </row>
    <row r="1351" spans="1:11" hidden="1">
      <c r="A1351" t="s">
        <v>1246</v>
      </c>
      <c r="B1351" t="str">
        <f t="shared" si="128"/>
        <v>1F469 1F3FF 200D 2708 FE0F ; fully-qualified # 👩🏿‍✈️ E4.0 woman pilot: dark skin tone</v>
      </c>
      <c r="C1351" t="str">
        <f t="shared" si="129"/>
        <v xml:space="preserve">1F469 1F3FF 200D 2708 FE0F </v>
      </c>
      <c r="D1351">
        <f t="shared" si="130"/>
        <v>27</v>
      </c>
      <c r="E1351" t="str">
        <f t="shared" si="126"/>
        <v xml:space="preserve"> 👩🏿‍✈️ E4.0 woman pilot: dark skin tone</v>
      </c>
      <c r="F1351" t="b">
        <f t="shared" si="131"/>
        <v>1</v>
      </c>
      <c r="G1351" t="str">
        <f t="shared" si="127"/>
        <v>1F469</v>
      </c>
      <c r="I1351">
        <f>HEX2DEC(Table1[[#This Row],[utf8]])</f>
        <v>128105</v>
      </c>
      <c r="J1351" t="str">
        <f>_xlfn.UNICHAR(HEX2DEC(Table1[[#This Row],[utf8]]))</f>
        <v>👩</v>
      </c>
      <c r="K1351" s="3" t="str" cm="1">
        <f t="array" ref="K1351">"Case "&amp;wRandomLetter()&amp;wRandomLetter()&amp;I1351&amp;":    UniConst = ChrW(" &amp; I1351 &amp;")"</f>
        <v>Case pU128105:    UniConst = ChrW(128105)</v>
      </c>
    </row>
    <row r="1352" spans="1:11" hidden="1">
      <c r="A1352" t="s">
        <v>2958</v>
      </c>
      <c r="B1352" t="str">
        <f t="shared" si="128"/>
        <v>1F469 1F3FF 200D 2764 200D 1F468 1F3FB ; minimally-qualified # 👩🏿‍❤‍👨🏻 E13.1 couple with heart: woman, man, dark skin tone, light skin tone</v>
      </c>
      <c r="C1352" t="str">
        <f t="shared" si="129"/>
        <v xml:space="preserve">1F469 1F3FF 200D 2764 200D 1F468 1F3FB </v>
      </c>
      <c r="D1352">
        <f t="shared" si="130"/>
        <v>39</v>
      </c>
      <c r="E1352" t="str">
        <f t="shared" si="126"/>
        <v xml:space="preserve"> 👩🏿‍❤‍👨🏻 E13.1 couple with heart: woman, man, dark skin tone, light skin tone</v>
      </c>
      <c r="F1352" t="b">
        <f t="shared" si="131"/>
        <v>1</v>
      </c>
      <c r="G1352" t="str">
        <f t="shared" si="127"/>
        <v>1F469</v>
      </c>
      <c r="I1352">
        <f>HEX2DEC(Table1[[#This Row],[utf8]])</f>
        <v>128105</v>
      </c>
      <c r="J1352" t="str">
        <f>_xlfn.UNICHAR(HEX2DEC(Table1[[#This Row],[utf8]]))</f>
        <v>👩</v>
      </c>
      <c r="K1352" s="3" t="str" cm="1">
        <f t="array" ref="K1352">"Case "&amp;wRandomLetter()&amp;wRandomLetter()&amp;I1352&amp;":    UniConst = ChrW(" &amp; I1352 &amp;")"</f>
        <v>Case pV128105:    UniConst = ChrW(128105)</v>
      </c>
    </row>
    <row r="1353" spans="1:11" hidden="1">
      <c r="A1353" t="s">
        <v>2960</v>
      </c>
      <c r="B1353" t="str">
        <f t="shared" si="128"/>
        <v>1F469 1F3FF 200D 2764 200D 1F468 1F3FC ; minimally-qualified # 👩🏿‍❤‍👨🏼 E13.1 couple with heart: woman, man, dark skin tone, medium-light skin tone</v>
      </c>
      <c r="C1353" t="str">
        <f t="shared" si="129"/>
        <v xml:space="preserve">1F469 1F3FF 200D 2764 200D 1F468 1F3FC </v>
      </c>
      <c r="D1353">
        <f t="shared" si="130"/>
        <v>39</v>
      </c>
      <c r="E1353" t="str">
        <f t="shared" si="126"/>
        <v xml:space="preserve"> 👩🏿‍❤‍👨🏼 E13.1 couple with heart: woman, man, dark skin tone, medium-light skin tone</v>
      </c>
      <c r="F1353" t="b">
        <f t="shared" si="131"/>
        <v>1</v>
      </c>
      <c r="G1353" t="str">
        <f t="shared" si="127"/>
        <v>1F469</v>
      </c>
      <c r="I1353">
        <f>HEX2DEC(Table1[[#This Row],[utf8]])</f>
        <v>128105</v>
      </c>
      <c r="J1353" t="str">
        <f>_xlfn.UNICHAR(HEX2DEC(Table1[[#This Row],[utf8]]))</f>
        <v>👩</v>
      </c>
      <c r="K1353" s="3" t="str" cm="1">
        <f t="array" ref="K1353">"Case "&amp;wRandomLetter()&amp;wRandomLetter()&amp;I1353&amp;":    UniConst = ChrW(" &amp; I1353 &amp;")"</f>
        <v>Case ot128105:    UniConst = ChrW(128105)</v>
      </c>
    </row>
    <row r="1354" spans="1:11" hidden="1">
      <c r="A1354" t="s">
        <v>2962</v>
      </c>
      <c r="B1354" t="str">
        <f t="shared" si="128"/>
        <v>1F469 1F3FF 200D 2764 200D 1F468 1F3FD ; minimally-qualified # 👩🏿‍❤‍👨🏽 E13.1 couple with heart: woman, man, dark skin tone, medium skin tone</v>
      </c>
      <c r="C1354" t="str">
        <f t="shared" si="129"/>
        <v xml:space="preserve">1F469 1F3FF 200D 2764 200D 1F468 1F3FD </v>
      </c>
      <c r="D1354">
        <f t="shared" si="130"/>
        <v>39</v>
      </c>
      <c r="E1354" t="str">
        <f t="shared" si="126"/>
        <v xml:space="preserve"> 👩🏿‍❤‍👨🏽 E13.1 couple with heart: woman, man, dark skin tone, medium skin tone</v>
      </c>
      <c r="F1354" t="b">
        <f t="shared" si="131"/>
        <v>1</v>
      </c>
      <c r="G1354" t="str">
        <f t="shared" si="127"/>
        <v>1F469</v>
      </c>
      <c r="I1354">
        <f>HEX2DEC(Table1[[#This Row],[utf8]])</f>
        <v>128105</v>
      </c>
      <c r="J1354" t="str">
        <f>_xlfn.UNICHAR(HEX2DEC(Table1[[#This Row],[utf8]]))</f>
        <v>👩</v>
      </c>
      <c r="K1354" s="3" t="str" cm="1">
        <f t="array" ref="K1354">"Case "&amp;wRandomLetter()&amp;wRandomLetter()&amp;I1354&amp;":    UniConst = ChrW(" &amp; I1354 &amp;")"</f>
        <v>Case ZD128105:    UniConst = ChrW(128105)</v>
      </c>
    </row>
    <row r="1355" spans="1:11" hidden="1">
      <c r="A1355" t="s">
        <v>2964</v>
      </c>
      <c r="B1355" t="str">
        <f t="shared" si="128"/>
        <v>1F469 1F3FF 200D 2764 200D 1F468 1F3FE ; minimally-qualified # 👩🏿‍❤‍👨🏾 E13.1 couple with heart: woman, man, dark skin tone, medium-dark skin tone</v>
      </c>
      <c r="C1355" t="str">
        <f t="shared" si="129"/>
        <v xml:space="preserve">1F469 1F3FF 200D 2764 200D 1F468 1F3FE </v>
      </c>
      <c r="D1355">
        <f t="shared" si="130"/>
        <v>39</v>
      </c>
      <c r="E1355" t="str">
        <f t="shared" si="126"/>
        <v xml:space="preserve"> 👩🏿‍❤‍👨🏾 E13.1 couple with heart: woman, man, dark skin tone, medium-dark skin tone</v>
      </c>
      <c r="F1355" t="b">
        <f t="shared" si="131"/>
        <v>1</v>
      </c>
      <c r="G1355" t="str">
        <f t="shared" si="127"/>
        <v>1F469</v>
      </c>
      <c r="I1355">
        <f>HEX2DEC(Table1[[#This Row],[utf8]])</f>
        <v>128105</v>
      </c>
      <c r="J1355" t="str">
        <f>_xlfn.UNICHAR(HEX2DEC(Table1[[#This Row],[utf8]]))</f>
        <v>👩</v>
      </c>
      <c r="K1355" s="3" t="str" cm="1">
        <f t="array" ref="K1355">"Case "&amp;wRandomLetter()&amp;wRandomLetter()&amp;I1355&amp;":    UniConst = ChrW(" &amp; I1355 &amp;")"</f>
        <v>Case Iw128105:    UniConst = ChrW(128105)</v>
      </c>
    </row>
    <row r="1356" spans="1:11" hidden="1">
      <c r="A1356" t="s">
        <v>2966</v>
      </c>
      <c r="B1356" t="str">
        <f t="shared" si="128"/>
        <v>1F469 1F3FF 200D 2764 200D 1F468 1F3FF ; minimally-qualified # 👩🏿‍❤‍👨🏿 E13.1 couple with heart: woman, man, dark skin tone</v>
      </c>
      <c r="C1356" t="str">
        <f t="shared" si="129"/>
        <v xml:space="preserve">1F469 1F3FF 200D 2764 200D 1F468 1F3FF </v>
      </c>
      <c r="D1356">
        <f t="shared" si="130"/>
        <v>39</v>
      </c>
      <c r="E1356" t="str">
        <f t="shared" si="126"/>
        <v xml:space="preserve"> 👩🏿‍❤‍👨🏿 E13.1 couple with heart: woman, man, dark skin tone</v>
      </c>
      <c r="F1356" t="b">
        <f t="shared" si="131"/>
        <v>1</v>
      </c>
      <c r="G1356" t="str">
        <f t="shared" si="127"/>
        <v>1F469</v>
      </c>
      <c r="I1356">
        <f>HEX2DEC(Table1[[#This Row],[utf8]])</f>
        <v>128105</v>
      </c>
      <c r="J1356" t="str">
        <f>_xlfn.UNICHAR(HEX2DEC(Table1[[#This Row],[utf8]]))</f>
        <v>👩</v>
      </c>
      <c r="K1356" s="3" t="str" cm="1">
        <f t="array" ref="K1356">"Case "&amp;wRandomLetter()&amp;wRandomLetter()&amp;I1356&amp;":    UniConst = ChrW(" &amp; I1356 &amp;")"</f>
        <v>Case CK128105:    UniConst = ChrW(128105)</v>
      </c>
    </row>
    <row r="1357" spans="1:11" hidden="1">
      <c r="A1357" t="s">
        <v>3062</v>
      </c>
      <c r="B1357" t="str">
        <f t="shared" si="128"/>
        <v>1F469 1F3FF 200D 2764 200D 1F469 1F3FB ; minimally-qualified # 👩🏿‍❤‍👩🏻 E13.1 couple with heart: woman, woman, dark skin tone, light skin tone</v>
      </c>
      <c r="C1357" t="str">
        <f t="shared" si="129"/>
        <v xml:space="preserve">1F469 1F3FF 200D 2764 200D 1F469 1F3FB </v>
      </c>
      <c r="D1357">
        <f t="shared" si="130"/>
        <v>39</v>
      </c>
      <c r="E1357" t="str">
        <f t="shared" si="126"/>
        <v xml:space="preserve"> 👩🏿‍❤‍👩🏻 E13.1 couple with heart: woman, woman, dark skin tone, light skin tone</v>
      </c>
      <c r="F1357" t="b">
        <f t="shared" si="131"/>
        <v>1</v>
      </c>
      <c r="G1357" t="str">
        <f t="shared" si="127"/>
        <v>1F469</v>
      </c>
      <c r="I1357">
        <f>HEX2DEC(Table1[[#This Row],[utf8]])</f>
        <v>128105</v>
      </c>
      <c r="J1357" t="str">
        <f>_xlfn.UNICHAR(HEX2DEC(Table1[[#This Row],[utf8]]))</f>
        <v>👩</v>
      </c>
      <c r="K1357" s="3" t="str" cm="1">
        <f t="array" ref="K1357">"Case "&amp;wRandomLetter()&amp;wRandomLetter()&amp;I1357&amp;":    UniConst = ChrW(" &amp; I1357 &amp;")"</f>
        <v>Case Bi128105:    UniConst = ChrW(128105)</v>
      </c>
    </row>
    <row r="1358" spans="1:11" hidden="1">
      <c r="A1358" t="s">
        <v>3064</v>
      </c>
      <c r="B1358" t="str">
        <f t="shared" si="128"/>
        <v>1F469 1F3FF 200D 2764 200D 1F469 1F3FC ; minimally-qualified # 👩🏿‍❤‍👩🏼 E13.1 couple with heart: woman, woman, dark skin tone, medium-light skin tone</v>
      </c>
      <c r="C1358" t="str">
        <f t="shared" si="129"/>
        <v xml:space="preserve">1F469 1F3FF 200D 2764 200D 1F469 1F3FC </v>
      </c>
      <c r="D1358">
        <f t="shared" si="130"/>
        <v>39</v>
      </c>
      <c r="E1358" t="str">
        <f t="shared" si="126"/>
        <v xml:space="preserve"> 👩🏿‍❤‍👩🏼 E13.1 couple with heart: woman, woman, dark skin tone, medium-light skin tone</v>
      </c>
      <c r="F1358" t="b">
        <f t="shared" si="131"/>
        <v>1</v>
      </c>
      <c r="G1358" t="str">
        <f t="shared" si="127"/>
        <v>1F469</v>
      </c>
      <c r="I1358">
        <f>HEX2DEC(Table1[[#This Row],[utf8]])</f>
        <v>128105</v>
      </c>
      <c r="J1358" t="str">
        <f>_xlfn.UNICHAR(HEX2DEC(Table1[[#This Row],[utf8]]))</f>
        <v>👩</v>
      </c>
      <c r="K1358" s="3" t="str" cm="1">
        <f t="array" ref="K1358">"Case "&amp;wRandomLetter()&amp;wRandomLetter()&amp;I1358&amp;":    UniConst = ChrW(" &amp; I1358 &amp;")"</f>
        <v>Case bm128105:    UniConst = ChrW(128105)</v>
      </c>
    </row>
    <row r="1359" spans="1:11" hidden="1">
      <c r="A1359" t="s">
        <v>3066</v>
      </c>
      <c r="B1359" t="str">
        <f t="shared" si="128"/>
        <v>1F469 1F3FF 200D 2764 200D 1F469 1F3FD ; minimally-qualified # 👩🏿‍❤‍👩🏽 E13.1 couple with heart: woman, woman, dark skin tone, medium skin tone</v>
      </c>
      <c r="C1359" t="str">
        <f t="shared" si="129"/>
        <v xml:space="preserve">1F469 1F3FF 200D 2764 200D 1F469 1F3FD </v>
      </c>
      <c r="D1359">
        <f t="shared" si="130"/>
        <v>39</v>
      </c>
      <c r="E1359" t="str">
        <f t="shared" si="126"/>
        <v xml:space="preserve"> 👩🏿‍❤‍👩🏽 E13.1 couple with heart: woman, woman, dark skin tone, medium skin tone</v>
      </c>
      <c r="F1359" t="b">
        <f t="shared" si="131"/>
        <v>1</v>
      </c>
      <c r="G1359" t="str">
        <f t="shared" si="127"/>
        <v>1F469</v>
      </c>
      <c r="I1359">
        <f>HEX2DEC(Table1[[#This Row],[utf8]])</f>
        <v>128105</v>
      </c>
      <c r="J1359" t="str">
        <f>_xlfn.UNICHAR(HEX2DEC(Table1[[#This Row],[utf8]]))</f>
        <v>👩</v>
      </c>
      <c r="K1359" s="3" t="str" cm="1">
        <f t="array" ref="K1359">"Case "&amp;wRandomLetter()&amp;wRandomLetter()&amp;I1359&amp;":    UniConst = ChrW(" &amp; I1359 &amp;")"</f>
        <v>Case lG128105:    UniConst = ChrW(128105)</v>
      </c>
    </row>
    <row r="1360" spans="1:11" hidden="1">
      <c r="A1360" t="s">
        <v>3068</v>
      </c>
      <c r="B1360" t="str">
        <f t="shared" si="128"/>
        <v>1F469 1F3FF 200D 2764 200D 1F469 1F3FE ; minimally-qualified # 👩🏿‍❤‍👩🏾 E13.1 couple with heart: woman, woman, dark skin tone, medium-dark skin tone</v>
      </c>
      <c r="C1360" t="str">
        <f t="shared" si="129"/>
        <v xml:space="preserve">1F469 1F3FF 200D 2764 200D 1F469 1F3FE </v>
      </c>
      <c r="D1360">
        <f t="shared" si="130"/>
        <v>39</v>
      </c>
      <c r="E1360" t="str">
        <f t="shared" si="126"/>
        <v xml:space="preserve"> 👩🏿‍❤‍👩🏾 E13.1 couple with heart: woman, woman, dark skin tone, medium-dark skin tone</v>
      </c>
      <c r="F1360" t="b">
        <f t="shared" si="131"/>
        <v>1</v>
      </c>
      <c r="G1360" t="str">
        <f t="shared" si="127"/>
        <v>1F469</v>
      </c>
      <c r="I1360">
        <f>HEX2DEC(Table1[[#This Row],[utf8]])</f>
        <v>128105</v>
      </c>
      <c r="J1360" t="str">
        <f>_xlfn.UNICHAR(HEX2DEC(Table1[[#This Row],[utf8]]))</f>
        <v>👩</v>
      </c>
      <c r="K1360" s="3" t="str" cm="1">
        <f t="array" ref="K1360">"Case "&amp;wRandomLetter()&amp;wRandomLetter()&amp;I1360&amp;":    UniConst = ChrW(" &amp; I1360 &amp;")"</f>
        <v>Case qP128105:    UniConst = ChrW(128105)</v>
      </c>
    </row>
    <row r="1361" spans="1:11" hidden="1">
      <c r="A1361" t="s">
        <v>3070</v>
      </c>
      <c r="B1361" t="str">
        <f t="shared" si="128"/>
        <v>1F469 1F3FF 200D 2764 200D 1F469 1F3FF ; minimally-qualified # 👩🏿‍❤‍👩🏿 E13.1 couple with heart: woman, woman, dark skin tone</v>
      </c>
      <c r="C1361" t="str">
        <f t="shared" si="129"/>
        <v xml:space="preserve">1F469 1F3FF 200D 2764 200D 1F469 1F3FF </v>
      </c>
      <c r="D1361">
        <f t="shared" si="130"/>
        <v>39</v>
      </c>
      <c r="E1361" t="str">
        <f t="shared" si="126"/>
        <v xml:space="preserve"> 👩🏿‍❤‍👩🏿 E13.1 couple with heart: woman, woman, dark skin tone</v>
      </c>
      <c r="F1361" t="b">
        <f t="shared" si="131"/>
        <v>1</v>
      </c>
      <c r="G1361" t="str">
        <f t="shared" si="127"/>
        <v>1F469</v>
      </c>
      <c r="I1361">
        <f>HEX2DEC(Table1[[#This Row],[utf8]])</f>
        <v>128105</v>
      </c>
      <c r="J1361" t="str">
        <f>_xlfn.UNICHAR(HEX2DEC(Table1[[#This Row],[utf8]]))</f>
        <v>👩</v>
      </c>
      <c r="K1361" s="3" t="str" cm="1">
        <f t="array" ref="K1361">"Case "&amp;wRandomLetter()&amp;wRandomLetter()&amp;I1361&amp;":    UniConst = ChrW(" &amp; I1361 &amp;")"</f>
        <v>Case uS128105:    UniConst = ChrW(128105)</v>
      </c>
    </row>
    <row r="1362" spans="1:11" hidden="1">
      <c r="A1362" t="s">
        <v>2756</v>
      </c>
      <c r="B1362" t="str">
        <f t="shared" si="128"/>
        <v>1F469 1F3FF 200D 2764 200D 1F48B 200D 1F468 1F3FB ; minimally-qualified # 👩🏿‍❤‍💋‍👨🏻 E13.1 kiss: woman, man, dark skin tone, light skin tone</v>
      </c>
      <c r="C1362" t="str">
        <f t="shared" si="129"/>
        <v xml:space="preserve">1F469 1F3FF 200D 2764 200D 1F48B 200D 1F468 1F3FB </v>
      </c>
      <c r="D1362">
        <f t="shared" si="130"/>
        <v>50</v>
      </c>
      <c r="E1362" t="str">
        <f t="shared" si="126"/>
        <v xml:space="preserve"> 👩🏿‍❤‍💋‍👨🏻 E13.1 kiss: woman, man, dark skin tone, light skin tone</v>
      </c>
      <c r="F1362" t="b">
        <f t="shared" si="131"/>
        <v>1</v>
      </c>
      <c r="G1362" t="str">
        <f t="shared" si="127"/>
        <v>1F469</v>
      </c>
      <c r="I1362">
        <f>HEX2DEC(Table1[[#This Row],[utf8]])</f>
        <v>128105</v>
      </c>
      <c r="J1362" t="str">
        <f>_xlfn.UNICHAR(HEX2DEC(Table1[[#This Row],[utf8]]))</f>
        <v>👩</v>
      </c>
      <c r="K1362" s="3" t="str" cm="1">
        <f t="array" ref="K1362">"Case "&amp;wRandomLetter()&amp;wRandomLetter()&amp;I1362&amp;":    UniConst = ChrW(" &amp; I1362 &amp;")"</f>
        <v>Case Dp128105:    UniConst = ChrW(128105)</v>
      </c>
    </row>
    <row r="1363" spans="1:11" hidden="1">
      <c r="A1363" t="s">
        <v>2758</v>
      </c>
      <c r="B1363" t="str">
        <f t="shared" si="128"/>
        <v>1F469 1F3FF 200D 2764 200D 1F48B 200D 1F468 1F3FC ; minimally-qualified # 👩🏿‍❤‍💋‍👨🏼 E13.1 kiss: woman, man, dark skin tone, medium-light skin tone</v>
      </c>
      <c r="C1363" t="str">
        <f t="shared" si="129"/>
        <v xml:space="preserve">1F469 1F3FF 200D 2764 200D 1F48B 200D 1F468 1F3FC </v>
      </c>
      <c r="D1363">
        <f t="shared" si="130"/>
        <v>50</v>
      </c>
      <c r="E1363" t="str">
        <f t="shared" si="126"/>
        <v xml:space="preserve"> 👩🏿‍❤‍💋‍👨🏼 E13.1 kiss: woman, man, dark skin tone, medium-light skin tone</v>
      </c>
      <c r="F1363" t="b">
        <f t="shared" si="131"/>
        <v>1</v>
      </c>
      <c r="G1363" t="str">
        <f t="shared" si="127"/>
        <v>1F469</v>
      </c>
      <c r="I1363">
        <f>HEX2DEC(Table1[[#This Row],[utf8]])</f>
        <v>128105</v>
      </c>
      <c r="J1363" t="str">
        <f>_xlfn.UNICHAR(HEX2DEC(Table1[[#This Row],[utf8]]))</f>
        <v>👩</v>
      </c>
      <c r="K1363" s="3" t="str" cm="1">
        <f t="array" ref="K1363">"Case "&amp;wRandomLetter()&amp;wRandomLetter()&amp;I1363&amp;":    UniConst = ChrW(" &amp; I1363 &amp;")"</f>
        <v>Case lD128105:    UniConst = ChrW(128105)</v>
      </c>
    </row>
    <row r="1364" spans="1:11" hidden="1">
      <c r="A1364" t="s">
        <v>2760</v>
      </c>
      <c r="B1364" t="str">
        <f t="shared" si="128"/>
        <v>1F469 1F3FF 200D 2764 200D 1F48B 200D 1F468 1F3FD ; minimally-qualified # 👩🏿‍❤‍💋‍👨🏽 E13.1 kiss: woman, man, dark skin tone, medium skin tone</v>
      </c>
      <c r="C1364" t="str">
        <f t="shared" si="129"/>
        <v xml:space="preserve">1F469 1F3FF 200D 2764 200D 1F48B 200D 1F468 1F3FD </v>
      </c>
      <c r="D1364">
        <f t="shared" si="130"/>
        <v>50</v>
      </c>
      <c r="E1364" t="str">
        <f t="shared" si="126"/>
        <v xml:space="preserve"> 👩🏿‍❤‍💋‍👨🏽 E13.1 kiss: woman, man, dark skin tone, medium skin tone</v>
      </c>
      <c r="F1364" t="b">
        <f t="shared" si="131"/>
        <v>1</v>
      </c>
      <c r="G1364" t="str">
        <f t="shared" si="127"/>
        <v>1F469</v>
      </c>
      <c r="I1364">
        <f>HEX2DEC(Table1[[#This Row],[utf8]])</f>
        <v>128105</v>
      </c>
      <c r="J1364" t="str">
        <f>_xlfn.UNICHAR(HEX2DEC(Table1[[#This Row],[utf8]]))</f>
        <v>👩</v>
      </c>
      <c r="K1364" s="3" t="str" cm="1">
        <f t="array" ref="K1364">"Case "&amp;wRandomLetter()&amp;wRandomLetter()&amp;I1364&amp;":    UniConst = ChrW(" &amp; I1364 &amp;")"</f>
        <v>Case fT128105:    UniConst = ChrW(128105)</v>
      </c>
    </row>
    <row r="1365" spans="1:11" hidden="1">
      <c r="A1365" t="s">
        <v>2762</v>
      </c>
      <c r="B1365" t="str">
        <f t="shared" si="128"/>
        <v>1F469 1F3FF 200D 2764 200D 1F48B 200D 1F468 1F3FE ; minimally-qualified # 👩🏿‍❤‍💋‍👨🏾 E13.1 kiss: woman, man, dark skin tone, medium-dark skin tone</v>
      </c>
      <c r="C1365" t="str">
        <f t="shared" si="129"/>
        <v xml:space="preserve">1F469 1F3FF 200D 2764 200D 1F48B 200D 1F468 1F3FE </v>
      </c>
      <c r="D1365">
        <f t="shared" si="130"/>
        <v>50</v>
      </c>
      <c r="E1365" t="str">
        <f t="shared" si="126"/>
        <v xml:space="preserve"> 👩🏿‍❤‍💋‍👨🏾 E13.1 kiss: woman, man, dark skin tone, medium-dark skin tone</v>
      </c>
      <c r="F1365" t="b">
        <f t="shared" si="131"/>
        <v>1</v>
      </c>
      <c r="G1365" t="str">
        <f t="shared" si="127"/>
        <v>1F469</v>
      </c>
      <c r="I1365">
        <f>HEX2DEC(Table1[[#This Row],[utf8]])</f>
        <v>128105</v>
      </c>
      <c r="J1365" t="str">
        <f>_xlfn.UNICHAR(HEX2DEC(Table1[[#This Row],[utf8]]))</f>
        <v>👩</v>
      </c>
      <c r="K1365" s="3" t="str" cm="1">
        <f t="array" ref="K1365">"Case "&amp;wRandomLetter()&amp;wRandomLetter()&amp;I1365&amp;":    UniConst = ChrW(" &amp; I1365 &amp;")"</f>
        <v>Case jg128105:    UniConst = ChrW(128105)</v>
      </c>
    </row>
    <row r="1366" spans="1:11" hidden="1">
      <c r="A1366" t="s">
        <v>2764</v>
      </c>
      <c r="B1366" t="str">
        <f t="shared" si="128"/>
        <v>1F469 1F3FF 200D 2764 200D 1F48B 200D 1F468 1F3FF ; minimally-qualified # 👩🏿‍❤‍💋‍👨🏿 E13.1 kiss: woman, man, dark skin tone</v>
      </c>
      <c r="C1366" t="str">
        <f t="shared" si="129"/>
        <v xml:space="preserve">1F469 1F3FF 200D 2764 200D 1F48B 200D 1F468 1F3FF </v>
      </c>
      <c r="D1366">
        <f t="shared" si="130"/>
        <v>50</v>
      </c>
      <c r="E1366" t="str">
        <f t="shared" si="126"/>
        <v xml:space="preserve"> 👩🏿‍❤‍💋‍👨🏿 E13.1 kiss: woman, man, dark skin tone</v>
      </c>
      <c r="F1366" t="b">
        <f t="shared" si="131"/>
        <v>1</v>
      </c>
      <c r="G1366" t="str">
        <f t="shared" si="127"/>
        <v>1F469</v>
      </c>
      <c r="I1366">
        <f>HEX2DEC(Table1[[#This Row],[utf8]])</f>
        <v>128105</v>
      </c>
      <c r="J1366" t="str">
        <f>_xlfn.UNICHAR(HEX2DEC(Table1[[#This Row],[utf8]]))</f>
        <v>👩</v>
      </c>
      <c r="K1366" s="3" t="str" cm="1">
        <f t="array" ref="K1366">"Case "&amp;wRandomLetter()&amp;wRandomLetter()&amp;I1366&amp;":    UniConst = ChrW(" &amp; I1366 &amp;")"</f>
        <v>Case RE128105:    UniConst = ChrW(128105)</v>
      </c>
    </row>
    <row r="1367" spans="1:11" hidden="1">
      <c r="A1367" t="s">
        <v>2860</v>
      </c>
      <c r="B1367" t="str">
        <f t="shared" si="128"/>
        <v>1F469 1F3FF 200D 2764 200D 1F48B 200D 1F469 1F3FB ; minimally-qualified # 👩🏿‍❤‍💋‍👩🏻 E13.1 kiss: woman, woman, dark skin tone, light skin tone</v>
      </c>
      <c r="C1367" t="str">
        <f t="shared" si="129"/>
        <v xml:space="preserve">1F469 1F3FF 200D 2764 200D 1F48B 200D 1F469 1F3FB </v>
      </c>
      <c r="D1367">
        <f t="shared" si="130"/>
        <v>50</v>
      </c>
      <c r="E1367" t="str">
        <f t="shared" si="126"/>
        <v xml:space="preserve"> 👩🏿‍❤‍💋‍👩🏻 E13.1 kiss: woman, woman, dark skin tone, light skin tone</v>
      </c>
      <c r="F1367" t="b">
        <f t="shared" si="131"/>
        <v>1</v>
      </c>
      <c r="G1367" t="str">
        <f t="shared" si="127"/>
        <v>1F469</v>
      </c>
      <c r="I1367">
        <f>HEX2DEC(Table1[[#This Row],[utf8]])</f>
        <v>128105</v>
      </c>
      <c r="J1367" t="str">
        <f>_xlfn.UNICHAR(HEX2DEC(Table1[[#This Row],[utf8]]))</f>
        <v>👩</v>
      </c>
      <c r="K1367" s="3" t="str" cm="1">
        <f t="array" ref="K1367">"Case "&amp;wRandomLetter()&amp;wRandomLetter()&amp;I1367&amp;":    UniConst = ChrW(" &amp; I1367 &amp;")"</f>
        <v>Case Cs128105:    UniConst = ChrW(128105)</v>
      </c>
    </row>
    <row r="1368" spans="1:11" hidden="1">
      <c r="A1368" t="s">
        <v>2862</v>
      </c>
      <c r="B1368" t="str">
        <f t="shared" si="128"/>
        <v>1F469 1F3FF 200D 2764 200D 1F48B 200D 1F469 1F3FC ; minimally-qualified # 👩🏿‍❤‍💋‍👩🏼 E13.1 kiss: woman, woman, dark skin tone, medium-light skin tone</v>
      </c>
      <c r="C1368" t="str">
        <f t="shared" si="129"/>
        <v xml:space="preserve">1F469 1F3FF 200D 2764 200D 1F48B 200D 1F469 1F3FC </v>
      </c>
      <c r="D1368">
        <f t="shared" si="130"/>
        <v>50</v>
      </c>
      <c r="E1368" t="str">
        <f t="shared" si="126"/>
        <v xml:space="preserve"> 👩🏿‍❤‍💋‍👩🏼 E13.1 kiss: woman, woman, dark skin tone, medium-light skin tone</v>
      </c>
      <c r="F1368" t="b">
        <f t="shared" si="131"/>
        <v>1</v>
      </c>
      <c r="G1368" t="str">
        <f t="shared" si="127"/>
        <v>1F469</v>
      </c>
      <c r="I1368">
        <f>HEX2DEC(Table1[[#This Row],[utf8]])</f>
        <v>128105</v>
      </c>
      <c r="J1368" t="str">
        <f>_xlfn.UNICHAR(HEX2DEC(Table1[[#This Row],[utf8]]))</f>
        <v>👩</v>
      </c>
      <c r="K1368" s="3" t="str" cm="1">
        <f t="array" ref="K1368">"Case "&amp;wRandomLetter()&amp;wRandomLetter()&amp;I1368&amp;":    UniConst = ChrW(" &amp; I1368 &amp;")"</f>
        <v>Case RG128105:    UniConst = ChrW(128105)</v>
      </c>
    </row>
    <row r="1369" spans="1:11" hidden="1">
      <c r="A1369" t="s">
        <v>2864</v>
      </c>
      <c r="B1369" t="str">
        <f t="shared" si="128"/>
        <v>1F469 1F3FF 200D 2764 200D 1F48B 200D 1F469 1F3FD ; minimally-qualified # 👩🏿‍❤‍💋‍👩🏽 E13.1 kiss: woman, woman, dark skin tone, medium skin tone</v>
      </c>
      <c r="C1369" t="str">
        <f t="shared" si="129"/>
        <v xml:space="preserve">1F469 1F3FF 200D 2764 200D 1F48B 200D 1F469 1F3FD </v>
      </c>
      <c r="D1369">
        <f t="shared" si="130"/>
        <v>50</v>
      </c>
      <c r="E1369" t="str">
        <f t="shared" si="126"/>
        <v xml:space="preserve"> 👩🏿‍❤‍💋‍👩🏽 E13.1 kiss: woman, woman, dark skin tone, medium skin tone</v>
      </c>
      <c r="F1369" t="b">
        <f t="shared" si="131"/>
        <v>1</v>
      </c>
      <c r="G1369" t="str">
        <f t="shared" si="127"/>
        <v>1F469</v>
      </c>
      <c r="I1369">
        <f>HEX2DEC(Table1[[#This Row],[utf8]])</f>
        <v>128105</v>
      </c>
      <c r="J1369" t="str">
        <f>_xlfn.UNICHAR(HEX2DEC(Table1[[#This Row],[utf8]]))</f>
        <v>👩</v>
      </c>
      <c r="K1369" s="3" t="str" cm="1">
        <f t="array" ref="K1369">"Case "&amp;wRandomLetter()&amp;wRandomLetter()&amp;I1369&amp;":    UniConst = ChrW(" &amp; I1369 &amp;")"</f>
        <v>Case rN128105:    UniConst = ChrW(128105)</v>
      </c>
    </row>
    <row r="1370" spans="1:11" hidden="1">
      <c r="A1370" t="s">
        <v>2866</v>
      </c>
      <c r="B1370" t="str">
        <f t="shared" si="128"/>
        <v>1F469 1F3FF 200D 2764 200D 1F48B 200D 1F469 1F3FE ; minimally-qualified # 👩🏿‍❤‍💋‍👩🏾 E13.1 kiss: woman, woman, dark skin tone, medium-dark skin tone</v>
      </c>
      <c r="C1370" t="str">
        <f t="shared" si="129"/>
        <v xml:space="preserve">1F469 1F3FF 200D 2764 200D 1F48B 200D 1F469 1F3FE </v>
      </c>
      <c r="D1370">
        <f t="shared" si="130"/>
        <v>50</v>
      </c>
      <c r="E1370" t="str">
        <f t="shared" si="126"/>
        <v xml:space="preserve"> 👩🏿‍❤‍💋‍👩🏾 E13.1 kiss: woman, woman, dark skin tone, medium-dark skin tone</v>
      </c>
      <c r="F1370" t="b">
        <f t="shared" si="131"/>
        <v>1</v>
      </c>
      <c r="G1370" t="str">
        <f t="shared" si="127"/>
        <v>1F469</v>
      </c>
      <c r="I1370">
        <f>HEX2DEC(Table1[[#This Row],[utf8]])</f>
        <v>128105</v>
      </c>
      <c r="J1370" t="str">
        <f>_xlfn.UNICHAR(HEX2DEC(Table1[[#This Row],[utf8]]))</f>
        <v>👩</v>
      </c>
      <c r="K1370" s="3" t="str" cm="1">
        <f t="array" ref="K1370">"Case "&amp;wRandomLetter()&amp;wRandomLetter()&amp;I1370&amp;":    UniConst = ChrW(" &amp; I1370 &amp;")"</f>
        <v>Case nX128105:    UniConst = ChrW(128105)</v>
      </c>
    </row>
    <row r="1371" spans="1:11" hidden="1">
      <c r="A1371" t="s">
        <v>2868</v>
      </c>
      <c r="B1371" t="str">
        <f t="shared" si="128"/>
        <v>1F469 1F3FF 200D 2764 200D 1F48B 200D 1F469 1F3FF ; minimally-qualified # 👩🏿‍❤‍💋‍👩🏿 E13.1 kiss: woman, woman, dark skin tone</v>
      </c>
      <c r="C1371" t="str">
        <f t="shared" si="129"/>
        <v xml:space="preserve">1F469 1F3FF 200D 2764 200D 1F48B 200D 1F469 1F3FF </v>
      </c>
      <c r="D1371">
        <f t="shared" si="130"/>
        <v>50</v>
      </c>
      <c r="E1371" t="str">
        <f t="shared" si="126"/>
        <v xml:space="preserve"> 👩🏿‍❤‍💋‍👩🏿 E13.1 kiss: woman, woman, dark skin tone</v>
      </c>
      <c r="F1371" t="b">
        <f t="shared" si="131"/>
        <v>1</v>
      </c>
      <c r="G1371" t="str">
        <f t="shared" si="127"/>
        <v>1F469</v>
      </c>
      <c r="I1371">
        <f>HEX2DEC(Table1[[#This Row],[utf8]])</f>
        <v>128105</v>
      </c>
      <c r="J1371" t="str">
        <f>_xlfn.UNICHAR(HEX2DEC(Table1[[#This Row],[utf8]]))</f>
        <v>👩</v>
      </c>
      <c r="K1371" s="3" t="str" cm="1">
        <f t="array" ref="K1371">"Case "&amp;wRandomLetter()&amp;wRandomLetter()&amp;I1371&amp;":    UniConst = ChrW(" &amp; I1371 &amp;")"</f>
        <v>Case vQ128105:    UniConst = ChrW(128105)</v>
      </c>
    </row>
    <row r="1372" spans="1:11" hidden="1">
      <c r="A1372" t="s">
        <v>2957</v>
      </c>
      <c r="B1372" t="str">
        <f t="shared" si="128"/>
        <v>1F469 1F3FF 200D 2764 FE0F 200D 1F468 1F3FB ; fully-qualified # 👩🏿‍❤️‍👨🏻 E13.1 couple with heart: woman, man, dark skin tone, light skin tone</v>
      </c>
      <c r="C1372" t="str">
        <f t="shared" si="129"/>
        <v xml:space="preserve">1F469 1F3FF 200D 2764 FE0F 200D 1F468 1F3FB </v>
      </c>
      <c r="D1372">
        <f t="shared" si="130"/>
        <v>44</v>
      </c>
      <c r="E1372" t="str">
        <f t="shared" si="126"/>
        <v xml:space="preserve"> 👩🏿‍❤️‍👨🏻 E13.1 couple with heart: woman, man, dark skin tone, light skin tone</v>
      </c>
      <c r="F1372" t="b">
        <f t="shared" si="131"/>
        <v>1</v>
      </c>
      <c r="G1372" t="str">
        <f t="shared" si="127"/>
        <v>1F469</v>
      </c>
      <c r="I1372">
        <f>HEX2DEC(Table1[[#This Row],[utf8]])</f>
        <v>128105</v>
      </c>
      <c r="J1372" t="str">
        <f>_xlfn.UNICHAR(HEX2DEC(Table1[[#This Row],[utf8]]))</f>
        <v>👩</v>
      </c>
      <c r="K1372" s="3" t="str" cm="1">
        <f t="array" ref="K1372">"Case "&amp;wRandomLetter()&amp;wRandomLetter()&amp;I1372&amp;":    UniConst = ChrW(" &amp; I1372 &amp;")"</f>
        <v>Case yf128105:    UniConst = ChrW(128105)</v>
      </c>
    </row>
    <row r="1373" spans="1:11" hidden="1">
      <c r="A1373" t="s">
        <v>2959</v>
      </c>
      <c r="B1373" t="str">
        <f t="shared" si="128"/>
        <v>1F469 1F3FF 200D 2764 FE0F 200D 1F468 1F3FC ; fully-qualified # 👩🏿‍❤️‍👨🏼 E13.1 couple with heart: woman, man, dark skin tone, medium-light skin tone</v>
      </c>
      <c r="C1373" t="str">
        <f t="shared" si="129"/>
        <v xml:space="preserve">1F469 1F3FF 200D 2764 FE0F 200D 1F468 1F3FC </v>
      </c>
      <c r="D1373">
        <f t="shared" si="130"/>
        <v>44</v>
      </c>
      <c r="E1373" t="str">
        <f t="shared" si="126"/>
        <v xml:space="preserve"> 👩🏿‍❤️‍👨🏼 E13.1 couple with heart: woman, man, dark skin tone, medium-light skin tone</v>
      </c>
      <c r="F1373" t="b">
        <f t="shared" si="131"/>
        <v>1</v>
      </c>
      <c r="G1373" t="str">
        <f t="shared" si="127"/>
        <v>1F469</v>
      </c>
      <c r="I1373">
        <f>HEX2DEC(Table1[[#This Row],[utf8]])</f>
        <v>128105</v>
      </c>
      <c r="J1373" t="str">
        <f>_xlfn.UNICHAR(HEX2DEC(Table1[[#This Row],[utf8]]))</f>
        <v>👩</v>
      </c>
      <c r="K1373" s="3" t="str" cm="1">
        <f t="array" ref="K1373">"Case "&amp;wRandomLetter()&amp;wRandomLetter()&amp;I1373&amp;":    UniConst = ChrW(" &amp; I1373 &amp;")"</f>
        <v>Case so128105:    UniConst = ChrW(128105)</v>
      </c>
    </row>
    <row r="1374" spans="1:11" hidden="1">
      <c r="A1374" t="s">
        <v>2961</v>
      </c>
      <c r="B1374" t="str">
        <f t="shared" si="128"/>
        <v>1F469 1F3FF 200D 2764 FE0F 200D 1F468 1F3FD ; fully-qualified # 👩🏿‍❤️‍👨🏽 E13.1 couple with heart: woman, man, dark skin tone, medium skin tone</v>
      </c>
      <c r="C1374" t="str">
        <f t="shared" si="129"/>
        <v xml:space="preserve">1F469 1F3FF 200D 2764 FE0F 200D 1F468 1F3FD </v>
      </c>
      <c r="D1374">
        <f t="shared" si="130"/>
        <v>44</v>
      </c>
      <c r="E1374" t="str">
        <f t="shared" si="126"/>
        <v xml:space="preserve"> 👩🏿‍❤️‍👨🏽 E13.1 couple with heart: woman, man, dark skin tone, medium skin tone</v>
      </c>
      <c r="F1374" t="b">
        <f t="shared" si="131"/>
        <v>1</v>
      </c>
      <c r="G1374" t="str">
        <f t="shared" si="127"/>
        <v>1F469</v>
      </c>
      <c r="I1374">
        <f>HEX2DEC(Table1[[#This Row],[utf8]])</f>
        <v>128105</v>
      </c>
      <c r="J1374" t="str">
        <f>_xlfn.UNICHAR(HEX2DEC(Table1[[#This Row],[utf8]]))</f>
        <v>👩</v>
      </c>
      <c r="K1374" s="3" t="str" cm="1">
        <f t="array" ref="K1374">"Case "&amp;wRandomLetter()&amp;wRandomLetter()&amp;I1374&amp;":    UniConst = ChrW(" &amp; I1374 &amp;")"</f>
        <v>Case pC128105:    UniConst = ChrW(128105)</v>
      </c>
    </row>
    <row r="1375" spans="1:11" hidden="1">
      <c r="A1375" t="s">
        <v>2963</v>
      </c>
      <c r="B1375" t="str">
        <f t="shared" si="128"/>
        <v>1F469 1F3FF 200D 2764 FE0F 200D 1F468 1F3FE ; fully-qualified # 👩🏿‍❤️‍👨🏾 E13.1 couple with heart: woman, man, dark skin tone, medium-dark skin tone</v>
      </c>
      <c r="C1375" t="str">
        <f t="shared" si="129"/>
        <v xml:space="preserve">1F469 1F3FF 200D 2764 FE0F 200D 1F468 1F3FE </v>
      </c>
      <c r="D1375">
        <f t="shared" si="130"/>
        <v>44</v>
      </c>
      <c r="E1375" t="str">
        <f t="shared" si="126"/>
        <v xml:space="preserve"> 👩🏿‍❤️‍👨🏾 E13.1 couple with heart: woman, man, dark skin tone, medium-dark skin tone</v>
      </c>
      <c r="F1375" t="b">
        <f t="shared" si="131"/>
        <v>1</v>
      </c>
      <c r="G1375" t="str">
        <f t="shared" si="127"/>
        <v>1F469</v>
      </c>
      <c r="I1375">
        <f>HEX2DEC(Table1[[#This Row],[utf8]])</f>
        <v>128105</v>
      </c>
      <c r="J1375" t="str">
        <f>_xlfn.UNICHAR(HEX2DEC(Table1[[#This Row],[utf8]]))</f>
        <v>👩</v>
      </c>
      <c r="K1375" s="3" t="str" cm="1">
        <f t="array" ref="K1375">"Case "&amp;wRandomLetter()&amp;wRandomLetter()&amp;I1375&amp;":    UniConst = ChrW(" &amp; I1375 &amp;")"</f>
        <v>Case LA128105:    UniConst = ChrW(128105)</v>
      </c>
    </row>
    <row r="1376" spans="1:11" hidden="1">
      <c r="A1376" t="s">
        <v>2965</v>
      </c>
      <c r="B1376" t="str">
        <f t="shared" si="128"/>
        <v>1F469 1F3FF 200D 2764 FE0F 200D 1F468 1F3FF ; fully-qualified # 👩🏿‍❤️‍👨🏿 E13.1 couple with heart: woman, man, dark skin tone</v>
      </c>
      <c r="C1376" t="str">
        <f t="shared" si="129"/>
        <v xml:space="preserve">1F469 1F3FF 200D 2764 FE0F 200D 1F468 1F3FF </v>
      </c>
      <c r="D1376">
        <f t="shared" si="130"/>
        <v>44</v>
      </c>
      <c r="E1376" t="str">
        <f t="shared" si="126"/>
        <v xml:space="preserve"> 👩🏿‍❤️‍👨🏿 E13.1 couple with heart: woman, man, dark skin tone</v>
      </c>
      <c r="F1376" t="b">
        <f t="shared" si="131"/>
        <v>1</v>
      </c>
      <c r="G1376" t="str">
        <f t="shared" si="127"/>
        <v>1F469</v>
      </c>
      <c r="I1376">
        <f>HEX2DEC(Table1[[#This Row],[utf8]])</f>
        <v>128105</v>
      </c>
      <c r="J1376" t="str">
        <f>_xlfn.UNICHAR(HEX2DEC(Table1[[#This Row],[utf8]]))</f>
        <v>👩</v>
      </c>
      <c r="K1376" s="3" t="str" cm="1">
        <f t="array" ref="K1376">"Case "&amp;wRandomLetter()&amp;wRandomLetter()&amp;I1376&amp;":    UniConst = ChrW(" &amp; I1376 &amp;")"</f>
        <v>Case YA128105:    UniConst = ChrW(128105)</v>
      </c>
    </row>
    <row r="1377" spans="1:11" hidden="1">
      <c r="A1377" t="s">
        <v>3061</v>
      </c>
      <c r="B1377" t="str">
        <f t="shared" si="128"/>
        <v>1F469 1F3FF 200D 2764 FE0F 200D 1F469 1F3FB ; fully-qualified # 👩🏿‍❤️‍👩🏻 E13.1 couple with heart: woman, woman, dark skin tone, light skin tone</v>
      </c>
      <c r="C1377" t="str">
        <f t="shared" si="129"/>
        <v xml:space="preserve">1F469 1F3FF 200D 2764 FE0F 200D 1F469 1F3FB </v>
      </c>
      <c r="D1377">
        <f t="shared" si="130"/>
        <v>44</v>
      </c>
      <c r="E1377" t="str">
        <f t="shared" si="126"/>
        <v xml:space="preserve"> 👩🏿‍❤️‍👩🏻 E13.1 couple with heart: woman, woman, dark skin tone, light skin tone</v>
      </c>
      <c r="F1377" t="b">
        <f t="shared" si="131"/>
        <v>1</v>
      </c>
      <c r="G1377" t="str">
        <f t="shared" si="127"/>
        <v>1F469</v>
      </c>
      <c r="I1377">
        <f>HEX2DEC(Table1[[#This Row],[utf8]])</f>
        <v>128105</v>
      </c>
      <c r="J1377" t="str">
        <f>_xlfn.UNICHAR(HEX2DEC(Table1[[#This Row],[utf8]]))</f>
        <v>👩</v>
      </c>
      <c r="K1377" s="3" t="str" cm="1">
        <f t="array" ref="K1377">"Case "&amp;wRandomLetter()&amp;wRandomLetter()&amp;I1377&amp;":    UniConst = ChrW(" &amp; I1377 &amp;")"</f>
        <v>Case JQ128105:    UniConst = ChrW(128105)</v>
      </c>
    </row>
    <row r="1378" spans="1:11" hidden="1">
      <c r="A1378" t="s">
        <v>3063</v>
      </c>
      <c r="B1378" t="str">
        <f t="shared" si="128"/>
        <v>1F469 1F3FF 200D 2764 FE0F 200D 1F469 1F3FC ; fully-qualified # 👩🏿‍❤️‍👩🏼 E13.1 couple with heart: woman, woman, dark skin tone, medium-light skin tone</v>
      </c>
      <c r="C1378" t="str">
        <f t="shared" si="129"/>
        <v xml:space="preserve">1F469 1F3FF 200D 2764 FE0F 200D 1F469 1F3FC </v>
      </c>
      <c r="D1378">
        <f t="shared" si="130"/>
        <v>44</v>
      </c>
      <c r="E1378" t="str">
        <f t="shared" si="126"/>
        <v xml:space="preserve"> 👩🏿‍❤️‍👩🏼 E13.1 couple with heart: woman, woman, dark skin tone, medium-light skin tone</v>
      </c>
      <c r="F1378" t="b">
        <f t="shared" si="131"/>
        <v>1</v>
      </c>
      <c r="G1378" t="str">
        <f t="shared" si="127"/>
        <v>1F469</v>
      </c>
      <c r="I1378">
        <f>HEX2DEC(Table1[[#This Row],[utf8]])</f>
        <v>128105</v>
      </c>
      <c r="J1378" t="str">
        <f>_xlfn.UNICHAR(HEX2DEC(Table1[[#This Row],[utf8]]))</f>
        <v>👩</v>
      </c>
      <c r="K1378" s="3" t="str" cm="1">
        <f t="array" ref="K1378">"Case "&amp;wRandomLetter()&amp;wRandomLetter()&amp;I1378&amp;":    UniConst = ChrW(" &amp; I1378 &amp;")"</f>
        <v>Case cy128105:    UniConst = ChrW(128105)</v>
      </c>
    </row>
    <row r="1379" spans="1:11" hidden="1">
      <c r="A1379" t="s">
        <v>3065</v>
      </c>
      <c r="B1379" t="str">
        <f t="shared" si="128"/>
        <v>1F469 1F3FF 200D 2764 FE0F 200D 1F469 1F3FD ; fully-qualified # 👩🏿‍❤️‍👩🏽 E13.1 couple with heart: woman, woman, dark skin tone, medium skin tone</v>
      </c>
      <c r="C1379" t="str">
        <f t="shared" si="129"/>
        <v xml:space="preserve">1F469 1F3FF 200D 2764 FE0F 200D 1F469 1F3FD </v>
      </c>
      <c r="D1379">
        <f t="shared" si="130"/>
        <v>44</v>
      </c>
      <c r="E1379" t="str">
        <f t="shared" si="126"/>
        <v xml:space="preserve"> 👩🏿‍❤️‍👩🏽 E13.1 couple with heart: woman, woman, dark skin tone, medium skin tone</v>
      </c>
      <c r="F1379" t="b">
        <f t="shared" si="131"/>
        <v>1</v>
      </c>
      <c r="G1379" t="str">
        <f t="shared" si="127"/>
        <v>1F469</v>
      </c>
      <c r="I1379">
        <f>HEX2DEC(Table1[[#This Row],[utf8]])</f>
        <v>128105</v>
      </c>
      <c r="J1379" t="str">
        <f>_xlfn.UNICHAR(HEX2DEC(Table1[[#This Row],[utf8]]))</f>
        <v>👩</v>
      </c>
      <c r="K1379" s="3" t="str" cm="1">
        <f t="array" ref="K1379">"Case "&amp;wRandomLetter()&amp;wRandomLetter()&amp;I1379&amp;":    UniConst = ChrW(" &amp; I1379 &amp;")"</f>
        <v>Case gD128105:    UniConst = ChrW(128105)</v>
      </c>
    </row>
    <row r="1380" spans="1:11" hidden="1">
      <c r="A1380" t="s">
        <v>3067</v>
      </c>
      <c r="B1380" t="str">
        <f t="shared" si="128"/>
        <v>1F469 1F3FF 200D 2764 FE0F 200D 1F469 1F3FE ; fully-qualified # 👩🏿‍❤️‍👩🏾 E13.1 couple with heart: woman, woman, dark skin tone, medium-dark skin tone</v>
      </c>
      <c r="C1380" t="str">
        <f t="shared" si="129"/>
        <v xml:space="preserve">1F469 1F3FF 200D 2764 FE0F 200D 1F469 1F3FE </v>
      </c>
      <c r="D1380">
        <f t="shared" si="130"/>
        <v>44</v>
      </c>
      <c r="E1380" t="str">
        <f t="shared" si="126"/>
        <v xml:space="preserve"> 👩🏿‍❤️‍👩🏾 E13.1 couple with heart: woman, woman, dark skin tone, medium-dark skin tone</v>
      </c>
      <c r="F1380" t="b">
        <f t="shared" si="131"/>
        <v>1</v>
      </c>
      <c r="G1380" t="str">
        <f t="shared" si="127"/>
        <v>1F469</v>
      </c>
      <c r="I1380">
        <f>HEX2DEC(Table1[[#This Row],[utf8]])</f>
        <v>128105</v>
      </c>
      <c r="J1380" t="str">
        <f>_xlfn.UNICHAR(HEX2DEC(Table1[[#This Row],[utf8]]))</f>
        <v>👩</v>
      </c>
      <c r="K1380" s="3" t="str" cm="1">
        <f t="array" ref="K1380">"Case "&amp;wRandomLetter()&amp;wRandomLetter()&amp;I1380&amp;":    UniConst = ChrW(" &amp; I1380 &amp;")"</f>
        <v>Case Ge128105:    UniConst = ChrW(128105)</v>
      </c>
    </row>
    <row r="1381" spans="1:11" hidden="1">
      <c r="A1381" t="s">
        <v>3069</v>
      </c>
      <c r="B1381" t="str">
        <f t="shared" si="128"/>
        <v>1F469 1F3FF 200D 2764 FE0F 200D 1F469 1F3FF ; fully-qualified # 👩🏿‍❤️‍👩🏿 E13.1 couple with heart: woman, woman, dark skin tone</v>
      </c>
      <c r="C1381" t="str">
        <f t="shared" si="129"/>
        <v xml:space="preserve">1F469 1F3FF 200D 2764 FE0F 200D 1F469 1F3FF </v>
      </c>
      <c r="D1381">
        <f t="shared" si="130"/>
        <v>44</v>
      </c>
      <c r="E1381" t="str">
        <f t="shared" si="126"/>
        <v xml:space="preserve"> 👩🏿‍❤️‍👩🏿 E13.1 couple with heart: woman, woman, dark skin tone</v>
      </c>
      <c r="F1381" t="b">
        <f t="shared" si="131"/>
        <v>1</v>
      </c>
      <c r="G1381" t="str">
        <f t="shared" si="127"/>
        <v>1F469</v>
      </c>
      <c r="I1381">
        <f>HEX2DEC(Table1[[#This Row],[utf8]])</f>
        <v>128105</v>
      </c>
      <c r="J1381" t="str">
        <f>_xlfn.UNICHAR(HEX2DEC(Table1[[#This Row],[utf8]]))</f>
        <v>👩</v>
      </c>
      <c r="K1381" s="3" t="str" cm="1">
        <f t="array" ref="K1381">"Case "&amp;wRandomLetter()&amp;wRandomLetter()&amp;I1381&amp;":    UniConst = ChrW(" &amp; I1381 &amp;")"</f>
        <v>Case BN128105:    UniConst = ChrW(128105)</v>
      </c>
    </row>
    <row r="1382" spans="1:11" hidden="1">
      <c r="A1382" t="s">
        <v>2755</v>
      </c>
      <c r="B1382" t="str">
        <f t="shared" si="128"/>
        <v>1F469 1F3FF 200D 2764 FE0F 200D 1F48B 200D 1F468 1F3FB ; fully-qualified # 👩🏿‍❤️‍💋‍👨🏻 E13.1 kiss: woman, man, dark skin tone, light skin tone</v>
      </c>
      <c r="C1382" t="str">
        <f t="shared" si="129"/>
        <v xml:space="preserve">1F469 1F3FF 200D 2764 FE0F 200D 1F48B 200D 1F468 1F3FB </v>
      </c>
      <c r="D1382">
        <f t="shared" si="130"/>
        <v>55</v>
      </c>
      <c r="E1382" t="str">
        <f t="shared" si="126"/>
        <v xml:space="preserve"> 👩🏿‍❤️‍💋‍👨🏻 E13.1 kiss: woman, man, dark skin tone, light skin tone</v>
      </c>
      <c r="F1382" t="b">
        <f t="shared" si="131"/>
        <v>1</v>
      </c>
      <c r="G1382" t="str">
        <f t="shared" si="127"/>
        <v>1F469</v>
      </c>
      <c r="I1382">
        <f>HEX2DEC(Table1[[#This Row],[utf8]])</f>
        <v>128105</v>
      </c>
      <c r="J1382" t="str">
        <f>_xlfn.UNICHAR(HEX2DEC(Table1[[#This Row],[utf8]]))</f>
        <v>👩</v>
      </c>
      <c r="K1382" s="3" t="str" cm="1">
        <f t="array" ref="K1382">"Case "&amp;wRandomLetter()&amp;wRandomLetter()&amp;I1382&amp;":    UniConst = ChrW(" &amp; I1382 &amp;")"</f>
        <v>Case MV128105:    UniConst = ChrW(128105)</v>
      </c>
    </row>
    <row r="1383" spans="1:11" hidden="1">
      <c r="A1383" t="s">
        <v>2757</v>
      </c>
      <c r="B1383" t="str">
        <f t="shared" si="128"/>
        <v>1F469 1F3FF 200D 2764 FE0F 200D 1F48B 200D 1F468 1F3FC ; fully-qualified # 👩🏿‍❤️‍💋‍👨🏼 E13.1 kiss: woman, man, dark skin tone, medium-light skin tone</v>
      </c>
      <c r="C1383" t="str">
        <f t="shared" si="129"/>
        <v xml:space="preserve">1F469 1F3FF 200D 2764 FE0F 200D 1F48B 200D 1F468 1F3FC </v>
      </c>
      <c r="D1383">
        <f t="shared" si="130"/>
        <v>55</v>
      </c>
      <c r="E1383" t="str">
        <f t="shared" si="126"/>
        <v xml:space="preserve"> 👩🏿‍❤️‍💋‍👨🏼 E13.1 kiss: woman, man, dark skin tone, medium-light skin tone</v>
      </c>
      <c r="F1383" t="b">
        <f t="shared" si="131"/>
        <v>1</v>
      </c>
      <c r="G1383" t="str">
        <f t="shared" si="127"/>
        <v>1F469</v>
      </c>
      <c r="I1383">
        <f>HEX2DEC(Table1[[#This Row],[utf8]])</f>
        <v>128105</v>
      </c>
      <c r="J1383" t="str">
        <f>_xlfn.UNICHAR(HEX2DEC(Table1[[#This Row],[utf8]]))</f>
        <v>👩</v>
      </c>
      <c r="K1383" s="3" t="str" cm="1">
        <f t="array" ref="K1383">"Case "&amp;wRandomLetter()&amp;wRandomLetter()&amp;I1383&amp;":    UniConst = ChrW(" &amp; I1383 &amp;")"</f>
        <v>Case Yh128105:    UniConst = ChrW(128105)</v>
      </c>
    </row>
    <row r="1384" spans="1:11" hidden="1">
      <c r="A1384" t="s">
        <v>2759</v>
      </c>
      <c r="B1384" t="str">
        <f t="shared" si="128"/>
        <v>1F469 1F3FF 200D 2764 FE0F 200D 1F48B 200D 1F468 1F3FD ; fully-qualified # 👩🏿‍❤️‍💋‍👨🏽 E13.1 kiss: woman, man, dark skin tone, medium skin tone</v>
      </c>
      <c r="C1384" t="str">
        <f t="shared" si="129"/>
        <v xml:space="preserve">1F469 1F3FF 200D 2764 FE0F 200D 1F48B 200D 1F468 1F3FD </v>
      </c>
      <c r="D1384">
        <f t="shared" si="130"/>
        <v>55</v>
      </c>
      <c r="E1384" t="str">
        <f t="shared" si="126"/>
        <v xml:space="preserve"> 👩🏿‍❤️‍💋‍👨🏽 E13.1 kiss: woman, man, dark skin tone, medium skin tone</v>
      </c>
      <c r="F1384" t="b">
        <f t="shared" si="131"/>
        <v>1</v>
      </c>
      <c r="G1384" t="str">
        <f t="shared" si="127"/>
        <v>1F469</v>
      </c>
      <c r="I1384">
        <f>HEX2DEC(Table1[[#This Row],[utf8]])</f>
        <v>128105</v>
      </c>
      <c r="J1384" t="str">
        <f>_xlfn.UNICHAR(HEX2DEC(Table1[[#This Row],[utf8]]))</f>
        <v>👩</v>
      </c>
      <c r="K1384" s="3" t="str" cm="1">
        <f t="array" ref="K1384">"Case "&amp;wRandomLetter()&amp;wRandomLetter()&amp;I1384&amp;":    UniConst = ChrW(" &amp; I1384 &amp;")"</f>
        <v>Case fs128105:    UniConst = ChrW(128105)</v>
      </c>
    </row>
    <row r="1385" spans="1:11" hidden="1">
      <c r="A1385" t="s">
        <v>2761</v>
      </c>
      <c r="B1385" t="str">
        <f t="shared" si="128"/>
        <v>1F469 1F3FF 200D 2764 FE0F 200D 1F48B 200D 1F468 1F3FE ; fully-qualified # 👩🏿‍❤️‍💋‍👨🏾 E13.1 kiss: woman, man, dark skin tone, medium-dark skin tone</v>
      </c>
      <c r="C1385" t="str">
        <f t="shared" si="129"/>
        <v xml:space="preserve">1F469 1F3FF 200D 2764 FE0F 200D 1F48B 200D 1F468 1F3FE </v>
      </c>
      <c r="D1385">
        <f t="shared" si="130"/>
        <v>55</v>
      </c>
      <c r="E1385" t="str">
        <f t="shared" si="126"/>
        <v xml:space="preserve"> 👩🏿‍❤️‍💋‍👨🏾 E13.1 kiss: woman, man, dark skin tone, medium-dark skin tone</v>
      </c>
      <c r="F1385" t="b">
        <f t="shared" si="131"/>
        <v>1</v>
      </c>
      <c r="G1385" t="str">
        <f t="shared" si="127"/>
        <v>1F469</v>
      </c>
      <c r="I1385">
        <f>HEX2DEC(Table1[[#This Row],[utf8]])</f>
        <v>128105</v>
      </c>
      <c r="J1385" t="str">
        <f>_xlfn.UNICHAR(HEX2DEC(Table1[[#This Row],[utf8]]))</f>
        <v>👩</v>
      </c>
      <c r="K1385" s="3" t="str" cm="1">
        <f t="array" ref="K1385">"Case "&amp;wRandomLetter()&amp;wRandomLetter()&amp;I1385&amp;":    UniConst = ChrW(" &amp; I1385 &amp;")"</f>
        <v>Case Tq128105:    UniConst = ChrW(128105)</v>
      </c>
    </row>
    <row r="1386" spans="1:11" hidden="1">
      <c r="A1386" t="s">
        <v>2763</v>
      </c>
      <c r="B1386" t="str">
        <f t="shared" si="128"/>
        <v>1F469 1F3FF 200D 2764 FE0F 200D 1F48B 200D 1F468 1F3FF ; fully-qualified # 👩🏿‍❤️‍💋‍👨🏿 E13.1 kiss: woman, man, dark skin tone</v>
      </c>
      <c r="C1386" t="str">
        <f t="shared" si="129"/>
        <v xml:space="preserve">1F469 1F3FF 200D 2764 FE0F 200D 1F48B 200D 1F468 1F3FF </v>
      </c>
      <c r="D1386">
        <f t="shared" si="130"/>
        <v>55</v>
      </c>
      <c r="E1386" t="str">
        <f t="shared" si="126"/>
        <v xml:space="preserve"> 👩🏿‍❤️‍💋‍👨🏿 E13.1 kiss: woman, man, dark skin tone</v>
      </c>
      <c r="F1386" t="b">
        <f t="shared" si="131"/>
        <v>1</v>
      </c>
      <c r="G1386" t="str">
        <f t="shared" si="127"/>
        <v>1F469</v>
      </c>
      <c r="I1386">
        <f>HEX2DEC(Table1[[#This Row],[utf8]])</f>
        <v>128105</v>
      </c>
      <c r="J1386" t="str">
        <f>_xlfn.UNICHAR(HEX2DEC(Table1[[#This Row],[utf8]]))</f>
        <v>👩</v>
      </c>
      <c r="K1386" s="3" t="str" cm="1">
        <f t="array" ref="K1386">"Case "&amp;wRandomLetter()&amp;wRandomLetter()&amp;I1386&amp;":    UniConst = ChrW(" &amp; I1386 &amp;")"</f>
        <v>Case ny128105:    UniConst = ChrW(128105)</v>
      </c>
    </row>
    <row r="1387" spans="1:11" hidden="1">
      <c r="A1387" t="s">
        <v>2859</v>
      </c>
      <c r="B1387" t="str">
        <f t="shared" si="128"/>
        <v>1F469 1F3FF 200D 2764 FE0F 200D 1F48B 200D 1F469 1F3FB ; fully-qualified # 👩🏿‍❤️‍💋‍👩🏻 E13.1 kiss: woman, woman, dark skin tone, light skin tone</v>
      </c>
      <c r="C1387" t="str">
        <f t="shared" si="129"/>
        <v xml:space="preserve">1F469 1F3FF 200D 2764 FE0F 200D 1F48B 200D 1F469 1F3FB </v>
      </c>
      <c r="D1387">
        <f t="shared" si="130"/>
        <v>55</v>
      </c>
      <c r="E1387" t="str">
        <f t="shared" si="126"/>
        <v xml:space="preserve"> 👩🏿‍❤️‍💋‍👩🏻 E13.1 kiss: woman, woman, dark skin tone, light skin tone</v>
      </c>
      <c r="F1387" t="b">
        <f t="shared" si="131"/>
        <v>1</v>
      </c>
      <c r="G1387" t="str">
        <f t="shared" si="127"/>
        <v>1F469</v>
      </c>
      <c r="I1387">
        <f>HEX2DEC(Table1[[#This Row],[utf8]])</f>
        <v>128105</v>
      </c>
      <c r="J1387" t="str">
        <f>_xlfn.UNICHAR(HEX2DEC(Table1[[#This Row],[utf8]]))</f>
        <v>👩</v>
      </c>
      <c r="K1387" s="3" t="str" cm="1">
        <f t="array" ref="K1387">"Case "&amp;wRandomLetter()&amp;wRandomLetter()&amp;I1387&amp;":    UniConst = ChrW(" &amp; I1387 &amp;")"</f>
        <v>Case ne128105:    UniConst = ChrW(128105)</v>
      </c>
    </row>
    <row r="1388" spans="1:11" hidden="1">
      <c r="A1388" t="s">
        <v>2861</v>
      </c>
      <c r="B1388" t="str">
        <f t="shared" si="128"/>
        <v>1F469 1F3FF 200D 2764 FE0F 200D 1F48B 200D 1F469 1F3FC ; fully-qualified # 👩🏿‍❤️‍💋‍👩🏼 E13.1 kiss: woman, woman, dark skin tone, medium-light skin tone</v>
      </c>
      <c r="C1388" t="str">
        <f t="shared" si="129"/>
        <v xml:space="preserve">1F469 1F3FF 200D 2764 FE0F 200D 1F48B 200D 1F469 1F3FC </v>
      </c>
      <c r="D1388">
        <f t="shared" si="130"/>
        <v>55</v>
      </c>
      <c r="E1388" t="str">
        <f t="shared" si="126"/>
        <v xml:space="preserve"> 👩🏿‍❤️‍💋‍👩🏼 E13.1 kiss: woman, woman, dark skin tone, medium-light skin tone</v>
      </c>
      <c r="F1388" t="b">
        <f t="shared" si="131"/>
        <v>1</v>
      </c>
      <c r="G1388" t="str">
        <f t="shared" si="127"/>
        <v>1F469</v>
      </c>
      <c r="I1388">
        <f>HEX2DEC(Table1[[#This Row],[utf8]])</f>
        <v>128105</v>
      </c>
      <c r="J1388" t="str">
        <f>_xlfn.UNICHAR(HEX2DEC(Table1[[#This Row],[utf8]]))</f>
        <v>👩</v>
      </c>
      <c r="K1388" s="3" t="str" cm="1">
        <f t="array" ref="K1388">"Case "&amp;wRandomLetter()&amp;wRandomLetter()&amp;I1388&amp;":    UniConst = ChrW(" &amp; I1388 &amp;")"</f>
        <v>Case GK128105:    UniConst = ChrW(128105)</v>
      </c>
    </row>
    <row r="1389" spans="1:11" hidden="1">
      <c r="A1389" t="s">
        <v>2863</v>
      </c>
      <c r="B1389" t="str">
        <f t="shared" si="128"/>
        <v>1F469 1F3FF 200D 2764 FE0F 200D 1F48B 200D 1F469 1F3FD ; fully-qualified # 👩🏿‍❤️‍💋‍👩🏽 E13.1 kiss: woman, woman, dark skin tone, medium skin tone</v>
      </c>
      <c r="C1389" t="str">
        <f t="shared" si="129"/>
        <v xml:space="preserve">1F469 1F3FF 200D 2764 FE0F 200D 1F48B 200D 1F469 1F3FD </v>
      </c>
      <c r="D1389">
        <f t="shared" si="130"/>
        <v>55</v>
      </c>
      <c r="E1389" t="str">
        <f t="shared" si="126"/>
        <v xml:space="preserve"> 👩🏿‍❤️‍💋‍👩🏽 E13.1 kiss: woman, woman, dark skin tone, medium skin tone</v>
      </c>
      <c r="F1389" t="b">
        <f t="shared" si="131"/>
        <v>1</v>
      </c>
      <c r="G1389" t="str">
        <f t="shared" si="127"/>
        <v>1F469</v>
      </c>
      <c r="I1389">
        <f>HEX2DEC(Table1[[#This Row],[utf8]])</f>
        <v>128105</v>
      </c>
      <c r="J1389" t="str">
        <f>_xlfn.UNICHAR(HEX2DEC(Table1[[#This Row],[utf8]]))</f>
        <v>👩</v>
      </c>
      <c r="K1389" s="3" t="str" cm="1">
        <f t="array" ref="K1389">"Case "&amp;wRandomLetter()&amp;wRandomLetter()&amp;I1389&amp;":    UniConst = ChrW(" &amp; I1389 &amp;")"</f>
        <v>Case cI128105:    UniConst = ChrW(128105)</v>
      </c>
    </row>
    <row r="1390" spans="1:11" hidden="1">
      <c r="A1390" t="s">
        <v>2865</v>
      </c>
      <c r="B1390" t="str">
        <f t="shared" si="128"/>
        <v>1F469 1F3FF 200D 2764 FE0F 200D 1F48B 200D 1F469 1F3FE ; fully-qualified # 👩🏿‍❤️‍💋‍👩🏾 E13.1 kiss: woman, woman, dark skin tone, medium-dark skin tone</v>
      </c>
      <c r="C1390" t="str">
        <f t="shared" si="129"/>
        <v xml:space="preserve">1F469 1F3FF 200D 2764 FE0F 200D 1F48B 200D 1F469 1F3FE </v>
      </c>
      <c r="D1390">
        <f t="shared" si="130"/>
        <v>55</v>
      </c>
      <c r="E1390" t="str">
        <f t="shared" si="126"/>
        <v xml:space="preserve"> 👩🏿‍❤️‍💋‍👩🏾 E13.1 kiss: woman, woman, dark skin tone, medium-dark skin tone</v>
      </c>
      <c r="F1390" t="b">
        <f t="shared" si="131"/>
        <v>1</v>
      </c>
      <c r="G1390" t="str">
        <f t="shared" si="127"/>
        <v>1F469</v>
      </c>
      <c r="I1390">
        <f>HEX2DEC(Table1[[#This Row],[utf8]])</f>
        <v>128105</v>
      </c>
      <c r="J1390" t="str">
        <f>_xlfn.UNICHAR(HEX2DEC(Table1[[#This Row],[utf8]]))</f>
        <v>👩</v>
      </c>
      <c r="K1390" s="3" t="str" cm="1">
        <f t="array" ref="K1390">"Case "&amp;wRandomLetter()&amp;wRandomLetter()&amp;I1390&amp;":    UniConst = ChrW(" &amp; I1390 &amp;")"</f>
        <v>Case BN128105:    UniConst = ChrW(128105)</v>
      </c>
    </row>
    <row r="1391" spans="1:11" hidden="1">
      <c r="A1391" t="s">
        <v>2867</v>
      </c>
      <c r="B1391" t="str">
        <f t="shared" si="128"/>
        <v>1F469 1F3FF 200D 2764 FE0F 200D 1F48B 200D 1F469 1F3FF ; fully-qualified # 👩🏿‍❤️‍💋‍👩🏿 E13.1 kiss: woman, woman, dark skin tone</v>
      </c>
      <c r="C1391" t="str">
        <f t="shared" si="129"/>
        <v xml:space="preserve">1F469 1F3FF 200D 2764 FE0F 200D 1F48B 200D 1F469 1F3FF </v>
      </c>
      <c r="D1391">
        <f t="shared" si="130"/>
        <v>55</v>
      </c>
      <c r="E1391" t="str">
        <f t="shared" si="126"/>
        <v xml:space="preserve"> 👩🏿‍❤️‍💋‍👩🏿 E13.1 kiss: woman, woman, dark skin tone</v>
      </c>
      <c r="F1391" t="b">
        <f t="shared" si="131"/>
        <v>1</v>
      </c>
      <c r="G1391" t="str">
        <f t="shared" si="127"/>
        <v>1F469</v>
      </c>
      <c r="I1391">
        <f>HEX2DEC(Table1[[#This Row],[utf8]])</f>
        <v>128105</v>
      </c>
      <c r="J1391" t="str">
        <f>_xlfn.UNICHAR(HEX2DEC(Table1[[#This Row],[utf8]]))</f>
        <v>👩</v>
      </c>
      <c r="K1391" s="3" t="str" cm="1">
        <f t="array" ref="K1391">"Case "&amp;wRandomLetter()&amp;wRandomLetter()&amp;I1391&amp;":    UniConst = ChrW(" &amp; I1391 &amp;")"</f>
        <v>Case ka128105:    UniConst = ChrW(128105)</v>
      </c>
    </row>
    <row r="1392" spans="1:11" hidden="1">
      <c r="A1392" t="s">
        <v>1062</v>
      </c>
      <c r="B1392" t="str">
        <f t="shared" si="128"/>
        <v>1F469 200D 1F33E ; fully-qualified # 👩‍🌾 E4.0 woman farmer</v>
      </c>
      <c r="C1392" t="str">
        <f t="shared" si="129"/>
        <v xml:space="preserve">1F469 200D 1F33E </v>
      </c>
      <c r="D1392">
        <f t="shared" si="130"/>
        <v>17</v>
      </c>
      <c r="E1392" t="str">
        <f t="shared" si="126"/>
        <v xml:space="preserve"> 👩‍🌾 E4.0 woman farmer</v>
      </c>
      <c r="F1392" t="b">
        <f t="shared" si="131"/>
        <v>1</v>
      </c>
      <c r="G1392" t="str">
        <f t="shared" si="127"/>
        <v>1F469</v>
      </c>
      <c r="I1392">
        <f>HEX2DEC(Table1[[#This Row],[utf8]])</f>
        <v>128105</v>
      </c>
      <c r="J1392" t="str">
        <f>_xlfn.UNICHAR(HEX2DEC(Table1[[#This Row],[utf8]]))</f>
        <v>👩</v>
      </c>
      <c r="K1392" s="3" t="str" cm="1">
        <f t="array" ref="K1392">"Case "&amp;wRandomLetter()&amp;wRandomLetter()&amp;I1392&amp;":    UniConst = ChrW(" &amp; I1392 &amp;")"</f>
        <v>Case IO128105:    UniConst = ChrW(128105)</v>
      </c>
    </row>
    <row r="1393" spans="1:11" hidden="1">
      <c r="A1393" t="s">
        <v>1080</v>
      </c>
      <c r="B1393" t="str">
        <f t="shared" si="128"/>
        <v>1F469 200D 1F373 ; fully-qualified # 👩‍🍳 E4.0 woman cook</v>
      </c>
      <c r="C1393" t="str">
        <f t="shared" si="129"/>
        <v xml:space="preserve">1F469 200D 1F373 </v>
      </c>
      <c r="D1393">
        <f t="shared" si="130"/>
        <v>17</v>
      </c>
      <c r="E1393" t="str">
        <f t="shared" si="126"/>
        <v xml:space="preserve"> 👩‍🍳 E4.0 woman cook</v>
      </c>
      <c r="F1393" t="b">
        <f t="shared" si="131"/>
        <v>1</v>
      </c>
      <c r="G1393" t="str">
        <f t="shared" si="127"/>
        <v>1F469</v>
      </c>
      <c r="I1393">
        <f>HEX2DEC(Table1[[#This Row],[utf8]])</f>
        <v>128105</v>
      </c>
      <c r="J1393" t="str">
        <f>_xlfn.UNICHAR(HEX2DEC(Table1[[#This Row],[utf8]]))</f>
        <v>👩</v>
      </c>
      <c r="K1393" s="3" t="str" cm="1">
        <f t="array" ref="K1393">"Case "&amp;wRandomLetter()&amp;wRandomLetter()&amp;I1393&amp;":    UniConst = ChrW(" &amp; I1393 &amp;")"</f>
        <v>Case sh128105:    UniConst = ChrW(128105)</v>
      </c>
    </row>
    <row r="1394" spans="1:11" hidden="1">
      <c r="A1394" t="s">
        <v>1541</v>
      </c>
      <c r="B1394" t="str">
        <f t="shared" si="128"/>
        <v>1F469 200D 1F37C ; fully-qualified # 👩‍🍼 E13.0 woman feeding baby</v>
      </c>
      <c r="C1394" t="str">
        <f t="shared" si="129"/>
        <v xml:space="preserve">1F469 200D 1F37C </v>
      </c>
      <c r="D1394">
        <f t="shared" si="130"/>
        <v>17</v>
      </c>
      <c r="E1394" t="str">
        <f t="shared" si="126"/>
        <v xml:space="preserve"> 👩‍🍼 E13.0 woman feeding baby</v>
      </c>
      <c r="F1394" t="b">
        <f t="shared" si="131"/>
        <v>1</v>
      </c>
      <c r="G1394" t="str">
        <f t="shared" si="127"/>
        <v>1F469</v>
      </c>
      <c r="I1394">
        <f>HEX2DEC(Table1[[#This Row],[utf8]])</f>
        <v>128105</v>
      </c>
      <c r="J1394" t="str">
        <f>_xlfn.UNICHAR(HEX2DEC(Table1[[#This Row],[utf8]]))</f>
        <v>👩</v>
      </c>
      <c r="K1394" s="3" t="str" cm="1">
        <f t="array" ref="K1394">"Case "&amp;wRandomLetter()&amp;wRandomLetter()&amp;I1394&amp;":    UniConst = ChrW(" &amp; I1394 &amp;")"</f>
        <v>Case Cv128105:    UniConst = ChrW(128105)</v>
      </c>
    </row>
    <row r="1395" spans="1:11" hidden="1">
      <c r="A1395" t="s">
        <v>990</v>
      </c>
      <c r="B1395" t="str">
        <f t="shared" si="128"/>
        <v>1F469 200D 1F393 ; fully-qualified # 👩‍🎓 E4.0 woman student</v>
      </c>
      <c r="C1395" t="str">
        <f t="shared" si="129"/>
        <v xml:space="preserve">1F469 200D 1F393 </v>
      </c>
      <c r="D1395">
        <f t="shared" si="130"/>
        <v>17</v>
      </c>
      <c r="E1395" t="str">
        <f t="shared" si="126"/>
        <v xml:space="preserve"> 👩‍🎓 E4.0 woman student</v>
      </c>
      <c r="F1395" t="b">
        <f t="shared" si="131"/>
        <v>1</v>
      </c>
      <c r="G1395" t="str">
        <f t="shared" si="127"/>
        <v>1F469</v>
      </c>
      <c r="I1395">
        <f>HEX2DEC(Table1[[#This Row],[utf8]])</f>
        <v>128105</v>
      </c>
      <c r="J1395" t="str">
        <f>_xlfn.UNICHAR(HEX2DEC(Table1[[#This Row],[utf8]]))</f>
        <v>👩</v>
      </c>
      <c r="K1395" s="3" t="str" cm="1">
        <f t="array" ref="K1395">"Case "&amp;wRandomLetter()&amp;wRandomLetter()&amp;I1395&amp;":    UniConst = ChrW(" &amp; I1395 &amp;")"</f>
        <v>Case Ds128105:    UniConst = ChrW(128105)</v>
      </c>
    </row>
    <row r="1396" spans="1:11" hidden="1">
      <c r="A1396" t="s">
        <v>1188</v>
      </c>
      <c r="B1396" t="str">
        <f t="shared" si="128"/>
        <v>1F469 200D 1F3A4 ; fully-qualified # 👩‍🎤 E4.0 woman singer</v>
      </c>
      <c r="C1396" t="str">
        <f t="shared" si="129"/>
        <v xml:space="preserve">1F469 200D 1F3A4 </v>
      </c>
      <c r="D1396">
        <f t="shared" si="130"/>
        <v>17</v>
      </c>
      <c r="E1396" t="str">
        <f t="shared" si="126"/>
        <v xml:space="preserve"> 👩‍🎤 E4.0 woman singer</v>
      </c>
      <c r="F1396" t="b">
        <f t="shared" si="131"/>
        <v>1</v>
      </c>
      <c r="G1396" t="str">
        <f t="shared" si="127"/>
        <v>1F469</v>
      </c>
      <c r="I1396">
        <f>HEX2DEC(Table1[[#This Row],[utf8]])</f>
        <v>128105</v>
      </c>
      <c r="J1396" t="str">
        <f>_xlfn.UNICHAR(HEX2DEC(Table1[[#This Row],[utf8]]))</f>
        <v>👩</v>
      </c>
      <c r="K1396" s="3" t="str" cm="1">
        <f t="array" ref="K1396">"Case "&amp;wRandomLetter()&amp;wRandomLetter()&amp;I1396&amp;":    UniConst = ChrW(" &amp; I1396 &amp;")"</f>
        <v>Case CJ128105:    UniConst = ChrW(128105)</v>
      </c>
    </row>
    <row r="1397" spans="1:11" hidden="1">
      <c r="A1397" t="s">
        <v>1206</v>
      </c>
      <c r="B1397" t="str">
        <f t="shared" si="128"/>
        <v>1F469 200D 1F3A8 ; fully-qualified # 👩‍🎨 E4.0 woman artist</v>
      </c>
      <c r="C1397" t="str">
        <f t="shared" si="129"/>
        <v xml:space="preserve">1F469 200D 1F3A8 </v>
      </c>
      <c r="D1397">
        <f t="shared" si="130"/>
        <v>17</v>
      </c>
      <c r="E1397" t="str">
        <f t="shared" si="126"/>
        <v xml:space="preserve"> 👩‍🎨 E4.0 woman artist</v>
      </c>
      <c r="F1397" t="b">
        <f t="shared" si="131"/>
        <v>1</v>
      </c>
      <c r="G1397" t="str">
        <f t="shared" si="127"/>
        <v>1F469</v>
      </c>
      <c r="I1397">
        <f>HEX2DEC(Table1[[#This Row],[utf8]])</f>
        <v>128105</v>
      </c>
      <c r="J1397" t="str">
        <f>_xlfn.UNICHAR(HEX2DEC(Table1[[#This Row],[utf8]]))</f>
        <v>👩</v>
      </c>
      <c r="K1397" s="3" t="str" cm="1">
        <f t="array" ref="K1397">"Case "&amp;wRandomLetter()&amp;wRandomLetter()&amp;I1397&amp;":    UniConst = ChrW(" &amp; I1397 &amp;")"</f>
        <v>Case AD128105:    UniConst = ChrW(128105)</v>
      </c>
    </row>
    <row r="1398" spans="1:11" hidden="1">
      <c r="A1398" t="s">
        <v>1008</v>
      </c>
      <c r="B1398" t="str">
        <f t="shared" si="128"/>
        <v>1F469 200D 1F3EB ; fully-qualified # 👩‍🏫 E4.0 woman teacher</v>
      </c>
      <c r="C1398" t="str">
        <f t="shared" si="129"/>
        <v xml:space="preserve">1F469 200D 1F3EB </v>
      </c>
      <c r="D1398">
        <f t="shared" si="130"/>
        <v>17</v>
      </c>
      <c r="E1398" t="str">
        <f t="shared" si="126"/>
        <v xml:space="preserve"> 👩‍🏫 E4.0 woman teacher</v>
      </c>
      <c r="F1398" t="b">
        <f t="shared" si="131"/>
        <v>1</v>
      </c>
      <c r="G1398" t="str">
        <f t="shared" si="127"/>
        <v>1F469</v>
      </c>
      <c r="I1398">
        <f>HEX2DEC(Table1[[#This Row],[utf8]])</f>
        <v>128105</v>
      </c>
      <c r="J1398" t="str">
        <f>_xlfn.UNICHAR(HEX2DEC(Table1[[#This Row],[utf8]]))</f>
        <v>👩</v>
      </c>
      <c r="K1398" s="3" t="str" cm="1">
        <f t="array" ref="K1398">"Case "&amp;wRandomLetter()&amp;wRandomLetter()&amp;I1398&amp;":    UniConst = ChrW(" &amp; I1398 &amp;")"</f>
        <v>Case bC128105:    UniConst = ChrW(128105)</v>
      </c>
    </row>
    <row r="1399" spans="1:11" hidden="1">
      <c r="A1399" t="s">
        <v>1116</v>
      </c>
      <c r="B1399" t="str">
        <f t="shared" si="128"/>
        <v>1F469 200D 1F3ED ; fully-qualified # 👩‍🏭 E4.0 woman factory worker</v>
      </c>
      <c r="C1399" t="str">
        <f t="shared" si="129"/>
        <v xml:space="preserve">1F469 200D 1F3ED </v>
      </c>
      <c r="D1399">
        <f t="shared" si="130"/>
        <v>17</v>
      </c>
      <c r="E1399" t="str">
        <f t="shared" si="126"/>
        <v xml:space="preserve"> 👩‍🏭 E4.0 woman factory worker</v>
      </c>
      <c r="F1399" t="b">
        <f t="shared" si="131"/>
        <v>1</v>
      </c>
      <c r="G1399" t="str">
        <f t="shared" si="127"/>
        <v>1F469</v>
      </c>
      <c r="I1399">
        <f>HEX2DEC(Table1[[#This Row],[utf8]])</f>
        <v>128105</v>
      </c>
      <c r="J1399" t="str">
        <f>_xlfn.UNICHAR(HEX2DEC(Table1[[#This Row],[utf8]]))</f>
        <v>👩</v>
      </c>
      <c r="K1399" s="3" t="str" cm="1">
        <f t="array" ref="K1399">"Case "&amp;wRandomLetter()&amp;wRandomLetter()&amp;I1399&amp;":    UniConst = ChrW(" &amp; I1399 &amp;")"</f>
        <v>Case AA128105:    UniConst = ChrW(128105)</v>
      </c>
    </row>
    <row r="1400" spans="1:11" hidden="1">
      <c r="A1400" t="s">
        <v>3092</v>
      </c>
      <c r="B1400" t="str">
        <f t="shared" si="128"/>
        <v>1F469 200D 1F466 ; fully-qualified # 👩‍👦 E4.0 family: woman, boy</v>
      </c>
      <c r="C1400" t="str">
        <f t="shared" si="129"/>
        <v xml:space="preserve">1F469 200D 1F466 </v>
      </c>
      <c r="D1400">
        <f t="shared" si="130"/>
        <v>17</v>
      </c>
      <c r="E1400" t="str">
        <f t="shared" si="126"/>
        <v xml:space="preserve"> 👩‍👦 E4.0 family: woman, boy</v>
      </c>
      <c r="F1400" t="b">
        <f t="shared" si="131"/>
        <v>1</v>
      </c>
      <c r="G1400" t="str">
        <f t="shared" si="127"/>
        <v>1F469</v>
      </c>
      <c r="I1400">
        <f>HEX2DEC(Table1[[#This Row],[utf8]])</f>
        <v>128105</v>
      </c>
      <c r="J1400" t="str">
        <f>_xlfn.UNICHAR(HEX2DEC(Table1[[#This Row],[utf8]]))</f>
        <v>👩</v>
      </c>
      <c r="K1400" s="3" t="str" cm="1">
        <f t="array" ref="K1400">"Case "&amp;wRandomLetter()&amp;wRandomLetter()&amp;I1400&amp;":    UniConst = ChrW(" &amp; I1400 &amp;")"</f>
        <v>Case eU128105:    UniConst = ChrW(128105)</v>
      </c>
    </row>
    <row r="1401" spans="1:11" hidden="1">
      <c r="A1401" t="s">
        <v>3093</v>
      </c>
      <c r="B1401" t="str">
        <f t="shared" si="128"/>
        <v>1F469 200D 1F466 200D 1F466 ; fully-qualified # 👩‍👦‍👦 E4.0 family: woman, boy, boy</v>
      </c>
      <c r="C1401" t="str">
        <f t="shared" si="129"/>
        <v xml:space="preserve">1F469 200D 1F466 200D 1F466 </v>
      </c>
      <c r="D1401">
        <f t="shared" si="130"/>
        <v>28</v>
      </c>
      <c r="E1401" t="str">
        <f t="shared" si="126"/>
        <v xml:space="preserve"> 👩‍👦‍👦 E4.0 family: woman, boy, boy</v>
      </c>
      <c r="F1401" t="b">
        <f t="shared" si="131"/>
        <v>1</v>
      </c>
      <c r="G1401" t="str">
        <f t="shared" si="127"/>
        <v>1F469</v>
      </c>
      <c r="I1401">
        <f>HEX2DEC(Table1[[#This Row],[utf8]])</f>
        <v>128105</v>
      </c>
      <c r="J1401" t="str">
        <f>_xlfn.UNICHAR(HEX2DEC(Table1[[#This Row],[utf8]]))</f>
        <v>👩</v>
      </c>
      <c r="K1401" s="3" t="str" cm="1">
        <f t="array" ref="K1401">"Case "&amp;wRandomLetter()&amp;wRandomLetter()&amp;I1401&amp;":    UniConst = ChrW(" &amp; I1401 &amp;")"</f>
        <v>Case BZ128105:    UniConst = ChrW(128105)</v>
      </c>
    </row>
    <row r="1402" spans="1:11" hidden="1">
      <c r="A1402" t="s">
        <v>3094</v>
      </c>
      <c r="B1402" t="str">
        <f t="shared" si="128"/>
        <v>1F469 200D 1F467 ; fully-qualified # 👩‍👧 E4.0 family: woman, girl</v>
      </c>
      <c r="C1402" t="str">
        <f t="shared" si="129"/>
        <v xml:space="preserve">1F469 200D 1F467 </v>
      </c>
      <c r="D1402">
        <f t="shared" si="130"/>
        <v>17</v>
      </c>
      <c r="E1402" t="str">
        <f t="shared" si="126"/>
        <v xml:space="preserve"> 👩‍👧 E4.0 family: woman, girl</v>
      </c>
      <c r="F1402" t="b">
        <f t="shared" si="131"/>
        <v>1</v>
      </c>
      <c r="G1402" t="str">
        <f t="shared" si="127"/>
        <v>1F469</v>
      </c>
      <c r="I1402">
        <f>HEX2DEC(Table1[[#This Row],[utf8]])</f>
        <v>128105</v>
      </c>
      <c r="J1402" t="str">
        <f>_xlfn.UNICHAR(HEX2DEC(Table1[[#This Row],[utf8]]))</f>
        <v>👩</v>
      </c>
      <c r="K1402" s="3" t="str" cm="1">
        <f t="array" ref="K1402">"Case "&amp;wRandomLetter()&amp;wRandomLetter()&amp;I1402&amp;":    UniConst = ChrW(" &amp; I1402 &amp;")"</f>
        <v>Case xY128105:    UniConst = ChrW(128105)</v>
      </c>
    </row>
    <row r="1403" spans="1:11" hidden="1">
      <c r="A1403" t="s">
        <v>3095</v>
      </c>
      <c r="B1403" t="str">
        <f t="shared" si="128"/>
        <v>1F469 200D 1F467 200D 1F466 ; fully-qualified # 👩‍👧‍👦 E4.0 family: woman, girl, boy</v>
      </c>
      <c r="C1403" t="str">
        <f t="shared" si="129"/>
        <v xml:space="preserve">1F469 200D 1F467 200D 1F466 </v>
      </c>
      <c r="D1403">
        <f t="shared" si="130"/>
        <v>28</v>
      </c>
      <c r="E1403" t="str">
        <f t="shared" si="126"/>
        <v xml:space="preserve"> 👩‍👧‍👦 E4.0 family: woman, girl, boy</v>
      </c>
      <c r="F1403" t="b">
        <f t="shared" si="131"/>
        <v>1</v>
      </c>
      <c r="G1403" t="str">
        <f t="shared" si="127"/>
        <v>1F469</v>
      </c>
      <c r="I1403">
        <f>HEX2DEC(Table1[[#This Row],[utf8]])</f>
        <v>128105</v>
      </c>
      <c r="J1403" t="str">
        <f>_xlfn.UNICHAR(HEX2DEC(Table1[[#This Row],[utf8]]))</f>
        <v>👩</v>
      </c>
      <c r="K1403" s="3" t="str" cm="1">
        <f t="array" ref="K1403">"Case "&amp;wRandomLetter()&amp;wRandomLetter()&amp;I1403&amp;":    UniConst = ChrW(" &amp; I1403 &amp;")"</f>
        <v>Case tF128105:    UniConst = ChrW(128105)</v>
      </c>
    </row>
    <row r="1404" spans="1:11" hidden="1">
      <c r="A1404" t="s">
        <v>3096</v>
      </c>
      <c r="B1404" t="str">
        <f t="shared" si="128"/>
        <v>1F469 200D 1F467 200D 1F467 ; fully-qualified # 👩‍👧‍👧 E4.0 family: woman, girl, girl</v>
      </c>
      <c r="C1404" t="str">
        <f t="shared" si="129"/>
        <v xml:space="preserve">1F469 200D 1F467 200D 1F467 </v>
      </c>
      <c r="D1404">
        <f t="shared" si="130"/>
        <v>28</v>
      </c>
      <c r="E1404" t="str">
        <f t="shared" si="126"/>
        <v xml:space="preserve"> 👩‍👧‍👧 E4.0 family: woman, girl, girl</v>
      </c>
      <c r="F1404" t="b">
        <f t="shared" si="131"/>
        <v>1</v>
      </c>
      <c r="G1404" t="str">
        <f t="shared" si="127"/>
        <v>1F469</v>
      </c>
      <c r="I1404">
        <f>HEX2DEC(Table1[[#This Row],[utf8]])</f>
        <v>128105</v>
      </c>
      <c r="J1404" t="str">
        <f>_xlfn.UNICHAR(HEX2DEC(Table1[[#This Row],[utf8]]))</f>
        <v>👩</v>
      </c>
      <c r="K1404" s="3" t="str" cm="1">
        <f t="array" ref="K1404">"Case "&amp;wRandomLetter()&amp;wRandomLetter()&amp;I1404&amp;":    UniConst = ChrW(" &amp; I1404 &amp;")"</f>
        <v>Case HV128105:    UniConst = ChrW(128105)</v>
      </c>
    </row>
    <row r="1405" spans="1:11" hidden="1">
      <c r="A1405" t="s">
        <v>3082</v>
      </c>
      <c r="B1405" t="str">
        <f t="shared" si="128"/>
        <v>1F469 200D 1F469 200D 1F466 ; fully-qualified # 👩‍👩‍👦 E2.0 family: woman, woman, boy</v>
      </c>
      <c r="C1405" t="str">
        <f t="shared" si="129"/>
        <v xml:space="preserve">1F469 200D 1F469 200D 1F466 </v>
      </c>
      <c r="D1405">
        <f t="shared" si="130"/>
        <v>28</v>
      </c>
      <c r="E1405" t="str">
        <f t="shared" si="126"/>
        <v xml:space="preserve"> 👩‍👩‍👦 E2.0 family: woman, woman, boy</v>
      </c>
      <c r="F1405" t="b">
        <f t="shared" si="131"/>
        <v>1</v>
      </c>
      <c r="G1405" t="str">
        <f t="shared" si="127"/>
        <v>1F469</v>
      </c>
      <c r="I1405">
        <f>HEX2DEC(Table1[[#This Row],[utf8]])</f>
        <v>128105</v>
      </c>
      <c r="J1405" t="str">
        <f>_xlfn.UNICHAR(HEX2DEC(Table1[[#This Row],[utf8]]))</f>
        <v>👩</v>
      </c>
      <c r="K1405" s="3" t="str" cm="1">
        <f t="array" ref="K1405">"Case "&amp;wRandomLetter()&amp;wRandomLetter()&amp;I1405&amp;":    UniConst = ChrW(" &amp; I1405 &amp;")"</f>
        <v>Case Eo128105:    UniConst = ChrW(128105)</v>
      </c>
    </row>
    <row r="1406" spans="1:11" hidden="1">
      <c r="A1406" t="s">
        <v>3085</v>
      </c>
      <c r="B1406" t="str">
        <f t="shared" si="128"/>
        <v>1F469 200D 1F469 200D 1F466 200D 1F466 ; fully-qualified # 👩‍👩‍👦‍👦 E2.0 family: woman, woman, boy, boy</v>
      </c>
      <c r="C1406" t="str">
        <f t="shared" si="129"/>
        <v xml:space="preserve">1F469 200D 1F469 200D 1F466 200D 1F466 </v>
      </c>
      <c r="D1406">
        <f t="shared" si="130"/>
        <v>39</v>
      </c>
      <c r="E1406" t="str">
        <f t="shared" si="126"/>
        <v xml:space="preserve"> 👩‍👩‍👦‍👦 E2.0 family: woman, woman, boy, boy</v>
      </c>
      <c r="F1406" t="b">
        <f t="shared" si="131"/>
        <v>1</v>
      </c>
      <c r="G1406" t="str">
        <f t="shared" si="127"/>
        <v>1F469</v>
      </c>
      <c r="I1406">
        <f>HEX2DEC(Table1[[#This Row],[utf8]])</f>
        <v>128105</v>
      </c>
      <c r="J1406" t="str">
        <f>_xlfn.UNICHAR(HEX2DEC(Table1[[#This Row],[utf8]]))</f>
        <v>👩</v>
      </c>
      <c r="K1406" s="3" t="str" cm="1">
        <f t="array" ref="K1406">"Case "&amp;wRandomLetter()&amp;wRandomLetter()&amp;I1406&amp;":    UniConst = ChrW(" &amp; I1406 &amp;")"</f>
        <v>Case xY128105:    UniConst = ChrW(128105)</v>
      </c>
    </row>
    <row r="1407" spans="1:11" hidden="1">
      <c r="A1407" t="s">
        <v>3083</v>
      </c>
      <c r="B1407" t="str">
        <f t="shared" si="128"/>
        <v>1F469 200D 1F469 200D 1F467 ; fully-qualified # 👩‍👩‍👧 E2.0 family: woman, woman, girl</v>
      </c>
      <c r="C1407" t="str">
        <f t="shared" si="129"/>
        <v xml:space="preserve">1F469 200D 1F469 200D 1F467 </v>
      </c>
      <c r="D1407">
        <f t="shared" si="130"/>
        <v>28</v>
      </c>
      <c r="E1407" t="str">
        <f t="shared" si="126"/>
        <v xml:space="preserve"> 👩‍👩‍👧 E2.0 family: woman, woman, girl</v>
      </c>
      <c r="F1407" t="b">
        <f t="shared" si="131"/>
        <v>1</v>
      </c>
      <c r="G1407" t="str">
        <f t="shared" si="127"/>
        <v>1F469</v>
      </c>
      <c r="I1407">
        <f>HEX2DEC(Table1[[#This Row],[utf8]])</f>
        <v>128105</v>
      </c>
      <c r="J1407" t="str">
        <f>_xlfn.UNICHAR(HEX2DEC(Table1[[#This Row],[utf8]]))</f>
        <v>👩</v>
      </c>
      <c r="K1407" s="3" t="str" cm="1">
        <f t="array" ref="K1407">"Case "&amp;wRandomLetter()&amp;wRandomLetter()&amp;I1407&amp;":    UniConst = ChrW(" &amp; I1407 &amp;")"</f>
        <v>Case Sq128105:    UniConst = ChrW(128105)</v>
      </c>
    </row>
    <row r="1408" spans="1:11" hidden="1">
      <c r="A1408" t="s">
        <v>3084</v>
      </c>
      <c r="B1408" t="str">
        <f t="shared" si="128"/>
        <v>1F469 200D 1F469 200D 1F467 200D 1F466 ; fully-qualified # 👩‍👩‍👧‍👦 E2.0 family: woman, woman, girl, boy</v>
      </c>
      <c r="C1408" t="str">
        <f t="shared" si="129"/>
        <v xml:space="preserve">1F469 200D 1F469 200D 1F467 200D 1F466 </v>
      </c>
      <c r="D1408">
        <f t="shared" si="130"/>
        <v>39</v>
      </c>
      <c r="E1408" t="str">
        <f t="shared" si="126"/>
        <v xml:space="preserve"> 👩‍👩‍👧‍👦 E2.0 family: woman, woman, girl, boy</v>
      </c>
      <c r="F1408" t="b">
        <f t="shared" si="131"/>
        <v>1</v>
      </c>
      <c r="G1408" t="str">
        <f t="shared" si="127"/>
        <v>1F469</v>
      </c>
      <c r="I1408">
        <f>HEX2DEC(Table1[[#This Row],[utf8]])</f>
        <v>128105</v>
      </c>
      <c r="J1408" t="str">
        <f>_xlfn.UNICHAR(HEX2DEC(Table1[[#This Row],[utf8]]))</f>
        <v>👩</v>
      </c>
      <c r="K1408" s="3" t="str" cm="1">
        <f t="array" ref="K1408">"Case "&amp;wRandomLetter()&amp;wRandomLetter()&amp;I1408&amp;":    UniConst = ChrW(" &amp; I1408 &amp;")"</f>
        <v>Case DK128105:    UniConst = ChrW(128105)</v>
      </c>
    </row>
    <row r="1409" spans="1:11" hidden="1">
      <c r="A1409" t="s">
        <v>3086</v>
      </c>
      <c r="B1409" t="str">
        <f t="shared" si="128"/>
        <v>1F469 200D 1F469 200D 1F467 200D 1F467 ; fully-qualified # 👩‍👩‍👧‍👧 E2.0 family: woman, woman, girl, girl</v>
      </c>
      <c r="C1409" t="str">
        <f t="shared" si="129"/>
        <v xml:space="preserve">1F469 200D 1F469 200D 1F467 200D 1F467 </v>
      </c>
      <c r="D1409">
        <f t="shared" si="130"/>
        <v>39</v>
      </c>
      <c r="E1409" t="str">
        <f t="shared" si="126"/>
        <v xml:space="preserve"> 👩‍👩‍👧‍👧 E2.0 family: woman, woman, girl, girl</v>
      </c>
      <c r="F1409" t="b">
        <f t="shared" si="131"/>
        <v>1</v>
      </c>
      <c r="G1409" t="str">
        <f t="shared" si="127"/>
        <v>1F469</v>
      </c>
      <c r="I1409">
        <f>HEX2DEC(Table1[[#This Row],[utf8]])</f>
        <v>128105</v>
      </c>
      <c r="J1409" t="str">
        <f>_xlfn.UNICHAR(HEX2DEC(Table1[[#This Row],[utf8]]))</f>
        <v>👩</v>
      </c>
      <c r="K1409" s="3" t="str" cm="1">
        <f t="array" ref="K1409">"Case "&amp;wRandomLetter()&amp;wRandomLetter()&amp;I1409&amp;":    UniConst = ChrW(" &amp; I1409 &amp;")"</f>
        <v>Case rN128105:    UniConst = ChrW(128105)</v>
      </c>
    </row>
    <row r="1410" spans="1:11" hidden="1">
      <c r="A1410" t="s">
        <v>1170</v>
      </c>
      <c r="B1410" t="str">
        <f t="shared" si="128"/>
        <v>1F469 200D 1F4BB ; fully-qualified # 👩‍💻 E4.0 woman technologist</v>
      </c>
      <c r="C1410" t="str">
        <f t="shared" si="129"/>
        <v xml:space="preserve">1F469 200D 1F4BB </v>
      </c>
      <c r="D1410">
        <f t="shared" si="130"/>
        <v>17</v>
      </c>
      <c r="E1410" t="str">
        <f t="shared" ref="E1410:E1473" si="132">MID(A1410,FIND("#",A1410)+1,256)</f>
        <v xml:space="preserve"> 👩‍💻 E4.0 woman technologist</v>
      </c>
      <c r="F1410" t="b">
        <f t="shared" si="131"/>
        <v>1</v>
      </c>
      <c r="G1410" t="str">
        <f t="shared" ref="G1410:G1473" si="133">LEFT(C1410,(FIND(" ",C1410,1)-1))</f>
        <v>1F469</v>
      </c>
      <c r="I1410">
        <f>HEX2DEC(Table1[[#This Row],[utf8]])</f>
        <v>128105</v>
      </c>
      <c r="J1410" t="str">
        <f>_xlfn.UNICHAR(HEX2DEC(Table1[[#This Row],[utf8]]))</f>
        <v>👩</v>
      </c>
      <c r="K1410" s="3" t="str" cm="1">
        <f t="array" ref="K1410">"Case "&amp;wRandomLetter()&amp;wRandomLetter()&amp;I1410&amp;":    UniConst = ChrW(" &amp; I1410 &amp;")"</f>
        <v>Case dj128105:    UniConst = ChrW(128105)</v>
      </c>
    </row>
    <row r="1411" spans="1:11" hidden="1">
      <c r="A1411" t="s">
        <v>1134</v>
      </c>
      <c r="B1411" t="str">
        <f t="shared" ref="B1411:B1474" si="134">TRIM(A1411)</f>
        <v>1F469 200D 1F4BC ; fully-qualified # 👩‍💼 E4.0 woman office worker</v>
      </c>
      <c r="C1411" t="str">
        <f t="shared" ref="C1411:C1474" si="135">LEFT(B1411,(FIND(";",B1411,1)-1))</f>
        <v xml:space="preserve">1F469 200D 1F4BC </v>
      </c>
      <c r="D1411">
        <f t="shared" ref="D1411:D1474" si="136">LEN(C1411)</f>
        <v>17</v>
      </c>
      <c r="E1411" t="str">
        <f t="shared" si="132"/>
        <v xml:space="preserve"> 👩‍💼 E4.0 woman office worker</v>
      </c>
      <c r="F1411" t="b">
        <f t="shared" ref="F1411:F1474" si="137">IF(LEFT(C1411,2)="1F",TRUE,FALSE)</f>
        <v>1</v>
      </c>
      <c r="G1411" t="str">
        <f t="shared" si="133"/>
        <v>1F469</v>
      </c>
      <c r="I1411">
        <f>HEX2DEC(Table1[[#This Row],[utf8]])</f>
        <v>128105</v>
      </c>
      <c r="J1411" t="str">
        <f>_xlfn.UNICHAR(HEX2DEC(Table1[[#This Row],[utf8]]))</f>
        <v>👩</v>
      </c>
      <c r="K1411" s="3" t="str" cm="1">
        <f t="array" ref="K1411">"Case "&amp;wRandomLetter()&amp;wRandomLetter()&amp;I1411&amp;":    UniConst = ChrW(" &amp; I1411 &amp;")"</f>
        <v>Case lG128105:    UniConst = ChrW(128105)</v>
      </c>
    </row>
    <row r="1412" spans="1:11" hidden="1">
      <c r="A1412" t="s">
        <v>1098</v>
      </c>
      <c r="B1412" t="str">
        <f t="shared" si="134"/>
        <v>1F469 200D 1F527 ; fully-qualified # 👩‍🔧 E4.0 woman mechanic</v>
      </c>
      <c r="C1412" t="str">
        <f t="shared" si="135"/>
        <v xml:space="preserve">1F469 200D 1F527 </v>
      </c>
      <c r="D1412">
        <f t="shared" si="136"/>
        <v>17</v>
      </c>
      <c r="E1412" t="str">
        <f t="shared" si="132"/>
        <v xml:space="preserve"> 👩‍🔧 E4.0 woman mechanic</v>
      </c>
      <c r="F1412" t="b">
        <f t="shared" si="137"/>
        <v>1</v>
      </c>
      <c r="G1412" t="str">
        <f t="shared" si="133"/>
        <v>1F469</v>
      </c>
      <c r="I1412">
        <f>HEX2DEC(Table1[[#This Row],[utf8]])</f>
        <v>128105</v>
      </c>
      <c r="J1412" t="str">
        <f>_xlfn.UNICHAR(HEX2DEC(Table1[[#This Row],[utf8]]))</f>
        <v>👩</v>
      </c>
      <c r="K1412" s="3" t="str" cm="1">
        <f t="array" ref="K1412">"Case "&amp;wRandomLetter()&amp;wRandomLetter()&amp;I1412&amp;":    UniConst = ChrW(" &amp; I1412 &amp;")"</f>
        <v>Case iw128105:    UniConst = ChrW(128105)</v>
      </c>
    </row>
    <row r="1413" spans="1:11" hidden="1">
      <c r="A1413" t="s">
        <v>1152</v>
      </c>
      <c r="B1413" t="str">
        <f t="shared" si="134"/>
        <v>1F469 200D 1F52C ; fully-qualified # 👩‍🔬 E4.0 woman scientist</v>
      </c>
      <c r="C1413" t="str">
        <f t="shared" si="135"/>
        <v xml:space="preserve">1F469 200D 1F52C </v>
      </c>
      <c r="D1413">
        <f t="shared" si="136"/>
        <v>17</v>
      </c>
      <c r="E1413" t="str">
        <f t="shared" si="132"/>
        <v xml:space="preserve"> 👩‍🔬 E4.0 woman scientist</v>
      </c>
      <c r="F1413" t="b">
        <f t="shared" si="137"/>
        <v>1</v>
      </c>
      <c r="G1413" t="str">
        <f t="shared" si="133"/>
        <v>1F469</v>
      </c>
      <c r="I1413">
        <f>HEX2DEC(Table1[[#This Row],[utf8]])</f>
        <v>128105</v>
      </c>
      <c r="J1413" t="str">
        <f>_xlfn.UNICHAR(HEX2DEC(Table1[[#This Row],[utf8]]))</f>
        <v>👩</v>
      </c>
      <c r="K1413" s="3" t="str" cm="1">
        <f t="array" ref="K1413">"Case "&amp;wRandomLetter()&amp;wRandomLetter()&amp;I1413&amp;":    UniConst = ChrW(" &amp; I1413 &amp;")"</f>
        <v>Case jg128105:    UniConst = ChrW(128105)</v>
      </c>
    </row>
    <row r="1414" spans="1:11" hidden="1">
      <c r="A1414" t="s">
        <v>1260</v>
      </c>
      <c r="B1414" t="str">
        <f t="shared" si="134"/>
        <v>1F469 200D 1F680 ; fully-qualified # 👩‍🚀 E4.0 woman astronaut</v>
      </c>
      <c r="C1414" t="str">
        <f t="shared" si="135"/>
        <v xml:space="preserve">1F469 200D 1F680 </v>
      </c>
      <c r="D1414">
        <f t="shared" si="136"/>
        <v>17</v>
      </c>
      <c r="E1414" t="str">
        <f t="shared" si="132"/>
        <v xml:space="preserve"> 👩‍🚀 E4.0 woman astronaut</v>
      </c>
      <c r="F1414" t="b">
        <f t="shared" si="137"/>
        <v>1</v>
      </c>
      <c r="G1414" t="str">
        <f t="shared" si="133"/>
        <v>1F469</v>
      </c>
      <c r="I1414">
        <f>HEX2DEC(Table1[[#This Row],[utf8]])</f>
        <v>128105</v>
      </c>
      <c r="J1414" t="str">
        <f>_xlfn.UNICHAR(HEX2DEC(Table1[[#This Row],[utf8]]))</f>
        <v>👩</v>
      </c>
      <c r="K1414" s="3" t="str" cm="1">
        <f t="array" ref="K1414">"Case "&amp;wRandomLetter()&amp;wRandomLetter()&amp;I1414&amp;":    UniConst = ChrW(" &amp; I1414 &amp;")"</f>
        <v>Case OJ128105:    UniConst = ChrW(128105)</v>
      </c>
    </row>
    <row r="1415" spans="1:11" hidden="1">
      <c r="A1415" t="s">
        <v>1278</v>
      </c>
      <c r="B1415" t="str">
        <f t="shared" si="134"/>
        <v>1F469 200D 1F692 ; fully-qualified # 👩‍🚒 E4.0 woman firefighter</v>
      </c>
      <c r="C1415" t="str">
        <f t="shared" si="135"/>
        <v xml:space="preserve">1F469 200D 1F692 </v>
      </c>
      <c r="D1415">
        <f t="shared" si="136"/>
        <v>17</v>
      </c>
      <c r="E1415" t="str">
        <f t="shared" si="132"/>
        <v xml:space="preserve"> 👩‍🚒 E4.0 woman firefighter</v>
      </c>
      <c r="F1415" t="b">
        <f t="shared" si="137"/>
        <v>1</v>
      </c>
      <c r="G1415" t="str">
        <f t="shared" si="133"/>
        <v>1F469</v>
      </c>
      <c r="I1415">
        <f>HEX2DEC(Table1[[#This Row],[utf8]])</f>
        <v>128105</v>
      </c>
      <c r="J1415" t="str">
        <f>_xlfn.UNICHAR(HEX2DEC(Table1[[#This Row],[utf8]]))</f>
        <v>👩</v>
      </c>
      <c r="K1415" s="3" t="str" cm="1">
        <f t="array" ref="K1415">"Case "&amp;wRandomLetter()&amp;wRandomLetter()&amp;I1415&amp;":    UniConst = ChrW(" &amp; I1415 &amp;")"</f>
        <v>Case sv128105:    UniConst = ChrW(128105)</v>
      </c>
    </row>
    <row r="1416" spans="1:11" hidden="1">
      <c r="A1416" t="s">
        <v>1967</v>
      </c>
      <c r="B1416" t="str">
        <f t="shared" si="134"/>
        <v>1F469 200D 1F9AF ; fully-qualified # 👩‍🦯 E12.0 woman with white cane</v>
      </c>
      <c r="C1416" t="str">
        <f t="shared" si="135"/>
        <v xml:space="preserve">1F469 200D 1F9AF </v>
      </c>
      <c r="D1416">
        <f t="shared" si="136"/>
        <v>17</v>
      </c>
      <c r="E1416" t="str">
        <f t="shared" si="132"/>
        <v xml:space="preserve"> 👩‍🦯 E12.0 woman with white cane</v>
      </c>
      <c r="F1416" t="b">
        <f t="shared" si="137"/>
        <v>1</v>
      </c>
      <c r="G1416" t="str">
        <f t="shared" si="133"/>
        <v>1F469</v>
      </c>
      <c r="I1416">
        <f>HEX2DEC(Table1[[#This Row],[utf8]])</f>
        <v>128105</v>
      </c>
      <c r="J1416" t="str">
        <f>_xlfn.UNICHAR(HEX2DEC(Table1[[#This Row],[utf8]]))</f>
        <v>👩</v>
      </c>
      <c r="K1416" s="3" t="str" cm="1">
        <f t="array" ref="K1416">"Case "&amp;wRandomLetter()&amp;wRandomLetter()&amp;I1416&amp;":    UniConst = ChrW(" &amp; I1416 &amp;")"</f>
        <v>Case Lv128105:    UniConst = ChrW(128105)</v>
      </c>
    </row>
    <row r="1417" spans="1:11" hidden="1">
      <c r="A1417" t="s">
        <v>550</v>
      </c>
      <c r="B1417" t="str">
        <f t="shared" si="134"/>
        <v>1F469 200D 1F9B0 ; fully-qualified # 👩‍🦰 E11.0 woman: red hair</v>
      </c>
      <c r="C1417" t="str">
        <f t="shared" si="135"/>
        <v xml:space="preserve">1F469 200D 1F9B0 </v>
      </c>
      <c r="D1417">
        <f t="shared" si="136"/>
        <v>17</v>
      </c>
      <c r="E1417" t="str">
        <f t="shared" si="132"/>
        <v xml:space="preserve"> 👩‍🦰 E11.0 woman: red hair</v>
      </c>
      <c r="F1417" t="b">
        <f t="shared" si="137"/>
        <v>1</v>
      </c>
      <c r="G1417" t="str">
        <f t="shared" si="133"/>
        <v>1F469</v>
      </c>
      <c r="I1417">
        <f>HEX2DEC(Table1[[#This Row],[utf8]])</f>
        <v>128105</v>
      </c>
      <c r="J1417" t="str">
        <f>_xlfn.UNICHAR(HEX2DEC(Table1[[#This Row],[utf8]]))</f>
        <v>👩</v>
      </c>
      <c r="K1417" s="3" t="str" cm="1">
        <f t="array" ref="K1417">"Case "&amp;wRandomLetter()&amp;wRandomLetter()&amp;I1417&amp;":    UniConst = ChrW(" &amp; I1417 &amp;")"</f>
        <v>Case pT128105:    UniConst = ChrW(128105)</v>
      </c>
    </row>
    <row r="1418" spans="1:11" hidden="1">
      <c r="A1418" t="s">
        <v>562</v>
      </c>
      <c r="B1418" t="str">
        <f t="shared" si="134"/>
        <v>1F469 200D 1F9B1 ; fully-qualified # 👩‍🦱 E11.0 woman: curly hair</v>
      </c>
      <c r="C1418" t="str">
        <f t="shared" si="135"/>
        <v xml:space="preserve">1F469 200D 1F9B1 </v>
      </c>
      <c r="D1418">
        <f t="shared" si="136"/>
        <v>17</v>
      </c>
      <c r="E1418" t="str">
        <f t="shared" si="132"/>
        <v xml:space="preserve"> 👩‍🦱 E11.0 woman: curly hair</v>
      </c>
      <c r="F1418" t="b">
        <f t="shared" si="137"/>
        <v>1</v>
      </c>
      <c r="G1418" t="str">
        <f t="shared" si="133"/>
        <v>1F469</v>
      </c>
      <c r="I1418">
        <f>HEX2DEC(Table1[[#This Row],[utf8]])</f>
        <v>128105</v>
      </c>
      <c r="J1418" t="str">
        <f>_xlfn.UNICHAR(HEX2DEC(Table1[[#This Row],[utf8]]))</f>
        <v>👩</v>
      </c>
      <c r="K1418" s="3" t="str" cm="1">
        <f t="array" ref="K1418">"Case "&amp;wRandomLetter()&amp;wRandomLetter()&amp;I1418&amp;":    UniConst = ChrW(" &amp; I1418 &amp;")"</f>
        <v>Case WG128105:    UniConst = ChrW(128105)</v>
      </c>
    </row>
    <row r="1419" spans="1:11" hidden="1">
      <c r="A1419" t="s">
        <v>586</v>
      </c>
      <c r="B1419" t="str">
        <f t="shared" si="134"/>
        <v>1F469 200D 1F9B2 ; fully-qualified # 👩‍🦲 E11.0 woman: bald</v>
      </c>
      <c r="C1419" t="str">
        <f t="shared" si="135"/>
        <v xml:space="preserve">1F469 200D 1F9B2 </v>
      </c>
      <c r="D1419">
        <f t="shared" si="136"/>
        <v>17</v>
      </c>
      <c r="E1419" t="str">
        <f t="shared" si="132"/>
        <v xml:space="preserve"> 👩‍🦲 E11.0 woman: bald</v>
      </c>
      <c r="F1419" t="b">
        <f t="shared" si="137"/>
        <v>1</v>
      </c>
      <c r="G1419" t="str">
        <f t="shared" si="133"/>
        <v>1F469</v>
      </c>
      <c r="I1419">
        <f>HEX2DEC(Table1[[#This Row],[utf8]])</f>
        <v>128105</v>
      </c>
      <c r="J1419" t="str">
        <f>_xlfn.UNICHAR(HEX2DEC(Table1[[#This Row],[utf8]]))</f>
        <v>👩</v>
      </c>
      <c r="K1419" s="3" t="str" cm="1">
        <f t="array" ref="K1419">"Case "&amp;wRandomLetter()&amp;wRandomLetter()&amp;I1419&amp;":    UniConst = ChrW(" &amp; I1419 &amp;")"</f>
        <v>Case Ak128105:    UniConst = ChrW(128105)</v>
      </c>
    </row>
    <row r="1420" spans="1:11" hidden="1">
      <c r="A1420" t="s">
        <v>574</v>
      </c>
      <c r="B1420" t="str">
        <f t="shared" si="134"/>
        <v>1F469 200D 1F9B3 ; fully-qualified # 👩‍🦳 E11.0 woman: white hair</v>
      </c>
      <c r="C1420" t="str">
        <f t="shared" si="135"/>
        <v xml:space="preserve">1F469 200D 1F9B3 </v>
      </c>
      <c r="D1420">
        <f t="shared" si="136"/>
        <v>17</v>
      </c>
      <c r="E1420" t="str">
        <f t="shared" si="132"/>
        <v xml:space="preserve"> 👩‍🦳 E11.0 woman: white hair</v>
      </c>
      <c r="F1420" t="b">
        <f t="shared" si="137"/>
        <v>1</v>
      </c>
      <c r="G1420" t="str">
        <f t="shared" si="133"/>
        <v>1F469</v>
      </c>
      <c r="I1420">
        <f>HEX2DEC(Table1[[#This Row],[utf8]])</f>
        <v>128105</v>
      </c>
      <c r="J1420" t="str">
        <f>_xlfn.UNICHAR(HEX2DEC(Table1[[#This Row],[utf8]]))</f>
        <v>👩</v>
      </c>
      <c r="K1420" s="3" t="str" cm="1">
        <f t="array" ref="K1420">"Case "&amp;wRandomLetter()&amp;wRandomLetter()&amp;I1420&amp;":    UniConst = ChrW(" &amp; I1420 &amp;")"</f>
        <v>Case Vg128105:    UniConst = ChrW(128105)</v>
      </c>
    </row>
    <row r="1421" spans="1:11" hidden="1">
      <c r="A1421" t="s">
        <v>1985</v>
      </c>
      <c r="B1421" t="str">
        <f t="shared" si="134"/>
        <v>1F469 200D 1F9BC ; fully-qualified # 👩‍🦼 E12.0 woman in motorized wheelchair</v>
      </c>
      <c r="C1421" t="str">
        <f t="shared" si="135"/>
        <v xml:space="preserve">1F469 200D 1F9BC </v>
      </c>
      <c r="D1421">
        <f t="shared" si="136"/>
        <v>17</v>
      </c>
      <c r="E1421" t="str">
        <f t="shared" si="132"/>
        <v xml:space="preserve"> 👩‍🦼 E12.0 woman in motorized wheelchair</v>
      </c>
      <c r="F1421" t="b">
        <f t="shared" si="137"/>
        <v>1</v>
      </c>
      <c r="G1421" t="str">
        <f t="shared" si="133"/>
        <v>1F469</v>
      </c>
      <c r="I1421">
        <f>HEX2DEC(Table1[[#This Row],[utf8]])</f>
        <v>128105</v>
      </c>
      <c r="J1421" t="str">
        <f>_xlfn.UNICHAR(HEX2DEC(Table1[[#This Row],[utf8]]))</f>
        <v>👩</v>
      </c>
      <c r="K1421" s="3" t="str" cm="1">
        <f t="array" ref="K1421">"Case "&amp;wRandomLetter()&amp;wRandomLetter()&amp;I1421&amp;":    UniConst = ChrW(" &amp; I1421 &amp;")"</f>
        <v>Case LY128105:    UniConst = ChrW(128105)</v>
      </c>
    </row>
    <row r="1422" spans="1:11" hidden="1">
      <c r="A1422" t="s">
        <v>2003</v>
      </c>
      <c r="B1422" t="str">
        <f t="shared" si="134"/>
        <v>1F469 200D 1F9BD ; fully-qualified # 👩‍🦽 E12.0 woman in manual wheelchair</v>
      </c>
      <c r="C1422" t="str">
        <f t="shared" si="135"/>
        <v xml:space="preserve">1F469 200D 1F9BD </v>
      </c>
      <c r="D1422">
        <f t="shared" si="136"/>
        <v>17</v>
      </c>
      <c r="E1422" t="str">
        <f t="shared" si="132"/>
        <v xml:space="preserve"> 👩‍🦽 E12.0 woman in manual wheelchair</v>
      </c>
      <c r="F1422" t="b">
        <f t="shared" si="137"/>
        <v>1</v>
      </c>
      <c r="G1422" t="str">
        <f t="shared" si="133"/>
        <v>1F469</v>
      </c>
      <c r="I1422">
        <f>HEX2DEC(Table1[[#This Row],[utf8]])</f>
        <v>128105</v>
      </c>
      <c r="J1422" t="str">
        <f>_xlfn.UNICHAR(HEX2DEC(Table1[[#This Row],[utf8]]))</f>
        <v>👩</v>
      </c>
      <c r="K1422" s="3" t="str" cm="1">
        <f t="array" ref="K1422">"Case "&amp;wRandomLetter()&amp;wRandomLetter()&amp;I1422&amp;":    UniConst = ChrW(" &amp; I1422 &amp;")"</f>
        <v>Case XT128105:    UniConst = ChrW(128105)</v>
      </c>
    </row>
    <row r="1423" spans="1:11" hidden="1">
      <c r="A1423" t="s">
        <v>967</v>
      </c>
      <c r="B1423" t="str">
        <f t="shared" si="134"/>
        <v>1F469 200D 2695 ; minimally-qualified # 👩‍⚕ E4.0 woman health worker</v>
      </c>
      <c r="C1423" t="str">
        <f t="shared" si="135"/>
        <v xml:space="preserve">1F469 200D 2695 </v>
      </c>
      <c r="D1423">
        <f t="shared" si="136"/>
        <v>16</v>
      </c>
      <c r="E1423" t="str">
        <f t="shared" si="132"/>
        <v xml:space="preserve"> 👩‍⚕ E4.0 woman health worker</v>
      </c>
      <c r="F1423" t="b">
        <f t="shared" si="137"/>
        <v>1</v>
      </c>
      <c r="G1423" t="str">
        <f t="shared" si="133"/>
        <v>1F469</v>
      </c>
      <c r="I1423">
        <f>HEX2DEC(Table1[[#This Row],[utf8]])</f>
        <v>128105</v>
      </c>
      <c r="J1423" t="str">
        <f>_xlfn.UNICHAR(HEX2DEC(Table1[[#This Row],[utf8]]))</f>
        <v>👩</v>
      </c>
      <c r="K1423" s="3" t="str" cm="1">
        <f t="array" ref="K1423">"Case "&amp;wRandomLetter()&amp;wRandomLetter()&amp;I1423&amp;":    UniConst = ChrW(" &amp; I1423 &amp;")"</f>
        <v>Case cj128105:    UniConst = ChrW(128105)</v>
      </c>
    </row>
    <row r="1424" spans="1:11" hidden="1">
      <c r="A1424" t="s">
        <v>966</v>
      </c>
      <c r="B1424" t="str">
        <f t="shared" si="134"/>
        <v>1F469 200D 2695 FE0F ; fully-qualified # 👩‍⚕️ E4.0 woman health worker</v>
      </c>
      <c r="C1424" t="str">
        <f t="shared" si="135"/>
        <v xml:space="preserve">1F469 200D 2695 FE0F </v>
      </c>
      <c r="D1424">
        <f t="shared" si="136"/>
        <v>21</v>
      </c>
      <c r="E1424" t="str">
        <f t="shared" si="132"/>
        <v xml:space="preserve"> 👩‍⚕️ E4.0 woman health worker</v>
      </c>
      <c r="F1424" t="b">
        <f t="shared" si="137"/>
        <v>1</v>
      </c>
      <c r="G1424" t="str">
        <f t="shared" si="133"/>
        <v>1F469</v>
      </c>
      <c r="I1424">
        <f>HEX2DEC(Table1[[#This Row],[utf8]])</f>
        <v>128105</v>
      </c>
      <c r="J1424" t="str">
        <f>_xlfn.UNICHAR(HEX2DEC(Table1[[#This Row],[utf8]]))</f>
        <v>👩</v>
      </c>
      <c r="K1424" s="3" t="str" cm="1">
        <f t="array" ref="K1424">"Case "&amp;wRandomLetter()&amp;wRandomLetter()&amp;I1424&amp;":    UniConst = ChrW(" &amp; I1424 &amp;")"</f>
        <v>Case rU128105:    UniConst = ChrW(128105)</v>
      </c>
    </row>
    <row r="1425" spans="1:11" hidden="1">
      <c r="A1425" t="s">
        <v>1039</v>
      </c>
      <c r="B1425" t="str">
        <f t="shared" si="134"/>
        <v>1F469 200D 2696 ; minimally-qualified # 👩‍⚖ E4.0 woman judge</v>
      </c>
      <c r="C1425" t="str">
        <f t="shared" si="135"/>
        <v xml:space="preserve">1F469 200D 2696 </v>
      </c>
      <c r="D1425">
        <f t="shared" si="136"/>
        <v>16</v>
      </c>
      <c r="E1425" t="str">
        <f t="shared" si="132"/>
        <v xml:space="preserve"> 👩‍⚖ E4.0 woman judge</v>
      </c>
      <c r="F1425" t="b">
        <f t="shared" si="137"/>
        <v>1</v>
      </c>
      <c r="G1425" t="str">
        <f t="shared" si="133"/>
        <v>1F469</v>
      </c>
      <c r="I1425">
        <f>HEX2DEC(Table1[[#This Row],[utf8]])</f>
        <v>128105</v>
      </c>
      <c r="J1425" t="str">
        <f>_xlfn.UNICHAR(HEX2DEC(Table1[[#This Row],[utf8]]))</f>
        <v>👩</v>
      </c>
      <c r="K1425" s="3" t="str" cm="1">
        <f t="array" ref="K1425">"Case "&amp;wRandomLetter()&amp;wRandomLetter()&amp;I1425&amp;":    UniConst = ChrW(" &amp; I1425 &amp;")"</f>
        <v>Case bb128105:    UniConst = ChrW(128105)</v>
      </c>
    </row>
    <row r="1426" spans="1:11" hidden="1">
      <c r="A1426" t="s">
        <v>1038</v>
      </c>
      <c r="B1426" t="str">
        <f t="shared" si="134"/>
        <v>1F469 200D 2696 FE0F ; fully-qualified # 👩‍⚖️ E4.0 woman judge</v>
      </c>
      <c r="C1426" t="str">
        <f t="shared" si="135"/>
        <v xml:space="preserve">1F469 200D 2696 FE0F </v>
      </c>
      <c r="D1426">
        <f t="shared" si="136"/>
        <v>21</v>
      </c>
      <c r="E1426" t="str">
        <f t="shared" si="132"/>
        <v xml:space="preserve"> 👩‍⚖️ E4.0 woman judge</v>
      </c>
      <c r="F1426" t="b">
        <f t="shared" si="137"/>
        <v>1</v>
      </c>
      <c r="G1426" t="str">
        <f t="shared" si="133"/>
        <v>1F469</v>
      </c>
      <c r="I1426">
        <f>HEX2DEC(Table1[[#This Row],[utf8]])</f>
        <v>128105</v>
      </c>
      <c r="J1426" t="str">
        <f>_xlfn.UNICHAR(HEX2DEC(Table1[[#This Row],[utf8]]))</f>
        <v>👩</v>
      </c>
      <c r="K1426" s="3" t="str" cm="1">
        <f t="array" ref="K1426">"Case "&amp;wRandomLetter()&amp;wRandomLetter()&amp;I1426&amp;":    UniConst = ChrW(" &amp; I1426 &amp;")"</f>
        <v>Case Vx128105:    UniConst = ChrW(128105)</v>
      </c>
    </row>
    <row r="1427" spans="1:11" hidden="1">
      <c r="A1427" t="s">
        <v>1237</v>
      </c>
      <c r="B1427" t="str">
        <f t="shared" si="134"/>
        <v>1F469 200D 2708 ; minimally-qualified # 👩‍✈ E4.0 woman pilot</v>
      </c>
      <c r="C1427" t="str">
        <f t="shared" si="135"/>
        <v xml:space="preserve">1F469 200D 2708 </v>
      </c>
      <c r="D1427">
        <f t="shared" si="136"/>
        <v>16</v>
      </c>
      <c r="E1427" t="str">
        <f t="shared" si="132"/>
        <v xml:space="preserve"> 👩‍✈ E4.0 woman pilot</v>
      </c>
      <c r="F1427" t="b">
        <f t="shared" si="137"/>
        <v>1</v>
      </c>
      <c r="G1427" t="str">
        <f t="shared" si="133"/>
        <v>1F469</v>
      </c>
      <c r="I1427">
        <f>HEX2DEC(Table1[[#This Row],[utf8]])</f>
        <v>128105</v>
      </c>
      <c r="J1427" t="str">
        <f>_xlfn.UNICHAR(HEX2DEC(Table1[[#This Row],[utf8]]))</f>
        <v>👩</v>
      </c>
      <c r="K1427" s="3" t="str" cm="1">
        <f t="array" ref="K1427">"Case "&amp;wRandomLetter()&amp;wRandomLetter()&amp;I1427&amp;":    UniConst = ChrW(" &amp; I1427 &amp;")"</f>
        <v>Case ST128105:    UniConst = ChrW(128105)</v>
      </c>
    </row>
    <row r="1428" spans="1:11" hidden="1">
      <c r="A1428" t="s">
        <v>1236</v>
      </c>
      <c r="B1428" t="str">
        <f t="shared" si="134"/>
        <v>1F469 200D 2708 FE0F ; fully-qualified # 👩‍✈️ E4.0 woman pilot</v>
      </c>
      <c r="C1428" t="str">
        <f t="shared" si="135"/>
        <v xml:space="preserve">1F469 200D 2708 FE0F </v>
      </c>
      <c r="D1428">
        <f t="shared" si="136"/>
        <v>21</v>
      </c>
      <c r="E1428" t="str">
        <f t="shared" si="132"/>
        <v xml:space="preserve"> 👩‍✈️ E4.0 woman pilot</v>
      </c>
      <c r="F1428" t="b">
        <f t="shared" si="137"/>
        <v>1</v>
      </c>
      <c r="G1428" t="str">
        <f t="shared" si="133"/>
        <v>1F469</v>
      </c>
      <c r="I1428">
        <f>HEX2DEC(Table1[[#This Row],[utf8]])</f>
        <v>128105</v>
      </c>
      <c r="J1428" t="str">
        <f>_xlfn.UNICHAR(HEX2DEC(Table1[[#This Row],[utf8]]))</f>
        <v>👩</v>
      </c>
      <c r="K1428" s="3" t="str" cm="1">
        <f t="array" ref="K1428">"Case "&amp;wRandomLetter()&amp;wRandomLetter()&amp;I1428&amp;":    UniConst = ChrW(" &amp; I1428 &amp;")"</f>
        <v>Case eW128105:    UniConst = ChrW(128105)</v>
      </c>
    </row>
    <row r="1429" spans="1:11" hidden="1">
      <c r="A1429" t="s">
        <v>2916</v>
      </c>
      <c r="B1429" t="str">
        <f t="shared" si="134"/>
        <v>1F469 200D 2764 200D 1F468 ; minimally-qualified # 👩‍❤‍👨 E2.0 couple with heart: woman, man</v>
      </c>
      <c r="C1429" t="str">
        <f t="shared" si="135"/>
        <v xml:space="preserve">1F469 200D 2764 200D 1F468 </v>
      </c>
      <c r="D1429">
        <f t="shared" si="136"/>
        <v>27</v>
      </c>
      <c r="E1429" t="str">
        <f t="shared" si="132"/>
        <v xml:space="preserve"> 👩‍❤‍👨 E2.0 couple with heart: woman, man</v>
      </c>
      <c r="F1429" t="b">
        <f t="shared" si="137"/>
        <v>1</v>
      </c>
      <c r="G1429" t="str">
        <f t="shared" si="133"/>
        <v>1F469</v>
      </c>
      <c r="I1429">
        <f>HEX2DEC(Table1[[#This Row],[utf8]])</f>
        <v>128105</v>
      </c>
      <c r="J1429" t="str">
        <f>_xlfn.UNICHAR(HEX2DEC(Table1[[#This Row],[utf8]]))</f>
        <v>👩</v>
      </c>
      <c r="K1429" s="3" t="str" cm="1">
        <f t="array" ref="K1429">"Case "&amp;wRandomLetter()&amp;wRandomLetter()&amp;I1429&amp;":    UniConst = ChrW(" &amp; I1429 &amp;")"</f>
        <v>Case LN128105:    UniConst = ChrW(128105)</v>
      </c>
    </row>
    <row r="1430" spans="1:11" hidden="1">
      <c r="A1430" t="s">
        <v>3020</v>
      </c>
      <c r="B1430" t="str">
        <f t="shared" si="134"/>
        <v>1F469 200D 2764 200D 1F469 ; minimally-qualified # 👩‍❤‍👩 E2.0 couple with heart: woman, woman</v>
      </c>
      <c r="C1430" t="str">
        <f t="shared" si="135"/>
        <v xml:space="preserve">1F469 200D 2764 200D 1F469 </v>
      </c>
      <c r="D1430">
        <f t="shared" si="136"/>
        <v>27</v>
      </c>
      <c r="E1430" t="str">
        <f t="shared" si="132"/>
        <v xml:space="preserve"> 👩‍❤‍👩 E2.0 couple with heart: woman, woman</v>
      </c>
      <c r="F1430" t="b">
        <f t="shared" si="137"/>
        <v>1</v>
      </c>
      <c r="G1430" t="str">
        <f t="shared" si="133"/>
        <v>1F469</v>
      </c>
      <c r="I1430">
        <f>HEX2DEC(Table1[[#This Row],[utf8]])</f>
        <v>128105</v>
      </c>
      <c r="J1430" t="str">
        <f>_xlfn.UNICHAR(HEX2DEC(Table1[[#This Row],[utf8]]))</f>
        <v>👩</v>
      </c>
      <c r="K1430" s="3" t="str" cm="1">
        <f t="array" ref="K1430">"Case "&amp;wRandomLetter()&amp;wRandomLetter()&amp;I1430&amp;":    UniConst = ChrW(" &amp; I1430 &amp;")"</f>
        <v>Case UL128105:    UniConst = ChrW(128105)</v>
      </c>
    </row>
    <row r="1431" spans="1:11" hidden="1">
      <c r="A1431" t="s">
        <v>2714</v>
      </c>
      <c r="B1431" t="str">
        <f t="shared" si="134"/>
        <v>1F469 200D 2764 200D 1F48B 200D 1F468 ; minimally-qualified # 👩‍❤‍💋‍👨 E2.0 kiss: woman, man</v>
      </c>
      <c r="C1431" t="str">
        <f t="shared" si="135"/>
        <v xml:space="preserve">1F469 200D 2764 200D 1F48B 200D 1F468 </v>
      </c>
      <c r="D1431">
        <f t="shared" si="136"/>
        <v>38</v>
      </c>
      <c r="E1431" t="str">
        <f t="shared" si="132"/>
        <v xml:space="preserve"> 👩‍❤‍💋‍👨 E2.0 kiss: woman, man</v>
      </c>
      <c r="F1431" t="b">
        <f t="shared" si="137"/>
        <v>1</v>
      </c>
      <c r="G1431" t="str">
        <f t="shared" si="133"/>
        <v>1F469</v>
      </c>
      <c r="I1431">
        <f>HEX2DEC(Table1[[#This Row],[utf8]])</f>
        <v>128105</v>
      </c>
      <c r="J1431" t="str">
        <f>_xlfn.UNICHAR(HEX2DEC(Table1[[#This Row],[utf8]]))</f>
        <v>👩</v>
      </c>
      <c r="K1431" s="3" t="str" cm="1">
        <f t="array" ref="K1431">"Case "&amp;wRandomLetter()&amp;wRandomLetter()&amp;I1431&amp;":    UniConst = ChrW(" &amp; I1431 &amp;")"</f>
        <v>Case uT128105:    UniConst = ChrW(128105)</v>
      </c>
    </row>
    <row r="1432" spans="1:11" hidden="1">
      <c r="A1432" t="s">
        <v>2818</v>
      </c>
      <c r="B1432" t="str">
        <f t="shared" si="134"/>
        <v>1F469 200D 2764 200D 1F48B 200D 1F469 ; minimally-qualified # 👩‍❤‍💋‍👩 E2.0 kiss: woman, woman</v>
      </c>
      <c r="C1432" t="str">
        <f t="shared" si="135"/>
        <v xml:space="preserve">1F469 200D 2764 200D 1F48B 200D 1F469 </v>
      </c>
      <c r="D1432">
        <f t="shared" si="136"/>
        <v>38</v>
      </c>
      <c r="E1432" t="str">
        <f t="shared" si="132"/>
        <v xml:space="preserve"> 👩‍❤‍💋‍👩 E2.0 kiss: woman, woman</v>
      </c>
      <c r="F1432" t="b">
        <f t="shared" si="137"/>
        <v>1</v>
      </c>
      <c r="G1432" t="str">
        <f t="shared" si="133"/>
        <v>1F469</v>
      </c>
      <c r="I1432">
        <f>HEX2DEC(Table1[[#This Row],[utf8]])</f>
        <v>128105</v>
      </c>
      <c r="J1432" t="str">
        <f>_xlfn.UNICHAR(HEX2DEC(Table1[[#This Row],[utf8]]))</f>
        <v>👩</v>
      </c>
      <c r="K1432" s="3" t="str" cm="1">
        <f t="array" ref="K1432">"Case "&amp;wRandomLetter()&amp;wRandomLetter()&amp;I1432&amp;":    UniConst = ChrW(" &amp; I1432 &amp;")"</f>
        <v>Case td128105:    UniConst = ChrW(128105)</v>
      </c>
    </row>
    <row r="1433" spans="1:11" hidden="1">
      <c r="A1433" t="s">
        <v>2915</v>
      </c>
      <c r="B1433" t="str">
        <f t="shared" si="134"/>
        <v>1F469 200D 2764 FE0F 200D 1F468 ; fully-qualified # 👩‍❤️‍👨 E2.0 couple with heart: woman, man</v>
      </c>
      <c r="C1433" t="str">
        <f t="shared" si="135"/>
        <v xml:space="preserve">1F469 200D 2764 FE0F 200D 1F468 </v>
      </c>
      <c r="D1433">
        <f t="shared" si="136"/>
        <v>32</v>
      </c>
      <c r="E1433" t="str">
        <f t="shared" si="132"/>
        <v xml:space="preserve"> 👩‍❤️‍👨 E2.0 couple with heart: woman, man</v>
      </c>
      <c r="F1433" t="b">
        <f t="shared" si="137"/>
        <v>1</v>
      </c>
      <c r="G1433" t="str">
        <f t="shared" si="133"/>
        <v>1F469</v>
      </c>
      <c r="I1433">
        <f>HEX2DEC(Table1[[#This Row],[utf8]])</f>
        <v>128105</v>
      </c>
      <c r="J1433" t="str">
        <f>_xlfn.UNICHAR(HEX2DEC(Table1[[#This Row],[utf8]]))</f>
        <v>👩</v>
      </c>
      <c r="K1433" s="3" t="str" cm="1">
        <f t="array" ref="K1433">"Case "&amp;wRandomLetter()&amp;wRandomLetter()&amp;I1433&amp;":    UniConst = ChrW(" &amp; I1433 &amp;")"</f>
        <v>Case Xp128105:    UniConst = ChrW(128105)</v>
      </c>
    </row>
    <row r="1434" spans="1:11" hidden="1">
      <c r="A1434" t="s">
        <v>3019</v>
      </c>
      <c r="B1434" t="str">
        <f t="shared" si="134"/>
        <v>1F469 200D 2764 FE0F 200D 1F469 ; fully-qualified # 👩‍❤️‍👩 E2.0 couple with heart: woman, woman</v>
      </c>
      <c r="C1434" t="str">
        <f t="shared" si="135"/>
        <v xml:space="preserve">1F469 200D 2764 FE0F 200D 1F469 </v>
      </c>
      <c r="D1434">
        <f t="shared" si="136"/>
        <v>32</v>
      </c>
      <c r="E1434" t="str">
        <f t="shared" si="132"/>
        <v xml:space="preserve"> 👩‍❤️‍👩 E2.0 couple with heart: woman, woman</v>
      </c>
      <c r="F1434" t="b">
        <f t="shared" si="137"/>
        <v>1</v>
      </c>
      <c r="G1434" t="str">
        <f t="shared" si="133"/>
        <v>1F469</v>
      </c>
      <c r="I1434">
        <f>HEX2DEC(Table1[[#This Row],[utf8]])</f>
        <v>128105</v>
      </c>
      <c r="J1434" t="str">
        <f>_xlfn.UNICHAR(HEX2DEC(Table1[[#This Row],[utf8]]))</f>
        <v>👩</v>
      </c>
      <c r="K1434" s="3" t="str" cm="1">
        <f t="array" ref="K1434">"Case "&amp;wRandomLetter()&amp;wRandomLetter()&amp;I1434&amp;":    UniConst = ChrW(" &amp; I1434 &amp;")"</f>
        <v>Case iX128105:    UniConst = ChrW(128105)</v>
      </c>
    </row>
    <row r="1435" spans="1:11" hidden="1">
      <c r="A1435" t="s">
        <v>2713</v>
      </c>
      <c r="B1435" t="str">
        <f t="shared" si="134"/>
        <v>1F469 200D 2764 FE0F 200D 1F48B 200D 1F468 ; fully-qualified # 👩‍❤️‍💋‍👨 E2.0 kiss: woman, man</v>
      </c>
      <c r="C1435" t="str">
        <f t="shared" si="135"/>
        <v xml:space="preserve">1F469 200D 2764 FE0F 200D 1F48B 200D 1F468 </v>
      </c>
      <c r="D1435">
        <f t="shared" si="136"/>
        <v>43</v>
      </c>
      <c r="E1435" t="str">
        <f t="shared" si="132"/>
        <v xml:space="preserve"> 👩‍❤️‍💋‍👨 E2.0 kiss: woman, man</v>
      </c>
      <c r="F1435" t="b">
        <f t="shared" si="137"/>
        <v>1</v>
      </c>
      <c r="G1435" t="str">
        <f t="shared" si="133"/>
        <v>1F469</v>
      </c>
      <c r="I1435">
        <f>HEX2DEC(Table1[[#This Row],[utf8]])</f>
        <v>128105</v>
      </c>
      <c r="J1435" t="str">
        <f>_xlfn.UNICHAR(HEX2DEC(Table1[[#This Row],[utf8]]))</f>
        <v>👩</v>
      </c>
      <c r="K1435" s="3" t="str" cm="1">
        <f t="array" ref="K1435">"Case "&amp;wRandomLetter()&amp;wRandomLetter()&amp;I1435&amp;":    UniConst = ChrW(" &amp; I1435 &amp;")"</f>
        <v>Case Jf128105:    UniConst = ChrW(128105)</v>
      </c>
    </row>
    <row r="1436" spans="1:11" hidden="1">
      <c r="A1436" t="s">
        <v>2817</v>
      </c>
      <c r="B1436" t="str">
        <f t="shared" si="134"/>
        <v>1F469 200D 2764 FE0F 200D 1F48B 200D 1F469 ; fully-qualified # 👩‍❤️‍💋‍👩 E2.0 kiss: woman, woman</v>
      </c>
      <c r="C1436" t="str">
        <f t="shared" si="135"/>
        <v xml:space="preserve">1F469 200D 2764 FE0F 200D 1F48B 200D 1F469 </v>
      </c>
      <c r="D1436">
        <f t="shared" si="136"/>
        <v>43</v>
      </c>
      <c r="E1436" t="str">
        <f t="shared" si="132"/>
        <v xml:space="preserve"> 👩‍❤️‍💋‍👩 E2.0 kiss: woman, woman</v>
      </c>
      <c r="F1436" t="b">
        <f t="shared" si="137"/>
        <v>1</v>
      </c>
      <c r="G1436" t="str">
        <f t="shared" si="133"/>
        <v>1F469</v>
      </c>
      <c r="I1436">
        <f>HEX2DEC(Table1[[#This Row],[utf8]])</f>
        <v>128105</v>
      </c>
      <c r="J1436" t="str">
        <f>_xlfn.UNICHAR(HEX2DEC(Table1[[#This Row],[utf8]]))</f>
        <v>👩</v>
      </c>
      <c r="K1436" s="3" t="str" cm="1">
        <f t="array" ref="K1436">"Case "&amp;wRandomLetter()&amp;wRandomLetter()&amp;I1436&amp;":    UniConst = ChrW(" &amp; I1436 &amp;")"</f>
        <v>Case ba128105:    UniConst = ChrW(128105)</v>
      </c>
    </row>
    <row r="1437" spans="1:11" hidden="1">
      <c r="A1437" t="s">
        <v>3071</v>
      </c>
      <c r="B1437" t="str">
        <f t="shared" si="134"/>
        <v>1F46A ; fully-qualified # 👪 E0.6 family</v>
      </c>
      <c r="C1437" t="str">
        <f t="shared" si="135"/>
        <v xml:space="preserve">1F46A </v>
      </c>
      <c r="D1437">
        <f t="shared" si="136"/>
        <v>6</v>
      </c>
      <c r="E1437" t="str">
        <f t="shared" si="132"/>
        <v xml:space="preserve"> 👪 E0.6 family</v>
      </c>
      <c r="F1437" t="b">
        <f t="shared" si="137"/>
        <v>1</v>
      </c>
      <c r="G1437" t="str">
        <f t="shared" si="133"/>
        <v>1F46A</v>
      </c>
      <c r="I1437">
        <f>HEX2DEC(Table1[[#This Row],[utf8]])</f>
        <v>128106</v>
      </c>
      <c r="J1437" t="str">
        <f>_xlfn.UNICHAR(HEX2DEC(Table1[[#This Row],[utf8]]))</f>
        <v>👪</v>
      </c>
      <c r="K1437" s="3" t="str" cm="1">
        <f t="array" ref="K1437">"Case "&amp;wRandomLetter()&amp;wRandomLetter()&amp;I1437&amp;":    UniConst = ChrW(" &amp; I1437 &amp;")"</f>
        <v>Case YB128106:    UniConst = ChrW(128106)</v>
      </c>
    </row>
    <row r="1438" spans="1:11" hidden="1">
      <c r="A1438" t="s">
        <v>2615</v>
      </c>
      <c r="B1438" t="str">
        <f t="shared" si="134"/>
        <v>1F46B ; fully-qualified # 👫 E0.6 woman and man holding hands</v>
      </c>
      <c r="C1438" t="str">
        <f t="shared" si="135"/>
        <v xml:space="preserve">1F46B </v>
      </c>
      <c r="D1438">
        <f t="shared" si="136"/>
        <v>6</v>
      </c>
      <c r="E1438" t="str">
        <f t="shared" si="132"/>
        <v xml:space="preserve"> 👫 E0.6 woman and man holding hands</v>
      </c>
      <c r="F1438" t="b">
        <f t="shared" si="137"/>
        <v>1</v>
      </c>
      <c r="G1438" t="str">
        <f t="shared" si="133"/>
        <v>1F46B</v>
      </c>
      <c r="I1438">
        <f>HEX2DEC(Table1[[#This Row],[utf8]])</f>
        <v>128107</v>
      </c>
      <c r="J1438" t="str">
        <f>_xlfn.UNICHAR(HEX2DEC(Table1[[#This Row],[utf8]]))</f>
        <v>👫</v>
      </c>
      <c r="K1438" s="3" t="str" cm="1">
        <f t="array" ref="K1438">"Case "&amp;wRandomLetter()&amp;wRandomLetter()&amp;I1438&amp;":    UniConst = ChrW(" &amp; I1438 &amp;")"</f>
        <v>Case wL128107:    UniConst = ChrW(128107)</v>
      </c>
    </row>
    <row r="1439" spans="1:11" hidden="1">
      <c r="A1439" t="s">
        <v>2616</v>
      </c>
      <c r="B1439" t="str">
        <f t="shared" si="134"/>
        <v>1F46B 1F3FB ; fully-qualified # 👫🏻 E12.0 woman and man holding hands: light skin tone</v>
      </c>
      <c r="C1439" t="str">
        <f t="shared" si="135"/>
        <v xml:space="preserve">1F46B 1F3FB </v>
      </c>
      <c r="D1439">
        <f t="shared" si="136"/>
        <v>12</v>
      </c>
      <c r="E1439" t="str">
        <f t="shared" si="132"/>
        <v xml:space="preserve"> 👫🏻 E12.0 woman and man holding hands: light skin tone</v>
      </c>
      <c r="F1439" t="b">
        <f t="shared" si="137"/>
        <v>1</v>
      </c>
      <c r="G1439" t="str">
        <f t="shared" si="133"/>
        <v>1F46B</v>
      </c>
      <c r="I1439">
        <f>HEX2DEC(Table1[[#This Row],[utf8]])</f>
        <v>128107</v>
      </c>
      <c r="J1439" t="str">
        <f>_xlfn.UNICHAR(HEX2DEC(Table1[[#This Row],[utf8]]))</f>
        <v>👫</v>
      </c>
      <c r="K1439" s="3" t="str" cm="1">
        <f t="array" ref="K1439">"Case "&amp;wRandomLetter()&amp;wRandomLetter()&amp;I1439&amp;":    UniConst = ChrW(" &amp; I1439 &amp;")"</f>
        <v>Case wk128107:    UniConst = ChrW(128107)</v>
      </c>
    </row>
    <row r="1440" spans="1:11" hidden="1">
      <c r="A1440" t="s">
        <v>2622</v>
      </c>
      <c r="B1440" t="str">
        <f t="shared" si="134"/>
        <v>1F46B 1F3FC ; fully-qualified # 👫🏼 E12.0 woman and man holding hands: medium-light skin tone</v>
      </c>
      <c r="C1440" t="str">
        <f t="shared" si="135"/>
        <v xml:space="preserve">1F46B 1F3FC </v>
      </c>
      <c r="D1440">
        <f t="shared" si="136"/>
        <v>12</v>
      </c>
      <c r="E1440" t="str">
        <f t="shared" si="132"/>
        <v xml:space="preserve"> 👫🏼 E12.0 woman and man holding hands: medium-light skin tone</v>
      </c>
      <c r="F1440" t="b">
        <f t="shared" si="137"/>
        <v>1</v>
      </c>
      <c r="G1440" t="str">
        <f t="shared" si="133"/>
        <v>1F46B</v>
      </c>
      <c r="I1440">
        <f>HEX2DEC(Table1[[#This Row],[utf8]])</f>
        <v>128107</v>
      </c>
      <c r="J1440" t="str">
        <f>_xlfn.UNICHAR(HEX2DEC(Table1[[#This Row],[utf8]]))</f>
        <v>👫</v>
      </c>
      <c r="K1440" s="3" t="str" cm="1">
        <f t="array" ref="K1440">"Case "&amp;wRandomLetter()&amp;wRandomLetter()&amp;I1440&amp;":    UniConst = ChrW(" &amp; I1440 &amp;")"</f>
        <v>Case IS128107:    UniConst = ChrW(128107)</v>
      </c>
    </row>
    <row r="1441" spans="1:11" hidden="1">
      <c r="A1441" t="s">
        <v>2628</v>
      </c>
      <c r="B1441" t="str">
        <f t="shared" si="134"/>
        <v>1F46B 1F3FD ; fully-qualified # 👫🏽 E12.0 woman and man holding hands: medium skin tone</v>
      </c>
      <c r="C1441" t="str">
        <f t="shared" si="135"/>
        <v xml:space="preserve">1F46B 1F3FD </v>
      </c>
      <c r="D1441">
        <f t="shared" si="136"/>
        <v>12</v>
      </c>
      <c r="E1441" t="str">
        <f t="shared" si="132"/>
        <v xml:space="preserve"> 👫🏽 E12.0 woman and man holding hands: medium skin tone</v>
      </c>
      <c r="F1441" t="b">
        <f t="shared" si="137"/>
        <v>1</v>
      </c>
      <c r="G1441" t="str">
        <f t="shared" si="133"/>
        <v>1F46B</v>
      </c>
      <c r="I1441">
        <f>HEX2DEC(Table1[[#This Row],[utf8]])</f>
        <v>128107</v>
      </c>
      <c r="J1441" t="str">
        <f>_xlfn.UNICHAR(HEX2DEC(Table1[[#This Row],[utf8]]))</f>
        <v>👫</v>
      </c>
      <c r="K1441" s="3" t="str" cm="1">
        <f t="array" ref="K1441">"Case "&amp;wRandomLetter()&amp;wRandomLetter()&amp;I1441&amp;":    UniConst = ChrW(" &amp; I1441 &amp;")"</f>
        <v>Case xv128107:    UniConst = ChrW(128107)</v>
      </c>
    </row>
    <row r="1442" spans="1:11" hidden="1">
      <c r="A1442" t="s">
        <v>2634</v>
      </c>
      <c r="B1442" t="str">
        <f t="shared" si="134"/>
        <v>1F46B 1F3FE ; fully-qualified # 👫🏾 E12.0 woman and man holding hands: medium-dark skin tone</v>
      </c>
      <c r="C1442" t="str">
        <f t="shared" si="135"/>
        <v xml:space="preserve">1F46B 1F3FE </v>
      </c>
      <c r="D1442">
        <f t="shared" si="136"/>
        <v>12</v>
      </c>
      <c r="E1442" t="str">
        <f t="shared" si="132"/>
        <v xml:space="preserve"> 👫🏾 E12.0 woman and man holding hands: medium-dark skin tone</v>
      </c>
      <c r="F1442" t="b">
        <f t="shared" si="137"/>
        <v>1</v>
      </c>
      <c r="G1442" t="str">
        <f t="shared" si="133"/>
        <v>1F46B</v>
      </c>
      <c r="I1442">
        <f>HEX2DEC(Table1[[#This Row],[utf8]])</f>
        <v>128107</v>
      </c>
      <c r="J1442" t="str">
        <f>_xlfn.UNICHAR(HEX2DEC(Table1[[#This Row],[utf8]]))</f>
        <v>👫</v>
      </c>
      <c r="K1442" s="3" t="str" cm="1">
        <f t="array" ref="K1442">"Case "&amp;wRandomLetter()&amp;wRandomLetter()&amp;I1442&amp;":    UniConst = ChrW(" &amp; I1442 &amp;")"</f>
        <v>Case di128107:    UniConst = ChrW(128107)</v>
      </c>
    </row>
    <row r="1443" spans="1:11" hidden="1">
      <c r="A1443" t="s">
        <v>2640</v>
      </c>
      <c r="B1443" t="str">
        <f t="shared" si="134"/>
        <v>1F46B 1F3FF ; fully-qualified # 👫🏿 E12.0 woman and man holding hands: dark skin tone</v>
      </c>
      <c r="C1443" t="str">
        <f t="shared" si="135"/>
        <v xml:space="preserve">1F46B 1F3FF </v>
      </c>
      <c r="D1443">
        <f t="shared" si="136"/>
        <v>12</v>
      </c>
      <c r="E1443" t="str">
        <f t="shared" si="132"/>
        <v xml:space="preserve"> 👫🏿 E12.0 woman and man holding hands: dark skin tone</v>
      </c>
      <c r="F1443" t="b">
        <f t="shared" si="137"/>
        <v>1</v>
      </c>
      <c r="G1443" t="str">
        <f t="shared" si="133"/>
        <v>1F46B</v>
      </c>
      <c r="I1443">
        <f>HEX2DEC(Table1[[#This Row],[utf8]])</f>
        <v>128107</v>
      </c>
      <c r="J1443" t="str">
        <f>_xlfn.UNICHAR(HEX2DEC(Table1[[#This Row],[utf8]]))</f>
        <v>👫</v>
      </c>
      <c r="K1443" s="3" t="str" cm="1">
        <f t="array" ref="K1443">"Case "&amp;wRandomLetter()&amp;wRandomLetter()&amp;I1443&amp;":    UniConst = ChrW(" &amp; I1443 &amp;")"</f>
        <v>Case Wu128107:    UniConst = ChrW(128107)</v>
      </c>
    </row>
    <row r="1444" spans="1:11" hidden="1">
      <c r="A1444" t="s">
        <v>2641</v>
      </c>
      <c r="B1444" t="str">
        <f t="shared" si="134"/>
        <v>1F46C ; fully-qualified # 👬 E1.0 men holding hands</v>
      </c>
      <c r="C1444" t="str">
        <f t="shared" si="135"/>
        <v xml:space="preserve">1F46C </v>
      </c>
      <c r="D1444">
        <f t="shared" si="136"/>
        <v>6</v>
      </c>
      <c r="E1444" t="str">
        <f t="shared" si="132"/>
        <v xml:space="preserve"> 👬 E1.0 men holding hands</v>
      </c>
      <c r="F1444" t="b">
        <f t="shared" si="137"/>
        <v>1</v>
      </c>
      <c r="G1444" t="str">
        <f t="shared" si="133"/>
        <v>1F46C</v>
      </c>
      <c r="I1444">
        <f>HEX2DEC(Table1[[#This Row],[utf8]])</f>
        <v>128108</v>
      </c>
      <c r="J1444" t="str">
        <f>_xlfn.UNICHAR(HEX2DEC(Table1[[#This Row],[utf8]]))</f>
        <v>👬</v>
      </c>
      <c r="K1444" s="3" t="str" cm="1">
        <f t="array" ref="K1444">"Case "&amp;wRandomLetter()&amp;wRandomLetter()&amp;I1444&amp;":    UniConst = ChrW(" &amp; I1444 &amp;")"</f>
        <v>Case rd128108:    UniConst = ChrW(128108)</v>
      </c>
    </row>
    <row r="1445" spans="1:11" hidden="1">
      <c r="A1445" t="s">
        <v>2642</v>
      </c>
      <c r="B1445" t="str">
        <f t="shared" si="134"/>
        <v>1F46C 1F3FB ; fully-qualified # 👬🏻 E12.0 men holding hands: light skin tone</v>
      </c>
      <c r="C1445" t="str">
        <f t="shared" si="135"/>
        <v xml:space="preserve">1F46C 1F3FB </v>
      </c>
      <c r="D1445">
        <f t="shared" si="136"/>
        <v>12</v>
      </c>
      <c r="E1445" t="str">
        <f t="shared" si="132"/>
        <v xml:space="preserve"> 👬🏻 E12.0 men holding hands: light skin tone</v>
      </c>
      <c r="F1445" t="b">
        <f t="shared" si="137"/>
        <v>1</v>
      </c>
      <c r="G1445" t="str">
        <f t="shared" si="133"/>
        <v>1F46C</v>
      </c>
      <c r="I1445">
        <f>HEX2DEC(Table1[[#This Row],[utf8]])</f>
        <v>128108</v>
      </c>
      <c r="J1445" t="str">
        <f>_xlfn.UNICHAR(HEX2DEC(Table1[[#This Row],[utf8]]))</f>
        <v>👬</v>
      </c>
      <c r="K1445" s="3" t="str" cm="1">
        <f t="array" ref="K1445">"Case "&amp;wRandomLetter()&amp;wRandomLetter()&amp;I1445&amp;":    UniConst = ChrW(" &amp; I1445 &amp;")"</f>
        <v>Case DV128108:    UniConst = ChrW(128108)</v>
      </c>
    </row>
    <row r="1446" spans="1:11" hidden="1">
      <c r="A1446" t="s">
        <v>2648</v>
      </c>
      <c r="B1446" t="str">
        <f t="shared" si="134"/>
        <v>1F46C 1F3FC ; fully-qualified # 👬🏼 E12.0 men holding hands: medium-light skin tone</v>
      </c>
      <c r="C1446" t="str">
        <f t="shared" si="135"/>
        <v xml:space="preserve">1F46C 1F3FC </v>
      </c>
      <c r="D1446">
        <f t="shared" si="136"/>
        <v>12</v>
      </c>
      <c r="E1446" t="str">
        <f t="shared" si="132"/>
        <v xml:space="preserve"> 👬🏼 E12.0 men holding hands: medium-light skin tone</v>
      </c>
      <c r="F1446" t="b">
        <f t="shared" si="137"/>
        <v>1</v>
      </c>
      <c r="G1446" t="str">
        <f t="shared" si="133"/>
        <v>1F46C</v>
      </c>
      <c r="I1446">
        <f>HEX2DEC(Table1[[#This Row],[utf8]])</f>
        <v>128108</v>
      </c>
      <c r="J1446" t="str">
        <f>_xlfn.UNICHAR(HEX2DEC(Table1[[#This Row],[utf8]]))</f>
        <v>👬</v>
      </c>
      <c r="K1446" s="3" t="str" cm="1">
        <f t="array" ref="K1446">"Case "&amp;wRandomLetter()&amp;wRandomLetter()&amp;I1446&amp;":    UniConst = ChrW(" &amp; I1446 &amp;")"</f>
        <v>Case LK128108:    UniConst = ChrW(128108)</v>
      </c>
    </row>
    <row r="1447" spans="1:11" hidden="1">
      <c r="A1447" t="s">
        <v>2654</v>
      </c>
      <c r="B1447" t="str">
        <f t="shared" si="134"/>
        <v>1F46C 1F3FD ; fully-qualified # 👬🏽 E12.0 men holding hands: medium skin tone</v>
      </c>
      <c r="C1447" t="str">
        <f t="shared" si="135"/>
        <v xml:space="preserve">1F46C 1F3FD </v>
      </c>
      <c r="D1447">
        <f t="shared" si="136"/>
        <v>12</v>
      </c>
      <c r="E1447" t="str">
        <f t="shared" si="132"/>
        <v xml:space="preserve"> 👬🏽 E12.0 men holding hands: medium skin tone</v>
      </c>
      <c r="F1447" t="b">
        <f t="shared" si="137"/>
        <v>1</v>
      </c>
      <c r="G1447" t="str">
        <f t="shared" si="133"/>
        <v>1F46C</v>
      </c>
      <c r="I1447">
        <f>HEX2DEC(Table1[[#This Row],[utf8]])</f>
        <v>128108</v>
      </c>
      <c r="J1447" t="str">
        <f>_xlfn.UNICHAR(HEX2DEC(Table1[[#This Row],[utf8]]))</f>
        <v>👬</v>
      </c>
      <c r="K1447" s="3" t="str" cm="1">
        <f t="array" ref="K1447">"Case "&amp;wRandomLetter()&amp;wRandomLetter()&amp;I1447&amp;":    UniConst = ChrW(" &amp; I1447 &amp;")"</f>
        <v>Case ab128108:    UniConst = ChrW(128108)</v>
      </c>
    </row>
    <row r="1448" spans="1:11" hidden="1">
      <c r="A1448" t="s">
        <v>2660</v>
      </c>
      <c r="B1448" t="str">
        <f t="shared" si="134"/>
        <v>1F46C 1F3FE ; fully-qualified # 👬🏾 E12.0 men holding hands: medium-dark skin tone</v>
      </c>
      <c r="C1448" t="str">
        <f t="shared" si="135"/>
        <v xml:space="preserve">1F46C 1F3FE </v>
      </c>
      <c r="D1448">
        <f t="shared" si="136"/>
        <v>12</v>
      </c>
      <c r="E1448" t="str">
        <f t="shared" si="132"/>
        <v xml:space="preserve"> 👬🏾 E12.0 men holding hands: medium-dark skin tone</v>
      </c>
      <c r="F1448" t="b">
        <f t="shared" si="137"/>
        <v>1</v>
      </c>
      <c r="G1448" t="str">
        <f t="shared" si="133"/>
        <v>1F46C</v>
      </c>
      <c r="I1448">
        <f>HEX2DEC(Table1[[#This Row],[utf8]])</f>
        <v>128108</v>
      </c>
      <c r="J1448" t="str">
        <f>_xlfn.UNICHAR(HEX2DEC(Table1[[#This Row],[utf8]]))</f>
        <v>👬</v>
      </c>
      <c r="K1448" s="3" t="str" cm="1">
        <f t="array" ref="K1448">"Case "&amp;wRandomLetter()&amp;wRandomLetter()&amp;I1448&amp;":    UniConst = ChrW(" &amp; I1448 &amp;")"</f>
        <v>Case Ie128108:    UniConst = ChrW(128108)</v>
      </c>
    </row>
    <row r="1449" spans="1:11" hidden="1">
      <c r="A1449" t="s">
        <v>2666</v>
      </c>
      <c r="B1449" t="str">
        <f t="shared" si="134"/>
        <v>1F46C 1F3FF ; fully-qualified # 👬🏿 E12.0 men holding hands: dark skin tone</v>
      </c>
      <c r="C1449" t="str">
        <f t="shared" si="135"/>
        <v xml:space="preserve">1F46C 1F3FF </v>
      </c>
      <c r="D1449">
        <f t="shared" si="136"/>
        <v>12</v>
      </c>
      <c r="E1449" t="str">
        <f t="shared" si="132"/>
        <v xml:space="preserve"> 👬🏿 E12.0 men holding hands: dark skin tone</v>
      </c>
      <c r="F1449" t="b">
        <f t="shared" si="137"/>
        <v>1</v>
      </c>
      <c r="G1449" t="str">
        <f t="shared" si="133"/>
        <v>1F46C</v>
      </c>
      <c r="I1449">
        <f>HEX2DEC(Table1[[#This Row],[utf8]])</f>
        <v>128108</v>
      </c>
      <c r="J1449" t="str">
        <f>_xlfn.UNICHAR(HEX2DEC(Table1[[#This Row],[utf8]]))</f>
        <v>👬</v>
      </c>
      <c r="K1449" s="3" t="str" cm="1">
        <f t="array" ref="K1449">"Case "&amp;wRandomLetter()&amp;wRandomLetter()&amp;I1449&amp;":    UniConst = ChrW(" &amp; I1449 &amp;")"</f>
        <v>Case Fb128108:    UniConst = ChrW(128108)</v>
      </c>
    </row>
    <row r="1450" spans="1:11" hidden="1">
      <c r="A1450" t="s">
        <v>2589</v>
      </c>
      <c r="B1450" t="str">
        <f t="shared" si="134"/>
        <v>1F46D ; fully-qualified # 👭 E1.0 women holding hands</v>
      </c>
      <c r="C1450" t="str">
        <f t="shared" si="135"/>
        <v xml:space="preserve">1F46D </v>
      </c>
      <c r="D1450">
        <f t="shared" si="136"/>
        <v>6</v>
      </c>
      <c r="E1450" t="str">
        <f t="shared" si="132"/>
        <v xml:space="preserve"> 👭 E1.0 women holding hands</v>
      </c>
      <c r="F1450" t="b">
        <f t="shared" si="137"/>
        <v>1</v>
      </c>
      <c r="G1450" t="str">
        <f t="shared" si="133"/>
        <v>1F46D</v>
      </c>
      <c r="I1450">
        <f>HEX2DEC(Table1[[#This Row],[utf8]])</f>
        <v>128109</v>
      </c>
      <c r="J1450" t="str">
        <f>_xlfn.UNICHAR(HEX2DEC(Table1[[#This Row],[utf8]]))</f>
        <v>👭</v>
      </c>
      <c r="K1450" s="3" t="str" cm="1">
        <f t="array" ref="K1450">"Case "&amp;wRandomLetter()&amp;wRandomLetter()&amp;I1450&amp;":    UniConst = ChrW(" &amp; I1450 &amp;")"</f>
        <v>Case Me128109:    UniConst = ChrW(128109)</v>
      </c>
    </row>
    <row r="1451" spans="1:11" hidden="1">
      <c r="A1451" t="s">
        <v>2590</v>
      </c>
      <c r="B1451" t="str">
        <f t="shared" si="134"/>
        <v>1F46D 1F3FB ; fully-qualified # 👭🏻 E12.0 women holding hands: light skin tone</v>
      </c>
      <c r="C1451" t="str">
        <f t="shared" si="135"/>
        <v xml:space="preserve">1F46D 1F3FB </v>
      </c>
      <c r="D1451">
        <f t="shared" si="136"/>
        <v>12</v>
      </c>
      <c r="E1451" t="str">
        <f t="shared" si="132"/>
        <v xml:space="preserve"> 👭🏻 E12.0 women holding hands: light skin tone</v>
      </c>
      <c r="F1451" t="b">
        <f t="shared" si="137"/>
        <v>1</v>
      </c>
      <c r="G1451" t="str">
        <f t="shared" si="133"/>
        <v>1F46D</v>
      </c>
      <c r="I1451">
        <f>HEX2DEC(Table1[[#This Row],[utf8]])</f>
        <v>128109</v>
      </c>
      <c r="J1451" t="str">
        <f>_xlfn.UNICHAR(HEX2DEC(Table1[[#This Row],[utf8]]))</f>
        <v>👭</v>
      </c>
      <c r="K1451" s="3" t="str" cm="1">
        <f t="array" ref="K1451">"Case "&amp;wRandomLetter()&amp;wRandomLetter()&amp;I1451&amp;":    UniConst = ChrW(" &amp; I1451 &amp;")"</f>
        <v>Case Lv128109:    UniConst = ChrW(128109)</v>
      </c>
    </row>
    <row r="1452" spans="1:11" hidden="1">
      <c r="A1452" t="s">
        <v>2596</v>
      </c>
      <c r="B1452" t="str">
        <f t="shared" si="134"/>
        <v>1F46D 1F3FC ; fully-qualified # 👭🏼 E12.0 women holding hands: medium-light skin tone</v>
      </c>
      <c r="C1452" t="str">
        <f t="shared" si="135"/>
        <v xml:space="preserve">1F46D 1F3FC </v>
      </c>
      <c r="D1452">
        <f t="shared" si="136"/>
        <v>12</v>
      </c>
      <c r="E1452" t="str">
        <f t="shared" si="132"/>
        <v xml:space="preserve"> 👭🏼 E12.0 women holding hands: medium-light skin tone</v>
      </c>
      <c r="F1452" t="b">
        <f t="shared" si="137"/>
        <v>1</v>
      </c>
      <c r="G1452" t="str">
        <f t="shared" si="133"/>
        <v>1F46D</v>
      </c>
      <c r="I1452">
        <f>HEX2DEC(Table1[[#This Row],[utf8]])</f>
        <v>128109</v>
      </c>
      <c r="J1452" t="str">
        <f>_xlfn.UNICHAR(HEX2DEC(Table1[[#This Row],[utf8]]))</f>
        <v>👭</v>
      </c>
      <c r="K1452" s="3" t="str" cm="1">
        <f t="array" ref="K1452">"Case "&amp;wRandomLetter()&amp;wRandomLetter()&amp;I1452&amp;":    UniConst = ChrW(" &amp; I1452 &amp;")"</f>
        <v>Case pC128109:    UniConst = ChrW(128109)</v>
      </c>
    </row>
    <row r="1453" spans="1:11" hidden="1">
      <c r="A1453" t="s">
        <v>2602</v>
      </c>
      <c r="B1453" t="str">
        <f t="shared" si="134"/>
        <v>1F46D 1F3FD ; fully-qualified # 👭🏽 E12.0 women holding hands: medium skin tone</v>
      </c>
      <c r="C1453" t="str">
        <f t="shared" si="135"/>
        <v xml:space="preserve">1F46D 1F3FD </v>
      </c>
      <c r="D1453">
        <f t="shared" si="136"/>
        <v>12</v>
      </c>
      <c r="E1453" t="str">
        <f t="shared" si="132"/>
        <v xml:space="preserve"> 👭🏽 E12.0 women holding hands: medium skin tone</v>
      </c>
      <c r="F1453" t="b">
        <f t="shared" si="137"/>
        <v>1</v>
      </c>
      <c r="G1453" t="str">
        <f t="shared" si="133"/>
        <v>1F46D</v>
      </c>
      <c r="I1453">
        <f>HEX2DEC(Table1[[#This Row],[utf8]])</f>
        <v>128109</v>
      </c>
      <c r="J1453" t="str">
        <f>_xlfn.UNICHAR(HEX2DEC(Table1[[#This Row],[utf8]]))</f>
        <v>👭</v>
      </c>
      <c r="K1453" s="3" t="str" cm="1">
        <f t="array" ref="K1453">"Case "&amp;wRandomLetter()&amp;wRandomLetter()&amp;I1453&amp;":    UniConst = ChrW(" &amp; I1453 &amp;")"</f>
        <v>Case ad128109:    UniConst = ChrW(128109)</v>
      </c>
    </row>
    <row r="1454" spans="1:11" hidden="1">
      <c r="A1454" t="s">
        <v>2608</v>
      </c>
      <c r="B1454" t="str">
        <f t="shared" si="134"/>
        <v>1F46D 1F3FE ; fully-qualified # 👭🏾 E12.0 women holding hands: medium-dark skin tone</v>
      </c>
      <c r="C1454" t="str">
        <f t="shared" si="135"/>
        <v xml:space="preserve">1F46D 1F3FE </v>
      </c>
      <c r="D1454">
        <f t="shared" si="136"/>
        <v>12</v>
      </c>
      <c r="E1454" t="str">
        <f t="shared" si="132"/>
        <v xml:space="preserve"> 👭🏾 E12.0 women holding hands: medium-dark skin tone</v>
      </c>
      <c r="F1454" t="b">
        <f t="shared" si="137"/>
        <v>1</v>
      </c>
      <c r="G1454" t="str">
        <f t="shared" si="133"/>
        <v>1F46D</v>
      </c>
      <c r="I1454">
        <f>HEX2DEC(Table1[[#This Row],[utf8]])</f>
        <v>128109</v>
      </c>
      <c r="J1454" t="str">
        <f>_xlfn.UNICHAR(HEX2DEC(Table1[[#This Row],[utf8]]))</f>
        <v>👭</v>
      </c>
      <c r="K1454" s="3" t="str" cm="1">
        <f t="array" ref="K1454">"Case "&amp;wRandomLetter()&amp;wRandomLetter()&amp;I1454&amp;":    UniConst = ChrW(" &amp; I1454 &amp;")"</f>
        <v>Case vQ128109:    UniConst = ChrW(128109)</v>
      </c>
    </row>
    <row r="1455" spans="1:11" hidden="1">
      <c r="A1455" t="s">
        <v>2614</v>
      </c>
      <c r="B1455" t="str">
        <f t="shared" si="134"/>
        <v>1F46D 1F3FF ; fully-qualified # 👭🏿 E12.0 women holding hands: dark skin tone</v>
      </c>
      <c r="C1455" t="str">
        <f t="shared" si="135"/>
        <v xml:space="preserve">1F46D 1F3FF </v>
      </c>
      <c r="D1455">
        <f t="shared" si="136"/>
        <v>12</v>
      </c>
      <c r="E1455" t="str">
        <f t="shared" si="132"/>
        <v xml:space="preserve"> 👭🏿 E12.0 women holding hands: dark skin tone</v>
      </c>
      <c r="F1455" t="b">
        <f t="shared" si="137"/>
        <v>1</v>
      </c>
      <c r="G1455" t="str">
        <f t="shared" si="133"/>
        <v>1F46D</v>
      </c>
      <c r="I1455">
        <f>HEX2DEC(Table1[[#This Row],[utf8]])</f>
        <v>128109</v>
      </c>
      <c r="J1455" t="str">
        <f>_xlfn.UNICHAR(HEX2DEC(Table1[[#This Row],[utf8]]))</f>
        <v>👭</v>
      </c>
      <c r="K1455" s="3" t="str" cm="1">
        <f t="array" ref="K1455">"Case "&amp;wRandomLetter()&amp;wRandomLetter()&amp;I1455&amp;":    UniConst = ChrW(" &amp; I1455 &amp;")"</f>
        <v>Case Az128109:    UniConst = ChrW(128109)</v>
      </c>
    </row>
    <row r="1456" spans="1:11" hidden="1">
      <c r="A1456" t="s">
        <v>1284</v>
      </c>
      <c r="B1456" t="str">
        <f t="shared" si="134"/>
        <v>1F46E ; fully-qualified # 👮 E0.6 police officer</v>
      </c>
      <c r="C1456" t="str">
        <f t="shared" si="135"/>
        <v xml:space="preserve">1F46E </v>
      </c>
      <c r="D1456">
        <f t="shared" si="136"/>
        <v>6</v>
      </c>
      <c r="E1456" t="str">
        <f t="shared" si="132"/>
        <v xml:space="preserve"> 👮 E0.6 police officer</v>
      </c>
      <c r="F1456" t="b">
        <f t="shared" si="137"/>
        <v>1</v>
      </c>
      <c r="G1456" t="str">
        <f t="shared" si="133"/>
        <v>1F46E</v>
      </c>
      <c r="I1456">
        <f>HEX2DEC(Table1[[#This Row],[utf8]])</f>
        <v>128110</v>
      </c>
      <c r="J1456" t="str">
        <f>_xlfn.UNICHAR(HEX2DEC(Table1[[#This Row],[utf8]]))</f>
        <v>👮</v>
      </c>
      <c r="K1456" s="3" t="str" cm="1">
        <f t="array" ref="K1456">"Case "&amp;wRandomLetter()&amp;wRandomLetter()&amp;I1456&amp;":    UniConst = ChrW(" &amp; I1456 &amp;")"</f>
        <v>Case cj128110:    UniConst = ChrW(128110)</v>
      </c>
    </row>
    <row r="1457" spans="1:11" hidden="1">
      <c r="A1457" t="s">
        <v>1285</v>
      </c>
      <c r="B1457" t="str">
        <f t="shared" si="134"/>
        <v>1F46E 1F3FB ; fully-qualified # 👮🏻 E1.0 police officer: light skin tone</v>
      </c>
      <c r="C1457" t="str">
        <f t="shared" si="135"/>
        <v xml:space="preserve">1F46E 1F3FB </v>
      </c>
      <c r="D1457">
        <f t="shared" si="136"/>
        <v>12</v>
      </c>
      <c r="E1457" t="str">
        <f t="shared" si="132"/>
        <v xml:space="preserve"> 👮🏻 E1.0 police officer: light skin tone</v>
      </c>
      <c r="F1457" t="b">
        <f t="shared" si="137"/>
        <v>1</v>
      </c>
      <c r="G1457" t="str">
        <f t="shared" si="133"/>
        <v>1F46E</v>
      </c>
      <c r="I1457">
        <f>HEX2DEC(Table1[[#This Row],[utf8]])</f>
        <v>128110</v>
      </c>
      <c r="J1457" t="str">
        <f>_xlfn.UNICHAR(HEX2DEC(Table1[[#This Row],[utf8]]))</f>
        <v>👮</v>
      </c>
      <c r="K1457" s="3" t="str" cm="1">
        <f t="array" ref="K1457">"Case "&amp;wRandomLetter()&amp;wRandomLetter()&amp;I1457&amp;":    UniConst = ChrW(" &amp; I1457 &amp;")"</f>
        <v>Case iZ128110:    UniConst = ChrW(128110)</v>
      </c>
    </row>
    <row r="1458" spans="1:11" hidden="1">
      <c r="A1458" t="s">
        <v>1305</v>
      </c>
      <c r="B1458" t="str">
        <f t="shared" si="134"/>
        <v>1F46E 1F3FB 200D 2640 ; minimally-qualified # 👮🏻‍♀ E4.0 woman police officer: light skin tone</v>
      </c>
      <c r="C1458" t="str">
        <f t="shared" si="135"/>
        <v xml:space="preserve">1F46E 1F3FB 200D 2640 </v>
      </c>
      <c r="D1458">
        <f t="shared" si="136"/>
        <v>22</v>
      </c>
      <c r="E1458" t="str">
        <f t="shared" si="132"/>
        <v xml:space="preserve"> 👮🏻‍♀ E4.0 woman police officer: light skin tone</v>
      </c>
      <c r="F1458" t="b">
        <f t="shared" si="137"/>
        <v>1</v>
      </c>
      <c r="G1458" t="str">
        <f t="shared" si="133"/>
        <v>1F46E</v>
      </c>
      <c r="I1458">
        <f>HEX2DEC(Table1[[#This Row],[utf8]])</f>
        <v>128110</v>
      </c>
      <c r="J1458" t="str">
        <f>_xlfn.UNICHAR(HEX2DEC(Table1[[#This Row],[utf8]]))</f>
        <v>👮</v>
      </c>
      <c r="K1458" s="3" t="str" cm="1">
        <f t="array" ref="K1458">"Case "&amp;wRandomLetter()&amp;wRandomLetter()&amp;I1458&amp;":    UniConst = ChrW(" &amp; I1458 &amp;")"</f>
        <v>Case DD128110:    UniConst = ChrW(128110)</v>
      </c>
    </row>
    <row r="1459" spans="1:11" hidden="1">
      <c r="A1459" t="s">
        <v>1304</v>
      </c>
      <c r="B1459" t="str">
        <f t="shared" si="134"/>
        <v>1F46E 1F3FB 200D 2640 FE0F ; fully-qualified # 👮🏻‍♀️ E4.0 woman police officer: light skin tone</v>
      </c>
      <c r="C1459" t="str">
        <f t="shared" si="135"/>
        <v xml:space="preserve">1F46E 1F3FB 200D 2640 FE0F </v>
      </c>
      <c r="D1459">
        <f t="shared" si="136"/>
        <v>27</v>
      </c>
      <c r="E1459" t="str">
        <f t="shared" si="132"/>
        <v xml:space="preserve"> 👮🏻‍♀️ E4.0 woman police officer: light skin tone</v>
      </c>
      <c r="F1459" t="b">
        <f t="shared" si="137"/>
        <v>1</v>
      </c>
      <c r="G1459" t="str">
        <f t="shared" si="133"/>
        <v>1F46E</v>
      </c>
      <c r="I1459">
        <f>HEX2DEC(Table1[[#This Row],[utf8]])</f>
        <v>128110</v>
      </c>
      <c r="J1459" t="str">
        <f>_xlfn.UNICHAR(HEX2DEC(Table1[[#This Row],[utf8]]))</f>
        <v>👮</v>
      </c>
      <c r="K1459" s="3" t="str" cm="1">
        <f t="array" ref="K1459">"Case "&amp;wRandomLetter()&amp;wRandomLetter()&amp;I1459&amp;":    UniConst = ChrW(" &amp; I1459 &amp;")"</f>
        <v>Case bB128110:    UniConst = ChrW(128110)</v>
      </c>
    </row>
    <row r="1460" spans="1:11" hidden="1">
      <c r="A1460" t="s">
        <v>1293</v>
      </c>
      <c r="B1460" t="str">
        <f t="shared" si="134"/>
        <v>1F46E 1F3FB 200D 2642 ; minimally-qualified # 👮🏻‍♂ E4.0 man police officer: light skin tone</v>
      </c>
      <c r="C1460" t="str">
        <f t="shared" si="135"/>
        <v xml:space="preserve">1F46E 1F3FB 200D 2642 </v>
      </c>
      <c r="D1460">
        <f t="shared" si="136"/>
        <v>22</v>
      </c>
      <c r="E1460" t="str">
        <f t="shared" si="132"/>
        <v xml:space="preserve"> 👮🏻‍♂ E4.0 man police officer: light skin tone</v>
      </c>
      <c r="F1460" t="b">
        <f t="shared" si="137"/>
        <v>1</v>
      </c>
      <c r="G1460" t="str">
        <f t="shared" si="133"/>
        <v>1F46E</v>
      </c>
      <c r="I1460">
        <f>HEX2DEC(Table1[[#This Row],[utf8]])</f>
        <v>128110</v>
      </c>
      <c r="J1460" t="str">
        <f>_xlfn.UNICHAR(HEX2DEC(Table1[[#This Row],[utf8]]))</f>
        <v>👮</v>
      </c>
      <c r="K1460" s="3" t="str" cm="1">
        <f t="array" ref="K1460">"Case "&amp;wRandomLetter()&amp;wRandomLetter()&amp;I1460&amp;":    UniConst = ChrW(" &amp; I1460 &amp;")"</f>
        <v>Case Bw128110:    UniConst = ChrW(128110)</v>
      </c>
    </row>
    <row r="1461" spans="1:11" hidden="1">
      <c r="A1461" t="s">
        <v>1292</v>
      </c>
      <c r="B1461" t="str">
        <f t="shared" si="134"/>
        <v>1F46E 1F3FB 200D 2642 FE0F ; fully-qualified # 👮🏻‍♂️ E4.0 man police officer: light skin tone</v>
      </c>
      <c r="C1461" t="str">
        <f t="shared" si="135"/>
        <v xml:space="preserve">1F46E 1F3FB 200D 2642 FE0F </v>
      </c>
      <c r="D1461">
        <f t="shared" si="136"/>
        <v>27</v>
      </c>
      <c r="E1461" t="str">
        <f t="shared" si="132"/>
        <v xml:space="preserve"> 👮🏻‍♂️ E4.0 man police officer: light skin tone</v>
      </c>
      <c r="F1461" t="b">
        <f t="shared" si="137"/>
        <v>1</v>
      </c>
      <c r="G1461" t="str">
        <f t="shared" si="133"/>
        <v>1F46E</v>
      </c>
      <c r="I1461">
        <f>HEX2DEC(Table1[[#This Row],[utf8]])</f>
        <v>128110</v>
      </c>
      <c r="J1461" t="str">
        <f>_xlfn.UNICHAR(HEX2DEC(Table1[[#This Row],[utf8]]))</f>
        <v>👮</v>
      </c>
      <c r="K1461" s="3" t="str" cm="1">
        <f t="array" ref="K1461">"Case "&amp;wRandomLetter()&amp;wRandomLetter()&amp;I1461&amp;":    UniConst = ChrW(" &amp; I1461 &amp;")"</f>
        <v>Case Ak128110:    UniConst = ChrW(128110)</v>
      </c>
    </row>
    <row r="1462" spans="1:11" hidden="1">
      <c r="A1462" t="s">
        <v>1286</v>
      </c>
      <c r="B1462" t="str">
        <f t="shared" si="134"/>
        <v>1F46E 1F3FC ; fully-qualified # 👮🏼 E1.0 police officer: medium-light skin tone</v>
      </c>
      <c r="C1462" t="str">
        <f t="shared" si="135"/>
        <v xml:space="preserve">1F46E 1F3FC </v>
      </c>
      <c r="D1462">
        <f t="shared" si="136"/>
        <v>12</v>
      </c>
      <c r="E1462" t="str">
        <f t="shared" si="132"/>
        <v xml:space="preserve"> 👮🏼 E1.0 police officer: medium-light skin tone</v>
      </c>
      <c r="F1462" t="b">
        <f t="shared" si="137"/>
        <v>1</v>
      </c>
      <c r="G1462" t="str">
        <f t="shared" si="133"/>
        <v>1F46E</v>
      </c>
      <c r="I1462">
        <f>HEX2DEC(Table1[[#This Row],[utf8]])</f>
        <v>128110</v>
      </c>
      <c r="J1462" t="str">
        <f>_xlfn.UNICHAR(HEX2DEC(Table1[[#This Row],[utf8]]))</f>
        <v>👮</v>
      </c>
      <c r="K1462" s="3" t="str" cm="1">
        <f t="array" ref="K1462">"Case "&amp;wRandomLetter()&amp;wRandomLetter()&amp;I1462&amp;":    UniConst = ChrW(" &amp; I1462 &amp;")"</f>
        <v>Case zB128110:    UniConst = ChrW(128110)</v>
      </c>
    </row>
    <row r="1463" spans="1:11" hidden="1">
      <c r="A1463" t="s">
        <v>1307</v>
      </c>
      <c r="B1463" t="str">
        <f t="shared" si="134"/>
        <v>1F46E 1F3FC 200D 2640 ; minimally-qualified # 👮🏼‍♀ E4.0 woman police officer: medium-light skin tone</v>
      </c>
      <c r="C1463" t="str">
        <f t="shared" si="135"/>
        <v xml:space="preserve">1F46E 1F3FC 200D 2640 </v>
      </c>
      <c r="D1463">
        <f t="shared" si="136"/>
        <v>22</v>
      </c>
      <c r="E1463" t="str">
        <f t="shared" si="132"/>
        <v xml:space="preserve"> 👮🏼‍♀ E4.0 woman police officer: medium-light skin tone</v>
      </c>
      <c r="F1463" t="b">
        <f t="shared" si="137"/>
        <v>1</v>
      </c>
      <c r="G1463" t="str">
        <f t="shared" si="133"/>
        <v>1F46E</v>
      </c>
      <c r="I1463">
        <f>HEX2DEC(Table1[[#This Row],[utf8]])</f>
        <v>128110</v>
      </c>
      <c r="J1463" t="str">
        <f>_xlfn.UNICHAR(HEX2DEC(Table1[[#This Row],[utf8]]))</f>
        <v>👮</v>
      </c>
      <c r="K1463" s="3" t="str" cm="1">
        <f t="array" ref="K1463">"Case "&amp;wRandomLetter()&amp;wRandomLetter()&amp;I1463&amp;":    UniConst = ChrW(" &amp; I1463 &amp;")"</f>
        <v>Case GM128110:    UniConst = ChrW(128110)</v>
      </c>
    </row>
    <row r="1464" spans="1:11" hidden="1">
      <c r="A1464" t="s">
        <v>1306</v>
      </c>
      <c r="B1464" t="str">
        <f t="shared" si="134"/>
        <v>1F46E 1F3FC 200D 2640 FE0F ; fully-qualified # 👮🏼‍♀️ E4.0 woman police officer: medium-light skin tone</v>
      </c>
      <c r="C1464" t="str">
        <f t="shared" si="135"/>
        <v xml:space="preserve">1F46E 1F3FC 200D 2640 FE0F </v>
      </c>
      <c r="D1464">
        <f t="shared" si="136"/>
        <v>27</v>
      </c>
      <c r="E1464" t="str">
        <f t="shared" si="132"/>
        <v xml:space="preserve"> 👮🏼‍♀️ E4.0 woman police officer: medium-light skin tone</v>
      </c>
      <c r="F1464" t="b">
        <f t="shared" si="137"/>
        <v>1</v>
      </c>
      <c r="G1464" t="str">
        <f t="shared" si="133"/>
        <v>1F46E</v>
      </c>
      <c r="I1464">
        <f>HEX2DEC(Table1[[#This Row],[utf8]])</f>
        <v>128110</v>
      </c>
      <c r="J1464" t="str">
        <f>_xlfn.UNICHAR(HEX2DEC(Table1[[#This Row],[utf8]]))</f>
        <v>👮</v>
      </c>
      <c r="K1464" s="3" t="str" cm="1">
        <f t="array" ref="K1464">"Case "&amp;wRandomLetter()&amp;wRandomLetter()&amp;I1464&amp;":    UniConst = ChrW(" &amp; I1464 &amp;")"</f>
        <v>Case VZ128110:    UniConst = ChrW(128110)</v>
      </c>
    </row>
    <row r="1465" spans="1:11" hidden="1">
      <c r="A1465" t="s">
        <v>1295</v>
      </c>
      <c r="B1465" t="str">
        <f t="shared" si="134"/>
        <v>1F46E 1F3FC 200D 2642 ; minimally-qualified # 👮🏼‍♂ E4.0 man police officer: medium-light skin tone</v>
      </c>
      <c r="C1465" t="str">
        <f t="shared" si="135"/>
        <v xml:space="preserve">1F46E 1F3FC 200D 2642 </v>
      </c>
      <c r="D1465">
        <f t="shared" si="136"/>
        <v>22</v>
      </c>
      <c r="E1465" t="str">
        <f t="shared" si="132"/>
        <v xml:space="preserve"> 👮🏼‍♂ E4.0 man police officer: medium-light skin tone</v>
      </c>
      <c r="F1465" t="b">
        <f t="shared" si="137"/>
        <v>1</v>
      </c>
      <c r="G1465" t="str">
        <f t="shared" si="133"/>
        <v>1F46E</v>
      </c>
      <c r="I1465">
        <f>HEX2DEC(Table1[[#This Row],[utf8]])</f>
        <v>128110</v>
      </c>
      <c r="J1465" t="str">
        <f>_xlfn.UNICHAR(HEX2DEC(Table1[[#This Row],[utf8]]))</f>
        <v>👮</v>
      </c>
      <c r="K1465" s="3" t="str" cm="1">
        <f t="array" ref="K1465">"Case "&amp;wRandomLetter()&amp;wRandomLetter()&amp;I1465&amp;":    UniConst = ChrW(" &amp; I1465 &amp;")"</f>
        <v>Case cu128110:    UniConst = ChrW(128110)</v>
      </c>
    </row>
    <row r="1466" spans="1:11" hidden="1">
      <c r="A1466" t="s">
        <v>1294</v>
      </c>
      <c r="B1466" t="str">
        <f t="shared" si="134"/>
        <v>1F46E 1F3FC 200D 2642 FE0F ; fully-qualified # 👮🏼‍♂️ E4.0 man police officer: medium-light skin tone</v>
      </c>
      <c r="C1466" t="str">
        <f t="shared" si="135"/>
        <v xml:space="preserve">1F46E 1F3FC 200D 2642 FE0F </v>
      </c>
      <c r="D1466">
        <f t="shared" si="136"/>
        <v>27</v>
      </c>
      <c r="E1466" t="str">
        <f t="shared" si="132"/>
        <v xml:space="preserve"> 👮🏼‍♂️ E4.0 man police officer: medium-light skin tone</v>
      </c>
      <c r="F1466" t="b">
        <f t="shared" si="137"/>
        <v>1</v>
      </c>
      <c r="G1466" t="str">
        <f t="shared" si="133"/>
        <v>1F46E</v>
      </c>
      <c r="I1466">
        <f>HEX2DEC(Table1[[#This Row],[utf8]])</f>
        <v>128110</v>
      </c>
      <c r="J1466" t="str">
        <f>_xlfn.UNICHAR(HEX2DEC(Table1[[#This Row],[utf8]]))</f>
        <v>👮</v>
      </c>
      <c r="K1466" s="3" t="str" cm="1">
        <f t="array" ref="K1466">"Case "&amp;wRandomLetter()&amp;wRandomLetter()&amp;I1466&amp;":    UniConst = ChrW(" &amp; I1466 &amp;")"</f>
        <v>Case Az128110:    UniConst = ChrW(128110)</v>
      </c>
    </row>
    <row r="1467" spans="1:11" hidden="1">
      <c r="A1467" t="s">
        <v>1287</v>
      </c>
      <c r="B1467" t="str">
        <f t="shared" si="134"/>
        <v>1F46E 1F3FD ; fully-qualified # 👮🏽 E1.0 police officer: medium skin tone</v>
      </c>
      <c r="C1467" t="str">
        <f t="shared" si="135"/>
        <v xml:space="preserve">1F46E 1F3FD </v>
      </c>
      <c r="D1467">
        <f t="shared" si="136"/>
        <v>12</v>
      </c>
      <c r="E1467" t="str">
        <f t="shared" si="132"/>
        <v xml:space="preserve"> 👮🏽 E1.0 police officer: medium skin tone</v>
      </c>
      <c r="F1467" t="b">
        <f t="shared" si="137"/>
        <v>1</v>
      </c>
      <c r="G1467" t="str">
        <f t="shared" si="133"/>
        <v>1F46E</v>
      </c>
      <c r="I1467">
        <f>HEX2DEC(Table1[[#This Row],[utf8]])</f>
        <v>128110</v>
      </c>
      <c r="J1467" t="str">
        <f>_xlfn.UNICHAR(HEX2DEC(Table1[[#This Row],[utf8]]))</f>
        <v>👮</v>
      </c>
      <c r="K1467" s="3" t="str" cm="1">
        <f t="array" ref="K1467">"Case "&amp;wRandomLetter()&amp;wRandomLetter()&amp;I1467&amp;":    UniConst = ChrW(" &amp; I1467 &amp;")"</f>
        <v>Case Jm128110:    UniConst = ChrW(128110)</v>
      </c>
    </row>
    <row r="1468" spans="1:11" hidden="1">
      <c r="A1468" t="s">
        <v>1309</v>
      </c>
      <c r="B1468" t="str">
        <f t="shared" si="134"/>
        <v>1F46E 1F3FD 200D 2640 ; minimally-qualified # 👮🏽‍♀ E4.0 woman police officer: medium skin tone</v>
      </c>
      <c r="C1468" t="str">
        <f t="shared" si="135"/>
        <v xml:space="preserve">1F46E 1F3FD 200D 2640 </v>
      </c>
      <c r="D1468">
        <f t="shared" si="136"/>
        <v>22</v>
      </c>
      <c r="E1468" t="str">
        <f t="shared" si="132"/>
        <v xml:space="preserve"> 👮🏽‍♀ E4.0 woman police officer: medium skin tone</v>
      </c>
      <c r="F1468" t="b">
        <f t="shared" si="137"/>
        <v>1</v>
      </c>
      <c r="G1468" t="str">
        <f t="shared" si="133"/>
        <v>1F46E</v>
      </c>
      <c r="I1468">
        <f>HEX2DEC(Table1[[#This Row],[utf8]])</f>
        <v>128110</v>
      </c>
      <c r="J1468" t="str">
        <f>_xlfn.UNICHAR(HEX2DEC(Table1[[#This Row],[utf8]]))</f>
        <v>👮</v>
      </c>
      <c r="K1468" s="3" t="str" cm="1">
        <f t="array" ref="K1468">"Case "&amp;wRandomLetter()&amp;wRandomLetter()&amp;I1468&amp;":    UniConst = ChrW(" &amp; I1468 &amp;")"</f>
        <v>Case NR128110:    UniConst = ChrW(128110)</v>
      </c>
    </row>
    <row r="1469" spans="1:11" hidden="1">
      <c r="A1469" t="s">
        <v>1308</v>
      </c>
      <c r="B1469" t="str">
        <f t="shared" si="134"/>
        <v>1F46E 1F3FD 200D 2640 FE0F ; fully-qualified # 👮🏽‍♀️ E4.0 woman police officer: medium skin tone</v>
      </c>
      <c r="C1469" t="str">
        <f t="shared" si="135"/>
        <v xml:space="preserve">1F46E 1F3FD 200D 2640 FE0F </v>
      </c>
      <c r="D1469">
        <f t="shared" si="136"/>
        <v>27</v>
      </c>
      <c r="E1469" t="str">
        <f t="shared" si="132"/>
        <v xml:space="preserve"> 👮🏽‍♀️ E4.0 woman police officer: medium skin tone</v>
      </c>
      <c r="F1469" t="b">
        <f t="shared" si="137"/>
        <v>1</v>
      </c>
      <c r="G1469" t="str">
        <f t="shared" si="133"/>
        <v>1F46E</v>
      </c>
      <c r="I1469">
        <f>HEX2DEC(Table1[[#This Row],[utf8]])</f>
        <v>128110</v>
      </c>
      <c r="J1469" t="str">
        <f>_xlfn.UNICHAR(HEX2DEC(Table1[[#This Row],[utf8]]))</f>
        <v>👮</v>
      </c>
      <c r="K1469" s="3" t="str" cm="1">
        <f t="array" ref="K1469">"Case "&amp;wRandomLetter()&amp;wRandomLetter()&amp;I1469&amp;":    UniConst = ChrW(" &amp; I1469 &amp;")"</f>
        <v>Case cA128110:    UniConst = ChrW(128110)</v>
      </c>
    </row>
    <row r="1470" spans="1:11" hidden="1">
      <c r="A1470" t="s">
        <v>1297</v>
      </c>
      <c r="B1470" t="str">
        <f t="shared" si="134"/>
        <v>1F46E 1F3FD 200D 2642 ; minimally-qualified # 👮🏽‍♂ E4.0 man police officer: medium skin tone</v>
      </c>
      <c r="C1470" t="str">
        <f t="shared" si="135"/>
        <v xml:space="preserve">1F46E 1F3FD 200D 2642 </v>
      </c>
      <c r="D1470">
        <f t="shared" si="136"/>
        <v>22</v>
      </c>
      <c r="E1470" t="str">
        <f t="shared" si="132"/>
        <v xml:space="preserve"> 👮🏽‍♂ E4.0 man police officer: medium skin tone</v>
      </c>
      <c r="F1470" t="b">
        <f t="shared" si="137"/>
        <v>1</v>
      </c>
      <c r="G1470" t="str">
        <f t="shared" si="133"/>
        <v>1F46E</v>
      </c>
      <c r="I1470">
        <f>HEX2DEC(Table1[[#This Row],[utf8]])</f>
        <v>128110</v>
      </c>
      <c r="J1470" t="str">
        <f>_xlfn.UNICHAR(HEX2DEC(Table1[[#This Row],[utf8]]))</f>
        <v>👮</v>
      </c>
      <c r="K1470" s="3" t="str" cm="1">
        <f t="array" ref="K1470">"Case "&amp;wRandomLetter()&amp;wRandomLetter()&amp;I1470&amp;":    UniConst = ChrW(" &amp; I1470 &amp;")"</f>
        <v>Case QZ128110:    UniConst = ChrW(128110)</v>
      </c>
    </row>
    <row r="1471" spans="1:11" hidden="1">
      <c r="A1471" t="s">
        <v>1296</v>
      </c>
      <c r="B1471" t="str">
        <f t="shared" si="134"/>
        <v>1F46E 1F3FD 200D 2642 FE0F ; fully-qualified # 👮🏽‍♂️ E4.0 man police officer: medium skin tone</v>
      </c>
      <c r="C1471" t="str">
        <f t="shared" si="135"/>
        <v xml:space="preserve">1F46E 1F3FD 200D 2642 FE0F </v>
      </c>
      <c r="D1471">
        <f t="shared" si="136"/>
        <v>27</v>
      </c>
      <c r="E1471" t="str">
        <f t="shared" si="132"/>
        <v xml:space="preserve"> 👮🏽‍♂️ E4.0 man police officer: medium skin tone</v>
      </c>
      <c r="F1471" t="b">
        <f t="shared" si="137"/>
        <v>1</v>
      </c>
      <c r="G1471" t="str">
        <f t="shared" si="133"/>
        <v>1F46E</v>
      </c>
      <c r="I1471">
        <f>HEX2DEC(Table1[[#This Row],[utf8]])</f>
        <v>128110</v>
      </c>
      <c r="J1471" t="str">
        <f>_xlfn.UNICHAR(HEX2DEC(Table1[[#This Row],[utf8]]))</f>
        <v>👮</v>
      </c>
      <c r="K1471" s="3" t="str" cm="1">
        <f t="array" ref="K1471">"Case "&amp;wRandomLetter()&amp;wRandomLetter()&amp;I1471&amp;":    UniConst = ChrW(" &amp; I1471 &amp;")"</f>
        <v>Case Zx128110:    UniConst = ChrW(128110)</v>
      </c>
    </row>
    <row r="1472" spans="1:11" hidden="1">
      <c r="A1472" t="s">
        <v>1288</v>
      </c>
      <c r="B1472" t="str">
        <f t="shared" si="134"/>
        <v>1F46E 1F3FE ; fully-qualified # 👮🏾 E1.0 police officer: medium-dark skin tone</v>
      </c>
      <c r="C1472" t="str">
        <f t="shared" si="135"/>
        <v xml:space="preserve">1F46E 1F3FE </v>
      </c>
      <c r="D1472">
        <f t="shared" si="136"/>
        <v>12</v>
      </c>
      <c r="E1472" t="str">
        <f t="shared" si="132"/>
        <v xml:space="preserve"> 👮🏾 E1.0 police officer: medium-dark skin tone</v>
      </c>
      <c r="F1472" t="b">
        <f t="shared" si="137"/>
        <v>1</v>
      </c>
      <c r="G1472" t="str">
        <f t="shared" si="133"/>
        <v>1F46E</v>
      </c>
      <c r="I1472">
        <f>HEX2DEC(Table1[[#This Row],[utf8]])</f>
        <v>128110</v>
      </c>
      <c r="J1472" t="str">
        <f>_xlfn.UNICHAR(HEX2DEC(Table1[[#This Row],[utf8]]))</f>
        <v>👮</v>
      </c>
      <c r="K1472" s="3" t="str" cm="1">
        <f t="array" ref="K1472">"Case "&amp;wRandomLetter()&amp;wRandomLetter()&amp;I1472&amp;":    UniConst = ChrW(" &amp; I1472 &amp;")"</f>
        <v>Case mw128110:    UniConst = ChrW(128110)</v>
      </c>
    </row>
    <row r="1473" spans="1:11" hidden="1">
      <c r="A1473" t="s">
        <v>1311</v>
      </c>
      <c r="B1473" t="str">
        <f t="shared" si="134"/>
        <v>1F46E 1F3FE 200D 2640 ; minimally-qualified # 👮🏾‍♀ E4.0 woman police officer: medium-dark skin tone</v>
      </c>
      <c r="C1473" t="str">
        <f t="shared" si="135"/>
        <v xml:space="preserve">1F46E 1F3FE 200D 2640 </v>
      </c>
      <c r="D1473">
        <f t="shared" si="136"/>
        <v>22</v>
      </c>
      <c r="E1473" t="str">
        <f t="shared" si="132"/>
        <v xml:space="preserve"> 👮🏾‍♀ E4.0 woman police officer: medium-dark skin tone</v>
      </c>
      <c r="F1473" t="b">
        <f t="shared" si="137"/>
        <v>1</v>
      </c>
      <c r="G1473" t="str">
        <f t="shared" si="133"/>
        <v>1F46E</v>
      </c>
      <c r="I1473">
        <f>HEX2DEC(Table1[[#This Row],[utf8]])</f>
        <v>128110</v>
      </c>
      <c r="J1473" t="str">
        <f>_xlfn.UNICHAR(HEX2DEC(Table1[[#This Row],[utf8]]))</f>
        <v>👮</v>
      </c>
      <c r="K1473" s="3" t="str" cm="1">
        <f t="array" ref="K1473">"Case "&amp;wRandomLetter()&amp;wRandomLetter()&amp;I1473&amp;":    UniConst = ChrW(" &amp; I1473 &amp;")"</f>
        <v>Case lQ128110:    UniConst = ChrW(128110)</v>
      </c>
    </row>
    <row r="1474" spans="1:11" hidden="1">
      <c r="A1474" t="s">
        <v>1310</v>
      </c>
      <c r="B1474" t="str">
        <f t="shared" si="134"/>
        <v>1F46E 1F3FE 200D 2640 FE0F ; fully-qualified # 👮🏾‍♀️ E4.0 woman police officer: medium-dark skin tone</v>
      </c>
      <c r="C1474" t="str">
        <f t="shared" si="135"/>
        <v xml:space="preserve">1F46E 1F3FE 200D 2640 FE0F </v>
      </c>
      <c r="D1474">
        <f t="shared" si="136"/>
        <v>27</v>
      </c>
      <c r="E1474" t="str">
        <f t="shared" ref="E1474:E1537" si="138">MID(A1474,FIND("#",A1474)+1,256)</f>
        <v xml:space="preserve"> 👮🏾‍♀️ E4.0 woman police officer: medium-dark skin tone</v>
      </c>
      <c r="F1474" t="b">
        <f t="shared" si="137"/>
        <v>1</v>
      </c>
      <c r="G1474" t="str">
        <f t="shared" ref="G1474:G1537" si="139">LEFT(C1474,(FIND(" ",C1474,1)-1))</f>
        <v>1F46E</v>
      </c>
      <c r="I1474">
        <f>HEX2DEC(Table1[[#This Row],[utf8]])</f>
        <v>128110</v>
      </c>
      <c r="J1474" t="str">
        <f>_xlfn.UNICHAR(HEX2DEC(Table1[[#This Row],[utf8]]))</f>
        <v>👮</v>
      </c>
      <c r="K1474" s="3" t="str" cm="1">
        <f t="array" ref="K1474">"Case "&amp;wRandomLetter()&amp;wRandomLetter()&amp;I1474&amp;":    UniConst = ChrW(" &amp; I1474 &amp;")"</f>
        <v>Case dK128110:    UniConst = ChrW(128110)</v>
      </c>
    </row>
    <row r="1475" spans="1:11" hidden="1">
      <c r="A1475" t="s">
        <v>1299</v>
      </c>
      <c r="B1475" t="str">
        <f t="shared" ref="B1475:B1538" si="140">TRIM(A1475)</f>
        <v>1F46E 1F3FE 200D 2642 ; minimally-qualified # 👮🏾‍♂ E4.0 man police officer: medium-dark skin tone</v>
      </c>
      <c r="C1475" t="str">
        <f t="shared" ref="C1475:C1538" si="141">LEFT(B1475,(FIND(";",B1475,1)-1))</f>
        <v xml:space="preserve">1F46E 1F3FE 200D 2642 </v>
      </c>
      <c r="D1475">
        <f t="shared" ref="D1475:D1538" si="142">LEN(C1475)</f>
        <v>22</v>
      </c>
      <c r="E1475" t="str">
        <f t="shared" si="138"/>
        <v xml:space="preserve"> 👮🏾‍♂ E4.0 man police officer: medium-dark skin tone</v>
      </c>
      <c r="F1475" t="b">
        <f t="shared" ref="F1475:F1538" si="143">IF(LEFT(C1475,2)="1F",TRUE,FALSE)</f>
        <v>1</v>
      </c>
      <c r="G1475" t="str">
        <f t="shared" si="139"/>
        <v>1F46E</v>
      </c>
      <c r="I1475">
        <f>HEX2DEC(Table1[[#This Row],[utf8]])</f>
        <v>128110</v>
      </c>
      <c r="J1475" t="str">
        <f>_xlfn.UNICHAR(HEX2DEC(Table1[[#This Row],[utf8]]))</f>
        <v>👮</v>
      </c>
      <c r="K1475" s="3" t="str" cm="1">
        <f t="array" ref="K1475">"Case "&amp;wRandomLetter()&amp;wRandomLetter()&amp;I1475&amp;":    UniConst = ChrW(" &amp; I1475 &amp;")"</f>
        <v>Case QK128110:    UniConst = ChrW(128110)</v>
      </c>
    </row>
    <row r="1476" spans="1:11" hidden="1">
      <c r="A1476" t="s">
        <v>1298</v>
      </c>
      <c r="B1476" t="str">
        <f t="shared" si="140"/>
        <v>1F46E 1F3FE 200D 2642 FE0F ; fully-qualified # 👮🏾‍♂️ E4.0 man police officer: medium-dark skin tone</v>
      </c>
      <c r="C1476" t="str">
        <f t="shared" si="141"/>
        <v xml:space="preserve">1F46E 1F3FE 200D 2642 FE0F </v>
      </c>
      <c r="D1476">
        <f t="shared" si="142"/>
        <v>27</v>
      </c>
      <c r="E1476" t="str">
        <f t="shared" si="138"/>
        <v xml:space="preserve"> 👮🏾‍♂️ E4.0 man police officer: medium-dark skin tone</v>
      </c>
      <c r="F1476" t="b">
        <f t="shared" si="143"/>
        <v>1</v>
      </c>
      <c r="G1476" t="str">
        <f t="shared" si="139"/>
        <v>1F46E</v>
      </c>
      <c r="I1476">
        <f>HEX2DEC(Table1[[#This Row],[utf8]])</f>
        <v>128110</v>
      </c>
      <c r="J1476" t="str">
        <f>_xlfn.UNICHAR(HEX2DEC(Table1[[#This Row],[utf8]]))</f>
        <v>👮</v>
      </c>
      <c r="K1476" s="3" t="str" cm="1">
        <f t="array" ref="K1476">"Case "&amp;wRandomLetter()&amp;wRandomLetter()&amp;I1476&amp;":    UniConst = ChrW(" &amp; I1476 &amp;")"</f>
        <v>Case Jn128110:    UniConst = ChrW(128110)</v>
      </c>
    </row>
    <row r="1477" spans="1:11" hidden="1">
      <c r="A1477" t="s">
        <v>1289</v>
      </c>
      <c r="B1477" t="str">
        <f t="shared" si="140"/>
        <v>1F46E 1F3FF ; fully-qualified # 👮🏿 E1.0 police officer: dark skin tone</v>
      </c>
      <c r="C1477" t="str">
        <f t="shared" si="141"/>
        <v xml:space="preserve">1F46E 1F3FF </v>
      </c>
      <c r="D1477">
        <f t="shared" si="142"/>
        <v>12</v>
      </c>
      <c r="E1477" t="str">
        <f t="shared" si="138"/>
        <v xml:space="preserve"> 👮🏿 E1.0 police officer: dark skin tone</v>
      </c>
      <c r="F1477" t="b">
        <f t="shared" si="143"/>
        <v>1</v>
      </c>
      <c r="G1477" t="str">
        <f t="shared" si="139"/>
        <v>1F46E</v>
      </c>
      <c r="I1477">
        <f>HEX2DEC(Table1[[#This Row],[utf8]])</f>
        <v>128110</v>
      </c>
      <c r="J1477" t="str">
        <f>_xlfn.UNICHAR(HEX2DEC(Table1[[#This Row],[utf8]]))</f>
        <v>👮</v>
      </c>
      <c r="K1477" s="3" t="str" cm="1">
        <f t="array" ref="K1477">"Case "&amp;wRandomLetter()&amp;wRandomLetter()&amp;I1477&amp;":    UniConst = ChrW(" &amp; I1477 &amp;")"</f>
        <v>Case hl128110:    UniConst = ChrW(128110)</v>
      </c>
    </row>
    <row r="1478" spans="1:11" hidden="1">
      <c r="A1478" t="s">
        <v>1313</v>
      </c>
      <c r="B1478" t="str">
        <f t="shared" si="140"/>
        <v>1F46E 1F3FF 200D 2640 ; minimally-qualified # 👮🏿‍♀ E4.0 woman police officer: dark skin tone</v>
      </c>
      <c r="C1478" t="str">
        <f t="shared" si="141"/>
        <v xml:space="preserve">1F46E 1F3FF 200D 2640 </v>
      </c>
      <c r="D1478">
        <f t="shared" si="142"/>
        <v>22</v>
      </c>
      <c r="E1478" t="str">
        <f t="shared" si="138"/>
        <v xml:space="preserve"> 👮🏿‍♀ E4.0 woman police officer: dark skin tone</v>
      </c>
      <c r="F1478" t="b">
        <f t="shared" si="143"/>
        <v>1</v>
      </c>
      <c r="G1478" t="str">
        <f t="shared" si="139"/>
        <v>1F46E</v>
      </c>
      <c r="I1478">
        <f>HEX2DEC(Table1[[#This Row],[utf8]])</f>
        <v>128110</v>
      </c>
      <c r="J1478" t="str">
        <f>_xlfn.UNICHAR(HEX2DEC(Table1[[#This Row],[utf8]]))</f>
        <v>👮</v>
      </c>
      <c r="K1478" s="3" t="str" cm="1">
        <f t="array" ref="K1478">"Case "&amp;wRandomLetter()&amp;wRandomLetter()&amp;I1478&amp;":    UniConst = ChrW(" &amp; I1478 &amp;")"</f>
        <v>Case rd128110:    UniConst = ChrW(128110)</v>
      </c>
    </row>
    <row r="1479" spans="1:11" hidden="1">
      <c r="A1479" t="s">
        <v>1312</v>
      </c>
      <c r="B1479" t="str">
        <f t="shared" si="140"/>
        <v>1F46E 1F3FF 200D 2640 FE0F ; fully-qualified # 👮🏿‍♀️ E4.0 woman police officer: dark skin tone</v>
      </c>
      <c r="C1479" t="str">
        <f t="shared" si="141"/>
        <v xml:space="preserve">1F46E 1F3FF 200D 2640 FE0F </v>
      </c>
      <c r="D1479">
        <f t="shared" si="142"/>
        <v>27</v>
      </c>
      <c r="E1479" t="str">
        <f t="shared" si="138"/>
        <v xml:space="preserve"> 👮🏿‍♀️ E4.0 woman police officer: dark skin tone</v>
      </c>
      <c r="F1479" t="b">
        <f t="shared" si="143"/>
        <v>1</v>
      </c>
      <c r="G1479" t="str">
        <f t="shared" si="139"/>
        <v>1F46E</v>
      </c>
      <c r="I1479">
        <f>HEX2DEC(Table1[[#This Row],[utf8]])</f>
        <v>128110</v>
      </c>
      <c r="J1479" t="str">
        <f>_xlfn.UNICHAR(HEX2DEC(Table1[[#This Row],[utf8]]))</f>
        <v>👮</v>
      </c>
      <c r="K1479" s="3" t="str" cm="1">
        <f t="array" ref="K1479">"Case "&amp;wRandomLetter()&amp;wRandomLetter()&amp;I1479&amp;":    UniConst = ChrW(" &amp; I1479 &amp;")"</f>
        <v>Case fT128110:    UniConst = ChrW(128110)</v>
      </c>
    </row>
    <row r="1480" spans="1:11" hidden="1">
      <c r="A1480" t="s">
        <v>1301</v>
      </c>
      <c r="B1480" t="str">
        <f t="shared" si="140"/>
        <v>1F46E 1F3FF 200D 2642 ; minimally-qualified # 👮🏿‍♂ E4.0 man police officer: dark skin tone</v>
      </c>
      <c r="C1480" t="str">
        <f t="shared" si="141"/>
        <v xml:space="preserve">1F46E 1F3FF 200D 2642 </v>
      </c>
      <c r="D1480">
        <f t="shared" si="142"/>
        <v>22</v>
      </c>
      <c r="E1480" t="str">
        <f t="shared" si="138"/>
        <v xml:space="preserve"> 👮🏿‍♂ E4.0 man police officer: dark skin tone</v>
      </c>
      <c r="F1480" t="b">
        <f t="shared" si="143"/>
        <v>1</v>
      </c>
      <c r="G1480" t="str">
        <f t="shared" si="139"/>
        <v>1F46E</v>
      </c>
      <c r="I1480">
        <f>HEX2DEC(Table1[[#This Row],[utf8]])</f>
        <v>128110</v>
      </c>
      <c r="J1480" t="str">
        <f>_xlfn.UNICHAR(HEX2DEC(Table1[[#This Row],[utf8]]))</f>
        <v>👮</v>
      </c>
      <c r="K1480" s="3" t="str" cm="1">
        <f t="array" ref="K1480">"Case "&amp;wRandomLetter()&amp;wRandomLetter()&amp;I1480&amp;":    UniConst = ChrW(" &amp; I1480 &amp;")"</f>
        <v>Case po128110:    UniConst = ChrW(128110)</v>
      </c>
    </row>
    <row r="1481" spans="1:11" hidden="1">
      <c r="A1481" t="s">
        <v>1300</v>
      </c>
      <c r="B1481" t="str">
        <f t="shared" si="140"/>
        <v>1F46E 1F3FF 200D 2642 FE0F ; fully-qualified # 👮🏿‍♂️ E4.0 man police officer: dark skin tone</v>
      </c>
      <c r="C1481" t="str">
        <f t="shared" si="141"/>
        <v xml:space="preserve">1F46E 1F3FF 200D 2642 FE0F </v>
      </c>
      <c r="D1481">
        <f t="shared" si="142"/>
        <v>27</v>
      </c>
      <c r="E1481" t="str">
        <f t="shared" si="138"/>
        <v xml:space="preserve"> 👮🏿‍♂️ E4.0 man police officer: dark skin tone</v>
      </c>
      <c r="F1481" t="b">
        <f t="shared" si="143"/>
        <v>1</v>
      </c>
      <c r="G1481" t="str">
        <f t="shared" si="139"/>
        <v>1F46E</v>
      </c>
      <c r="I1481">
        <f>HEX2DEC(Table1[[#This Row],[utf8]])</f>
        <v>128110</v>
      </c>
      <c r="J1481" t="str">
        <f>_xlfn.UNICHAR(HEX2DEC(Table1[[#This Row],[utf8]]))</f>
        <v>👮</v>
      </c>
      <c r="K1481" s="3" t="str" cm="1">
        <f t="array" ref="K1481">"Case "&amp;wRandomLetter()&amp;wRandomLetter()&amp;I1481&amp;":    UniConst = ChrW(" &amp; I1481 &amp;")"</f>
        <v>Case DG128110:    UniConst = ChrW(128110)</v>
      </c>
    </row>
    <row r="1482" spans="1:11" hidden="1">
      <c r="A1482" t="s">
        <v>1303</v>
      </c>
      <c r="B1482" t="str">
        <f t="shared" si="140"/>
        <v>1F46E 200D 2640 ; minimally-qualified # 👮‍♀ E4.0 woman police officer</v>
      </c>
      <c r="C1482" t="str">
        <f t="shared" si="141"/>
        <v xml:space="preserve">1F46E 200D 2640 </v>
      </c>
      <c r="D1482">
        <f t="shared" si="142"/>
        <v>16</v>
      </c>
      <c r="E1482" t="str">
        <f t="shared" si="138"/>
        <v xml:space="preserve"> 👮‍♀ E4.0 woman police officer</v>
      </c>
      <c r="F1482" t="b">
        <f t="shared" si="143"/>
        <v>1</v>
      </c>
      <c r="G1482" t="str">
        <f t="shared" si="139"/>
        <v>1F46E</v>
      </c>
      <c r="I1482">
        <f>HEX2DEC(Table1[[#This Row],[utf8]])</f>
        <v>128110</v>
      </c>
      <c r="J1482" t="str">
        <f>_xlfn.UNICHAR(HEX2DEC(Table1[[#This Row],[utf8]]))</f>
        <v>👮</v>
      </c>
      <c r="K1482" s="3" t="str" cm="1">
        <f t="array" ref="K1482">"Case "&amp;wRandomLetter()&amp;wRandomLetter()&amp;I1482&amp;":    UniConst = ChrW(" &amp; I1482 &amp;")"</f>
        <v>Case yF128110:    UniConst = ChrW(128110)</v>
      </c>
    </row>
    <row r="1483" spans="1:11" hidden="1">
      <c r="A1483" t="s">
        <v>1302</v>
      </c>
      <c r="B1483" t="str">
        <f t="shared" si="140"/>
        <v>1F46E 200D 2640 FE0F ; fully-qualified # 👮‍♀️ E4.0 woman police officer</v>
      </c>
      <c r="C1483" t="str">
        <f t="shared" si="141"/>
        <v xml:space="preserve">1F46E 200D 2640 FE0F </v>
      </c>
      <c r="D1483">
        <f t="shared" si="142"/>
        <v>21</v>
      </c>
      <c r="E1483" t="str">
        <f t="shared" si="138"/>
        <v xml:space="preserve"> 👮‍♀️ E4.0 woman police officer</v>
      </c>
      <c r="F1483" t="b">
        <f t="shared" si="143"/>
        <v>1</v>
      </c>
      <c r="G1483" t="str">
        <f t="shared" si="139"/>
        <v>1F46E</v>
      </c>
      <c r="I1483">
        <f>HEX2DEC(Table1[[#This Row],[utf8]])</f>
        <v>128110</v>
      </c>
      <c r="J1483" t="str">
        <f>_xlfn.UNICHAR(HEX2DEC(Table1[[#This Row],[utf8]]))</f>
        <v>👮</v>
      </c>
      <c r="K1483" s="3" t="str" cm="1">
        <f t="array" ref="K1483">"Case "&amp;wRandomLetter()&amp;wRandomLetter()&amp;I1483&amp;":    UniConst = ChrW(" &amp; I1483 &amp;")"</f>
        <v>Case sM128110:    UniConst = ChrW(128110)</v>
      </c>
    </row>
    <row r="1484" spans="1:11" hidden="1">
      <c r="A1484" t="s">
        <v>1291</v>
      </c>
      <c r="B1484" t="str">
        <f t="shared" si="140"/>
        <v>1F46E 200D 2642 ; minimally-qualified # 👮‍♂ E4.0 man police officer</v>
      </c>
      <c r="C1484" t="str">
        <f t="shared" si="141"/>
        <v xml:space="preserve">1F46E 200D 2642 </v>
      </c>
      <c r="D1484">
        <f t="shared" si="142"/>
        <v>16</v>
      </c>
      <c r="E1484" t="str">
        <f t="shared" si="138"/>
        <v xml:space="preserve"> 👮‍♂ E4.0 man police officer</v>
      </c>
      <c r="F1484" t="b">
        <f t="shared" si="143"/>
        <v>1</v>
      </c>
      <c r="G1484" t="str">
        <f t="shared" si="139"/>
        <v>1F46E</v>
      </c>
      <c r="I1484">
        <f>HEX2DEC(Table1[[#This Row],[utf8]])</f>
        <v>128110</v>
      </c>
      <c r="J1484" t="str">
        <f>_xlfn.UNICHAR(HEX2DEC(Table1[[#This Row],[utf8]]))</f>
        <v>👮</v>
      </c>
      <c r="K1484" s="3" t="str" cm="1">
        <f t="array" ref="K1484">"Case "&amp;wRandomLetter()&amp;wRandomLetter()&amp;I1484&amp;":    UniConst = ChrW(" &amp; I1484 &amp;")"</f>
        <v>Case Vu128110:    UniConst = ChrW(128110)</v>
      </c>
    </row>
    <row r="1485" spans="1:11" hidden="1">
      <c r="A1485" t="s">
        <v>1290</v>
      </c>
      <c r="B1485" t="str">
        <f t="shared" si="140"/>
        <v>1F46E 200D 2642 FE0F ; fully-qualified # 👮‍♂️ E4.0 man police officer</v>
      </c>
      <c r="C1485" t="str">
        <f t="shared" si="141"/>
        <v xml:space="preserve">1F46E 200D 2642 FE0F </v>
      </c>
      <c r="D1485">
        <f t="shared" si="142"/>
        <v>21</v>
      </c>
      <c r="E1485" t="str">
        <f t="shared" si="138"/>
        <v xml:space="preserve"> 👮‍♂️ E4.0 man police officer</v>
      </c>
      <c r="F1485" t="b">
        <f t="shared" si="143"/>
        <v>1</v>
      </c>
      <c r="G1485" t="str">
        <f t="shared" si="139"/>
        <v>1F46E</v>
      </c>
      <c r="I1485">
        <f>HEX2DEC(Table1[[#This Row],[utf8]])</f>
        <v>128110</v>
      </c>
      <c r="J1485" t="str">
        <f>_xlfn.UNICHAR(HEX2DEC(Table1[[#This Row],[utf8]]))</f>
        <v>👮</v>
      </c>
      <c r="K1485" s="3" t="str" cm="1">
        <f t="array" ref="K1485">"Case "&amp;wRandomLetter()&amp;wRandomLetter()&amp;I1485&amp;":    UniConst = ChrW(" &amp; I1485 &amp;")"</f>
        <v>Case Wd128110:    UniConst = ChrW(128110)</v>
      </c>
    </row>
    <row r="1486" spans="1:11" hidden="1">
      <c r="A1486" t="s">
        <v>2058</v>
      </c>
      <c r="B1486" t="str">
        <f t="shared" si="140"/>
        <v>1F46F ; fully-qualified # 👯 E0.6 people with bunny ears</v>
      </c>
      <c r="C1486" t="str">
        <f t="shared" si="141"/>
        <v xml:space="preserve">1F46F </v>
      </c>
      <c r="D1486">
        <f t="shared" si="142"/>
        <v>6</v>
      </c>
      <c r="E1486" t="str">
        <f t="shared" si="138"/>
        <v xml:space="preserve"> 👯 E0.6 people with bunny ears</v>
      </c>
      <c r="F1486" t="b">
        <f t="shared" si="143"/>
        <v>1</v>
      </c>
      <c r="G1486" t="str">
        <f t="shared" si="139"/>
        <v>1F46F</v>
      </c>
      <c r="I1486">
        <f>HEX2DEC(Table1[[#This Row],[utf8]])</f>
        <v>128111</v>
      </c>
      <c r="J1486" t="str">
        <f>_xlfn.UNICHAR(HEX2DEC(Table1[[#This Row],[utf8]]))</f>
        <v>👯</v>
      </c>
      <c r="K1486" s="3" t="str" cm="1">
        <f t="array" ref="K1486">"Case "&amp;wRandomLetter()&amp;wRandomLetter()&amp;I1486&amp;":    UniConst = ChrW(" &amp; I1486 &amp;")"</f>
        <v>Case Dr128111:    UniConst = ChrW(128111)</v>
      </c>
    </row>
    <row r="1487" spans="1:11" hidden="1">
      <c r="A1487" t="s">
        <v>2062</v>
      </c>
      <c r="B1487" t="str">
        <f t="shared" si="140"/>
        <v>1F46F 200D 2640 ; minimally-qualified # 👯‍♀ E4.0 women with bunny ears</v>
      </c>
      <c r="C1487" t="str">
        <f t="shared" si="141"/>
        <v xml:space="preserve">1F46F 200D 2640 </v>
      </c>
      <c r="D1487">
        <f t="shared" si="142"/>
        <v>16</v>
      </c>
      <c r="E1487" t="str">
        <f t="shared" si="138"/>
        <v xml:space="preserve"> 👯‍♀ E4.0 women with bunny ears</v>
      </c>
      <c r="F1487" t="b">
        <f t="shared" si="143"/>
        <v>1</v>
      </c>
      <c r="G1487" t="str">
        <f t="shared" si="139"/>
        <v>1F46F</v>
      </c>
      <c r="I1487">
        <f>HEX2DEC(Table1[[#This Row],[utf8]])</f>
        <v>128111</v>
      </c>
      <c r="J1487" t="str">
        <f>_xlfn.UNICHAR(HEX2DEC(Table1[[#This Row],[utf8]]))</f>
        <v>👯</v>
      </c>
      <c r="K1487" s="3" t="str" cm="1">
        <f t="array" ref="K1487">"Case "&amp;wRandomLetter()&amp;wRandomLetter()&amp;I1487&amp;":    UniConst = ChrW(" &amp; I1487 &amp;")"</f>
        <v>Case aG128111:    UniConst = ChrW(128111)</v>
      </c>
    </row>
    <row r="1488" spans="1:11" hidden="1">
      <c r="A1488" t="s">
        <v>2061</v>
      </c>
      <c r="B1488" t="str">
        <f t="shared" si="140"/>
        <v>1F46F 200D 2640 FE0F ; fully-qualified # 👯‍♀️ E4.0 women with bunny ears</v>
      </c>
      <c r="C1488" t="str">
        <f t="shared" si="141"/>
        <v xml:space="preserve">1F46F 200D 2640 FE0F </v>
      </c>
      <c r="D1488">
        <f t="shared" si="142"/>
        <v>21</v>
      </c>
      <c r="E1488" t="str">
        <f t="shared" si="138"/>
        <v xml:space="preserve"> 👯‍♀️ E4.0 women with bunny ears</v>
      </c>
      <c r="F1488" t="b">
        <f t="shared" si="143"/>
        <v>1</v>
      </c>
      <c r="G1488" t="str">
        <f t="shared" si="139"/>
        <v>1F46F</v>
      </c>
      <c r="I1488">
        <f>HEX2DEC(Table1[[#This Row],[utf8]])</f>
        <v>128111</v>
      </c>
      <c r="J1488" t="str">
        <f>_xlfn.UNICHAR(HEX2DEC(Table1[[#This Row],[utf8]]))</f>
        <v>👯</v>
      </c>
      <c r="K1488" s="3" t="str" cm="1">
        <f t="array" ref="K1488">"Case "&amp;wRandomLetter()&amp;wRandomLetter()&amp;I1488&amp;":    UniConst = ChrW(" &amp; I1488 &amp;")"</f>
        <v>Case tV128111:    UniConst = ChrW(128111)</v>
      </c>
    </row>
    <row r="1489" spans="1:11" hidden="1">
      <c r="A1489" t="s">
        <v>2060</v>
      </c>
      <c r="B1489" t="str">
        <f t="shared" si="140"/>
        <v>1F46F 200D 2642 ; minimally-qualified # 👯‍♂ E4.0 men with bunny ears</v>
      </c>
      <c r="C1489" t="str">
        <f t="shared" si="141"/>
        <v xml:space="preserve">1F46F 200D 2642 </v>
      </c>
      <c r="D1489">
        <f t="shared" si="142"/>
        <v>16</v>
      </c>
      <c r="E1489" t="str">
        <f t="shared" si="138"/>
        <v xml:space="preserve"> 👯‍♂ E4.0 men with bunny ears</v>
      </c>
      <c r="F1489" t="b">
        <f t="shared" si="143"/>
        <v>1</v>
      </c>
      <c r="G1489" t="str">
        <f t="shared" si="139"/>
        <v>1F46F</v>
      </c>
      <c r="I1489">
        <f>HEX2DEC(Table1[[#This Row],[utf8]])</f>
        <v>128111</v>
      </c>
      <c r="J1489" t="str">
        <f>_xlfn.UNICHAR(HEX2DEC(Table1[[#This Row],[utf8]]))</f>
        <v>👯</v>
      </c>
      <c r="K1489" s="3" t="str" cm="1">
        <f t="array" ref="K1489">"Case "&amp;wRandomLetter()&amp;wRandomLetter()&amp;I1489&amp;":    UniConst = ChrW(" &amp; I1489 &amp;")"</f>
        <v>Case Vt128111:    UniConst = ChrW(128111)</v>
      </c>
    </row>
    <row r="1490" spans="1:11" hidden="1">
      <c r="A1490" t="s">
        <v>2059</v>
      </c>
      <c r="B1490" t="str">
        <f t="shared" si="140"/>
        <v>1F46F 200D 2642 FE0F ; fully-qualified # 👯‍♂️ E4.0 men with bunny ears</v>
      </c>
      <c r="C1490" t="str">
        <f t="shared" si="141"/>
        <v xml:space="preserve">1F46F 200D 2642 FE0F </v>
      </c>
      <c r="D1490">
        <f t="shared" si="142"/>
        <v>21</v>
      </c>
      <c r="E1490" t="str">
        <f t="shared" si="138"/>
        <v xml:space="preserve"> 👯‍♂️ E4.0 men with bunny ears</v>
      </c>
      <c r="F1490" t="b">
        <f t="shared" si="143"/>
        <v>1</v>
      </c>
      <c r="G1490" t="str">
        <f t="shared" si="139"/>
        <v>1F46F</v>
      </c>
      <c r="I1490">
        <f>HEX2DEC(Table1[[#This Row],[utf8]])</f>
        <v>128111</v>
      </c>
      <c r="J1490" t="str">
        <f>_xlfn.UNICHAR(HEX2DEC(Table1[[#This Row],[utf8]]))</f>
        <v>👯</v>
      </c>
      <c r="K1490" s="3" t="str" cm="1">
        <f t="array" ref="K1490">"Case "&amp;wRandomLetter()&amp;wRandomLetter()&amp;I1490&amp;":    UniConst = ChrW(" &amp; I1490 &amp;")"</f>
        <v>Case sK128111:    UniConst = ChrW(128111)</v>
      </c>
    </row>
    <row r="1491" spans="1:11" hidden="1">
      <c r="A1491" t="s">
        <v>1499</v>
      </c>
      <c r="B1491" t="str">
        <f t="shared" si="140"/>
        <v>1F470 ; fully-qualified # 👰 E0.6 person with veil</v>
      </c>
      <c r="C1491" t="str">
        <f t="shared" si="141"/>
        <v xml:space="preserve">1F470 </v>
      </c>
      <c r="D1491">
        <f t="shared" si="142"/>
        <v>6</v>
      </c>
      <c r="E1491" t="str">
        <f t="shared" si="138"/>
        <v xml:space="preserve"> 👰 E0.6 person with veil</v>
      </c>
      <c r="F1491" t="b">
        <f t="shared" si="143"/>
        <v>1</v>
      </c>
      <c r="G1491" t="str">
        <f t="shared" si="139"/>
        <v>1F470</v>
      </c>
      <c r="I1491">
        <f>HEX2DEC(Table1[[#This Row],[utf8]])</f>
        <v>128112</v>
      </c>
      <c r="J1491" t="str">
        <f>_xlfn.UNICHAR(HEX2DEC(Table1[[#This Row],[utf8]]))</f>
        <v>👰</v>
      </c>
      <c r="K1491" s="3" t="str" cm="1">
        <f t="array" ref="K1491">"Case "&amp;wRandomLetter()&amp;wRandomLetter()&amp;I1491&amp;":    UniConst = ChrW(" &amp; I1491 &amp;")"</f>
        <v>Case Zv128112:    UniConst = ChrW(128112)</v>
      </c>
    </row>
    <row r="1492" spans="1:11" hidden="1">
      <c r="A1492" t="s">
        <v>1500</v>
      </c>
      <c r="B1492" t="str">
        <f t="shared" si="140"/>
        <v>1F470 1F3FB ; fully-qualified # 👰🏻 E1.0 person with veil: light skin tone</v>
      </c>
      <c r="C1492" t="str">
        <f t="shared" si="141"/>
        <v xml:space="preserve">1F470 1F3FB </v>
      </c>
      <c r="D1492">
        <f t="shared" si="142"/>
        <v>12</v>
      </c>
      <c r="E1492" t="str">
        <f t="shared" si="138"/>
        <v xml:space="preserve"> 👰🏻 E1.0 person with veil: light skin tone</v>
      </c>
      <c r="F1492" t="b">
        <f t="shared" si="143"/>
        <v>1</v>
      </c>
      <c r="G1492" t="str">
        <f t="shared" si="139"/>
        <v>1F470</v>
      </c>
      <c r="I1492">
        <f>HEX2DEC(Table1[[#This Row],[utf8]])</f>
        <v>128112</v>
      </c>
      <c r="J1492" t="str">
        <f>_xlfn.UNICHAR(HEX2DEC(Table1[[#This Row],[utf8]]))</f>
        <v>👰</v>
      </c>
      <c r="K1492" s="3" t="str" cm="1">
        <f t="array" ref="K1492">"Case "&amp;wRandomLetter()&amp;wRandomLetter()&amp;I1492&amp;":    UniConst = ChrW(" &amp; I1492 &amp;")"</f>
        <v>Case as128112:    UniConst = ChrW(128112)</v>
      </c>
    </row>
    <row r="1493" spans="1:11" hidden="1">
      <c r="A1493" t="s">
        <v>1520</v>
      </c>
      <c r="B1493" t="str">
        <f t="shared" si="140"/>
        <v>1F470 1F3FB 200D 2640 ; minimally-qualified # 👰🏻‍♀ E13.0 woman with veil: light skin tone</v>
      </c>
      <c r="C1493" t="str">
        <f t="shared" si="141"/>
        <v xml:space="preserve">1F470 1F3FB 200D 2640 </v>
      </c>
      <c r="D1493">
        <f t="shared" si="142"/>
        <v>22</v>
      </c>
      <c r="E1493" t="str">
        <f t="shared" si="138"/>
        <v xml:space="preserve"> 👰🏻‍♀ E13.0 woman with veil: light skin tone</v>
      </c>
      <c r="F1493" t="b">
        <f t="shared" si="143"/>
        <v>1</v>
      </c>
      <c r="G1493" t="str">
        <f t="shared" si="139"/>
        <v>1F470</v>
      </c>
      <c r="I1493">
        <f>HEX2DEC(Table1[[#This Row],[utf8]])</f>
        <v>128112</v>
      </c>
      <c r="J1493" t="str">
        <f>_xlfn.UNICHAR(HEX2DEC(Table1[[#This Row],[utf8]]))</f>
        <v>👰</v>
      </c>
      <c r="K1493" s="3" t="str" cm="1">
        <f t="array" ref="K1493">"Case "&amp;wRandomLetter()&amp;wRandomLetter()&amp;I1493&amp;":    UniConst = ChrW(" &amp; I1493 &amp;")"</f>
        <v>Case cm128112:    UniConst = ChrW(128112)</v>
      </c>
    </row>
    <row r="1494" spans="1:11" hidden="1">
      <c r="A1494" t="s">
        <v>1519</v>
      </c>
      <c r="B1494" t="str">
        <f t="shared" si="140"/>
        <v>1F470 1F3FB 200D 2640 FE0F ; fully-qualified # 👰🏻‍♀️ E13.0 woman with veil: light skin tone</v>
      </c>
      <c r="C1494" t="str">
        <f t="shared" si="141"/>
        <v xml:space="preserve">1F470 1F3FB 200D 2640 FE0F </v>
      </c>
      <c r="D1494">
        <f t="shared" si="142"/>
        <v>27</v>
      </c>
      <c r="E1494" t="str">
        <f t="shared" si="138"/>
        <v xml:space="preserve"> 👰🏻‍♀️ E13.0 woman with veil: light skin tone</v>
      </c>
      <c r="F1494" t="b">
        <f t="shared" si="143"/>
        <v>1</v>
      </c>
      <c r="G1494" t="str">
        <f t="shared" si="139"/>
        <v>1F470</v>
      </c>
      <c r="I1494">
        <f>HEX2DEC(Table1[[#This Row],[utf8]])</f>
        <v>128112</v>
      </c>
      <c r="J1494" t="str">
        <f>_xlfn.UNICHAR(HEX2DEC(Table1[[#This Row],[utf8]]))</f>
        <v>👰</v>
      </c>
      <c r="K1494" s="3" t="str" cm="1">
        <f t="array" ref="K1494">"Case "&amp;wRandomLetter()&amp;wRandomLetter()&amp;I1494&amp;":    UniConst = ChrW(" &amp; I1494 &amp;")"</f>
        <v>Case WF128112:    UniConst = ChrW(128112)</v>
      </c>
    </row>
    <row r="1495" spans="1:11" hidden="1">
      <c r="A1495" t="s">
        <v>1508</v>
      </c>
      <c r="B1495" t="str">
        <f t="shared" si="140"/>
        <v>1F470 1F3FB 200D 2642 ; minimally-qualified # 👰🏻‍♂ E13.0 man with veil: light skin tone</v>
      </c>
      <c r="C1495" t="str">
        <f t="shared" si="141"/>
        <v xml:space="preserve">1F470 1F3FB 200D 2642 </v>
      </c>
      <c r="D1495">
        <f t="shared" si="142"/>
        <v>22</v>
      </c>
      <c r="E1495" t="str">
        <f t="shared" si="138"/>
        <v xml:space="preserve"> 👰🏻‍♂ E13.0 man with veil: light skin tone</v>
      </c>
      <c r="F1495" t="b">
        <f t="shared" si="143"/>
        <v>1</v>
      </c>
      <c r="G1495" t="str">
        <f t="shared" si="139"/>
        <v>1F470</v>
      </c>
      <c r="I1495">
        <f>HEX2DEC(Table1[[#This Row],[utf8]])</f>
        <v>128112</v>
      </c>
      <c r="J1495" t="str">
        <f>_xlfn.UNICHAR(HEX2DEC(Table1[[#This Row],[utf8]]))</f>
        <v>👰</v>
      </c>
      <c r="K1495" s="3" t="str" cm="1">
        <f t="array" ref="K1495">"Case "&amp;wRandomLetter()&amp;wRandomLetter()&amp;I1495&amp;":    UniConst = ChrW(" &amp; I1495 &amp;")"</f>
        <v>Case QK128112:    UniConst = ChrW(128112)</v>
      </c>
    </row>
    <row r="1496" spans="1:11" hidden="1">
      <c r="A1496" t="s">
        <v>1507</v>
      </c>
      <c r="B1496" t="str">
        <f t="shared" si="140"/>
        <v>1F470 1F3FB 200D 2642 FE0F ; fully-qualified # 👰🏻‍♂️ E13.0 man with veil: light skin tone</v>
      </c>
      <c r="C1496" t="str">
        <f t="shared" si="141"/>
        <v xml:space="preserve">1F470 1F3FB 200D 2642 FE0F </v>
      </c>
      <c r="D1496">
        <f t="shared" si="142"/>
        <v>27</v>
      </c>
      <c r="E1496" t="str">
        <f t="shared" si="138"/>
        <v xml:space="preserve"> 👰🏻‍♂️ E13.0 man with veil: light skin tone</v>
      </c>
      <c r="F1496" t="b">
        <f t="shared" si="143"/>
        <v>1</v>
      </c>
      <c r="G1496" t="str">
        <f t="shared" si="139"/>
        <v>1F470</v>
      </c>
      <c r="I1496">
        <f>HEX2DEC(Table1[[#This Row],[utf8]])</f>
        <v>128112</v>
      </c>
      <c r="J1496" t="str">
        <f>_xlfn.UNICHAR(HEX2DEC(Table1[[#This Row],[utf8]]))</f>
        <v>👰</v>
      </c>
      <c r="K1496" s="3" t="str" cm="1">
        <f t="array" ref="K1496">"Case "&amp;wRandomLetter()&amp;wRandomLetter()&amp;I1496&amp;":    UniConst = ChrW(" &amp; I1496 &amp;")"</f>
        <v>Case fr128112:    UniConst = ChrW(128112)</v>
      </c>
    </row>
    <row r="1497" spans="1:11" hidden="1">
      <c r="A1497" t="s">
        <v>1501</v>
      </c>
      <c r="B1497" t="str">
        <f t="shared" si="140"/>
        <v>1F470 1F3FC ; fully-qualified # 👰🏼 E1.0 person with veil: medium-light skin tone</v>
      </c>
      <c r="C1497" t="str">
        <f t="shared" si="141"/>
        <v xml:space="preserve">1F470 1F3FC </v>
      </c>
      <c r="D1497">
        <f t="shared" si="142"/>
        <v>12</v>
      </c>
      <c r="E1497" t="str">
        <f t="shared" si="138"/>
        <v xml:space="preserve"> 👰🏼 E1.0 person with veil: medium-light skin tone</v>
      </c>
      <c r="F1497" t="b">
        <f t="shared" si="143"/>
        <v>1</v>
      </c>
      <c r="G1497" t="str">
        <f t="shared" si="139"/>
        <v>1F470</v>
      </c>
      <c r="I1497">
        <f>HEX2DEC(Table1[[#This Row],[utf8]])</f>
        <v>128112</v>
      </c>
      <c r="J1497" t="str">
        <f>_xlfn.UNICHAR(HEX2DEC(Table1[[#This Row],[utf8]]))</f>
        <v>👰</v>
      </c>
      <c r="K1497" s="3" t="str" cm="1">
        <f t="array" ref="K1497">"Case "&amp;wRandomLetter()&amp;wRandomLetter()&amp;I1497&amp;":    UniConst = ChrW(" &amp; I1497 &amp;")"</f>
        <v>Case rY128112:    UniConst = ChrW(128112)</v>
      </c>
    </row>
    <row r="1498" spans="1:11" hidden="1">
      <c r="A1498" t="s">
        <v>1522</v>
      </c>
      <c r="B1498" t="str">
        <f t="shared" si="140"/>
        <v>1F470 1F3FC 200D 2640 ; minimally-qualified # 👰🏼‍♀ E13.0 woman with veil: medium-light skin tone</v>
      </c>
      <c r="C1498" t="str">
        <f t="shared" si="141"/>
        <v xml:space="preserve">1F470 1F3FC 200D 2640 </v>
      </c>
      <c r="D1498">
        <f t="shared" si="142"/>
        <v>22</v>
      </c>
      <c r="E1498" t="str">
        <f t="shared" si="138"/>
        <v xml:space="preserve"> 👰🏼‍♀ E13.0 woman with veil: medium-light skin tone</v>
      </c>
      <c r="F1498" t="b">
        <f t="shared" si="143"/>
        <v>1</v>
      </c>
      <c r="G1498" t="str">
        <f t="shared" si="139"/>
        <v>1F470</v>
      </c>
      <c r="I1498">
        <f>HEX2DEC(Table1[[#This Row],[utf8]])</f>
        <v>128112</v>
      </c>
      <c r="J1498" t="str">
        <f>_xlfn.UNICHAR(HEX2DEC(Table1[[#This Row],[utf8]]))</f>
        <v>👰</v>
      </c>
      <c r="K1498" s="3" t="str" cm="1">
        <f t="array" ref="K1498">"Case "&amp;wRandomLetter()&amp;wRandomLetter()&amp;I1498&amp;":    UniConst = ChrW(" &amp; I1498 &amp;")"</f>
        <v>Case RE128112:    UniConst = ChrW(128112)</v>
      </c>
    </row>
    <row r="1499" spans="1:11" hidden="1">
      <c r="A1499" t="s">
        <v>1521</v>
      </c>
      <c r="B1499" t="str">
        <f t="shared" si="140"/>
        <v>1F470 1F3FC 200D 2640 FE0F ; fully-qualified # 👰🏼‍♀️ E13.0 woman with veil: medium-light skin tone</v>
      </c>
      <c r="C1499" t="str">
        <f t="shared" si="141"/>
        <v xml:space="preserve">1F470 1F3FC 200D 2640 FE0F </v>
      </c>
      <c r="D1499">
        <f t="shared" si="142"/>
        <v>27</v>
      </c>
      <c r="E1499" t="str">
        <f t="shared" si="138"/>
        <v xml:space="preserve"> 👰🏼‍♀️ E13.0 woman with veil: medium-light skin tone</v>
      </c>
      <c r="F1499" t="b">
        <f t="shared" si="143"/>
        <v>1</v>
      </c>
      <c r="G1499" t="str">
        <f t="shared" si="139"/>
        <v>1F470</v>
      </c>
      <c r="I1499">
        <f>HEX2DEC(Table1[[#This Row],[utf8]])</f>
        <v>128112</v>
      </c>
      <c r="J1499" t="str">
        <f>_xlfn.UNICHAR(HEX2DEC(Table1[[#This Row],[utf8]]))</f>
        <v>👰</v>
      </c>
      <c r="K1499" s="3" t="str" cm="1">
        <f t="array" ref="K1499">"Case "&amp;wRandomLetter()&amp;wRandomLetter()&amp;I1499&amp;":    UniConst = ChrW(" &amp; I1499 &amp;")"</f>
        <v>Case BN128112:    UniConst = ChrW(128112)</v>
      </c>
    </row>
    <row r="1500" spans="1:11" hidden="1">
      <c r="A1500" t="s">
        <v>1510</v>
      </c>
      <c r="B1500" t="str">
        <f t="shared" si="140"/>
        <v>1F470 1F3FC 200D 2642 ; minimally-qualified # 👰🏼‍♂ E13.0 man with veil: medium-light skin tone</v>
      </c>
      <c r="C1500" t="str">
        <f t="shared" si="141"/>
        <v xml:space="preserve">1F470 1F3FC 200D 2642 </v>
      </c>
      <c r="D1500">
        <f t="shared" si="142"/>
        <v>22</v>
      </c>
      <c r="E1500" t="str">
        <f t="shared" si="138"/>
        <v xml:space="preserve"> 👰🏼‍♂ E13.0 man with veil: medium-light skin tone</v>
      </c>
      <c r="F1500" t="b">
        <f t="shared" si="143"/>
        <v>1</v>
      </c>
      <c r="G1500" t="str">
        <f t="shared" si="139"/>
        <v>1F470</v>
      </c>
      <c r="I1500">
        <f>HEX2DEC(Table1[[#This Row],[utf8]])</f>
        <v>128112</v>
      </c>
      <c r="J1500" t="str">
        <f>_xlfn.UNICHAR(HEX2DEC(Table1[[#This Row],[utf8]]))</f>
        <v>👰</v>
      </c>
      <c r="K1500" s="3" t="str" cm="1">
        <f t="array" ref="K1500">"Case "&amp;wRandomLetter()&amp;wRandomLetter()&amp;I1500&amp;":    UniConst = ChrW(" &amp; I1500 &amp;")"</f>
        <v>Case iX128112:    UniConst = ChrW(128112)</v>
      </c>
    </row>
    <row r="1501" spans="1:11" hidden="1">
      <c r="A1501" t="s">
        <v>1509</v>
      </c>
      <c r="B1501" t="str">
        <f t="shared" si="140"/>
        <v>1F470 1F3FC 200D 2642 FE0F ; fully-qualified # 👰🏼‍♂️ E13.0 man with veil: medium-light skin tone</v>
      </c>
      <c r="C1501" t="str">
        <f t="shared" si="141"/>
        <v xml:space="preserve">1F470 1F3FC 200D 2642 FE0F </v>
      </c>
      <c r="D1501">
        <f t="shared" si="142"/>
        <v>27</v>
      </c>
      <c r="E1501" t="str">
        <f t="shared" si="138"/>
        <v xml:space="preserve"> 👰🏼‍♂️ E13.0 man with veil: medium-light skin tone</v>
      </c>
      <c r="F1501" t="b">
        <f t="shared" si="143"/>
        <v>1</v>
      </c>
      <c r="G1501" t="str">
        <f t="shared" si="139"/>
        <v>1F470</v>
      </c>
      <c r="I1501">
        <f>HEX2DEC(Table1[[#This Row],[utf8]])</f>
        <v>128112</v>
      </c>
      <c r="J1501" t="str">
        <f>_xlfn.UNICHAR(HEX2DEC(Table1[[#This Row],[utf8]]))</f>
        <v>👰</v>
      </c>
      <c r="K1501" s="3" t="str" cm="1">
        <f t="array" ref="K1501">"Case "&amp;wRandomLetter()&amp;wRandomLetter()&amp;I1501&amp;":    UniConst = ChrW(" &amp; I1501 &amp;")"</f>
        <v>Case iF128112:    UniConst = ChrW(128112)</v>
      </c>
    </row>
    <row r="1502" spans="1:11" hidden="1">
      <c r="A1502" t="s">
        <v>1502</v>
      </c>
      <c r="B1502" t="str">
        <f t="shared" si="140"/>
        <v>1F470 1F3FD ; fully-qualified # 👰🏽 E1.0 person with veil: medium skin tone</v>
      </c>
      <c r="C1502" t="str">
        <f t="shared" si="141"/>
        <v xml:space="preserve">1F470 1F3FD </v>
      </c>
      <c r="D1502">
        <f t="shared" si="142"/>
        <v>12</v>
      </c>
      <c r="E1502" t="str">
        <f t="shared" si="138"/>
        <v xml:space="preserve"> 👰🏽 E1.0 person with veil: medium skin tone</v>
      </c>
      <c r="F1502" t="b">
        <f t="shared" si="143"/>
        <v>1</v>
      </c>
      <c r="G1502" t="str">
        <f t="shared" si="139"/>
        <v>1F470</v>
      </c>
      <c r="I1502">
        <f>HEX2DEC(Table1[[#This Row],[utf8]])</f>
        <v>128112</v>
      </c>
      <c r="J1502" t="str">
        <f>_xlfn.UNICHAR(HEX2DEC(Table1[[#This Row],[utf8]]))</f>
        <v>👰</v>
      </c>
      <c r="K1502" s="3" t="str" cm="1">
        <f t="array" ref="K1502">"Case "&amp;wRandomLetter()&amp;wRandomLetter()&amp;I1502&amp;":    UniConst = ChrW(" &amp; I1502 &amp;")"</f>
        <v>Case NA128112:    UniConst = ChrW(128112)</v>
      </c>
    </row>
    <row r="1503" spans="1:11" hidden="1">
      <c r="A1503" t="s">
        <v>1524</v>
      </c>
      <c r="B1503" t="str">
        <f t="shared" si="140"/>
        <v>1F470 1F3FD 200D 2640 ; minimally-qualified # 👰🏽‍♀ E13.0 woman with veil: medium skin tone</v>
      </c>
      <c r="C1503" t="str">
        <f t="shared" si="141"/>
        <v xml:space="preserve">1F470 1F3FD 200D 2640 </v>
      </c>
      <c r="D1503">
        <f t="shared" si="142"/>
        <v>22</v>
      </c>
      <c r="E1503" t="str">
        <f t="shared" si="138"/>
        <v xml:space="preserve"> 👰🏽‍♀ E13.0 woman with veil: medium skin tone</v>
      </c>
      <c r="F1503" t="b">
        <f t="shared" si="143"/>
        <v>1</v>
      </c>
      <c r="G1503" t="str">
        <f t="shared" si="139"/>
        <v>1F470</v>
      </c>
      <c r="I1503">
        <f>HEX2DEC(Table1[[#This Row],[utf8]])</f>
        <v>128112</v>
      </c>
      <c r="J1503" t="str">
        <f>_xlfn.UNICHAR(HEX2DEC(Table1[[#This Row],[utf8]]))</f>
        <v>👰</v>
      </c>
      <c r="K1503" s="3" t="str" cm="1">
        <f t="array" ref="K1503">"Case "&amp;wRandomLetter()&amp;wRandomLetter()&amp;I1503&amp;":    UniConst = ChrW(" &amp; I1503 &amp;")"</f>
        <v>Case Ie128112:    UniConst = ChrW(128112)</v>
      </c>
    </row>
    <row r="1504" spans="1:11" hidden="1">
      <c r="A1504" t="s">
        <v>1523</v>
      </c>
      <c r="B1504" t="str">
        <f t="shared" si="140"/>
        <v>1F470 1F3FD 200D 2640 FE0F ; fully-qualified # 👰🏽‍♀️ E13.0 woman with veil: medium skin tone</v>
      </c>
      <c r="C1504" t="str">
        <f t="shared" si="141"/>
        <v xml:space="preserve">1F470 1F3FD 200D 2640 FE0F </v>
      </c>
      <c r="D1504">
        <f t="shared" si="142"/>
        <v>27</v>
      </c>
      <c r="E1504" t="str">
        <f t="shared" si="138"/>
        <v xml:space="preserve"> 👰🏽‍♀️ E13.0 woman with veil: medium skin tone</v>
      </c>
      <c r="F1504" t="b">
        <f t="shared" si="143"/>
        <v>1</v>
      </c>
      <c r="G1504" t="str">
        <f t="shared" si="139"/>
        <v>1F470</v>
      </c>
      <c r="I1504">
        <f>HEX2DEC(Table1[[#This Row],[utf8]])</f>
        <v>128112</v>
      </c>
      <c r="J1504" t="str">
        <f>_xlfn.UNICHAR(HEX2DEC(Table1[[#This Row],[utf8]]))</f>
        <v>👰</v>
      </c>
      <c r="K1504" s="3" t="str" cm="1">
        <f t="array" ref="K1504">"Case "&amp;wRandomLetter()&amp;wRandomLetter()&amp;I1504&amp;":    UniConst = ChrW(" &amp; I1504 &amp;")"</f>
        <v>Case ZN128112:    UniConst = ChrW(128112)</v>
      </c>
    </row>
    <row r="1505" spans="1:11" hidden="1">
      <c r="A1505" t="s">
        <v>1512</v>
      </c>
      <c r="B1505" t="str">
        <f t="shared" si="140"/>
        <v>1F470 1F3FD 200D 2642 ; minimally-qualified # 👰🏽‍♂ E13.0 man with veil: medium skin tone</v>
      </c>
      <c r="C1505" t="str">
        <f t="shared" si="141"/>
        <v xml:space="preserve">1F470 1F3FD 200D 2642 </v>
      </c>
      <c r="D1505">
        <f t="shared" si="142"/>
        <v>22</v>
      </c>
      <c r="E1505" t="str">
        <f t="shared" si="138"/>
        <v xml:space="preserve"> 👰🏽‍♂ E13.0 man with veil: medium skin tone</v>
      </c>
      <c r="F1505" t="b">
        <f t="shared" si="143"/>
        <v>1</v>
      </c>
      <c r="G1505" t="str">
        <f t="shared" si="139"/>
        <v>1F470</v>
      </c>
      <c r="I1505">
        <f>HEX2DEC(Table1[[#This Row],[utf8]])</f>
        <v>128112</v>
      </c>
      <c r="J1505" t="str">
        <f>_xlfn.UNICHAR(HEX2DEC(Table1[[#This Row],[utf8]]))</f>
        <v>👰</v>
      </c>
      <c r="K1505" s="3" t="str" cm="1">
        <f t="array" ref="K1505">"Case "&amp;wRandomLetter()&amp;wRandomLetter()&amp;I1505&amp;":    UniConst = ChrW(" &amp; I1505 &amp;")"</f>
        <v>Case Tm128112:    UniConst = ChrW(128112)</v>
      </c>
    </row>
    <row r="1506" spans="1:11" hidden="1">
      <c r="A1506" t="s">
        <v>1511</v>
      </c>
      <c r="B1506" t="str">
        <f t="shared" si="140"/>
        <v>1F470 1F3FD 200D 2642 FE0F ; fully-qualified # 👰🏽‍♂️ E13.0 man with veil: medium skin tone</v>
      </c>
      <c r="C1506" t="str">
        <f t="shared" si="141"/>
        <v xml:space="preserve">1F470 1F3FD 200D 2642 FE0F </v>
      </c>
      <c r="D1506">
        <f t="shared" si="142"/>
        <v>27</v>
      </c>
      <c r="E1506" t="str">
        <f t="shared" si="138"/>
        <v xml:space="preserve"> 👰🏽‍♂️ E13.0 man with veil: medium skin tone</v>
      </c>
      <c r="F1506" t="b">
        <f t="shared" si="143"/>
        <v>1</v>
      </c>
      <c r="G1506" t="str">
        <f t="shared" si="139"/>
        <v>1F470</v>
      </c>
      <c r="I1506">
        <f>HEX2DEC(Table1[[#This Row],[utf8]])</f>
        <v>128112</v>
      </c>
      <c r="J1506" t="str">
        <f>_xlfn.UNICHAR(HEX2DEC(Table1[[#This Row],[utf8]]))</f>
        <v>👰</v>
      </c>
      <c r="K1506" s="3" t="str" cm="1">
        <f t="array" ref="K1506">"Case "&amp;wRandomLetter()&amp;wRandomLetter()&amp;I1506&amp;":    UniConst = ChrW(" &amp; I1506 &amp;")"</f>
        <v>Case Zk128112:    UniConst = ChrW(128112)</v>
      </c>
    </row>
    <row r="1507" spans="1:11" hidden="1">
      <c r="A1507" t="s">
        <v>1503</v>
      </c>
      <c r="B1507" t="str">
        <f t="shared" si="140"/>
        <v>1F470 1F3FE ; fully-qualified # 👰🏾 E1.0 person with veil: medium-dark skin tone</v>
      </c>
      <c r="C1507" t="str">
        <f t="shared" si="141"/>
        <v xml:space="preserve">1F470 1F3FE </v>
      </c>
      <c r="D1507">
        <f t="shared" si="142"/>
        <v>12</v>
      </c>
      <c r="E1507" t="str">
        <f t="shared" si="138"/>
        <v xml:space="preserve"> 👰🏾 E1.0 person with veil: medium-dark skin tone</v>
      </c>
      <c r="F1507" t="b">
        <f t="shared" si="143"/>
        <v>1</v>
      </c>
      <c r="G1507" t="str">
        <f t="shared" si="139"/>
        <v>1F470</v>
      </c>
      <c r="I1507">
        <f>HEX2DEC(Table1[[#This Row],[utf8]])</f>
        <v>128112</v>
      </c>
      <c r="J1507" t="str">
        <f>_xlfn.UNICHAR(HEX2DEC(Table1[[#This Row],[utf8]]))</f>
        <v>👰</v>
      </c>
      <c r="K1507" s="3" t="str" cm="1">
        <f t="array" ref="K1507">"Case "&amp;wRandomLetter()&amp;wRandomLetter()&amp;I1507&amp;":    UniConst = ChrW(" &amp; I1507 &amp;")"</f>
        <v>Case sl128112:    UniConst = ChrW(128112)</v>
      </c>
    </row>
    <row r="1508" spans="1:11" hidden="1">
      <c r="A1508" t="s">
        <v>1526</v>
      </c>
      <c r="B1508" t="str">
        <f t="shared" si="140"/>
        <v>1F470 1F3FE 200D 2640 ; minimally-qualified # 👰🏾‍♀ E13.0 woman with veil: medium-dark skin tone</v>
      </c>
      <c r="C1508" t="str">
        <f t="shared" si="141"/>
        <v xml:space="preserve">1F470 1F3FE 200D 2640 </v>
      </c>
      <c r="D1508">
        <f t="shared" si="142"/>
        <v>22</v>
      </c>
      <c r="E1508" t="str">
        <f t="shared" si="138"/>
        <v xml:space="preserve"> 👰🏾‍♀ E13.0 woman with veil: medium-dark skin tone</v>
      </c>
      <c r="F1508" t="b">
        <f t="shared" si="143"/>
        <v>1</v>
      </c>
      <c r="G1508" t="str">
        <f t="shared" si="139"/>
        <v>1F470</v>
      </c>
      <c r="I1508">
        <f>HEX2DEC(Table1[[#This Row],[utf8]])</f>
        <v>128112</v>
      </c>
      <c r="J1508" t="str">
        <f>_xlfn.UNICHAR(HEX2DEC(Table1[[#This Row],[utf8]]))</f>
        <v>👰</v>
      </c>
      <c r="K1508" s="3" t="str" cm="1">
        <f t="array" ref="K1508">"Case "&amp;wRandomLetter()&amp;wRandomLetter()&amp;I1508&amp;":    UniConst = ChrW(" &amp; I1508 &amp;")"</f>
        <v>Case Zv128112:    UniConst = ChrW(128112)</v>
      </c>
    </row>
    <row r="1509" spans="1:11" hidden="1">
      <c r="A1509" t="s">
        <v>1525</v>
      </c>
      <c r="B1509" t="str">
        <f t="shared" si="140"/>
        <v>1F470 1F3FE 200D 2640 FE0F ; fully-qualified # 👰🏾‍♀️ E13.0 woman with veil: medium-dark skin tone</v>
      </c>
      <c r="C1509" t="str">
        <f t="shared" si="141"/>
        <v xml:space="preserve">1F470 1F3FE 200D 2640 FE0F </v>
      </c>
      <c r="D1509">
        <f t="shared" si="142"/>
        <v>27</v>
      </c>
      <c r="E1509" t="str">
        <f t="shared" si="138"/>
        <v xml:space="preserve"> 👰🏾‍♀️ E13.0 woman with veil: medium-dark skin tone</v>
      </c>
      <c r="F1509" t="b">
        <f t="shared" si="143"/>
        <v>1</v>
      </c>
      <c r="G1509" t="str">
        <f t="shared" si="139"/>
        <v>1F470</v>
      </c>
      <c r="I1509">
        <f>HEX2DEC(Table1[[#This Row],[utf8]])</f>
        <v>128112</v>
      </c>
      <c r="J1509" t="str">
        <f>_xlfn.UNICHAR(HEX2DEC(Table1[[#This Row],[utf8]]))</f>
        <v>👰</v>
      </c>
      <c r="K1509" s="3" t="str" cm="1">
        <f t="array" ref="K1509">"Case "&amp;wRandomLetter()&amp;wRandomLetter()&amp;I1509&amp;":    UniConst = ChrW(" &amp; I1509 &amp;")"</f>
        <v>Case DU128112:    UniConst = ChrW(128112)</v>
      </c>
    </row>
    <row r="1510" spans="1:11" hidden="1">
      <c r="A1510" t="s">
        <v>1514</v>
      </c>
      <c r="B1510" t="str">
        <f t="shared" si="140"/>
        <v>1F470 1F3FE 200D 2642 ; minimally-qualified # 👰🏾‍♂ E13.0 man with veil: medium-dark skin tone</v>
      </c>
      <c r="C1510" t="str">
        <f t="shared" si="141"/>
        <v xml:space="preserve">1F470 1F3FE 200D 2642 </v>
      </c>
      <c r="D1510">
        <f t="shared" si="142"/>
        <v>22</v>
      </c>
      <c r="E1510" t="str">
        <f t="shared" si="138"/>
        <v xml:space="preserve"> 👰🏾‍♂ E13.0 man with veil: medium-dark skin tone</v>
      </c>
      <c r="F1510" t="b">
        <f t="shared" si="143"/>
        <v>1</v>
      </c>
      <c r="G1510" t="str">
        <f t="shared" si="139"/>
        <v>1F470</v>
      </c>
      <c r="I1510">
        <f>HEX2DEC(Table1[[#This Row],[utf8]])</f>
        <v>128112</v>
      </c>
      <c r="J1510" t="str">
        <f>_xlfn.UNICHAR(HEX2DEC(Table1[[#This Row],[utf8]]))</f>
        <v>👰</v>
      </c>
      <c r="K1510" s="3" t="str" cm="1">
        <f t="array" ref="K1510">"Case "&amp;wRandomLetter()&amp;wRandomLetter()&amp;I1510&amp;":    UniConst = ChrW(" &amp; I1510 &amp;")"</f>
        <v>Case Hi128112:    UniConst = ChrW(128112)</v>
      </c>
    </row>
    <row r="1511" spans="1:11" hidden="1">
      <c r="A1511" t="s">
        <v>1513</v>
      </c>
      <c r="B1511" t="str">
        <f t="shared" si="140"/>
        <v>1F470 1F3FE 200D 2642 FE0F ; fully-qualified # 👰🏾‍♂️ E13.0 man with veil: medium-dark skin tone</v>
      </c>
      <c r="C1511" t="str">
        <f t="shared" si="141"/>
        <v xml:space="preserve">1F470 1F3FE 200D 2642 FE0F </v>
      </c>
      <c r="D1511">
        <f t="shared" si="142"/>
        <v>27</v>
      </c>
      <c r="E1511" t="str">
        <f t="shared" si="138"/>
        <v xml:space="preserve"> 👰🏾‍♂️ E13.0 man with veil: medium-dark skin tone</v>
      </c>
      <c r="F1511" t="b">
        <f t="shared" si="143"/>
        <v>1</v>
      </c>
      <c r="G1511" t="str">
        <f t="shared" si="139"/>
        <v>1F470</v>
      </c>
      <c r="I1511">
        <f>HEX2DEC(Table1[[#This Row],[utf8]])</f>
        <v>128112</v>
      </c>
      <c r="J1511" t="str">
        <f>_xlfn.UNICHAR(HEX2DEC(Table1[[#This Row],[utf8]]))</f>
        <v>👰</v>
      </c>
      <c r="K1511" s="3" t="str" cm="1">
        <f t="array" ref="K1511">"Case "&amp;wRandomLetter()&amp;wRandomLetter()&amp;I1511&amp;":    UniConst = ChrW(" &amp; I1511 &amp;")"</f>
        <v>Case nh128112:    UniConst = ChrW(128112)</v>
      </c>
    </row>
    <row r="1512" spans="1:11" hidden="1">
      <c r="A1512" t="s">
        <v>1504</v>
      </c>
      <c r="B1512" t="str">
        <f t="shared" si="140"/>
        <v>1F470 1F3FF ; fully-qualified # 👰🏿 E1.0 person with veil: dark skin tone</v>
      </c>
      <c r="C1512" t="str">
        <f t="shared" si="141"/>
        <v xml:space="preserve">1F470 1F3FF </v>
      </c>
      <c r="D1512">
        <f t="shared" si="142"/>
        <v>12</v>
      </c>
      <c r="E1512" t="str">
        <f t="shared" si="138"/>
        <v xml:space="preserve"> 👰🏿 E1.0 person with veil: dark skin tone</v>
      </c>
      <c r="F1512" t="b">
        <f t="shared" si="143"/>
        <v>1</v>
      </c>
      <c r="G1512" t="str">
        <f t="shared" si="139"/>
        <v>1F470</v>
      </c>
      <c r="I1512">
        <f>HEX2DEC(Table1[[#This Row],[utf8]])</f>
        <v>128112</v>
      </c>
      <c r="J1512" t="str">
        <f>_xlfn.UNICHAR(HEX2DEC(Table1[[#This Row],[utf8]]))</f>
        <v>👰</v>
      </c>
      <c r="K1512" s="3" t="str" cm="1">
        <f t="array" ref="K1512">"Case "&amp;wRandomLetter()&amp;wRandomLetter()&amp;I1512&amp;":    UniConst = ChrW(" &amp; I1512 &amp;")"</f>
        <v>Case cT128112:    UniConst = ChrW(128112)</v>
      </c>
    </row>
    <row r="1513" spans="1:11" hidden="1">
      <c r="A1513" t="s">
        <v>1528</v>
      </c>
      <c r="B1513" t="str">
        <f t="shared" si="140"/>
        <v>1F470 1F3FF 200D 2640 ; minimally-qualified # 👰🏿‍♀ E13.0 woman with veil: dark skin tone</v>
      </c>
      <c r="C1513" t="str">
        <f t="shared" si="141"/>
        <v xml:space="preserve">1F470 1F3FF 200D 2640 </v>
      </c>
      <c r="D1513">
        <f t="shared" si="142"/>
        <v>22</v>
      </c>
      <c r="E1513" t="str">
        <f t="shared" si="138"/>
        <v xml:space="preserve"> 👰🏿‍♀ E13.0 woman with veil: dark skin tone</v>
      </c>
      <c r="F1513" t="b">
        <f t="shared" si="143"/>
        <v>1</v>
      </c>
      <c r="G1513" t="str">
        <f t="shared" si="139"/>
        <v>1F470</v>
      </c>
      <c r="I1513">
        <f>HEX2DEC(Table1[[#This Row],[utf8]])</f>
        <v>128112</v>
      </c>
      <c r="J1513" t="str">
        <f>_xlfn.UNICHAR(HEX2DEC(Table1[[#This Row],[utf8]]))</f>
        <v>👰</v>
      </c>
      <c r="K1513" s="3" t="str" cm="1">
        <f t="array" ref="K1513">"Case "&amp;wRandomLetter()&amp;wRandomLetter()&amp;I1513&amp;":    UniConst = ChrW(" &amp; I1513 &amp;")"</f>
        <v>Case ES128112:    UniConst = ChrW(128112)</v>
      </c>
    </row>
    <row r="1514" spans="1:11" hidden="1">
      <c r="A1514" t="s">
        <v>1527</v>
      </c>
      <c r="B1514" t="str">
        <f t="shared" si="140"/>
        <v>1F470 1F3FF 200D 2640 FE0F ; fully-qualified # 👰🏿‍♀️ E13.0 woman with veil: dark skin tone</v>
      </c>
      <c r="C1514" t="str">
        <f t="shared" si="141"/>
        <v xml:space="preserve">1F470 1F3FF 200D 2640 FE0F </v>
      </c>
      <c r="D1514">
        <f t="shared" si="142"/>
        <v>27</v>
      </c>
      <c r="E1514" t="str">
        <f t="shared" si="138"/>
        <v xml:space="preserve"> 👰🏿‍♀️ E13.0 woman with veil: dark skin tone</v>
      </c>
      <c r="F1514" t="b">
        <f t="shared" si="143"/>
        <v>1</v>
      </c>
      <c r="G1514" t="str">
        <f t="shared" si="139"/>
        <v>1F470</v>
      </c>
      <c r="I1514">
        <f>HEX2DEC(Table1[[#This Row],[utf8]])</f>
        <v>128112</v>
      </c>
      <c r="J1514" t="str">
        <f>_xlfn.UNICHAR(HEX2DEC(Table1[[#This Row],[utf8]]))</f>
        <v>👰</v>
      </c>
      <c r="K1514" s="3" t="str" cm="1">
        <f t="array" ref="K1514">"Case "&amp;wRandomLetter()&amp;wRandomLetter()&amp;I1514&amp;":    UniConst = ChrW(" &amp; I1514 &amp;")"</f>
        <v>Case Jn128112:    UniConst = ChrW(128112)</v>
      </c>
    </row>
    <row r="1515" spans="1:11" hidden="1">
      <c r="A1515" t="s">
        <v>1516</v>
      </c>
      <c r="B1515" t="str">
        <f t="shared" si="140"/>
        <v>1F470 1F3FF 200D 2642 ; minimally-qualified # 👰🏿‍♂ E13.0 man with veil: dark skin tone</v>
      </c>
      <c r="C1515" t="str">
        <f t="shared" si="141"/>
        <v xml:space="preserve">1F470 1F3FF 200D 2642 </v>
      </c>
      <c r="D1515">
        <f t="shared" si="142"/>
        <v>22</v>
      </c>
      <c r="E1515" t="str">
        <f t="shared" si="138"/>
        <v xml:space="preserve"> 👰🏿‍♂ E13.0 man with veil: dark skin tone</v>
      </c>
      <c r="F1515" t="b">
        <f t="shared" si="143"/>
        <v>1</v>
      </c>
      <c r="G1515" t="str">
        <f t="shared" si="139"/>
        <v>1F470</v>
      </c>
      <c r="I1515">
        <f>HEX2DEC(Table1[[#This Row],[utf8]])</f>
        <v>128112</v>
      </c>
      <c r="J1515" t="str">
        <f>_xlfn.UNICHAR(HEX2DEC(Table1[[#This Row],[utf8]]))</f>
        <v>👰</v>
      </c>
      <c r="K1515" s="3" t="str" cm="1">
        <f t="array" ref="K1515">"Case "&amp;wRandomLetter()&amp;wRandomLetter()&amp;I1515&amp;":    UniConst = ChrW(" &amp; I1515 &amp;")"</f>
        <v>Case sP128112:    UniConst = ChrW(128112)</v>
      </c>
    </row>
    <row r="1516" spans="1:11" hidden="1">
      <c r="A1516" t="s">
        <v>1515</v>
      </c>
      <c r="B1516" t="str">
        <f t="shared" si="140"/>
        <v>1F470 1F3FF 200D 2642 FE0F ; fully-qualified # 👰🏿‍♂️ E13.0 man with veil: dark skin tone</v>
      </c>
      <c r="C1516" t="str">
        <f t="shared" si="141"/>
        <v xml:space="preserve">1F470 1F3FF 200D 2642 FE0F </v>
      </c>
      <c r="D1516">
        <f t="shared" si="142"/>
        <v>27</v>
      </c>
      <c r="E1516" t="str">
        <f t="shared" si="138"/>
        <v xml:space="preserve"> 👰🏿‍♂️ E13.0 man with veil: dark skin tone</v>
      </c>
      <c r="F1516" t="b">
        <f t="shared" si="143"/>
        <v>1</v>
      </c>
      <c r="G1516" t="str">
        <f t="shared" si="139"/>
        <v>1F470</v>
      </c>
      <c r="I1516">
        <f>HEX2DEC(Table1[[#This Row],[utf8]])</f>
        <v>128112</v>
      </c>
      <c r="J1516" t="str">
        <f>_xlfn.UNICHAR(HEX2DEC(Table1[[#This Row],[utf8]]))</f>
        <v>👰</v>
      </c>
      <c r="K1516" s="3" t="str" cm="1">
        <f t="array" ref="K1516">"Case "&amp;wRandomLetter()&amp;wRandomLetter()&amp;I1516&amp;":    UniConst = ChrW(" &amp; I1516 &amp;")"</f>
        <v>Case uF128112:    UniConst = ChrW(128112)</v>
      </c>
    </row>
    <row r="1517" spans="1:11" hidden="1">
      <c r="A1517" t="s">
        <v>1518</v>
      </c>
      <c r="B1517" t="str">
        <f t="shared" si="140"/>
        <v>1F470 200D 2640 ; minimally-qualified # 👰‍♀ E13.0 woman with veil</v>
      </c>
      <c r="C1517" t="str">
        <f t="shared" si="141"/>
        <v xml:space="preserve">1F470 200D 2640 </v>
      </c>
      <c r="D1517">
        <f t="shared" si="142"/>
        <v>16</v>
      </c>
      <c r="E1517" t="str">
        <f t="shared" si="138"/>
        <v xml:space="preserve"> 👰‍♀ E13.0 woman with veil</v>
      </c>
      <c r="F1517" t="b">
        <f t="shared" si="143"/>
        <v>1</v>
      </c>
      <c r="G1517" t="str">
        <f t="shared" si="139"/>
        <v>1F470</v>
      </c>
      <c r="I1517">
        <f>HEX2DEC(Table1[[#This Row],[utf8]])</f>
        <v>128112</v>
      </c>
      <c r="J1517" t="str">
        <f>_xlfn.UNICHAR(HEX2DEC(Table1[[#This Row],[utf8]]))</f>
        <v>👰</v>
      </c>
      <c r="K1517" s="3" t="str" cm="1">
        <f t="array" ref="K1517">"Case "&amp;wRandomLetter()&amp;wRandomLetter()&amp;I1517&amp;":    UniConst = ChrW(" &amp; I1517 &amp;")"</f>
        <v>Case kU128112:    UniConst = ChrW(128112)</v>
      </c>
    </row>
    <row r="1518" spans="1:11" hidden="1">
      <c r="A1518" t="s">
        <v>1517</v>
      </c>
      <c r="B1518" t="str">
        <f t="shared" si="140"/>
        <v>1F470 200D 2640 FE0F ; fully-qualified # 👰‍♀️ E13.0 woman with veil</v>
      </c>
      <c r="C1518" t="str">
        <f t="shared" si="141"/>
        <v xml:space="preserve">1F470 200D 2640 FE0F </v>
      </c>
      <c r="D1518">
        <f t="shared" si="142"/>
        <v>21</v>
      </c>
      <c r="E1518" t="str">
        <f t="shared" si="138"/>
        <v xml:space="preserve"> 👰‍♀️ E13.0 woman with veil</v>
      </c>
      <c r="F1518" t="b">
        <f t="shared" si="143"/>
        <v>1</v>
      </c>
      <c r="G1518" t="str">
        <f t="shared" si="139"/>
        <v>1F470</v>
      </c>
      <c r="I1518">
        <f>HEX2DEC(Table1[[#This Row],[utf8]])</f>
        <v>128112</v>
      </c>
      <c r="J1518" t="str">
        <f>_xlfn.UNICHAR(HEX2DEC(Table1[[#This Row],[utf8]]))</f>
        <v>👰</v>
      </c>
      <c r="K1518" s="3" t="str" cm="1">
        <f t="array" ref="K1518">"Case "&amp;wRandomLetter()&amp;wRandomLetter()&amp;I1518&amp;":    UniConst = ChrW(" &amp; I1518 &amp;")"</f>
        <v>Case cl128112:    UniConst = ChrW(128112)</v>
      </c>
    </row>
    <row r="1519" spans="1:11" hidden="1">
      <c r="A1519" t="s">
        <v>1506</v>
      </c>
      <c r="B1519" t="str">
        <f t="shared" si="140"/>
        <v>1F470 200D 2642 ; minimally-qualified # 👰‍♂ E13.0 man with veil</v>
      </c>
      <c r="C1519" t="str">
        <f t="shared" si="141"/>
        <v xml:space="preserve">1F470 200D 2642 </v>
      </c>
      <c r="D1519">
        <f t="shared" si="142"/>
        <v>16</v>
      </c>
      <c r="E1519" t="str">
        <f t="shared" si="138"/>
        <v xml:space="preserve"> 👰‍♂ E13.0 man with veil</v>
      </c>
      <c r="F1519" t="b">
        <f t="shared" si="143"/>
        <v>1</v>
      </c>
      <c r="G1519" t="str">
        <f t="shared" si="139"/>
        <v>1F470</v>
      </c>
      <c r="I1519">
        <f>HEX2DEC(Table1[[#This Row],[utf8]])</f>
        <v>128112</v>
      </c>
      <c r="J1519" t="str">
        <f>_xlfn.UNICHAR(HEX2DEC(Table1[[#This Row],[utf8]]))</f>
        <v>👰</v>
      </c>
      <c r="K1519" s="3" t="str" cm="1">
        <f t="array" ref="K1519">"Case "&amp;wRandomLetter()&amp;wRandomLetter()&amp;I1519&amp;":    UniConst = ChrW(" &amp; I1519 &amp;")"</f>
        <v>Case dj128112:    UniConst = ChrW(128112)</v>
      </c>
    </row>
    <row r="1520" spans="1:11" hidden="1">
      <c r="A1520" t="s">
        <v>1505</v>
      </c>
      <c r="B1520" t="str">
        <f t="shared" si="140"/>
        <v>1F470 200D 2642 FE0F ; fully-qualified # 👰‍♂️ E13.0 man with veil</v>
      </c>
      <c r="C1520" t="str">
        <f t="shared" si="141"/>
        <v xml:space="preserve">1F470 200D 2642 FE0F </v>
      </c>
      <c r="D1520">
        <f t="shared" si="142"/>
        <v>21</v>
      </c>
      <c r="E1520" t="str">
        <f t="shared" si="138"/>
        <v xml:space="preserve"> 👰‍♂️ E13.0 man with veil</v>
      </c>
      <c r="F1520" t="b">
        <f t="shared" si="143"/>
        <v>1</v>
      </c>
      <c r="G1520" t="str">
        <f t="shared" si="139"/>
        <v>1F470</v>
      </c>
      <c r="I1520">
        <f>HEX2DEC(Table1[[#This Row],[utf8]])</f>
        <v>128112</v>
      </c>
      <c r="J1520" t="str">
        <f>_xlfn.UNICHAR(HEX2DEC(Table1[[#This Row],[utf8]]))</f>
        <v>👰</v>
      </c>
      <c r="K1520" s="3" t="str" cm="1">
        <f t="array" ref="K1520">"Case "&amp;wRandomLetter()&amp;wRandomLetter()&amp;I1520&amp;":    UniConst = ChrW(" &amp; I1520 &amp;")"</f>
        <v>Case ml128112:    UniConst = ChrW(128112)</v>
      </c>
    </row>
    <row r="1521" spans="1:11" hidden="1">
      <c r="A1521" t="s">
        <v>478</v>
      </c>
      <c r="B1521" t="str">
        <f t="shared" si="140"/>
        <v>1F471 ; fully-qualified # 👱 E0.6 person: blond hair</v>
      </c>
      <c r="C1521" t="str">
        <f t="shared" si="141"/>
        <v xml:space="preserve">1F471 </v>
      </c>
      <c r="D1521">
        <f t="shared" si="142"/>
        <v>6</v>
      </c>
      <c r="E1521" t="str">
        <f t="shared" si="138"/>
        <v xml:space="preserve"> 👱 E0.6 person: blond hair</v>
      </c>
      <c r="F1521" t="b">
        <f t="shared" si="143"/>
        <v>1</v>
      </c>
      <c r="G1521" t="str">
        <f t="shared" si="139"/>
        <v>1F471</v>
      </c>
      <c r="I1521">
        <f>HEX2DEC(Table1[[#This Row],[utf8]])</f>
        <v>128113</v>
      </c>
      <c r="J1521" t="str">
        <f>_xlfn.UNICHAR(HEX2DEC(Table1[[#This Row],[utf8]]))</f>
        <v>👱</v>
      </c>
      <c r="K1521" s="3" t="str" cm="1">
        <f t="array" ref="K1521">"Case "&amp;wRandomLetter()&amp;wRandomLetter()&amp;I1521&amp;":    UniConst = ChrW(" &amp; I1521 &amp;")"</f>
        <v>Case yr128113:    UniConst = ChrW(128113)</v>
      </c>
    </row>
    <row r="1522" spans="1:11" hidden="1">
      <c r="A1522" t="s">
        <v>479</v>
      </c>
      <c r="B1522" t="str">
        <f t="shared" si="140"/>
        <v>1F471 1F3FB ; fully-qualified # 👱🏻 E1.0 person: light skin tone, blond hair</v>
      </c>
      <c r="C1522" t="str">
        <f t="shared" si="141"/>
        <v xml:space="preserve">1F471 1F3FB </v>
      </c>
      <c r="D1522">
        <f t="shared" si="142"/>
        <v>12</v>
      </c>
      <c r="E1522" t="str">
        <f t="shared" si="138"/>
        <v xml:space="preserve"> 👱🏻 E1.0 person: light skin tone, blond hair</v>
      </c>
      <c r="F1522" t="b">
        <f t="shared" si="143"/>
        <v>1</v>
      </c>
      <c r="G1522" t="str">
        <f t="shared" si="139"/>
        <v>1F471</v>
      </c>
      <c r="I1522">
        <f>HEX2DEC(Table1[[#This Row],[utf8]])</f>
        <v>128113</v>
      </c>
      <c r="J1522" t="str">
        <f>_xlfn.UNICHAR(HEX2DEC(Table1[[#This Row],[utf8]]))</f>
        <v>👱</v>
      </c>
      <c r="K1522" s="3" t="str" cm="1">
        <f t="array" ref="K1522">"Case "&amp;wRandomLetter()&amp;wRandomLetter()&amp;I1522&amp;":    UniConst = ChrW(" &amp; I1522 &amp;")"</f>
        <v>Case Vx128113:    UniConst = ChrW(128113)</v>
      </c>
    </row>
    <row r="1523" spans="1:11" hidden="1">
      <c r="A1523" t="s">
        <v>601</v>
      </c>
      <c r="B1523" t="str">
        <f t="shared" si="140"/>
        <v>1F471 1F3FB 200D 2640 ; minimally-qualified # 👱🏻‍♀ E4.0 woman: light skin tone, blond hair</v>
      </c>
      <c r="C1523" t="str">
        <f t="shared" si="141"/>
        <v xml:space="preserve">1F471 1F3FB 200D 2640 </v>
      </c>
      <c r="D1523">
        <f t="shared" si="142"/>
        <v>22</v>
      </c>
      <c r="E1523" t="str">
        <f t="shared" si="138"/>
        <v xml:space="preserve"> 👱🏻‍♀ E4.0 woman: light skin tone, blond hair</v>
      </c>
      <c r="F1523" t="b">
        <f t="shared" si="143"/>
        <v>1</v>
      </c>
      <c r="G1523" t="str">
        <f t="shared" si="139"/>
        <v>1F471</v>
      </c>
      <c r="I1523">
        <f>HEX2DEC(Table1[[#This Row],[utf8]])</f>
        <v>128113</v>
      </c>
      <c r="J1523" t="str">
        <f>_xlfn.UNICHAR(HEX2DEC(Table1[[#This Row],[utf8]]))</f>
        <v>👱</v>
      </c>
      <c r="K1523" s="3" t="str" cm="1">
        <f t="array" ref="K1523">"Case "&amp;wRandomLetter()&amp;wRandomLetter()&amp;I1523&amp;":    UniConst = ChrW(" &amp; I1523 &amp;")"</f>
        <v>Case eW128113:    UniConst = ChrW(128113)</v>
      </c>
    </row>
    <row r="1524" spans="1:11" hidden="1">
      <c r="A1524" t="s">
        <v>600</v>
      </c>
      <c r="B1524" t="str">
        <f t="shared" si="140"/>
        <v>1F471 1F3FB 200D 2640 FE0F ; fully-qualified # 👱🏻‍♀️ E4.0 woman: light skin tone, blond hair</v>
      </c>
      <c r="C1524" t="str">
        <f t="shared" si="141"/>
        <v xml:space="preserve">1F471 1F3FB 200D 2640 FE0F </v>
      </c>
      <c r="D1524">
        <f t="shared" si="142"/>
        <v>27</v>
      </c>
      <c r="E1524" t="str">
        <f t="shared" si="138"/>
        <v xml:space="preserve"> 👱🏻‍♀️ E4.0 woman: light skin tone, blond hair</v>
      </c>
      <c r="F1524" t="b">
        <f t="shared" si="143"/>
        <v>1</v>
      </c>
      <c r="G1524" t="str">
        <f t="shared" si="139"/>
        <v>1F471</v>
      </c>
      <c r="I1524">
        <f>HEX2DEC(Table1[[#This Row],[utf8]])</f>
        <v>128113</v>
      </c>
      <c r="J1524" t="str">
        <f>_xlfn.UNICHAR(HEX2DEC(Table1[[#This Row],[utf8]]))</f>
        <v>👱</v>
      </c>
      <c r="K1524" s="3" t="str" cm="1">
        <f t="array" ref="K1524">"Case "&amp;wRandomLetter()&amp;wRandomLetter()&amp;I1524&amp;":    UniConst = ChrW(" &amp; I1524 &amp;")"</f>
        <v>Case hx128113:    UniConst = ChrW(128113)</v>
      </c>
    </row>
    <row r="1525" spans="1:11" hidden="1">
      <c r="A1525" t="s">
        <v>613</v>
      </c>
      <c r="B1525" t="str">
        <f t="shared" si="140"/>
        <v>1F471 1F3FB 200D 2642 ; minimally-qualified # 👱🏻‍♂ E4.0 man: light skin tone, blond hair</v>
      </c>
      <c r="C1525" t="str">
        <f t="shared" si="141"/>
        <v xml:space="preserve">1F471 1F3FB 200D 2642 </v>
      </c>
      <c r="D1525">
        <f t="shared" si="142"/>
        <v>22</v>
      </c>
      <c r="E1525" t="str">
        <f t="shared" si="138"/>
        <v xml:space="preserve"> 👱🏻‍♂ E4.0 man: light skin tone, blond hair</v>
      </c>
      <c r="F1525" t="b">
        <f t="shared" si="143"/>
        <v>1</v>
      </c>
      <c r="G1525" t="str">
        <f t="shared" si="139"/>
        <v>1F471</v>
      </c>
      <c r="I1525">
        <f>HEX2DEC(Table1[[#This Row],[utf8]])</f>
        <v>128113</v>
      </c>
      <c r="J1525" t="str">
        <f>_xlfn.UNICHAR(HEX2DEC(Table1[[#This Row],[utf8]]))</f>
        <v>👱</v>
      </c>
      <c r="K1525" s="3" t="str" cm="1">
        <f t="array" ref="K1525">"Case "&amp;wRandomLetter()&amp;wRandomLetter()&amp;I1525&amp;":    UniConst = ChrW(" &amp; I1525 &amp;")"</f>
        <v>Case bU128113:    UniConst = ChrW(128113)</v>
      </c>
    </row>
    <row r="1526" spans="1:11" hidden="1">
      <c r="A1526" t="s">
        <v>612</v>
      </c>
      <c r="B1526" t="str">
        <f t="shared" si="140"/>
        <v>1F471 1F3FB 200D 2642 FE0F ; fully-qualified # 👱🏻‍♂️ E4.0 man: light skin tone, blond hair</v>
      </c>
      <c r="C1526" t="str">
        <f t="shared" si="141"/>
        <v xml:space="preserve">1F471 1F3FB 200D 2642 FE0F </v>
      </c>
      <c r="D1526">
        <f t="shared" si="142"/>
        <v>27</v>
      </c>
      <c r="E1526" t="str">
        <f t="shared" si="138"/>
        <v xml:space="preserve"> 👱🏻‍♂️ E4.0 man: light skin tone, blond hair</v>
      </c>
      <c r="F1526" t="b">
        <f t="shared" si="143"/>
        <v>1</v>
      </c>
      <c r="G1526" t="str">
        <f t="shared" si="139"/>
        <v>1F471</v>
      </c>
      <c r="I1526">
        <f>HEX2DEC(Table1[[#This Row],[utf8]])</f>
        <v>128113</v>
      </c>
      <c r="J1526" t="str">
        <f>_xlfn.UNICHAR(HEX2DEC(Table1[[#This Row],[utf8]]))</f>
        <v>👱</v>
      </c>
      <c r="K1526" s="3" t="str" cm="1">
        <f t="array" ref="K1526">"Case "&amp;wRandomLetter()&amp;wRandomLetter()&amp;I1526&amp;":    UniConst = ChrW(" &amp; I1526 &amp;")"</f>
        <v>Case cl128113:    UniConst = ChrW(128113)</v>
      </c>
    </row>
    <row r="1527" spans="1:11" hidden="1">
      <c r="A1527" t="s">
        <v>480</v>
      </c>
      <c r="B1527" t="str">
        <f t="shared" si="140"/>
        <v>1F471 1F3FC ; fully-qualified # 👱🏼 E1.0 person: medium-light skin tone, blond hair</v>
      </c>
      <c r="C1527" t="str">
        <f t="shared" si="141"/>
        <v xml:space="preserve">1F471 1F3FC </v>
      </c>
      <c r="D1527">
        <f t="shared" si="142"/>
        <v>12</v>
      </c>
      <c r="E1527" t="str">
        <f t="shared" si="138"/>
        <v xml:space="preserve"> 👱🏼 E1.0 person: medium-light skin tone, blond hair</v>
      </c>
      <c r="F1527" t="b">
        <f t="shared" si="143"/>
        <v>1</v>
      </c>
      <c r="G1527" t="str">
        <f t="shared" si="139"/>
        <v>1F471</v>
      </c>
      <c r="I1527">
        <f>HEX2DEC(Table1[[#This Row],[utf8]])</f>
        <v>128113</v>
      </c>
      <c r="J1527" t="str">
        <f>_xlfn.UNICHAR(HEX2DEC(Table1[[#This Row],[utf8]]))</f>
        <v>👱</v>
      </c>
      <c r="K1527" s="3" t="str" cm="1">
        <f t="array" ref="K1527">"Case "&amp;wRandomLetter()&amp;wRandomLetter()&amp;I1527&amp;":    UniConst = ChrW(" &amp; I1527 &amp;")"</f>
        <v>Case Iw128113:    UniConst = ChrW(128113)</v>
      </c>
    </row>
    <row r="1528" spans="1:11" hidden="1">
      <c r="A1528" t="s">
        <v>603</v>
      </c>
      <c r="B1528" t="str">
        <f t="shared" si="140"/>
        <v>1F471 1F3FC 200D 2640 ; minimally-qualified # 👱🏼‍♀ E4.0 woman: medium-light skin tone, blond hair</v>
      </c>
      <c r="C1528" t="str">
        <f t="shared" si="141"/>
        <v xml:space="preserve">1F471 1F3FC 200D 2640 </v>
      </c>
      <c r="D1528">
        <f t="shared" si="142"/>
        <v>22</v>
      </c>
      <c r="E1528" t="str">
        <f t="shared" si="138"/>
        <v xml:space="preserve"> 👱🏼‍♀ E4.0 woman: medium-light skin tone, blond hair</v>
      </c>
      <c r="F1528" t="b">
        <f t="shared" si="143"/>
        <v>1</v>
      </c>
      <c r="G1528" t="str">
        <f t="shared" si="139"/>
        <v>1F471</v>
      </c>
      <c r="I1528">
        <f>HEX2DEC(Table1[[#This Row],[utf8]])</f>
        <v>128113</v>
      </c>
      <c r="J1528" t="str">
        <f>_xlfn.UNICHAR(HEX2DEC(Table1[[#This Row],[utf8]]))</f>
        <v>👱</v>
      </c>
      <c r="K1528" s="3" t="str" cm="1">
        <f t="array" ref="K1528">"Case "&amp;wRandomLetter()&amp;wRandomLetter()&amp;I1528&amp;":    UniConst = ChrW(" &amp; I1528 &amp;")"</f>
        <v>Case bU128113:    UniConst = ChrW(128113)</v>
      </c>
    </row>
    <row r="1529" spans="1:11" hidden="1">
      <c r="A1529" t="s">
        <v>602</v>
      </c>
      <c r="B1529" t="str">
        <f t="shared" si="140"/>
        <v>1F471 1F3FC 200D 2640 FE0F ; fully-qualified # 👱🏼‍♀️ E4.0 woman: medium-light skin tone, blond hair</v>
      </c>
      <c r="C1529" t="str">
        <f t="shared" si="141"/>
        <v xml:space="preserve">1F471 1F3FC 200D 2640 FE0F </v>
      </c>
      <c r="D1529">
        <f t="shared" si="142"/>
        <v>27</v>
      </c>
      <c r="E1529" t="str">
        <f t="shared" si="138"/>
        <v xml:space="preserve"> 👱🏼‍♀️ E4.0 woman: medium-light skin tone, blond hair</v>
      </c>
      <c r="F1529" t="b">
        <f t="shared" si="143"/>
        <v>1</v>
      </c>
      <c r="G1529" t="str">
        <f t="shared" si="139"/>
        <v>1F471</v>
      </c>
      <c r="I1529">
        <f>HEX2DEC(Table1[[#This Row],[utf8]])</f>
        <v>128113</v>
      </c>
      <c r="J1529" t="str">
        <f>_xlfn.UNICHAR(HEX2DEC(Table1[[#This Row],[utf8]]))</f>
        <v>👱</v>
      </c>
      <c r="K1529" s="3" t="str" cm="1">
        <f t="array" ref="K1529">"Case "&amp;wRandomLetter()&amp;wRandomLetter()&amp;I1529&amp;":    UniConst = ChrW(" &amp; I1529 &amp;")"</f>
        <v>Case zY128113:    UniConst = ChrW(128113)</v>
      </c>
    </row>
    <row r="1530" spans="1:11" hidden="1">
      <c r="A1530" t="s">
        <v>615</v>
      </c>
      <c r="B1530" t="str">
        <f t="shared" si="140"/>
        <v>1F471 1F3FC 200D 2642 ; minimally-qualified # 👱🏼‍♂ E4.0 man: medium-light skin tone, blond hair</v>
      </c>
      <c r="C1530" t="str">
        <f t="shared" si="141"/>
        <v xml:space="preserve">1F471 1F3FC 200D 2642 </v>
      </c>
      <c r="D1530">
        <f t="shared" si="142"/>
        <v>22</v>
      </c>
      <c r="E1530" t="str">
        <f t="shared" si="138"/>
        <v xml:space="preserve"> 👱🏼‍♂ E4.0 man: medium-light skin tone, blond hair</v>
      </c>
      <c r="F1530" t="b">
        <f t="shared" si="143"/>
        <v>1</v>
      </c>
      <c r="G1530" t="str">
        <f t="shared" si="139"/>
        <v>1F471</v>
      </c>
      <c r="I1530">
        <f>HEX2DEC(Table1[[#This Row],[utf8]])</f>
        <v>128113</v>
      </c>
      <c r="J1530" t="str">
        <f>_xlfn.UNICHAR(HEX2DEC(Table1[[#This Row],[utf8]]))</f>
        <v>👱</v>
      </c>
      <c r="K1530" s="3" t="str" cm="1">
        <f t="array" ref="K1530">"Case "&amp;wRandomLetter()&amp;wRandomLetter()&amp;I1530&amp;":    UniConst = ChrW(" &amp; I1530 &amp;")"</f>
        <v>Case af128113:    UniConst = ChrW(128113)</v>
      </c>
    </row>
    <row r="1531" spans="1:11" hidden="1">
      <c r="A1531" t="s">
        <v>614</v>
      </c>
      <c r="B1531" t="str">
        <f t="shared" si="140"/>
        <v>1F471 1F3FC 200D 2642 FE0F ; fully-qualified # 👱🏼‍♂️ E4.0 man: medium-light skin tone, blond hair</v>
      </c>
      <c r="C1531" t="str">
        <f t="shared" si="141"/>
        <v xml:space="preserve">1F471 1F3FC 200D 2642 FE0F </v>
      </c>
      <c r="D1531">
        <f t="shared" si="142"/>
        <v>27</v>
      </c>
      <c r="E1531" t="str">
        <f t="shared" si="138"/>
        <v xml:space="preserve"> 👱🏼‍♂️ E4.0 man: medium-light skin tone, blond hair</v>
      </c>
      <c r="F1531" t="b">
        <f t="shared" si="143"/>
        <v>1</v>
      </c>
      <c r="G1531" t="str">
        <f t="shared" si="139"/>
        <v>1F471</v>
      </c>
      <c r="I1531">
        <f>HEX2DEC(Table1[[#This Row],[utf8]])</f>
        <v>128113</v>
      </c>
      <c r="J1531" t="str">
        <f>_xlfn.UNICHAR(HEX2DEC(Table1[[#This Row],[utf8]]))</f>
        <v>👱</v>
      </c>
      <c r="K1531" s="3" t="str" cm="1">
        <f t="array" ref="K1531">"Case "&amp;wRandomLetter()&amp;wRandomLetter()&amp;I1531&amp;":    UniConst = ChrW(" &amp; I1531 &amp;")"</f>
        <v>Case ac128113:    UniConst = ChrW(128113)</v>
      </c>
    </row>
    <row r="1532" spans="1:11" hidden="1">
      <c r="A1532" t="s">
        <v>481</v>
      </c>
      <c r="B1532" t="str">
        <f t="shared" si="140"/>
        <v>1F471 1F3FD ; fully-qualified # 👱🏽 E1.0 person: medium skin tone, blond hair</v>
      </c>
      <c r="C1532" t="str">
        <f t="shared" si="141"/>
        <v xml:space="preserve">1F471 1F3FD </v>
      </c>
      <c r="D1532">
        <f t="shared" si="142"/>
        <v>12</v>
      </c>
      <c r="E1532" t="str">
        <f t="shared" si="138"/>
        <v xml:space="preserve"> 👱🏽 E1.0 person: medium skin tone, blond hair</v>
      </c>
      <c r="F1532" t="b">
        <f t="shared" si="143"/>
        <v>1</v>
      </c>
      <c r="G1532" t="str">
        <f t="shared" si="139"/>
        <v>1F471</v>
      </c>
      <c r="I1532">
        <f>HEX2DEC(Table1[[#This Row],[utf8]])</f>
        <v>128113</v>
      </c>
      <c r="J1532" t="str">
        <f>_xlfn.UNICHAR(HEX2DEC(Table1[[#This Row],[utf8]]))</f>
        <v>👱</v>
      </c>
      <c r="K1532" s="3" t="str" cm="1">
        <f t="array" ref="K1532">"Case "&amp;wRandomLetter()&amp;wRandomLetter()&amp;I1532&amp;":    UniConst = ChrW(" &amp; I1532 &amp;")"</f>
        <v>Case zC128113:    UniConst = ChrW(128113)</v>
      </c>
    </row>
    <row r="1533" spans="1:11" hidden="1">
      <c r="A1533" t="s">
        <v>605</v>
      </c>
      <c r="B1533" t="str">
        <f t="shared" si="140"/>
        <v>1F471 1F3FD 200D 2640 ; minimally-qualified # 👱🏽‍♀ E4.0 woman: medium skin tone, blond hair</v>
      </c>
      <c r="C1533" t="str">
        <f t="shared" si="141"/>
        <v xml:space="preserve">1F471 1F3FD 200D 2640 </v>
      </c>
      <c r="D1533">
        <f t="shared" si="142"/>
        <v>22</v>
      </c>
      <c r="E1533" t="str">
        <f t="shared" si="138"/>
        <v xml:space="preserve"> 👱🏽‍♀ E4.0 woman: medium skin tone, blond hair</v>
      </c>
      <c r="F1533" t="b">
        <f t="shared" si="143"/>
        <v>1</v>
      </c>
      <c r="G1533" t="str">
        <f t="shared" si="139"/>
        <v>1F471</v>
      </c>
      <c r="I1533">
        <f>HEX2DEC(Table1[[#This Row],[utf8]])</f>
        <v>128113</v>
      </c>
      <c r="J1533" t="str">
        <f>_xlfn.UNICHAR(HEX2DEC(Table1[[#This Row],[utf8]]))</f>
        <v>👱</v>
      </c>
      <c r="K1533" s="3" t="str" cm="1">
        <f t="array" ref="K1533">"Case "&amp;wRandomLetter()&amp;wRandomLetter()&amp;I1533&amp;":    UniConst = ChrW(" &amp; I1533 &amp;")"</f>
        <v>Case jt128113:    UniConst = ChrW(128113)</v>
      </c>
    </row>
    <row r="1534" spans="1:11" hidden="1">
      <c r="A1534" t="s">
        <v>604</v>
      </c>
      <c r="B1534" t="str">
        <f t="shared" si="140"/>
        <v>1F471 1F3FD 200D 2640 FE0F ; fully-qualified # 👱🏽‍♀️ E4.0 woman: medium skin tone, blond hair</v>
      </c>
      <c r="C1534" t="str">
        <f t="shared" si="141"/>
        <v xml:space="preserve">1F471 1F3FD 200D 2640 FE0F </v>
      </c>
      <c r="D1534">
        <f t="shared" si="142"/>
        <v>27</v>
      </c>
      <c r="E1534" t="str">
        <f t="shared" si="138"/>
        <v xml:space="preserve"> 👱🏽‍♀️ E4.0 woman: medium skin tone, blond hair</v>
      </c>
      <c r="F1534" t="b">
        <f t="shared" si="143"/>
        <v>1</v>
      </c>
      <c r="G1534" t="str">
        <f t="shared" si="139"/>
        <v>1F471</v>
      </c>
      <c r="I1534">
        <f>HEX2DEC(Table1[[#This Row],[utf8]])</f>
        <v>128113</v>
      </c>
      <c r="J1534" t="str">
        <f>_xlfn.UNICHAR(HEX2DEC(Table1[[#This Row],[utf8]]))</f>
        <v>👱</v>
      </c>
      <c r="K1534" s="3" t="str" cm="1">
        <f t="array" ref="K1534">"Case "&amp;wRandomLetter()&amp;wRandomLetter()&amp;I1534&amp;":    UniConst = ChrW(" &amp; I1534 &amp;")"</f>
        <v>Case Vh128113:    UniConst = ChrW(128113)</v>
      </c>
    </row>
    <row r="1535" spans="1:11" hidden="1">
      <c r="A1535" t="s">
        <v>617</v>
      </c>
      <c r="B1535" t="str">
        <f t="shared" si="140"/>
        <v>1F471 1F3FD 200D 2642 ; minimally-qualified # 👱🏽‍♂ E4.0 man: medium skin tone, blond hair</v>
      </c>
      <c r="C1535" t="str">
        <f t="shared" si="141"/>
        <v xml:space="preserve">1F471 1F3FD 200D 2642 </v>
      </c>
      <c r="D1535">
        <f t="shared" si="142"/>
        <v>22</v>
      </c>
      <c r="E1535" t="str">
        <f t="shared" si="138"/>
        <v xml:space="preserve"> 👱🏽‍♂ E4.0 man: medium skin tone, blond hair</v>
      </c>
      <c r="F1535" t="b">
        <f t="shared" si="143"/>
        <v>1</v>
      </c>
      <c r="G1535" t="str">
        <f t="shared" si="139"/>
        <v>1F471</v>
      </c>
      <c r="I1535">
        <f>HEX2DEC(Table1[[#This Row],[utf8]])</f>
        <v>128113</v>
      </c>
      <c r="J1535" t="str">
        <f>_xlfn.UNICHAR(HEX2DEC(Table1[[#This Row],[utf8]]))</f>
        <v>👱</v>
      </c>
      <c r="K1535" s="3" t="str" cm="1">
        <f t="array" ref="K1535">"Case "&amp;wRandomLetter()&amp;wRandomLetter()&amp;I1535&amp;":    UniConst = ChrW(" &amp; I1535 &amp;")"</f>
        <v>Case wZ128113:    UniConst = ChrW(128113)</v>
      </c>
    </row>
    <row r="1536" spans="1:11" hidden="1">
      <c r="A1536" t="s">
        <v>616</v>
      </c>
      <c r="B1536" t="str">
        <f t="shared" si="140"/>
        <v>1F471 1F3FD 200D 2642 FE0F ; fully-qualified # 👱🏽‍♂️ E4.0 man: medium skin tone, blond hair</v>
      </c>
      <c r="C1536" t="str">
        <f t="shared" si="141"/>
        <v xml:space="preserve">1F471 1F3FD 200D 2642 FE0F </v>
      </c>
      <c r="D1536">
        <f t="shared" si="142"/>
        <v>27</v>
      </c>
      <c r="E1536" t="str">
        <f t="shared" si="138"/>
        <v xml:space="preserve"> 👱🏽‍♂️ E4.0 man: medium skin tone, blond hair</v>
      </c>
      <c r="F1536" t="b">
        <f t="shared" si="143"/>
        <v>1</v>
      </c>
      <c r="G1536" t="str">
        <f t="shared" si="139"/>
        <v>1F471</v>
      </c>
      <c r="I1536">
        <f>HEX2DEC(Table1[[#This Row],[utf8]])</f>
        <v>128113</v>
      </c>
      <c r="J1536" t="str">
        <f>_xlfn.UNICHAR(HEX2DEC(Table1[[#This Row],[utf8]]))</f>
        <v>👱</v>
      </c>
      <c r="K1536" s="3" t="str" cm="1">
        <f t="array" ref="K1536">"Case "&amp;wRandomLetter()&amp;wRandomLetter()&amp;I1536&amp;":    UniConst = ChrW(" &amp; I1536 &amp;")"</f>
        <v>Case RE128113:    UniConst = ChrW(128113)</v>
      </c>
    </row>
    <row r="1537" spans="1:11" hidden="1">
      <c r="A1537" t="s">
        <v>482</v>
      </c>
      <c r="B1537" t="str">
        <f t="shared" si="140"/>
        <v>1F471 1F3FE ; fully-qualified # 👱🏾 E1.0 person: medium-dark skin tone, blond hair</v>
      </c>
      <c r="C1537" t="str">
        <f t="shared" si="141"/>
        <v xml:space="preserve">1F471 1F3FE </v>
      </c>
      <c r="D1537">
        <f t="shared" si="142"/>
        <v>12</v>
      </c>
      <c r="E1537" t="str">
        <f t="shared" si="138"/>
        <v xml:space="preserve"> 👱🏾 E1.0 person: medium-dark skin tone, blond hair</v>
      </c>
      <c r="F1537" t="b">
        <f t="shared" si="143"/>
        <v>1</v>
      </c>
      <c r="G1537" t="str">
        <f t="shared" si="139"/>
        <v>1F471</v>
      </c>
      <c r="I1537">
        <f>HEX2DEC(Table1[[#This Row],[utf8]])</f>
        <v>128113</v>
      </c>
      <c r="J1537" t="str">
        <f>_xlfn.UNICHAR(HEX2DEC(Table1[[#This Row],[utf8]]))</f>
        <v>👱</v>
      </c>
      <c r="K1537" s="3" t="str" cm="1">
        <f t="array" ref="K1537">"Case "&amp;wRandomLetter()&amp;wRandomLetter()&amp;I1537&amp;":    UniConst = ChrW(" &amp; I1537 &amp;")"</f>
        <v>Case BY128113:    UniConst = ChrW(128113)</v>
      </c>
    </row>
    <row r="1538" spans="1:11" hidden="1">
      <c r="A1538" t="s">
        <v>607</v>
      </c>
      <c r="B1538" t="str">
        <f t="shared" si="140"/>
        <v>1F471 1F3FE 200D 2640 ; minimally-qualified # 👱🏾‍♀ E4.0 woman: medium-dark skin tone, blond hair</v>
      </c>
      <c r="C1538" t="str">
        <f t="shared" si="141"/>
        <v xml:space="preserve">1F471 1F3FE 200D 2640 </v>
      </c>
      <c r="D1538">
        <f t="shared" si="142"/>
        <v>22</v>
      </c>
      <c r="E1538" t="str">
        <f t="shared" ref="E1538:E1601" si="144">MID(A1538,FIND("#",A1538)+1,256)</f>
        <v xml:space="preserve"> 👱🏾‍♀ E4.0 woman: medium-dark skin tone, blond hair</v>
      </c>
      <c r="F1538" t="b">
        <f t="shared" si="143"/>
        <v>1</v>
      </c>
      <c r="G1538" t="str">
        <f t="shared" ref="G1538:G1601" si="145">LEFT(C1538,(FIND(" ",C1538,1)-1))</f>
        <v>1F471</v>
      </c>
      <c r="I1538">
        <f>HEX2DEC(Table1[[#This Row],[utf8]])</f>
        <v>128113</v>
      </c>
      <c r="J1538" t="str">
        <f>_xlfn.UNICHAR(HEX2DEC(Table1[[#This Row],[utf8]]))</f>
        <v>👱</v>
      </c>
      <c r="K1538" s="3" t="str" cm="1">
        <f t="array" ref="K1538">"Case "&amp;wRandomLetter()&amp;wRandomLetter()&amp;I1538&amp;":    UniConst = ChrW(" &amp; I1538 &amp;")"</f>
        <v>Case to128113:    UniConst = ChrW(128113)</v>
      </c>
    </row>
    <row r="1539" spans="1:11" hidden="1">
      <c r="A1539" t="s">
        <v>606</v>
      </c>
      <c r="B1539" t="str">
        <f t="shared" ref="B1539:B1602" si="146">TRIM(A1539)</f>
        <v>1F471 1F3FE 200D 2640 FE0F ; fully-qualified # 👱🏾‍♀️ E4.0 woman: medium-dark skin tone, blond hair</v>
      </c>
      <c r="C1539" t="str">
        <f t="shared" ref="C1539:C1602" si="147">LEFT(B1539,(FIND(";",B1539,1)-1))</f>
        <v xml:space="preserve">1F471 1F3FE 200D 2640 FE0F </v>
      </c>
      <c r="D1539">
        <f t="shared" ref="D1539:D1602" si="148">LEN(C1539)</f>
        <v>27</v>
      </c>
      <c r="E1539" t="str">
        <f t="shared" si="144"/>
        <v xml:space="preserve"> 👱🏾‍♀️ E4.0 woman: medium-dark skin tone, blond hair</v>
      </c>
      <c r="F1539" t="b">
        <f t="shared" ref="F1539:F1602" si="149">IF(LEFT(C1539,2)="1F",TRUE,FALSE)</f>
        <v>1</v>
      </c>
      <c r="G1539" t="str">
        <f t="shared" si="145"/>
        <v>1F471</v>
      </c>
      <c r="I1539">
        <f>HEX2DEC(Table1[[#This Row],[utf8]])</f>
        <v>128113</v>
      </c>
      <c r="J1539" t="str">
        <f>_xlfn.UNICHAR(HEX2DEC(Table1[[#This Row],[utf8]]))</f>
        <v>👱</v>
      </c>
      <c r="K1539" s="3" t="str" cm="1">
        <f t="array" ref="K1539">"Case "&amp;wRandomLetter()&amp;wRandomLetter()&amp;I1539&amp;":    UniConst = ChrW(" &amp; I1539 &amp;")"</f>
        <v>Case En128113:    UniConst = ChrW(128113)</v>
      </c>
    </row>
    <row r="1540" spans="1:11" hidden="1">
      <c r="A1540" t="s">
        <v>619</v>
      </c>
      <c r="B1540" t="str">
        <f t="shared" si="146"/>
        <v>1F471 1F3FE 200D 2642 ; minimally-qualified # 👱🏾‍♂ E4.0 man: medium-dark skin tone, blond hair</v>
      </c>
      <c r="C1540" t="str">
        <f t="shared" si="147"/>
        <v xml:space="preserve">1F471 1F3FE 200D 2642 </v>
      </c>
      <c r="D1540">
        <f t="shared" si="148"/>
        <v>22</v>
      </c>
      <c r="E1540" t="str">
        <f t="shared" si="144"/>
        <v xml:space="preserve"> 👱🏾‍♂ E4.0 man: medium-dark skin tone, blond hair</v>
      </c>
      <c r="F1540" t="b">
        <f t="shared" si="149"/>
        <v>1</v>
      </c>
      <c r="G1540" t="str">
        <f t="shared" si="145"/>
        <v>1F471</v>
      </c>
      <c r="I1540">
        <f>HEX2DEC(Table1[[#This Row],[utf8]])</f>
        <v>128113</v>
      </c>
      <c r="J1540" t="str">
        <f>_xlfn.UNICHAR(HEX2DEC(Table1[[#This Row],[utf8]]))</f>
        <v>👱</v>
      </c>
      <c r="K1540" s="3" t="str" cm="1">
        <f t="array" ref="K1540">"Case "&amp;wRandomLetter()&amp;wRandomLetter()&amp;I1540&amp;":    UniConst = ChrW(" &amp; I1540 &amp;")"</f>
        <v>Case Uk128113:    UniConst = ChrW(128113)</v>
      </c>
    </row>
    <row r="1541" spans="1:11" hidden="1">
      <c r="A1541" t="s">
        <v>618</v>
      </c>
      <c r="B1541" t="str">
        <f t="shared" si="146"/>
        <v>1F471 1F3FE 200D 2642 FE0F ; fully-qualified # 👱🏾‍♂️ E4.0 man: medium-dark skin tone, blond hair</v>
      </c>
      <c r="C1541" t="str">
        <f t="shared" si="147"/>
        <v xml:space="preserve">1F471 1F3FE 200D 2642 FE0F </v>
      </c>
      <c r="D1541">
        <f t="shared" si="148"/>
        <v>27</v>
      </c>
      <c r="E1541" t="str">
        <f t="shared" si="144"/>
        <v xml:space="preserve"> 👱🏾‍♂️ E4.0 man: medium-dark skin tone, blond hair</v>
      </c>
      <c r="F1541" t="b">
        <f t="shared" si="149"/>
        <v>1</v>
      </c>
      <c r="G1541" t="str">
        <f t="shared" si="145"/>
        <v>1F471</v>
      </c>
      <c r="I1541">
        <f>HEX2DEC(Table1[[#This Row],[utf8]])</f>
        <v>128113</v>
      </c>
      <c r="J1541" t="str">
        <f>_xlfn.UNICHAR(HEX2DEC(Table1[[#This Row],[utf8]]))</f>
        <v>👱</v>
      </c>
      <c r="K1541" s="3" t="str" cm="1">
        <f t="array" ref="K1541">"Case "&amp;wRandomLetter()&amp;wRandomLetter()&amp;I1541&amp;":    UniConst = ChrW(" &amp; I1541 &amp;")"</f>
        <v>Case Qv128113:    UniConst = ChrW(128113)</v>
      </c>
    </row>
    <row r="1542" spans="1:11" hidden="1">
      <c r="A1542" t="s">
        <v>483</v>
      </c>
      <c r="B1542" t="str">
        <f t="shared" si="146"/>
        <v>1F471 1F3FF ; fully-qualified # 👱🏿 E1.0 person: dark skin tone, blond hair</v>
      </c>
      <c r="C1542" t="str">
        <f t="shared" si="147"/>
        <v xml:space="preserve">1F471 1F3FF </v>
      </c>
      <c r="D1542">
        <f t="shared" si="148"/>
        <v>12</v>
      </c>
      <c r="E1542" t="str">
        <f t="shared" si="144"/>
        <v xml:space="preserve"> 👱🏿 E1.0 person: dark skin tone, blond hair</v>
      </c>
      <c r="F1542" t="b">
        <f t="shared" si="149"/>
        <v>1</v>
      </c>
      <c r="G1542" t="str">
        <f t="shared" si="145"/>
        <v>1F471</v>
      </c>
      <c r="I1542">
        <f>HEX2DEC(Table1[[#This Row],[utf8]])</f>
        <v>128113</v>
      </c>
      <c r="J1542" t="str">
        <f>_xlfn.UNICHAR(HEX2DEC(Table1[[#This Row],[utf8]]))</f>
        <v>👱</v>
      </c>
      <c r="K1542" s="3" t="str" cm="1">
        <f t="array" ref="K1542">"Case "&amp;wRandomLetter()&amp;wRandomLetter()&amp;I1542&amp;":    UniConst = ChrW(" &amp; I1542 &amp;")"</f>
        <v>Case Ak128113:    UniConst = ChrW(128113)</v>
      </c>
    </row>
    <row r="1543" spans="1:11" hidden="1">
      <c r="A1543" t="s">
        <v>609</v>
      </c>
      <c r="B1543" t="str">
        <f t="shared" si="146"/>
        <v>1F471 1F3FF 200D 2640 ; minimally-qualified # 👱🏿‍♀ E4.0 woman: dark skin tone, blond hair</v>
      </c>
      <c r="C1543" t="str">
        <f t="shared" si="147"/>
        <v xml:space="preserve">1F471 1F3FF 200D 2640 </v>
      </c>
      <c r="D1543">
        <f t="shared" si="148"/>
        <v>22</v>
      </c>
      <c r="E1543" t="str">
        <f t="shared" si="144"/>
        <v xml:space="preserve"> 👱🏿‍♀ E4.0 woman: dark skin tone, blond hair</v>
      </c>
      <c r="F1543" t="b">
        <f t="shared" si="149"/>
        <v>1</v>
      </c>
      <c r="G1543" t="str">
        <f t="shared" si="145"/>
        <v>1F471</v>
      </c>
      <c r="I1543">
        <f>HEX2DEC(Table1[[#This Row],[utf8]])</f>
        <v>128113</v>
      </c>
      <c r="J1543" t="str">
        <f>_xlfn.UNICHAR(HEX2DEC(Table1[[#This Row],[utf8]]))</f>
        <v>👱</v>
      </c>
      <c r="K1543" s="3" t="str" cm="1">
        <f t="array" ref="K1543">"Case "&amp;wRandomLetter()&amp;wRandomLetter()&amp;I1543&amp;":    UniConst = ChrW(" &amp; I1543 &amp;")"</f>
        <v>Case LY128113:    UniConst = ChrW(128113)</v>
      </c>
    </row>
    <row r="1544" spans="1:11" hidden="1">
      <c r="A1544" t="s">
        <v>608</v>
      </c>
      <c r="B1544" t="str">
        <f t="shared" si="146"/>
        <v>1F471 1F3FF 200D 2640 FE0F ; fully-qualified # 👱🏿‍♀️ E4.0 woman: dark skin tone, blond hair</v>
      </c>
      <c r="C1544" t="str">
        <f t="shared" si="147"/>
        <v xml:space="preserve">1F471 1F3FF 200D 2640 FE0F </v>
      </c>
      <c r="D1544">
        <f t="shared" si="148"/>
        <v>27</v>
      </c>
      <c r="E1544" t="str">
        <f t="shared" si="144"/>
        <v xml:space="preserve"> 👱🏿‍♀️ E4.0 woman: dark skin tone, blond hair</v>
      </c>
      <c r="F1544" t="b">
        <f t="shared" si="149"/>
        <v>1</v>
      </c>
      <c r="G1544" t="str">
        <f t="shared" si="145"/>
        <v>1F471</v>
      </c>
      <c r="I1544">
        <f>HEX2DEC(Table1[[#This Row],[utf8]])</f>
        <v>128113</v>
      </c>
      <c r="J1544" t="str">
        <f>_xlfn.UNICHAR(HEX2DEC(Table1[[#This Row],[utf8]]))</f>
        <v>👱</v>
      </c>
      <c r="K1544" s="3" t="str" cm="1">
        <f t="array" ref="K1544">"Case "&amp;wRandomLetter()&amp;wRandomLetter()&amp;I1544&amp;":    UniConst = ChrW(" &amp; I1544 &amp;")"</f>
        <v>Case cA128113:    UniConst = ChrW(128113)</v>
      </c>
    </row>
    <row r="1545" spans="1:11" hidden="1">
      <c r="A1545" t="s">
        <v>621</v>
      </c>
      <c r="B1545" t="str">
        <f t="shared" si="146"/>
        <v>1F471 1F3FF 200D 2642 ; minimally-qualified # 👱🏿‍♂ E4.0 man: dark skin tone, blond hair</v>
      </c>
      <c r="C1545" t="str">
        <f t="shared" si="147"/>
        <v xml:space="preserve">1F471 1F3FF 200D 2642 </v>
      </c>
      <c r="D1545">
        <f t="shared" si="148"/>
        <v>22</v>
      </c>
      <c r="E1545" t="str">
        <f t="shared" si="144"/>
        <v xml:space="preserve"> 👱🏿‍♂ E4.0 man: dark skin tone, blond hair</v>
      </c>
      <c r="F1545" t="b">
        <f t="shared" si="149"/>
        <v>1</v>
      </c>
      <c r="G1545" t="str">
        <f t="shared" si="145"/>
        <v>1F471</v>
      </c>
      <c r="I1545">
        <f>HEX2DEC(Table1[[#This Row],[utf8]])</f>
        <v>128113</v>
      </c>
      <c r="J1545" t="str">
        <f>_xlfn.UNICHAR(HEX2DEC(Table1[[#This Row],[utf8]]))</f>
        <v>👱</v>
      </c>
      <c r="K1545" s="3" t="str" cm="1">
        <f t="array" ref="K1545">"Case "&amp;wRandomLetter()&amp;wRandomLetter()&amp;I1545&amp;":    UniConst = ChrW(" &amp; I1545 &amp;")"</f>
        <v>Case RW128113:    UniConst = ChrW(128113)</v>
      </c>
    </row>
    <row r="1546" spans="1:11" hidden="1">
      <c r="A1546" t="s">
        <v>620</v>
      </c>
      <c r="B1546" t="str">
        <f t="shared" si="146"/>
        <v>1F471 1F3FF 200D 2642 FE0F ; fully-qualified # 👱🏿‍♂️ E4.0 man: dark skin tone, blond hair</v>
      </c>
      <c r="C1546" t="str">
        <f t="shared" si="147"/>
        <v xml:space="preserve">1F471 1F3FF 200D 2642 FE0F </v>
      </c>
      <c r="D1546">
        <f t="shared" si="148"/>
        <v>27</v>
      </c>
      <c r="E1546" t="str">
        <f t="shared" si="144"/>
        <v xml:space="preserve"> 👱🏿‍♂️ E4.0 man: dark skin tone, blond hair</v>
      </c>
      <c r="F1546" t="b">
        <f t="shared" si="149"/>
        <v>1</v>
      </c>
      <c r="G1546" t="str">
        <f t="shared" si="145"/>
        <v>1F471</v>
      </c>
      <c r="I1546">
        <f>HEX2DEC(Table1[[#This Row],[utf8]])</f>
        <v>128113</v>
      </c>
      <c r="J1546" t="str">
        <f>_xlfn.UNICHAR(HEX2DEC(Table1[[#This Row],[utf8]]))</f>
        <v>👱</v>
      </c>
      <c r="K1546" s="3" t="str" cm="1">
        <f t="array" ref="K1546">"Case "&amp;wRandomLetter()&amp;wRandomLetter()&amp;I1546&amp;":    UniConst = ChrW(" &amp; I1546 &amp;")"</f>
        <v>Case eh128113:    UniConst = ChrW(128113)</v>
      </c>
    </row>
    <row r="1547" spans="1:11" hidden="1">
      <c r="A1547" t="s">
        <v>599</v>
      </c>
      <c r="B1547" t="str">
        <f t="shared" si="146"/>
        <v>1F471 200D 2640 ; minimally-qualified # 👱‍♀ E4.0 woman: blond hair</v>
      </c>
      <c r="C1547" t="str">
        <f t="shared" si="147"/>
        <v xml:space="preserve">1F471 200D 2640 </v>
      </c>
      <c r="D1547">
        <f t="shared" si="148"/>
        <v>16</v>
      </c>
      <c r="E1547" t="str">
        <f t="shared" si="144"/>
        <v xml:space="preserve"> 👱‍♀ E4.0 woman: blond hair</v>
      </c>
      <c r="F1547" t="b">
        <f t="shared" si="149"/>
        <v>1</v>
      </c>
      <c r="G1547" t="str">
        <f t="shared" si="145"/>
        <v>1F471</v>
      </c>
      <c r="I1547">
        <f>HEX2DEC(Table1[[#This Row],[utf8]])</f>
        <v>128113</v>
      </c>
      <c r="J1547" t="str">
        <f>_xlfn.UNICHAR(HEX2DEC(Table1[[#This Row],[utf8]]))</f>
        <v>👱</v>
      </c>
      <c r="K1547" s="3" t="str" cm="1">
        <f t="array" ref="K1547">"Case "&amp;wRandomLetter()&amp;wRandomLetter()&amp;I1547&amp;":    UniConst = ChrW(" &amp; I1547 &amp;")"</f>
        <v>Case Vg128113:    UniConst = ChrW(128113)</v>
      </c>
    </row>
    <row r="1548" spans="1:11" hidden="1">
      <c r="A1548" t="s">
        <v>598</v>
      </c>
      <c r="B1548" t="str">
        <f t="shared" si="146"/>
        <v>1F471 200D 2640 FE0F ; fully-qualified # 👱‍♀️ E4.0 woman: blond hair</v>
      </c>
      <c r="C1548" t="str">
        <f t="shared" si="147"/>
        <v xml:space="preserve">1F471 200D 2640 FE0F </v>
      </c>
      <c r="D1548">
        <f t="shared" si="148"/>
        <v>21</v>
      </c>
      <c r="E1548" t="str">
        <f t="shared" si="144"/>
        <v xml:space="preserve"> 👱‍♀️ E4.0 woman: blond hair</v>
      </c>
      <c r="F1548" t="b">
        <f t="shared" si="149"/>
        <v>1</v>
      </c>
      <c r="G1548" t="str">
        <f t="shared" si="145"/>
        <v>1F471</v>
      </c>
      <c r="I1548">
        <f>HEX2DEC(Table1[[#This Row],[utf8]])</f>
        <v>128113</v>
      </c>
      <c r="J1548" t="str">
        <f>_xlfn.UNICHAR(HEX2DEC(Table1[[#This Row],[utf8]]))</f>
        <v>👱</v>
      </c>
      <c r="K1548" s="3" t="str" cm="1">
        <f t="array" ref="K1548">"Case "&amp;wRandomLetter()&amp;wRandomLetter()&amp;I1548&amp;":    UniConst = ChrW(" &amp; I1548 &amp;")"</f>
        <v>Case AA128113:    UniConst = ChrW(128113)</v>
      </c>
    </row>
    <row r="1549" spans="1:11" hidden="1">
      <c r="A1549" t="s">
        <v>611</v>
      </c>
      <c r="B1549" t="str">
        <f t="shared" si="146"/>
        <v>1F471 200D 2642 ; minimally-qualified # 👱‍♂ E4.0 man: blond hair</v>
      </c>
      <c r="C1549" t="str">
        <f t="shared" si="147"/>
        <v xml:space="preserve">1F471 200D 2642 </v>
      </c>
      <c r="D1549">
        <f t="shared" si="148"/>
        <v>16</v>
      </c>
      <c r="E1549" t="str">
        <f t="shared" si="144"/>
        <v xml:space="preserve"> 👱‍♂ E4.0 man: blond hair</v>
      </c>
      <c r="F1549" t="b">
        <f t="shared" si="149"/>
        <v>1</v>
      </c>
      <c r="G1549" t="str">
        <f t="shared" si="145"/>
        <v>1F471</v>
      </c>
      <c r="I1549">
        <f>HEX2DEC(Table1[[#This Row],[utf8]])</f>
        <v>128113</v>
      </c>
      <c r="J1549" t="str">
        <f>_xlfn.UNICHAR(HEX2DEC(Table1[[#This Row],[utf8]]))</f>
        <v>👱</v>
      </c>
      <c r="K1549" s="3" t="str" cm="1">
        <f t="array" ref="K1549">"Case "&amp;wRandomLetter()&amp;wRandomLetter()&amp;I1549&amp;":    UniConst = ChrW(" &amp; I1549 &amp;")"</f>
        <v>Case AA128113:    UniConst = ChrW(128113)</v>
      </c>
    </row>
    <row r="1550" spans="1:11" hidden="1">
      <c r="A1550" t="s">
        <v>610</v>
      </c>
      <c r="B1550" t="str">
        <f t="shared" si="146"/>
        <v>1F471 200D 2642 FE0F ; fully-qualified # 👱‍♂️ E4.0 man: blond hair</v>
      </c>
      <c r="C1550" t="str">
        <f t="shared" si="147"/>
        <v xml:space="preserve">1F471 200D 2642 FE0F </v>
      </c>
      <c r="D1550">
        <f t="shared" si="148"/>
        <v>21</v>
      </c>
      <c r="E1550" t="str">
        <f t="shared" si="144"/>
        <v xml:space="preserve"> 👱‍♂️ E4.0 man: blond hair</v>
      </c>
      <c r="F1550" t="b">
        <f t="shared" si="149"/>
        <v>1</v>
      </c>
      <c r="G1550" t="str">
        <f t="shared" si="145"/>
        <v>1F471</v>
      </c>
      <c r="I1550">
        <f>HEX2DEC(Table1[[#This Row],[utf8]])</f>
        <v>128113</v>
      </c>
      <c r="J1550" t="str">
        <f>_xlfn.UNICHAR(HEX2DEC(Table1[[#This Row],[utf8]]))</f>
        <v>👱</v>
      </c>
      <c r="K1550" s="3" t="str" cm="1">
        <f t="array" ref="K1550">"Case "&amp;wRandomLetter()&amp;wRandomLetter()&amp;I1550&amp;":    UniConst = ChrW(" &amp; I1550 &amp;")"</f>
        <v>Case mZ128113:    UniConst = ChrW(128113)</v>
      </c>
    </row>
    <row r="1551" spans="1:11" hidden="1">
      <c r="A1551" t="s">
        <v>1457</v>
      </c>
      <c r="B1551" t="str">
        <f t="shared" si="146"/>
        <v>1F472 ; fully-qualified # 👲 E0.6 person with skullcap</v>
      </c>
      <c r="C1551" t="str">
        <f t="shared" si="147"/>
        <v xml:space="preserve">1F472 </v>
      </c>
      <c r="D1551">
        <f t="shared" si="148"/>
        <v>6</v>
      </c>
      <c r="E1551" t="str">
        <f t="shared" si="144"/>
        <v xml:space="preserve"> 👲 E0.6 person with skullcap</v>
      </c>
      <c r="F1551" t="b">
        <f t="shared" si="149"/>
        <v>1</v>
      </c>
      <c r="G1551" t="str">
        <f t="shared" si="145"/>
        <v>1F472</v>
      </c>
      <c r="I1551">
        <f>HEX2DEC(Table1[[#This Row],[utf8]])</f>
        <v>128114</v>
      </c>
      <c r="J1551" t="str">
        <f>_xlfn.UNICHAR(HEX2DEC(Table1[[#This Row],[utf8]]))</f>
        <v>👲</v>
      </c>
      <c r="K1551" s="3" t="str" cm="1">
        <f t="array" ref="K1551">"Case "&amp;wRandomLetter()&amp;wRandomLetter()&amp;I1551&amp;":    UniConst = ChrW(" &amp; I1551 &amp;")"</f>
        <v>Case sh128114:    UniConst = ChrW(128114)</v>
      </c>
    </row>
    <row r="1552" spans="1:11" hidden="1">
      <c r="A1552" t="s">
        <v>1458</v>
      </c>
      <c r="B1552" t="str">
        <f t="shared" si="146"/>
        <v>1F472 1F3FB ; fully-qualified # 👲🏻 E1.0 person with skullcap: light skin tone</v>
      </c>
      <c r="C1552" t="str">
        <f t="shared" si="147"/>
        <v xml:space="preserve">1F472 1F3FB </v>
      </c>
      <c r="D1552">
        <f t="shared" si="148"/>
        <v>12</v>
      </c>
      <c r="E1552" t="str">
        <f t="shared" si="144"/>
        <v xml:space="preserve"> 👲🏻 E1.0 person with skullcap: light skin tone</v>
      </c>
      <c r="F1552" t="b">
        <f t="shared" si="149"/>
        <v>1</v>
      </c>
      <c r="G1552" t="str">
        <f t="shared" si="145"/>
        <v>1F472</v>
      </c>
      <c r="I1552">
        <f>HEX2DEC(Table1[[#This Row],[utf8]])</f>
        <v>128114</v>
      </c>
      <c r="J1552" t="str">
        <f>_xlfn.UNICHAR(HEX2DEC(Table1[[#This Row],[utf8]]))</f>
        <v>👲</v>
      </c>
      <c r="K1552" s="3" t="str" cm="1">
        <f t="array" ref="K1552">"Case "&amp;wRandomLetter()&amp;wRandomLetter()&amp;I1552&amp;":    UniConst = ChrW(" &amp; I1552 &amp;")"</f>
        <v>Case jm128114:    UniConst = ChrW(128114)</v>
      </c>
    </row>
    <row r="1553" spans="1:11" hidden="1">
      <c r="A1553" t="s">
        <v>1459</v>
      </c>
      <c r="B1553" t="str">
        <f t="shared" si="146"/>
        <v>1F472 1F3FC ; fully-qualified # 👲🏼 E1.0 person with skullcap: medium-light skin tone</v>
      </c>
      <c r="C1553" t="str">
        <f t="shared" si="147"/>
        <v xml:space="preserve">1F472 1F3FC </v>
      </c>
      <c r="D1553">
        <f t="shared" si="148"/>
        <v>12</v>
      </c>
      <c r="E1553" t="str">
        <f t="shared" si="144"/>
        <v xml:space="preserve"> 👲🏼 E1.0 person with skullcap: medium-light skin tone</v>
      </c>
      <c r="F1553" t="b">
        <f t="shared" si="149"/>
        <v>1</v>
      </c>
      <c r="G1553" t="str">
        <f t="shared" si="145"/>
        <v>1F472</v>
      </c>
      <c r="I1553">
        <f>HEX2DEC(Table1[[#This Row],[utf8]])</f>
        <v>128114</v>
      </c>
      <c r="J1553" t="str">
        <f>_xlfn.UNICHAR(HEX2DEC(Table1[[#This Row],[utf8]]))</f>
        <v>👲</v>
      </c>
      <c r="K1553" s="3" t="str" cm="1">
        <f t="array" ref="K1553">"Case "&amp;wRandomLetter()&amp;wRandomLetter()&amp;I1553&amp;":    UniConst = ChrW(" &amp; I1553 &amp;")"</f>
        <v>Case mr128114:    UniConst = ChrW(128114)</v>
      </c>
    </row>
    <row r="1554" spans="1:11" hidden="1">
      <c r="A1554" t="s">
        <v>1460</v>
      </c>
      <c r="B1554" t="str">
        <f t="shared" si="146"/>
        <v>1F472 1F3FD ; fully-qualified # 👲🏽 E1.0 person with skullcap: medium skin tone</v>
      </c>
      <c r="C1554" t="str">
        <f t="shared" si="147"/>
        <v xml:space="preserve">1F472 1F3FD </v>
      </c>
      <c r="D1554">
        <f t="shared" si="148"/>
        <v>12</v>
      </c>
      <c r="E1554" t="str">
        <f t="shared" si="144"/>
        <v xml:space="preserve"> 👲🏽 E1.0 person with skullcap: medium skin tone</v>
      </c>
      <c r="F1554" t="b">
        <f t="shared" si="149"/>
        <v>1</v>
      </c>
      <c r="G1554" t="str">
        <f t="shared" si="145"/>
        <v>1F472</v>
      </c>
      <c r="I1554">
        <f>HEX2DEC(Table1[[#This Row],[utf8]])</f>
        <v>128114</v>
      </c>
      <c r="J1554" t="str">
        <f>_xlfn.UNICHAR(HEX2DEC(Table1[[#This Row],[utf8]]))</f>
        <v>👲</v>
      </c>
      <c r="K1554" s="3" t="str" cm="1">
        <f t="array" ref="K1554">"Case "&amp;wRandomLetter()&amp;wRandomLetter()&amp;I1554&amp;":    UniConst = ChrW(" &amp; I1554 &amp;")"</f>
        <v>Case iL128114:    UniConst = ChrW(128114)</v>
      </c>
    </row>
    <row r="1555" spans="1:11" hidden="1">
      <c r="A1555" t="s">
        <v>1461</v>
      </c>
      <c r="B1555" t="str">
        <f t="shared" si="146"/>
        <v>1F472 1F3FE ; fully-qualified # 👲🏾 E1.0 person with skullcap: medium-dark skin tone</v>
      </c>
      <c r="C1555" t="str">
        <f t="shared" si="147"/>
        <v xml:space="preserve">1F472 1F3FE </v>
      </c>
      <c r="D1555">
        <f t="shared" si="148"/>
        <v>12</v>
      </c>
      <c r="E1555" t="str">
        <f t="shared" si="144"/>
        <v xml:space="preserve"> 👲🏾 E1.0 person with skullcap: medium-dark skin tone</v>
      </c>
      <c r="F1555" t="b">
        <f t="shared" si="149"/>
        <v>1</v>
      </c>
      <c r="G1555" t="str">
        <f t="shared" si="145"/>
        <v>1F472</v>
      </c>
      <c r="I1555">
        <f>HEX2DEC(Table1[[#This Row],[utf8]])</f>
        <v>128114</v>
      </c>
      <c r="J1555" t="str">
        <f>_xlfn.UNICHAR(HEX2DEC(Table1[[#This Row],[utf8]]))</f>
        <v>👲</v>
      </c>
      <c r="K1555" s="3" t="str" cm="1">
        <f t="array" ref="K1555">"Case "&amp;wRandomLetter()&amp;wRandomLetter()&amp;I1555&amp;":    UniConst = ChrW(" &amp; I1555 &amp;")"</f>
        <v>Case Xr128114:    UniConst = ChrW(128114)</v>
      </c>
    </row>
    <row r="1556" spans="1:11" hidden="1">
      <c r="A1556" t="s">
        <v>1462</v>
      </c>
      <c r="B1556" t="str">
        <f t="shared" si="146"/>
        <v>1F472 1F3FF ; fully-qualified # 👲🏿 E1.0 person with skullcap: dark skin tone</v>
      </c>
      <c r="C1556" t="str">
        <f t="shared" si="147"/>
        <v xml:space="preserve">1F472 1F3FF </v>
      </c>
      <c r="D1556">
        <f t="shared" si="148"/>
        <v>12</v>
      </c>
      <c r="E1556" t="str">
        <f t="shared" si="144"/>
        <v xml:space="preserve"> 👲🏿 E1.0 person with skullcap: dark skin tone</v>
      </c>
      <c r="F1556" t="b">
        <f t="shared" si="149"/>
        <v>1</v>
      </c>
      <c r="G1556" t="str">
        <f t="shared" si="145"/>
        <v>1F472</v>
      </c>
      <c r="I1556">
        <f>HEX2DEC(Table1[[#This Row],[utf8]])</f>
        <v>128114</v>
      </c>
      <c r="J1556" t="str">
        <f>_xlfn.UNICHAR(HEX2DEC(Table1[[#This Row],[utf8]]))</f>
        <v>👲</v>
      </c>
      <c r="K1556" s="3" t="str" cm="1">
        <f t="array" ref="K1556">"Case "&amp;wRandomLetter()&amp;wRandomLetter()&amp;I1556&amp;":    UniConst = ChrW(" &amp; I1556 &amp;")"</f>
        <v>Case ck128114:    UniConst = ChrW(128114)</v>
      </c>
    </row>
    <row r="1557" spans="1:11" hidden="1">
      <c r="A1557" t="s">
        <v>1427</v>
      </c>
      <c r="B1557" t="str">
        <f t="shared" si="146"/>
        <v>1F473 ; fully-qualified # 👳 E0.6 person wearing turban</v>
      </c>
      <c r="C1557" t="str">
        <f t="shared" si="147"/>
        <v xml:space="preserve">1F473 </v>
      </c>
      <c r="D1557">
        <f t="shared" si="148"/>
        <v>6</v>
      </c>
      <c r="E1557" t="str">
        <f t="shared" si="144"/>
        <v xml:space="preserve"> 👳 E0.6 person wearing turban</v>
      </c>
      <c r="F1557" t="b">
        <f t="shared" si="149"/>
        <v>1</v>
      </c>
      <c r="G1557" t="str">
        <f t="shared" si="145"/>
        <v>1F473</v>
      </c>
      <c r="I1557">
        <f>HEX2DEC(Table1[[#This Row],[utf8]])</f>
        <v>128115</v>
      </c>
      <c r="J1557" t="str">
        <f>_xlfn.UNICHAR(HEX2DEC(Table1[[#This Row],[utf8]]))</f>
        <v>👳</v>
      </c>
      <c r="K1557" s="3" t="str" cm="1">
        <f t="array" ref="K1557">"Case "&amp;wRandomLetter()&amp;wRandomLetter()&amp;I1557&amp;":    UniConst = ChrW(" &amp; I1557 &amp;")"</f>
        <v>Case ac128115:    UniConst = ChrW(128115)</v>
      </c>
    </row>
    <row r="1558" spans="1:11" hidden="1">
      <c r="A1558" t="s">
        <v>1428</v>
      </c>
      <c r="B1558" t="str">
        <f t="shared" si="146"/>
        <v>1F473 1F3FB ; fully-qualified # 👳🏻 E1.0 person wearing turban: light skin tone</v>
      </c>
      <c r="C1558" t="str">
        <f t="shared" si="147"/>
        <v xml:space="preserve">1F473 1F3FB </v>
      </c>
      <c r="D1558">
        <f t="shared" si="148"/>
        <v>12</v>
      </c>
      <c r="E1558" t="str">
        <f t="shared" si="144"/>
        <v xml:space="preserve"> 👳🏻 E1.0 person wearing turban: light skin tone</v>
      </c>
      <c r="F1558" t="b">
        <f t="shared" si="149"/>
        <v>1</v>
      </c>
      <c r="G1558" t="str">
        <f t="shared" si="145"/>
        <v>1F473</v>
      </c>
      <c r="I1558">
        <f>HEX2DEC(Table1[[#This Row],[utf8]])</f>
        <v>128115</v>
      </c>
      <c r="J1558" t="str">
        <f>_xlfn.UNICHAR(HEX2DEC(Table1[[#This Row],[utf8]]))</f>
        <v>👳</v>
      </c>
      <c r="K1558" s="3" t="str" cm="1">
        <f t="array" ref="K1558">"Case "&amp;wRandomLetter()&amp;wRandomLetter()&amp;I1558&amp;":    UniConst = ChrW(" &amp; I1558 &amp;")"</f>
        <v>Case jt128115:    UniConst = ChrW(128115)</v>
      </c>
    </row>
    <row r="1559" spans="1:11" hidden="1">
      <c r="A1559" t="s">
        <v>1448</v>
      </c>
      <c r="B1559" t="str">
        <f t="shared" si="146"/>
        <v>1F473 1F3FB 200D 2640 ; minimally-qualified # 👳🏻‍♀ E4.0 woman wearing turban: light skin tone</v>
      </c>
      <c r="C1559" t="str">
        <f t="shared" si="147"/>
        <v xml:space="preserve">1F473 1F3FB 200D 2640 </v>
      </c>
      <c r="D1559">
        <f t="shared" si="148"/>
        <v>22</v>
      </c>
      <c r="E1559" t="str">
        <f t="shared" si="144"/>
        <v xml:space="preserve"> 👳🏻‍♀ E4.0 woman wearing turban: light skin tone</v>
      </c>
      <c r="F1559" t="b">
        <f t="shared" si="149"/>
        <v>1</v>
      </c>
      <c r="G1559" t="str">
        <f t="shared" si="145"/>
        <v>1F473</v>
      </c>
      <c r="I1559">
        <f>HEX2DEC(Table1[[#This Row],[utf8]])</f>
        <v>128115</v>
      </c>
      <c r="J1559" t="str">
        <f>_xlfn.UNICHAR(HEX2DEC(Table1[[#This Row],[utf8]]))</f>
        <v>👳</v>
      </c>
      <c r="K1559" s="3" t="str" cm="1">
        <f t="array" ref="K1559">"Case "&amp;wRandomLetter()&amp;wRandomLetter()&amp;I1559&amp;":    UniConst = ChrW(" &amp; I1559 &amp;")"</f>
        <v>Case LZ128115:    UniConst = ChrW(128115)</v>
      </c>
    </row>
    <row r="1560" spans="1:11" hidden="1">
      <c r="A1560" t="s">
        <v>1447</v>
      </c>
      <c r="B1560" t="str">
        <f t="shared" si="146"/>
        <v>1F473 1F3FB 200D 2640 FE0F ; fully-qualified # 👳🏻‍♀️ E4.0 woman wearing turban: light skin tone</v>
      </c>
      <c r="C1560" t="str">
        <f t="shared" si="147"/>
        <v xml:space="preserve">1F473 1F3FB 200D 2640 FE0F </v>
      </c>
      <c r="D1560">
        <f t="shared" si="148"/>
        <v>27</v>
      </c>
      <c r="E1560" t="str">
        <f t="shared" si="144"/>
        <v xml:space="preserve"> 👳🏻‍♀️ E4.0 woman wearing turban: light skin tone</v>
      </c>
      <c r="F1560" t="b">
        <f t="shared" si="149"/>
        <v>1</v>
      </c>
      <c r="G1560" t="str">
        <f t="shared" si="145"/>
        <v>1F473</v>
      </c>
      <c r="I1560">
        <f>HEX2DEC(Table1[[#This Row],[utf8]])</f>
        <v>128115</v>
      </c>
      <c r="J1560" t="str">
        <f>_xlfn.UNICHAR(HEX2DEC(Table1[[#This Row],[utf8]]))</f>
        <v>👳</v>
      </c>
      <c r="K1560" s="3" t="str" cm="1">
        <f t="array" ref="K1560">"Case "&amp;wRandomLetter()&amp;wRandomLetter()&amp;I1560&amp;":    UniConst = ChrW(" &amp; I1560 &amp;")"</f>
        <v>Case QK128115:    UniConst = ChrW(128115)</v>
      </c>
    </row>
    <row r="1561" spans="1:11" hidden="1">
      <c r="A1561" t="s">
        <v>1436</v>
      </c>
      <c r="B1561" t="str">
        <f t="shared" si="146"/>
        <v>1F473 1F3FB 200D 2642 ; minimally-qualified # 👳🏻‍♂ E4.0 man wearing turban: light skin tone</v>
      </c>
      <c r="C1561" t="str">
        <f t="shared" si="147"/>
        <v xml:space="preserve">1F473 1F3FB 200D 2642 </v>
      </c>
      <c r="D1561">
        <f t="shared" si="148"/>
        <v>22</v>
      </c>
      <c r="E1561" t="str">
        <f t="shared" si="144"/>
        <v xml:space="preserve"> 👳🏻‍♂ E4.0 man wearing turban: light skin tone</v>
      </c>
      <c r="F1561" t="b">
        <f t="shared" si="149"/>
        <v>1</v>
      </c>
      <c r="G1561" t="str">
        <f t="shared" si="145"/>
        <v>1F473</v>
      </c>
      <c r="I1561">
        <f>HEX2DEC(Table1[[#This Row],[utf8]])</f>
        <v>128115</v>
      </c>
      <c r="J1561" t="str">
        <f>_xlfn.UNICHAR(HEX2DEC(Table1[[#This Row],[utf8]]))</f>
        <v>👳</v>
      </c>
      <c r="K1561" s="3" t="str" cm="1">
        <f t="array" ref="K1561">"Case "&amp;wRandomLetter()&amp;wRandomLetter()&amp;I1561&amp;":    UniConst = ChrW(" &amp; I1561 &amp;")"</f>
        <v>Case AP128115:    UniConst = ChrW(128115)</v>
      </c>
    </row>
    <row r="1562" spans="1:11" hidden="1">
      <c r="A1562" t="s">
        <v>1435</v>
      </c>
      <c r="B1562" t="str">
        <f t="shared" si="146"/>
        <v>1F473 1F3FB 200D 2642 FE0F ; fully-qualified # 👳🏻‍♂️ E4.0 man wearing turban: light skin tone</v>
      </c>
      <c r="C1562" t="str">
        <f t="shared" si="147"/>
        <v xml:space="preserve">1F473 1F3FB 200D 2642 FE0F </v>
      </c>
      <c r="D1562">
        <f t="shared" si="148"/>
        <v>27</v>
      </c>
      <c r="E1562" t="str">
        <f t="shared" si="144"/>
        <v xml:space="preserve"> 👳🏻‍♂️ E4.0 man wearing turban: light skin tone</v>
      </c>
      <c r="F1562" t="b">
        <f t="shared" si="149"/>
        <v>1</v>
      </c>
      <c r="G1562" t="str">
        <f t="shared" si="145"/>
        <v>1F473</v>
      </c>
      <c r="I1562">
        <f>HEX2DEC(Table1[[#This Row],[utf8]])</f>
        <v>128115</v>
      </c>
      <c r="J1562" t="str">
        <f>_xlfn.UNICHAR(HEX2DEC(Table1[[#This Row],[utf8]]))</f>
        <v>👳</v>
      </c>
      <c r="K1562" s="3" t="str" cm="1">
        <f t="array" ref="K1562">"Case "&amp;wRandomLetter()&amp;wRandomLetter()&amp;I1562&amp;":    UniConst = ChrW(" &amp; I1562 &amp;")"</f>
        <v>Case gj128115:    UniConst = ChrW(128115)</v>
      </c>
    </row>
    <row r="1563" spans="1:11" hidden="1">
      <c r="A1563" t="s">
        <v>1429</v>
      </c>
      <c r="B1563" t="str">
        <f t="shared" si="146"/>
        <v>1F473 1F3FC ; fully-qualified # 👳🏼 E1.0 person wearing turban: medium-light skin tone</v>
      </c>
      <c r="C1563" t="str">
        <f t="shared" si="147"/>
        <v xml:space="preserve">1F473 1F3FC </v>
      </c>
      <c r="D1563">
        <f t="shared" si="148"/>
        <v>12</v>
      </c>
      <c r="E1563" t="str">
        <f t="shared" si="144"/>
        <v xml:space="preserve"> 👳🏼 E1.0 person wearing turban: medium-light skin tone</v>
      </c>
      <c r="F1563" t="b">
        <f t="shared" si="149"/>
        <v>1</v>
      </c>
      <c r="G1563" t="str">
        <f t="shared" si="145"/>
        <v>1F473</v>
      </c>
      <c r="I1563">
        <f>HEX2DEC(Table1[[#This Row],[utf8]])</f>
        <v>128115</v>
      </c>
      <c r="J1563" t="str">
        <f>_xlfn.UNICHAR(HEX2DEC(Table1[[#This Row],[utf8]]))</f>
        <v>👳</v>
      </c>
      <c r="K1563" s="3" t="str" cm="1">
        <f t="array" ref="K1563">"Case "&amp;wRandomLetter()&amp;wRandomLetter()&amp;I1563&amp;":    UniConst = ChrW(" &amp; I1563 &amp;")"</f>
        <v>Case vN128115:    UniConst = ChrW(128115)</v>
      </c>
    </row>
    <row r="1564" spans="1:11" hidden="1">
      <c r="A1564" t="s">
        <v>1450</v>
      </c>
      <c r="B1564" t="str">
        <f t="shared" si="146"/>
        <v>1F473 1F3FC 200D 2640 ; minimally-qualified # 👳🏼‍♀ E4.0 woman wearing turban: medium-light skin tone</v>
      </c>
      <c r="C1564" t="str">
        <f t="shared" si="147"/>
        <v xml:space="preserve">1F473 1F3FC 200D 2640 </v>
      </c>
      <c r="D1564">
        <f t="shared" si="148"/>
        <v>22</v>
      </c>
      <c r="E1564" t="str">
        <f t="shared" si="144"/>
        <v xml:space="preserve"> 👳🏼‍♀ E4.0 woman wearing turban: medium-light skin tone</v>
      </c>
      <c r="F1564" t="b">
        <f t="shared" si="149"/>
        <v>1</v>
      </c>
      <c r="G1564" t="str">
        <f t="shared" si="145"/>
        <v>1F473</v>
      </c>
      <c r="I1564">
        <f>HEX2DEC(Table1[[#This Row],[utf8]])</f>
        <v>128115</v>
      </c>
      <c r="J1564" t="str">
        <f>_xlfn.UNICHAR(HEX2DEC(Table1[[#This Row],[utf8]]))</f>
        <v>👳</v>
      </c>
      <c r="K1564" s="3" t="str" cm="1">
        <f t="array" ref="K1564">"Case "&amp;wRandomLetter()&amp;wRandomLetter()&amp;I1564&amp;":    UniConst = ChrW(" &amp; I1564 &amp;")"</f>
        <v>Case Sa128115:    UniConst = ChrW(128115)</v>
      </c>
    </row>
    <row r="1565" spans="1:11" hidden="1">
      <c r="A1565" t="s">
        <v>1449</v>
      </c>
      <c r="B1565" t="str">
        <f t="shared" si="146"/>
        <v>1F473 1F3FC 200D 2640 FE0F ; fully-qualified # 👳🏼‍♀️ E4.0 woman wearing turban: medium-light skin tone</v>
      </c>
      <c r="C1565" t="str">
        <f t="shared" si="147"/>
        <v xml:space="preserve">1F473 1F3FC 200D 2640 FE0F </v>
      </c>
      <c r="D1565">
        <f t="shared" si="148"/>
        <v>27</v>
      </c>
      <c r="E1565" t="str">
        <f t="shared" si="144"/>
        <v xml:space="preserve"> 👳🏼‍♀️ E4.0 woman wearing turban: medium-light skin tone</v>
      </c>
      <c r="F1565" t="b">
        <f t="shared" si="149"/>
        <v>1</v>
      </c>
      <c r="G1565" t="str">
        <f t="shared" si="145"/>
        <v>1F473</v>
      </c>
      <c r="I1565">
        <f>HEX2DEC(Table1[[#This Row],[utf8]])</f>
        <v>128115</v>
      </c>
      <c r="J1565" t="str">
        <f>_xlfn.UNICHAR(HEX2DEC(Table1[[#This Row],[utf8]]))</f>
        <v>👳</v>
      </c>
      <c r="K1565" s="3" t="str" cm="1">
        <f t="array" ref="K1565">"Case "&amp;wRandomLetter()&amp;wRandomLetter()&amp;I1565&amp;":    UniConst = ChrW(" &amp; I1565 &amp;")"</f>
        <v>Case tF128115:    UniConst = ChrW(128115)</v>
      </c>
    </row>
    <row r="1566" spans="1:11" hidden="1">
      <c r="A1566" t="s">
        <v>1438</v>
      </c>
      <c r="B1566" t="str">
        <f t="shared" si="146"/>
        <v>1F473 1F3FC 200D 2642 ; minimally-qualified # 👳🏼‍♂ E4.0 man wearing turban: medium-light skin tone</v>
      </c>
      <c r="C1566" t="str">
        <f t="shared" si="147"/>
        <v xml:space="preserve">1F473 1F3FC 200D 2642 </v>
      </c>
      <c r="D1566">
        <f t="shared" si="148"/>
        <v>22</v>
      </c>
      <c r="E1566" t="str">
        <f t="shared" si="144"/>
        <v xml:space="preserve"> 👳🏼‍♂ E4.0 man wearing turban: medium-light skin tone</v>
      </c>
      <c r="F1566" t="b">
        <f t="shared" si="149"/>
        <v>1</v>
      </c>
      <c r="G1566" t="str">
        <f t="shared" si="145"/>
        <v>1F473</v>
      </c>
      <c r="I1566">
        <f>HEX2DEC(Table1[[#This Row],[utf8]])</f>
        <v>128115</v>
      </c>
      <c r="J1566" t="str">
        <f>_xlfn.UNICHAR(HEX2DEC(Table1[[#This Row],[utf8]]))</f>
        <v>👳</v>
      </c>
      <c r="K1566" s="3" t="str" cm="1">
        <f t="array" ref="K1566">"Case "&amp;wRandomLetter()&amp;wRandomLetter()&amp;I1566&amp;":    UniConst = ChrW(" &amp; I1566 &amp;")"</f>
        <v>Case GF128115:    UniConst = ChrW(128115)</v>
      </c>
    </row>
    <row r="1567" spans="1:11" hidden="1">
      <c r="A1567" t="s">
        <v>1437</v>
      </c>
      <c r="B1567" t="str">
        <f t="shared" si="146"/>
        <v>1F473 1F3FC 200D 2642 FE0F ; fully-qualified # 👳🏼‍♂️ E4.0 man wearing turban: medium-light skin tone</v>
      </c>
      <c r="C1567" t="str">
        <f t="shared" si="147"/>
        <v xml:space="preserve">1F473 1F3FC 200D 2642 FE0F </v>
      </c>
      <c r="D1567">
        <f t="shared" si="148"/>
        <v>27</v>
      </c>
      <c r="E1567" t="str">
        <f t="shared" si="144"/>
        <v xml:space="preserve"> 👳🏼‍♂️ E4.0 man wearing turban: medium-light skin tone</v>
      </c>
      <c r="F1567" t="b">
        <f t="shared" si="149"/>
        <v>1</v>
      </c>
      <c r="G1567" t="str">
        <f t="shared" si="145"/>
        <v>1F473</v>
      </c>
      <c r="I1567">
        <f>HEX2DEC(Table1[[#This Row],[utf8]])</f>
        <v>128115</v>
      </c>
      <c r="J1567" t="str">
        <f>_xlfn.UNICHAR(HEX2DEC(Table1[[#This Row],[utf8]]))</f>
        <v>👳</v>
      </c>
      <c r="K1567" s="3" t="str" cm="1">
        <f t="array" ref="K1567">"Case "&amp;wRandomLetter()&amp;wRandomLetter()&amp;I1567&amp;":    UniConst = ChrW(" &amp; I1567 &amp;")"</f>
        <v>Case wx128115:    UniConst = ChrW(128115)</v>
      </c>
    </row>
    <row r="1568" spans="1:11" hidden="1">
      <c r="A1568" t="s">
        <v>1430</v>
      </c>
      <c r="B1568" t="str">
        <f t="shared" si="146"/>
        <v>1F473 1F3FD ; fully-qualified # 👳🏽 E1.0 person wearing turban: medium skin tone</v>
      </c>
      <c r="C1568" t="str">
        <f t="shared" si="147"/>
        <v xml:space="preserve">1F473 1F3FD </v>
      </c>
      <c r="D1568">
        <f t="shared" si="148"/>
        <v>12</v>
      </c>
      <c r="E1568" t="str">
        <f t="shared" si="144"/>
        <v xml:space="preserve"> 👳🏽 E1.0 person wearing turban: medium skin tone</v>
      </c>
      <c r="F1568" t="b">
        <f t="shared" si="149"/>
        <v>1</v>
      </c>
      <c r="G1568" t="str">
        <f t="shared" si="145"/>
        <v>1F473</v>
      </c>
      <c r="I1568">
        <f>HEX2DEC(Table1[[#This Row],[utf8]])</f>
        <v>128115</v>
      </c>
      <c r="J1568" t="str">
        <f>_xlfn.UNICHAR(HEX2DEC(Table1[[#This Row],[utf8]]))</f>
        <v>👳</v>
      </c>
      <c r="K1568" s="3" t="str" cm="1">
        <f t="array" ref="K1568">"Case "&amp;wRandomLetter()&amp;wRandomLetter()&amp;I1568&amp;":    UniConst = ChrW(" &amp; I1568 &amp;")"</f>
        <v>Case RG128115:    UniConst = ChrW(128115)</v>
      </c>
    </row>
    <row r="1569" spans="1:11" hidden="1">
      <c r="A1569" t="s">
        <v>1452</v>
      </c>
      <c r="B1569" t="str">
        <f t="shared" si="146"/>
        <v>1F473 1F3FD 200D 2640 ; minimally-qualified # 👳🏽‍♀ E4.0 woman wearing turban: medium skin tone</v>
      </c>
      <c r="C1569" t="str">
        <f t="shared" si="147"/>
        <v xml:space="preserve">1F473 1F3FD 200D 2640 </v>
      </c>
      <c r="D1569">
        <f t="shared" si="148"/>
        <v>22</v>
      </c>
      <c r="E1569" t="str">
        <f t="shared" si="144"/>
        <v xml:space="preserve"> 👳🏽‍♀ E4.0 woman wearing turban: medium skin tone</v>
      </c>
      <c r="F1569" t="b">
        <f t="shared" si="149"/>
        <v>1</v>
      </c>
      <c r="G1569" t="str">
        <f t="shared" si="145"/>
        <v>1F473</v>
      </c>
      <c r="I1569">
        <f>HEX2DEC(Table1[[#This Row],[utf8]])</f>
        <v>128115</v>
      </c>
      <c r="J1569" t="str">
        <f>_xlfn.UNICHAR(HEX2DEC(Table1[[#This Row],[utf8]]))</f>
        <v>👳</v>
      </c>
      <c r="K1569" s="3" t="str" cm="1">
        <f t="array" ref="K1569">"Case "&amp;wRandomLetter()&amp;wRandomLetter()&amp;I1569&amp;":    UniConst = ChrW(" &amp; I1569 &amp;")"</f>
        <v>Case KZ128115:    UniConst = ChrW(128115)</v>
      </c>
    </row>
    <row r="1570" spans="1:11" hidden="1">
      <c r="A1570" t="s">
        <v>1451</v>
      </c>
      <c r="B1570" t="str">
        <f t="shared" si="146"/>
        <v>1F473 1F3FD 200D 2640 FE0F ; fully-qualified # 👳🏽‍♀️ E4.0 woman wearing turban: medium skin tone</v>
      </c>
      <c r="C1570" t="str">
        <f t="shared" si="147"/>
        <v xml:space="preserve">1F473 1F3FD 200D 2640 FE0F </v>
      </c>
      <c r="D1570">
        <f t="shared" si="148"/>
        <v>27</v>
      </c>
      <c r="E1570" t="str">
        <f t="shared" si="144"/>
        <v xml:space="preserve"> 👳🏽‍♀️ E4.0 woman wearing turban: medium skin tone</v>
      </c>
      <c r="F1570" t="b">
        <f t="shared" si="149"/>
        <v>1</v>
      </c>
      <c r="G1570" t="str">
        <f t="shared" si="145"/>
        <v>1F473</v>
      </c>
      <c r="I1570">
        <f>HEX2DEC(Table1[[#This Row],[utf8]])</f>
        <v>128115</v>
      </c>
      <c r="J1570" t="str">
        <f>_xlfn.UNICHAR(HEX2DEC(Table1[[#This Row],[utf8]]))</f>
        <v>👳</v>
      </c>
      <c r="K1570" s="3" t="str" cm="1">
        <f t="array" ref="K1570">"Case "&amp;wRandomLetter()&amp;wRandomLetter()&amp;I1570&amp;":    UniConst = ChrW(" &amp; I1570 &amp;")"</f>
        <v>Case zs128115:    UniConst = ChrW(128115)</v>
      </c>
    </row>
    <row r="1571" spans="1:11" hidden="1">
      <c r="A1571" t="s">
        <v>1440</v>
      </c>
      <c r="B1571" t="str">
        <f t="shared" si="146"/>
        <v>1F473 1F3FD 200D 2642 ; minimally-qualified # 👳🏽‍♂ E4.0 man wearing turban: medium skin tone</v>
      </c>
      <c r="C1571" t="str">
        <f t="shared" si="147"/>
        <v xml:space="preserve">1F473 1F3FD 200D 2642 </v>
      </c>
      <c r="D1571">
        <f t="shared" si="148"/>
        <v>22</v>
      </c>
      <c r="E1571" t="str">
        <f t="shared" si="144"/>
        <v xml:space="preserve"> 👳🏽‍♂ E4.0 man wearing turban: medium skin tone</v>
      </c>
      <c r="F1571" t="b">
        <f t="shared" si="149"/>
        <v>1</v>
      </c>
      <c r="G1571" t="str">
        <f t="shared" si="145"/>
        <v>1F473</v>
      </c>
      <c r="I1571">
        <f>HEX2DEC(Table1[[#This Row],[utf8]])</f>
        <v>128115</v>
      </c>
      <c r="J1571" t="str">
        <f>_xlfn.UNICHAR(HEX2DEC(Table1[[#This Row],[utf8]]))</f>
        <v>👳</v>
      </c>
      <c r="K1571" s="3" t="str" cm="1">
        <f t="array" ref="K1571">"Case "&amp;wRandomLetter()&amp;wRandomLetter()&amp;I1571&amp;":    UniConst = ChrW(" &amp; I1571 &amp;")"</f>
        <v>Case MI128115:    UniConst = ChrW(128115)</v>
      </c>
    </row>
    <row r="1572" spans="1:11" hidden="1">
      <c r="A1572" t="s">
        <v>1439</v>
      </c>
      <c r="B1572" t="str">
        <f t="shared" si="146"/>
        <v>1F473 1F3FD 200D 2642 FE0F ; fully-qualified # 👳🏽‍♂️ E4.0 man wearing turban: medium skin tone</v>
      </c>
      <c r="C1572" t="str">
        <f t="shared" si="147"/>
        <v xml:space="preserve">1F473 1F3FD 200D 2642 FE0F </v>
      </c>
      <c r="D1572">
        <f t="shared" si="148"/>
        <v>27</v>
      </c>
      <c r="E1572" t="str">
        <f t="shared" si="144"/>
        <v xml:space="preserve"> 👳🏽‍♂️ E4.0 man wearing turban: medium skin tone</v>
      </c>
      <c r="F1572" t="b">
        <f t="shared" si="149"/>
        <v>1</v>
      </c>
      <c r="G1572" t="str">
        <f t="shared" si="145"/>
        <v>1F473</v>
      </c>
      <c r="I1572">
        <f>HEX2DEC(Table1[[#This Row],[utf8]])</f>
        <v>128115</v>
      </c>
      <c r="J1572" t="str">
        <f>_xlfn.UNICHAR(HEX2DEC(Table1[[#This Row],[utf8]]))</f>
        <v>👳</v>
      </c>
      <c r="K1572" s="3" t="str" cm="1">
        <f t="array" ref="K1572">"Case "&amp;wRandomLetter()&amp;wRandomLetter()&amp;I1572&amp;":    UniConst = ChrW(" &amp; I1572 &amp;")"</f>
        <v>Case dw128115:    UniConst = ChrW(128115)</v>
      </c>
    </row>
    <row r="1573" spans="1:11" hidden="1">
      <c r="A1573" t="s">
        <v>1431</v>
      </c>
      <c r="B1573" t="str">
        <f t="shared" si="146"/>
        <v>1F473 1F3FE ; fully-qualified # 👳🏾 E1.0 person wearing turban: medium-dark skin tone</v>
      </c>
      <c r="C1573" t="str">
        <f t="shared" si="147"/>
        <v xml:space="preserve">1F473 1F3FE </v>
      </c>
      <c r="D1573">
        <f t="shared" si="148"/>
        <v>12</v>
      </c>
      <c r="E1573" t="str">
        <f t="shared" si="144"/>
        <v xml:space="preserve"> 👳🏾 E1.0 person wearing turban: medium-dark skin tone</v>
      </c>
      <c r="F1573" t="b">
        <f t="shared" si="149"/>
        <v>1</v>
      </c>
      <c r="G1573" t="str">
        <f t="shared" si="145"/>
        <v>1F473</v>
      </c>
      <c r="I1573">
        <f>HEX2DEC(Table1[[#This Row],[utf8]])</f>
        <v>128115</v>
      </c>
      <c r="J1573" t="str">
        <f>_xlfn.UNICHAR(HEX2DEC(Table1[[#This Row],[utf8]]))</f>
        <v>👳</v>
      </c>
      <c r="K1573" s="3" t="str" cm="1">
        <f t="array" ref="K1573">"Case "&amp;wRandomLetter()&amp;wRandomLetter()&amp;I1573&amp;":    UniConst = ChrW(" &amp; I1573 &amp;")"</f>
        <v>Case pC128115:    UniConst = ChrW(128115)</v>
      </c>
    </row>
    <row r="1574" spans="1:11" hidden="1">
      <c r="A1574" t="s">
        <v>1454</v>
      </c>
      <c r="B1574" t="str">
        <f t="shared" si="146"/>
        <v>1F473 1F3FE 200D 2640 ; minimally-qualified # 👳🏾‍♀ E4.0 woman wearing turban: medium-dark skin tone</v>
      </c>
      <c r="C1574" t="str">
        <f t="shared" si="147"/>
        <v xml:space="preserve">1F473 1F3FE 200D 2640 </v>
      </c>
      <c r="D1574">
        <f t="shared" si="148"/>
        <v>22</v>
      </c>
      <c r="E1574" t="str">
        <f t="shared" si="144"/>
        <v xml:space="preserve"> 👳🏾‍♀ E4.0 woman wearing turban: medium-dark skin tone</v>
      </c>
      <c r="F1574" t="b">
        <f t="shared" si="149"/>
        <v>1</v>
      </c>
      <c r="G1574" t="str">
        <f t="shared" si="145"/>
        <v>1F473</v>
      </c>
      <c r="I1574">
        <f>HEX2DEC(Table1[[#This Row],[utf8]])</f>
        <v>128115</v>
      </c>
      <c r="J1574" t="str">
        <f>_xlfn.UNICHAR(HEX2DEC(Table1[[#This Row],[utf8]]))</f>
        <v>👳</v>
      </c>
      <c r="K1574" s="3" t="str" cm="1">
        <f t="array" ref="K1574">"Case "&amp;wRandomLetter()&amp;wRandomLetter()&amp;I1574&amp;":    UniConst = ChrW(" &amp; I1574 &amp;")"</f>
        <v>Case LY128115:    UniConst = ChrW(128115)</v>
      </c>
    </row>
    <row r="1575" spans="1:11" hidden="1">
      <c r="A1575" t="s">
        <v>1453</v>
      </c>
      <c r="B1575" t="str">
        <f t="shared" si="146"/>
        <v>1F473 1F3FE 200D 2640 FE0F ; fully-qualified # 👳🏾‍♀️ E4.0 woman wearing turban: medium-dark skin tone</v>
      </c>
      <c r="C1575" t="str">
        <f t="shared" si="147"/>
        <v xml:space="preserve">1F473 1F3FE 200D 2640 FE0F </v>
      </c>
      <c r="D1575">
        <f t="shared" si="148"/>
        <v>27</v>
      </c>
      <c r="E1575" t="str">
        <f t="shared" si="144"/>
        <v xml:space="preserve"> 👳🏾‍♀️ E4.0 woman wearing turban: medium-dark skin tone</v>
      </c>
      <c r="F1575" t="b">
        <f t="shared" si="149"/>
        <v>1</v>
      </c>
      <c r="G1575" t="str">
        <f t="shared" si="145"/>
        <v>1F473</v>
      </c>
      <c r="I1575">
        <f>HEX2DEC(Table1[[#This Row],[utf8]])</f>
        <v>128115</v>
      </c>
      <c r="J1575" t="str">
        <f>_xlfn.UNICHAR(HEX2DEC(Table1[[#This Row],[utf8]]))</f>
        <v>👳</v>
      </c>
      <c r="K1575" s="3" t="str" cm="1">
        <f t="array" ref="K1575">"Case "&amp;wRandomLetter()&amp;wRandomLetter()&amp;I1575&amp;":    UniConst = ChrW(" &amp; I1575 &amp;")"</f>
        <v>Case hl128115:    UniConst = ChrW(128115)</v>
      </c>
    </row>
    <row r="1576" spans="1:11" hidden="1">
      <c r="A1576" t="s">
        <v>1442</v>
      </c>
      <c r="B1576" t="str">
        <f t="shared" si="146"/>
        <v>1F473 1F3FE 200D 2642 ; minimally-qualified # 👳🏾‍♂ E4.0 man wearing turban: medium-dark skin tone</v>
      </c>
      <c r="C1576" t="str">
        <f t="shared" si="147"/>
        <v xml:space="preserve">1F473 1F3FE 200D 2642 </v>
      </c>
      <c r="D1576">
        <f t="shared" si="148"/>
        <v>22</v>
      </c>
      <c r="E1576" t="str">
        <f t="shared" si="144"/>
        <v xml:space="preserve"> 👳🏾‍♂ E4.0 man wearing turban: medium-dark skin tone</v>
      </c>
      <c r="F1576" t="b">
        <f t="shared" si="149"/>
        <v>1</v>
      </c>
      <c r="G1576" t="str">
        <f t="shared" si="145"/>
        <v>1F473</v>
      </c>
      <c r="I1576">
        <f>HEX2DEC(Table1[[#This Row],[utf8]])</f>
        <v>128115</v>
      </c>
      <c r="J1576" t="str">
        <f>_xlfn.UNICHAR(HEX2DEC(Table1[[#This Row],[utf8]]))</f>
        <v>👳</v>
      </c>
      <c r="K1576" s="3" t="str" cm="1">
        <f t="array" ref="K1576">"Case "&amp;wRandomLetter()&amp;wRandomLetter()&amp;I1576&amp;":    UniConst = ChrW(" &amp; I1576 &amp;")"</f>
        <v>Case DV128115:    UniConst = ChrW(128115)</v>
      </c>
    </row>
    <row r="1577" spans="1:11" hidden="1">
      <c r="A1577" t="s">
        <v>1441</v>
      </c>
      <c r="B1577" t="str">
        <f t="shared" si="146"/>
        <v>1F473 1F3FE 200D 2642 FE0F ; fully-qualified # 👳🏾‍♂️ E4.0 man wearing turban: medium-dark skin tone</v>
      </c>
      <c r="C1577" t="str">
        <f t="shared" si="147"/>
        <v xml:space="preserve">1F473 1F3FE 200D 2642 FE0F </v>
      </c>
      <c r="D1577">
        <f t="shared" si="148"/>
        <v>27</v>
      </c>
      <c r="E1577" t="str">
        <f t="shared" si="144"/>
        <v xml:space="preserve"> 👳🏾‍♂️ E4.0 man wearing turban: medium-dark skin tone</v>
      </c>
      <c r="F1577" t="b">
        <f t="shared" si="149"/>
        <v>1</v>
      </c>
      <c r="G1577" t="str">
        <f t="shared" si="145"/>
        <v>1F473</v>
      </c>
      <c r="I1577">
        <f>HEX2DEC(Table1[[#This Row],[utf8]])</f>
        <v>128115</v>
      </c>
      <c r="J1577" t="str">
        <f>_xlfn.UNICHAR(HEX2DEC(Table1[[#This Row],[utf8]]))</f>
        <v>👳</v>
      </c>
      <c r="K1577" s="3" t="str" cm="1">
        <f t="array" ref="K1577">"Case "&amp;wRandomLetter()&amp;wRandomLetter()&amp;I1577&amp;":    UniConst = ChrW(" &amp; I1577 &amp;")"</f>
        <v>Case ub128115:    UniConst = ChrW(128115)</v>
      </c>
    </row>
    <row r="1578" spans="1:11" hidden="1">
      <c r="A1578" t="s">
        <v>1432</v>
      </c>
      <c r="B1578" t="str">
        <f t="shared" si="146"/>
        <v>1F473 1F3FF ; fully-qualified # 👳🏿 E1.0 person wearing turban: dark skin tone</v>
      </c>
      <c r="C1578" t="str">
        <f t="shared" si="147"/>
        <v xml:space="preserve">1F473 1F3FF </v>
      </c>
      <c r="D1578">
        <f t="shared" si="148"/>
        <v>12</v>
      </c>
      <c r="E1578" t="str">
        <f t="shared" si="144"/>
        <v xml:space="preserve"> 👳🏿 E1.0 person wearing turban: dark skin tone</v>
      </c>
      <c r="F1578" t="b">
        <f t="shared" si="149"/>
        <v>1</v>
      </c>
      <c r="G1578" t="str">
        <f t="shared" si="145"/>
        <v>1F473</v>
      </c>
      <c r="I1578">
        <f>HEX2DEC(Table1[[#This Row],[utf8]])</f>
        <v>128115</v>
      </c>
      <c r="J1578" t="str">
        <f>_xlfn.UNICHAR(HEX2DEC(Table1[[#This Row],[utf8]]))</f>
        <v>👳</v>
      </c>
      <c r="K1578" s="3" t="str" cm="1">
        <f t="array" ref="K1578">"Case "&amp;wRandomLetter()&amp;wRandomLetter()&amp;I1578&amp;":    UniConst = ChrW(" &amp; I1578 &amp;")"</f>
        <v>Case yU128115:    UniConst = ChrW(128115)</v>
      </c>
    </row>
    <row r="1579" spans="1:11" hidden="1">
      <c r="A1579" t="s">
        <v>1456</v>
      </c>
      <c r="B1579" t="str">
        <f t="shared" si="146"/>
        <v>1F473 1F3FF 200D 2640 ; minimally-qualified # 👳🏿‍♀ E4.0 woman wearing turban: dark skin tone</v>
      </c>
      <c r="C1579" t="str">
        <f t="shared" si="147"/>
        <v xml:space="preserve">1F473 1F3FF 200D 2640 </v>
      </c>
      <c r="D1579">
        <f t="shared" si="148"/>
        <v>22</v>
      </c>
      <c r="E1579" t="str">
        <f t="shared" si="144"/>
        <v xml:space="preserve"> 👳🏿‍♀ E4.0 woman wearing turban: dark skin tone</v>
      </c>
      <c r="F1579" t="b">
        <f t="shared" si="149"/>
        <v>1</v>
      </c>
      <c r="G1579" t="str">
        <f t="shared" si="145"/>
        <v>1F473</v>
      </c>
      <c r="I1579">
        <f>HEX2DEC(Table1[[#This Row],[utf8]])</f>
        <v>128115</v>
      </c>
      <c r="J1579" t="str">
        <f>_xlfn.UNICHAR(HEX2DEC(Table1[[#This Row],[utf8]]))</f>
        <v>👳</v>
      </c>
      <c r="K1579" s="3" t="str" cm="1">
        <f t="array" ref="K1579">"Case "&amp;wRandomLetter()&amp;wRandomLetter()&amp;I1579&amp;":    UniConst = ChrW(" &amp; I1579 &amp;")"</f>
        <v>Case lh128115:    UniConst = ChrW(128115)</v>
      </c>
    </row>
    <row r="1580" spans="1:11" hidden="1">
      <c r="A1580" t="s">
        <v>1455</v>
      </c>
      <c r="B1580" t="str">
        <f t="shared" si="146"/>
        <v>1F473 1F3FF 200D 2640 FE0F ; fully-qualified # 👳🏿‍♀️ E4.0 woman wearing turban: dark skin tone</v>
      </c>
      <c r="C1580" t="str">
        <f t="shared" si="147"/>
        <v xml:space="preserve">1F473 1F3FF 200D 2640 FE0F </v>
      </c>
      <c r="D1580">
        <f t="shared" si="148"/>
        <v>27</v>
      </c>
      <c r="E1580" t="str">
        <f t="shared" si="144"/>
        <v xml:space="preserve"> 👳🏿‍♀️ E4.0 woman wearing turban: dark skin tone</v>
      </c>
      <c r="F1580" t="b">
        <f t="shared" si="149"/>
        <v>1</v>
      </c>
      <c r="G1580" t="str">
        <f t="shared" si="145"/>
        <v>1F473</v>
      </c>
      <c r="I1580">
        <f>HEX2DEC(Table1[[#This Row],[utf8]])</f>
        <v>128115</v>
      </c>
      <c r="J1580" t="str">
        <f>_xlfn.UNICHAR(HEX2DEC(Table1[[#This Row],[utf8]]))</f>
        <v>👳</v>
      </c>
      <c r="K1580" s="3" t="str" cm="1">
        <f t="array" ref="K1580">"Case "&amp;wRandomLetter()&amp;wRandomLetter()&amp;I1580&amp;":    UniConst = ChrW(" &amp; I1580 &amp;")"</f>
        <v>Case NR128115:    UniConst = ChrW(128115)</v>
      </c>
    </row>
    <row r="1581" spans="1:11" hidden="1">
      <c r="A1581" t="s">
        <v>1444</v>
      </c>
      <c r="B1581" t="str">
        <f t="shared" si="146"/>
        <v>1F473 1F3FF 200D 2642 ; minimally-qualified # 👳🏿‍♂ E4.0 man wearing turban: dark skin tone</v>
      </c>
      <c r="C1581" t="str">
        <f t="shared" si="147"/>
        <v xml:space="preserve">1F473 1F3FF 200D 2642 </v>
      </c>
      <c r="D1581">
        <f t="shared" si="148"/>
        <v>22</v>
      </c>
      <c r="E1581" t="str">
        <f t="shared" si="144"/>
        <v xml:space="preserve"> 👳🏿‍♂ E4.0 man wearing turban: dark skin tone</v>
      </c>
      <c r="F1581" t="b">
        <f t="shared" si="149"/>
        <v>1</v>
      </c>
      <c r="G1581" t="str">
        <f t="shared" si="145"/>
        <v>1F473</v>
      </c>
      <c r="I1581">
        <f>HEX2DEC(Table1[[#This Row],[utf8]])</f>
        <v>128115</v>
      </c>
      <c r="J1581" t="str">
        <f>_xlfn.UNICHAR(HEX2DEC(Table1[[#This Row],[utf8]]))</f>
        <v>👳</v>
      </c>
      <c r="K1581" s="3" t="str" cm="1">
        <f t="array" ref="K1581">"Case "&amp;wRandomLetter()&amp;wRandomLetter()&amp;I1581&amp;":    UniConst = ChrW(" &amp; I1581 &amp;")"</f>
        <v>Case KM128115:    UniConst = ChrW(128115)</v>
      </c>
    </row>
    <row r="1582" spans="1:11" hidden="1">
      <c r="A1582" t="s">
        <v>1443</v>
      </c>
      <c r="B1582" t="str">
        <f t="shared" si="146"/>
        <v>1F473 1F3FF 200D 2642 FE0F ; fully-qualified # 👳🏿‍♂️ E4.0 man wearing turban: dark skin tone</v>
      </c>
      <c r="C1582" t="str">
        <f t="shared" si="147"/>
        <v xml:space="preserve">1F473 1F3FF 200D 2642 FE0F </v>
      </c>
      <c r="D1582">
        <f t="shared" si="148"/>
        <v>27</v>
      </c>
      <c r="E1582" t="str">
        <f t="shared" si="144"/>
        <v xml:space="preserve"> 👳🏿‍♂️ E4.0 man wearing turban: dark skin tone</v>
      </c>
      <c r="F1582" t="b">
        <f t="shared" si="149"/>
        <v>1</v>
      </c>
      <c r="G1582" t="str">
        <f t="shared" si="145"/>
        <v>1F473</v>
      </c>
      <c r="I1582">
        <f>HEX2DEC(Table1[[#This Row],[utf8]])</f>
        <v>128115</v>
      </c>
      <c r="J1582" t="str">
        <f>_xlfn.UNICHAR(HEX2DEC(Table1[[#This Row],[utf8]]))</f>
        <v>👳</v>
      </c>
      <c r="K1582" s="3" t="str" cm="1">
        <f t="array" ref="K1582">"Case "&amp;wRandomLetter()&amp;wRandomLetter()&amp;I1582&amp;":    UniConst = ChrW(" &amp; I1582 &amp;")"</f>
        <v>Case pQ128115:    UniConst = ChrW(128115)</v>
      </c>
    </row>
    <row r="1583" spans="1:11" hidden="1">
      <c r="A1583" t="s">
        <v>1446</v>
      </c>
      <c r="B1583" t="str">
        <f t="shared" si="146"/>
        <v>1F473 200D 2640 ; minimally-qualified # 👳‍♀ E4.0 woman wearing turban</v>
      </c>
      <c r="C1583" t="str">
        <f t="shared" si="147"/>
        <v xml:space="preserve">1F473 200D 2640 </v>
      </c>
      <c r="D1583">
        <f t="shared" si="148"/>
        <v>16</v>
      </c>
      <c r="E1583" t="str">
        <f t="shared" si="144"/>
        <v xml:space="preserve"> 👳‍♀ E4.0 woman wearing turban</v>
      </c>
      <c r="F1583" t="b">
        <f t="shared" si="149"/>
        <v>1</v>
      </c>
      <c r="G1583" t="str">
        <f t="shared" si="145"/>
        <v>1F473</v>
      </c>
      <c r="I1583">
        <f>HEX2DEC(Table1[[#This Row],[utf8]])</f>
        <v>128115</v>
      </c>
      <c r="J1583" t="str">
        <f>_xlfn.UNICHAR(HEX2DEC(Table1[[#This Row],[utf8]]))</f>
        <v>👳</v>
      </c>
      <c r="K1583" s="3" t="str" cm="1">
        <f t="array" ref="K1583">"Case "&amp;wRandomLetter()&amp;wRandomLetter()&amp;I1583&amp;":    UniConst = ChrW(" &amp; I1583 &amp;")"</f>
        <v>Case Oy128115:    UniConst = ChrW(128115)</v>
      </c>
    </row>
    <row r="1584" spans="1:11" hidden="1">
      <c r="A1584" t="s">
        <v>1445</v>
      </c>
      <c r="B1584" t="str">
        <f t="shared" si="146"/>
        <v>1F473 200D 2640 FE0F ; fully-qualified # 👳‍♀️ E4.0 woman wearing turban</v>
      </c>
      <c r="C1584" t="str">
        <f t="shared" si="147"/>
        <v xml:space="preserve">1F473 200D 2640 FE0F </v>
      </c>
      <c r="D1584">
        <f t="shared" si="148"/>
        <v>21</v>
      </c>
      <c r="E1584" t="str">
        <f t="shared" si="144"/>
        <v xml:space="preserve"> 👳‍♀️ E4.0 woman wearing turban</v>
      </c>
      <c r="F1584" t="b">
        <f t="shared" si="149"/>
        <v>1</v>
      </c>
      <c r="G1584" t="str">
        <f t="shared" si="145"/>
        <v>1F473</v>
      </c>
      <c r="I1584">
        <f>HEX2DEC(Table1[[#This Row],[utf8]])</f>
        <v>128115</v>
      </c>
      <c r="J1584" t="str">
        <f>_xlfn.UNICHAR(HEX2DEC(Table1[[#This Row],[utf8]]))</f>
        <v>👳</v>
      </c>
      <c r="K1584" s="3" t="str" cm="1">
        <f t="array" ref="K1584">"Case "&amp;wRandomLetter()&amp;wRandomLetter()&amp;I1584&amp;":    UniConst = ChrW(" &amp; I1584 &amp;")"</f>
        <v>Case Ro128115:    UniConst = ChrW(128115)</v>
      </c>
    </row>
    <row r="1585" spans="1:11" hidden="1">
      <c r="A1585" t="s">
        <v>1434</v>
      </c>
      <c r="B1585" t="str">
        <f t="shared" si="146"/>
        <v>1F473 200D 2642 ; minimally-qualified # 👳‍♂ E4.0 man wearing turban</v>
      </c>
      <c r="C1585" t="str">
        <f t="shared" si="147"/>
        <v xml:space="preserve">1F473 200D 2642 </v>
      </c>
      <c r="D1585">
        <f t="shared" si="148"/>
        <v>16</v>
      </c>
      <c r="E1585" t="str">
        <f t="shared" si="144"/>
        <v xml:space="preserve"> 👳‍♂ E4.0 man wearing turban</v>
      </c>
      <c r="F1585" t="b">
        <f t="shared" si="149"/>
        <v>1</v>
      </c>
      <c r="G1585" t="str">
        <f t="shared" si="145"/>
        <v>1F473</v>
      </c>
      <c r="I1585">
        <f>HEX2DEC(Table1[[#This Row],[utf8]])</f>
        <v>128115</v>
      </c>
      <c r="J1585" t="str">
        <f>_xlfn.UNICHAR(HEX2DEC(Table1[[#This Row],[utf8]]))</f>
        <v>👳</v>
      </c>
      <c r="K1585" s="3" t="str" cm="1">
        <f t="array" ref="K1585">"Case "&amp;wRandomLetter()&amp;wRandomLetter()&amp;I1585&amp;":    UniConst = ChrW(" &amp; I1585 &amp;")"</f>
        <v>Case He128115:    UniConst = ChrW(128115)</v>
      </c>
    </row>
    <row r="1586" spans="1:11" hidden="1">
      <c r="A1586" t="s">
        <v>1433</v>
      </c>
      <c r="B1586" t="str">
        <f t="shared" si="146"/>
        <v>1F473 200D 2642 FE0F ; fully-qualified # 👳‍♂️ E4.0 man wearing turban</v>
      </c>
      <c r="C1586" t="str">
        <f t="shared" si="147"/>
        <v xml:space="preserve">1F473 200D 2642 FE0F </v>
      </c>
      <c r="D1586">
        <f t="shared" si="148"/>
        <v>21</v>
      </c>
      <c r="E1586" t="str">
        <f t="shared" si="144"/>
        <v xml:space="preserve"> 👳‍♂️ E4.0 man wearing turban</v>
      </c>
      <c r="F1586" t="b">
        <f t="shared" si="149"/>
        <v>1</v>
      </c>
      <c r="G1586" t="str">
        <f t="shared" si="145"/>
        <v>1F473</v>
      </c>
      <c r="I1586">
        <f>HEX2DEC(Table1[[#This Row],[utf8]])</f>
        <v>128115</v>
      </c>
      <c r="J1586" t="str">
        <f>_xlfn.UNICHAR(HEX2DEC(Table1[[#This Row],[utf8]]))</f>
        <v>👳</v>
      </c>
      <c r="K1586" s="3" t="str" cm="1">
        <f t="array" ref="K1586">"Case "&amp;wRandomLetter()&amp;wRandomLetter()&amp;I1586&amp;":    UniConst = ChrW(" &amp; I1586 &amp;")"</f>
        <v>Case BZ128115:    UniConst = ChrW(128115)</v>
      </c>
    </row>
    <row r="1587" spans="1:11" hidden="1">
      <c r="A1587" t="s">
        <v>628</v>
      </c>
      <c r="B1587" t="str">
        <f t="shared" si="146"/>
        <v>1F474 ; fully-qualified # 👴 E0.6 old man</v>
      </c>
      <c r="C1587" t="str">
        <f t="shared" si="147"/>
        <v xml:space="preserve">1F474 </v>
      </c>
      <c r="D1587">
        <f t="shared" si="148"/>
        <v>6</v>
      </c>
      <c r="E1587" t="str">
        <f t="shared" si="144"/>
        <v xml:space="preserve"> 👴 E0.6 old man</v>
      </c>
      <c r="F1587" t="b">
        <f t="shared" si="149"/>
        <v>1</v>
      </c>
      <c r="G1587" t="str">
        <f t="shared" si="145"/>
        <v>1F474</v>
      </c>
      <c r="I1587">
        <f>HEX2DEC(Table1[[#This Row],[utf8]])</f>
        <v>128116</v>
      </c>
      <c r="J1587" t="str">
        <f>_xlfn.UNICHAR(HEX2DEC(Table1[[#This Row],[utf8]]))</f>
        <v>👴</v>
      </c>
      <c r="K1587" s="3" t="str" cm="1">
        <f t="array" ref="K1587">"Case "&amp;wRandomLetter()&amp;wRandomLetter()&amp;I1587&amp;":    UniConst = ChrW(" &amp; I1587 &amp;")"</f>
        <v>Case IT128116:    UniConst = ChrW(128116)</v>
      </c>
    </row>
    <row r="1588" spans="1:11" hidden="1">
      <c r="A1588" t="s">
        <v>629</v>
      </c>
      <c r="B1588" t="str">
        <f t="shared" si="146"/>
        <v>1F474 1F3FB ; fully-qualified # 👴🏻 E1.0 old man: light skin tone</v>
      </c>
      <c r="C1588" t="str">
        <f t="shared" si="147"/>
        <v xml:space="preserve">1F474 1F3FB </v>
      </c>
      <c r="D1588">
        <f t="shared" si="148"/>
        <v>12</v>
      </c>
      <c r="E1588" t="str">
        <f t="shared" si="144"/>
        <v xml:space="preserve"> 👴🏻 E1.0 old man: light skin tone</v>
      </c>
      <c r="F1588" t="b">
        <f t="shared" si="149"/>
        <v>1</v>
      </c>
      <c r="G1588" t="str">
        <f t="shared" si="145"/>
        <v>1F474</v>
      </c>
      <c r="I1588">
        <f>HEX2DEC(Table1[[#This Row],[utf8]])</f>
        <v>128116</v>
      </c>
      <c r="J1588" t="str">
        <f>_xlfn.UNICHAR(HEX2DEC(Table1[[#This Row],[utf8]]))</f>
        <v>👴</v>
      </c>
      <c r="K1588" s="3" t="str" cm="1">
        <f t="array" ref="K1588">"Case "&amp;wRandomLetter()&amp;wRandomLetter()&amp;I1588&amp;":    UniConst = ChrW(" &amp; I1588 &amp;")"</f>
        <v>Case vP128116:    UniConst = ChrW(128116)</v>
      </c>
    </row>
    <row r="1589" spans="1:11" hidden="1">
      <c r="A1589" t="s">
        <v>630</v>
      </c>
      <c r="B1589" t="str">
        <f t="shared" si="146"/>
        <v>1F474 1F3FC ; fully-qualified # 👴🏼 E1.0 old man: medium-light skin tone</v>
      </c>
      <c r="C1589" t="str">
        <f t="shared" si="147"/>
        <v xml:space="preserve">1F474 1F3FC </v>
      </c>
      <c r="D1589">
        <f t="shared" si="148"/>
        <v>12</v>
      </c>
      <c r="E1589" t="str">
        <f t="shared" si="144"/>
        <v xml:space="preserve"> 👴🏼 E1.0 old man: medium-light skin tone</v>
      </c>
      <c r="F1589" t="b">
        <f t="shared" si="149"/>
        <v>1</v>
      </c>
      <c r="G1589" t="str">
        <f t="shared" si="145"/>
        <v>1F474</v>
      </c>
      <c r="I1589">
        <f>HEX2DEC(Table1[[#This Row],[utf8]])</f>
        <v>128116</v>
      </c>
      <c r="J1589" t="str">
        <f>_xlfn.UNICHAR(HEX2DEC(Table1[[#This Row],[utf8]]))</f>
        <v>👴</v>
      </c>
      <c r="K1589" s="3" t="str" cm="1">
        <f t="array" ref="K1589">"Case "&amp;wRandomLetter()&amp;wRandomLetter()&amp;I1589&amp;":    UniConst = ChrW(" &amp; I1589 &amp;")"</f>
        <v>Case IT128116:    UniConst = ChrW(128116)</v>
      </c>
    </row>
    <row r="1590" spans="1:11" hidden="1">
      <c r="A1590" t="s">
        <v>631</v>
      </c>
      <c r="B1590" t="str">
        <f t="shared" si="146"/>
        <v>1F474 1F3FD ; fully-qualified # 👴🏽 E1.0 old man: medium skin tone</v>
      </c>
      <c r="C1590" t="str">
        <f t="shared" si="147"/>
        <v xml:space="preserve">1F474 1F3FD </v>
      </c>
      <c r="D1590">
        <f t="shared" si="148"/>
        <v>12</v>
      </c>
      <c r="E1590" t="str">
        <f t="shared" si="144"/>
        <v xml:space="preserve"> 👴🏽 E1.0 old man: medium skin tone</v>
      </c>
      <c r="F1590" t="b">
        <f t="shared" si="149"/>
        <v>1</v>
      </c>
      <c r="G1590" t="str">
        <f t="shared" si="145"/>
        <v>1F474</v>
      </c>
      <c r="I1590">
        <f>HEX2DEC(Table1[[#This Row],[utf8]])</f>
        <v>128116</v>
      </c>
      <c r="J1590" t="str">
        <f>_xlfn.UNICHAR(HEX2DEC(Table1[[#This Row],[utf8]]))</f>
        <v>👴</v>
      </c>
      <c r="K1590" s="3" t="str" cm="1">
        <f t="array" ref="K1590">"Case "&amp;wRandomLetter()&amp;wRandomLetter()&amp;I1590&amp;":    UniConst = ChrW(" &amp; I1590 &amp;")"</f>
        <v>Case jg128116:    UniConst = ChrW(128116)</v>
      </c>
    </row>
    <row r="1591" spans="1:11" hidden="1">
      <c r="A1591" t="s">
        <v>632</v>
      </c>
      <c r="B1591" t="str">
        <f t="shared" si="146"/>
        <v>1F474 1F3FE ; fully-qualified # 👴🏾 E1.0 old man: medium-dark skin tone</v>
      </c>
      <c r="C1591" t="str">
        <f t="shared" si="147"/>
        <v xml:space="preserve">1F474 1F3FE </v>
      </c>
      <c r="D1591">
        <f t="shared" si="148"/>
        <v>12</v>
      </c>
      <c r="E1591" t="str">
        <f t="shared" si="144"/>
        <v xml:space="preserve"> 👴🏾 E1.0 old man: medium-dark skin tone</v>
      </c>
      <c r="F1591" t="b">
        <f t="shared" si="149"/>
        <v>1</v>
      </c>
      <c r="G1591" t="str">
        <f t="shared" si="145"/>
        <v>1F474</v>
      </c>
      <c r="I1591">
        <f>HEX2DEC(Table1[[#This Row],[utf8]])</f>
        <v>128116</v>
      </c>
      <c r="J1591" t="str">
        <f>_xlfn.UNICHAR(HEX2DEC(Table1[[#This Row],[utf8]]))</f>
        <v>👴</v>
      </c>
      <c r="K1591" s="3" t="str" cm="1">
        <f t="array" ref="K1591">"Case "&amp;wRandomLetter()&amp;wRandomLetter()&amp;I1591&amp;":    UniConst = ChrW(" &amp; I1591 &amp;")"</f>
        <v>Case Vu128116:    UniConst = ChrW(128116)</v>
      </c>
    </row>
    <row r="1592" spans="1:11" hidden="1">
      <c r="A1592" t="s">
        <v>633</v>
      </c>
      <c r="B1592" t="str">
        <f t="shared" si="146"/>
        <v>1F474 1F3FF ; fully-qualified # 👴🏿 E1.0 old man: dark skin tone</v>
      </c>
      <c r="C1592" t="str">
        <f t="shared" si="147"/>
        <v xml:space="preserve">1F474 1F3FF </v>
      </c>
      <c r="D1592">
        <f t="shared" si="148"/>
        <v>12</v>
      </c>
      <c r="E1592" t="str">
        <f t="shared" si="144"/>
        <v xml:space="preserve"> 👴🏿 E1.0 old man: dark skin tone</v>
      </c>
      <c r="F1592" t="b">
        <f t="shared" si="149"/>
        <v>1</v>
      </c>
      <c r="G1592" t="str">
        <f t="shared" si="145"/>
        <v>1F474</v>
      </c>
      <c r="I1592">
        <f>HEX2DEC(Table1[[#This Row],[utf8]])</f>
        <v>128116</v>
      </c>
      <c r="J1592" t="str">
        <f>_xlfn.UNICHAR(HEX2DEC(Table1[[#This Row],[utf8]]))</f>
        <v>👴</v>
      </c>
      <c r="K1592" s="3" t="str" cm="1">
        <f t="array" ref="K1592">"Case "&amp;wRandomLetter()&amp;wRandomLetter()&amp;I1592&amp;":    UniConst = ChrW(" &amp; I1592 &amp;")"</f>
        <v>Case Ep128116:    UniConst = ChrW(128116)</v>
      </c>
    </row>
    <row r="1593" spans="1:11" hidden="1">
      <c r="A1593" t="s">
        <v>634</v>
      </c>
      <c r="B1593" t="str">
        <f t="shared" si="146"/>
        <v>1F475 ; fully-qualified # 👵 E0.6 old woman</v>
      </c>
      <c r="C1593" t="str">
        <f t="shared" si="147"/>
        <v xml:space="preserve">1F475 </v>
      </c>
      <c r="D1593">
        <f t="shared" si="148"/>
        <v>6</v>
      </c>
      <c r="E1593" t="str">
        <f t="shared" si="144"/>
        <v xml:space="preserve"> 👵 E0.6 old woman</v>
      </c>
      <c r="F1593" t="b">
        <f t="shared" si="149"/>
        <v>1</v>
      </c>
      <c r="G1593" t="str">
        <f t="shared" si="145"/>
        <v>1F475</v>
      </c>
      <c r="I1593">
        <f>HEX2DEC(Table1[[#This Row],[utf8]])</f>
        <v>128117</v>
      </c>
      <c r="J1593" t="str">
        <f>_xlfn.UNICHAR(HEX2DEC(Table1[[#This Row],[utf8]]))</f>
        <v>👵</v>
      </c>
      <c r="K1593" s="3" t="str" cm="1">
        <f t="array" ref="K1593">"Case "&amp;wRandomLetter()&amp;wRandomLetter()&amp;I1593&amp;":    UniConst = ChrW(" &amp; I1593 &amp;")"</f>
        <v>Case cy128117:    UniConst = ChrW(128117)</v>
      </c>
    </row>
    <row r="1594" spans="1:11" hidden="1">
      <c r="A1594" t="s">
        <v>635</v>
      </c>
      <c r="B1594" t="str">
        <f t="shared" si="146"/>
        <v>1F475 1F3FB ; fully-qualified # 👵🏻 E1.0 old woman: light skin tone</v>
      </c>
      <c r="C1594" t="str">
        <f t="shared" si="147"/>
        <v xml:space="preserve">1F475 1F3FB </v>
      </c>
      <c r="D1594">
        <f t="shared" si="148"/>
        <v>12</v>
      </c>
      <c r="E1594" t="str">
        <f t="shared" si="144"/>
        <v xml:space="preserve"> 👵🏻 E1.0 old woman: light skin tone</v>
      </c>
      <c r="F1594" t="b">
        <f t="shared" si="149"/>
        <v>1</v>
      </c>
      <c r="G1594" t="str">
        <f t="shared" si="145"/>
        <v>1F475</v>
      </c>
      <c r="I1594">
        <f>HEX2DEC(Table1[[#This Row],[utf8]])</f>
        <v>128117</v>
      </c>
      <c r="J1594" t="str">
        <f>_xlfn.UNICHAR(HEX2DEC(Table1[[#This Row],[utf8]]))</f>
        <v>👵</v>
      </c>
      <c r="K1594" s="3" t="str" cm="1">
        <f t="array" ref="K1594">"Case "&amp;wRandomLetter()&amp;wRandomLetter()&amp;I1594&amp;":    UniConst = ChrW(" &amp; I1594 &amp;")"</f>
        <v>Case LK128117:    UniConst = ChrW(128117)</v>
      </c>
    </row>
    <row r="1595" spans="1:11" hidden="1">
      <c r="A1595" t="s">
        <v>636</v>
      </c>
      <c r="B1595" t="str">
        <f t="shared" si="146"/>
        <v>1F475 1F3FC ; fully-qualified # 👵🏼 E1.0 old woman: medium-light skin tone</v>
      </c>
      <c r="C1595" t="str">
        <f t="shared" si="147"/>
        <v xml:space="preserve">1F475 1F3FC </v>
      </c>
      <c r="D1595">
        <f t="shared" si="148"/>
        <v>12</v>
      </c>
      <c r="E1595" t="str">
        <f t="shared" si="144"/>
        <v xml:space="preserve"> 👵🏼 E1.0 old woman: medium-light skin tone</v>
      </c>
      <c r="F1595" t="b">
        <f t="shared" si="149"/>
        <v>1</v>
      </c>
      <c r="G1595" t="str">
        <f t="shared" si="145"/>
        <v>1F475</v>
      </c>
      <c r="I1595">
        <f>HEX2DEC(Table1[[#This Row],[utf8]])</f>
        <v>128117</v>
      </c>
      <c r="J1595" t="str">
        <f>_xlfn.UNICHAR(HEX2DEC(Table1[[#This Row],[utf8]]))</f>
        <v>👵</v>
      </c>
      <c r="K1595" s="3" t="str" cm="1">
        <f t="array" ref="K1595">"Case "&amp;wRandomLetter()&amp;wRandomLetter()&amp;I1595&amp;":    UniConst = ChrW(" &amp; I1595 &amp;")"</f>
        <v>Case eW128117:    UniConst = ChrW(128117)</v>
      </c>
    </row>
    <row r="1596" spans="1:11" hidden="1">
      <c r="A1596" t="s">
        <v>637</v>
      </c>
      <c r="B1596" t="str">
        <f t="shared" si="146"/>
        <v>1F475 1F3FD ; fully-qualified # 👵🏽 E1.0 old woman: medium skin tone</v>
      </c>
      <c r="C1596" t="str">
        <f t="shared" si="147"/>
        <v xml:space="preserve">1F475 1F3FD </v>
      </c>
      <c r="D1596">
        <f t="shared" si="148"/>
        <v>12</v>
      </c>
      <c r="E1596" t="str">
        <f t="shared" si="144"/>
        <v xml:space="preserve"> 👵🏽 E1.0 old woman: medium skin tone</v>
      </c>
      <c r="F1596" t="b">
        <f t="shared" si="149"/>
        <v>1</v>
      </c>
      <c r="G1596" t="str">
        <f t="shared" si="145"/>
        <v>1F475</v>
      </c>
      <c r="I1596">
        <f>HEX2DEC(Table1[[#This Row],[utf8]])</f>
        <v>128117</v>
      </c>
      <c r="J1596" t="str">
        <f>_xlfn.UNICHAR(HEX2DEC(Table1[[#This Row],[utf8]]))</f>
        <v>👵</v>
      </c>
      <c r="K1596" s="3" t="str" cm="1">
        <f t="array" ref="K1596">"Case "&amp;wRandomLetter()&amp;wRandomLetter()&amp;I1596&amp;":    UniConst = ChrW(" &amp; I1596 &amp;")"</f>
        <v>Case Cf128117:    UniConst = ChrW(128117)</v>
      </c>
    </row>
    <row r="1597" spans="1:11" hidden="1">
      <c r="A1597" t="s">
        <v>638</v>
      </c>
      <c r="B1597" t="str">
        <f t="shared" si="146"/>
        <v>1F475 1F3FE ; fully-qualified # 👵🏾 E1.0 old woman: medium-dark skin tone</v>
      </c>
      <c r="C1597" t="str">
        <f t="shared" si="147"/>
        <v xml:space="preserve">1F475 1F3FE </v>
      </c>
      <c r="D1597">
        <f t="shared" si="148"/>
        <v>12</v>
      </c>
      <c r="E1597" t="str">
        <f t="shared" si="144"/>
        <v xml:space="preserve"> 👵🏾 E1.0 old woman: medium-dark skin tone</v>
      </c>
      <c r="F1597" t="b">
        <f t="shared" si="149"/>
        <v>1</v>
      </c>
      <c r="G1597" t="str">
        <f t="shared" si="145"/>
        <v>1F475</v>
      </c>
      <c r="I1597">
        <f>HEX2DEC(Table1[[#This Row],[utf8]])</f>
        <v>128117</v>
      </c>
      <c r="J1597" t="str">
        <f>_xlfn.UNICHAR(HEX2DEC(Table1[[#This Row],[utf8]]))</f>
        <v>👵</v>
      </c>
      <c r="K1597" s="3" t="str" cm="1">
        <f t="array" ref="K1597">"Case "&amp;wRandomLetter()&amp;wRandomLetter()&amp;I1597&amp;":    UniConst = ChrW(" &amp; I1597 &amp;")"</f>
        <v>Case ao128117:    UniConst = ChrW(128117)</v>
      </c>
    </row>
    <row r="1598" spans="1:11" hidden="1">
      <c r="A1598" t="s">
        <v>639</v>
      </c>
      <c r="B1598" t="str">
        <f t="shared" si="146"/>
        <v>1F475 1F3FF ; fully-qualified # 👵🏿 E1.0 old woman: dark skin tone</v>
      </c>
      <c r="C1598" t="str">
        <f t="shared" si="147"/>
        <v xml:space="preserve">1F475 1F3FF </v>
      </c>
      <c r="D1598">
        <f t="shared" si="148"/>
        <v>12</v>
      </c>
      <c r="E1598" t="str">
        <f t="shared" si="144"/>
        <v xml:space="preserve"> 👵🏿 E1.0 old woman: dark skin tone</v>
      </c>
      <c r="F1598" t="b">
        <f t="shared" si="149"/>
        <v>1</v>
      </c>
      <c r="G1598" t="str">
        <f t="shared" si="145"/>
        <v>1F475</v>
      </c>
      <c r="I1598">
        <f>HEX2DEC(Table1[[#This Row],[utf8]])</f>
        <v>128117</v>
      </c>
      <c r="J1598" t="str">
        <f>_xlfn.UNICHAR(HEX2DEC(Table1[[#This Row],[utf8]]))</f>
        <v>👵</v>
      </c>
      <c r="K1598" s="3" t="str" cm="1">
        <f t="array" ref="K1598">"Case "&amp;wRandomLetter()&amp;wRandomLetter()&amp;I1598&amp;":    UniConst = ChrW(" &amp; I1598 &amp;")"</f>
        <v>Case gC128117:    UniConst = ChrW(128117)</v>
      </c>
    </row>
    <row r="1599" spans="1:11" hidden="1">
      <c r="A1599" t="s">
        <v>448</v>
      </c>
      <c r="B1599" t="str">
        <f t="shared" si="146"/>
        <v>1F476 ; fully-qualified # 👶 E0.6 baby</v>
      </c>
      <c r="C1599" t="str">
        <f t="shared" si="147"/>
        <v xml:space="preserve">1F476 </v>
      </c>
      <c r="D1599">
        <f t="shared" si="148"/>
        <v>6</v>
      </c>
      <c r="E1599" t="str">
        <f t="shared" si="144"/>
        <v xml:space="preserve"> 👶 E0.6 baby</v>
      </c>
      <c r="F1599" t="b">
        <f t="shared" si="149"/>
        <v>1</v>
      </c>
      <c r="G1599" t="str">
        <f t="shared" si="145"/>
        <v>1F476</v>
      </c>
      <c r="I1599">
        <f>HEX2DEC(Table1[[#This Row],[utf8]])</f>
        <v>128118</v>
      </c>
      <c r="J1599" t="str">
        <f>_xlfn.UNICHAR(HEX2DEC(Table1[[#This Row],[utf8]]))</f>
        <v>👶</v>
      </c>
      <c r="K1599" s="3" t="str" cm="1">
        <f t="array" ref="K1599">"Case "&amp;wRandomLetter()&amp;wRandomLetter()&amp;I1599&amp;":    UniConst = ChrW(" &amp; I1599 &amp;")"</f>
        <v>Case JP128118:    UniConst = ChrW(128118)</v>
      </c>
    </row>
    <row r="1600" spans="1:11" hidden="1">
      <c r="A1600" t="s">
        <v>449</v>
      </c>
      <c r="B1600" t="str">
        <f t="shared" si="146"/>
        <v>1F476 1F3FB ; fully-qualified # 👶🏻 E1.0 baby: light skin tone</v>
      </c>
      <c r="C1600" t="str">
        <f t="shared" si="147"/>
        <v xml:space="preserve">1F476 1F3FB </v>
      </c>
      <c r="D1600">
        <f t="shared" si="148"/>
        <v>12</v>
      </c>
      <c r="E1600" t="str">
        <f t="shared" si="144"/>
        <v xml:space="preserve"> 👶🏻 E1.0 baby: light skin tone</v>
      </c>
      <c r="F1600" t="b">
        <f t="shared" si="149"/>
        <v>1</v>
      </c>
      <c r="G1600" t="str">
        <f t="shared" si="145"/>
        <v>1F476</v>
      </c>
      <c r="I1600">
        <f>HEX2DEC(Table1[[#This Row],[utf8]])</f>
        <v>128118</v>
      </c>
      <c r="J1600" t="str">
        <f>_xlfn.UNICHAR(HEX2DEC(Table1[[#This Row],[utf8]]))</f>
        <v>👶</v>
      </c>
      <c r="K1600" s="3" t="str" cm="1">
        <f t="array" ref="K1600">"Case "&amp;wRandomLetter()&amp;wRandomLetter()&amp;I1600&amp;":    UniConst = ChrW(" &amp; I1600 &amp;")"</f>
        <v>Case LL128118:    UniConst = ChrW(128118)</v>
      </c>
    </row>
    <row r="1601" spans="1:11" hidden="1">
      <c r="A1601" t="s">
        <v>450</v>
      </c>
      <c r="B1601" t="str">
        <f t="shared" si="146"/>
        <v>1F476 1F3FC ; fully-qualified # 👶🏼 E1.0 baby: medium-light skin tone</v>
      </c>
      <c r="C1601" t="str">
        <f t="shared" si="147"/>
        <v xml:space="preserve">1F476 1F3FC </v>
      </c>
      <c r="D1601">
        <f t="shared" si="148"/>
        <v>12</v>
      </c>
      <c r="E1601" t="str">
        <f t="shared" si="144"/>
        <v xml:space="preserve"> 👶🏼 E1.0 baby: medium-light skin tone</v>
      </c>
      <c r="F1601" t="b">
        <f t="shared" si="149"/>
        <v>1</v>
      </c>
      <c r="G1601" t="str">
        <f t="shared" si="145"/>
        <v>1F476</v>
      </c>
      <c r="I1601">
        <f>HEX2DEC(Table1[[#This Row],[utf8]])</f>
        <v>128118</v>
      </c>
      <c r="J1601" t="str">
        <f>_xlfn.UNICHAR(HEX2DEC(Table1[[#This Row],[utf8]]))</f>
        <v>👶</v>
      </c>
      <c r="K1601" s="3" t="str" cm="1">
        <f t="array" ref="K1601">"Case "&amp;wRandomLetter()&amp;wRandomLetter()&amp;I1601&amp;":    UniConst = ChrW(" &amp; I1601 &amp;")"</f>
        <v>Case xx128118:    UniConst = ChrW(128118)</v>
      </c>
    </row>
    <row r="1602" spans="1:11" hidden="1">
      <c r="A1602" t="s">
        <v>451</v>
      </c>
      <c r="B1602" t="str">
        <f t="shared" si="146"/>
        <v>1F476 1F3FD ; fully-qualified # 👶🏽 E1.0 baby: medium skin tone</v>
      </c>
      <c r="C1602" t="str">
        <f t="shared" si="147"/>
        <v xml:space="preserve">1F476 1F3FD </v>
      </c>
      <c r="D1602">
        <f t="shared" si="148"/>
        <v>12</v>
      </c>
      <c r="E1602" t="str">
        <f t="shared" ref="E1602:E1665" si="150">MID(A1602,FIND("#",A1602)+1,256)</f>
        <v xml:space="preserve"> 👶🏽 E1.0 baby: medium skin tone</v>
      </c>
      <c r="F1602" t="b">
        <f t="shared" si="149"/>
        <v>1</v>
      </c>
      <c r="G1602" t="str">
        <f t="shared" ref="G1602:G1665" si="151">LEFT(C1602,(FIND(" ",C1602,1)-1))</f>
        <v>1F476</v>
      </c>
      <c r="I1602">
        <f>HEX2DEC(Table1[[#This Row],[utf8]])</f>
        <v>128118</v>
      </c>
      <c r="J1602" t="str">
        <f>_xlfn.UNICHAR(HEX2DEC(Table1[[#This Row],[utf8]]))</f>
        <v>👶</v>
      </c>
      <c r="K1602" s="3" t="str" cm="1">
        <f t="array" ref="K1602">"Case "&amp;wRandomLetter()&amp;wRandomLetter()&amp;I1602&amp;":    UniConst = ChrW(" &amp; I1602 &amp;")"</f>
        <v>Case cB128118:    UniConst = ChrW(128118)</v>
      </c>
    </row>
    <row r="1603" spans="1:11" hidden="1">
      <c r="A1603" t="s">
        <v>452</v>
      </c>
      <c r="B1603" t="str">
        <f t="shared" ref="B1603:B1666" si="152">TRIM(A1603)</f>
        <v>1F476 1F3FE ; fully-qualified # 👶🏾 E1.0 baby: medium-dark skin tone</v>
      </c>
      <c r="C1603" t="str">
        <f t="shared" ref="C1603:C1666" si="153">LEFT(B1603,(FIND(";",B1603,1)-1))</f>
        <v xml:space="preserve">1F476 1F3FE </v>
      </c>
      <c r="D1603">
        <f t="shared" ref="D1603:D1666" si="154">LEN(C1603)</f>
        <v>12</v>
      </c>
      <c r="E1603" t="str">
        <f t="shared" si="150"/>
        <v xml:space="preserve"> 👶🏾 E1.0 baby: medium-dark skin tone</v>
      </c>
      <c r="F1603" t="b">
        <f t="shared" ref="F1603:F1666" si="155">IF(LEFT(C1603,2)="1F",TRUE,FALSE)</f>
        <v>1</v>
      </c>
      <c r="G1603" t="str">
        <f t="shared" si="151"/>
        <v>1F476</v>
      </c>
      <c r="I1603">
        <f>HEX2DEC(Table1[[#This Row],[utf8]])</f>
        <v>128118</v>
      </c>
      <c r="J1603" t="str">
        <f>_xlfn.UNICHAR(HEX2DEC(Table1[[#This Row],[utf8]]))</f>
        <v>👶</v>
      </c>
      <c r="K1603" s="3" t="str" cm="1">
        <f t="array" ref="K1603">"Case "&amp;wRandomLetter()&amp;wRandomLetter()&amp;I1603&amp;":    UniConst = ChrW(" &amp; I1603 &amp;")"</f>
        <v>Case eu128118:    UniConst = ChrW(128118)</v>
      </c>
    </row>
    <row r="1604" spans="1:11" hidden="1">
      <c r="A1604" t="s">
        <v>453</v>
      </c>
      <c r="B1604" t="str">
        <f t="shared" si="152"/>
        <v>1F476 1F3FF ; fully-qualified # 👶🏿 E1.0 baby: dark skin tone</v>
      </c>
      <c r="C1604" t="str">
        <f t="shared" si="153"/>
        <v xml:space="preserve">1F476 1F3FF </v>
      </c>
      <c r="D1604">
        <f t="shared" si="154"/>
        <v>12</v>
      </c>
      <c r="E1604" t="str">
        <f t="shared" si="150"/>
        <v xml:space="preserve"> 👶🏿 E1.0 baby: dark skin tone</v>
      </c>
      <c r="F1604" t="b">
        <f t="shared" si="155"/>
        <v>1</v>
      </c>
      <c r="G1604" t="str">
        <f t="shared" si="151"/>
        <v>1F476</v>
      </c>
      <c r="I1604">
        <f>HEX2DEC(Table1[[#This Row],[utf8]])</f>
        <v>128118</v>
      </c>
      <c r="J1604" t="str">
        <f>_xlfn.UNICHAR(HEX2DEC(Table1[[#This Row],[utf8]]))</f>
        <v>👶</v>
      </c>
      <c r="K1604" s="3" t="str" cm="1">
        <f t="array" ref="K1604">"Case "&amp;wRandomLetter()&amp;wRandomLetter()&amp;I1604&amp;":    UniConst = ChrW(" &amp; I1604 &amp;")"</f>
        <v>Case en128118:    UniConst = ChrW(128118)</v>
      </c>
    </row>
    <row r="1605" spans="1:11" hidden="1">
      <c r="A1605" t="s">
        <v>1385</v>
      </c>
      <c r="B1605" t="str">
        <f t="shared" si="152"/>
        <v>1F477 ; fully-qualified # 👷 E0.6 construction worker</v>
      </c>
      <c r="C1605" t="str">
        <f t="shared" si="153"/>
        <v xml:space="preserve">1F477 </v>
      </c>
      <c r="D1605">
        <f t="shared" si="154"/>
        <v>6</v>
      </c>
      <c r="E1605" t="str">
        <f t="shared" si="150"/>
        <v xml:space="preserve"> 👷 E0.6 construction worker</v>
      </c>
      <c r="F1605" t="b">
        <f t="shared" si="155"/>
        <v>1</v>
      </c>
      <c r="G1605" t="str">
        <f t="shared" si="151"/>
        <v>1F477</v>
      </c>
      <c r="I1605">
        <f>HEX2DEC(Table1[[#This Row],[utf8]])</f>
        <v>128119</v>
      </c>
      <c r="J1605" t="str">
        <f>_xlfn.UNICHAR(HEX2DEC(Table1[[#This Row],[utf8]]))</f>
        <v>👷</v>
      </c>
      <c r="K1605" s="3" t="str" cm="1">
        <f t="array" ref="K1605">"Case "&amp;wRandomLetter()&amp;wRandomLetter()&amp;I1605&amp;":    UniConst = ChrW(" &amp; I1605 &amp;")"</f>
        <v>Case BA128119:    UniConst = ChrW(128119)</v>
      </c>
    </row>
    <row r="1606" spans="1:11" hidden="1">
      <c r="A1606" t="s">
        <v>1386</v>
      </c>
      <c r="B1606" t="str">
        <f t="shared" si="152"/>
        <v>1F477 1F3FB ; fully-qualified # 👷🏻 E1.0 construction worker: light skin tone</v>
      </c>
      <c r="C1606" t="str">
        <f t="shared" si="153"/>
        <v xml:space="preserve">1F477 1F3FB </v>
      </c>
      <c r="D1606">
        <f t="shared" si="154"/>
        <v>12</v>
      </c>
      <c r="E1606" t="str">
        <f t="shared" si="150"/>
        <v xml:space="preserve"> 👷🏻 E1.0 construction worker: light skin tone</v>
      </c>
      <c r="F1606" t="b">
        <f t="shared" si="155"/>
        <v>1</v>
      </c>
      <c r="G1606" t="str">
        <f t="shared" si="151"/>
        <v>1F477</v>
      </c>
      <c r="I1606">
        <f>HEX2DEC(Table1[[#This Row],[utf8]])</f>
        <v>128119</v>
      </c>
      <c r="J1606" t="str">
        <f>_xlfn.UNICHAR(HEX2DEC(Table1[[#This Row],[utf8]]))</f>
        <v>👷</v>
      </c>
      <c r="K1606" s="3" t="str" cm="1">
        <f t="array" ref="K1606">"Case "&amp;wRandomLetter()&amp;wRandomLetter()&amp;I1606&amp;":    UniConst = ChrW(" &amp; I1606 &amp;")"</f>
        <v>Case wx128119:    UniConst = ChrW(128119)</v>
      </c>
    </row>
    <row r="1607" spans="1:11" hidden="1">
      <c r="A1607" t="s">
        <v>1406</v>
      </c>
      <c r="B1607" t="str">
        <f t="shared" si="152"/>
        <v>1F477 1F3FB 200D 2640 ; minimally-qualified # 👷🏻‍♀ E4.0 woman construction worker: light skin tone</v>
      </c>
      <c r="C1607" t="str">
        <f t="shared" si="153"/>
        <v xml:space="preserve">1F477 1F3FB 200D 2640 </v>
      </c>
      <c r="D1607">
        <f t="shared" si="154"/>
        <v>22</v>
      </c>
      <c r="E1607" t="str">
        <f t="shared" si="150"/>
        <v xml:space="preserve"> 👷🏻‍♀ E4.0 woman construction worker: light skin tone</v>
      </c>
      <c r="F1607" t="b">
        <f t="shared" si="155"/>
        <v>1</v>
      </c>
      <c r="G1607" t="str">
        <f t="shared" si="151"/>
        <v>1F477</v>
      </c>
      <c r="I1607">
        <f>HEX2DEC(Table1[[#This Row],[utf8]])</f>
        <v>128119</v>
      </c>
      <c r="J1607" t="str">
        <f>_xlfn.UNICHAR(HEX2DEC(Table1[[#This Row],[utf8]]))</f>
        <v>👷</v>
      </c>
      <c r="K1607" s="3" t="str" cm="1">
        <f t="array" ref="K1607">"Case "&amp;wRandomLetter()&amp;wRandomLetter()&amp;I1607&amp;":    UniConst = ChrW(" &amp; I1607 &amp;")"</f>
        <v>Case RW128119:    UniConst = ChrW(128119)</v>
      </c>
    </row>
    <row r="1608" spans="1:11" hidden="1">
      <c r="A1608" t="s">
        <v>1405</v>
      </c>
      <c r="B1608" t="str">
        <f t="shared" si="152"/>
        <v>1F477 1F3FB 200D 2640 FE0F ; fully-qualified # 👷🏻‍♀️ E4.0 woman construction worker: light skin tone</v>
      </c>
      <c r="C1608" t="str">
        <f t="shared" si="153"/>
        <v xml:space="preserve">1F477 1F3FB 200D 2640 FE0F </v>
      </c>
      <c r="D1608">
        <f t="shared" si="154"/>
        <v>27</v>
      </c>
      <c r="E1608" t="str">
        <f t="shared" si="150"/>
        <v xml:space="preserve"> 👷🏻‍♀️ E4.0 woman construction worker: light skin tone</v>
      </c>
      <c r="F1608" t="b">
        <f t="shared" si="155"/>
        <v>1</v>
      </c>
      <c r="G1608" t="str">
        <f t="shared" si="151"/>
        <v>1F477</v>
      </c>
      <c r="I1608">
        <f>HEX2DEC(Table1[[#This Row],[utf8]])</f>
        <v>128119</v>
      </c>
      <c r="J1608" t="str">
        <f>_xlfn.UNICHAR(HEX2DEC(Table1[[#This Row],[utf8]]))</f>
        <v>👷</v>
      </c>
      <c r="K1608" s="3" t="str" cm="1">
        <f t="array" ref="K1608">"Case "&amp;wRandomLetter()&amp;wRandomLetter()&amp;I1608&amp;":    UniConst = ChrW(" &amp; I1608 &amp;")"</f>
        <v>Case SC128119:    UniConst = ChrW(128119)</v>
      </c>
    </row>
    <row r="1609" spans="1:11" hidden="1">
      <c r="A1609" t="s">
        <v>1394</v>
      </c>
      <c r="B1609" t="str">
        <f t="shared" si="152"/>
        <v>1F477 1F3FB 200D 2642 ; minimally-qualified # 👷🏻‍♂ E4.0 man construction worker: light skin tone</v>
      </c>
      <c r="C1609" t="str">
        <f t="shared" si="153"/>
        <v xml:space="preserve">1F477 1F3FB 200D 2642 </v>
      </c>
      <c r="D1609">
        <f t="shared" si="154"/>
        <v>22</v>
      </c>
      <c r="E1609" t="str">
        <f t="shared" si="150"/>
        <v xml:space="preserve"> 👷🏻‍♂ E4.0 man construction worker: light skin tone</v>
      </c>
      <c r="F1609" t="b">
        <f t="shared" si="155"/>
        <v>1</v>
      </c>
      <c r="G1609" t="str">
        <f t="shared" si="151"/>
        <v>1F477</v>
      </c>
      <c r="I1609">
        <f>HEX2DEC(Table1[[#This Row],[utf8]])</f>
        <v>128119</v>
      </c>
      <c r="J1609" t="str">
        <f>_xlfn.UNICHAR(HEX2DEC(Table1[[#This Row],[utf8]]))</f>
        <v>👷</v>
      </c>
      <c r="K1609" s="3" t="str" cm="1">
        <f t="array" ref="K1609">"Case "&amp;wRandomLetter()&amp;wRandomLetter()&amp;I1609&amp;":    UniConst = ChrW(" &amp; I1609 &amp;")"</f>
        <v>Case Vv128119:    UniConst = ChrW(128119)</v>
      </c>
    </row>
    <row r="1610" spans="1:11" hidden="1">
      <c r="A1610" t="s">
        <v>1393</v>
      </c>
      <c r="B1610" t="str">
        <f t="shared" si="152"/>
        <v>1F477 1F3FB 200D 2642 FE0F ; fully-qualified # 👷🏻‍♂️ E4.0 man construction worker: light skin tone</v>
      </c>
      <c r="C1610" t="str">
        <f t="shared" si="153"/>
        <v xml:space="preserve">1F477 1F3FB 200D 2642 FE0F </v>
      </c>
      <c r="D1610">
        <f t="shared" si="154"/>
        <v>27</v>
      </c>
      <c r="E1610" t="str">
        <f t="shared" si="150"/>
        <v xml:space="preserve"> 👷🏻‍♂️ E4.0 man construction worker: light skin tone</v>
      </c>
      <c r="F1610" t="b">
        <f t="shared" si="155"/>
        <v>1</v>
      </c>
      <c r="G1610" t="str">
        <f t="shared" si="151"/>
        <v>1F477</v>
      </c>
      <c r="I1610">
        <f>HEX2DEC(Table1[[#This Row],[utf8]])</f>
        <v>128119</v>
      </c>
      <c r="J1610" t="str">
        <f>_xlfn.UNICHAR(HEX2DEC(Table1[[#This Row],[utf8]]))</f>
        <v>👷</v>
      </c>
      <c r="K1610" s="3" t="str" cm="1">
        <f t="array" ref="K1610">"Case "&amp;wRandomLetter()&amp;wRandomLetter()&amp;I1610&amp;":    UniConst = ChrW(" &amp; I1610 &amp;")"</f>
        <v>Case zY128119:    UniConst = ChrW(128119)</v>
      </c>
    </row>
    <row r="1611" spans="1:11" hidden="1">
      <c r="A1611" t="s">
        <v>1387</v>
      </c>
      <c r="B1611" t="str">
        <f t="shared" si="152"/>
        <v>1F477 1F3FC ; fully-qualified # 👷🏼 E1.0 construction worker: medium-light skin tone</v>
      </c>
      <c r="C1611" t="str">
        <f t="shared" si="153"/>
        <v xml:space="preserve">1F477 1F3FC </v>
      </c>
      <c r="D1611">
        <f t="shared" si="154"/>
        <v>12</v>
      </c>
      <c r="E1611" t="str">
        <f t="shared" si="150"/>
        <v xml:space="preserve"> 👷🏼 E1.0 construction worker: medium-light skin tone</v>
      </c>
      <c r="F1611" t="b">
        <f t="shared" si="155"/>
        <v>1</v>
      </c>
      <c r="G1611" t="str">
        <f t="shared" si="151"/>
        <v>1F477</v>
      </c>
      <c r="I1611">
        <f>HEX2DEC(Table1[[#This Row],[utf8]])</f>
        <v>128119</v>
      </c>
      <c r="J1611" t="str">
        <f>_xlfn.UNICHAR(HEX2DEC(Table1[[#This Row],[utf8]]))</f>
        <v>👷</v>
      </c>
      <c r="K1611" s="3" t="str" cm="1">
        <f t="array" ref="K1611">"Case "&amp;wRandomLetter()&amp;wRandomLetter()&amp;I1611&amp;":    UniConst = ChrW(" &amp; I1611 &amp;")"</f>
        <v>Case iJ128119:    UniConst = ChrW(128119)</v>
      </c>
    </row>
    <row r="1612" spans="1:11" hidden="1">
      <c r="A1612" t="s">
        <v>1408</v>
      </c>
      <c r="B1612" t="str">
        <f t="shared" si="152"/>
        <v>1F477 1F3FC 200D 2640 ; minimally-qualified # 👷🏼‍♀ E4.0 woman construction worker: medium-light skin tone</v>
      </c>
      <c r="C1612" t="str">
        <f t="shared" si="153"/>
        <v xml:space="preserve">1F477 1F3FC 200D 2640 </v>
      </c>
      <c r="D1612">
        <f t="shared" si="154"/>
        <v>22</v>
      </c>
      <c r="E1612" t="str">
        <f t="shared" si="150"/>
        <v xml:space="preserve"> 👷🏼‍♀ E4.0 woman construction worker: medium-light skin tone</v>
      </c>
      <c r="F1612" t="b">
        <f t="shared" si="155"/>
        <v>1</v>
      </c>
      <c r="G1612" t="str">
        <f t="shared" si="151"/>
        <v>1F477</v>
      </c>
      <c r="I1612">
        <f>HEX2DEC(Table1[[#This Row],[utf8]])</f>
        <v>128119</v>
      </c>
      <c r="J1612" t="str">
        <f>_xlfn.UNICHAR(HEX2DEC(Table1[[#This Row],[utf8]]))</f>
        <v>👷</v>
      </c>
      <c r="K1612" s="3" t="str" cm="1">
        <f t="array" ref="K1612">"Case "&amp;wRandomLetter()&amp;wRandomLetter()&amp;I1612&amp;":    UniConst = ChrW(" &amp; I1612 &amp;")"</f>
        <v>Case Vt128119:    UniConst = ChrW(128119)</v>
      </c>
    </row>
    <row r="1613" spans="1:11" hidden="1">
      <c r="A1613" t="s">
        <v>1407</v>
      </c>
      <c r="B1613" t="str">
        <f t="shared" si="152"/>
        <v>1F477 1F3FC 200D 2640 FE0F ; fully-qualified # 👷🏼‍♀️ E4.0 woman construction worker: medium-light skin tone</v>
      </c>
      <c r="C1613" t="str">
        <f t="shared" si="153"/>
        <v xml:space="preserve">1F477 1F3FC 200D 2640 FE0F </v>
      </c>
      <c r="D1613">
        <f t="shared" si="154"/>
        <v>27</v>
      </c>
      <c r="E1613" t="str">
        <f t="shared" si="150"/>
        <v xml:space="preserve"> 👷🏼‍♀️ E4.0 woman construction worker: medium-light skin tone</v>
      </c>
      <c r="F1613" t="b">
        <f t="shared" si="155"/>
        <v>1</v>
      </c>
      <c r="G1613" t="str">
        <f t="shared" si="151"/>
        <v>1F477</v>
      </c>
      <c r="I1613">
        <f>HEX2DEC(Table1[[#This Row],[utf8]])</f>
        <v>128119</v>
      </c>
      <c r="J1613" t="str">
        <f>_xlfn.UNICHAR(HEX2DEC(Table1[[#This Row],[utf8]]))</f>
        <v>👷</v>
      </c>
      <c r="K1613" s="3" t="str" cm="1">
        <f t="array" ref="K1613">"Case "&amp;wRandomLetter()&amp;wRandomLetter()&amp;I1613&amp;":    UniConst = ChrW(" &amp; I1613 &amp;")"</f>
        <v>Case Gg128119:    UniConst = ChrW(128119)</v>
      </c>
    </row>
    <row r="1614" spans="1:11" hidden="1">
      <c r="A1614" t="s">
        <v>1396</v>
      </c>
      <c r="B1614" t="str">
        <f t="shared" si="152"/>
        <v>1F477 1F3FC 200D 2642 ; minimally-qualified # 👷🏼‍♂ E4.0 man construction worker: medium-light skin tone</v>
      </c>
      <c r="C1614" t="str">
        <f t="shared" si="153"/>
        <v xml:space="preserve">1F477 1F3FC 200D 2642 </v>
      </c>
      <c r="D1614">
        <f t="shared" si="154"/>
        <v>22</v>
      </c>
      <c r="E1614" t="str">
        <f t="shared" si="150"/>
        <v xml:space="preserve"> 👷🏼‍♂ E4.0 man construction worker: medium-light skin tone</v>
      </c>
      <c r="F1614" t="b">
        <f t="shared" si="155"/>
        <v>1</v>
      </c>
      <c r="G1614" t="str">
        <f t="shared" si="151"/>
        <v>1F477</v>
      </c>
      <c r="I1614">
        <f>HEX2DEC(Table1[[#This Row],[utf8]])</f>
        <v>128119</v>
      </c>
      <c r="J1614" t="str">
        <f>_xlfn.UNICHAR(HEX2DEC(Table1[[#This Row],[utf8]]))</f>
        <v>👷</v>
      </c>
      <c r="K1614" s="3" t="str" cm="1">
        <f t="array" ref="K1614">"Case "&amp;wRandomLetter()&amp;wRandomLetter()&amp;I1614&amp;":    UniConst = ChrW(" &amp; I1614 &amp;")"</f>
        <v>Case Sq128119:    UniConst = ChrW(128119)</v>
      </c>
    </row>
    <row r="1615" spans="1:11" hidden="1">
      <c r="A1615" t="s">
        <v>1395</v>
      </c>
      <c r="B1615" t="str">
        <f t="shared" si="152"/>
        <v>1F477 1F3FC 200D 2642 FE0F ; fully-qualified # 👷🏼‍♂️ E4.0 man construction worker: medium-light skin tone</v>
      </c>
      <c r="C1615" t="str">
        <f t="shared" si="153"/>
        <v xml:space="preserve">1F477 1F3FC 200D 2642 FE0F </v>
      </c>
      <c r="D1615">
        <f t="shared" si="154"/>
        <v>27</v>
      </c>
      <c r="E1615" t="str">
        <f t="shared" si="150"/>
        <v xml:space="preserve"> 👷🏼‍♂️ E4.0 man construction worker: medium-light skin tone</v>
      </c>
      <c r="F1615" t="b">
        <f t="shared" si="155"/>
        <v>1</v>
      </c>
      <c r="G1615" t="str">
        <f t="shared" si="151"/>
        <v>1F477</v>
      </c>
      <c r="I1615">
        <f>HEX2DEC(Table1[[#This Row],[utf8]])</f>
        <v>128119</v>
      </c>
      <c r="J1615" t="str">
        <f>_xlfn.UNICHAR(HEX2DEC(Table1[[#This Row],[utf8]]))</f>
        <v>👷</v>
      </c>
      <c r="K1615" s="3" t="str" cm="1">
        <f t="array" ref="K1615">"Case "&amp;wRandomLetter()&amp;wRandomLetter()&amp;I1615&amp;":    UniConst = ChrW(" &amp; I1615 &amp;")"</f>
        <v>Case YR128119:    UniConst = ChrW(128119)</v>
      </c>
    </row>
    <row r="1616" spans="1:11" hidden="1">
      <c r="A1616" t="s">
        <v>1388</v>
      </c>
      <c r="B1616" t="str">
        <f t="shared" si="152"/>
        <v>1F477 1F3FD ; fully-qualified # 👷🏽 E1.0 construction worker: medium skin tone</v>
      </c>
      <c r="C1616" t="str">
        <f t="shared" si="153"/>
        <v xml:space="preserve">1F477 1F3FD </v>
      </c>
      <c r="D1616">
        <f t="shared" si="154"/>
        <v>12</v>
      </c>
      <c r="E1616" t="str">
        <f t="shared" si="150"/>
        <v xml:space="preserve"> 👷🏽 E1.0 construction worker: medium skin tone</v>
      </c>
      <c r="F1616" t="b">
        <f t="shared" si="155"/>
        <v>1</v>
      </c>
      <c r="G1616" t="str">
        <f t="shared" si="151"/>
        <v>1F477</v>
      </c>
      <c r="I1616">
        <f>HEX2DEC(Table1[[#This Row],[utf8]])</f>
        <v>128119</v>
      </c>
      <c r="J1616" t="str">
        <f>_xlfn.UNICHAR(HEX2DEC(Table1[[#This Row],[utf8]]))</f>
        <v>👷</v>
      </c>
      <c r="K1616" s="3" t="str" cm="1">
        <f t="array" ref="K1616">"Case "&amp;wRandomLetter()&amp;wRandomLetter()&amp;I1616&amp;":    UniConst = ChrW(" &amp; I1616 &amp;")"</f>
        <v>Case xW128119:    UniConst = ChrW(128119)</v>
      </c>
    </row>
    <row r="1617" spans="1:11" hidden="1">
      <c r="A1617" t="s">
        <v>1410</v>
      </c>
      <c r="B1617" t="str">
        <f t="shared" si="152"/>
        <v>1F477 1F3FD 200D 2640 ; minimally-qualified # 👷🏽‍♀ E4.0 woman construction worker: medium skin tone</v>
      </c>
      <c r="C1617" t="str">
        <f t="shared" si="153"/>
        <v xml:space="preserve">1F477 1F3FD 200D 2640 </v>
      </c>
      <c r="D1617">
        <f t="shared" si="154"/>
        <v>22</v>
      </c>
      <c r="E1617" t="str">
        <f t="shared" si="150"/>
        <v xml:space="preserve"> 👷🏽‍♀ E4.0 woman construction worker: medium skin tone</v>
      </c>
      <c r="F1617" t="b">
        <f t="shared" si="155"/>
        <v>1</v>
      </c>
      <c r="G1617" t="str">
        <f t="shared" si="151"/>
        <v>1F477</v>
      </c>
      <c r="I1617">
        <f>HEX2DEC(Table1[[#This Row],[utf8]])</f>
        <v>128119</v>
      </c>
      <c r="J1617" t="str">
        <f>_xlfn.UNICHAR(HEX2DEC(Table1[[#This Row],[utf8]]))</f>
        <v>👷</v>
      </c>
      <c r="K1617" s="3" t="str" cm="1">
        <f t="array" ref="K1617">"Case "&amp;wRandomLetter()&amp;wRandomLetter()&amp;I1617&amp;":    UniConst = ChrW(" &amp; I1617 &amp;")"</f>
        <v>Case nK128119:    UniConst = ChrW(128119)</v>
      </c>
    </row>
    <row r="1618" spans="1:11" hidden="1">
      <c r="A1618" t="s">
        <v>1409</v>
      </c>
      <c r="B1618" t="str">
        <f t="shared" si="152"/>
        <v>1F477 1F3FD 200D 2640 FE0F ; fully-qualified # 👷🏽‍♀️ E4.0 woman construction worker: medium skin tone</v>
      </c>
      <c r="C1618" t="str">
        <f t="shared" si="153"/>
        <v xml:space="preserve">1F477 1F3FD 200D 2640 FE0F </v>
      </c>
      <c r="D1618">
        <f t="shared" si="154"/>
        <v>27</v>
      </c>
      <c r="E1618" t="str">
        <f t="shared" si="150"/>
        <v xml:space="preserve"> 👷🏽‍♀️ E4.0 woman construction worker: medium skin tone</v>
      </c>
      <c r="F1618" t="b">
        <f t="shared" si="155"/>
        <v>1</v>
      </c>
      <c r="G1618" t="str">
        <f t="shared" si="151"/>
        <v>1F477</v>
      </c>
      <c r="I1618">
        <f>HEX2DEC(Table1[[#This Row],[utf8]])</f>
        <v>128119</v>
      </c>
      <c r="J1618" t="str">
        <f>_xlfn.UNICHAR(HEX2DEC(Table1[[#This Row],[utf8]]))</f>
        <v>👷</v>
      </c>
      <c r="K1618" s="3" t="str" cm="1">
        <f t="array" ref="K1618">"Case "&amp;wRandomLetter()&amp;wRandomLetter()&amp;I1618&amp;":    UniConst = ChrW(" &amp; I1618 &amp;")"</f>
        <v>Case hn128119:    UniConst = ChrW(128119)</v>
      </c>
    </row>
    <row r="1619" spans="1:11" hidden="1">
      <c r="A1619" t="s">
        <v>1398</v>
      </c>
      <c r="B1619" t="str">
        <f t="shared" si="152"/>
        <v>1F477 1F3FD 200D 2642 ; minimally-qualified # 👷🏽‍♂ E4.0 man construction worker: medium skin tone</v>
      </c>
      <c r="C1619" t="str">
        <f t="shared" si="153"/>
        <v xml:space="preserve">1F477 1F3FD 200D 2642 </v>
      </c>
      <c r="D1619">
        <f t="shared" si="154"/>
        <v>22</v>
      </c>
      <c r="E1619" t="str">
        <f t="shared" si="150"/>
        <v xml:space="preserve"> 👷🏽‍♂ E4.0 man construction worker: medium skin tone</v>
      </c>
      <c r="F1619" t="b">
        <f t="shared" si="155"/>
        <v>1</v>
      </c>
      <c r="G1619" t="str">
        <f t="shared" si="151"/>
        <v>1F477</v>
      </c>
      <c r="I1619">
        <f>HEX2DEC(Table1[[#This Row],[utf8]])</f>
        <v>128119</v>
      </c>
      <c r="J1619" t="str">
        <f>_xlfn.UNICHAR(HEX2DEC(Table1[[#This Row],[utf8]]))</f>
        <v>👷</v>
      </c>
      <c r="K1619" s="3" t="str" cm="1">
        <f t="array" ref="K1619">"Case "&amp;wRandomLetter()&amp;wRandomLetter()&amp;I1619&amp;":    UniConst = ChrW(" &amp; I1619 &amp;")"</f>
        <v>Case Hf128119:    UniConst = ChrW(128119)</v>
      </c>
    </row>
    <row r="1620" spans="1:11" hidden="1">
      <c r="A1620" t="s">
        <v>1397</v>
      </c>
      <c r="B1620" t="str">
        <f t="shared" si="152"/>
        <v>1F477 1F3FD 200D 2642 FE0F ; fully-qualified # 👷🏽‍♂️ E4.0 man construction worker: medium skin tone</v>
      </c>
      <c r="C1620" t="str">
        <f t="shared" si="153"/>
        <v xml:space="preserve">1F477 1F3FD 200D 2642 FE0F </v>
      </c>
      <c r="D1620">
        <f t="shared" si="154"/>
        <v>27</v>
      </c>
      <c r="E1620" t="str">
        <f t="shared" si="150"/>
        <v xml:space="preserve"> 👷🏽‍♂️ E4.0 man construction worker: medium skin tone</v>
      </c>
      <c r="F1620" t="b">
        <f t="shared" si="155"/>
        <v>1</v>
      </c>
      <c r="G1620" t="str">
        <f t="shared" si="151"/>
        <v>1F477</v>
      </c>
      <c r="I1620">
        <f>HEX2DEC(Table1[[#This Row],[utf8]])</f>
        <v>128119</v>
      </c>
      <c r="J1620" t="str">
        <f>_xlfn.UNICHAR(HEX2DEC(Table1[[#This Row],[utf8]]))</f>
        <v>👷</v>
      </c>
      <c r="K1620" s="3" t="str" cm="1">
        <f t="array" ref="K1620">"Case "&amp;wRandomLetter()&amp;wRandomLetter()&amp;I1620&amp;":    UniConst = ChrW(" &amp; I1620 &amp;")"</f>
        <v>Case jI128119:    UniConst = ChrW(128119)</v>
      </c>
    </row>
    <row r="1621" spans="1:11" hidden="1">
      <c r="A1621" t="s">
        <v>1389</v>
      </c>
      <c r="B1621" t="str">
        <f t="shared" si="152"/>
        <v>1F477 1F3FE ; fully-qualified # 👷🏾 E1.0 construction worker: medium-dark skin tone</v>
      </c>
      <c r="C1621" t="str">
        <f t="shared" si="153"/>
        <v xml:space="preserve">1F477 1F3FE </v>
      </c>
      <c r="D1621">
        <f t="shared" si="154"/>
        <v>12</v>
      </c>
      <c r="E1621" t="str">
        <f t="shared" si="150"/>
        <v xml:space="preserve"> 👷🏾 E1.0 construction worker: medium-dark skin tone</v>
      </c>
      <c r="F1621" t="b">
        <f t="shared" si="155"/>
        <v>1</v>
      </c>
      <c r="G1621" t="str">
        <f t="shared" si="151"/>
        <v>1F477</v>
      </c>
      <c r="I1621">
        <f>HEX2DEC(Table1[[#This Row],[utf8]])</f>
        <v>128119</v>
      </c>
      <c r="J1621" t="str">
        <f>_xlfn.UNICHAR(HEX2DEC(Table1[[#This Row],[utf8]]))</f>
        <v>👷</v>
      </c>
      <c r="K1621" s="3" t="str" cm="1">
        <f t="array" ref="K1621">"Case "&amp;wRandomLetter()&amp;wRandomLetter()&amp;I1621&amp;":    UniConst = ChrW(" &amp; I1621 &amp;")"</f>
        <v>Case hN128119:    UniConst = ChrW(128119)</v>
      </c>
    </row>
    <row r="1622" spans="1:11" hidden="1">
      <c r="A1622" t="s">
        <v>1412</v>
      </c>
      <c r="B1622" t="str">
        <f t="shared" si="152"/>
        <v>1F477 1F3FE 200D 2640 ; minimally-qualified # 👷🏾‍♀ E4.0 woman construction worker: medium-dark skin tone</v>
      </c>
      <c r="C1622" t="str">
        <f t="shared" si="153"/>
        <v xml:space="preserve">1F477 1F3FE 200D 2640 </v>
      </c>
      <c r="D1622">
        <f t="shared" si="154"/>
        <v>22</v>
      </c>
      <c r="E1622" t="str">
        <f t="shared" si="150"/>
        <v xml:space="preserve"> 👷🏾‍♀ E4.0 woman construction worker: medium-dark skin tone</v>
      </c>
      <c r="F1622" t="b">
        <f t="shared" si="155"/>
        <v>1</v>
      </c>
      <c r="G1622" t="str">
        <f t="shared" si="151"/>
        <v>1F477</v>
      </c>
      <c r="I1622">
        <f>HEX2DEC(Table1[[#This Row],[utf8]])</f>
        <v>128119</v>
      </c>
      <c r="J1622" t="str">
        <f>_xlfn.UNICHAR(HEX2DEC(Table1[[#This Row],[utf8]]))</f>
        <v>👷</v>
      </c>
      <c r="K1622" s="3" t="str" cm="1">
        <f t="array" ref="K1622">"Case "&amp;wRandomLetter()&amp;wRandomLetter()&amp;I1622&amp;":    UniConst = ChrW(" &amp; I1622 &amp;")"</f>
        <v>Case OP128119:    UniConst = ChrW(128119)</v>
      </c>
    </row>
    <row r="1623" spans="1:11" hidden="1">
      <c r="A1623" t="s">
        <v>1411</v>
      </c>
      <c r="B1623" t="str">
        <f t="shared" si="152"/>
        <v>1F477 1F3FE 200D 2640 FE0F ; fully-qualified # 👷🏾‍♀️ E4.0 woman construction worker: medium-dark skin tone</v>
      </c>
      <c r="C1623" t="str">
        <f t="shared" si="153"/>
        <v xml:space="preserve">1F477 1F3FE 200D 2640 FE0F </v>
      </c>
      <c r="D1623">
        <f t="shared" si="154"/>
        <v>27</v>
      </c>
      <c r="E1623" t="str">
        <f t="shared" si="150"/>
        <v xml:space="preserve"> 👷🏾‍♀️ E4.0 woman construction worker: medium-dark skin tone</v>
      </c>
      <c r="F1623" t="b">
        <f t="shared" si="155"/>
        <v>1</v>
      </c>
      <c r="G1623" t="str">
        <f t="shared" si="151"/>
        <v>1F477</v>
      </c>
      <c r="I1623">
        <f>HEX2DEC(Table1[[#This Row],[utf8]])</f>
        <v>128119</v>
      </c>
      <c r="J1623" t="str">
        <f>_xlfn.UNICHAR(HEX2DEC(Table1[[#This Row],[utf8]]))</f>
        <v>👷</v>
      </c>
      <c r="K1623" s="3" t="str" cm="1">
        <f t="array" ref="K1623">"Case "&amp;wRandomLetter()&amp;wRandomLetter()&amp;I1623&amp;":    UniConst = ChrW(" &amp; I1623 &amp;")"</f>
        <v>Case wL128119:    UniConst = ChrW(128119)</v>
      </c>
    </row>
    <row r="1624" spans="1:11" hidden="1">
      <c r="A1624" t="s">
        <v>1400</v>
      </c>
      <c r="B1624" t="str">
        <f t="shared" si="152"/>
        <v>1F477 1F3FE 200D 2642 ; minimally-qualified # 👷🏾‍♂ E4.0 man construction worker: medium-dark skin tone</v>
      </c>
      <c r="C1624" t="str">
        <f t="shared" si="153"/>
        <v xml:space="preserve">1F477 1F3FE 200D 2642 </v>
      </c>
      <c r="D1624">
        <f t="shared" si="154"/>
        <v>22</v>
      </c>
      <c r="E1624" t="str">
        <f t="shared" si="150"/>
        <v xml:space="preserve"> 👷🏾‍♂ E4.0 man construction worker: medium-dark skin tone</v>
      </c>
      <c r="F1624" t="b">
        <f t="shared" si="155"/>
        <v>1</v>
      </c>
      <c r="G1624" t="str">
        <f t="shared" si="151"/>
        <v>1F477</v>
      </c>
      <c r="I1624">
        <f>HEX2DEC(Table1[[#This Row],[utf8]])</f>
        <v>128119</v>
      </c>
      <c r="J1624" t="str">
        <f>_xlfn.UNICHAR(HEX2DEC(Table1[[#This Row],[utf8]]))</f>
        <v>👷</v>
      </c>
      <c r="K1624" s="3" t="str" cm="1">
        <f t="array" ref="K1624">"Case "&amp;wRandomLetter()&amp;wRandomLetter()&amp;I1624&amp;":    UniConst = ChrW(" &amp; I1624 &amp;")"</f>
        <v>Case oH128119:    UniConst = ChrW(128119)</v>
      </c>
    </row>
    <row r="1625" spans="1:11" hidden="1">
      <c r="A1625" t="s">
        <v>1399</v>
      </c>
      <c r="B1625" t="str">
        <f t="shared" si="152"/>
        <v>1F477 1F3FE 200D 2642 FE0F ; fully-qualified # 👷🏾‍♂️ E4.0 man construction worker: medium-dark skin tone</v>
      </c>
      <c r="C1625" t="str">
        <f t="shared" si="153"/>
        <v xml:space="preserve">1F477 1F3FE 200D 2642 FE0F </v>
      </c>
      <c r="D1625">
        <f t="shared" si="154"/>
        <v>27</v>
      </c>
      <c r="E1625" t="str">
        <f t="shared" si="150"/>
        <v xml:space="preserve"> 👷🏾‍♂️ E4.0 man construction worker: medium-dark skin tone</v>
      </c>
      <c r="F1625" t="b">
        <f t="shared" si="155"/>
        <v>1</v>
      </c>
      <c r="G1625" t="str">
        <f t="shared" si="151"/>
        <v>1F477</v>
      </c>
      <c r="I1625">
        <f>HEX2DEC(Table1[[#This Row],[utf8]])</f>
        <v>128119</v>
      </c>
      <c r="J1625" t="str">
        <f>_xlfn.UNICHAR(HEX2DEC(Table1[[#This Row],[utf8]]))</f>
        <v>👷</v>
      </c>
      <c r="K1625" s="3" t="str" cm="1">
        <f t="array" ref="K1625">"Case "&amp;wRandomLetter()&amp;wRandomLetter()&amp;I1625&amp;":    UniConst = ChrW(" &amp; I1625 &amp;")"</f>
        <v>Case iX128119:    UniConst = ChrW(128119)</v>
      </c>
    </row>
    <row r="1626" spans="1:11" hidden="1">
      <c r="A1626" t="s">
        <v>1390</v>
      </c>
      <c r="B1626" t="str">
        <f t="shared" si="152"/>
        <v>1F477 1F3FF ; fully-qualified # 👷🏿 E1.0 construction worker: dark skin tone</v>
      </c>
      <c r="C1626" t="str">
        <f t="shared" si="153"/>
        <v xml:space="preserve">1F477 1F3FF </v>
      </c>
      <c r="D1626">
        <f t="shared" si="154"/>
        <v>12</v>
      </c>
      <c r="E1626" t="str">
        <f t="shared" si="150"/>
        <v xml:space="preserve"> 👷🏿 E1.0 construction worker: dark skin tone</v>
      </c>
      <c r="F1626" t="b">
        <f t="shared" si="155"/>
        <v>1</v>
      </c>
      <c r="G1626" t="str">
        <f t="shared" si="151"/>
        <v>1F477</v>
      </c>
      <c r="I1626">
        <f>HEX2DEC(Table1[[#This Row],[utf8]])</f>
        <v>128119</v>
      </c>
      <c r="J1626" t="str">
        <f>_xlfn.UNICHAR(HEX2DEC(Table1[[#This Row],[utf8]]))</f>
        <v>👷</v>
      </c>
      <c r="K1626" s="3" t="str" cm="1">
        <f t="array" ref="K1626">"Case "&amp;wRandomLetter()&amp;wRandomLetter()&amp;I1626&amp;":    UniConst = ChrW(" &amp; I1626 &amp;")"</f>
        <v>Case Zi128119:    UniConst = ChrW(128119)</v>
      </c>
    </row>
    <row r="1627" spans="1:11" hidden="1">
      <c r="A1627" t="s">
        <v>1414</v>
      </c>
      <c r="B1627" t="str">
        <f t="shared" si="152"/>
        <v>1F477 1F3FF 200D 2640 ; minimally-qualified # 👷🏿‍♀ E4.0 woman construction worker: dark skin tone</v>
      </c>
      <c r="C1627" t="str">
        <f t="shared" si="153"/>
        <v xml:space="preserve">1F477 1F3FF 200D 2640 </v>
      </c>
      <c r="D1627">
        <f t="shared" si="154"/>
        <v>22</v>
      </c>
      <c r="E1627" t="str">
        <f t="shared" si="150"/>
        <v xml:space="preserve"> 👷🏿‍♀ E4.0 woman construction worker: dark skin tone</v>
      </c>
      <c r="F1627" t="b">
        <f t="shared" si="155"/>
        <v>1</v>
      </c>
      <c r="G1627" t="str">
        <f t="shared" si="151"/>
        <v>1F477</v>
      </c>
      <c r="I1627">
        <f>HEX2DEC(Table1[[#This Row],[utf8]])</f>
        <v>128119</v>
      </c>
      <c r="J1627" t="str">
        <f>_xlfn.UNICHAR(HEX2DEC(Table1[[#This Row],[utf8]]))</f>
        <v>👷</v>
      </c>
      <c r="K1627" s="3" t="str" cm="1">
        <f t="array" ref="K1627">"Case "&amp;wRandomLetter()&amp;wRandomLetter()&amp;I1627&amp;":    UniConst = ChrW(" &amp; I1627 &amp;")"</f>
        <v>Case Gw128119:    UniConst = ChrW(128119)</v>
      </c>
    </row>
    <row r="1628" spans="1:11" hidden="1">
      <c r="A1628" t="s">
        <v>1413</v>
      </c>
      <c r="B1628" t="str">
        <f t="shared" si="152"/>
        <v>1F477 1F3FF 200D 2640 FE0F ; fully-qualified # 👷🏿‍♀️ E4.0 woman construction worker: dark skin tone</v>
      </c>
      <c r="C1628" t="str">
        <f t="shared" si="153"/>
        <v xml:space="preserve">1F477 1F3FF 200D 2640 FE0F </v>
      </c>
      <c r="D1628">
        <f t="shared" si="154"/>
        <v>27</v>
      </c>
      <c r="E1628" t="str">
        <f t="shared" si="150"/>
        <v xml:space="preserve"> 👷🏿‍♀️ E4.0 woman construction worker: dark skin tone</v>
      </c>
      <c r="F1628" t="b">
        <f t="shared" si="155"/>
        <v>1</v>
      </c>
      <c r="G1628" t="str">
        <f t="shared" si="151"/>
        <v>1F477</v>
      </c>
      <c r="I1628">
        <f>HEX2DEC(Table1[[#This Row],[utf8]])</f>
        <v>128119</v>
      </c>
      <c r="J1628" t="str">
        <f>_xlfn.UNICHAR(HEX2DEC(Table1[[#This Row],[utf8]]))</f>
        <v>👷</v>
      </c>
      <c r="K1628" s="3" t="str" cm="1">
        <f t="array" ref="K1628">"Case "&amp;wRandomLetter()&amp;wRandomLetter()&amp;I1628&amp;":    UniConst = ChrW(" &amp; I1628 &amp;")"</f>
        <v>Case Nd128119:    UniConst = ChrW(128119)</v>
      </c>
    </row>
    <row r="1629" spans="1:11" hidden="1">
      <c r="A1629" t="s">
        <v>1402</v>
      </c>
      <c r="B1629" t="str">
        <f t="shared" si="152"/>
        <v>1F477 1F3FF 200D 2642 ; minimally-qualified # 👷🏿‍♂ E4.0 man construction worker: dark skin tone</v>
      </c>
      <c r="C1629" t="str">
        <f t="shared" si="153"/>
        <v xml:space="preserve">1F477 1F3FF 200D 2642 </v>
      </c>
      <c r="D1629">
        <f t="shared" si="154"/>
        <v>22</v>
      </c>
      <c r="E1629" t="str">
        <f t="shared" si="150"/>
        <v xml:space="preserve"> 👷🏿‍♂ E4.0 man construction worker: dark skin tone</v>
      </c>
      <c r="F1629" t="b">
        <f t="shared" si="155"/>
        <v>1</v>
      </c>
      <c r="G1629" t="str">
        <f t="shared" si="151"/>
        <v>1F477</v>
      </c>
      <c r="I1629">
        <f>HEX2DEC(Table1[[#This Row],[utf8]])</f>
        <v>128119</v>
      </c>
      <c r="J1629" t="str">
        <f>_xlfn.UNICHAR(HEX2DEC(Table1[[#This Row],[utf8]]))</f>
        <v>👷</v>
      </c>
      <c r="K1629" s="3" t="str" cm="1">
        <f t="array" ref="K1629">"Case "&amp;wRandomLetter()&amp;wRandomLetter()&amp;I1629&amp;":    UniConst = ChrW(" &amp; I1629 &amp;")"</f>
        <v>Case ae128119:    UniConst = ChrW(128119)</v>
      </c>
    </row>
    <row r="1630" spans="1:11" hidden="1">
      <c r="A1630" t="s">
        <v>1401</v>
      </c>
      <c r="B1630" t="str">
        <f t="shared" si="152"/>
        <v>1F477 1F3FF 200D 2642 FE0F ; fully-qualified # 👷🏿‍♂️ E4.0 man construction worker: dark skin tone</v>
      </c>
      <c r="C1630" t="str">
        <f t="shared" si="153"/>
        <v xml:space="preserve">1F477 1F3FF 200D 2642 FE0F </v>
      </c>
      <c r="D1630">
        <f t="shared" si="154"/>
        <v>27</v>
      </c>
      <c r="E1630" t="str">
        <f t="shared" si="150"/>
        <v xml:space="preserve"> 👷🏿‍♂️ E4.0 man construction worker: dark skin tone</v>
      </c>
      <c r="F1630" t="b">
        <f t="shared" si="155"/>
        <v>1</v>
      </c>
      <c r="G1630" t="str">
        <f t="shared" si="151"/>
        <v>1F477</v>
      </c>
      <c r="I1630">
        <f>HEX2DEC(Table1[[#This Row],[utf8]])</f>
        <v>128119</v>
      </c>
      <c r="J1630" t="str">
        <f>_xlfn.UNICHAR(HEX2DEC(Table1[[#This Row],[utf8]]))</f>
        <v>👷</v>
      </c>
      <c r="K1630" s="3" t="str" cm="1">
        <f t="array" ref="K1630">"Case "&amp;wRandomLetter()&amp;wRandomLetter()&amp;I1630&amp;":    UniConst = ChrW(" &amp; I1630 &amp;")"</f>
        <v>Case mf128119:    UniConst = ChrW(128119)</v>
      </c>
    </row>
    <row r="1631" spans="1:11" hidden="1">
      <c r="A1631" t="s">
        <v>1404</v>
      </c>
      <c r="B1631" t="str">
        <f t="shared" si="152"/>
        <v>1F477 200D 2640 ; minimally-qualified # 👷‍♀ E4.0 woman construction worker</v>
      </c>
      <c r="C1631" t="str">
        <f t="shared" si="153"/>
        <v xml:space="preserve">1F477 200D 2640 </v>
      </c>
      <c r="D1631">
        <f t="shared" si="154"/>
        <v>16</v>
      </c>
      <c r="E1631" t="str">
        <f t="shared" si="150"/>
        <v xml:space="preserve"> 👷‍♀ E4.0 woman construction worker</v>
      </c>
      <c r="F1631" t="b">
        <f t="shared" si="155"/>
        <v>1</v>
      </c>
      <c r="G1631" t="str">
        <f t="shared" si="151"/>
        <v>1F477</v>
      </c>
      <c r="I1631">
        <f>HEX2DEC(Table1[[#This Row],[utf8]])</f>
        <v>128119</v>
      </c>
      <c r="J1631" t="str">
        <f>_xlfn.UNICHAR(HEX2DEC(Table1[[#This Row],[utf8]]))</f>
        <v>👷</v>
      </c>
      <c r="K1631" s="3" t="str" cm="1">
        <f t="array" ref="K1631">"Case "&amp;wRandomLetter()&amp;wRandomLetter()&amp;I1631&amp;":    UniConst = ChrW(" &amp; I1631 &amp;")"</f>
        <v>Case kb128119:    UniConst = ChrW(128119)</v>
      </c>
    </row>
    <row r="1632" spans="1:11" hidden="1">
      <c r="A1632" t="s">
        <v>1403</v>
      </c>
      <c r="B1632" t="str">
        <f t="shared" si="152"/>
        <v>1F477 200D 2640 FE0F ; fully-qualified # 👷‍♀️ E4.0 woman construction worker</v>
      </c>
      <c r="C1632" t="str">
        <f t="shared" si="153"/>
        <v xml:space="preserve">1F477 200D 2640 FE0F </v>
      </c>
      <c r="D1632">
        <f t="shared" si="154"/>
        <v>21</v>
      </c>
      <c r="E1632" t="str">
        <f t="shared" si="150"/>
        <v xml:space="preserve"> 👷‍♀️ E4.0 woman construction worker</v>
      </c>
      <c r="F1632" t="b">
        <f t="shared" si="155"/>
        <v>1</v>
      </c>
      <c r="G1632" t="str">
        <f t="shared" si="151"/>
        <v>1F477</v>
      </c>
      <c r="I1632">
        <f>HEX2DEC(Table1[[#This Row],[utf8]])</f>
        <v>128119</v>
      </c>
      <c r="J1632" t="str">
        <f>_xlfn.UNICHAR(HEX2DEC(Table1[[#This Row],[utf8]]))</f>
        <v>👷</v>
      </c>
      <c r="K1632" s="3" t="str" cm="1">
        <f t="array" ref="K1632">"Case "&amp;wRandomLetter()&amp;wRandomLetter()&amp;I1632&amp;":    UniConst = ChrW(" &amp; I1632 &amp;")"</f>
        <v>Case NV128119:    UniConst = ChrW(128119)</v>
      </c>
    </row>
    <row r="1633" spans="1:11" hidden="1">
      <c r="A1633" t="s">
        <v>1392</v>
      </c>
      <c r="B1633" t="str">
        <f t="shared" si="152"/>
        <v>1F477 200D 2642 ; minimally-qualified # 👷‍♂ E4.0 man construction worker</v>
      </c>
      <c r="C1633" t="str">
        <f t="shared" si="153"/>
        <v xml:space="preserve">1F477 200D 2642 </v>
      </c>
      <c r="D1633">
        <f t="shared" si="154"/>
        <v>16</v>
      </c>
      <c r="E1633" t="str">
        <f t="shared" si="150"/>
        <v xml:space="preserve"> 👷‍♂ E4.0 man construction worker</v>
      </c>
      <c r="F1633" t="b">
        <f t="shared" si="155"/>
        <v>1</v>
      </c>
      <c r="G1633" t="str">
        <f t="shared" si="151"/>
        <v>1F477</v>
      </c>
      <c r="I1633">
        <f>HEX2DEC(Table1[[#This Row],[utf8]])</f>
        <v>128119</v>
      </c>
      <c r="J1633" t="str">
        <f>_xlfn.UNICHAR(HEX2DEC(Table1[[#This Row],[utf8]]))</f>
        <v>👷</v>
      </c>
      <c r="K1633" s="3" t="str" cm="1">
        <f t="array" ref="K1633">"Case "&amp;wRandomLetter()&amp;wRandomLetter()&amp;I1633&amp;":    UniConst = ChrW(" &amp; I1633 &amp;")"</f>
        <v>Case wk128119:    UniConst = ChrW(128119)</v>
      </c>
    </row>
    <row r="1634" spans="1:11" hidden="1">
      <c r="A1634" t="s">
        <v>1391</v>
      </c>
      <c r="B1634" t="str">
        <f t="shared" si="152"/>
        <v>1F477 200D 2642 FE0F ; fully-qualified # 👷‍♂️ E4.0 man construction worker</v>
      </c>
      <c r="C1634" t="str">
        <f t="shared" si="153"/>
        <v xml:space="preserve">1F477 200D 2642 FE0F </v>
      </c>
      <c r="D1634">
        <f t="shared" si="154"/>
        <v>21</v>
      </c>
      <c r="E1634" t="str">
        <f t="shared" si="150"/>
        <v xml:space="preserve"> 👷‍♂️ E4.0 man construction worker</v>
      </c>
      <c r="F1634" t="b">
        <f t="shared" si="155"/>
        <v>1</v>
      </c>
      <c r="G1634" t="str">
        <f t="shared" si="151"/>
        <v>1F477</v>
      </c>
      <c r="I1634">
        <f>HEX2DEC(Table1[[#This Row],[utf8]])</f>
        <v>128119</v>
      </c>
      <c r="J1634" t="str">
        <f>_xlfn.UNICHAR(HEX2DEC(Table1[[#This Row],[utf8]]))</f>
        <v>👷</v>
      </c>
      <c r="K1634" s="3" t="str" cm="1">
        <f t="array" ref="K1634">"Case "&amp;wRandomLetter()&amp;wRandomLetter()&amp;I1634&amp;":    UniConst = ChrW(" &amp; I1634 &amp;")"</f>
        <v>Case EO128119:    UniConst = ChrW(128119)</v>
      </c>
    </row>
    <row r="1635" spans="1:11" hidden="1">
      <c r="A1635" t="s">
        <v>1421</v>
      </c>
      <c r="B1635" t="str">
        <f t="shared" si="152"/>
        <v>1F478 ; fully-qualified # 👸 E0.6 princess</v>
      </c>
      <c r="C1635" t="str">
        <f t="shared" si="153"/>
        <v xml:space="preserve">1F478 </v>
      </c>
      <c r="D1635">
        <f t="shared" si="154"/>
        <v>6</v>
      </c>
      <c r="E1635" t="str">
        <f t="shared" si="150"/>
        <v xml:space="preserve"> 👸 E0.6 princess</v>
      </c>
      <c r="F1635" t="b">
        <f t="shared" si="155"/>
        <v>1</v>
      </c>
      <c r="G1635" t="str">
        <f t="shared" si="151"/>
        <v>1F478</v>
      </c>
      <c r="I1635">
        <f>HEX2DEC(Table1[[#This Row],[utf8]])</f>
        <v>128120</v>
      </c>
      <c r="J1635" t="str">
        <f>_xlfn.UNICHAR(HEX2DEC(Table1[[#This Row],[utf8]]))</f>
        <v>👸</v>
      </c>
      <c r="K1635" s="3" t="str" cm="1">
        <f t="array" ref="K1635">"Case "&amp;wRandomLetter()&amp;wRandomLetter()&amp;I1635&amp;":    UniConst = ChrW(" &amp; I1635 &amp;")"</f>
        <v>Case Oa128120:    UniConst = ChrW(128120)</v>
      </c>
    </row>
    <row r="1636" spans="1:11" hidden="1">
      <c r="A1636" t="s">
        <v>1422</v>
      </c>
      <c r="B1636" t="str">
        <f t="shared" si="152"/>
        <v>1F478 1F3FB ; fully-qualified # 👸🏻 E1.0 princess: light skin tone</v>
      </c>
      <c r="C1636" t="str">
        <f t="shared" si="153"/>
        <v xml:space="preserve">1F478 1F3FB </v>
      </c>
      <c r="D1636">
        <f t="shared" si="154"/>
        <v>12</v>
      </c>
      <c r="E1636" t="str">
        <f t="shared" si="150"/>
        <v xml:space="preserve"> 👸🏻 E1.0 princess: light skin tone</v>
      </c>
      <c r="F1636" t="b">
        <f t="shared" si="155"/>
        <v>1</v>
      </c>
      <c r="G1636" t="str">
        <f t="shared" si="151"/>
        <v>1F478</v>
      </c>
      <c r="I1636">
        <f>HEX2DEC(Table1[[#This Row],[utf8]])</f>
        <v>128120</v>
      </c>
      <c r="J1636" t="str">
        <f>_xlfn.UNICHAR(HEX2DEC(Table1[[#This Row],[utf8]]))</f>
        <v>👸</v>
      </c>
      <c r="K1636" s="3" t="str" cm="1">
        <f t="array" ref="K1636">"Case "&amp;wRandomLetter()&amp;wRandomLetter()&amp;I1636&amp;":    UniConst = ChrW(" &amp; I1636 &amp;")"</f>
        <v>Case ED128120:    UniConst = ChrW(128120)</v>
      </c>
    </row>
    <row r="1637" spans="1:11" hidden="1">
      <c r="A1637" t="s">
        <v>1423</v>
      </c>
      <c r="B1637" t="str">
        <f t="shared" si="152"/>
        <v>1F478 1F3FC ; fully-qualified # 👸🏼 E1.0 princess: medium-light skin tone</v>
      </c>
      <c r="C1637" t="str">
        <f t="shared" si="153"/>
        <v xml:space="preserve">1F478 1F3FC </v>
      </c>
      <c r="D1637">
        <f t="shared" si="154"/>
        <v>12</v>
      </c>
      <c r="E1637" t="str">
        <f t="shared" si="150"/>
        <v xml:space="preserve"> 👸🏼 E1.0 princess: medium-light skin tone</v>
      </c>
      <c r="F1637" t="b">
        <f t="shared" si="155"/>
        <v>1</v>
      </c>
      <c r="G1637" t="str">
        <f t="shared" si="151"/>
        <v>1F478</v>
      </c>
      <c r="I1637">
        <f>HEX2DEC(Table1[[#This Row],[utf8]])</f>
        <v>128120</v>
      </c>
      <c r="J1637" t="str">
        <f>_xlfn.UNICHAR(HEX2DEC(Table1[[#This Row],[utf8]]))</f>
        <v>👸</v>
      </c>
      <c r="K1637" s="3" t="str" cm="1">
        <f t="array" ref="K1637">"Case "&amp;wRandomLetter()&amp;wRandomLetter()&amp;I1637&amp;":    UniConst = ChrW(" &amp; I1637 &amp;")"</f>
        <v>Case xv128120:    UniConst = ChrW(128120)</v>
      </c>
    </row>
    <row r="1638" spans="1:11" hidden="1">
      <c r="A1638" t="s">
        <v>1424</v>
      </c>
      <c r="B1638" t="str">
        <f t="shared" si="152"/>
        <v>1F478 1F3FD ; fully-qualified # 👸🏽 E1.0 princess: medium skin tone</v>
      </c>
      <c r="C1638" t="str">
        <f t="shared" si="153"/>
        <v xml:space="preserve">1F478 1F3FD </v>
      </c>
      <c r="D1638">
        <f t="shared" si="154"/>
        <v>12</v>
      </c>
      <c r="E1638" t="str">
        <f t="shared" si="150"/>
        <v xml:space="preserve"> 👸🏽 E1.0 princess: medium skin tone</v>
      </c>
      <c r="F1638" t="b">
        <f t="shared" si="155"/>
        <v>1</v>
      </c>
      <c r="G1638" t="str">
        <f t="shared" si="151"/>
        <v>1F478</v>
      </c>
      <c r="I1638">
        <f>HEX2DEC(Table1[[#This Row],[utf8]])</f>
        <v>128120</v>
      </c>
      <c r="J1638" t="str">
        <f>_xlfn.UNICHAR(HEX2DEC(Table1[[#This Row],[utf8]]))</f>
        <v>👸</v>
      </c>
      <c r="K1638" s="3" t="str" cm="1">
        <f t="array" ref="K1638">"Case "&amp;wRandomLetter()&amp;wRandomLetter()&amp;I1638&amp;":    UniConst = ChrW(" &amp; I1638 &amp;")"</f>
        <v>Case jc128120:    UniConst = ChrW(128120)</v>
      </c>
    </row>
    <row r="1639" spans="1:11" hidden="1">
      <c r="A1639" t="s">
        <v>1425</v>
      </c>
      <c r="B1639" t="str">
        <f t="shared" si="152"/>
        <v>1F478 1F3FE ; fully-qualified # 👸🏾 E1.0 princess: medium-dark skin tone</v>
      </c>
      <c r="C1639" t="str">
        <f t="shared" si="153"/>
        <v xml:space="preserve">1F478 1F3FE </v>
      </c>
      <c r="D1639">
        <f t="shared" si="154"/>
        <v>12</v>
      </c>
      <c r="E1639" t="str">
        <f t="shared" si="150"/>
        <v xml:space="preserve"> 👸🏾 E1.0 princess: medium-dark skin tone</v>
      </c>
      <c r="F1639" t="b">
        <f t="shared" si="155"/>
        <v>1</v>
      </c>
      <c r="G1639" t="str">
        <f t="shared" si="151"/>
        <v>1F478</v>
      </c>
      <c r="I1639">
        <f>HEX2DEC(Table1[[#This Row],[utf8]])</f>
        <v>128120</v>
      </c>
      <c r="J1639" t="str">
        <f>_xlfn.UNICHAR(HEX2DEC(Table1[[#This Row],[utf8]]))</f>
        <v>👸</v>
      </c>
      <c r="K1639" s="3" t="str" cm="1">
        <f t="array" ref="K1639">"Case "&amp;wRandomLetter()&amp;wRandomLetter()&amp;I1639&amp;":    UniConst = ChrW(" &amp; I1639 &amp;")"</f>
        <v>Case wk128120:    UniConst = ChrW(128120)</v>
      </c>
    </row>
    <row r="1640" spans="1:11" hidden="1">
      <c r="A1640" t="s">
        <v>1426</v>
      </c>
      <c r="B1640" t="str">
        <f t="shared" si="152"/>
        <v>1F478 1F3FF ; fully-qualified # 👸🏿 E1.0 princess: dark skin tone</v>
      </c>
      <c r="C1640" t="str">
        <f t="shared" si="153"/>
        <v xml:space="preserve">1F478 1F3FF </v>
      </c>
      <c r="D1640">
        <f t="shared" si="154"/>
        <v>12</v>
      </c>
      <c r="E1640" t="str">
        <f t="shared" si="150"/>
        <v xml:space="preserve"> 👸🏿 E1.0 princess: dark skin tone</v>
      </c>
      <c r="F1640" t="b">
        <f t="shared" si="155"/>
        <v>1</v>
      </c>
      <c r="G1640" t="str">
        <f t="shared" si="151"/>
        <v>1F478</v>
      </c>
      <c r="I1640">
        <f>HEX2DEC(Table1[[#This Row],[utf8]])</f>
        <v>128120</v>
      </c>
      <c r="J1640" t="str">
        <f>_xlfn.UNICHAR(HEX2DEC(Table1[[#This Row],[utf8]]))</f>
        <v>👸</v>
      </c>
      <c r="K1640" s="3" t="str" cm="1">
        <f t="array" ref="K1640">"Case "&amp;wRandomLetter()&amp;wRandomLetter()&amp;I1640&amp;":    UniConst = ChrW(" &amp; I1640 &amp;")"</f>
        <v>Case rN128120:    UniConst = ChrW(128120)</v>
      </c>
    </row>
    <row r="1641" spans="1:11" hidden="1">
      <c r="A1641" t="s">
        <v>118</v>
      </c>
      <c r="B1641" t="str">
        <f t="shared" si="152"/>
        <v>1F479 ; fully-qualified # 👹 E0.6 ogre</v>
      </c>
      <c r="C1641" t="str">
        <f t="shared" si="153"/>
        <v xml:space="preserve">1F479 </v>
      </c>
      <c r="D1641">
        <f t="shared" si="154"/>
        <v>6</v>
      </c>
      <c r="E1641" t="str">
        <f t="shared" si="150"/>
        <v xml:space="preserve"> 👹 E0.6 ogre</v>
      </c>
      <c r="F1641" t="b">
        <f t="shared" si="155"/>
        <v>1</v>
      </c>
      <c r="G1641" t="str">
        <f t="shared" si="151"/>
        <v>1F479</v>
      </c>
      <c r="I1641">
        <f>HEX2DEC(Table1[[#This Row],[utf8]])</f>
        <v>128121</v>
      </c>
      <c r="J1641" t="str">
        <f>_xlfn.UNICHAR(HEX2DEC(Table1[[#This Row],[utf8]]))</f>
        <v>👹</v>
      </c>
      <c r="K1641" s="3" t="str" cm="1">
        <f t="array" ref="K1641">"Case "&amp;wRandomLetter()&amp;wRandomLetter()&amp;I1641&amp;":    UniConst = ChrW(" &amp; I1641 &amp;")"</f>
        <v>Case TB128121:    UniConst = ChrW(128121)</v>
      </c>
    </row>
    <row r="1642" spans="1:11" hidden="1">
      <c r="A1642" t="s">
        <v>119</v>
      </c>
      <c r="B1642" t="str">
        <f t="shared" si="152"/>
        <v>1F47A ; fully-qualified # 👺 E0.6 goblin</v>
      </c>
      <c r="C1642" t="str">
        <f t="shared" si="153"/>
        <v xml:space="preserve">1F47A </v>
      </c>
      <c r="D1642">
        <f t="shared" si="154"/>
        <v>6</v>
      </c>
      <c r="E1642" t="str">
        <f t="shared" si="150"/>
        <v xml:space="preserve"> 👺 E0.6 goblin</v>
      </c>
      <c r="F1642" t="b">
        <f t="shared" si="155"/>
        <v>1</v>
      </c>
      <c r="G1642" t="str">
        <f t="shared" si="151"/>
        <v>1F47A</v>
      </c>
      <c r="I1642">
        <f>HEX2DEC(Table1[[#This Row],[utf8]])</f>
        <v>128122</v>
      </c>
      <c r="J1642" t="str">
        <f>_xlfn.UNICHAR(HEX2DEC(Table1[[#This Row],[utf8]]))</f>
        <v>👺</v>
      </c>
      <c r="K1642" s="3" t="str" cm="1">
        <f t="array" ref="K1642">"Case "&amp;wRandomLetter()&amp;wRandomLetter()&amp;I1642&amp;":    UniConst = ChrW(" &amp; I1642 &amp;")"</f>
        <v>Case iZ128122:    UniConst = ChrW(128122)</v>
      </c>
    </row>
    <row r="1643" spans="1:11" hidden="1">
      <c r="A1643" t="s">
        <v>120</v>
      </c>
      <c r="B1643" t="str">
        <f t="shared" si="152"/>
        <v>1F47B ; fully-qualified # 👻 E0.6 ghost</v>
      </c>
      <c r="C1643" t="str">
        <f t="shared" si="153"/>
        <v xml:space="preserve">1F47B </v>
      </c>
      <c r="D1643">
        <f t="shared" si="154"/>
        <v>6</v>
      </c>
      <c r="E1643" t="str">
        <f t="shared" si="150"/>
        <v xml:space="preserve"> 👻 E0.6 ghost</v>
      </c>
      <c r="F1643" t="b">
        <f t="shared" si="155"/>
        <v>1</v>
      </c>
      <c r="G1643" t="str">
        <f t="shared" si="151"/>
        <v>1F47B</v>
      </c>
      <c r="I1643">
        <f>HEX2DEC(Table1[[#This Row],[utf8]])</f>
        <v>128123</v>
      </c>
      <c r="J1643" t="str">
        <f>_xlfn.UNICHAR(HEX2DEC(Table1[[#This Row],[utf8]]))</f>
        <v>👻</v>
      </c>
      <c r="K1643" s="3" t="str" cm="1">
        <f t="array" ref="K1643">"Case "&amp;wRandomLetter()&amp;wRandomLetter()&amp;I1643&amp;":    UniConst = ChrW(" &amp; I1643 &amp;")"</f>
        <v>Case wz128123:    UniConst = ChrW(128123)</v>
      </c>
    </row>
    <row r="1644" spans="1:11" hidden="1">
      <c r="A1644" t="s">
        <v>1560</v>
      </c>
      <c r="B1644" t="str">
        <f t="shared" si="152"/>
        <v>1F47C ; fully-qualified # 👼 E0.6 baby angel</v>
      </c>
      <c r="C1644" t="str">
        <f t="shared" si="153"/>
        <v xml:space="preserve">1F47C </v>
      </c>
      <c r="D1644">
        <f t="shared" si="154"/>
        <v>6</v>
      </c>
      <c r="E1644" t="str">
        <f t="shared" si="150"/>
        <v xml:space="preserve"> 👼 E0.6 baby angel</v>
      </c>
      <c r="F1644" t="b">
        <f t="shared" si="155"/>
        <v>1</v>
      </c>
      <c r="G1644" t="str">
        <f t="shared" si="151"/>
        <v>1F47C</v>
      </c>
      <c r="I1644">
        <f>HEX2DEC(Table1[[#This Row],[utf8]])</f>
        <v>128124</v>
      </c>
      <c r="J1644" t="str">
        <f>_xlfn.UNICHAR(HEX2DEC(Table1[[#This Row],[utf8]]))</f>
        <v>👼</v>
      </c>
      <c r="K1644" s="3" t="str" cm="1">
        <f t="array" ref="K1644">"Case "&amp;wRandomLetter()&amp;wRandomLetter()&amp;I1644&amp;":    UniConst = ChrW(" &amp; I1644 &amp;")"</f>
        <v>Case ae128124:    UniConst = ChrW(128124)</v>
      </c>
    </row>
    <row r="1645" spans="1:11" hidden="1">
      <c r="A1645" t="s">
        <v>1561</v>
      </c>
      <c r="B1645" t="str">
        <f t="shared" si="152"/>
        <v>1F47C 1F3FB ; fully-qualified # 👼🏻 E1.0 baby angel: light skin tone</v>
      </c>
      <c r="C1645" t="str">
        <f t="shared" si="153"/>
        <v xml:space="preserve">1F47C 1F3FB </v>
      </c>
      <c r="D1645">
        <f t="shared" si="154"/>
        <v>12</v>
      </c>
      <c r="E1645" t="str">
        <f t="shared" si="150"/>
        <v xml:space="preserve"> 👼🏻 E1.0 baby angel: light skin tone</v>
      </c>
      <c r="F1645" t="b">
        <f t="shared" si="155"/>
        <v>1</v>
      </c>
      <c r="G1645" t="str">
        <f t="shared" si="151"/>
        <v>1F47C</v>
      </c>
      <c r="I1645">
        <f>HEX2DEC(Table1[[#This Row],[utf8]])</f>
        <v>128124</v>
      </c>
      <c r="J1645" t="str">
        <f>_xlfn.UNICHAR(HEX2DEC(Table1[[#This Row],[utf8]]))</f>
        <v>👼</v>
      </c>
      <c r="K1645" s="3" t="str" cm="1">
        <f t="array" ref="K1645">"Case "&amp;wRandomLetter()&amp;wRandomLetter()&amp;I1645&amp;":    UniConst = ChrW(" &amp; I1645 &amp;")"</f>
        <v>Case cj128124:    UniConst = ChrW(128124)</v>
      </c>
    </row>
    <row r="1646" spans="1:11" hidden="1">
      <c r="A1646" t="s">
        <v>1562</v>
      </c>
      <c r="B1646" t="str">
        <f t="shared" si="152"/>
        <v>1F47C 1F3FC ; fully-qualified # 👼🏼 E1.0 baby angel: medium-light skin tone</v>
      </c>
      <c r="C1646" t="str">
        <f t="shared" si="153"/>
        <v xml:space="preserve">1F47C 1F3FC </v>
      </c>
      <c r="D1646">
        <f t="shared" si="154"/>
        <v>12</v>
      </c>
      <c r="E1646" t="str">
        <f t="shared" si="150"/>
        <v xml:space="preserve"> 👼🏼 E1.0 baby angel: medium-light skin tone</v>
      </c>
      <c r="F1646" t="b">
        <f t="shared" si="155"/>
        <v>1</v>
      </c>
      <c r="G1646" t="str">
        <f t="shared" si="151"/>
        <v>1F47C</v>
      </c>
      <c r="I1646">
        <f>HEX2DEC(Table1[[#This Row],[utf8]])</f>
        <v>128124</v>
      </c>
      <c r="J1646" t="str">
        <f>_xlfn.UNICHAR(HEX2DEC(Table1[[#This Row],[utf8]]))</f>
        <v>👼</v>
      </c>
      <c r="K1646" s="3" t="str" cm="1">
        <f t="array" ref="K1646">"Case "&amp;wRandomLetter()&amp;wRandomLetter()&amp;I1646&amp;":    UniConst = ChrW(" &amp; I1646 &amp;")"</f>
        <v>Case HW128124:    UniConst = ChrW(128124)</v>
      </c>
    </row>
    <row r="1647" spans="1:11" hidden="1">
      <c r="A1647" t="s">
        <v>1563</v>
      </c>
      <c r="B1647" t="str">
        <f t="shared" si="152"/>
        <v>1F47C 1F3FD ; fully-qualified # 👼🏽 E1.0 baby angel: medium skin tone</v>
      </c>
      <c r="C1647" t="str">
        <f t="shared" si="153"/>
        <v xml:space="preserve">1F47C 1F3FD </v>
      </c>
      <c r="D1647">
        <f t="shared" si="154"/>
        <v>12</v>
      </c>
      <c r="E1647" t="str">
        <f t="shared" si="150"/>
        <v xml:space="preserve"> 👼🏽 E1.0 baby angel: medium skin tone</v>
      </c>
      <c r="F1647" t="b">
        <f t="shared" si="155"/>
        <v>1</v>
      </c>
      <c r="G1647" t="str">
        <f t="shared" si="151"/>
        <v>1F47C</v>
      </c>
      <c r="I1647">
        <f>HEX2DEC(Table1[[#This Row],[utf8]])</f>
        <v>128124</v>
      </c>
      <c r="J1647" t="str">
        <f>_xlfn.UNICHAR(HEX2DEC(Table1[[#This Row],[utf8]]))</f>
        <v>👼</v>
      </c>
      <c r="K1647" s="3" t="str" cm="1">
        <f t="array" ref="K1647">"Case "&amp;wRandomLetter()&amp;wRandomLetter()&amp;I1647&amp;":    UniConst = ChrW(" &amp; I1647 &amp;")"</f>
        <v>Case pR128124:    UniConst = ChrW(128124)</v>
      </c>
    </row>
    <row r="1648" spans="1:11" hidden="1">
      <c r="A1648" t="s">
        <v>1564</v>
      </c>
      <c r="B1648" t="str">
        <f t="shared" si="152"/>
        <v>1F47C 1F3FE ; fully-qualified # 👼🏾 E1.0 baby angel: medium-dark skin tone</v>
      </c>
      <c r="C1648" t="str">
        <f t="shared" si="153"/>
        <v xml:space="preserve">1F47C 1F3FE </v>
      </c>
      <c r="D1648">
        <f t="shared" si="154"/>
        <v>12</v>
      </c>
      <c r="E1648" t="str">
        <f t="shared" si="150"/>
        <v xml:space="preserve"> 👼🏾 E1.0 baby angel: medium-dark skin tone</v>
      </c>
      <c r="F1648" t="b">
        <f t="shared" si="155"/>
        <v>1</v>
      </c>
      <c r="G1648" t="str">
        <f t="shared" si="151"/>
        <v>1F47C</v>
      </c>
      <c r="I1648">
        <f>HEX2DEC(Table1[[#This Row],[utf8]])</f>
        <v>128124</v>
      </c>
      <c r="J1648" t="str">
        <f>_xlfn.UNICHAR(HEX2DEC(Table1[[#This Row],[utf8]]))</f>
        <v>👼</v>
      </c>
      <c r="K1648" s="3" t="str" cm="1">
        <f t="array" ref="K1648">"Case "&amp;wRandomLetter()&amp;wRandomLetter()&amp;I1648&amp;":    UniConst = ChrW(" &amp; I1648 &amp;")"</f>
        <v>Case qh128124:    UniConst = ChrW(128124)</v>
      </c>
    </row>
    <row r="1649" spans="1:11" hidden="1">
      <c r="A1649" t="s">
        <v>1565</v>
      </c>
      <c r="B1649" t="str">
        <f t="shared" si="152"/>
        <v>1F47C 1F3FF ; fully-qualified # 👼🏿 E1.0 baby angel: dark skin tone</v>
      </c>
      <c r="C1649" t="str">
        <f t="shared" si="153"/>
        <v xml:space="preserve">1F47C 1F3FF </v>
      </c>
      <c r="D1649">
        <f t="shared" si="154"/>
        <v>12</v>
      </c>
      <c r="E1649" t="str">
        <f t="shared" si="150"/>
        <v xml:space="preserve"> 👼🏿 E1.0 baby angel: dark skin tone</v>
      </c>
      <c r="F1649" t="b">
        <f t="shared" si="155"/>
        <v>1</v>
      </c>
      <c r="G1649" t="str">
        <f t="shared" si="151"/>
        <v>1F47C</v>
      </c>
      <c r="I1649">
        <f>HEX2DEC(Table1[[#This Row],[utf8]])</f>
        <v>128124</v>
      </c>
      <c r="J1649" t="str">
        <f>_xlfn.UNICHAR(HEX2DEC(Table1[[#This Row],[utf8]]))</f>
        <v>👼</v>
      </c>
      <c r="K1649" s="3" t="str" cm="1">
        <f t="array" ref="K1649">"Case "&amp;wRandomLetter()&amp;wRandomLetter()&amp;I1649&amp;":    UniConst = ChrW(" &amp; I1649 &amp;")"</f>
        <v>Case Es128124:    UniConst = ChrW(128124)</v>
      </c>
    </row>
    <row r="1650" spans="1:11" hidden="1">
      <c r="A1650" t="s">
        <v>121</v>
      </c>
      <c r="B1650" t="str">
        <f t="shared" si="152"/>
        <v>1F47D ; fully-qualified # 👽 E0.6 alien</v>
      </c>
      <c r="C1650" t="str">
        <f t="shared" si="153"/>
        <v xml:space="preserve">1F47D </v>
      </c>
      <c r="D1650">
        <f t="shared" si="154"/>
        <v>6</v>
      </c>
      <c r="E1650" t="str">
        <f t="shared" si="150"/>
        <v xml:space="preserve"> 👽 E0.6 alien</v>
      </c>
      <c r="F1650" t="b">
        <f t="shared" si="155"/>
        <v>1</v>
      </c>
      <c r="G1650" t="str">
        <f t="shared" si="151"/>
        <v>1F47D</v>
      </c>
      <c r="I1650">
        <f>HEX2DEC(Table1[[#This Row],[utf8]])</f>
        <v>128125</v>
      </c>
      <c r="J1650" t="str">
        <f>_xlfn.UNICHAR(HEX2DEC(Table1[[#This Row],[utf8]]))</f>
        <v>👽</v>
      </c>
      <c r="K1650" s="3" t="str" cm="1">
        <f t="array" ref="K1650">"Case "&amp;wRandomLetter()&amp;wRandomLetter()&amp;I1650&amp;":    UniConst = ChrW(" &amp; I1650 &amp;")"</f>
        <v>Case ad128125:    UniConst = ChrW(128125)</v>
      </c>
    </row>
    <row r="1651" spans="1:11" hidden="1">
      <c r="A1651" t="s">
        <v>122</v>
      </c>
      <c r="B1651" t="str">
        <f t="shared" si="152"/>
        <v>1F47E ; fully-qualified # 👾 E0.6 alien monster</v>
      </c>
      <c r="C1651" t="str">
        <f t="shared" si="153"/>
        <v xml:space="preserve">1F47E </v>
      </c>
      <c r="D1651">
        <f t="shared" si="154"/>
        <v>6</v>
      </c>
      <c r="E1651" t="str">
        <f t="shared" si="150"/>
        <v xml:space="preserve"> 👾 E0.6 alien monster</v>
      </c>
      <c r="F1651" t="b">
        <f t="shared" si="155"/>
        <v>1</v>
      </c>
      <c r="G1651" t="str">
        <f t="shared" si="151"/>
        <v>1F47E</v>
      </c>
      <c r="I1651">
        <f>HEX2DEC(Table1[[#This Row],[utf8]])</f>
        <v>128126</v>
      </c>
      <c r="J1651" t="str">
        <f>_xlfn.UNICHAR(HEX2DEC(Table1[[#This Row],[utf8]]))</f>
        <v>👾</v>
      </c>
      <c r="K1651" s="3" t="str" cm="1">
        <f t="array" ref="K1651">"Case "&amp;wRandomLetter()&amp;wRandomLetter()&amp;I1651&amp;":    UniConst = ChrW(" &amp; I1651 &amp;")"</f>
        <v>Case cO128126:    UniConst = ChrW(128126)</v>
      </c>
    </row>
    <row r="1652" spans="1:11" hidden="1">
      <c r="A1652" t="s">
        <v>111</v>
      </c>
      <c r="B1652" t="str">
        <f t="shared" si="152"/>
        <v>1F47F ; fully-qualified # 👿 E0.6 angry face with horns</v>
      </c>
      <c r="C1652" t="str">
        <f t="shared" si="153"/>
        <v xml:space="preserve">1F47F </v>
      </c>
      <c r="D1652">
        <f t="shared" si="154"/>
        <v>6</v>
      </c>
      <c r="E1652" t="str">
        <f t="shared" si="150"/>
        <v xml:space="preserve"> 👿 E0.6 angry face with horns</v>
      </c>
      <c r="F1652" t="b">
        <f t="shared" si="155"/>
        <v>1</v>
      </c>
      <c r="G1652" t="str">
        <f t="shared" si="151"/>
        <v>1F47F</v>
      </c>
      <c r="I1652">
        <f>HEX2DEC(Table1[[#This Row],[utf8]])</f>
        <v>128127</v>
      </c>
      <c r="J1652" t="str">
        <f>_xlfn.UNICHAR(HEX2DEC(Table1[[#This Row],[utf8]]))</f>
        <v>👿</v>
      </c>
      <c r="K1652" s="3" t="str" cm="1">
        <f t="array" ref="K1652">"Case "&amp;wRandomLetter()&amp;wRandomLetter()&amp;I1652&amp;":    UniConst = ChrW(" &amp; I1652 &amp;")"</f>
        <v>Case zo128127:    UniConst = ChrW(128127)</v>
      </c>
    </row>
    <row r="1653" spans="1:11" hidden="1">
      <c r="A1653" t="s">
        <v>112</v>
      </c>
      <c r="B1653" t="str">
        <f t="shared" si="152"/>
        <v>1F480 ; fully-qualified # 💀 E0.6 skull</v>
      </c>
      <c r="C1653" t="str">
        <f t="shared" si="153"/>
        <v xml:space="preserve">1F480 </v>
      </c>
      <c r="D1653">
        <f t="shared" si="154"/>
        <v>6</v>
      </c>
      <c r="E1653" t="str">
        <f t="shared" si="150"/>
        <v xml:space="preserve"> 💀 E0.6 skull</v>
      </c>
      <c r="F1653" t="b">
        <f t="shared" si="155"/>
        <v>1</v>
      </c>
      <c r="G1653" t="str">
        <f t="shared" si="151"/>
        <v>1F480</v>
      </c>
      <c r="I1653">
        <f>HEX2DEC(Table1[[#This Row],[utf8]])</f>
        <v>128128</v>
      </c>
      <c r="J1653" t="str">
        <f>_xlfn.UNICHAR(HEX2DEC(Table1[[#This Row],[utf8]]))</f>
        <v>💀</v>
      </c>
      <c r="K1653" s="3" t="str" cm="1">
        <f t="array" ref="K1653">"Case "&amp;wRandomLetter()&amp;wRandomLetter()&amp;I1653&amp;":    UniConst = ChrW(" &amp; I1653 &amp;")"</f>
        <v>Case SD128128:    UniConst = ChrW(128128)</v>
      </c>
    </row>
    <row r="1654" spans="1:11" hidden="1">
      <c r="A1654" t="s">
        <v>761</v>
      </c>
      <c r="B1654" t="str">
        <f t="shared" si="152"/>
        <v>1F481 ; fully-qualified # 💁 E0.6 person tipping hand</v>
      </c>
      <c r="C1654" t="str">
        <f t="shared" si="153"/>
        <v xml:space="preserve">1F481 </v>
      </c>
      <c r="D1654">
        <f t="shared" si="154"/>
        <v>6</v>
      </c>
      <c r="E1654" t="str">
        <f t="shared" si="150"/>
        <v xml:space="preserve"> 💁 E0.6 person tipping hand</v>
      </c>
      <c r="F1654" t="b">
        <f t="shared" si="155"/>
        <v>1</v>
      </c>
      <c r="G1654" t="str">
        <f t="shared" si="151"/>
        <v>1F481</v>
      </c>
      <c r="I1654">
        <f>HEX2DEC(Table1[[#This Row],[utf8]])</f>
        <v>128129</v>
      </c>
      <c r="J1654" t="str">
        <f>_xlfn.UNICHAR(HEX2DEC(Table1[[#This Row],[utf8]]))</f>
        <v>💁</v>
      </c>
      <c r="K1654" s="3" t="str" cm="1">
        <f t="array" ref="K1654">"Case "&amp;wRandomLetter()&amp;wRandomLetter()&amp;I1654&amp;":    UniConst = ChrW(" &amp; I1654 &amp;")"</f>
        <v>Case Iq128129:    UniConst = ChrW(128129)</v>
      </c>
    </row>
    <row r="1655" spans="1:11" hidden="1">
      <c r="A1655" t="s">
        <v>762</v>
      </c>
      <c r="B1655" t="str">
        <f t="shared" si="152"/>
        <v>1F481 1F3FB ; fully-qualified # 💁🏻 E1.0 person tipping hand: light skin tone</v>
      </c>
      <c r="C1655" t="str">
        <f t="shared" si="153"/>
        <v xml:space="preserve">1F481 1F3FB </v>
      </c>
      <c r="D1655">
        <f t="shared" si="154"/>
        <v>12</v>
      </c>
      <c r="E1655" t="str">
        <f t="shared" si="150"/>
        <v xml:space="preserve"> 💁🏻 E1.0 person tipping hand: light skin tone</v>
      </c>
      <c r="F1655" t="b">
        <f t="shared" si="155"/>
        <v>1</v>
      </c>
      <c r="G1655" t="str">
        <f t="shared" si="151"/>
        <v>1F481</v>
      </c>
      <c r="I1655">
        <f>HEX2DEC(Table1[[#This Row],[utf8]])</f>
        <v>128129</v>
      </c>
      <c r="J1655" t="str">
        <f>_xlfn.UNICHAR(HEX2DEC(Table1[[#This Row],[utf8]]))</f>
        <v>💁</v>
      </c>
      <c r="K1655" s="3" t="str" cm="1">
        <f t="array" ref="K1655">"Case "&amp;wRandomLetter()&amp;wRandomLetter()&amp;I1655&amp;":    UniConst = ChrW(" &amp; I1655 &amp;")"</f>
        <v>Case Hu128129:    UniConst = ChrW(128129)</v>
      </c>
    </row>
    <row r="1656" spans="1:11" hidden="1">
      <c r="A1656" t="s">
        <v>782</v>
      </c>
      <c r="B1656" t="str">
        <f t="shared" si="152"/>
        <v>1F481 1F3FB 200D 2640 ; minimally-qualified # 💁🏻‍♀ E4.0 woman tipping hand: light skin tone</v>
      </c>
      <c r="C1656" t="str">
        <f t="shared" si="153"/>
        <v xml:space="preserve">1F481 1F3FB 200D 2640 </v>
      </c>
      <c r="D1656">
        <f t="shared" si="154"/>
        <v>22</v>
      </c>
      <c r="E1656" t="str">
        <f t="shared" si="150"/>
        <v xml:space="preserve"> 💁🏻‍♀ E4.0 woman tipping hand: light skin tone</v>
      </c>
      <c r="F1656" t="b">
        <f t="shared" si="155"/>
        <v>1</v>
      </c>
      <c r="G1656" t="str">
        <f t="shared" si="151"/>
        <v>1F481</v>
      </c>
      <c r="I1656">
        <f>HEX2DEC(Table1[[#This Row],[utf8]])</f>
        <v>128129</v>
      </c>
      <c r="J1656" t="str">
        <f>_xlfn.UNICHAR(HEX2DEC(Table1[[#This Row],[utf8]]))</f>
        <v>💁</v>
      </c>
      <c r="K1656" s="3" t="str" cm="1">
        <f t="array" ref="K1656">"Case "&amp;wRandomLetter()&amp;wRandomLetter()&amp;I1656&amp;":    UniConst = ChrW(" &amp; I1656 &amp;")"</f>
        <v>Case Az128129:    UniConst = ChrW(128129)</v>
      </c>
    </row>
    <row r="1657" spans="1:11" hidden="1">
      <c r="A1657" t="s">
        <v>781</v>
      </c>
      <c r="B1657" t="str">
        <f t="shared" si="152"/>
        <v>1F481 1F3FB 200D 2640 FE0F ; fully-qualified # 💁🏻‍♀️ E4.0 woman tipping hand: light skin tone</v>
      </c>
      <c r="C1657" t="str">
        <f t="shared" si="153"/>
        <v xml:space="preserve">1F481 1F3FB 200D 2640 FE0F </v>
      </c>
      <c r="D1657">
        <f t="shared" si="154"/>
        <v>27</v>
      </c>
      <c r="E1657" t="str">
        <f t="shared" si="150"/>
        <v xml:space="preserve"> 💁🏻‍♀️ E4.0 woman tipping hand: light skin tone</v>
      </c>
      <c r="F1657" t="b">
        <f t="shared" si="155"/>
        <v>1</v>
      </c>
      <c r="G1657" t="str">
        <f t="shared" si="151"/>
        <v>1F481</v>
      </c>
      <c r="I1657">
        <f>HEX2DEC(Table1[[#This Row],[utf8]])</f>
        <v>128129</v>
      </c>
      <c r="J1657" t="str">
        <f>_xlfn.UNICHAR(HEX2DEC(Table1[[#This Row],[utf8]]))</f>
        <v>💁</v>
      </c>
      <c r="K1657" s="3" t="str" cm="1">
        <f t="array" ref="K1657">"Case "&amp;wRandomLetter()&amp;wRandomLetter()&amp;I1657&amp;":    UniConst = ChrW(" &amp; I1657 &amp;")"</f>
        <v>Case oq128129:    UniConst = ChrW(128129)</v>
      </c>
    </row>
    <row r="1658" spans="1:11" hidden="1">
      <c r="A1658" t="s">
        <v>770</v>
      </c>
      <c r="B1658" t="str">
        <f t="shared" si="152"/>
        <v>1F481 1F3FB 200D 2642 ; minimally-qualified # 💁🏻‍♂ E4.0 man tipping hand: light skin tone</v>
      </c>
      <c r="C1658" t="str">
        <f t="shared" si="153"/>
        <v xml:space="preserve">1F481 1F3FB 200D 2642 </v>
      </c>
      <c r="D1658">
        <f t="shared" si="154"/>
        <v>22</v>
      </c>
      <c r="E1658" t="str">
        <f t="shared" si="150"/>
        <v xml:space="preserve"> 💁🏻‍♂ E4.0 man tipping hand: light skin tone</v>
      </c>
      <c r="F1658" t="b">
        <f t="shared" si="155"/>
        <v>1</v>
      </c>
      <c r="G1658" t="str">
        <f t="shared" si="151"/>
        <v>1F481</v>
      </c>
      <c r="I1658">
        <f>HEX2DEC(Table1[[#This Row],[utf8]])</f>
        <v>128129</v>
      </c>
      <c r="J1658" t="str">
        <f>_xlfn.UNICHAR(HEX2DEC(Table1[[#This Row],[utf8]]))</f>
        <v>💁</v>
      </c>
      <c r="K1658" s="3" t="str" cm="1">
        <f t="array" ref="K1658">"Case "&amp;wRandomLetter()&amp;wRandomLetter()&amp;I1658&amp;":    UniConst = ChrW(" &amp; I1658 &amp;")"</f>
        <v>Case MG128129:    UniConst = ChrW(128129)</v>
      </c>
    </row>
    <row r="1659" spans="1:11" hidden="1">
      <c r="A1659" t="s">
        <v>769</v>
      </c>
      <c r="B1659" t="str">
        <f t="shared" si="152"/>
        <v>1F481 1F3FB 200D 2642 FE0F ; fully-qualified # 💁🏻‍♂️ E4.0 man tipping hand: light skin tone</v>
      </c>
      <c r="C1659" t="str">
        <f t="shared" si="153"/>
        <v xml:space="preserve">1F481 1F3FB 200D 2642 FE0F </v>
      </c>
      <c r="D1659">
        <f t="shared" si="154"/>
        <v>27</v>
      </c>
      <c r="E1659" t="str">
        <f t="shared" si="150"/>
        <v xml:space="preserve"> 💁🏻‍♂️ E4.0 man tipping hand: light skin tone</v>
      </c>
      <c r="F1659" t="b">
        <f t="shared" si="155"/>
        <v>1</v>
      </c>
      <c r="G1659" t="str">
        <f t="shared" si="151"/>
        <v>1F481</v>
      </c>
      <c r="I1659">
        <f>HEX2DEC(Table1[[#This Row],[utf8]])</f>
        <v>128129</v>
      </c>
      <c r="J1659" t="str">
        <f>_xlfn.UNICHAR(HEX2DEC(Table1[[#This Row],[utf8]]))</f>
        <v>💁</v>
      </c>
      <c r="K1659" s="3" t="str" cm="1">
        <f t="array" ref="K1659">"Case "&amp;wRandomLetter()&amp;wRandomLetter()&amp;I1659&amp;":    UniConst = ChrW(" &amp; I1659 &amp;")"</f>
        <v>Case oq128129:    UniConst = ChrW(128129)</v>
      </c>
    </row>
    <row r="1660" spans="1:11" hidden="1">
      <c r="A1660" t="s">
        <v>763</v>
      </c>
      <c r="B1660" t="str">
        <f t="shared" si="152"/>
        <v>1F481 1F3FC ; fully-qualified # 💁🏼 E1.0 person tipping hand: medium-light skin tone</v>
      </c>
      <c r="C1660" t="str">
        <f t="shared" si="153"/>
        <v xml:space="preserve">1F481 1F3FC </v>
      </c>
      <c r="D1660">
        <f t="shared" si="154"/>
        <v>12</v>
      </c>
      <c r="E1660" t="str">
        <f t="shared" si="150"/>
        <v xml:space="preserve"> 💁🏼 E1.0 person tipping hand: medium-light skin tone</v>
      </c>
      <c r="F1660" t="b">
        <f t="shared" si="155"/>
        <v>1</v>
      </c>
      <c r="G1660" t="str">
        <f t="shared" si="151"/>
        <v>1F481</v>
      </c>
      <c r="I1660">
        <f>HEX2DEC(Table1[[#This Row],[utf8]])</f>
        <v>128129</v>
      </c>
      <c r="J1660" t="str">
        <f>_xlfn.UNICHAR(HEX2DEC(Table1[[#This Row],[utf8]]))</f>
        <v>💁</v>
      </c>
      <c r="K1660" s="3" t="str" cm="1">
        <f t="array" ref="K1660">"Case "&amp;wRandomLetter()&amp;wRandomLetter()&amp;I1660&amp;":    UniConst = ChrW(" &amp; I1660 &amp;")"</f>
        <v>Case FO128129:    UniConst = ChrW(128129)</v>
      </c>
    </row>
    <row r="1661" spans="1:11" hidden="1">
      <c r="A1661" t="s">
        <v>784</v>
      </c>
      <c r="B1661" t="str">
        <f t="shared" si="152"/>
        <v>1F481 1F3FC 200D 2640 ; minimally-qualified # 💁🏼‍♀ E4.0 woman tipping hand: medium-light skin tone</v>
      </c>
      <c r="C1661" t="str">
        <f t="shared" si="153"/>
        <v xml:space="preserve">1F481 1F3FC 200D 2640 </v>
      </c>
      <c r="D1661">
        <f t="shared" si="154"/>
        <v>22</v>
      </c>
      <c r="E1661" t="str">
        <f t="shared" si="150"/>
        <v xml:space="preserve"> 💁🏼‍♀ E4.0 woman tipping hand: medium-light skin tone</v>
      </c>
      <c r="F1661" t="b">
        <f t="shared" si="155"/>
        <v>1</v>
      </c>
      <c r="G1661" t="str">
        <f t="shared" si="151"/>
        <v>1F481</v>
      </c>
      <c r="I1661">
        <f>HEX2DEC(Table1[[#This Row],[utf8]])</f>
        <v>128129</v>
      </c>
      <c r="J1661" t="str">
        <f>_xlfn.UNICHAR(HEX2DEC(Table1[[#This Row],[utf8]]))</f>
        <v>💁</v>
      </c>
      <c r="K1661" s="3" t="str" cm="1">
        <f t="array" ref="K1661">"Case "&amp;wRandomLetter()&amp;wRandomLetter()&amp;I1661&amp;":    UniConst = ChrW(" &amp; I1661 &amp;")"</f>
        <v>Case rN128129:    UniConst = ChrW(128129)</v>
      </c>
    </row>
    <row r="1662" spans="1:11" hidden="1">
      <c r="A1662" t="s">
        <v>783</v>
      </c>
      <c r="B1662" t="str">
        <f t="shared" si="152"/>
        <v>1F481 1F3FC 200D 2640 FE0F ; fully-qualified # 💁🏼‍♀️ E4.0 woman tipping hand: medium-light skin tone</v>
      </c>
      <c r="C1662" t="str">
        <f t="shared" si="153"/>
        <v xml:space="preserve">1F481 1F3FC 200D 2640 FE0F </v>
      </c>
      <c r="D1662">
        <f t="shared" si="154"/>
        <v>27</v>
      </c>
      <c r="E1662" t="str">
        <f t="shared" si="150"/>
        <v xml:space="preserve"> 💁🏼‍♀️ E4.0 woman tipping hand: medium-light skin tone</v>
      </c>
      <c r="F1662" t="b">
        <f t="shared" si="155"/>
        <v>1</v>
      </c>
      <c r="G1662" t="str">
        <f t="shared" si="151"/>
        <v>1F481</v>
      </c>
      <c r="I1662">
        <f>HEX2DEC(Table1[[#This Row],[utf8]])</f>
        <v>128129</v>
      </c>
      <c r="J1662" t="str">
        <f>_xlfn.UNICHAR(HEX2DEC(Table1[[#This Row],[utf8]]))</f>
        <v>💁</v>
      </c>
      <c r="K1662" s="3" t="str" cm="1">
        <f t="array" ref="K1662">"Case "&amp;wRandomLetter()&amp;wRandomLetter()&amp;I1662&amp;":    UniConst = ChrW(" &amp; I1662 &amp;")"</f>
        <v>Case jt128129:    UniConst = ChrW(128129)</v>
      </c>
    </row>
    <row r="1663" spans="1:11" hidden="1">
      <c r="A1663" t="s">
        <v>772</v>
      </c>
      <c r="B1663" t="str">
        <f t="shared" si="152"/>
        <v>1F481 1F3FC 200D 2642 ; minimally-qualified # 💁🏼‍♂ E4.0 man tipping hand: medium-light skin tone</v>
      </c>
      <c r="C1663" t="str">
        <f t="shared" si="153"/>
        <v xml:space="preserve">1F481 1F3FC 200D 2642 </v>
      </c>
      <c r="D1663">
        <f t="shared" si="154"/>
        <v>22</v>
      </c>
      <c r="E1663" t="str">
        <f t="shared" si="150"/>
        <v xml:space="preserve"> 💁🏼‍♂ E4.0 man tipping hand: medium-light skin tone</v>
      </c>
      <c r="F1663" t="b">
        <f t="shared" si="155"/>
        <v>1</v>
      </c>
      <c r="G1663" t="str">
        <f t="shared" si="151"/>
        <v>1F481</v>
      </c>
      <c r="I1663">
        <f>HEX2DEC(Table1[[#This Row],[utf8]])</f>
        <v>128129</v>
      </c>
      <c r="J1663" t="str">
        <f>_xlfn.UNICHAR(HEX2DEC(Table1[[#This Row],[utf8]]))</f>
        <v>💁</v>
      </c>
      <c r="K1663" s="3" t="str" cm="1">
        <f t="array" ref="K1663">"Case "&amp;wRandomLetter()&amp;wRandomLetter()&amp;I1663&amp;":    UniConst = ChrW(" &amp; I1663 &amp;")"</f>
        <v>Case zr128129:    UniConst = ChrW(128129)</v>
      </c>
    </row>
    <row r="1664" spans="1:11" hidden="1">
      <c r="A1664" t="s">
        <v>771</v>
      </c>
      <c r="B1664" t="str">
        <f t="shared" si="152"/>
        <v>1F481 1F3FC 200D 2642 FE0F ; fully-qualified # 💁🏼‍♂️ E4.0 man tipping hand: medium-light skin tone</v>
      </c>
      <c r="C1664" t="str">
        <f t="shared" si="153"/>
        <v xml:space="preserve">1F481 1F3FC 200D 2642 FE0F </v>
      </c>
      <c r="D1664">
        <f t="shared" si="154"/>
        <v>27</v>
      </c>
      <c r="E1664" t="str">
        <f t="shared" si="150"/>
        <v xml:space="preserve"> 💁🏼‍♂️ E4.0 man tipping hand: medium-light skin tone</v>
      </c>
      <c r="F1664" t="b">
        <f t="shared" si="155"/>
        <v>1</v>
      </c>
      <c r="G1664" t="str">
        <f t="shared" si="151"/>
        <v>1F481</v>
      </c>
      <c r="I1664">
        <f>HEX2DEC(Table1[[#This Row],[utf8]])</f>
        <v>128129</v>
      </c>
      <c r="J1664" t="str">
        <f>_xlfn.UNICHAR(HEX2DEC(Table1[[#This Row],[utf8]]))</f>
        <v>💁</v>
      </c>
      <c r="K1664" s="3" t="str" cm="1">
        <f t="array" ref="K1664">"Case "&amp;wRandomLetter()&amp;wRandomLetter()&amp;I1664&amp;":    UniConst = ChrW(" &amp; I1664 &amp;")"</f>
        <v>Case En128129:    UniConst = ChrW(128129)</v>
      </c>
    </row>
    <row r="1665" spans="1:11" hidden="1">
      <c r="A1665" t="s">
        <v>764</v>
      </c>
      <c r="B1665" t="str">
        <f t="shared" si="152"/>
        <v>1F481 1F3FD ; fully-qualified # 💁🏽 E1.0 person tipping hand: medium skin tone</v>
      </c>
      <c r="C1665" t="str">
        <f t="shared" si="153"/>
        <v xml:space="preserve">1F481 1F3FD </v>
      </c>
      <c r="D1665">
        <f t="shared" si="154"/>
        <v>12</v>
      </c>
      <c r="E1665" t="str">
        <f t="shared" si="150"/>
        <v xml:space="preserve"> 💁🏽 E1.0 person tipping hand: medium skin tone</v>
      </c>
      <c r="F1665" t="b">
        <f t="shared" si="155"/>
        <v>1</v>
      </c>
      <c r="G1665" t="str">
        <f t="shared" si="151"/>
        <v>1F481</v>
      </c>
      <c r="I1665">
        <f>HEX2DEC(Table1[[#This Row],[utf8]])</f>
        <v>128129</v>
      </c>
      <c r="J1665" t="str">
        <f>_xlfn.UNICHAR(HEX2DEC(Table1[[#This Row],[utf8]]))</f>
        <v>💁</v>
      </c>
      <c r="K1665" s="3" t="str" cm="1">
        <f t="array" ref="K1665">"Case "&amp;wRandomLetter()&amp;wRandomLetter()&amp;I1665&amp;":    UniConst = ChrW(" &amp; I1665 &amp;")"</f>
        <v>Case jh128129:    UniConst = ChrW(128129)</v>
      </c>
    </row>
    <row r="1666" spans="1:11" hidden="1">
      <c r="A1666" t="s">
        <v>786</v>
      </c>
      <c r="B1666" t="str">
        <f t="shared" si="152"/>
        <v>1F481 1F3FD 200D 2640 ; minimally-qualified # 💁🏽‍♀ E4.0 woman tipping hand: medium skin tone</v>
      </c>
      <c r="C1666" t="str">
        <f t="shared" si="153"/>
        <v xml:space="preserve">1F481 1F3FD 200D 2640 </v>
      </c>
      <c r="D1666">
        <f t="shared" si="154"/>
        <v>22</v>
      </c>
      <c r="E1666" t="str">
        <f t="shared" ref="E1666:E1729" si="156">MID(A1666,FIND("#",A1666)+1,256)</f>
        <v xml:space="preserve"> 💁🏽‍♀ E4.0 woman tipping hand: medium skin tone</v>
      </c>
      <c r="F1666" t="b">
        <f t="shared" si="155"/>
        <v>1</v>
      </c>
      <c r="G1666" t="str">
        <f t="shared" ref="G1666:G1729" si="157">LEFT(C1666,(FIND(" ",C1666,1)-1))</f>
        <v>1F481</v>
      </c>
      <c r="I1666">
        <f>HEX2DEC(Table1[[#This Row],[utf8]])</f>
        <v>128129</v>
      </c>
      <c r="J1666" t="str">
        <f>_xlfn.UNICHAR(HEX2DEC(Table1[[#This Row],[utf8]]))</f>
        <v>💁</v>
      </c>
      <c r="K1666" s="3" t="str" cm="1">
        <f t="array" ref="K1666">"Case "&amp;wRandomLetter()&amp;wRandomLetter()&amp;I1666&amp;":    UniConst = ChrW(" &amp; I1666 &amp;")"</f>
        <v>Case yH128129:    UniConst = ChrW(128129)</v>
      </c>
    </row>
    <row r="1667" spans="1:11" hidden="1">
      <c r="A1667" t="s">
        <v>785</v>
      </c>
      <c r="B1667" t="str">
        <f t="shared" ref="B1667:B1730" si="158">TRIM(A1667)</f>
        <v>1F481 1F3FD 200D 2640 FE0F ; fully-qualified # 💁🏽‍♀️ E4.0 woman tipping hand: medium skin tone</v>
      </c>
      <c r="C1667" t="str">
        <f t="shared" ref="C1667:C1730" si="159">LEFT(B1667,(FIND(";",B1667,1)-1))</f>
        <v xml:space="preserve">1F481 1F3FD 200D 2640 FE0F </v>
      </c>
      <c r="D1667">
        <f t="shared" ref="D1667:D1730" si="160">LEN(C1667)</f>
        <v>27</v>
      </c>
      <c r="E1667" t="str">
        <f t="shared" si="156"/>
        <v xml:space="preserve"> 💁🏽‍♀️ E4.0 woman tipping hand: medium skin tone</v>
      </c>
      <c r="F1667" t="b">
        <f t="shared" ref="F1667:F1730" si="161">IF(LEFT(C1667,2)="1F",TRUE,FALSE)</f>
        <v>1</v>
      </c>
      <c r="G1667" t="str">
        <f t="shared" si="157"/>
        <v>1F481</v>
      </c>
      <c r="I1667">
        <f>HEX2DEC(Table1[[#This Row],[utf8]])</f>
        <v>128129</v>
      </c>
      <c r="J1667" t="str">
        <f>_xlfn.UNICHAR(HEX2DEC(Table1[[#This Row],[utf8]]))</f>
        <v>💁</v>
      </c>
      <c r="K1667" s="3" t="str" cm="1">
        <f t="array" ref="K1667">"Case "&amp;wRandomLetter()&amp;wRandomLetter()&amp;I1667&amp;":    UniConst = ChrW(" &amp; I1667 &amp;")"</f>
        <v>Case iK128129:    UniConst = ChrW(128129)</v>
      </c>
    </row>
    <row r="1668" spans="1:11" hidden="1">
      <c r="A1668" t="s">
        <v>774</v>
      </c>
      <c r="B1668" t="str">
        <f t="shared" si="158"/>
        <v>1F481 1F3FD 200D 2642 ; minimally-qualified # 💁🏽‍♂ E4.0 man tipping hand: medium skin tone</v>
      </c>
      <c r="C1668" t="str">
        <f t="shared" si="159"/>
        <v xml:space="preserve">1F481 1F3FD 200D 2642 </v>
      </c>
      <c r="D1668">
        <f t="shared" si="160"/>
        <v>22</v>
      </c>
      <c r="E1668" t="str">
        <f t="shared" si="156"/>
        <v xml:space="preserve"> 💁🏽‍♂ E4.0 man tipping hand: medium skin tone</v>
      </c>
      <c r="F1668" t="b">
        <f t="shared" si="161"/>
        <v>1</v>
      </c>
      <c r="G1668" t="str">
        <f t="shared" si="157"/>
        <v>1F481</v>
      </c>
      <c r="I1668">
        <f>HEX2DEC(Table1[[#This Row],[utf8]])</f>
        <v>128129</v>
      </c>
      <c r="J1668" t="str">
        <f>_xlfn.UNICHAR(HEX2DEC(Table1[[#This Row],[utf8]]))</f>
        <v>💁</v>
      </c>
      <c r="K1668" s="3" t="str" cm="1">
        <f t="array" ref="K1668">"Case "&amp;wRandomLetter()&amp;wRandomLetter()&amp;I1668&amp;":    UniConst = ChrW(" &amp; I1668 &amp;")"</f>
        <v>Case Md128129:    UniConst = ChrW(128129)</v>
      </c>
    </row>
    <row r="1669" spans="1:11" hidden="1">
      <c r="A1669" t="s">
        <v>773</v>
      </c>
      <c r="B1669" t="str">
        <f t="shared" si="158"/>
        <v>1F481 1F3FD 200D 2642 FE0F ; fully-qualified # 💁🏽‍♂️ E4.0 man tipping hand: medium skin tone</v>
      </c>
      <c r="C1669" t="str">
        <f t="shared" si="159"/>
        <v xml:space="preserve">1F481 1F3FD 200D 2642 FE0F </v>
      </c>
      <c r="D1669">
        <f t="shared" si="160"/>
        <v>27</v>
      </c>
      <c r="E1669" t="str">
        <f t="shared" si="156"/>
        <v xml:space="preserve"> 💁🏽‍♂️ E4.0 man tipping hand: medium skin tone</v>
      </c>
      <c r="F1669" t="b">
        <f t="shared" si="161"/>
        <v>1</v>
      </c>
      <c r="G1669" t="str">
        <f t="shared" si="157"/>
        <v>1F481</v>
      </c>
      <c r="I1669">
        <f>HEX2DEC(Table1[[#This Row],[utf8]])</f>
        <v>128129</v>
      </c>
      <c r="J1669" t="str">
        <f>_xlfn.UNICHAR(HEX2DEC(Table1[[#This Row],[utf8]]))</f>
        <v>💁</v>
      </c>
      <c r="K1669" s="3" t="str" cm="1">
        <f t="array" ref="K1669">"Case "&amp;wRandomLetter()&amp;wRandomLetter()&amp;I1669&amp;":    UniConst = ChrW(" &amp; I1669 &amp;")"</f>
        <v>Case En128129:    UniConst = ChrW(128129)</v>
      </c>
    </row>
    <row r="1670" spans="1:11" hidden="1">
      <c r="A1670" t="s">
        <v>765</v>
      </c>
      <c r="B1670" t="str">
        <f t="shared" si="158"/>
        <v>1F481 1F3FE ; fully-qualified # 💁🏾 E1.0 person tipping hand: medium-dark skin tone</v>
      </c>
      <c r="C1670" t="str">
        <f t="shared" si="159"/>
        <v xml:space="preserve">1F481 1F3FE </v>
      </c>
      <c r="D1670">
        <f t="shared" si="160"/>
        <v>12</v>
      </c>
      <c r="E1670" t="str">
        <f t="shared" si="156"/>
        <v xml:space="preserve"> 💁🏾 E1.0 person tipping hand: medium-dark skin tone</v>
      </c>
      <c r="F1670" t="b">
        <f t="shared" si="161"/>
        <v>1</v>
      </c>
      <c r="G1670" t="str">
        <f t="shared" si="157"/>
        <v>1F481</v>
      </c>
      <c r="I1670">
        <f>HEX2DEC(Table1[[#This Row],[utf8]])</f>
        <v>128129</v>
      </c>
      <c r="J1670" t="str">
        <f>_xlfn.UNICHAR(HEX2DEC(Table1[[#This Row],[utf8]]))</f>
        <v>💁</v>
      </c>
      <c r="K1670" s="3" t="str" cm="1">
        <f t="array" ref="K1670">"Case "&amp;wRandomLetter()&amp;wRandomLetter()&amp;I1670&amp;":    UniConst = ChrW(" &amp; I1670 &amp;")"</f>
        <v>Case Nw128129:    UniConst = ChrW(128129)</v>
      </c>
    </row>
    <row r="1671" spans="1:11" hidden="1">
      <c r="A1671" t="s">
        <v>788</v>
      </c>
      <c r="B1671" t="str">
        <f t="shared" si="158"/>
        <v>1F481 1F3FE 200D 2640 ; minimally-qualified # 💁🏾‍♀ E4.0 woman tipping hand: medium-dark skin tone</v>
      </c>
      <c r="C1671" t="str">
        <f t="shared" si="159"/>
        <v xml:space="preserve">1F481 1F3FE 200D 2640 </v>
      </c>
      <c r="D1671">
        <f t="shared" si="160"/>
        <v>22</v>
      </c>
      <c r="E1671" t="str">
        <f t="shared" si="156"/>
        <v xml:space="preserve"> 💁🏾‍♀ E4.0 woman tipping hand: medium-dark skin tone</v>
      </c>
      <c r="F1671" t="b">
        <f t="shared" si="161"/>
        <v>1</v>
      </c>
      <c r="G1671" t="str">
        <f t="shared" si="157"/>
        <v>1F481</v>
      </c>
      <c r="I1671">
        <f>HEX2DEC(Table1[[#This Row],[utf8]])</f>
        <v>128129</v>
      </c>
      <c r="J1671" t="str">
        <f>_xlfn.UNICHAR(HEX2DEC(Table1[[#This Row],[utf8]]))</f>
        <v>💁</v>
      </c>
      <c r="K1671" s="3" t="str" cm="1">
        <f t="array" ref="K1671">"Case "&amp;wRandomLetter()&amp;wRandomLetter()&amp;I1671&amp;":    UniConst = ChrW(" &amp; I1671 &amp;")"</f>
        <v>Case aV128129:    UniConst = ChrW(128129)</v>
      </c>
    </row>
    <row r="1672" spans="1:11" hidden="1">
      <c r="A1672" t="s">
        <v>787</v>
      </c>
      <c r="B1672" t="str">
        <f t="shared" si="158"/>
        <v>1F481 1F3FE 200D 2640 FE0F ; fully-qualified # 💁🏾‍♀️ E4.0 woman tipping hand: medium-dark skin tone</v>
      </c>
      <c r="C1672" t="str">
        <f t="shared" si="159"/>
        <v xml:space="preserve">1F481 1F3FE 200D 2640 FE0F </v>
      </c>
      <c r="D1672">
        <f t="shared" si="160"/>
        <v>27</v>
      </c>
      <c r="E1672" t="str">
        <f t="shared" si="156"/>
        <v xml:space="preserve"> 💁🏾‍♀️ E4.0 woman tipping hand: medium-dark skin tone</v>
      </c>
      <c r="F1672" t="b">
        <f t="shared" si="161"/>
        <v>1</v>
      </c>
      <c r="G1672" t="str">
        <f t="shared" si="157"/>
        <v>1F481</v>
      </c>
      <c r="I1672">
        <f>HEX2DEC(Table1[[#This Row],[utf8]])</f>
        <v>128129</v>
      </c>
      <c r="J1672" t="str">
        <f>_xlfn.UNICHAR(HEX2DEC(Table1[[#This Row],[utf8]]))</f>
        <v>💁</v>
      </c>
      <c r="K1672" s="3" t="str" cm="1">
        <f t="array" ref="K1672">"Case "&amp;wRandomLetter()&amp;wRandomLetter()&amp;I1672&amp;":    UniConst = ChrW(" &amp; I1672 &amp;")"</f>
        <v>Case He128129:    UniConst = ChrW(128129)</v>
      </c>
    </row>
    <row r="1673" spans="1:11" hidden="1">
      <c r="A1673" t="s">
        <v>776</v>
      </c>
      <c r="B1673" t="str">
        <f t="shared" si="158"/>
        <v>1F481 1F3FE 200D 2642 ; minimally-qualified # 💁🏾‍♂ E4.0 man tipping hand: medium-dark skin tone</v>
      </c>
      <c r="C1673" t="str">
        <f t="shared" si="159"/>
        <v xml:space="preserve">1F481 1F3FE 200D 2642 </v>
      </c>
      <c r="D1673">
        <f t="shared" si="160"/>
        <v>22</v>
      </c>
      <c r="E1673" t="str">
        <f t="shared" si="156"/>
        <v xml:space="preserve"> 💁🏾‍♂ E4.0 man tipping hand: medium-dark skin tone</v>
      </c>
      <c r="F1673" t="b">
        <f t="shared" si="161"/>
        <v>1</v>
      </c>
      <c r="G1673" t="str">
        <f t="shared" si="157"/>
        <v>1F481</v>
      </c>
      <c r="I1673">
        <f>HEX2DEC(Table1[[#This Row],[utf8]])</f>
        <v>128129</v>
      </c>
      <c r="J1673" t="str">
        <f>_xlfn.UNICHAR(HEX2DEC(Table1[[#This Row],[utf8]]))</f>
        <v>💁</v>
      </c>
      <c r="K1673" s="3" t="str" cm="1">
        <f t="array" ref="K1673">"Case "&amp;wRandomLetter()&amp;wRandomLetter()&amp;I1673&amp;":    UniConst = ChrW(" &amp; I1673 &amp;")"</f>
        <v>Case fH128129:    UniConst = ChrW(128129)</v>
      </c>
    </row>
    <row r="1674" spans="1:11" hidden="1">
      <c r="A1674" t="s">
        <v>775</v>
      </c>
      <c r="B1674" t="str">
        <f t="shared" si="158"/>
        <v>1F481 1F3FE 200D 2642 FE0F ; fully-qualified # 💁🏾‍♂️ E4.0 man tipping hand: medium-dark skin tone</v>
      </c>
      <c r="C1674" t="str">
        <f t="shared" si="159"/>
        <v xml:space="preserve">1F481 1F3FE 200D 2642 FE0F </v>
      </c>
      <c r="D1674">
        <f t="shared" si="160"/>
        <v>27</v>
      </c>
      <c r="E1674" t="str">
        <f t="shared" si="156"/>
        <v xml:space="preserve"> 💁🏾‍♂️ E4.0 man tipping hand: medium-dark skin tone</v>
      </c>
      <c r="F1674" t="b">
        <f t="shared" si="161"/>
        <v>1</v>
      </c>
      <c r="G1674" t="str">
        <f t="shared" si="157"/>
        <v>1F481</v>
      </c>
      <c r="I1674">
        <f>HEX2DEC(Table1[[#This Row],[utf8]])</f>
        <v>128129</v>
      </c>
      <c r="J1674" t="str">
        <f>_xlfn.UNICHAR(HEX2DEC(Table1[[#This Row],[utf8]]))</f>
        <v>💁</v>
      </c>
      <c r="K1674" s="3" t="str" cm="1">
        <f t="array" ref="K1674">"Case "&amp;wRandomLetter()&amp;wRandomLetter()&amp;I1674&amp;":    UniConst = ChrW(" &amp; I1674 &amp;")"</f>
        <v>Case oH128129:    UniConst = ChrW(128129)</v>
      </c>
    </row>
    <row r="1675" spans="1:11" hidden="1">
      <c r="A1675" t="s">
        <v>766</v>
      </c>
      <c r="B1675" t="str">
        <f t="shared" si="158"/>
        <v>1F481 1F3FF ; fully-qualified # 💁🏿 E1.0 person tipping hand: dark skin tone</v>
      </c>
      <c r="C1675" t="str">
        <f t="shared" si="159"/>
        <v xml:space="preserve">1F481 1F3FF </v>
      </c>
      <c r="D1675">
        <f t="shared" si="160"/>
        <v>12</v>
      </c>
      <c r="E1675" t="str">
        <f t="shared" si="156"/>
        <v xml:space="preserve"> 💁🏿 E1.0 person tipping hand: dark skin tone</v>
      </c>
      <c r="F1675" t="b">
        <f t="shared" si="161"/>
        <v>1</v>
      </c>
      <c r="G1675" t="str">
        <f t="shared" si="157"/>
        <v>1F481</v>
      </c>
      <c r="I1675">
        <f>HEX2DEC(Table1[[#This Row],[utf8]])</f>
        <v>128129</v>
      </c>
      <c r="J1675" t="str">
        <f>_xlfn.UNICHAR(HEX2DEC(Table1[[#This Row],[utf8]]))</f>
        <v>💁</v>
      </c>
      <c r="K1675" s="3" t="str" cm="1">
        <f t="array" ref="K1675">"Case "&amp;wRandomLetter()&amp;wRandomLetter()&amp;I1675&amp;":    UniConst = ChrW(" &amp; I1675 &amp;")"</f>
        <v>Case gQ128129:    UniConst = ChrW(128129)</v>
      </c>
    </row>
    <row r="1676" spans="1:11" hidden="1">
      <c r="A1676" t="s">
        <v>790</v>
      </c>
      <c r="B1676" t="str">
        <f t="shared" si="158"/>
        <v>1F481 1F3FF 200D 2640 ; minimally-qualified # 💁🏿‍♀ E4.0 woman tipping hand: dark skin tone</v>
      </c>
      <c r="C1676" t="str">
        <f t="shared" si="159"/>
        <v xml:space="preserve">1F481 1F3FF 200D 2640 </v>
      </c>
      <c r="D1676">
        <f t="shared" si="160"/>
        <v>22</v>
      </c>
      <c r="E1676" t="str">
        <f t="shared" si="156"/>
        <v xml:space="preserve"> 💁🏿‍♀ E4.0 woman tipping hand: dark skin tone</v>
      </c>
      <c r="F1676" t="b">
        <f t="shared" si="161"/>
        <v>1</v>
      </c>
      <c r="G1676" t="str">
        <f t="shared" si="157"/>
        <v>1F481</v>
      </c>
      <c r="I1676">
        <f>HEX2DEC(Table1[[#This Row],[utf8]])</f>
        <v>128129</v>
      </c>
      <c r="J1676" t="str">
        <f>_xlfn.UNICHAR(HEX2DEC(Table1[[#This Row],[utf8]]))</f>
        <v>💁</v>
      </c>
      <c r="K1676" s="3" t="str" cm="1">
        <f t="array" ref="K1676">"Case "&amp;wRandomLetter()&amp;wRandomLetter()&amp;I1676&amp;":    UniConst = ChrW(" &amp; I1676 &amp;")"</f>
        <v>Case Iq128129:    UniConst = ChrW(128129)</v>
      </c>
    </row>
    <row r="1677" spans="1:11" hidden="1">
      <c r="A1677" t="s">
        <v>789</v>
      </c>
      <c r="B1677" t="str">
        <f t="shared" si="158"/>
        <v>1F481 1F3FF 200D 2640 FE0F ; fully-qualified # 💁🏿‍♀️ E4.0 woman tipping hand: dark skin tone</v>
      </c>
      <c r="C1677" t="str">
        <f t="shared" si="159"/>
        <v xml:space="preserve">1F481 1F3FF 200D 2640 FE0F </v>
      </c>
      <c r="D1677">
        <f t="shared" si="160"/>
        <v>27</v>
      </c>
      <c r="E1677" t="str">
        <f t="shared" si="156"/>
        <v xml:space="preserve"> 💁🏿‍♀️ E4.0 woman tipping hand: dark skin tone</v>
      </c>
      <c r="F1677" t="b">
        <f t="shared" si="161"/>
        <v>1</v>
      </c>
      <c r="G1677" t="str">
        <f t="shared" si="157"/>
        <v>1F481</v>
      </c>
      <c r="I1677">
        <f>HEX2DEC(Table1[[#This Row],[utf8]])</f>
        <v>128129</v>
      </c>
      <c r="J1677" t="str">
        <f>_xlfn.UNICHAR(HEX2DEC(Table1[[#This Row],[utf8]]))</f>
        <v>💁</v>
      </c>
      <c r="K1677" s="3" t="str" cm="1">
        <f t="array" ref="K1677">"Case "&amp;wRandomLetter()&amp;wRandomLetter()&amp;I1677&amp;":    UniConst = ChrW(" &amp; I1677 &amp;")"</f>
        <v>Case RG128129:    UniConst = ChrW(128129)</v>
      </c>
    </row>
    <row r="1678" spans="1:11" hidden="1">
      <c r="A1678" t="s">
        <v>778</v>
      </c>
      <c r="B1678" t="str">
        <f t="shared" si="158"/>
        <v>1F481 1F3FF 200D 2642 ; minimally-qualified # 💁🏿‍♂ E4.0 man tipping hand: dark skin tone</v>
      </c>
      <c r="C1678" t="str">
        <f t="shared" si="159"/>
        <v xml:space="preserve">1F481 1F3FF 200D 2642 </v>
      </c>
      <c r="D1678">
        <f t="shared" si="160"/>
        <v>22</v>
      </c>
      <c r="E1678" t="str">
        <f t="shared" si="156"/>
        <v xml:space="preserve"> 💁🏿‍♂ E4.0 man tipping hand: dark skin tone</v>
      </c>
      <c r="F1678" t="b">
        <f t="shared" si="161"/>
        <v>1</v>
      </c>
      <c r="G1678" t="str">
        <f t="shared" si="157"/>
        <v>1F481</v>
      </c>
      <c r="I1678">
        <f>HEX2DEC(Table1[[#This Row],[utf8]])</f>
        <v>128129</v>
      </c>
      <c r="J1678" t="str">
        <f>_xlfn.UNICHAR(HEX2DEC(Table1[[#This Row],[utf8]]))</f>
        <v>💁</v>
      </c>
      <c r="K1678" s="3" t="str" cm="1">
        <f t="array" ref="K1678">"Case "&amp;wRandomLetter()&amp;wRandomLetter()&amp;I1678&amp;":    UniConst = ChrW(" &amp; I1678 &amp;")"</f>
        <v>Case mO128129:    UniConst = ChrW(128129)</v>
      </c>
    </row>
    <row r="1679" spans="1:11" hidden="1">
      <c r="A1679" t="s">
        <v>777</v>
      </c>
      <c r="B1679" t="str">
        <f t="shared" si="158"/>
        <v>1F481 1F3FF 200D 2642 FE0F ; fully-qualified # 💁🏿‍♂️ E4.0 man tipping hand: dark skin tone</v>
      </c>
      <c r="C1679" t="str">
        <f t="shared" si="159"/>
        <v xml:space="preserve">1F481 1F3FF 200D 2642 FE0F </v>
      </c>
      <c r="D1679">
        <f t="shared" si="160"/>
        <v>27</v>
      </c>
      <c r="E1679" t="str">
        <f t="shared" si="156"/>
        <v xml:space="preserve"> 💁🏿‍♂️ E4.0 man tipping hand: dark skin tone</v>
      </c>
      <c r="F1679" t="b">
        <f t="shared" si="161"/>
        <v>1</v>
      </c>
      <c r="G1679" t="str">
        <f t="shared" si="157"/>
        <v>1F481</v>
      </c>
      <c r="I1679">
        <f>HEX2DEC(Table1[[#This Row],[utf8]])</f>
        <v>128129</v>
      </c>
      <c r="J1679" t="str">
        <f>_xlfn.UNICHAR(HEX2DEC(Table1[[#This Row],[utf8]]))</f>
        <v>💁</v>
      </c>
      <c r="K1679" s="3" t="str" cm="1">
        <f t="array" ref="K1679">"Case "&amp;wRandomLetter()&amp;wRandomLetter()&amp;I1679&amp;":    UniConst = ChrW(" &amp; I1679 &amp;")"</f>
        <v>Case vR128129:    UniConst = ChrW(128129)</v>
      </c>
    </row>
    <row r="1680" spans="1:11" hidden="1">
      <c r="A1680" t="s">
        <v>780</v>
      </c>
      <c r="B1680" t="str">
        <f t="shared" si="158"/>
        <v>1F481 200D 2640 ; minimally-qualified # 💁‍♀ E4.0 woman tipping hand</v>
      </c>
      <c r="C1680" t="str">
        <f t="shared" si="159"/>
        <v xml:space="preserve">1F481 200D 2640 </v>
      </c>
      <c r="D1680">
        <f t="shared" si="160"/>
        <v>16</v>
      </c>
      <c r="E1680" t="str">
        <f t="shared" si="156"/>
        <v xml:space="preserve"> 💁‍♀ E4.0 woman tipping hand</v>
      </c>
      <c r="F1680" t="b">
        <f t="shared" si="161"/>
        <v>1</v>
      </c>
      <c r="G1680" t="str">
        <f t="shared" si="157"/>
        <v>1F481</v>
      </c>
      <c r="I1680">
        <f>HEX2DEC(Table1[[#This Row],[utf8]])</f>
        <v>128129</v>
      </c>
      <c r="J1680" t="str">
        <f>_xlfn.UNICHAR(HEX2DEC(Table1[[#This Row],[utf8]]))</f>
        <v>💁</v>
      </c>
      <c r="K1680" s="3" t="str" cm="1">
        <f t="array" ref="K1680">"Case "&amp;wRandomLetter()&amp;wRandomLetter()&amp;I1680&amp;":    UniConst = ChrW(" &amp; I1680 &amp;")"</f>
        <v>Case GM128129:    UniConst = ChrW(128129)</v>
      </c>
    </row>
    <row r="1681" spans="1:11" hidden="1">
      <c r="A1681" t="s">
        <v>779</v>
      </c>
      <c r="B1681" t="str">
        <f t="shared" si="158"/>
        <v>1F481 200D 2640 FE0F ; fully-qualified # 💁‍♀️ E4.0 woman tipping hand</v>
      </c>
      <c r="C1681" t="str">
        <f t="shared" si="159"/>
        <v xml:space="preserve">1F481 200D 2640 FE0F </v>
      </c>
      <c r="D1681">
        <f t="shared" si="160"/>
        <v>21</v>
      </c>
      <c r="E1681" t="str">
        <f t="shared" si="156"/>
        <v xml:space="preserve"> 💁‍♀️ E4.0 woman tipping hand</v>
      </c>
      <c r="F1681" t="b">
        <f t="shared" si="161"/>
        <v>1</v>
      </c>
      <c r="G1681" t="str">
        <f t="shared" si="157"/>
        <v>1F481</v>
      </c>
      <c r="I1681">
        <f>HEX2DEC(Table1[[#This Row],[utf8]])</f>
        <v>128129</v>
      </c>
      <c r="J1681" t="str">
        <f>_xlfn.UNICHAR(HEX2DEC(Table1[[#This Row],[utf8]]))</f>
        <v>💁</v>
      </c>
      <c r="K1681" s="3" t="str" cm="1">
        <f t="array" ref="K1681">"Case "&amp;wRandomLetter()&amp;wRandomLetter()&amp;I1681&amp;":    UniConst = ChrW(" &amp; I1681 &amp;")"</f>
        <v>Case Je128129:    UniConst = ChrW(128129)</v>
      </c>
    </row>
    <row r="1682" spans="1:11" hidden="1">
      <c r="A1682" t="s">
        <v>768</v>
      </c>
      <c r="B1682" t="str">
        <f t="shared" si="158"/>
        <v>1F481 200D 2642 ; minimally-qualified # 💁‍♂ E4.0 man tipping hand</v>
      </c>
      <c r="C1682" t="str">
        <f t="shared" si="159"/>
        <v xml:space="preserve">1F481 200D 2642 </v>
      </c>
      <c r="D1682">
        <f t="shared" si="160"/>
        <v>16</v>
      </c>
      <c r="E1682" t="str">
        <f t="shared" si="156"/>
        <v xml:space="preserve"> 💁‍♂ E4.0 man tipping hand</v>
      </c>
      <c r="F1682" t="b">
        <f t="shared" si="161"/>
        <v>1</v>
      </c>
      <c r="G1682" t="str">
        <f t="shared" si="157"/>
        <v>1F481</v>
      </c>
      <c r="I1682">
        <f>HEX2DEC(Table1[[#This Row],[utf8]])</f>
        <v>128129</v>
      </c>
      <c r="J1682" t="str">
        <f>_xlfn.UNICHAR(HEX2DEC(Table1[[#This Row],[utf8]]))</f>
        <v>💁</v>
      </c>
      <c r="K1682" s="3" t="str" cm="1">
        <f t="array" ref="K1682">"Case "&amp;wRandomLetter()&amp;wRandomLetter()&amp;I1682&amp;":    UniConst = ChrW(" &amp; I1682 &amp;")"</f>
        <v>Case eu128129:    UniConst = ChrW(128129)</v>
      </c>
    </row>
    <row r="1683" spans="1:11" hidden="1">
      <c r="A1683" t="s">
        <v>767</v>
      </c>
      <c r="B1683" t="str">
        <f t="shared" si="158"/>
        <v>1F481 200D 2642 FE0F ; fully-qualified # 💁‍♂️ E4.0 man tipping hand</v>
      </c>
      <c r="C1683" t="str">
        <f t="shared" si="159"/>
        <v xml:space="preserve">1F481 200D 2642 FE0F </v>
      </c>
      <c r="D1683">
        <f t="shared" si="160"/>
        <v>21</v>
      </c>
      <c r="E1683" t="str">
        <f t="shared" si="156"/>
        <v xml:space="preserve"> 💁‍♂️ E4.0 man tipping hand</v>
      </c>
      <c r="F1683" t="b">
        <f t="shared" si="161"/>
        <v>1</v>
      </c>
      <c r="G1683" t="str">
        <f t="shared" si="157"/>
        <v>1F481</v>
      </c>
      <c r="I1683">
        <f>HEX2DEC(Table1[[#This Row],[utf8]])</f>
        <v>128129</v>
      </c>
      <c r="J1683" t="str">
        <f>_xlfn.UNICHAR(HEX2DEC(Table1[[#This Row],[utf8]]))</f>
        <v>💁</v>
      </c>
      <c r="K1683" s="3" t="str" cm="1">
        <f t="array" ref="K1683">"Case "&amp;wRandomLetter()&amp;wRandomLetter()&amp;I1683&amp;":    UniConst = ChrW(" &amp; I1683 &amp;")"</f>
        <v>Case SS128129:    UniConst = ChrW(128129)</v>
      </c>
    </row>
    <row r="1684" spans="1:11" hidden="1">
      <c r="A1684" t="s">
        <v>1349</v>
      </c>
      <c r="B1684" t="str">
        <f t="shared" si="158"/>
        <v>1F482 ; fully-qualified # 💂 E0.6 guard</v>
      </c>
      <c r="C1684" t="str">
        <f t="shared" si="159"/>
        <v xml:space="preserve">1F482 </v>
      </c>
      <c r="D1684">
        <f t="shared" si="160"/>
        <v>6</v>
      </c>
      <c r="E1684" t="str">
        <f t="shared" si="156"/>
        <v xml:space="preserve"> 💂 E0.6 guard</v>
      </c>
      <c r="F1684" t="b">
        <f t="shared" si="161"/>
        <v>1</v>
      </c>
      <c r="G1684" t="str">
        <f t="shared" si="157"/>
        <v>1F482</v>
      </c>
      <c r="I1684">
        <f>HEX2DEC(Table1[[#This Row],[utf8]])</f>
        <v>128130</v>
      </c>
      <c r="J1684" t="str">
        <f>_xlfn.UNICHAR(HEX2DEC(Table1[[#This Row],[utf8]]))</f>
        <v>💂</v>
      </c>
      <c r="K1684" s="3" t="str" cm="1">
        <f t="array" ref="K1684">"Case "&amp;wRandomLetter()&amp;wRandomLetter()&amp;I1684&amp;":    UniConst = ChrW(" &amp; I1684 &amp;")"</f>
        <v>Case kU128130:    UniConst = ChrW(128130)</v>
      </c>
    </row>
    <row r="1685" spans="1:11" hidden="1">
      <c r="A1685" t="s">
        <v>1350</v>
      </c>
      <c r="B1685" t="str">
        <f t="shared" si="158"/>
        <v>1F482 1F3FB ; fully-qualified # 💂🏻 E1.0 guard: light skin tone</v>
      </c>
      <c r="C1685" t="str">
        <f t="shared" si="159"/>
        <v xml:space="preserve">1F482 1F3FB </v>
      </c>
      <c r="D1685">
        <f t="shared" si="160"/>
        <v>12</v>
      </c>
      <c r="E1685" t="str">
        <f t="shared" si="156"/>
        <v xml:space="preserve"> 💂🏻 E1.0 guard: light skin tone</v>
      </c>
      <c r="F1685" t="b">
        <f t="shared" si="161"/>
        <v>1</v>
      </c>
      <c r="G1685" t="str">
        <f t="shared" si="157"/>
        <v>1F482</v>
      </c>
      <c r="I1685">
        <f>HEX2DEC(Table1[[#This Row],[utf8]])</f>
        <v>128130</v>
      </c>
      <c r="J1685" t="str">
        <f>_xlfn.UNICHAR(HEX2DEC(Table1[[#This Row],[utf8]]))</f>
        <v>💂</v>
      </c>
      <c r="K1685" s="3" t="str" cm="1">
        <f t="array" ref="K1685">"Case "&amp;wRandomLetter()&amp;wRandomLetter()&amp;I1685&amp;":    UniConst = ChrW(" &amp; I1685 &amp;")"</f>
        <v>Case nK128130:    UniConst = ChrW(128130)</v>
      </c>
    </row>
    <row r="1686" spans="1:11" hidden="1">
      <c r="A1686" t="s">
        <v>1370</v>
      </c>
      <c r="B1686" t="str">
        <f t="shared" si="158"/>
        <v>1F482 1F3FB 200D 2640 ; minimally-qualified # 💂🏻‍♀ E4.0 woman guard: light skin tone</v>
      </c>
      <c r="C1686" t="str">
        <f t="shared" si="159"/>
        <v xml:space="preserve">1F482 1F3FB 200D 2640 </v>
      </c>
      <c r="D1686">
        <f t="shared" si="160"/>
        <v>22</v>
      </c>
      <c r="E1686" t="str">
        <f t="shared" si="156"/>
        <v xml:space="preserve"> 💂🏻‍♀ E4.0 woman guard: light skin tone</v>
      </c>
      <c r="F1686" t="b">
        <f t="shared" si="161"/>
        <v>1</v>
      </c>
      <c r="G1686" t="str">
        <f t="shared" si="157"/>
        <v>1F482</v>
      </c>
      <c r="I1686">
        <f>HEX2DEC(Table1[[#This Row],[utf8]])</f>
        <v>128130</v>
      </c>
      <c r="J1686" t="str">
        <f>_xlfn.UNICHAR(HEX2DEC(Table1[[#This Row],[utf8]]))</f>
        <v>💂</v>
      </c>
      <c r="K1686" s="3" t="str" cm="1">
        <f t="array" ref="K1686">"Case "&amp;wRandomLetter()&amp;wRandomLetter()&amp;I1686&amp;":    UniConst = ChrW(" &amp; I1686 &amp;")"</f>
        <v>Case UO128130:    UniConst = ChrW(128130)</v>
      </c>
    </row>
    <row r="1687" spans="1:11" hidden="1">
      <c r="A1687" t="s">
        <v>1369</v>
      </c>
      <c r="B1687" t="str">
        <f t="shared" si="158"/>
        <v>1F482 1F3FB 200D 2640 FE0F ; fully-qualified # 💂🏻‍♀️ E4.0 woman guard: light skin tone</v>
      </c>
      <c r="C1687" t="str">
        <f t="shared" si="159"/>
        <v xml:space="preserve">1F482 1F3FB 200D 2640 FE0F </v>
      </c>
      <c r="D1687">
        <f t="shared" si="160"/>
        <v>27</v>
      </c>
      <c r="E1687" t="str">
        <f t="shared" si="156"/>
        <v xml:space="preserve"> 💂🏻‍♀️ E4.0 woman guard: light skin tone</v>
      </c>
      <c r="F1687" t="b">
        <f t="shared" si="161"/>
        <v>1</v>
      </c>
      <c r="G1687" t="str">
        <f t="shared" si="157"/>
        <v>1F482</v>
      </c>
      <c r="I1687">
        <f>HEX2DEC(Table1[[#This Row],[utf8]])</f>
        <v>128130</v>
      </c>
      <c r="J1687" t="str">
        <f>_xlfn.UNICHAR(HEX2DEC(Table1[[#This Row],[utf8]]))</f>
        <v>💂</v>
      </c>
      <c r="K1687" s="3" t="str" cm="1">
        <f t="array" ref="K1687">"Case "&amp;wRandomLetter()&amp;wRandomLetter()&amp;I1687&amp;":    UniConst = ChrW(" &amp; I1687 &amp;")"</f>
        <v>Case EC128130:    UniConst = ChrW(128130)</v>
      </c>
    </row>
    <row r="1688" spans="1:11" hidden="1">
      <c r="A1688" t="s">
        <v>1358</v>
      </c>
      <c r="B1688" t="str">
        <f t="shared" si="158"/>
        <v>1F482 1F3FB 200D 2642 ; minimally-qualified # 💂🏻‍♂ E4.0 man guard: light skin tone</v>
      </c>
      <c r="C1688" t="str">
        <f t="shared" si="159"/>
        <v xml:space="preserve">1F482 1F3FB 200D 2642 </v>
      </c>
      <c r="D1688">
        <f t="shared" si="160"/>
        <v>22</v>
      </c>
      <c r="E1688" t="str">
        <f t="shared" si="156"/>
        <v xml:space="preserve"> 💂🏻‍♂ E4.0 man guard: light skin tone</v>
      </c>
      <c r="F1688" t="b">
        <f t="shared" si="161"/>
        <v>1</v>
      </c>
      <c r="G1688" t="str">
        <f t="shared" si="157"/>
        <v>1F482</v>
      </c>
      <c r="I1688">
        <f>HEX2DEC(Table1[[#This Row],[utf8]])</f>
        <v>128130</v>
      </c>
      <c r="J1688" t="str">
        <f>_xlfn.UNICHAR(HEX2DEC(Table1[[#This Row],[utf8]]))</f>
        <v>💂</v>
      </c>
      <c r="K1688" s="3" t="str" cm="1">
        <f t="array" ref="K1688">"Case "&amp;wRandomLetter()&amp;wRandomLetter()&amp;I1688&amp;":    UniConst = ChrW(" &amp; I1688 &amp;")"</f>
        <v>Case JO128130:    UniConst = ChrW(128130)</v>
      </c>
    </row>
    <row r="1689" spans="1:11" hidden="1">
      <c r="A1689" t="s">
        <v>1357</v>
      </c>
      <c r="B1689" t="str">
        <f t="shared" si="158"/>
        <v>1F482 1F3FB 200D 2642 FE0F ; fully-qualified # 💂🏻‍♂️ E4.0 man guard: light skin tone</v>
      </c>
      <c r="C1689" t="str">
        <f t="shared" si="159"/>
        <v xml:space="preserve">1F482 1F3FB 200D 2642 FE0F </v>
      </c>
      <c r="D1689">
        <f t="shared" si="160"/>
        <v>27</v>
      </c>
      <c r="E1689" t="str">
        <f t="shared" si="156"/>
        <v xml:space="preserve"> 💂🏻‍♂️ E4.0 man guard: light skin tone</v>
      </c>
      <c r="F1689" t="b">
        <f t="shared" si="161"/>
        <v>1</v>
      </c>
      <c r="G1689" t="str">
        <f t="shared" si="157"/>
        <v>1F482</v>
      </c>
      <c r="I1689">
        <f>HEX2DEC(Table1[[#This Row],[utf8]])</f>
        <v>128130</v>
      </c>
      <c r="J1689" t="str">
        <f>_xlfn.UNICHAR(HEX2DEC(Table1[[#This Row],[utf8]]))</f>
        <v>💂</v>
      </c>
      <c r="K1689" s="3" t="str" cm="1">
        <f t="array" ref="K1689">"Case "&amp;wRandomLetter()&amp;wRandomLetter()&amp;I1689&amp;":    UniConst = ChrW(" &amp; I1689 &amp;")"</f>
        <v>Case so128130:    UniConst = ChrW(128130)</v>
      </c>
    </row>
    <row r="1690" spans="1:11" hidden="1">
      <c r="A1690" t="s">
        <v>1351</v>
      </c>
      <c r="B1690" t="str">
        <f t="shared" si="158"/>
        <v>1F482 1F3FC ; fully-qualified # 💂🏼 E1.0 guard: medium-light skin tone</v>
      </c>
      <c r="C1690" t="str">
        <f t="shared" si="159"/>
        <v xml:space="preserve">1F482 1F3FC </v>
      </c>
      <c r="D1690">
        <f t="shared" si="160"/>
        <v>12</v>
      </c>
      <c r="E1690" t="str">
        <f t="shared" si="156"/>
        <v xml:space="preserve"> 💂🏼 E1.0 guard: medium-light skin tone</v>
      </c>
      <c r="F1690" t="b">
        <f t="shared" si="161"/>
        <v>1</v>
      </c>
      <c r="G1690" t="str">
        <f t="shared" si="157"/>
        <v>1F482</v>
      </c>
      <c r="I1690">
        <f>HEX2DEC(Table1[[#This Row],[utf8]])</f>
        <v>128130</v>
      </c>
      <c r="J1690" t="str">
        <f>_xlfn.UNICHAR(HEX2DEC(Table1[[#This Row],[utf8]]))</f>
        <v>💂</v>
      </c>
      <c r="K1690" s="3" t="str" cm="1">
        <f t="array" ref="K1690">"Case "&amp;wRandomLetter()&amp;wRandomLetter()&amp;I1690&amp;":    UniConst = ChrW(" &amp; I1690 &amp;")"</f>
        <v>Case Ol128130:    UniConst = ChrW(128130)</v>
      </c>
    </row>
    <row r="1691" spans="1:11" hidden="1">
      <c r="A1691" t="s">
        <v>1372</v>
      </c>
      <c r="B1691" t="str">
        <f t="shared" si="158"/>
        <v>1F482 1F3FC 200D 2640 ; minimally-qualified # 💂🏼‍♀ E4.0 woman guard: medium-light skin tone</v>
      </c>
      <c r="C1691" t="str">
        <f t="shared" si="159"/>
        <v xml:space="preserve">1F482 1F3FC 200D 2640 </v>
      </c>
      <c r="D1691">
        <f t="shared" si="160"/>
        <v>22</v>
      </c>
      <c r="E1691" t="str">
        <f t="shared" si="156"/>
        <v xml:space="preserve"> 💂🏼‍♀ E4.0 woman guard: medium-light skin tone</v>
      </c>
      <c r="F1691" t="b">
        <f t="shared" si="161"/>
        <v>1</v>
      </c>
      <c r="G1691" t="str">
        <f t="shared" si="157"/>
        <v>1F482</v>
      </c>
      <c r="I1691">
        <f>HEX2DEC(Table1[[#This Row],[utf8]])</f>
        <v>128130</v>
      </c>
      <c r="J1691" t="str">
        <f>_xlfn.UNICHAR(HEX2DEC(Table1[[#This Row],[utf8]]))</f>
        <v>💂</v>
      </c>
      <c r="K1691" s="3" t="str" cm="1">
        <f t="array" ref="K1691">"Case "&amp;wRandomLetter()&amp;wRandomLetter()&amp;I1691&amp;":    UniConst = ChrW(" &amp; I1691 &amp;")"</f>
        <v>Case Lx128130:    UniConst = ChrW(128130)</v>
      </c>
    </row>
    <row r="1692" spans="1:11" hidden="1">
      <c r="A1692" t="s">
        <v>1371</v>
      </c>
      <c r="B1692" t="str">
        <f t="shared" si="158"/>
        <v>1F482 1F3FC 200D 2640 FE0F ; fully-qualified # 💂🏼‍♀️ E4.0 woman guard: medium-light skin tone</v>
      </c>
      <c r="C1692" t="str">
        <f t="shared" si="159"/>
        <v xml:space="preserve">1F482 1F3FC 200D 2640 FE0F </v>
      </c>
      <c r="D1692">
        <f t="shared" si="160"/>
        <v>27</v>
      </c>
      <c r="E1692" t="str">
        <f t="shared" si="156"/>
        <v xml:space="preserve"> 💂🏼‍♀️ E4.0 woman guard: medium-light skin tone</v>
      </c>
      <c r="F1692" t="b">
        <f t="shared" si="161"/>
        <v>1</v>
      </c>
      <c r="G1692" t="str">
        <f t="shared" si="157"/>
        <v>1F482</v>
      </c>
      <c r="I1692">
        <f>HEX2DEC(Table1[[#This Row],[utf8]])</f>
        <v>128130</v>
      </c>
      <c r="J1692" t="str">
        <f>_xlfn.UNICHAR(HEX2DEC(Table1[[#This Row],[utf8]]))</f>
        <v>💂</v>
      </c>
      <c r="K1692" s="3" t="str" cm="1">
        <f t="array" ref="K1692">"Case "&amp;wRandomLetter()&amp;wRandomLetter()&amp;I1692&amp;":    UniConst = ChrW(" &amp; I1692 &amp;")"</f>
        <v>Case Yz128130:    UniConst = ChrW(128130)</v>
      </c>
    </row>
    <row r="1693" spans="1:11" hidden="1">
      <c r="A1693" t="s">
        <v>1360</v>
      </c>
      <c r="B1693" t="str">
        <f t="shared" si="158"/>
        <v>1F482 1F3FC 200D 2642 ; minimally-qualified # 💂🏼‍♂ E4.0 man guard: medium-light skin tone</v>
      </c>
      <c r="C1693" t="str">
        <f t="shared" si="159"/>
        <v xml:space="preserve">1F482 1F3FC 200D 2642 </v>
      </c>
      <c r="D1693">
        <f t="shared" si="160"/>
        <v>22</v>
      </c>
      <c r="E1693" t="str">
        <f t="shared" si="156"/>
        <v xml:space="preserve"> 💂🏼‍♂ E4.0 man guard: medium-light skin tone</v>
      </c>
      <c r="F1693" t="b">
        <f t="shared" si="161"/>
        <v>1</v>
      </c>
      <c r="G1693" t="str">
        <f t="shared" si="157"/>
        <v>1F482</v>
      </c>
      <c r="I1693">
        <f>HEX2DEC(Table1[[#This Row],[utf8]])</f>
        <v>128130</v>
      </c>
      <c r="J1693" t="str">
        <f>_xlfn.UNICHAR(HEX2DEC(Table1[[#This Row],[utf8]]))</f>
        <v>💂</v>
      </c>
      <c r="K1693" s="3" t="str" cm="1">
        <f t="array" ref="K1693">"Case "&amp;wRandomLetter()&amp;wRandomLetter()&amp;I1693&amp;":    UniConst = ChrW(" &amp; I1693 &amp;")"</f>
        <v>Case Vg128130:    UniConst = ChrW(128130)</v>
      </c>
    </row>
    <row r="1694" spans="1:11" hidden="1">
      <c r="A1694" t="s">
        <v>1359</v>
      </c>
      <c r="B1694" t="str">
        <f t="shared" si="158"/>
        <v>1F482 1F3FC 200D 2642 FE0F ; fully-qualified # 💂🏼‍♂️ E4.0 man guard: medium-light skin tone</v>
      </c>
      <c r="C1694" t="str">
        <f t="shared" si="159"/>
        <v xml:space="preserve">1F482 1F3FC 200D 2642 FE0F </v>
      </c>
      <c r="D1694">
        <f t="shared" si="160"/>
        <v>27</v>
      </c>
      <c r="E1694" t="str">
        <f t="shared" si="156"/>
        <v xml:space="preserve"> 💂🏼‍♂️ E4.0 man guard: medium-light skin tone</v>
      </c>
      <c r="F1694" t="b">
        <f t="shared" si="161"/>
        <v>1</v>
      </c>
      <c r="G1694" t="str">
        <f t="shared" si="157"/>
        <v>1F482</v>
      </c>
      <c r="I1694">
        <f>HEX2DEC(Table1[[#This Row],[utf8]])</f>
        <v>128130</v>
      </c>
      <c r="J1694" t="str">
        <f>_xlfn.UNICHAR(HEX2DEC(Table1[[#This Row],[utf8]]))</f>
        <v>💂</v>
      </c>
      <c r="K1694" s="3" t="str" cm="1">
        <f t="array" ref="K1694">"Case "&amp;wRandomLetter()&amp;wRandomLetter()&amp;I1694&amp;":    UniConst = ChrW(" &amp; I1694 &amp;")"</f>
        <v>Case dj128130:    UniConst = ChrW(128130)</v>
      </c>
    </row>
    <row r="1695" spans="1:11" hidden="1">
      <c r="A1695" t="s">
        <v>1352</v>
      </c>
      <c r="B1695" t="str">
        <f t="shared" si="158"/>
        <v>1F482 1F3FD ; fully-qualified # 💂🏽 E1.0 guard: medium skin tone</v>
      </c>
      <c r="C1695" t="str">
        <f t="shared" si="159"/>
        <v xml:space="preserve">1F482 1F3FD </v>
      </c>
      <c r="D1695">
        <f t="shared" si="160"/>
        <v>12</v>
      </c>
      <c r="E1695" t="str">
        <f t="shared" si="156"/>
        <v xml:space="preserve"> 💂🏽 E1.0 guard: medium skin tone</v>
      </c>
      <c r="F1695" t="b">
        <f t="shared" si="161"/>
        <v>1</v>
      </c>
      <c r="G1695" t="str">
        <f t="shared" si="157"/>
        <v>1F482</v>
      </c>
      <c r="I1695">
        <f>HEX2DEC(Table1[[#This Row],[utf8]])</f>
        <v>128130</v>
      </c>
      <c r="J1695" t="str">
        <f>_xlfn.UNICHAR(HEX2DEC(Table1[[#This Row],[utf8]]))</f>
        <v>💂</v>
      </c>
      <c r="K1695" s="3" t="str" cm="1">
        <f t="array" ref="K1695">"Case "&amp;wRandomLetter()&amp;wRandomLetter()&amp;I1695&amp;":    UniConst = ChrW(" &amp; I1695 &amp;")"</f>
        <v>Case tu128130:    UniConst = ChrW(128130)</v>
      </c>
    </row>
    <row r="1696" spans="1:11" hidden="1">
      <c r="A1696" t="s">
        <v>1374</v>
      </c>
      <c r="B1696" t="str">
        <f t="shared" si="158"/>
        <v>1F482 1F3FD 200D 2640 ; minimally-qualified # 💂🏽‍♀ E4.0 woman guard: medium skin tone</v>
      </c>
      <c r="C1696" t="str">
        <f t="shared" si="159"/>
        <v xml:space="preserve">1F482 1F3FD 200D 2640 </v>
      </c>
      <c r="D1696">
        <f t="shared" si="160"/>
        <v>22</v>
      </c>
      <c r="E1696" t="str">
        <f t="shared" si="156"/>
        <v xml:space="preserve"> 💂🏽‍♀ E4.0 woman guard: medium skin tone</v>
      </c>
      <c r="F1696" t="b">
        <f t="shared" si="161"/>
        <v>1</v>
      </c>
      <c r="G1696" t="str">
        <f t="shared" si="157"/>
        <v>1F482</v>
      </c>
      <c r="I1696">
        <f>HEX2DEC(Table1[[#This Row],[utf8]])</f>
        <v>128130</v>
      </c>
      <c r="J1696" t="str">
        <f>_xlfn.UNICHAR(HEX2DEC(Table1[[#This Row],[utf8]]))</f>
        <v>💂</v>
      </c>
      <c r="K1696" s="3" t="str" cm="1">
        <f t="array" ref="K1696">"Case "&amp;wRandomLetter()&amp;wRandomLetter()&amp;I1696&amp;":    UniConst = ChrW(" &amp; I1696 &amp;")"</f>
        <v>Case QA128130:    UniConst = ChrW(128130)</v>
      </c>
    </row>
    <row r="1697" spans="1:11" hidden="1">
      <c r="A1697" t="s">
        <v>1373</v>
      </c>
      <c r="B1697" t="str">
        <f t="shared" si="158"/>
        <v>1F482 1F3FD 200D 2640 FE0F ; fully-qualified # 💂🏽‍♀️ E4.0 woman guard: medium skin tone</v>
      </c>
      <c r="C1697" t="str">
        <f t="shared" si="159"/>
        <v xml:space="preserve">1F482 1F3FD 200D 2640 FE0F </v>
      </c>
      <c r="D1697">
        <f t="shared" si="160"/>
        <v>27</v>
      </c>
      <c r="E1697" t="str">
        <f t="shared" si="156"/>
        <v xml:space="preserve"> 💂🏽‍♀️ E4.0 woman guard: medium skin tone</v>
      </c>
      <c r="F1697" t="b">
        <f t="shared" si="161"/>
        <v>1</v>
      </c>
      <c r="G1697" t="str">
        <f t="shared" si="157"/>
        <v>1F482</v>
      </c>
      <c r="I1697">
        <f>HEX2DEC(Table1[[#This Row],[utf8]])</f>
        <v>128130</v>
      </c>
      <c r="J1697" t="str">
        <f>_xlfn.UNICHAR(HEX2DEC(Table1[[#This Row],[utf8]]))</f>
        <v>💂</v>
      </c>
      <c r="K1697" s="3" t="str" cm="1">
        <f t="array" ref="K1697">"Case "&amp;wRandomLetter()&amp;wRandomLetter()&amp;I1697&amp;":    UniConst = ChrW(" &amp; I1697 &amp;")"</f>
        <v>Case Vg128130:    UniConst = ChrW(128130)</v>
      </c>
    </row>
    <row r="1698" spans="1:11" hidden="1">
      <c r="A1698" t="s">
        <v>1362</v>
      </c>
      <c r="B1698" t="str">
        <f t="shared" si="158"/>
        <v>1F482 1F3FD 200D 2642 ; minimally-qualified # 💂🏽‍♂ E4.0 man guard: medium skin tone</v>
      </c>
      <c r="C1698" t="str">
        <f t="shared" si="159"/>
        <v xml:space="preserve">1F482 1F3FD 200D 2642 </v>
      </c>
      <c r="D1698">
        <f t="shared" si="160"/>
        <v>22</v>
      </c>
      <c r="E1698" t="str">
        <f t="shared" si="156"/>
        <v xml:space="preserve"> 💂🏽‍♂ E4.0 man guard: medium skin tone</v>
      </c>
      <c r="F1698" t="b">
        <f t="shared" si="161"/>
        <v>1</v>
      </c>
      <c r="G1698" t="str">
        <f t="shared" si="157"/>
        <v>1F482</v>
      </c>
      <c r="I1698">
        <f>HEX2DEC(Table1[[#This Row],[utf8]])</f>
        <v>128130</v>
      </c>
      <c r="J1698" t="str">
        <f>_xlfn.UNICHAR(HEX2DEC(Table1[[#This Row],[utf8]]))</f>
        <v>💂</v>
      </c>
      <c r="K1698" s="3" t="str" cm="1">
        <f t="array" ref="K1698">"Case "&amp;wRandomLetter()&amp;wRandomLetter()&amp;I1698&amp;":    UniConst = ChrW(" &amp; I1698 &amp;")"</f>
        <v>Case MU128130:    UniConst = ChrW(128130)</v>
      </c>
    </row>
    <row r="1699" spans="1:11" hidden="1">
      <c r="A1699" t="s">
        <v>1361</v>
      </c>
      <c r="B1699" t="str">
        <f t="shared" si="158"/>
        <v>1F482 1F3FD 200D 2642 FE0F ; fully-qualified # 💂🏽‍♂️ E4.0 man guard: medium skin tone</v>
      </c>
      <c r="C1699" t="str">
        <f t="shared" si="159"/>
        <v xml:space="preserve">1F482 1F3FD 200D 2642 FE0F </v>
      </c>
      <c r="D1699">
        <f t="shared" si="160"/>
        <v>27</v>
      </c>
      <c r="E1699" t="str">
        <f t="shared" si="156"/>
        <v xml:space="preserve"> 💂🏽‍♂️ E4.0 man guard: medium skin tone</v>
      </c>
      <c r="F1699" t="b">
        <f t="shared" si="161"/>
        <v>1</v>
      </c>
      <c r="G1699" t="str">
        <f t="shared" si="157"/>
        <v>1F482</v>
      </c>
      <c r="I1699">
        <f>HEX2DEC(Table1[[#This Row],[utf8]])</f>
        <v>128130</v>
      </c>
      <c r="J1699" t="str">
        <f>_xlfn.UNICHAR(HEX2DEC(Table1[[#This Row],[utf8]]))</f>
        <v>💂</v>
      </c>
      <c r="K1699" s="3" t="str" cm="1">
        <f t="array" ref="K1699">"Case "&amp;wRandomLetter()&amp;wRandomLetter()&amp;I1699&amp;":    UniConst = ChrW(" &amp; I1699 &amp;")"</f>
        <v>Case FO128130:    UniConst = ChrW(128130)</v>
      </c>
    </row>
    <row r="1700" spans="1:11" hidden="1">
      <c r="A1700" t="s">
        <v>1353</v>
      </c>
      <c r="B1700" t="str">
        <f t="shared" si="158"/>
        <v>1F482 1F3FE ; fully-qualified # 💂🏾 E1.0 guard: medium-dark skin tone</v>
      </c>
      <c r="C1700" t="str">
        <f t="shared" si="159"/>
        <v xml:space="preserve">1F482 1F3FE </v>
      </c>
      <c r="D1700">
        <f t="shared" si="160"/>
        <v>12</v>
      </c>
      <c r="E1700" t="str">
        <f t="shared" si="156"/>
        <v xml:space="preserve"> 💂🏾 E1.0 guard: medium-dark skin tone</v>
      </c>
      <c r="F1700" t="b">
        <f t="shared" si="161"/>
        <v>1</v>
      </c>
      <c r="G1700" t="str">
        <f t="shared" si="157"/>
        <v>1F482</v>
      </c>
      <c r="I1700">
        <f>HEX2DEC(Table1[[#This Row],[utf8]])</f>
        <v>128130</v>
      </c>
      <c r="J1700" t="str">
        <f>_xlfn.UNICHAR(HEX2DEC(Table1[[#This Row],[utf8]]))</f>
        <v>💂</v>
      </c>
      <c r="K1700" s="3" t="str" cm="1">
        <f t="array" ref="K1700">"Case "&amp;wRandomLetter()&amp;wRandomLetter()&amp;I1700&amp;":    UniConst = ChrW(" &amp; I1700 &amp;")"</f>
        <v>Case MV128130:    UniConst = ChrW(128130)</v>
      </c>
    </row>
    <row r="1701" spans="1:11" hidden="1">
      <c r="A1701" t="s">
        <v>1376</v>
      </c>
      <c r="B1701" t="str">
        <f t="shared" si="158"/>
        <v>1F482 1F3FE 200D 2640 ; minimally-qualified # 💂🏾‍♀ E4.0 woman guard: medium-dark skin tone</v>
      </c>
      <c r="C1701" t="str">
        <f t="shared" si="159"/>
        <v xml:space="preserve">1F482 1F3FE 200D 2640 </v>
      </c>
      <c r="D1701">
        <f t="shared" si="160"/>
        <v>22</v>
      </c>
      <c r="E1701" t="str">
        <f t="shared" si="156"/>
        <v xml:space="preserve"> 💂🏾‍♀ E4.0 woman guard: medium-dark skin tone</v>
      </c>
      <c r="F1701" t="b">
        <f t="shared" si="161"/>
        <v>1</v>
      </c>
      <c r="G1701" t="str">
        <f t="shared" si="157"/>
        <v>1F482</v>
      </c>
      <c r="I1701">
        <f>HEX2DEC(Table1[[#This Row],[utf8]])</f>
        <v>128130</v>
      </c>
      <c r="J1701" t="str">
        <f>_xlfn.UNICHAR(HEX2DEC(Table1[[#This Row],[utf8]]))</f>
        <v>💂</v>
      </c>
      <c r="K1701" s="3" t="str" cm="1">
        <f t="array" ref="K1701">"Case "&amp;wRandomLetter()&amp;wRandomLetter()&amp;I1701&amp;":    UniConst = ChrW(" &amp; I1701 &amp;")"</f>
        <v>Case GS128130:    UniConst = ChrW(128130)</v>
      </c>
    </row>
    <row r="1702" spans="1:11" hidden="1">
      <c r="A1702" t="s">
        <v>1375</v>
      </c>
      <c r="B1702" t="str">
        <f t="shared" si="158"/>
        <v>1F482 1F3FE 200D 2640 FE0F ; fully-qualified # 💂🏾‍♀️ E4.0 woman guard: medium-dark skin tone</v>
      </c>
      <c r="C1702" t="str">
        <f t="shared" si="159"/>
        <v xml:space="preserve">1F482 1F3FE 200D 2640 FE0F </v>
      </c>
      <c r="D1702">
        <f t="shared" si="160"/>
        <v>27</v>
      </c>
      <c r="E1702" t="str">
        <f t="shared" si="156"/>
        <v xml:space="preserve"> 💂🏾‍♀️ E4.0 woman guard: medium-dark skin tone</v>
      </c>
      <c r="F1702" t="b">
        <f t="shared" si="161"/>
        <v>1</v>
      </c>
      <c r="G1702" t="str">
        <f t="shared" si="157"/>
        <v>1F482</v>
      </c>
      <c r="I1702">
        <f>HEX2DEC(Table1[[#This Row],[utf8]])</f>
        <v>128130</v>
      </c>
      <c r="J1702" t="str">
        <f>_xlfn.UNICHAR(HEX2DEC(Table1[[#This Row],[utf8]]))</f>
        <v>💂</v>
      </c>
      <c r="K1702" s="3" t="str" cm="1">
        <f t="array" ref="K1702">"Case "&amp;wRandomLetter()&amp;wRandomLetter()&amp;I1702&amp;":    UniConst = ChrW(" &amp; I1702 &amp;")"</f>
        <v>Case uC128130:    UniConst = ChrW(128130)</v>
      </c>
    </row>
    <row r="1703" spans="1:11" hidden="1">
      <c r="A1703" t="s">
        <v>1364</v>
      </c>
      <c r="B1703" t="str">
        <f t="shared" si="158"/>
        <v>1F482 1F3FE 200D 2642 ; minimally-qualified # 💂🏾‍♂ E4.0 man guard: medium-dark skin tone</v>
      </c>
      <c r="C1703" t="str">
        <f t="shared" si="159"/>
        <v xml:space="preserve">1F482 1F3FE 200D 2642 </v>
      </c>
      <c r="D1703">
        <f t="shared" si="160"/>
        <v>22</v>
      </c>
      <c r="E1703" t="str">
        <f t="shared" si="156"/>
        <v xml:space="preserve"> 💂🏾‍♂ E4.0 man guard: medium-dark skin tone</v>
      </c>
      <c r="F1703" t="b">
        <f t="shared" si="161"/>
        <v>1</v>
      </c>
      <c r="G1703" t="str">
        <f t="shared" si="157"/>
        <v>1F482</v>
      </c>
      <c r="I1703">
        <f>HEX2DEC(Table1[[#This Row],[utf8]])</f>
        <v>128130</v>
      </c>
      <c r="J1703" t="str">
        <f>_xlfn.UNICHAR(HEX2DEC(Table1[[#This Row],[utf8]]))</f>
        <v>💂</v>
      </c>
      <c r="K1703" s="3" t="str" cm="1">
        <f t="array" ref="K1703">"Case "&amp;wRandomLetter()&amp;wRandomLetter()&amp;I1703&amp;":    UniConst = ChrW(" &amp; I1703 &amp;")"</f>
        <v>Case gB128130:    UniConst = ChrW(128130)</v>
      </c>
    </row>
    <row r="1704" spans="1:11" hidden="1">
      <c r="A1704" t="s">
        <v>1363</v>
      </c>
      <c r="B1704" t="str">
        <f t="shared" si="158"/>
        <v>1F482 1F3FE 200D 2642 FE0F ; fully-qualified # 💂🏾‍♂️ E4.0 man guard: medium-dark skin tone</v>
      </c>
      <c r="C1704" t="str">
        <f t="shared" si="159"/>
        <v xml:space="preserve">1F482 1F3FE 200D 2642 FE0F </v>
      </c>
      <c r="D1704">
        <f t="shared" si="160"/>
        <v>27</v>
      </c>
      <c r="E1704" t="str">
        <f t="shared" si="156"/>
        <v xml:space="preserve"> 💂🏾‍♂️ E4.0 man guard: medium-dark skin tone</v>
      </c>
      <c r="F1704" t="b">
        <f t="shared" si="161"/>
        <v>1</v>
      </c>
      <c r="G1704" t="str">
        <f t="shared" si="157"/>
        <v>1F482</v>
      </c>
      <c r="I1704">
        <f>HEX2DEC(Table1[[#This Row],[utf8]])</f>
        <v>128130</v>
      </c>
      <c r="J1704" t="str">
        <f>_xlfn.UNICHAR(HEX2DEC(Table1[[#This Row],[utf8]]))</f>
        <v>💂</v>
      </c>
      <c r="K1704" s="3" t="str" cm="1">
        <f t="array" ref="K1704">"Case "&amp;wRandomLetter()&amp;wRandomLetter()&amp;I1704&amp;":    UniConst = ChrW(" &amp; I1704 &amp;")"</f>
        <v>Case hN128130:    UniConst = ChrW(128130)</v>
      </c>
    </row>
    <row r="1705" spans="1:11" hidden="1">
      <c r="A1705" t="s">
        <v>1354</v>
      </c>
      <c r="B1705" t="str">
        <f t="shared" si="158"/>
        <v>1F482 1F3FF ; fully-qualified # 💂🏿 E1.0 guard: dark skin tone</v>
      </c>
      <c r="C1705" t="str">
        <f t="shared" si="159"/>
        <v xml:space="preserve">1F482 1F3FF </v>
      </c>
      <c r="D1705">
        <f t="shared" si="160"/>
        <v>12</v>
      </c>
      <c r="E1705" t="str">
        <f t="shared" si="156"/>
        <v xml:space="preserve"> 💂🏿 E1.0 guard: dark skin tone</v>
      </c>
      <c r="F1705" t="b">
        <f t="shared" si="161"/>
        <v>1</v>
      </c>
      <c r="G1705" t="str">
        <f t="shared" si="157"/>
        <v>1F482</v>
      </c>
      <c r="I1705">
        <f>HEX2DEC(Table1[[#This Row],[utf8]])</f>
        <v>128130</v>
      </c>
      <c r="J1705" t="str">
        <f>_xlfn.UNICHAR(HEX2DEC(Table1[[#This Row],[utf8]]))</f>
        <v>💂</v>
      </c>
      <c r="K1705" s="3" t="str" cm="1">
        <f t="array" ref="K1705">"Case "&amp;wRandomLetter()&amp;wRandomLetter()&amp;I1705&amp;":    UniConst = ChrW(" &amp; I1705 &amp;")"</f>
        <v>Case XE128130:    UniConst = ChrW(128130)</v>
      </c>
    </row>
    <row r="1706" spans="1:11" hidden="1">
      <c r="A1706" t="s">
        <v>1378</v>
      </c>
      <c r="B1706" t="str">
        <f t="shared" si="158"/>
        <v>1F482 1F3FF 200D 2640 ; minimally-qualified # 💂🏿‍♀ E4.0 woman guard: dark skin tone</v>
      </c>
      <c r="C1706" t="str">
        <f t="shared" si="159"/>
        <v xml:space="preserve">1F482 1F3FF 200D 2640 </v>
      </c>
      <c r="D1706">
        <f t="shared" si="160"/>
        <v>22</v>
      </c>
      <c r="E1706" t="str">
        <f t="shared" si="156"/>
        <v xml:space="preserve"> 💂🏿‍♀ E4.0 woman guard: dark skin tone</v>
      </c>
      <c r="F1706" t="b">
        <f t="shared" si="161"/>
        <v>1</v>
      </c>
      <c r="G1706" t="str">
        <f t="shared" si="157"/>
        <v>1F482</v>
      </c>
      <c r="I1706">
        <f>HEX2DEC(Table1[[#This Row],[utf8]])</f>
        <v>128130</v>
      </c>
      <c r="J1706" t="str">
        <f>_xlfn.UNICHAR(HEX2DEC(Table1[[#This Row],[utf8]]))</f>
        <v>💂</v>
      </c>
      <c r="K1706" s="3" t="str" cm="1">
        <f t="array" ref="K1706">"Case "&amp;wRandomLetter()&amp;wRandomLetter()&amp;I1706&amp;":    UniConst = ChrW(" &amp; I1706 &amp;")"</f>
        <v>Case vy128130:    UniConst = ChrW(128130)</v>
      </c>
    </row>
    <row r="1707" spans="1:11" hidden="1">
      <c r="A1707" t="s">
        <v>1377</v>
      </c>
      <c r="B1707" t="str">
        <f t="shared" si="158"/>
        <v>1F482 1F3FF 200D 2640 FE0F ; fully-qualified # 💂🏿‍♀️ E4.0 woman guard: dark skin tone</v>
      </c>
      <c r="C1707" t="str">
        <f t="shared" si="159"/>
        <v xml:space="preserve">1F482 1F3FF 200D 2640 FE0F </v>
      </c>
      <c r="D1707">
        <f t="shared" si="160"/>
        <v>27</v>
      </c>
      <c r="E1707" t="str">
        <f t="shared" si="156"/>
        <v xml:space="preserve"> 💂🏿‍♀️ E4.0 woman guard: dark skin tone</v>
      </c>
      <c r="F1707" t="b">
        <f t="shared" si="161"/>
        <v>1</v>
      </c>
      <c r="G1707" t="str">
        <f t="shared" si="157"/>
        <v>1F482</v>
      </c>
      <c r="I1707">
        <f>HEX2DEC(Table1[[#This Row],[utf8]])</f>
        <v>128130</v>
      </c>
      <c r="J1707" t="str">
        <f>_xlfn.UNICHAR(HEX2DEC(Table1[[#This Row],[utf8]]))</f>
        <v>💂</v>
      </c>
      <c r="K1707" s="3" t="str" cm="1">
        <f t="array" ref="K1707">"Case "&amp;wRandomLetter()&amp;wRandomLetter()&amp;I1707&amp;":    UniConst = ChrW(" &amp; I1707 &amp;")"</f>
        <v>Case Dp128130:    UniConst = ChrW(128130)</v>
      </c>
    </row>
    <row r="1708" spans="1:11" hidden="1">
      <c r="A1708" t="s">
        <v>1366</v>
      </c>
      <c r="B1708" t="str">
        <f t="shared" si="158"/>
        <v>1F482 1F3FF 200D 2642 ; minimally-qualified # 💂🏿‍♂ E4.0 man guard: dark skin tone</v>
      </c>
      <c r="C1708" t="str">
        <f t="shared" si="159"/>
        <v xml:space="preserve">1F482 1F3FF 200D 2642 </v>
      </c>
      <c r="D1708">
        <f t="shared" si="160"/>
        <v>22</v>
      </c>
      <c r="E1708" t="str">
        <f t="shared" si="156"/>
        <v xml:space="preserve"> 💂🏿‍♂ E4.0 man guard: dark skin tone</v>
      </c>
      <c r="F1708" t="b">
        <f t="shared" si="161"/>
        <v>1</v>
      </c>
      <c r="G1708" t="str">
        <f t="shared" si="157"/>
        <v>1F482</v>
      </c>
      <c r="I1708">
        <f>HEX2DEC(Table1[[#This Row],[utf8]])</f>
        <v>128130</v>
      </c>
      <c r="J1708" t="str">
        <f>_xlfn.UNICHAR(HEX2DEC(Table1[[#This Row],[utf8]]))</f>
        <v>💂</v>
      </c>
      <c r="K1708" s="3" t="str" cm="1">
        <f t="array" ref="K1708">"Case "&amp;wRandomLetter()&amp;wRandomLetter()&amp;I1708&amp;":    UniConst = ChrW(" &amp; I1708 &amp;")"</f>
        <v>Case Zm128130:    UniConst = ChrW(128130)</v>
      </c>
    </row>
    <row r="1709" spans="1:11" hidden="1">
      <c r="A1709" t="s">
        <v>1365</v>
      </c>
      <c r="B1709" t="str">
        <f t="shared" si="158"/>
        <v>1F482 1F3FF 200D 2642 FE0F ; fully-qualified # 💂🏿‍♂️ E4.0 man guard: dark skin tone</v>
      </c>
      <c r="C1709" t="str">
        <f t="shared" si="159"/>
        <v xml:space="preserve">1F482 1F3FF 200D 2642 FE0F </v>
      </c>
      <c r="D1709">
        <f t="shared" si="160"/>
        <v>27</v>
      </c>
      <c r="E1709" t="str">
        <f t="shared" si="156"/>
        <v xml:space="preserve"> 💂🏿‍♂️ E4.0 man guard: dark skin tone</v>
      </c>
      <c r="F1709" t="b">
        <f t="shared" si="161"/>
        <v>1</v>
      </c>
      <c r="G1709" t="str">
        <f t="shared" si="157"/>
        <v>1F482</v>
      </c>
      <c r="I1709">
        <f>HEX2DEC(Table1[[#This Row],[utf8]])</f>
        <v>128130</v>
      </c>
      <c r="J1709" t="str">
        <f>_xlfn.UNICHAR(HEX2DEC(Table1[[#This Row],[utf8]]))</f>
        <v>💂</v>
      </c>
      <c r="K1709" s="3" t="str" cm="1">
        <f t="array" ref="K1709">"Case "&amp;wRandomLetter()&amp;wRandomLetter()&amp;I1709&amp;":    UniConst = ChrW(" &amp; I1709 &amp;")"</f>
        <v>Case as128130:    UniConst = ChrW(128130)</v>
      </c>
    </row>
    <row r="1710" spans="1:11" hidden="1">
      <c r="A1710" t="s">
        <v>1368</v>
      </c>
      <c r="B1710" t="str">
        <f t="shared" si="158"/>
        <v>1F482 200D 2640 ; minimally-qualified # 💂‍♀ E4.0 woman guard</v>
      </c>
      <c r="C1710" t="str">
        <f t="shared" si="159"/>
        <v xml:space="preserve">1F482 200D 2640 </v>
      </c>
      <c r="D1710">
        <f t="shared" si="160"/>
        <v>16</v>
      </c>
      <c r="E1710" t="str">
        <f t="shared" si="156"/>
        <v xml:space="preserve"> 💂‍♀ E4.0 woman guard</v>
      </c>
      <c r="F1710" t="b">
        <f t="shared" si="161"/>
        <v>1</v>
      </c>
      <c r="G1710" t="str">
        <f t="shared" si="157"/>
        <v>1F482</v>
      </c>
      <c r="I1710">
        <f>HEX2DEC(Table1[[#This Row],[utf8]])</f>
        <v>128130</v>
      </c>
      <c r="J1710" t="str">
        <f>_xlfn.UNICHAR(HEX2DEC(Table1[[#This Row],[utf8]]))</f>
        <v>💂</v>
      </c>
      <c r="K1710" s="3" t="str" cm="1">
        <f t="array" ref="K1710">"Case "&amp;wRandomLetter()&amp;wRandomLetter()&amp;I1710&amp;":    UniConst = ChrW(" &amp; I1710 &amp;")"</f>
        <v>Case FO128130:    UniConst = ChrW(128130)</v>
      </c>
    </row>
    <row r="1711" spans="1:11" hidden="1">
      <c r="A1711" t="s">
        <v>1367</v>
      </c>
      <c r="B1711" t="str">
        <f t="shared" si="158"/>
        <v>1F482 200D 2640 FE0F ; fully-qualified # 💂‍♀️ E4.0 woman guard</v>
      </c>
      <c r="C1711" t="str">
        <f t="shared" si="159"/>
        <v xml:space="preserve">1F482 200D 2640 FE0F </v>
      </c>
      <c r="D1711">
        <f t="shared" si="160"/>
        <v>21</v>
      </c>
      <c r="E1711" t="str">
        <f t="shared" si="156"/>
        <v xml:space="preserve"> 💂‍♀️ E4.0 woman guard</v>
      </c>
      <c r="F1711" t="b">
        <f t="shared" si="161"/>
        <v>1</v>
      </c>
      <c r="G1711" t="str">
        <f t="shared" si="157"/>
        <v>1F482</v>
      </c>
      <c r="I1711">
        <f>HEX2DEC(Table1[[#This Row],[utf8]])</f>
        <v>128130</v>
      </c>
      <c r="J1711" t="str">
        <f>_xlfn.UNICHAR(HEX2DEC(Table1[[#This Row],[utf8]]))</f>
        <v>💂</v>
      </c>
      <c r="K1711" s="3" t="str" cm="1">
        <f t="array" ref="K1711">"Case "&amp;wRandomLetter()&amp;wRandomLetter()&amp;I1711&amp;":    UniConst = ChrW(" &amp; I1711 &amp;")"</f>
        <v>Case Vt128130:    UniConst = ChrW(128130)</v>
      </c>
    </row>
    <row r="1712" spans="1:11" hidden="1">
      <c r="A1712" t="s">
        <v>1356</v>
      </c>
      <c r="B1712" t="str">
        <f t="shared" si="158"/>
        <v>1F482 200D 2642 ; minimally-qualified # 💂‍♂ E4.0 man guard</v>
      </c>
      <c r="C1712" t="str">
        <f t="shared" si="159"/>
        <v xml:space="preserve">1F482 200D 2642 </v>
      </c>
      <c r="D1712">
        <f t="shared" si="160"/>
        <v>16</v>
      </c>
      <c r="E1712" t="str">
        <f t="shared" si="156"/>
        <v xml:space="preserve"> 💂‍♂ E4.0 man guard</v>
      </c>
      <c r="F1712" t="b">
        <f t="shared" si="161"/>
        <v>1</v>
      </c>
      <c r="G1712" t="str">
        <f t="shared" si="157"/>
        <v>1F482</v>
      </c>
      <c r="I1712">
        <f>HEX2DEC(Table1[[#This Row],[utf8]])</f>
        <v>128130</v>
      </c>
      <c r="J1712" t="str">
        <f>_xlfn.UNICHAR(HEX2DEC(Table1[[#This Row],[utf8]]))</f>
        <v>💂</v>
      </c>
      <c r="K1712" s="3" t="str" cm="1">
        <f t="array" ref="K1712">"Case "&amp;wRandomLetter()&amp;wRandomLetter()&amp;I1712&amp;":    UniConst = ChrW(" &amp; I1712 &amp;")"</f>
        <v>Case EQ128130:    UniConst = ChrW(128130)</v>
      </c>
    </row>
    <row r="1713" spans="1:11" hidden="1">
      <c r="A1713" t="s">
        <v>1355</v>
      </c>
      <c r="B1713" t="str">
        <f t="shared" si="158"/>
        <v>1F482 200D 2642 FE0F ; fully-qualified # 💂‍♂️ E4.0 man guard</v>
      </c>
      <c r="C1713" t="str">
        <f t="shared" si="159"/>
        <v xml:space="preserve">1F482 200D 2642 FE0F </v>
      </c>
      <c r="D1713">
        <f t="shared" si="160"/>
        <v>21</v>
      </c>
      <c r="E1713" t="str">
        <f t="shared" si="156"/>
        <v xml:space="preserve"> 💂‍♂️ E4.0 man guard</v>
      </c>
      <c r="F1713" t="b">
        <f t="shared" si="161"/>
        <v>1</v>
      </c>
      <c r="G1713" t="str">
        <f t="shared" si="157"/>
        <v>1F482</v>
      </c>
      <c r="I1713">
        <f>HEX2DEC(Table1[[#This Row],[utf8]])</f>
        <v>128130</v>
      </c>
      <c r="J1713" t="str">
        <f>_xlfn.UNICHAR(HEX2DEC(Table1[[#This Row],[utf8]]))</f>
        <v>💂</v>
      </c>
      <c r="K1713" s="3" t="str" cm="1">
        <f t="array" ref="K1713">"Case "&amp;wRandomLetter()&amp;wRandomLetter()&amp;I1713&amp;":    UniConst = ChrW(" &amp; I1713 &amp;")"</f>
        <v>Case Wu128130:    UniConst = ChrW(128130)</v>
      </c>
    </row>
    <row r="1714" spans="1:11" hidden="1">
      <c r="A1714" t="s">
        <v>2039</v>
      </c>
      <c r="B1714" t="str">
        <f t="shared" si="158"/>
        <v>1F483 ; fully-qualified # 💃 E0.6 woman dancing</v>
      </c>
      <c r="C1714" t="str">
        <f t="shared" si="159"/>
        <v xml:space="preserve">1F483 </v>
      </c>
      <c r="D1714">
        <f t="shared" si="160"/>
        <v>6</v>
      </c>
      <c r="E1714" t="str">
        <f t="shared" si="156"/>
        <v xml:space="preserve"> 💃 E0.6 woman dancing</v>
      </c>
      <c r="F1714" t="b">
        <f t="shared" si="161"/>
        <v>1</v>
      </c>
      <c r="G1714" t="str">
        <f t="shared" si="157"/>
        <v>1F483</v>
      </c>
      <c r="I1714">
        <f>HEX2DEC(Table1[[#This Row],[utf8]])</f>
        <v>128131</v>
      </c>
      <c r="J1714" t="str">
        <f>_xlfn.UNICHAR(HEX2DEC(Table1[[#This Row],[utf8]]))</f>
        <v>💃</v>
      </c>
      <c r="K1714" s="3" t="str" cm="1">
        <f t="array" ref="K1714">"Case "&amp;wRandomLetter()&amp;wRandomLetter()&amp;I1714&amp;":    UniConst = ChrW(" &amp; I1714 &amp;")"</f>
        <v>Case hj128131:    UniConst = ChrW(128131)</v>
      </c>
    </row>
    <row r="1715" spans="1:11" hidden="1">
      <c r="A1715" t="s">
        <v>2040</v>
      </c>
      <c r="B1715" t="str">
        <f t="shared" si="158"/>
        <v>1F483 1F3FB ; fully-qualified # 💃🏻 E1.0 woman dancing: light skin tone</v>
      </c>
      <c r="C1715" t="str">
        <f t="shared" si="159"/>
        <v xml:space="preserve">1F483 1F3FB </v>
      </c>
      <c r="D1715">
        <f t="shared" si="160"/>
        <v>12</v>
      </c>
      <c r="E1715" t="str">
        <f t="shared" si="156"/>
        <v xml:space="preserve"> 💃🏻 E1.0 woman dancing: light skin tone</v>
      </c>
      <c r="F1715" t="b">
        <f t="shared" si="161"/>
        <v>1</v>
      </c>
      <c r="G1715" t="str">
        <f t="shared" si="157"/>
        <v>1F483</v>
      </c>
      <c r="I1715">
        <f>HEX2DEC(Table1[[#This Row],[utf8]])</f>
        <v>128131</v>
      </c>
      <c r="J1715" t="str">
        <f>_xlfn.UNICHAR(HEX2DEC(Table1[[#This Row],[utf8]]))</f>
        <v>💃</v>
      </c>
      <c r="K1715" s="3" t="str" cm="1">
        <f t="array" ref="K1715">"Case "&amp;wRandomLetter()&amp;wRandomLetter()&amp;I1715&amp;":    UniConst = ChrW(" &amp; I1715 &amp;")"</f>
        <v>Case Xp128131:    UniConst = ChrW(128131)</v>
      </c>
    </row>
    <row r="1716" spans="1:11" hidden="1">
      <c r="A1716" t="s">
        <v>2041</v>
      </c>
      <c r="B1716" t="str">
        <f t="shared" si="158"/>
        <v>1F483 1F3FC ; fully-qualified # 💃🏼 E1.0 woman dancing: medium-light skin tone</v>
      </c>
      <c r="C1716" t="str">
        <f t="shared" si="159"/>
        <v xml:space="preserve">1F483 1F3FC </v>
      </c>
      <c r="D1716">
        <f t="shared" si="160"/>
        <v>12</v>
      </c>
      <c r="E1716" t="str">
        <f t="shared" si="156"/>
        <v xml:space="preserve"> 💃🏼 E1.0 woman dancing: medium-light skin tone</v>
      </c>
      <c r="F1716" t="b">
        <f t="shared" si="161"/>
        <v>1</v>
      </c>
      <c r="G1716" t="str">
        <f t="shared" si="157"/>
        <v>1F483</v>
      </c>
      <c r="I1716">
        <f>HEX2DEC(Table1[[#This Row],[utf8]])</f>
        <v>128131</v>
      </c>
      <c r="J1716" t="str">
        <f>_xlfn.UNICHAR(HEX2DEC(Table1[[#This Row],[utf8]]))</f>
        <v>💃</v>
      </c>
      <c r="K1716" s="3" t="str" cm="1">
        <f t="array" ref="K1716">"Case "&amp;wRandomLetter()&amp;wRandomLetter()&amp;I1716&amp;":    UniConst = ChrW(" &amp; I1716 &amp;")"</f>
        <v>Case OB128131:    UniConst = ChrW(128131)</v>
      </c>
    </row>
    <row r="1717" spans="1:11" hidden="1">
      <c r="A1717" t="s">
        <v>2042</v>
      </c>
      <c r="B1717" t="str">
        <f t="shared" si="158"/>
        <v>1F483 1F3FD ; fully-qualified # 💃🏽 E1.0 woman dancing: medium skin tone</v>
      </c>
      <c r="C1717" t="str">
        <f t="shared" si="159"/>
        <v xml:space="preserve">1F483 1F3FD </v>
      </c>
      <c r="D1717">
        <f t="shared" si="160"/>
        <v>12</v>
      </c>
      <c r="E1717" t="str">
        <f t="shared" si="156"/>
        <v xml:space="preserve"> 💃🏽 E1.0 woman dancing: medium skin tone</v>
      </c>
      <c r="F1717" t="b">
        <f t="shared" si="161"/>
        <v>1</v>
      </c>
      <c r="G1717" t="str">
        <f t="shared" si="157"/>
        <v>1F483</v>
      </c>
      <c r="I1717">
        <f>HEX2DEC(Table1[[#This Row],[utf8]])</f>
        <v>128131</v>
      </c>
      <c r="J1717" t="str">
        <f>_xlfn.UNICHAR(HEX2DEC(Table1[[#This Row],[utf8]]))</f>
        <v>💃</v>
      </c>
      <c r="K1717" s="3" t="str" cm="1">
        <f t="array" ref="K1717">"Case "&amp;wRandomLetter()&amp;wRandomLetter()&amp;I1717&amp;":    UniConst = ChrW(" &amp; I1717 &amp;")"</f>
        <v>Case Sq128131:    UniConst = ChrW(128131)</v>
      </c>
    </row>
    <row r="1718" spans="1:11" hidden="1">
      <c r="A1718" t="s">
        <v>2043</v>
      </c>
      <c r="B1718" t="str">
        <f t="shared" si="158"/>
        <v>1F483 1F3FE ; fully-qualified # 💃🏾 E1.0 woman dancing: medium-dark skin tone</v>
      </c>
      <c r="C1718" t="str">
        <f t="shared" si="159"/>
        <v xml:space="preserve">1F483 1F3FE </v>
      </c>
      <c r="D1718">
        <f t="shared" si="160"/>
        <v>12</v>
      </c>
      <c r="E1718" t="str">
        <f t="shared" si="156"/>
        <v xml:space="preserve"> 💃🏾 E1.0 woman dancing: medium-dark skin tone</v>
      </c>
      <c r="F1718" t="b">
        <f t="shared" si="161"/>
        <v>1</v>
      </c>
      <c r="G1718" t="str">
        <f t="shared" si="157"/>
        <v>1F483</v>
      </c>
      <c r="I1718">
        <f>HEX2DEC(Table1[[#This Row],[utf8]])</f>
        <v>128131</v>
      </c>
      <c r="J1718" t="str">
        <f>_xlfn.UNICHAR(HEX2DEC(Table1[[#This Row],[utf8]]))</f>
        <v>💃</v>
      </c>
      <c r="K1718" s="3" t="str" cm="1">
        <f t="array" ref="K1718">"Case "&amp;wRandomLetter()&amp;wRandomLetter()&amp;I1718&amp;":    UniConst = ChrW(" &amp; I1718 &amp;")"</f>
        <v>Case ON128131:    UniConst = ChrW(128131)</v>
      </c>
    </row>
    <row r="1719" spans="1:11" hidden="1">
      <c r="A1719" t="s">
        <v>2044</v>
      </c>
      <c r="B1719" t="str">
        <f t="shared" si="158"/>
        <v>1F483 1F3FF ; fully-qualified # 💃🏿 E1.0 woman dancing: dark skin tone</v>
      </c>
      <c r="C1719" t="str">
        <f t="shared" si="159"/>
        <v xml:space="preserve">1F483 1F3FF </v>
      </c>
      <c r="D1719">
        <f t="shared" si="160"/>
        <v>12</v>
      </c>
      <c r="E1719" t="str">
        <f t="shared" si="156"/>
        <v xml:space="preserve"> 💃🏿 E1.0 woman dancing: dark skin tone</v>
      </c>
      <c r="F1719" t="b">
        <f t="shared" si="161"/>
        <v>1</v>
      </c>
      <c r="G1719" t="str">
        <f t="shared" si="157"/>
        <v>1F483</v>
      </c>
      <c r="I1719">
        <f>HEX2DEC(Table1[[#This Row],[utf8]])</f>
        <v>128131</v>
      </c>
      <c r="J1719" t="str">
        <f>_xlfn.UNICHAR(HEX2DEC(Table1[[#This Row],[utf8]]))</f>
        <v>💃</v>
      </c>
      <c r="K1719" s="3" t="str" cm="1">
        <f t="array" ref="K1719">"Case "&amp;wRandomLetter()&amp;wRandomLetter()&amp;I1719&amp;":    UniConst = ChrW(" &amp; I1719 &amp;")"</f>
        <v>Case oW128131:    UniConst = ChrW(128131)</v>
      </c>
    </row>
    <row r="1720" spans="1:11" hidden="1">
      <c r="A1720" t="s">
        <v>3848</v>
      </c>
      <c r="B1720" t="str">
        <f t="shared" si="158"/>
        <v>1F484 ; fully-qualified # 💄 E0.6 lipstick</v>
      </c>
      <c r="C1720" t="str">
        <f t="shared" si="159"/>
        <v xml:space="preserve">1F484 </v>
      </c>
      <c r="D1720">
        <f t="shared" si="160"/>
        <v>6</v>
      </c>
      <c r="E1720" t="str">
        <f t="shared" si="156"/>
        <v xml:space="preserve"> 💄 E0.6 lipstick</v>
      </c>
      <c r="F1720" t="b">
        <f t="shared" si="161"/>
        <v>1</v>
      </c>
      <c r="G1720" t="str">
        <f t="shared" si="157"/>
        <v>1F484</v>
      </c>
      <c r="I1720">
        <f>HEX2DEC(Table1[[#This Row],[utf8]])</f>
        <v>128132</v>
      </c>
      <c r="J1720" t="str">
        <f>_xlfn.UNICHAR(HEX2DEC(Table1[[#This Row],[utf8]]))</f>
        <v>💄</v>
      </c>
      <c r="K1720" s="3" t="str" cm="1">
        <f t="array" ref="K1720">"Case "&amp;wRandomLetter()&amp;wRandomLetter()&amp;I1720&amp;":    UniConst = ChrW(" &amp; I1720 &amp;")"</f>
        <v>Case JP128132:    UniConst = ChrW(128132)</v>
      </c>
    </row>
    <row r="1721" spans="1:11" hidden="1">
      <c r="A1721" t="s">
        <v>386</v>
      </c>
      <c r="B1721" t="str">
        <f t="shared" si="158"/>
        <v>1F485 ; fully-qualified # 💅 E0.6 nail polish</v>
      </c>
      <c r="C1721" t="str">
        <f t="shared" si="159"/>
        <v xml:space="preserve">1F485 </v>
      </c>
      <c r="D1721">
        <f t="shared" si="160"/>
        <v>6</v>
      </c>
      <c r="E1721" t="str">
        <f t="shared" si="156"/>
        <v xml:space="preserve"> 💅 E0.6 nail polish</v>
      </c>
      <c r="F1721" t="b">
        <f t="shared" si="161"/>
        <v>1</v>
      </c>
      <c r="G1721" t="str">
        <f t="shared" si="157"/>
        <v>1F485</v>
      </c>
      <c r="I1721">
        <f>HEX2DEC(Table1[[#This Row],[utf8]])</f>
        <v>128133</v>
      </c>
      <c r="J1721" t="str">
        <f>_xlfn.UNICHAR(HEX2DEC(Table1[[#This Row],[utf8]]))</f>
        <v>💅</v>
      </c>
      <c r="K1721" s="3" t="str" cm="1">
        <f t="array" ref="K1721">"Case "&amp;wRandomLetter()&amp;wRandomLetter()&amp;I1721&amp;":    UniConst = ChrW(" &amp; I1721 &amp;")"</f>
        <v>Case Mu128133:    UniConst = ChrW(128133)</v>
      </c>
    </row>
    <row r="1722" spans="1:11" hidden="1">
      <c r="A1722" t="s">
        <v>387</v>
      </c>
      <c r="B1722" t="str">
        <f t="shared" si="158"/>
        <v>1F485 1F3FB ; fully-qualified # 💅🏻 E1.0 nail polish: light skin tone</v>
      </c>
      <c r="C1722" t="str">
        <f t="shared" si="159"/>
        <v xml:space="preserve">1F485 1F3FB </v>
      </c>
      <c r="D1722">
        <f t="shared" si="160"/>
        <v>12</v>
      </c>
      <c r="E1722" t="str">
        <f t="shared" si="156"/>
        <v xml:space="preserve"> 💅🏻 E1.0 nail polish: light skin tone</v>
      </c>
      <c r="F1722" t="b">
        <f t="shared" si="161"/>
        <v>1</v>
      </c>
      <c r="G1722" t="str">
        <f t="shared" si="157"/>
        <v>1F485</v>
      </c>
      <c r="I1722">
        <f>HEX2DEC(Table1[[#This Row],[utf8]])</f>
        <v>128133</v>
      </c>
      <c r="J1722" t="str">
        <f>_xlfn.UNICHAR(HEX2DEC(Table1[[#This Row],[utf8]]))</f>
        <v>💅</v>
      </c>
      <c r="K1722" s="3" t="str" cm="1">
        <f t="array" ref="K1722">"Case "&amp;wRandomLetter()&amp;wRandomLetter()&amp;I1722&amp;":    UniConst = ChrW(" &amp; I1722 &amp;")"</f>
        <v>Case Lj128133:    UniConst = ChrW(128133)</v>
      </c>
    </row>
    <row r="1723" spans="1:11" hidden="1">
      <c r="A1723" t="s">
        <v>388</v>
      </c>
      <c r="B1723" t="str">
        <f t="shared" si="158"/>
        <v>1F485 1F3FC ; fully-qualified # 💅🏼 E1.0 nail polish: medium-light skin tone</v>
      </c>
      <c r="C1723" t="str">
        <f t="shared" si="159"/>
        <v xml:space="preserve">1F485 1F3FC </v>
      </c>
      <c r="D1723">
        <f t="shared" si="160"/>
        <v>12</v>
      </c>
      <c r="E1723" t="str">
        <f t="shared" si="156"/>
        <v xml:space="preserve"> 💅🏼 E1.0 nail polish: medium-light skin tone</v>
      </c>
      <c r="F1723" t="b">
        <f t="shared" si="161"/>
        <v>1</v>
      </c>
      <c r="G1723" t="str">
        <f t="shared" si="157"/>
        <v>1F485</v>
      </c>
      <c r="I1723">
        <f>HEX2DEC(Table1[[#This Row],[utf8]])</f>
        <v>128133</v>
      </c>
      <c r="J1723" t="str">
        <f>_xlfn.UNICHAR(HEX2DEC(Table1[[#This Row],[utf8]]))</f>
        <v>💅</v>
      </c>
      <c r="K1723" s="3" t="str" cm="1">
        <f t="array" ref="K1723">"Case "&amp;wRandomLetter()&amp;wRandomLetter()&amp;I1723&amp;":    UniConst = ChrW(" &amp; I1723 &amp;")"</f>
        <v>Case mj128133:    UniConst = ChrW(128133)</v>
      </c>
    </row>
    <row r="1724" spans="1:11" hidden="1">
      <c r="A1724" t="s">
        <v>389</v>
      </c>
      <c r="B1724" t="str">
        <f t="shared" si="158"/>
        <v>1F485 1F3FD ; fully-qualified # 💅🏽 E1.0 nail polish: medium skin tone</v>
      </c>
      <c r="C1724" t="str">
        <f t="shared" si="159"/>
        <v xml:space="preserve">1F485 1F3FD </v>
      </c>
      <c r="D1724">
        <f t="shared" si="160"/>
        <v>12</v>
      </c>
      <c r="E1724" t="str">
        <f t="shared" si="156"/>
        <v xml:space="preserve"> 💅🏽 E1.0 nail polish: medium skin tone</v>
      </c>
      <c r="F1724" t="b">
        <f t="shared" si="161"/>
        <v>1</v>
      </c>
      <c r="G1724" t="str">
        <f t="shared" si="157"/>
        <v>1F485</v>
      </c>
      <c r="I1724">
        <f>HEX2DEC(Table1[[#This Row],[utf8]])</f>
        <v>128133</v>
      </c>
      <c r="J1724" t="str">
        <f>_xlfn.UNICHAR(HEX2DEC(Table1[[#This Row],[utf8]]))</f>
        <v>💅</v>
      </c>
      <c r="K1724" s="3" t="str" cm="1">
        <f t="array" ref="K1724">"Case "&amp;wRandomLetter()&amp;wRandomLetter()&amp;I1724&amp;":    UniConst = ChrW(" &amp; I1724 &amp;")"</f>
        <v>Case TA128133:    UniConst = ChrW(128133)</v>
      </c>
    </row>
    <row r="1725" spans="1:11" hidden="1">
      <c r="A1725" t="s">
        <v>390</v>
      </c>
      <c r="B1725" t="str">
        <f t="shared" si="158"/>
        <v>1F485 1F3FE ; fully-qualified # 💅🏾 E1.0 nail polish: medium-dark skin tone</v>
      </c>
      <c r="C1725" t="str">
        <f t="shared" si="159"/>
        <v xml:space="preserve">1F485 1F3FE </v>
      </c>
      <c r="D1725">
        <f t="shared" si="160"/>
        <v>12</v>
      </c>
      <c r="E1725" t="str">
        <f t="shared" si="156"/>
        <v xml:space="preserve"> 💅🏾 E1.0 nail polish: medium-dark skin tone</v>
      </c>
      <c r="F1725" t="b">
        <f t="shared" si="161"/>
        <v>1</v>
      </c>
      <c r="G1725" t="str">
        <f t="shared" si="157"/>
        <v>1F485</v>
      </c>
      <c r="I1725">
        <f>HEX2DEC(Table1[[#This Row],[utf8]])</f>
        <v>128133</v>
      </c>
      <c r="J1725" t="str">
        <f>_xlfn.UNICHAR(HEX2DEC(Table1[[#This Row],[utf8]]))</f>
        <v>💅</v>
      </c>
      <c r="K1725" s="3" t="str" cm="1">
        <f t="array" ref="K1725">"Case "&amp;wRandomLetter()&amp;wRandomLetter()&amp;I1725&amp;":    UniConst = ChrW(" &amp; I1725 &amp;")"</f>
        <v>Case Lj128133:    UniConst = ChrW(128133)</v>
      </c>
    </row>
    <row r="1726" spans="1:11" hidden="1">
      <c r="A1726" t="s">
        <v>391</v>
      </c>
      <c r="B1726" t="str">
        <f t="shared" si="158"/>
        <v>1F485 1F3FF ; fully-qualified # 💅🏿 E1.0 nail polish: dark skin tone</v>
      </c>
      <c r="C1726" t="str">
        <f t="shared" si="159"/>
        <v xml:space="preserve">1F485 1F3FF </v>
      </c>
      <c r="D1726">
        <f t="shared" si="160"/>
        <v>12</v>
      </c>
      <c r="E1726" t="str">
        <f t="shared" si="156"/>
        <v xml:space="preserve"> 💅🏿 E1.0 nail polish: dark skin tone</v>
      </c>
      <c r="F1726" t="b">
        <f t="shared" si="161"/>
        <v>1</v>
      </c>
      <c r="G1726" t="str">
        <f t="shared" si="157"/>
        <v>1F485</v>
      </c>
      <c r="I1726">
        <f>HEX2DEC(Table1[[#This Row],[utf8]])</f>
        <v>128133</v>
      </c>
      <c r="J1726" t="str">
        <f>_xlfn.UNICHAR(HEX2DEC(Table1[[#This Row],[utf8]]))</f>
        <v>💅</v>
      </c>
      <c r="K1726" s="3" t="str" cm="1">
        <f t="array" ref="K1726">"Case "&amp;wRandomLetter()&amp;wRandomLetter()&amp;I1726&amp;":    UniConst = ChrW(" &amp; I1726 &amp;")"</f>
        <v>Case Gg128133:    UniConst = ChrW(128133)</v>
      </c>
    </row>
    <row r="1727" spans="1:11" hidden="1">
      <c r="A1727" t="s">
        <v>1805</v>
      </c>
      <c r="B1727" t="str">
        <f t="shared" si="158"/>
        <v>1F486 ; fully-qualified # 💆 E0.6 person getting massage</v>
      </c>
      <c r="C1727" t="str">
        <f t="shared" si="159"/>
        <v xml:space="preserve">1F486 </v>
      </c>
      <c r="D1727">
        <f t="shared" si="160"/>
        <v>6</v>
      </c>
      <c r="E1727" t="str">
        <f t="shared" si="156"/>
        <v xml:space="preserve"> 💆 E0.6 person getting massage</v>
      </c>
      <c r="F1727" t="b">
        <f t="shared" si="161"/>
        <v>1</v>
      </c>
      <c r="G1727" t="str">
        <f t="shared" si="157"/>
        <v>1F486</v>
      </c>
      <c r="I1727">
        <f>HEX2DEC(Table1[[#This Row],[utf8]])</f>
        <v>128134</v>
      </c>
      <c r="J1727" t="str">
        <f>_xlfn.UNICHAR(HEX2DEC(Table1[[#This Row],[utf8]]))</f>
        <v>💆</v>
      </c>
      <c r="K1727" s="3" t="str" cm="1">
        <f t="array" ref="K1727">"Case "&amp;wRandomLetter()&amp;wRandomLetter()&amp;I1727&amp;":    UniConst = ChrW(" &amp; I1727 &amp;")"</f>
        <v>Case uT128134:    UniConst = ChrW(128134)</v>
      </c>
    </row>
    <row r="1728" spans="1:11" hidden="1">
      <c r="A1728" t="s">
        <v>1806</v>
      </c>
      <c r="B1728" t="str">
        <f t="shared" si="158"/>
        <v>1F486 1F3FB ; fully-qualified # 💆🏻 E1.0 person getting massage: light skin tone</v>
      </c>
      <c r="C1728" t="str">
        <f t="shared" si="159"/>
        <v xml:space="preserve">1F486 1F3FB </v>
      </c>
      <c r="D1728">
        <f t="shared" si="160"/>
        <v>12</v>
      </c>
      <c r="E1728" t="str">
        <f t="shared" si="156"/>
        <v xml:space="preserve"> 💆🏻 E1.0 person getting massage: light skin tone</v>
      </c>
      <c r="F1728" t="b">
        <f t="shared" si="161"/>
        <v>1</v>
      </c>
      <c r="G1728" t="str">
        <f t="shared" si="157"/>
        <v>1F486</v>
      </c>
      <c r="I1728">
        <f>HEX2DEC(Table1[[#This Row],[utf8]])</f>
        <v>128134</v>
      </c>
      <c r="J1728" t="str">
        <f>_xlfn.UNICHAR(HEX2DEC(Table1[[#This Row],[utf8]]))</f>
        <v>💆</v>
      </c>
      <c r="K1728" s="3" t="str" cm="1">
        <f t="array" ref="K1728">"Case "&amp;wRandomLetter()&amp;wRandomLetter()&amp;I1728&amp;":    UniConst = ChrW(" &amp; I1728 &amp;")"</f>
        <v>Case Gw128134:    UniConst = ChrW(128134)</v>
      </c>
    </row>
    <row r="1729" spans="1:11" hidden="1">
      <c r="A1729" t="s">
        <v>1826</v>
      </c>
      <c r="B1729" t="str">
        <f t="shared" si="158"/>
        <v>1F486 1F3FB 200D 2640 ; minimally-qualified # 💆🏻‍♀ E4.0 woman getting massage: light skin tone</v>
      </c>
      <c r="C1729" t="str">
        <f t="shared" si="159"/>
        <v xml:space="preserve">1F486 1F3FB 200D 2640 </v>
      </c>
      <c r="D1729">
        <f t="shared" si="160"/>
        <v>22</v>
      </c>
      <c r="E1729" t="str">
        <f t="shared" si="156"/>
        <v xml:space="preserve"> 💆🏻‍♀ E4.0 woman getting massage: light skin tone</v>
      </c>
      <c r="F1729" t="b">
        <f t="shared" si="161"/>
        <v>1</v>
      </c>
      <c r="G1729" t="str">
        <f t="shared" si="157"/>
        <v>1F486</v>
      </c>
      <c r="I1729">
        <f>HEX2DEC(Table1[[#This Row],[utf8]])</f>
        <v>128134</v>
      </c>
      <c r="J1729" t="str">
        <f>_xlfn.UNICHAR(HEX2DEC(Table1[[#This Row],[utf8]]))</f>
        <v>💆</v>
      </c>
      <c r="K1729" s="3" t="str" cm="1">
        <f t="array" ref="K1729">"Case "&amp;wRandomLetter()&amp;wRandomLetter()&amp;I1729&amp;":    UniConst = ChrW(" &amp; I1729 &amp;")"</f>
        <v>Case Bv128134:    UniConst = ChrW(128134)</v>
      </c>
    </row>
    <row r="1730" spans="1:11" hidden="1">
      <c r="A1730" t="s">
        <v>1825</v>
      </c>
      <c r="B1730" t="str">
        <f t="shared" si="158"/>
        <v>1F486 1F3FB 200D 2640 FE0F ; fully-qualified # 💆🏻‍♀️ E4.0 woman getting massage: light skin tone</v>
      </c>
      <c r="C1730" t="str">
        <f t="shared" si="159"/>
        <v xml:space="preserve">1F486 1F3FB 200D 2640 FE0F </v>
      </c>
      <c r="D1730">
        <f t="shared" si="160"/>
        <v>27</v>
      </c>
      <c r="E1730" t="str">
        <f t="shared" ref="E1730:E1793" si="162">MID(A1730,FIND("#",A1730)+1,256)</f>
        <v xml:space="preserve"> 💆🏻‍♀️ E4.0 woman getting massage: light skin tone</v>
      </c>
      <c r="F1730" t="b">
        <f t="shared" si="161"/>
        <v>1</v>
      </c>
      <c r="G1730" t="str">
        <f t="shared" ref="G1730:G1793" si="163">LEFT(C1730,(FIND(" ",C1730,1)-1))</f>
        <v>1F486</v>
      </c>
      <c r="I1730">
        <f>HEX2DEC(Table1[[#This Row],[utf8]])</f>
        <v>128134</v>
      </c>
      <c r="J1730" t="str">
        <f>_xlfn.UNICHAR(HEX2DEC(Table1[[#This Row],[utf8]]))</f>
        <v>💆</v>
      </c>
      <c r="K1730" s="3" t="str" cm="1">
        <f t="array" ref="K1730">"Case "&amp;wRandomLetter()&amp;wRandomLetter()&amp;I1730&amp;":    UniConst = ChrW(" &amp; I1730 &amp;")"</f>
        <v>Case Tz128134:    UniConst = ChrW(128134)</v>
      </c>
    </row>
    <row r="1731" spans="1:11" hidden="1">
      <c r="A1731" t="s">
        <v>1814</v>
      </c>
      <c r="B1731" t="str">
        <f t="shared" ref="B1731:B1794" si="164">TRIM(A1731)</f>
        <v>1F486 1F3FB 200D 2642 ; minimally-qualified # 💆🏻‍♂ E4.0 man getting massage: light skin tone</v>
      </c>
      <c r="C1731" t="str">
        <f t="shared" ref="C1731:C1794" si="165">LEFT(B1731,(FIND(";",B1731,1)-1))</f>
        <v xml:space="preserve">1F486 1F3FB 200D 2642 </v>
      </c>
      <c r="D1731">
        <f t="shared" ref="D1731:D1794" si="166">LEN(C1731)</f>
        <v>22</v>
      </c>
      <c r="E1731" t="str">
        <f t="shared" si="162"/>
        <v xml:space="preserve"> 💆🏻‍♂ E4.0 man getting massage: light skin tone</v>
      </c>
      <c r="F1731" t="b">
        <f t="shared" ref="F1731:F1794" si="167">IF(LEFT(C1731,2)="1F",TRUE,FALSE)</f>
        <v>1</v>
      </c>
      <c r="G1731" t="str">
        <f t="shared" si="163"/>
        <v>1F486</v>
      </c>
      <c r="I1731">
        <f>HEX2DEC(Table1[[#This Row],[utf8]])</f>
        <v>128134</v>
      </c>
      <c r="J1731" t="str">
        <f>_xlfn.UNICHAR(HEX2DEC(Table1[[#This Row],[utf8]]))</f>
        <v>💆</v>
      </c>
      <c r="K1731" s="3" t="str" cm="1">
        <f t="array" ref="K1731">"Case "&amp;wRandomLetter()&amp;wRandomLetter()&amp;I1731&amp;":    UniConst = ChrW(" &amp; I1731 &amp;")"</f>
        <v>Case gB128134:    UniConst = ChrW(128134)</v>
      </c>
    </row>
    <row r="1732" spans="1:11" hidden="1">
      <c r="A1732" t="s">
        <v>1813</v>
      </c>
      <c r="B1732" t="str">
        <f t="shared" si="164"/>
        <v>1F486 1F3FB 200D 2642 FE0F ; fully-qualified # 💆🏻‍♂️ E4.0 man getting massage: light skin tone</v>
      </c>
      <c r="C1732" t="str">
        <f t="shared" si="165"/>
        <v xml:space="preserve">1F486 1F3FB 200D 2642 FE0F </v>
      </c>
      <c r="D1732">
        <f t="shared" si="166"/>
        <v>27</v>
      </c>
      <c r="E1732" t="str">
        <f t="shared" si="162"/>
        <v xml:space="preserve"> 💆🏻‍♂️ E4.0 man getting massage: light skin tone</v>
      </c>
      <c r="F1732" t="b">
        <f t="shared" si="167"/>
        <v>1</v>
      </c>
      <c r="G1732" t="str">
        <f t="shared" si="163"/>
        <v>1F486</v>
      </c>
      <c r="I1732">
        <f>HEX2DEC(Table1[[#This Row],[utf8]])</f>
        <v>128134</v>
      </c>
      <c r="J1732" t="str">
        <f>_xlfn.UNICHAR(HEX2DEC(Table1[[#This Row],[utf8]]))</f>
        <v>💆</v>
      </c>
      <c r="K1732" s="3" t="str" cm="1">
        <f t="array" ref="K1732">"Case "&amp;wRandomLetter()&amp;wRandomLetter()&amp;I1732&amp;":    UniConst = ChrW(" &amp; I1732 &amp;")"</f>
        <v>Case rO128134:    UniConst = ChrW(128134)</v>
      </c>
    </row>
    <row r="1733" spans="1:11" hidden="1">
      <c r="A1733" t="s">
        <v>1807</v>
      </c>
      <c r="B1733" t="str">
        <f t="shared" si="164"/>
        <v>1F486 1F3FC ; fully-qualified # 💆🏼 E1.0 person getting massage: medium-light skin tone</v>
      </c>
      <c r="C1733" t="str">
        <f t="shared" si="165"/>
        <v xml:space="preserve">1F486 1F3FC </v>
      </c>
      <c r="D1733">
        <f t="shared" si="166"/>
        <v>12</v>
      </c>
      <c r="E1733" t="str">
        <f t="shared" si="162"/>
        <v xml:space="preserve"> 💆🏼 E1.0 person getting massage: medium-light skin tone</v>
      </c>
      <c r="F1733" t="b">
        <f t="shared" si="167"/>
        <v>1</v>
      </c>
      <c r="G1733" t="str">
        <f t="shared" si="163"/>
        <v>1F486</v>
      </c>
      <c r="I1733">
        <f>HEX2DEC(Table1[[#This Row],[utf8]])</f>
        <v>128134</v>
      </c>
      <c r="J1733" t="str">
        <f>_xlfn.UNICHAR(HEX2DEC(Table1[[#This Row],[utf8]]))</f>
        <v>💆</v>
      </c>
      <c r="K1733" s="3" t="str" cm="1">
        <f t="array" ref="K1733">"Case "&amp;wRandomLetter()&amp;wRandomLetter()&amp;I1733&amp;":    UniConst = ChrW(" &amp; I1733 &amp;")"</f>
        <v>Case IO128134:    UniConst = ChrW(128134)</v>
      </c>
    </row>
    <row r="1734" spans="1:11" hidden="1">
      <c r="A1734" t="s">
        <v>1828</v>
      </c>
      <c r="B1734" t="str">
        <f t="shared" si="164"/>
        <v>1F486 1F3FC 200D 2640 ; minimally-qualified # 💆🏼‍♀ E4.0 woman getting massage: medium-light skin tone</v>
      </c>
      <c r="C1734" t="str">
        <f t="shared" si="165"/>
        <v xml:space="preserve">1F486 1F3FC 200D 2640 </v>
      </c>
      <c r="D1734">
        <f t="shared" si="166"/>
        <v>22</v>
      </c>
      <c r="E1734" t="str">
        <f t="shared" si="162"/>
        <v xml:space="preserve"> 💆🏼‍♀ E4.0 woman getting massage: medium-light skin tone</v>
      </c>
      <c r="F1734" t="b">
        <f t="shared" si="167"/>
        <v>1</v>
      </c>
      <c r="G1734" t="str">
        <f t="shared" si="163"/>
        <v>1F486</v>
      </c>
      <c r="I1734">
        <f>HEX2DEC(Table1[[#This Row],[utf8]])</f>
        <v>128134</v>
      </c>
      <c r="J1734" t="str">
        <f>_xlfn.UNICHAR(HEX2DEC(Table1[[#This Row],[utf8]]))</f>
        <v>💆</v>
      </c>
      <c r="K1734" s="3" t="str" cm="1">
        <f t="array" ref="K1734">"Case "&amp;wRandomLetter()&amp;wRandomLetter()&amp;I1734&amp;":    UniConst = ChrW(" &amp; I1734 &amp;")"</f>
        <v>Case kU128134:    UniConst = ChrW(128134)</v>
      </c>
    </row>
    <row r="1735" spans="1:11" hidden="1">
      <c r="A1735" t="s">
        <v>1827</v>
      </c>
      <c r="B1735" t="str">
        <f t="shared" si="164"/>
        <v>1F486 1F3FC 200D 2640 FE0F ; fully-qualified # 💆🏼‍♀️ E4.0 woman getting massage: medium-light skin tone</v>
      </c>
      <c r="C1735" t="str">
        <f t="shared" si="165"/>
        <v xml:space="preserve">1F486 1F3FC 200D 2640 FE0F </v>
      </c>
      <c r="D1735">
        <f t="shared" si="166"/>
        <v>27</v>
      </c>
      <c r="E1735" t="str">
        <f t="shared" si="162"/>
        <v xml:space="preserve"> 💆🏼‍♀️ E4.0 woman getting massage: medium-light skin tone</v>
      </c>
      <c r="F1735" t="b">
        <f t="shared" si="167"/>
        <v>1</v>
      </c>
      <c r="G1735" t="str">
        <f t="shared" si="163"/>
        <v>1F486</v>
      </c>
      <c r="I1735">
        <f>HEX2DEC(Table1[[#This Row],[utf8]])</f>
        <v>128134</v>
      </c>
      <c r="J1735" t="str">
        <f>_xlfn.UNICHAR(HEX2DEC(Table1[[#This Row],[utf8]]))</f>
        <v>💆</v>
      </c>
      <c r="K1735" s="3" t="str" cm="1">
        <f t="array" ref="K1735">"Case "&amp;wRandomLetter()&amp;wRandomLetter()&amp;I1735&amp;":    UniConst = ChrW(" &amp; I1735 &amp;")"</f>
        <v>Case rM128134:    UniConst = ChrW(128134)</v>
      </c>
    </row>
    <row r="1736" spans="1:11" hidden="1">
      <c r="A1736" t="s">
        <v>1816</v>
      </c>
      <c r="B1736" t="str">
        <f t="shared" si="164"/>
        <v>1F486 1F3FC 200D 2642 ; minimally-qualified # 💆🏼‍♂ E4.0 man getting massage: medium-light skin tone</v>
      </c>
      <c r="C1736" t="str">
        <f t="shared" si="165"/>
        <v xml:space="preserve">1F486 1F3FC 200D 2642 </v>
      </c>
      <c r="D1736">
        <f t="shared" si="166"/>
        <v>22</v>
      </c>
      <c r="E1736" t="str">
        <f t="shared" si="162"/>
        <v xml:space="preserve"> 💆🏼‍♂ E4.0 man getting massage: medium-light skin tone</v>
      </c>
      <c r="F1736" t="b">
        <f t="shared" si="167"/>
        <v>1</v>
      </c>
      <c r="G1736" t="str">
        <f t="shared" si="163"/>
        <v>1F486</v>
      </c>
      <c r="I1736">
        <f>HEX2DEC(Table1[[#This Row],[utf8]])</f>
        <v>128134</v>
      </c>
      <c r="J1736" t="str">
        <f>_xlfn.UNICHAR(HEX2DEC(Table1[[#This Row],[utf8]]))</f>
        <v>💆</v>
      </c>
      <c r="K1736" s="3" t="str" cm="1">
        <f t="array" ref="K1736">"Case "&amp;wRandomLetter()&amp;wRandomLetter()&amp;I1736&amp;":    UniConst = ChrW(" &amp; I1736 &amp;")"</f>
        <v>Case kE128134:    UniConst = ChrW(128134)</v>
      </c>
    </row>
    <row r="1737" spans="1:11" hidden="1">
      <c r="A1737" t="s">
        <v>1815</v>
      </c>
      <c r="B1737" t="str">
        <f t="shared" si="164"/>
        <v>1F486 1F3FC 200D 2642 FE0F ; fully-qualified # 💆🏼‍♂️ E4.0 man getting massage: medium-light skin tone</v>
      </c>
      <c r="C1737" t="str">
        <f t="shared" si="165"/>
        <v xml:space="preserve">1F486 1F3FC 200D 2642 FE0F </v>
      </c>
      <c r="D1737">
        <f t="shared" si="166"/>
        <v>27</v>
      </c>
      <c r="E1737" t="str">
        <f t="shared" si="162"/>
        <v xml:space="preserve"> 💆🏼‍♂️ E4.0 man getting massage: medium-light skin tone</v>
      </c>
      <c r="F1737" t="b">
        <f t="shared" si="167"/>
        <v>1</v>
      </c>
      <c r="G1737" t="str">
        <f t="shared" si="163"/>
        <v>1F486</v>
      </c>
      <c r="I1737">
        <f>HEX2DEC(Table1[[#This Row],[utf8]])</f>
        <v>128134</v>
      </c>
      <c r="J1737" t="str">
        <f>_xlfn.UNICHAR(HEX2DEC(Table1[[#This Row],[utf8]]))</f>
        <v>💆</v>
      </c>
      <c r="K1737" s="3" t="str" cm="1">
        <f t="array" ref="K1737">"Case "&amp;wRandomLetter()&amp;wRandomLetter()&amp;I1737&amp;":    UniConst = ChrW(" &amp; I1737 &amp;")"</f>
        <v>Case Px128134:    UniConst = ChrW(128134)</v>
      </c>
    </row>
    <row r="1738" spans="1:11" hidden="1">
      <c r="A1738" t="s">
        <v>1808</v>
      </c>
      <c r="B1738" t="str">
        <f t="shared" si="164"/>
        <v>1F486 1F3FD ; fully-qualified # 💆🏽 E1.0 person getting massage: medium skin tone</v>
      </c>
      <c r="C1738" t="str">
        <f t="shared" si="165"/>
        <v xml:space="preserve">1F486 1F3FD </v>
      </c>
      <c r="D1738">
        <f t="shared" si="166"/>
        <v>12</v>
      </c>
      <c r="E1738" t="str">
        <f t="shared" si="162"/>
        <v xml:space="preserve"> 💆🏽 E1.0 person getting massage: medium skin tone</v>
      </c>
      <c r="F1738" t="b">
        <f t="shared" si="167"/>
        <v>1</v>
      </c>
      <c r="G1738" t="str">
        <f t="shared" si="163"/>
        <v>1F486</v>
      </c>
      <c r="I1738">
        <f>HEX2DEC(Table1[[#This Row],[utf8]])</f>
        <v>128134</v>
      </c>
      <c r="J1738" t="str">
        <f>_xlfn.UNICHAR(HEX2DEC(Table1[[#This Row],[utf8]]))</f>
        <v>💆</v>
      </c>
      <c r="K1738" s="3" t="str" cm="1">
        <f t="array" ref="K1738">"Case "&amp;wRandomLetter()&amp;wRandomLetter()&amp;I1738&amp;":    UniConst = ChrW(" &amp; I1738 &amp;")"</f>
        <v>Case xu128134:    UniConst = ChrW(128134)</v>
      </c>
    </row>
    <row r="1739" spans="1:11" hidden="1">
      <c r="A1739" t="s">
        <v>1830</v>
      </c>
      <c r="B1739" t="str">
        <f t="shared" si="164"/>
        <v>1F486 1F3FD 200D 2640 ; minimally-qualified # 💆🏽‍♀ E4.0 woman getting massage: medium skin tone</v>
      </c>
      <c r="C1739" t="str">
        <f t="shared" si="165"/>
        <v xml:space="preserve">1F486 1F3FD 200D 2640 </v>
      </c>
      <c r="D1739">
        <f t="shared" si="166"/>
        <v>22</v>
      </c>
      <c r="E1739" t="str">
        <f t="shared" si="162"/>
        <v xml:space="preserve"> 💆🏽‍♀ E4.0 woman getting massage: medium skin tone</v>
      </c>
      <c r="F1739" t="b">
        <f t="shared" si="167"/>
        <v>1</v>
      </c>
      <c r="G1739" t="str">
        <f t="shared" si="163"/>
        <v>1F486</v>
      </c>
      <c r="I1739">
        <f>HEX2DEC(Table1[[#This Row],[utf8]])</f>
        <v>128134</v>
      </c>
      <c r="J1739" t="str">
        <f>_xlfn.UNICHAR(HEX2DEC(Table1[[#This Row],[utf8]]))</f>
        <v>💆</v>
      </c>
      <c r="K1739" s="3" t="str" cm="1">
        <f t="array" ref="K1739">"Case "&amp;wRandomLetter()&amp;wRandomLetter()&amp;I1739&amp;":    UniConst = ChrW(" &amp; I1739 &amp;")"</f>
        <v>Case uF128134:    UniConst = ChrW(128134)</v>
      </c>
    </row>
    <row r="1740" spans="1:11" hidden="1">
      <c r="A1740" t="s">
        <v>1829</v>
      </c>
      <c r="B1740" t="str">
        <f t="shared" si="164"/>
        <v>1F486 1F3FD 200D 2640 FE0F ; fully-qualified # 💆🏽‍♀️ E4.0 woman getting massage: medium skin tone</v>
      </c>
      <c r="C1740" t="str">
        <f t="shared" si="165"/>
        <v xml:space="preserve">1F486 1F3FD 200D 2640 FE0F </v>
      </c>
      <c r="D1740">
        <f t="shared" si="166"/>
        <v>27</v>
      </c>
      <c r="E1740" t="str">
        <f t="shared" si="162"/>
        <v xml:space="preserve"> 💆🏽‍♀️ E4.0 woman getting massage: medium skin tone</v>
      </c>
      <c r="F1740" t="b">
        <f t="shared" si="167"/>
        <v>1</v>
      </c>
      <c r="G1740" t="str">
        <f t="shared" si="163"/>
        <v>1F486</v>
      </c>
      <c r="I1740">
        <f>HEX2DEC(Table1[[#This Row],[utf8]])</f>
        <v>128134</v>
      </c>
      <c r="J1740" t="str">
        <f>_xlfn.UNICHAR(HEX2DEC(Table1[[#This Row],[utf8]]))</f>
        <v>💆</v>
      </c>
      <c r="K1740" s="3" t="str" cm="1">
        <f t="array" ref="K1740">"Case "&amp;wRandomLetter()&amp;wRandomLetter()&amp;I1740&amp;":    UniConst = ChrW(" &amp; I1740 &amp;")"</f>
        <v>Case Db128134:    UniConst = ChrW(128134)</v>
      </c>
    </row>
    <row r="1741" spans="1:11" hidden="1">
      <c r="A1741" t="s">
        <v>1818</v>
      </c>
      <c r="B1741" t="str">
        <f t="shared" si="164"/>
        <v>1F486 1F3FD 200D 2642 ; minimally-qualified # 💆🏽‍♂ E4.0 man getting massage: medium skin tone</v>
      </c>
      <c r="C1741" t="str">
        <f t="shared" si="165"/>
        <v xml:space="preserve">1F486 1F3FD 200D 2642 </v>
      </c>
      <c r="D1741">
        <f t="shared" si="166"/>
        <v>22</v>
      </c>
      <c r="E1741" t="str">
        <f t="shared" si="162"/>
        <v xml:space="preserve"> 💆🏽‍♂ E4.0 man getting massage: medium skin tone</v>
      </c>
      <c r="F1741" t="b">
        <f t="shared" si="167"/>
        <v>1</v>
      </c>
      <c r="G1741" t="str">
        <f t="shared" si="163"/>
        <v>1F486</v>
      </c>
      <c r="I1741">
        <f>HEX2DEC(Table1[[#This Row],[utf8]])</f>
        <v>128134</v>
      </c>
      <c r="J1741" t="str">
        <f>_xlfn.UNICHAR(HEX2DEC(Table1[[#This Row],[utf8]]))</f>
        <v>💆</v>
      </c>
      <c r="K1741" s="3" t="str" cm="1">
        <f t="array" ref="K1741">"Case "&amp;wRandomLetter()&amp;wRandomLetter()&amp;I1741&amp;":    UniConst = ChrW(" &amp; I1741 &amp;")"</f>
        <v>Case uQ128134:    UniConst = ChrW(128134)</v>
      </c>
    </row>
    <row r="1742" spans="1:11" hidden="1">
      <c r="A1742" t="s">
        <v>1817</v>
      </c>
      <c r="B1742" t="str">
        <f t="shared" si="164"/>
        <v>1F486 1F3FD 200D 2642 FE0F ; fully-qualified # 💆🏽‍♂️ E4.0 man getting massage: medium skin tone</v>
      </c>
      <c r="C1742" t="str">
        <f t="shared" si="165"/>
        <v xml:space="preserve">1F486 1F3FD 200D 2642 FE0F </v>
      </c>
      <c r="D1742">
        <f t="shared" si="166"/>
        <v>27</v>
      </c>
      <c r="E1742" t="str">
        <f t="shared" si="162"/>
        <v xml:space="preserve"> 💆🏽‍♂️ E4.0 man getting massage: medium skin tone</v>
      </c>
      <c r="F1742" t="b">
        <f t="shared" si="167"/>
        <v>1</v>
      </c>
      <c r="G1742" t="str">
        <f t="shared" si="163"/>
        <v>1F486</v>
      </c>
      <c r="I1742">
        <f>HEX2DEC(Table1[[#This Row],[utf8]])</f>
        <v>128134</v>
      </c>
      <c r="J1742" t="str">
        <f>_xlfn.UNICHAR(HEX2DEC(Table1[[#This Row],[utf8]]))</f>
        <v>💆</v>
      </c>
      <c r="K1742" s="3" t="str" cm="1">
        <f t="array" ref="K1742">"Case "&amp;wRandomLetter()&amp;wRandomLetter()&amp;I1742&amp;":    UniConst = ChrW(" &amp; I1742 &amp;")"</f>
        <v>Case fs128134:    UniConst = ChrW(128134)</v>
      </c>
    </row>
    <row r="1743" spans="1:11" hidden="1">
      <c r="A1743" t="s">
        <v>1809</v>
      </c>
      <c r="B1743" t="str">
        <f t="shared" si="164"/>
        <v>1F486 1F3FE ; fully-qualified # 💆🏾 E1.0 person getting massage: medium-dark skin tone</v>
      </c>
      <c r="C1743" t="str">
        <f t="shared" si="165"/>
        <v xml:space="preserve">1F486 1F3FE </v>
      </c>
      <c r="D1743">
        <f t="shared" si="166"/>
        <v>12</v>
      </c>
      <c r="E1743" t="str">
        <f t="shared" si="162"/>
        <v xml:space="preserve"> 💆🏾 E1.0 person getting massage: medium-dark skin tone</v>
      </c>
      <c r="F1743" t="b">
        <f t="shared" si="167"/>
        <v>1</v>
      </c>
      <c r="G1743" t="str">
        <f t="shared" si="163"/>
        <v>1F486</v>
      </c>
      <c r="I1743">
        <f>HEX2DEC(Table1[[#This Row],[utf8]])</f>
        <v>128134</v>
      </c>
      <c r="J1743" t="str">
        <f>_xlfn.UNICHAR(HEX2DEC(Table1[[#This Row],[utf8]]))</f>
        <v>💆</v>
      </c>
      <c r="K1743" s="3" t="str" cm="1">
        <f t="array" ref="K1743">"Case "&amp;wRandomLetter()&amp;wRandomLetter()&amp;I1743&amp;":    UniConst = ChrW(" &amp; I1743 &amp;")"</f>
        <v>Case rd128134:    UniConst = ChrW(128134)</v>
      </c>
    </row>
    <row r="1744" spans="1:11" hidden="1">
      <c r="A1744" t="s">
        <v>1832</v>
      </c>
      <c r="B1744" t="str">
        <f t="shared" si="164"/>
        <v>1F486 1F3FE 200D 2640 ; minimally-qualified # 💆🏾‍♀ E4.0 woman getting massage: medium-dark skin tone</v>
      </c>
      <c r="C1744" t="str">
        <f t="shared" si="165"/>
        <v xml:space="preserve">1F486 1F3FE 200D 2640 </v>
      </c>
      <c r="D1744">
        <f t="shared" si="166"/>
        <v>22</v>
      </c>
      <c r="E1744" t="str">
        <f t="shared" si="162"/>
        <v xml:space="preserve"> 💆🏾‍♀ E4.0 woman getting massage: medium-dark skin tone</v>
      </c>
      <c r="F1744" t="b">
        <f t="shared" si="167"/>
        <v>1</v>
      </c>
      <c r="G1744" t="str">
        <f t="shared" si="163"/>
        <v>1F486</v>
      </c>
      <c r="I1744">
        <f>HEX2DEC(Table1[[#This Row],[utf8]])</f>
        <v>128134</v>
      </c>
      <c r="J1744" t="str">
        <f>_xlfn.UNICHAR(HEX2DEC(Table1[[#This Row],[utf8]]))</f>
        <v>💆</v>
      </c>
      <c r="K1744" s="3" t="str" cm="1">
        <f t="array" ref="K1744">"Case "&amp;wRandomLetter()&amp;wRandomLetter()&amp;I1744&amp;":    UniConst = ChrW(" &amp; I1744 &amp;")"</f>
        <v>Case Iq128134:    UniConst = ChrW(128134)</v>
      </c>
    </row>
    <row r="1745" spans="1:11" hidden="1">
      <c r="A1745" t="s">
        <v>1831</v>
      </c>
      <c r="B1745" t="str">
        <f t="shared" si="164"/>
        <v>1F486 1F3FE 200D 2640 FE0F ; fully-qualified # 💆🏾‍♀️ E4.0 woman getting massage: medium-dark skin tone</v>
      </c>
      <c r="C1745" t="str">
        <f t="shared" si="165"/>
        <v xml:space="preserve">1F486 1F3FE 200D 2640 FE0F </v>
      </c>
      <c r="D1745">
        <f t="shared" si="166"/>
        <v>27</v>
      </c>
      <c r="E1745" t="str">
        <f t="shared" si="162"/>
        <v xml:space="preserve"> 💆🏾‍♀️ E4.0 woman getting massage: medium-dark skin tone</v>
      </c>
      <c r="F1745" t="b">
        <f t="shared" si="167"/>
        <v>1</v>
      </c>
      <c r="G1745" t="str">
        <f t="shared" si="163"/>
        <v>1F486</v>
      </c>
      <c r="I1745">
        <f>HEX2DEC(Table1[[#This Row],[utf8]])</f>
        <v>128134</v>
      </c>
      <c r="J1745" t="str">
        <f>_xlfn.UNICHAR(HEX2DEC(Table1[[#This Row],[utf8]]))</f>
        <v>💆</v>
      </c>
      <c r="K1745" s="3" t="str" cm="1">
        <f t="array" ref="K1745">"Case "&amp;wRandomLetter()&amp;wRandomLetter()&amp;I1745&amp;":    UniConst = ChrW(" &amp; I1745 &amp;")"</f>
        <v>Case Uy128134:    UniConst = ChrW(128134)</v>
      </c>
    </row>
    <row r="1746" spans="1:11" hidden="1">
      <c r="A1746" t="s">
        <v>1820</v>
      </c>
      <c r="B1746" t="str">
        <f t="shared" si="164"/>
        <v>1F486 1F3FE 200D 2642 ; minimally-qualified # 💆🏾‍♂ E4.0 man getting massage: medium-dark skin tone</v>
      </c>
      <c r="C1746" t="str">
        <f t="shared" si="165"/>
        <v xml:space="preserve">1F486 1F3FE 200D 2642 </v>
      </c>
      <c r="D1746">
        <f t="shared" si="166"/>
        <v>22</v>
      </c>
      <c r="E1746" t="str">
        <f t="shared" si="162"/>
        <v xml:space="preserve"> 💆🏾‍♂ E4.0 man getting massage: medium-dark skin tone</v>
      </c>
      <c r="F1746" t="b">
        <f t="shared" si="167"/>
        <v>1</v>
      </c>
      <c r="G1746" t="str">
        <f t="shared" si="163"/>
        <v>1F486</v>
      </c>
      <c r="I1746">
        <f>HEX2DEC(Table1[[#This Row],[utf8]])</f>
        <v>128134</v>
      </c>
      <c r="J1746" t="str">
        <f>_xlfn.UNICHAR(HEX2DEC(Table1[[#This Row],[utf8]]))</f>
        <v>💆</v>
      </c>
      <c r="K1746" s="3" t="str" cm="1">
        <f t="array" ref="K1746">"Case "&amp;wRandomLetter()&amp;wRandomLetter()&amp;I1746&amp;":    UniConst = ChrW(" &amp; I1746 &amp;")"</f>
        <v>Case Nw128134:    UniConst = ChrW(128134)</v>
      </c>
    </row>
    <row r="1747" spans="1:11" hidden="1">
      <c r="A1747" t="s">
        <v>1819</v>
      </c>
      <c r="B1747" t="str">
        <f t="shared" si="164"/>
        <v>1F486 1F3FE 200D 2642 FE0F ; fully-qualified # 💆🏾‍♂️ E4.0 man getting massage: medium-dark skin tone</v>
      </c>
      <c r="C1747" t="str">
        <f t="shared" si="165"/>
        <v xml:space="preserve">1F486 1F3FE 200D 2642 FE0F </v>
      </c>
      <c r="D1747">
        <f t="shared" si="166"/>
        <v>27</v>
      </c>
      <c r="E1747" t="str">
        <f t="shared" si="162"/>
        <v xml:space="preserve"> 💆🏾‍♂️ E4.0 man getting massage: medium-dark skin tone</v>
      </c>
      <c r="F1747" t="b">
        <f t="shared" si="167"/>
        <v>1</v>
      </c>
      <c r="G1747" t="str">
        <f t="shared" si="163"/>
        <v>1F486</v>
      </c>
      <c r="I1747">
        <f>HEX2DEC(Table1[[#This Row],[utf8]])</f>
        <v>128134</v>
      </c>
      <c r="J1747" t="str">
        <f>_xlfn.UNICHAR(HEX2DEC(Table1[[#This Row],[utf8]]))</f>
        <v>💆</v>
      </c>
      <c r="K1747" s="3" t="str" cm="1">
        <f t="array" ref="K1747">"Case "&amp;wRandomLetter()&amp;wRandomLetter()&amp;I1747&amp;":    UniConst = ChrW(" &amp; I1747 &amp;")"</f>
        <v>Case cl128134:    UniConst = ChrW(128134)</v>
      </c>
    </row>
    <row r="1748" spans="1:11" hidden="1">
      <c r="A1748" t="s">
        <v>1810</v>
      </c>
      <c r="B1748" t="str">
        <f t="shared" si="164"/>
        <v>1F486 1F3FF ; fully-qualified # 💆🏿 E1.0 person getting massage: dark skin tone</v>
      </c>
      <c r="C1748" t="str">
        <f t="shared" si="165"/>
        <v xml:space="preserve">1F486 1F3FF </v>
      </c>
      <c r="D1748">
        <f t="shared" si="166"/>
        <v>12</v>
      </c>
      <c r="E1748" t="str">
        <f t="shared" si="162"/>
        <v xml:space="preserve"> 💆🏿 E1.0 person getting massage: dark skin tone</v>
      </c>
      <c r="F1748" t="b">
        <f t="shared" si="167"/>
        <v>1</v>
      </c>
      <c r="G1748" t="str">
        <f t="shared" si="163"/>
        <v>1F486</v>
      </c>
      <c r="I1748">
        <f>HEX2DEC(Table1[[#This Row],[utf8]])</f>
        <v>128134</v>
      </c>
      <c r="J1748" t="str">
        <f>_xlfn.UNICHAR(HEX2DEC(Table1[[#This Row],[utf8]]))</f>
        <v>💆</v>
      </c>
      <c r="K1748" s="3" t="str" cm="1">
        <f t="array" ref="K1748">"Case "&amp;wRandomLetter()&amp;wRandomLetter()&amp;I1748&amp;":    UniConst = ChrW(" &amp; I1748 &amp;")"</f>
        <v>Case or128134:    UniConst = ChrW(128134)</v>
      </c>
    </row>
    <row r="1749" spans="1:11" hidden="1">
      <c r="A1749" t="s">
        <v>1834</v>
      </c>
      <c r="B1749" t="str">
        <f t="shared" si="164"/>
        <v>1F486 1F3FF 200D 2640 ; minimally-qualified # 💆🏿‍♀ E4.0 woman getting massage: dark skin tone</v>
      </c>
      <c r="C1749" t="str">
        <f t="shared" si="165"/>
        <v xml:space="preserve">1F486 1F3FF 200D 2640 </v>
      </c>
      <c r="D1749">
        <f t="shared" si="166"/>
        <v>22</v>
      </c>
      <c r="E1749" t="str">
        <f t="shared" si="162"/>
        <v xml:space="preserve"> 💆🏿‍♀ E4.0 woman getting massage: dark skin tone</v>
      </c>
      <c r="F1749" t="b">
        <f t="shared" si="167"/>
        <v>1</v>
      </c>
      <c r="G1749" t="str">
        <f t="shared" si="163"/>
        <v>1F486</v>
      </c>
      <c r="I1749">
        <f>HEX2DEC(Table1[[#This Row],[utf8]])</f>
        <v>128134</v>
      </c>
      <c r="J1749" t="str">
        <f>_xlfn.UNICHAR(HEX2DEC(Table1[[#This Row],[utf8]]))</f>
        <v>💆</v>
      </c>
      <c r="K1749" s="3" t="str" cm="1">
        <f t="array" ref="K1749">"Case "&amp;wRandomLetter()&amp;wRandomLetter()&amp;I1749&amp;":    UniConst = ChrW(" &amp; I1749 &amp;")"</f>
        <v>Case yr128134:    UniConst = ChrW(128134)</v>
      </c>
    </row>
    <row r="1750" spans="1:11" hidden="1">
      <c r="A1750" t="s">
        <v>1833</v>
      </c>
      <c r="B1750" t="str">
        <f t="shared" si="164"/>
        <v>1F486 1F3FF 200D 2640 FE0F ; fully-qualified # 💆🏿‍♀️ E4.0 woman getting massage: dark skin tone</v>
      </c>
      <c r="C1750" t="str">
        <f t="shared" si="165"/>
        <v xml:space="preserve">1F486 1F3FF 200D 2640 FE0F </v>
      </c>
      <c r="D1750">
        <f t="shared" si="166"/>
        <v>27</v>
      </c>
      <c r="E1750" t="str">
        <f t="shared" si="162"/>
        <v xml:space="preserve"> 💆🏿‍♀️ E4.0 woman getting massage: dark skin tone</v>
      </c>
      <c r="F1750" t="b">
        <f t="shared" si="167"/>
        <v>1</v>
      </c>
      <c r="G1750" t="str">
        <f t="shared" si="163"/>
        <v>1F486</v>
      </c>
      <c r="I1750">
        <f>HEX2DEC(Table1[[#This Row],[utf8]])</f>
        <v>128134</v>
      </c>
      <c r="J1750" t="str">
        <f>_xlfn.UNICHAR(HEX2DEC(Table1[[#This Row],[utf8]]))</f>
        <v>💆</v>
      </c>
      <c r="K1750" s="3" t="str" cm="1">
        <f t="array" ref="K1750">"Case "&amp;wRandomLetter()&amp;wRandomLetter()&amp;I1750&amp;":    UniConst = ChrW(" &amp; I1750 &amp;")"</f>
        <v>Case vm128134:    UniConst = ChrW(128134)</v>
      </c>
    </row>
    <row r="1751" spans="1:11" hidden="1">
      <c r="A1751" t="s">
        <v>1822</v>
      </c>
      <c r="B1751" t="str">
        <f t="shared" si="164"/>
        <v>1F486 1F3FF 200D 2642 ; minimally-qualified # 💆🏿‍♂ E4.0 man getting massage: dark skin tone</v>
      </c>
      <c r="C1751" t="str">
        <f t="shared" si="165"/>
        <v xml:space="preserve">1F486 1F3FF 200D 2642 </v>
      </c>
      <c r="D1751">
        <f t="shared" si="166"/>
        <v>22</v>
      </c>
      <c r="E1751" t="str">
        <f t="shared" si="162"/>
        <v xml:space="preserve"> 💆🏿‍♂ E4.0 man getting massage: dark skin tone</v>
      </c>
      <c r="F1751" t="b">
        <f t="shared" si="167"/>
        <v>1</v>
      </c>
      <c r="G1751" t="str">
        <f t="shared" si="163"/>
        <v>1F486</v>
      </c>
      <c r="I1751">
        <f>HEX2DEC(Table1[[#This Row],[utf8]])</f>
        <v>128134</v>
      </c>
      <c r="J1751" t="str">
        <f>_xlfn.UNICHAR(HEX2DEC(Table1[[#This Row],[utf8]]))</f>
        <v>💆</v>
      </c>
      <c r="K1751" s="3" t="str" cm="1">
        <f t="array" ref="K1751">"Case "&amp;wRandomLetter()&amp;wRandomLetter()&amp;I1751&amp;":    UniConst = ChrW(" &amp; I1751 &amp;")"</f>
        <v>Case wy128134:    UniConst = ChrW(128134)</v>
      </c>
    </row>
    <row r="1752" spans="1:11" hidden="1">
      <c r="A1752" t="s">
        <v>1821</v>
      </c>
      <c r="B1752" t="str">
        <f t="shared" si="164"/>
        <v>1F486 1F3FF 200D 2642 FE0F ; fully-qualified # 💆🏿‍♂️ E4.0 man getting massage: dark skin tone</v>
      </c>
      <c r="C1752" t="str">
        <f t="shared" si="165"/>
        <v xml:space="preserve">1F486 1F3FF 200D 2642 FE0F </v>
      </c>
      <c r="D1752">
        <f t="shared" si="166"/>
        <v>27</v>
      </c>
      <c r="E1752" t="str">
        <f t="shared" si="162"/>
        <v xml:space="preserve"> 💆🏿‍♂️ E4.0 man getting massage: dark skin tone</v>
      </c>
      <c r="F1752" t="b">
        <f t="shared" si="167"/>
        <v>1</v>
      </c>
      <c r="G1752" t="str">
        <f t="shared" si="163"/>
        <v>1F486</v>
      </c>
      <c r="I1752">
        <f>HEX2DEC(Table1[[#This Row],[utf8]])</f>
        <v>128134</v>
      </c>
      <c r="J1752" t="str">
        <f>_xlfn.UNICHAR(HEX2DEC(Table1[[#This Row],[utf8]]))</f>
        <v>💆</v>
      </c>
      <c r="K1752" s="3" t="str" cm="1">
        <f t="array" ref="K1752">"Case "&amp;wRandomLetter()&amp;wRandomLetter()&amp;I1752&amp;":    UniConst = ChrW(" &amp; I1752 &amp;")"</f>
        <v>Case ab128134:    UniConst = ChrW(128134)</v>
      </c>
    </row>
    <row r="1753" spans="1:11" hidden="1">
      <c r="A1753" t="s">
        <v>1824</v>
      </c>
      <c r="B1753" t="str">
        <f t="shared" si="164"/>
        <v>1F486 200D 2640 ; minimally-qualified # 💆‍♀ E4.0 woman getting massage</v>
      </c>
      <c r="C1753" t="str">
        <f t="shared" si="165"/>
        <v xml:space="preserve">1F486 200D 2640 </v>
      </c>
      <c r="D1753">
        <f t="shared" si="166"/>
        <v>16</v>
      </c>
      <c r="E1753" t="str">
        <f t="shared" si="162"/>
        <v xml:space="preserve"> 💆‍♀ E4.0 woman getting massage</v>
      </c>
      <c r="F1753" t="b">
        <f t="shared" si="167"/>
        <v>1</v>
      </c>
      <c r="G1753" t="str">
        <f t="shared" si="163"/>
        <v>1F486</v>
      </c>
      <c r="I1753">
        <f>HEX2DEC(Table1[[#This Row],[utf8]])</f>
        <v>128134</v>
      </c>
      <c r="J1753" t="str">
        <f>_xlfn.UNICHAR(HEX2DEC(Table1[[#This Row],[utf8]]))</f>
        <v>💆</v>
      </c>
      <c r="K1753" s="3" t="str" cm="1">
        <f t="array" ref="K1753">"Case "&amp;wRandomLetter()&amp;wRandomLetter()&amp;I1753&amp;":    UniConst = ChrW(" &amp; I1753 &amp;")"</f>
        <v>Case iZ128134:    UniConst = ChrW(128134)</v>
      </c>
    </row>
    <row r="1754" spans="1:11" hidden="1">
      <c r="A1754" t="s">
        <v>1823</v>
      </c>
      <c r="B1754" t="str">
        <f t="shared" si="164"/>
        <v>1F486 200D 2640 FE0F ; fully-qualified # 💆‍♀️ E4.0 woman getting massage</v>
      </c>
      <c r="C1754" t="str">
        <f t="shared" si="165"/>
        <v xml:space="preserve">1F486 200D 2640 FE0F </v>
      </c>
      <c r="D1754">
        <f t="shared" si="166"/>
        <v>21</v>
      </c>
      <c r="E1754" t="str">
        <f t="shared" si="162"/>
        <v xml:space="preserve"> 💆‍♀️ E4.0 woman getting massage</v>
      </c>
      <c r="F1754" t="b">
        <f t="shared" si="167"/>
        <v>1</v>
      </c>
      <c r="G1754" t="str">
        <f t="shared" si="163"/>
        <v>1F486</v>
      </c>
      <c r="I1754">
        <f>HEX2DEC(Table1[[#This Row],[utf8]])</f>
        <v>128134</v>
      </c>
      <c r="J1754" t="str">
        <f>_xlfn.UNICHAR(HEX2DEC(Table1[[#This Row],[utf8]]))</f>
        <v>💆</v>
      </c>
      <c r="K1754" s="3" t="str" cm="1">
        <f t="array" ref="K1754">"Case "&amp;wRandomLetter()&amp;wRandomLetter()&amp;I1754&amp;":    UniConst = ChrW(" &amp; I1754 &amp;")"</f>
        <v>Case yr128134:    UniConst = ChrW(128134)</v>
      </c>
    </row>
    <row r="1755" spans="1:11" hidden="1">
      <c r="A1755" t="s">
        <v>1812</v>
      </c>
      <c r="B1755" t="str">
        <f t="shared" si="164"/>
        <v>1F486 200D 2642 ; minimally-qualified # 💆‍♂ E4.0 man getting massage</v>
      </c>
      <c r="C1755" t="str">
        <f t="shared" si="165"/>
        <v xml:space="preserve">1F486 200D 2642 </v>
      </c>
      <c r="D1755">
        <f t="shared" si="166"/>
        <v>16</v>
      </c>
      <c r="E1755" t="str">
        <f t="shared" si="162"/>
        <v xml:space="preserve"> 💆‍♂ E4.0 man getting massage</v>
      </c>
      <c r="F1755" t="b">
        <f t="shared" si="167"/>
        <v>1</v>
      </c>
      <c r="G1755" t="str">
        <f t="shared" si="163"/>
        <v>1F486</v>
      </c>
      <c r="I1755">
        <f>HEX2DEC(Table1[[#This Row],[utf8]])</f>
        <v>128134</v>
      </c>
      <c r="J1755" t="str">
        <f>_xlfn.UNICHAR(HEX2DEC(Table1[[#This Row],[utf8]]))</f>
        <v>💆</v>
      </c>
      <c r="K1755" s="3" t="str" cm="1">
        <f t="array" ref="K1755">"Case "&amp;wRandomLetter()&amp;wRandomLetter()&amp;I1755&amp;":    UniConst = ChrW(" &amp; I1755 &amp;")"</f>
        <v>Case gH128134:    UniConst = ChrW(128134)</v>
      </c>
    </row>
    <row r="1756" spans="1:11" hidden="1">
      <c r="A1756" t="s">
        <v>1811</v>
      </c>
      <c r="B1756" t="str">
        <f t="shared" si="164"/>
        <v>1F486 200D 2642 FE0F ; fully-qualified # 💆‍♂️ E4.0 man getting massage</v>
      </c>
      <c r="C1756" t="str">
        <f t="shared" si="165"/>
        <v xml:space="preserve">1F486 200D 2642 FE0F </v>
      </c>
      <c r="D1756">
        <f t="shared" si="166"/>
        <v>21</v>
      </c>
      <c r="E1756" t="str">
        <f t="shared" si="162"/>
        <v xml:space="preserve"> 💆‍♂️ E4.0 man getting massage</v>
      </c>
      <c r="F1756" t="b">
        <f t="shared" si="167"/>
        <v>1</v>
      </c>
      <c r="G1756" t="str">
        <f t="shared" si="163"/>
        <v>1F486</v>
      </c>
      <c r="I1756">
        <f>HEX2DEC(Table1[[#This Row],[utf8]])</f>
        <v>128134</v>
      </c>
      <c r="J1756" t="str">
        <f>_xlfn.UNICHAR(HEX2DEC(Table1[[#This Row],[utf8]]))</f>
        <v>💆</v>
      </c>
      <c r="K1756" s="3" t="str" cm="1">
        <f t="array" ref="K1756">"Case "&amp;wRandomLetter()&amp;wRandomLetter()&amp;I1756&amp;":    UniConst = ChrW(" &amp; I1756 &amp;")"</f>
        <v>Case dj128134:    UniConst = ChrW(128134)</v>
      </c>
    </row>
    <row r="1757" spans="1:11" hidden="1">
      <c r="A1757" t="s">
        <v>1835</v>
      </c>
      <c r="B1757" t="str">
        <f t="shared" si="164"/>
        <v>1F487 ; fully-qualified # 💇 E0.6 person getting haircut</v>
      </c>
      <c r="C1757" t="str">
        <f t="shared" si="165"/>
        <v xml:space="preserve">1F487 </v>
      </c>
      <c r="D1757">
        <f t="shared" si="166"/>
        <v>6</v>
      </c>
      <c r="E1757" t="str">
        <f t="shared" si="162"/>
        <v xml:space="preserve"> 💇 E0.6 person getting haircut</v>
      </c>
      <c r="F1757" t="b">
        <f t="shared" si="167"/>
        <v>1</v>
      </c>
      <c r="G1757" t="str">
        <f t="shared" si="163"/>
        <v>1F487</v>
      </c>
      <c r="I1757">
        <f>HEX2DEC(Table1[[#This Row],[utf8]])</f>
        <v>128135</v>
      </c>
      <c r="J1757" t="str">
        <f>_xlfn.UNICHAR(HEX2DEC(Table1[[#This Row],[utf8]]))</f>
        <v>💇</v>
      </c>
      <c r="K1757" s="3" t="str" cm="1">
        <f t="array" ref="K1757">"Case "&amp;wRandomLetter()&amp;wRandomLetter()&amp;I1757&amp;":    UniConst = ChrW(" &amp; I1757 &amp;")"</f>
        <v>Case Lo128135:    UniConst = ChrW(128135)</v>
      </c>
    </row>
    <row r="1758" spans="1:11" hidden="1">
      <c r="A1758" t="s">
        <v>1836</v>
      </c>
      <c r="B1758" t="str">
        <f t="shared" si="164"/>
        <v>1F487 1F3FB ; fully-qualified # 💇🏻 E1.0 person getting haircut: light skin tone</v>
      </c>
      <c r="C1758" t="str">
        <f t="shared" si="165"/>
        <v xml:space="preserve">1F487 1F3FB </v>
      </c>
      <c r="D1758">
        <f t="shared" si="166"/>
        <v>12</v>
      </c>
      <c r="E1758" t="str">
        <f t="shared" si="162"/>
        <v xml:space="preserve"> 💇🏻 E1.0 person getting haircut: light skin tone</v>
      </c>
      <c r="F1758" t="b">
        <f t="shared" si="167"/>
        <v>1</v>
      </c>
      <c r="G1758" t="str">
        <f t="shared" si="163"/>
        <v>1F487</v>
      </c>
      <c r="I1758">
        <f>HEX2DEC(Table1[[#This Row],[utf8]])</f>
        <v>128135</v>
      </c>
      <c r="J1758" t="str">
        <f>_xlfn.UNICHAR(HEX2DEC(Table1[[#This Row],[utf8]]))</f>
        <v>💇</v>
      </c>
      <c r="K1758" s="3" t="str" cm="1">
        <f t="array" ref="K1758">"Case "&amp;wRandomLetter()&amp;wRandomLetter()&amp;I1758&amp;":    UniConst = ChrW(" &amp; I1758 &amp;")"</f>
        <v>Case HI128135:    UniConst = ChrW(128135)</v>
      </c>
    </row>
    <row r="1759" spans="1:11" hidden="1">
      <c r="A1759" t="s">
        <v>1856</v>
      </c>
      <c r="B1759" t="str">
        <f t="shared" si="164"/>
        <v>1F487 1F3FB 200D 2640 ; minimally-qualified # 💇🏻‍♀ E4.0 woman getting haircut: light skin tone</v>
      </c>
      <c r="C1759" t="str">
        <f t="shared" si="165"/>
        <v xml:space="preserve">1F487 1F3FB 200D 2640 </v>
      </c>
      <c r="D1759">
        <f t="shared" si="166"/>
        <v>22</v>
      </c>
      <c r="E1759" t="str">
        <f t="shared" si="162"/>
        <v xml:space="preserve"> 💇🏻‍♀ E4.0 woman getting haircut: light skin tone</v>
      </c>
      <c r="F1759" t="b">
        <f t="shared" si="167"/>
        <v>1</v>
      </c>
      <c r="G1759" t="str">
        <f t="shared" si="163"/>
        <v>1F487</v>
      </c>
      <c r="I1759">
        <f>HEX2DEC(Table1[[#This Row],[utf8]])</f>
        <v>128135</v>
      </c>
      <c r="J1759" t="str">
        <f>_xlfn.UNICHAR(HEX2DEC(Table1[[#This Row],[utf8]]))</f>
        <v>💇</v>
      </c>
      <c r="K1759" s="3" t="str" cm="1">
        <f t="array" ref="K1759">"Case "&amp;wRandomLetter()&amp;wRandomLetter()&amp;I1759&amp;":    UniConst = ChrW(" &amp; I1759 &amp;")"</f>
        <v>Case Da128135:    UniConst = ChrW(128135)</v>
      </c>
    </row>
    <row r="1760" spans="1:11" hidden="1">
      <c r="A1760" t="s">
        <v>1855</v>
      </c>
      <c r="B1760" t="str">
        <f t="shared" si="164"/>
        <v>1F487 1F3FB 200D 2640 FE0F ; fully-qualified # 💇🏻‍♀️ E4.0 woman getting haircut: light skin tone</v>
      </c>
      <c r="C1760" t="str">
        <f t="shared" si="165"/>
        <v xml:space="preserve">1F487 1F3FB 200D 2640 FE0F </v>
      </c>
      <c r="D1760">
        <f t="shared" si="166"/>
        <v>27</v>
      </c>
      <c r="E1760" t="str">
        <f t="shared" si="162"/>
        <v xml:space="preserve"> 💇🏻‍♀️ E4.0 woman getting haircut: light skin tone</v>
      </c>
      <c r="F1760" t="b">
        <f t="shared" si="167"/>
        <v>1</v>
      </c>
      <c r="G1760" t="str">
        <f t="shared" si="163"/>
        <v>1F487</v>
      </c>
      <c r="I1760">
        <f>HEX2DEC(Table1[[#This Row],[utf8]])</f>
        <v>128135</v>
      </c>
      <c r="J1760" t="str">
        <f>_xlfn.UNICHAR(HEX2DEC(Table1[[#This Row],[utf8]]))</f>
        <v>💇</v>
      </c>
      <c r="K1760" s="3" t="str" cm="1">
        <f t="array" ref="K1760">"Case "&amp;wRandomLetter()&amp;wRandomLetter()&amp;I1760&amp;":    UniConst = ChrW(" &amp; I1760 &amp;")"</f>
        <v>Case aV128135:    UniConst = ChrW(128135)</v>
      </c>
    </row>
    <row r="1761" spans="1:11" hidden="1">
      <c r="A1761" t="s">
        <v>1844</v>
      </c>
      <c r="B1761" t="str">
        <f t="shared" si="164"/>
        <v>1F487 1F3FB 200D 2642 ; minimally-qualified # 💇🏻‍♂ E4.0 man getting haircut: light skin tone</v>
      </c>
      <c r="C1761" t="str">
        <f t="shared" si="165"/>
        <v xml:space="preserve">1F487 1F3FB 200D 2642 </v>
      </c>
      <c r="D1761">
        <f t="shared" si="166"/>
        <v>22</v>
      </c>
      <c r="E1761" t="str">
        <f t="shared" si="162"/>
        <v xml:space="preserve"> 💇🏻‍♂ E4.0 man getting haircut: light skin tone</v>
      </c>
      <c r="F1761" t="b">
        <f t="shared" si="167"/>
        <v>1</v>
      </c>
      <c r="G1761" t="str">
        <f t="shared" si="163"/>
        <v>1F487</v>
      </c>
      <c r="I1761">
        <f>HEX2DEC(Table1[[#This Row],[utf8]])</f>
        <v>128135</v>
      </c>
      <c r="J1761" t="str">
        <f>_xlfn.UNICHAR(HEX2DEC(Table1[[#This Row],[utf8]]))</f>
        <v>💇</v>
      </c>
      <c r="K1761" s="3" t="str" cm="1">
        <f t="array" ref="K1761">"Case "&amp;wRandomLetter()&amp;wRandomLetter()&amp;I1761&amp;":    UniConst = ChrW(" &amp; I1761 &amp;")"</f>
        <v>Case QA128135:    UniConst = ChrW(128135)</v>
      </c>
    </row>
    <row r="1762" spans="1:11" hidden="1">
      <c r="A1762" t="s">
        <v>1843</v>
      </c>
      <c r="B1762" t="str">
        <f t="shared" si="164"/>
        <v>1F487 1F3FB 200D 2642 FE0F ; fully-qualified # 💇🏻‍♂️ E4.0 man getting haircut: light skin tone</v>
      </c>
      <c r="C1762" t="str">
        <f t="shared" si="165"/>
        <v xml:space="preserve">1F487 1F3FB 200D 2642 FE0F </v>
      </c>
      <c r="D1762">
        <f t="shared" si="166"/>
        <v>27</v>
      </c>
      <c r="E1762" t="str">
        <f t="shared" si="162"/>
        <v xml:space="preserve"> 💇🏻‍♂️ E4.0 man getting haircut: light skin tone</v>
      </c>
      <c r="F1762" t="b">
        <f t="shared" si="167"/>
        <v>1</v>
      </c>
      <c r="G1762" t="str">
        <f t="shared" si="163"/>
        <v>1F487</v>
      </c>
      <c r="I1762">
        <f>HEX2DEC(Table1[[#This Row],[utf8]])</f>
        <v>128135</v>
      </c>
      <c r="J1762" t="str">
        <f>_xlfn.UNICHAR(HEX2DEC(Table1[[#This Row],[utf8]]))</f>
        <v>💇</v>
      </c>
      <c r="K1762" s="3" t="str" cm="1">
        <f t="array" ref="K1762">"Case "&amp;wRandomLetter()&amp;wRandomLetter()&amp;I1762&amp;":    UniConst = ChrW(" &amp; I1762 &amp;")"</f>
        <v>Case go128135:    UniConst = ChrW(128135)</v>
      </c>
    </row>
    <row r="1763" spans="1:11" hidden="1">
      <c r="A1763" t="s">
        <v>1837</v>
      </c>
      <c r="B1763" t="str">
        <f t="shared" si="164"/>
        <v>1F487 1F3FC ; fully-qualified # 💇🏼 E1.0 person getting haircut: medium-light skin tone</v>
      </c>
      <c r="C1763" t="str">
        <f t="shared" si="165"/>
        <v xml:space="preserve">1F487 1F3FC </v>
      </c>
      <c r="D1763">
        <f t="shared" si="166"/>
        <v>12</v>
      </c>
      <c r="E1763" t="str">
        <f t="shared" si="162"/>
        <v xml:space="preserve"> 💇🏼 E1.0 person getting haircut: medium-light skin tone</v>
      </c>
      <c r="F1763" t="b">
        <f t="shared" si="167"/>
        <v>1</v>
      </c>
      <c r="G1763" t="str">
        <f t="shared" si="163"/>
        <v>1F487</v>
      </c>
      <c r="I1763">
        <f>HEX2DEC(Table1[[#This Row],[utf8]])</f>
        <v>128135</v>
      </c>
      <c r="J1763" t="str">
        <f>_xlfn.UNICHAR(HEX2DEC(Table1[[#This Row],[utf8]]))</f>
        <v>💇</v>
      </c>
      <c r="K1763" s="3" t="str" cm="1">
        <f t="array" ref="K1763">"Case "&amp;wRandomLetter()&amp;wRandomLetter()&amp;I1763&amp;":    UniConst = ChrW(" &amp; I1763 &amp;")"</f>
        <v>Case rM128135:    UniConst = ChrW(128135)</v>
      </c>
    </row>
    <row r="1764" spans="1:11" hidden="1">
      <c r="A1764" t="s">
        <v>1858</v>
      </c>
      <c r="B1764" t="str">
        <f t="shared" si="164"/>
        <v>1F487 1F3FC 200D 2640 ; minimally-qualified # 💇🏼‍♀ E4.0 woman getting haircut: medium-light skin tone</v>
      </c>
      <c r="C1764" t="str">
        <f t="shared" si="165"/>
        <v xml:space="preserve">1F487 1F3FC 200D 2640 </v>
      </c>
      <c r="D1764">
        <f t="shared" si="166"/>
        <v>22</v>
      </c>
      <c r="E1764" t="str">
        <f t="shared" si="162"/>
        <v xml:space="preserve"> 💇🏼‍♀ E4.0 woman getting haircut: medium-light skin tone</v>
      </c>
      <c r="F1764" t="b">
        <f t="shared" si="167"/>
        <v>1</v>
      </c>
      <c r="G1764" t="str">
        <f t="shared" si="163"/>
        <v>1F487</v>
      </c>
      <c r="I1764">
        <f>HEX2DEC(Table1[[#This Row],[utf8]])</f>
        <v>128135</v>
      </c>
      <c r="J1764" t="str">
        <f>_xlfn.UNICHAR(HEX2DEC(Table1[[#This Row],[utf8]]))</f>
        <v>💇</v>
      </c>
      <c r="K1764" s="3" t="str" cm="1">
        <f t="array" ref="K1764">"Case "&amp;wRandomLetter()&amp;wRandomLetter()&amp;I1764&amp;":    UniConst = ChrW(" &amp; I1764 &amp;")"</f>
        <v>Case zo128135:    UniConst = ChrW(128135)</v>
      </c>
    </row>
    <row r="1765" spans="1:11" hidden="1">
      <c r="A1765" t="s">
        <v>1857</v>
      </c>
      <c r="B1765" t="str">
        <f t="shared" si="164"/>
        <v>1F487 1F3FC 200D 2640 FE0F ; fully-qualified # 💇🏼‍♀️ E4.0 woman getting haircut: medium-light skin tone</v>
      </c>
      <c r="C1765" t="str">
        <f t="shared" si="165"/>
        <v xml:space="preserve">1F487 1F3FC 200D 2640 FE0F </v>
      </c>
      <c r="D1765">
        <f t="shared" si="166"/>
        <v>27</v>
      </c>
      <c r="E1765" t="str">
        <f t="shared" si="162"/>
        <v xml:space="preserve"> 💇🏼‍♀️ E4.0 woman getting haircut: medium-light skin tone</v>
      </c>
      <c r="F1765" t="b">
        <f t="shared" si="167"/>
        <v>1</v>
      </c>
      <c r="G1765" t="str">
        <f t="shared" si="163"/>
        <v>1F487</v>
      </c>
      <c r="I1765">
        <f>HEX2DEC(Table1[[#This Row],[utf8]])</f>
        <v>128135</v>
      </c>
      <c r="J1765" t="str">
        <f>_xlfn.UNICHAR(HEX2DEC(Table1[[#This Row],[utf8]]))</f>
        <v>💇</v>
      </c>
      <c r="K1765" s="3" t="str" cm="1">
        <f t="array" ref="K1765">"Case "&amp;wRandomLetter()&amp;wRandomLetter()&amp;I1765&amp;":    UniConst = ChrW(" &amp; I1765 &amp;")"</f>
        <v>Case oH128135:    UniConst = ChrW(128135)</v>
      </c>
    </row>
    <row r="1766" spans="1:11" hidden="1">
      <c r="A1766" t="s">
        <v>1846</v>
      </c>
      <c r="B1766" t="str">
        <f t="shared" si="164"/>
        <v>1F487 1F3FC 200D 2642 ; minimally-qualified # 💇🏼‍♂ E4.0 man getting haircut: medium-light skin tone</v>
      </c>
      <c r="C1766" t="str">
        <f t="shared" si="165"/>
        <v xml:space="preserve">1F487 1F3FC 200D 2642 </v>
      </c>
      <c r="D1766">
        <f t="shared" si="166"/>
        <v>22</v>
      </c>
      <c r="E1766" t="str">
        <f t="shared" si="162"/>
        <v xml:space="preserve"> 💇🏼‍♂ E4.0 man getting haircut: medium-light skin tone</v>
      </c>
      <c r="F1766" t="b">
        <f t="shared" si="167"/>
        <v>1</v>
      </c>
      <c r="G1766" t="str">
        <f t="shared" si="163"/>
        <v>1F487</v>
      </c>
      <c r="I1766">
        <f>HEX2DEC(Table1[[#This Row],[utf8]])</f>
        <v>128135</v>
      </c>
      <c r="J1766" t="str">
        <f>_xlfn.UNICHAR(HEX2DEC(Table1[[#This Row],[utf8]]))</f>
        <v>💇</v>
      </c>
      <c r="K1766" s="3" t="str" cm="1">
        <f t="array" ref="K1766">"Case "&amp;wRandomLetter()&amp;wRandomLetter()&amp;I1766&amp;":    UniConst = ChrW(" &amp; I1766 &amp;")"</f>
        <v>Case qP128135:    UniConst = ChrW(128135)</v>
      </c>
    </row>
    <row r="1767" spans="1:11" hidden="1">
      <c r="A1767" t="s">
        <v>1845</v>
      </c>
      <c r="B1767" t="str">
        <f t="shared" si="164"/>
        <v>1F487 1F3FC 200D 2642 FE0F ; fully-qualified # 💇🏼‍♂️ E4.0 man getting haircut: medium-light skin tone</v>
      </c>
      <c r="C1767" t="str">
        <f t="shared" si="165"/>
        <v xml:space="preserve">1F487 1F3FC 200D 2642 FE0F </v>
      </c>
      <c r="D1767">
        <f t="shared" si="166"/>
        <v>27</v>
      </c>
      <c r="E1767" t="str">
        <f t="shared" si="162"/>
        <v xml:space="preserve"> 💇🏼‍♂️ E4.0 man getting haircut: medium-light skin tone</v>
      </c>
      <c r="F1767" t="b">
        <f t="shared" si="167"/>
        <v>1</v>
      </c>
      <c r="G1767" t="str">
        <f t="shared" si="163"/>
        <v>1F487</v>
      </c>
      <c r="I1767">
        <f>HEX2DEC(Table1[[#This Row],[utf8]])</f>
        <v>128135</v>
      </c>
      <c r="J1767" t="str">
        <f>_xlfn.UNICHAR(HEX2DEC(Table1[[#This Row],[utf8]]))</f>
        <v>💇</v>
      </c>
      <c r="K1767" s="3" t="str" cm="1">
        <f t="array" ref="K1767">"Case "&amp;wRandomLetter()&amp;wRandomLetter()&amp;I1767&amp;":    UniConst = ChrW(" &amp; I1767 &amp;")"</f>
        <v>Case zC128135:    UniConst = ChrW(128135)</v>
      </c>
    </row>
    <row r="1768" spans="1:11" hidden="1">
      <c r="A1768" t="s">
        <v>1838</v>
      </c>
      <c r="B1768" t="str">
        <f t="shared" si="164"/>
        <v>1F487 1F3FD ; fully-qualified # 💇🏽 E1.0 person getting haircut: medium skin tone</v>
      </c>
      <c r="C1768" t="str">
        <f t="shared" si="165"/>
        <v xml:space="preserve">1F487 1F3FD </v>
      </c>
      <c r="D1768">
        <f t="shared" si="166"/>
        <v>12</v>
      </c>
      <c r="E1768" t="str">
        <f t="shared" si="162"/>
        <v xml:space="preserve"> 💇🏽 E1.0 person getting haircut: medium skin tone</v>
      </c>
      <c r="F1768" t="b">
        <f t="shared" si="167"/>
        <v>1</v>
      </c>
      <c r="G1768" t="str">
        <f t="shared" si="163"/>
        <v>1F487</v>
      </c>
      <c r="I1768">
        <f>HEX2DEC(Table1[[#This Row],[utf8]])</f>
        <v>128135</v>
      </c>
      <c r="J1768" t="str">
        <f>_xlfn.UNICHAR(HEX2DEC(Table1[[#This Row],[utf8]]))</f>
        <v>💇</v>
      </c>
      <c r="K1768" s="3" t="str" cm="1">
        <f t="array" ref="K1768">"Case "&amp;wRandomLetter()&amp;wRandomLetter()&amp;I1768&amp;":    UniConst = ChrW(" &amp; I1768 &amp;")"</f>
        <v>Case ac128135:    UniConst = ChrW(128135)</v>
      </c>
    </row>
    <row r="1769" spans="1:11" hidden="1">
      <c r="A1769" t="s">
        <v>1860</v>
      </c>
      <c r="B1769" t="str">
        <f t="shared" si="164"/>
        <v>1F487 1F3FD 200D 2640 ; minimally-qualified # 💇🏽‍♀ E4.0 woman getting haircut: medium skin tone</v>
      </c>
      <c r="C1769" t="str">
        <f t="shared" si="165"/>
        <v xml:space="preserve">1F487 1F3FD 200D 2640 </v>
      </c>
      <c r="D1769">
        <f t="shared" si="166"/>
        <v>22</v>
      </c>
      <c r="E1769" t="str">
        <f t="shared" si="162"/>
        <v xml:space="preserve"> 💇🏽‍♀ E4.0 woman getting haircut: medium skin tone</v>
      </c>
      <c r="F1769" t="b">
        <f t="shared" si="167"/>
        <v>1</v>
      </c>
      <c r="G1769" t="str">
        <f t="shared" si="163"/>
        <v>1F487</v>
      </c>
      <c r="I1769">
        <f>HEX2DEC(Table1[[#This Row],[utf8]])</f>
        <v>128135</v>
      </c>
      <c r="J1769" t="str">
        <f>_xlfn.UNICHAR(HEX2DEC(Table1[[#This Row],[utf8]]))</f>
        <v>💇</v>
      </c>
      <c r="K1769" s="3" t="str" cm="1">
        <f t="array" ref="K1769">"Case "&amp;wRandomLetter()&amp;wRandomLetter()&amp;I1769&amp;":    UniConst = ChrW(" &amp; I1769 &amp;")"</f>
        <v>Case rN128135:    UniConst = ChrW(128135)</v>
      </c>
    </row>
    <row r="1770" spans="1:11" hidden="1">
      <c r="A1770" t="s">
        <v>1859</v>
      </c>
      <c r="B1770" t="str">
        <f t="shared" si="164"/>
        <v>1F487 1F3FD 200D 2640 FE0F ; fully-qualified # 💇🏽‍♀️ E4.0 woman getting haircut: medium skin tone</v>
      </c>
      <c r="C1770" t="str">
        <f t="shared" si="165"/>
        <v xml:space="preserve">1F487 1F3FD 200D 2640 FE0F </v>
      </c>
      <c r="D1770">
        <f t="shared" si="166"/>
        <v>27</v>
      </c>
      <c r="E1770" t="str">
        <f t="shared" si="162"/>
        <v xml:space="preserve"> 💇🏽‍♀️ E4.0 woman getting haircut: medium skin tone</v>
      </c>
      <c r="F1770" t="b">
        <f t="shared" si="167"/>
        <v>1</v>
      </c>
      <c r="G1770" t="str">
        <f t="shared" si="163"/>
        <v>1F487</v>
      </c>
      <c r="I1770">
        <f>HEX2DEC(Table1[[#This Row],[utf8]])</f>
        <v>128135</v>
      </c>
      <c r="J1770" t="str">
        <f>_xlfn.UNICHAR(HEX2DEC(Table1[[#This Row],[utf8]]))</f>
        <v>💇</v>
      </c>
      <c r="K1770" s="3" t="str" cm="1">
        <f t="array" ref="K1770">"Case "&amp;wRandomLetter()&amp;wRandomLetter()&amp;I1770&amp;":    UniConst = ChrW(" &amp; I1770 &amp;")"</f>
        <v>Case FA128135:    UniConst = ChrW(128135)</v>
      </c>
    </row>
    <row r="1771" spans="1:11" hidden="1">
      <c r="A1771" t="s">
        <v>1848</v>
      </c>
      <c r="B1771" t="str">
        <f t="shared" si="164"/>
        <v>1F487 1F3FD 200D 2642 ; minimally-qualified # 💇🏽‍♂ E4.0 man getting haircut: medium skin tone</v>
      </c>
      <c r="C1771" t="str">
        <f t="shared" si="165"/>
        <v xml:space="preserve">1F487 1F3FD 200D 2642 </v>
      </c>
      <c r="D1771">
        <f t="shared" si="166"/>
        <v>22</v>
      </c>
      <c r="E1771" t="str">
        <f t="shared" si="162"/>
        <v xml:space="preserve"> 💇🏽‍♂ E4.0 man getting haircut: medium skin tone</v>
      </c>
      <c r="F1771" t="b">
        <f t="shared" si="167"/>
        <v>1</v>
      </c>
      <c r="G1771" t="str">
        <f t="shared" si="163"/>
        <v>1F487</v>
      </c>
      <c r="I1771">
        <f>HEX2DEC(Table1[[#This Row],[utf8]])</f>
        <v>128135</v>
      </c>
      <c r="J1771" t="str">
        <f>_xlfn.UNICHAR(HEX2DEC(Table1[[#This Row],[utf8]]))</f>
        <v>💇</v>
      </c>
      <c r="K1771" s="3" t="str" cm="1">
        <f t="array" ref="K1771">"Case "&amp;wRandomLetter()&amp;wRandomLetter()&amp;I1771&amp;":    UniConst = ChrW(" &amp; I1771 &amp;")"</f>
        <v>Case vy128135:    UniConst = ChrW(128135)</v>
      </c>
    </row>
    <row r="1772" spans="1:11" hidden="1">
      <c r="A1772" t="s">
        <v>1847</v>
      </c>
      <c r="B1772" t="str">
        <f t="shared" si="164"/>
        <v>1F487 1F3FD 200D 2642 FE0F ; fully-qualified # 💇🏽‍♂️ E4.0 man getting haircut: medium skin tone</v>
      </c>
      <c r="C1772" t="str">
        <f t="shared" si="165"/>
        <v xml:space="preserve">1F487 1F3FD 200D 2642 FE0F </v>
      </c>
      <c r="D1772">
        <f t="shared" si="166"/>
        <v>27</v>
      </c>
      <c r="E1772" t="str">
        <f t="shared" si="162"/>
        <v xml:space="preserve"> 💇🏽‍♂️ E4.0 man getting haircut: medium skin tone</v>
      </c>
      <c r="F1772" t="b">
        <f t="shared" si="167"/>
        <v>1</v>
      </c>
      <c r="G1772" t="str">
        <f t="shared" si="163"/>
        <v>1F487</v>
      </c>
      <c r="I1772">
        <f>HEX2DEC(Table1[[#This Row],[utf8]])</f>
        <v>128135</v>
      </c>
      <c r="J1772" t="str">
        <f>_xlfn.UNICHAR(HEX2DEC(Table1[[#This Row],[utf8]]))</f>
        <v>💇</v>
      </c>
      <c r="K1772" s="3" t="str" cm="1">
        <f t="array" ref="K1772">"Case "&amp;wRandomLetter()&amp;wRandomLetter()&amp;I1772&amp;":    UniConst = ChrW(" &amp; I1772 &amp;")"</f>
        <v>Case fc128135:    UniConst = ChrW(128135)</v>
      </c>
    </row>
    <row r="1773" spans="1:11" hidden="1">
      <c r="A1773" t="s">
        <v>1839</v>
      </c>
      <c r="B1773" t="str">
        <f t="shared" si="164"/>
        <v>1F487 1F3FE ; fully-qualified # 💇🏾 E1.0 person getting haircut: medium-dark skin tone</v>
      </c>
      <c r="C1773" t="str">
        <f t="shared" si="165"/>
        <v xml:space="preserve">1F487 1F3FE </v>
      </c>
      <c r="D1773">
        <f t="shared" si="166"/>
        <v>12</v>
      </c>
      <c r="E1773" t="str">
        <f t="shared" si="162"/>
        <v xml:space="preserve"> 💇🏾 E1.0 person getting haircut: medium-dark skin tone</v>
      </c>
      <c r="F1773" t="b">
        <f t="shared" si="167"/>
        <v>1</v>
      </c>
      <c r="G1773" t="str">
        <f t="shared" si="163"/>
        <v>1F487</v>
      </c>
      <c r="I1773">
        <f>HEX2DEC(Table1[[#This Row],[utf8]])</f>
        <v>128135</v>
      </c>
      <c r="J1773" t="str">
        <f>_xlfn.UNICHAR(HEX2DEC(Table1[[#This Row],[utf8]]))</f>
        <v>💇</v>
      </c>
      <c r="K1773" s="3" t="str" cm="1">
        <f t="array" ref="K1773">"Case "&amp;wRandomLetter()&amp;wRandomLetter()&amp;I1773&amp;":    UniConst = ChrW(" &amp; I1773 &amp;")"</f>
        <v>Case sK128135:    UniConst = ChrW(128135)</v>
      </c>
    </row>
    <row r="1774" spans="1:11" hidden="1">
      <c r="A1774" t="s">
        <v>1862</v>
      </c>
      <c r="B1774" t="str">
        <f t="shared" si="164"/>
        <v>1F487 1F3FE 200D 2640 ; minimally-qualified # 💇🏾‍♀ E4.0 woman getting haircut: medium-dark skin tone</v>
      </c>
      <c r="C1774" t="str">
        <f t="shared" si="165"/>
        <v xml:space="preserve">1F487 1F3FE 200D 2640 </v>
      </c>
      <c r="D1774">
        <f t="shared" si="166"/>
        <v>22</v>
      </c>
      <c r="E1774" t="str">
        <f t="shared" si="162"/>
        <v xml:space="preserve"> 💇🏾‍♀ E4.0 woman getting haircut: medium-dark skin tone</v>
      </c>
      <c r="F1774" t="b">
        <f t="shared" si="167"/>
        <v>1</v>
      </c>
      <c r="G1774" t="str">
        <f t="shared" si="163"/>
        <v>1F487</v>
      </c>
      <c r="I1774">
        <f>HEX2DEC(Table1[[#This Row],[utf8]])</f>
        <v>128135</v>
      </c>
      <c r="J1774" t="str">
        <f>_xlfn.UNICHAR(HEX2DEC(Table1[[#This Row],[utf8]]))</f>
        <v>💇</v>
      </c>
      <c r="K1774" s="3" t="str" cm="1">
        <f t="array" ref="K1774">"Case "&amp;wRandomLetter()&amp;wRandomLetter()&amp;I1774&amp;":    UniConst = ChrW(" &amp; I1774 &amp;")"</f>
        <v>Case MX128135:    UniConst = ChrW(128135)</v>
      </c>
    </row>
    <row r="1775" spans="1:11" hidden="1">
      <c r="A1775" t="s">
        <v>1861</v>
      </c>
      <c r="B1775" t="str">
        <f t="shared" si="164"/>
        <v>1F487 1F3FE 200D 2640 FE0F ; fully-qualified # 💇🏾‍♀️ E4.0 woman getting haircut: medium-dark skin tone</v>
      </c>
      <c r="C1775" t="str">
        <f t="shared" si="165"/>
        <v xml:space="preserve">1F487 1F3FE 200D 2640 FE0F </v>
      </c>
      <c r="D1775">
        <f t="shared" si="166"/>
        <v>27</v>
      </c>
      <c r="E1775" t="str">
        <f t="shared" si="162"/>
        <v xml:space="preserve"> 💇🏾‍♀️ E4.0 woman getting haircut: medium-dark skin tone</v>
      </c>
      <c r="F1775" t="b">
        <f t="shared" si="167"/>
        <v>1</v>
      </c>
      <c r="G1775" t="str">
        <f t="shared" si="163"/>
        <v>1F487</v>
      </c>
      <c r="I1775">
        <f>HEX2DEC(Table1[[#This Row],[utf8]])</f>
        <v>128135</v>
      </c>
      <c r="J1775" t="str">
        <f>_xlfn.UNICHAR(HEX2DEC(Table1[[#This Row],[utf8]]))</f>
        <v>💇</v>
      </c>
      <c r="K1775" s="3" t="str" cm="1">
        <f t="array" ref="K1775">"Case "&amp;wRandomLetter()&amp;wRandomLetter()&amp;I1775&amp;":    UniConst = ChrW(" &amp; I1775 &amp;")"</f>
        <v>Case MU128135:    UniConst = ChrW(128135)</v>
      </c>
    </row>
    <row r="1776" spans="1:11" hidden="1">
      <c r="A1776" t="s">
        <v>1850</v>
      </c>
      <c r="B1776" t="str">
        <f t="shared" si="164"/>
        <v>1F487 1F3FE 200D 2642 ; minimally-qualified # 💇🏾‍♂ E4.0 man getting haircut: medium-dark skin tone</v>
      </c>
      <c r="C1776" t="str">
        <f t="shared" si="165"/>
        <v xml:space="preserve">1F487 1F3FE 200D 2642 </v>
      </c>
      <c r="D1776">
        <f t="shared" si="166"/>
        <v>22</v>
      </c>
      <c r="E1776" t="str">
        <f t="shared" si="162"/>
        <v xml:space="preserve"> 💇🏾‍♂ E4.0 man getting haircut: medium-dark skin tone</v>
      </c>
      <c r="F1776" t="b">
        <f t="shared" si="167"/>
        <v>1</v>
      </c>
      <c r="G1776" t="str">
        <f t="shared" si="163"/>
        <v>1F487</v>
      </c>
      <c r="I1776">
        <f>HEX2DEC(Table1[[#This Row],[utf8]])</f>
        <v>128135</v>
      </c>
      <c r="J1776" t="str">
        <f>_xlfn.UNICHAR(HEX2DEC(Table1[[#This Row],[utf8]]))</f>
        <v>💇</v>
      </c>
      <c r="K1776" s="3" t="str" cm="1">
        <f t="array" ref="K1776">"Case "&amp;wRandomLetter()&amp;wRandomLetter()&amp;I1776&amp;":    UniConst = ChrW(" &amp; I1776 &amp;")"</f>
        <v>Case ek128135:    UniConst = ChrW(128135)</v>
      </c>
    </row>
    <row r="1777" spans="1:11" hidden="1">
      <c r="A1777" t="s">
        <v>1849</v>
      </c>
      <c r="B1777" t="str">
        <f t="shared" si="164"/>
        <v>1F487 1F3FE 200D 2642 FE0F ; fully-qualified # 💇🏾‍♂️ E4.0 man getting haircut: medium-dark skin tone</v>
      </c>
      <c r="C1777" t="str">
        <f t="shared" si="165"/>
        <v xml:space="preserve">1F487 1F3FE 200D 2642 FE0F </v>
      </c>
      <c r="D1777">
        <f t="shared" si="166"/>
        <v>27</v>
      </c>
      <c r="E1777" t="str">
        <f t="shared" si="162"/>
        <v xml:space="preserve"> 💇🏾‍♂️ E4.0 man getting haircut: medium-dark skin tone</v>
      </c>
      <c r="F1777" t="b">
        <f t="shared" si="167"/>
        <v>1</v>
      </c>
      <c r="G1777" t="str">
        <f t="shared" si="163"/>
        <v>1F487</v>
      </c>
      <c r="I1777">
        <f>HEX2DEC(Table1[[#This Row],[utf8]])</f>
        <v>128135</v>
      </c>
      <c r="J1777" t="str">
        <f>_xlfn.UNICHAR(HEX2DEC(Table1[[#This Row],[utf8]]))</f>
        <v>💇</v>
      </c>
      <c r="K1777" s="3" t="str" cm="1">
        <f t="array" ref="K1777">"Case "&amp;wRandomLetter()&amp;wRandomLetter()&amp;I1777&amp;":    UniConst = ChrW(" &amp; I1777 &amp;")"</f>
        <v>Case OB128135:    UniConst = ChrW(128135)</v>
      </c>
    </row>
    <row r="1778" spans="1:11" hidden="1">
      <c r="A1778" t="s">
        <v>1840</v>
      </c>
      <c r="B1778" t="str">
        <f t="shared" si="164"/>
        <v>1F487 1F3FF ; fully-qualified # 💇🏿 E1.0 person getting haircut: dark skin tone</v>
      </c>
      <c r="C1778" t="str">
        <f t="shared" si="165"/>
        <v xml:space="preserve">1F487 1F3FF </v>
      </c>
      <c r="D1778">
        <f t="shared" si="166"/>
        <v>12</v>
      </c>
      <c r="E1778" t="str">
        <f t="shared" si="162"/>
        <v xml:space="preserve"> 💇🏿 E1.0 person getting haircut: dark skin tone</v>
      </c>
      <c r="F1778" t="b">
        <f t="shared" si="167"/>
        <v>1</v>
      </c>
      <c r="G1778" t="str">
        <f t="shared" si="163"/>
        <v>1F487</v>
      </c>
      <c r="I1778">
        <f>HEX2DEC(Table1[[#This Row],[utf8]])</f>
        <v>128135</v>
      </c>
      <c r="J1778" t="str">
        <f>_xlfn.UNICHAR(HEX2DEC(Table1[[#This Row],[utf8]]))</f>
        <v>💇</v>
      </c>
      <c r="K1778" s="3" t="str" cm="1">
        <f t="array" ref="K1778">"Case "&amp;wRandomLetter()&amp;wRandomLetter()&amp;I1778&amp;":    UniConst = ChrW(" &amp; I1778 &amp;")"</f>
        <v>Case vF128135:    UniConst = ChrW(128135)</v>
      </c>
    </row>
    <row r="1779" spans="1:11" hidden="1">
      <c r="A1779" t="s">
        <v>1864</v>
      </c>
      <c r="B1779" t="str">
        <f t="shared" si="164"/>
        <v>1F487 1F3FF 200D 2640 ; minimally-qualified # 💇🏿‍♀ E4.0 woman getting haircut: dark skin tone</v>
      </c>
      <c r="C1779" t="str">
        <f t="shared" si="165"/>
        <v xml:space="preserve">1F487 1F3FF 200D 2640 </v>
      </c>
      <c r="D1779">
        <f t="shared" si="166"/>
        <v>22</v>
      </c>
      <c r="E1779" t="str">
        <f t="shared" si="162"/>
        <v xml:space="preserve"> 💇🏿‍♀ E4.0 woman getting haircut: dark skin tone</v>
      </c>
      <c r="F1779" t="b">
        <f t="shared" si="167"/>
        <v>1</v>
      </c>
      <c r="G1779" t="str">
        <f t="shared" si="163"/>
        <v>1F487</v>
      </c>
      <c r="I1779">
        <f>HEX2DEC(Table1[[#This Row],[utf8]])</f>
        <v>128135</v>
      </c>
      <c r="J1779" t="str">
        <f>_xlfn.UNICHAR(HEX2DEC(Table1[[#This Row],[utf8]]))</f>
        <v>💇</v>
      </c>
      <c r="K1779" s="3" t="str" cm="1">
        <f t="array" ref="K1779">"Case "&amp;wRandomLetter()&amp;wRandomLetter()&amp;I1779&amp;":    UniConst = ChrW(" &amp; I1779 &amp;")"</f>
        <v>Case ke128135:    UniConst = ChrW(128135)</v>
      </c>
    </row>
    <row r="1780" spans="1:11" hidden="1">
      <c r="A1780" t="s">
        <v>1863</v>
      </c>
      <c r="B1780" t="str">
        <f t="shared" si="164"/>
        <v>1F487 1F3FF 200D 2640 FE0F ; fully-qualified # 💇🏿‍♀️ E4.0 woman getting haircut: dark skin tone</v>
      </c>
      <c r="C1780" t="str">
        <f t="shared" si="165"/>
        <v xml:space="preserve">1F487 1F3FF 200D 2640 FE0F </v>
      </c>
      <c r="D1780">
        <f t="shared" si="166"/>
        <v>27</v>
      </c>
      <c r="E1780" t="str">
        <f t="shared" si="162"/>
        <v xml:space="preserve"> 💇🏿‍♀️ E4.0 woman getting haircut: dark skin tone</v>
      </c>
      <c r="F1780" t="b">
        <f t="shared" si="167"/>
        <v>1</v>
      </c>
      <c r="G1780" t="str">
        <f t="shared" si="163"/>
        <v>1F487</v>
      </c>
      <c r="I1780">
        <f>HEX2DEC(Table1[[#This Row],[utf8]])</f>
        <v>128135</v>
      </c>
      <c r="J1780" t="str">
        <f>_xlfn.UNICHAR(HEX2DEC(Table1[[#This Row],[utf8]]))</f>
        <v>💇</v>
      </c>
      <c r="K1780" s="3" t="str" cm="1">
        <f t="array" ref="K1780">"Case "&amp;wRandomLetter()&amp;wRandomLetter()&amp;I1780&amp;":    UniConst = ChrW(" &amp; I1780 &amp;")"</f>
        <v>Case FM128135:    UniConst = ChrW(128135)</v>
      </c>
    </row>
    <row r="1781" spans="1:11" hidden="1">
      <c r="A1781" t="s">
        <v>1852</v>
      </c>
      <c r="B1781" t="str">
        <f t="shared" si="164"/>
        <v>1F487 1F3FF 200D 2642 ; minimally-qualified # 💇🏿‍♂ E4.0 man getting haircut: dark skin tone</v>
      </c>
      <c r="C1781" t="str">
        <f t="shared" si="165"/>
        <v xml:space="preserve">1F487 1F3FF 200D 2642 </v>
      </c>
      <c r="D1781">
        <f t="shared" si="166"/>
        <v>22</v>
      </c>
      <c r="E1781" t="str">
        <f t="shared" si="162"/>
        <v xml:space="preserve"> 💇🏿‍♂ E4.0 man getting haircut: dark skin tone</v>
      </c>
      <c r="F1781" t="b">
        <f t="shared" si="167"/>
        <v>1</v>
      </c>
      <c r="G1781" t="str">
        <f t="shared" si="163"/>
        <v>1F487</v>
      </c>
      <c r="I1781">
        <f>HEX2DEC(Table1[[#This Row],[utf8]])</f>
        <v>128135</v>
      </c>
      <c r="J1781" t="str">
        <f>_xlfn.UNICHAR(HEX2DEC(Table1[[#This Row],[utf8]]))</f>
        <v>💇</v>
      </c>
      <c r="K1781" s="3" t="str" cm="1">
        <f t="array" ref="K1781">"Case "&amp;wRandomLetter()&amp;wRandomLetter()&amp;I1781&amp;":    UniConst = ChrW(" &amp; I1781 &amp;")"</f>
        <v>Case Fy128135:    UniConst = ChrW(128135)</v>
      </c>
    </row>
    <row r="1782" spans="1:11" hidden="1">
      <c r="A1782" t="s">
        <v>1851</v>
      </c>
      <c r="B1782" t="str">
        <f t="shared" si="164"/>
        <v>1F487 1F3FF 200D 2642 FE0F ; fully-qualified # 💇🏿‍♂️ E4.0 man getting haircut: dark skin tone</v>
      </c>
      <c r="C1782" t="str">
        <f t="shared" si="165"/>
        <v xml:space="preserve">1F487 1F3FF 200D 2642 FE0F </v>
      </c>
      <c r="D1782">
        <f t="shared" si="166"/>
        <v>27</v>
      </c>
      <c r="E1782" t="str">
        <f t="shared" si="162"/>
        <v xml:space="preserve"> 💇🏿‍♂️ E4.0 man getting haircut: dark skin tone</v>
      </c>
      <c r="F1782" t="b">
        <f t="shared" si="167"/>
        <v>1</v>
      </c>
      <c r="G1782" t="str">
        <f t="shared" si="163"/>
        <v>1F487</v>
      </c>
      <c r="I1782">
        <f>HEX2DEC(Table1[[#This Row],[utf8]])</f>
        <v>128135</v>
      </c>
      <c r="J1782" t="str">
        <f>_xlfn.UNICHAR(HEX2DEC(Table1[[#This Row],[utf8]]))</f>
        <v>💇</v>
      </c>
      <c r="K1782" s="3" t="str" cm="1">
        <f t="array" ref="K1782">"Case "&amp;wRandomLetter()&amp;wRandomLetter()&amp;I1782&amp;":    UniConst = ChrW(" &amp; I1782 &amp;")"</f>
        <v>Case zC128135:    UniConst = ChrW(128135)</v>
      </c>
    </row>
    <row r="1783" spans="1:11" hidden="1">
      <c r="A1783" t="s">
        <v>1854</v>
      </c>
      <c r="B1783" t="str">
        <f t="shared" si="164"/>
        <v>1F487 200D 2640 ; minimally-qualified # 💇‍♀ E4.0 woman getting haircut</v>
      </c>
      <c r="C1783" t="str">
        <f t="shared" si="165"/>
        <v xml:space="preserve">1F487 200D 2640 </v>
      </c>
      <c r="D1783">
        <f t="shared" si="166"/>
        <v>16</v>
      </c>
      <c r="E1783" t="str">
        <f t="shared" si="162"/>
        <v xml:space="preserve"> 💇‍♀ E4.0 woman getting haircut</v>
      </c>
      <c r="F1783" t="b">
        <f t="shared" si="167"/>
        <v>1</v>
      </c>
      <c r="G1783" t="str">
        <f t="shared" si="163"/>
        <v>1F487</v>
      </c>
      <c r="I1783">
        <f>HEX2DEC(Table1[[#This Row],[utf8]])</f>
        <v>128135</v>
      </c>
      <c r="J1783" t="str">
        <f>_xlfn.UNICHAR(HEX2DEC(Table1[[#This Row],[utf8]]))</f>
        <v>💇</v>
      </c>
      <c r="K1783" s="3" t="str" cm="1">
        <f t="array" ref="K1783">"Case "&amp;wRandomLetter()&amp;wRandomLetter()&amp;I1783&amp;":    UniConst = ChrW(" &amp; I1783 &amp;")"</f>
        <v>Case Re128135:    UniConst = ChrW(128135)</v>
      </c>
    </row>
    <row r="1784" spans="1:11" hidden="1">
      <c r="A1784" t="s">
        <v>1853</v>
      </c>
      <c r="B1784" t="str">
        <f t="shared" si="164"/>
        <v>1F487 200D 2640 FE0F ; fully-qualified # 💇‍♀️ E4.0 woman getting haircut</v>
      </c>
      <c r="C1784" t="str">
        <f t="shared" si="165"/>
        <v xml:space="preserve">1F487 200D 2640 FE0F </v>
      </c>
      <c r="D1784">
        <f t="shared" si="166"/>
        <v>21</v>
      </c>
      <c r="E1784" t="str">
        <f t="shared" si="162"/>
        <v xml:space="preserve"> 💇‍♀️ E4.0 woman getting haircut</v>
      </c>
      <c r="F1784" t="b">
        <f t="shared" si="167"/>
        <v>1</v>
      </c>
      <c r="G1784" t="str">
        <f t="shared" si="163"/>
        <v>1F487</v>
      </c>
      <c r="I1784">
        <f>HEX2DEC(Table1[[#This Row],[utf8]])</f>
        <v>128135</v>
      </c>
      <c r="J1784" t="str">
        <f>_xlfn.UNICHAR(HEX2DEC(Table1[[#This Row],[utf8]]))</f>
        <v>💇</v>
      </c>
      <c r="K1784" s="3" t="str" cm="1">
        <f t="array" ref="K1784">"Case "&amp;wRandomLetter()&amp;wRandomLetter()&amp;I1784&amp;":    UniConst = ChrW(" &amp; I1784 &amp;")"</f>
        <v>Case vA128135:    UniConst = ChrW(128135)</v>
      </c>
    </row>
    <row r="1785" spans="1:11" hidden="1">
      <c r="A1785" t="s">
        <v>1842</v>
      </c>
      <c r="B1785" t="str">
        <f t="shared" si="164"/>
        <v>1F487 200D 2642 ; minimally-qualified # 💇‍♂ E4.0 man getting haircut</v>
      </c>
      <c r="C1785" t="str">
        <f t="shared" si="165"/>
        <v xml:space="preserve">1F487 200D 2642 </v>
      </c>
      <c r="D1785">
        <f t="shared" si="166"/>
        <v>16</v>
      </c>
      <c r="E1785" t="str">
        <f t="shared" si="162"/>
        <v xml:space="preserve"> 💇‍♂ E4.0 man getting haircut</v>
      </c>
      <c r="F1785" t="b">
        <f t="shared" si="167"/>
        <v>1</v>
      </c>
      <c r="G1785" t="str">
        <f t="shared" si="163"/>
        <v>1F487</v>
      </c>
      <c r="I1785">
        <f>HEX2DEC(Table1[[#This Row],[utf8]])</f>
        <v>128135</v>
      </c>
      <c r="J1785" t="str">
        <f>_xlfn.UNICHAR(HEX2DEC(Table1[[#This Row],[utf8]]))</f>
        <v>💇</v>
      </c>
      <c r="K1785" s="3" t="str" cm="1">
        <f t="array" ref="K1785">"Case "&amp;wRandomLetter()&amp;wRandomLetter()&amp;I1785&amp;":    UniConst = ChrW(" &amp; I1785 &amp;")"</f>
        <v>Case Ww128135:    UniConst = ChrW(128135)</v>
      </c>
    </row>
    <row r="1786" spans="1:11" hidden="1">
      <c r="A1786" t="s">
        <v>1841</v>
      </c>
      <c r="B1786" t="str">
        <f t="shared" si="164"/>
        <v>1F487 200D 2642 FE0F ; fully-qualified # 💇‍♂️ E4.0 man getting haircut</v>
      </c>
      <c r="C1786" t="str">
        <f t="shared" si="165"/>
        <v xml:space="preserve">1F487 200D 2642 FE0F </v>
      </c>
      <c r="D1786">
        <f t="shared" si="166"/>
        <v>21</v>
      </c>
      <c r="E1786" t="str">
        <f t="shared" si="162"/>
        <v xml:space="preserve"> 💇‍♂️ E4.0 man getting haircut</v>
      </c>
      <c r="F1786" t="b">
        <f t="shared" si="167"/>
        <v>1</v>
      </c>
      <c r="G1786" t="str">
        <f t="shared" si="163"/>
        <v>1F487</v>
      </c>
      <c r="I1786">
        <f>HEX2DEC(Table1[[#This Row],[utf8]])</f>
        <v>128135</v>
      </c>
      <c r="J1786" t="str">
        <f>_xlfn.UNICHAR(HEX2DEC(Table1[[#This Row],[utf8]]))</f>
        <v>💇</v>
      </c>
      <c r="K1786" s="3" t="str" cm="1">
        <f t="array" ref="K1786">"Case "&amp;wRandomLetter()&amp;wRandomLetter()&amp;I1786&amp;":    UniConst = ChrW(" &amp; I1786 &amp;")"</f>
        <v>Case Bx128135:    UniConst = ChrW(128135)</v>
      </c>
    </row>
    <row r="1787" spans="1:11" hidden="1">
      <c r="A1787" t="s">
        <v>3505</v>
      </c>
      <c r="B1787" t="str">
        <f t="shared" si="164"/>
        <v>1F488 ; fully-qualified # 💈 E0.6 barber pole</v>
      </c>
      <c r="C1787" t="str">
        <f t="shared" si="165"/>
        <v xml:space="preserve">1F488 </v>
      </c>
      <c r="D1787">
        <f t="shared" si="166"/>
        <v>6</v>
      </c>
      <c r="E1787" t="str">
        <f t="shared" si="162"/>
        <v xml:space="preserve"> 💈 E0.6 barber pole</v>
      </c>
      <c r="F1787" t="b">
        <f t="shared" si="167"/>
        <v>1</v>
      </c>
      <c r="G1787" t="str">
        <f t="shared" si="163"/>
        <v>1F488</v>
      </c>
      <c r="I1787">
        <f>HEX2DEC(Table1[[#This Row],[utf8]])</f>
        <v>128136</v>
      </c>
      <c r="J1787" t="str">
        <f>_xlfn.UNICHAR(HEX2DEC(Table1[[#This Row],[utf8]]))</f>
        <v>💈</v>
      </c>
      <c r="K1787" s="3" t="str" cm="1">
        <f t="array" ref="K1787">"Case "&amp;wRandomLetter()&amp;wRandomLetter()&amp;I1787&amp;":    UniConst = ChrW(" &amp; I1787 &amp;")"</f>
        <v>Case LZ128136:    UniConst = ChrW(128136)</v>
      </c>
    </row>
    <row r="1788" spans="1:11" hidden="1">
      <c r="A1788" t="s">
        <v>4078</v>
      </c>
      <c r="B1788" t="str">
        <f t="shared" si="164"/>
        <v>1F489 ; fully-qualified # 💉 E0.6 syringe</v>
      </c>
      <c r="C1788" t="str">
        <f t="shared" si="165"/>
        <v xml:space="preserve">1F489 </v>
      </c>
      <c r="D1788">
        <f t="shared" si="166"/>
        <v>6</v>
      </c>
      <c r="E1788" t="str">
        <f t="shared" si="162"/>
        <v xml:space="preserve"> 💉 E0.6 syringe</v>
      </c>
      <c r="F1788" t="b">
        <f t="shared" si="167"/>
        <v>1</v>
      </c>
      <c r="G1788" t="str">
        <f t="shared" si="163"/>
        <v>1F489</v>
      </c>
      <c r="I1788">
        <f>HEX2DEC(Table1[[#This Row],[utf8]])</f>
        <v>128137</v>
      </c>
      <c r="J1788" t="str">
        <f>_xlfn.UNICHAR(HEX2DEC(Table1[[#This Row],[utf8]]))</f>
        <v>💉</v>
      </c>
      <c r="K1788" s="3" t="str" cm="1">
        <f t="array" ref="K1788">"Case "&amp;wRandomLetter()&amp;wRandomLetter()&amp;I1788&amp;":    UniConst = ChrW(" &amp; I1788 &amp;")"</f>
        <v>Case NV128137:    UniConst = ChrW(128137)</v>
      </c>
    </row>
    <row r="1789" spans="1:11" hidden="1">
      <c r="A1789" t="s">
        <v>4080</v>
      </c>
      <c r="B1789" t="str">
        <f t="shared" si="164"/>
        <v>1F48A ; fully-qualified # 💊 E0.6 pill</v>
      </c>
      <c r="C1789" t="str">
        <f t="shared" si="165"/>
        <v xml:space="preserve">1F48A </v>
      </c>
      <c r="D1789">
        <f t="shared" si="166"/>
        <v>6</v>
      </c>
      <c r="E1789" t="str">
        <f t="shared" si="162"/>
        <v xml:space="preserve"> 💊 E0.6 pill</v>
      </c>
      <c r="F1789" t="b">
        <f t="shared" si="167"/>
        <v>1</v>
      </c>
      <c r="G1789" t="str">
        <f t="shared" si="163"/>
        <v>1F48A</v>
      </c>
      <c r="I1789">
        <f>HEX2DEC(Table1[[#This Row],[utf8]])</f>
        <v>128138</v>
      </c>
      <c r="J1789" t="str">
        <f>_xlfn.UNICHAR(HEX2DEC(Table1[[#This Row],[utf8]]))</f>
        <v>💊</v>
      </c>
      <c r="K1789" s="3" t="str" cm="1">
        <f t="array" ref="K1789">"Case "&amp;wRandomLetter()&amp;wRandomLetter()&amp;I1789&amp;":    UniConst = ChrW(" &amp; I1789 &amp;")"</f>
        <v>Case MV128138:    UniConst = ChrW(128138)</v>
      </c>
    </row>
    <row r="1790" spans="1:11" hidden="1">
      <c r="A1790" t="s">
        <v>139</v>
      </c>
      <c r="B1790" t="str">
        <f t="shared" si="164"/>
        <v>1F48B ; fully-qualified # 💋 E0.6 kiss mark</v>
      </c>
      <c r="C1790" t="str">
        <f t="shared" si="165"/>
        <v xml:space="preserve">1F48B </v>
      </c>
      <c r="D1790">
        <f t="shared" si="166"/>
        <v>6</v>
      </c>
      <c r="E1790" t="str">
        <f t="shared" si="162"/>
        <v xml:space="preserve"> 💋 E0.6 kiss mark</v>
      </c>
      <c r="F1790" t="b">
        <f t="shared" si="167"/>
        <v>1</v>
      </c>
      <c r="G1790" t="str">
        <f t="shared" si="163"/>
        <v>1F48B</v>
      </c>
      <c r="I1790">
        <f>HEX2DEC(Table1[[#This Row],[utf8]])</f>
        <v>128139</v>
      </c>
      <c r="J1790" t="str">
        <f>_xlfn.UNICHAR(HEX2DEC(Table1[[#This Row],[utf8]]))</f>
        <v>💋</v>
      </c>
      <c r="K1790" s="3" t="str" cm="1">
        <f t="array" ref="K1790">"Case "&amp;wRandomLetter()&amp;wRandomLetter()&amp;I1790&amp;":    UniConst = ChrW(" &amp; I1790 &amp;")"</f>
        <v>Case pa128139:    UniConst = ChrW(128139)</v>
      </c>
    </row>
    <row r="1791" spans="1:11" hidden="1">
      <c r="A1791" t="s">
        <v>140</v>
      </c>
      <c r="B1791" t="str">
        <f t="shared" si="164"/>
        <v>1F48C ; fully-qualified # 💌 E0.6 love letter</v>
      </c>
      <c r="C1791" t="str">
        <f t="shared" si="165"/>
        <v xml:space="preserve">1F48C </v>
      </c>
      <c r="D1791">
        <f t="shared" si="166"/>
        <v>6</v>
      </c>
      <c r="E1791" t="str">
        <f t="shared" si="162"/>
        <v xml:space="preserve"> 💌 E0.6 love letter</v>
      </c>
      <c r="F1791" t="b">
        <f t="shared" si="167"/>
        <v>1</v>
      </c>
      <c r="G1791" t="str">
        <f t="shared" si="163"/>
        <v>1F48C</v>
      </c>
      <c r="I1791">
        <f>HEX2DEC(Table1[[#This Row],[utf8]])</f>
        <v>128140</v>
      </c>
      <c r="J1791" t="str">
        <f>_xlfn.UNICHAR(HEX2DEC(Table1[[#This Row],[utf8]]))</f>
        <v>💌</v>
      </c>
      <c r="K1791" s="3" t="str" cm="1">
        <f t="array" ref="K1791">"Case "&amp;wRandomLetter()&amp;wRandomLetter()&amp;I1791&amp;":    UniConst = ChrW(" &amp; I1791 &amp;")"</f>
        <v>Case nh128140:    UniConst = ChrW(128140)</v>
      </c>
    </row>
    <row r="1792" spans="1:11" hidden="1">
      <c r="A1792" t="s">
        <v>3849</v>
      </c>
      <c r="B1792" t="str">
        <f t="shared" si="164"/>
        <v>1F48D ; fully-qualified # 💍 E0.6 ring</v>
      </c>
      <c r="C1792" t="str">
        <f t="shared" si="165"/>
        <v xml:space="preserve">1F48D </v>
      </c>
      <c r="D1792">
        <f t="shared" si="166"/>
        <v>6</v>
      </c>
      <c r="E1792" t="str">
        <f t="shared" si="162"/>
        <v xml:space="preserve"> 💍 E0.6 ring</v>
      </c>
      <c r="F1792" t="b">
        <f t="shared" si="167"/>
        <v>1</v>
      </c>
      <c r="G1792" t="str">
        <f t="shared" si="163"/>
        <v>1F48D</v>
      </c>
      <c r="I1792">
        <f>HEX2DEC(Table1[[#This Row],[utf8]])</f>
        <v>128141</v>
      </c>
      <c r="J1792" t="str">
        <f>_xlfn.UNICHAR(HEX2DEC(Table1[[#This Row],[utf8]]))</f>
        <v>💍</v>
      </c>
      <c r="K1792" s="3" t="str" cm="1">
        <f t="array" ref="K1792">"Case "&amp;wRandomLetter()&amp;wRandomLetter()&amp;I1792&amp;":    UniConst = ChrW(" &amp; I1792 &amp;")"</f>
        <v>Case xg128141:    UniConst = ChrW(128141)</v>
      </c>
    </row>
    <row r="1793" spans="1:11" hidden="1">
      <c r="A1793" t="s">
        <v>3850</v>
      </c>
      <c r="B1793" t="str">
        <f t="shared" si="164"/>
        <v>1F48E ; fully-qualified # 💎 E0.6 gem stone</v>
      </c>
      <c r="C1793" t="str">
        <f t="shared" si="165"/>
        <v xml:space="preserve">1F48E </v>
      </c>
      <c r="D1793">
        <f t="shared" si="166"/>
        <v>6</v>
      </c>
      <c r="E1793" t="str">
        <f t="shared" si="162"/>
        <v xml:space="preserve"> 💎 E0.6 gem stone</v>
      </c>
      <c r="F1793" t="b">
        <f t="shared" si="167"/>
        <v>1</v>
      </c>
      <c r="G1793" t="str">
        <f t="shared" si="163"/>
        <v>1F48E</v>
      </c>
      <c r="I1793">
        <f>HEX2DEC(Table1[[#This Row],[utf8]])</f>
        <v>128142</v>
      </c>
      <c r="J1793" t="str">
        <f>_xlfn.UNICHAR(HEX2DEC(Table1[[#This Row],[utf8]]))</f>
        <v>💎</v>
      </c>
      <c r="K1793" s="3" t="str" cm="1">
        <f t="array" ref="K1793">"Case "&amp;wRandomLetter()&amp;wRandomLetter()&amp;I1793&amp;":    UniConst = ChrW(" &amp; I1793 &amp;")"</f>
        <v>Case tH128142:    UniConst = ChrW(128142)</v>
      </c>
    </row>
    <row r="1794" spans="1:11" hidden="1">
      <c r="A1794" t="s">
        <v>2667</v>
      </c>
      <c r="B1794" t="str">
        <f t="shared" si="164"/>
        <v>1F48F ; fully-qualified # 💏 E0.6 kiss</v>
      </c>
      <c r="C1794" t="str">
        <f t="shared" si="165"/>
        <v xml:space="preserve">1F48F </v>
      </c>
      <c r="D1794">
        <f t="shared" si="166"/>
        <v>6</v>
      </c>
      <c r="E1794" t="str">
        <f t="shared" ref="E1794:E1857" si="168">MID(A1794,FIND("#",A1794)+1,256)</f>
        <v xml:space="preserve"> 💏 E0.6 kiss</v>
      </c>
      <c r="F1794" t="b">
        <f t="shared" si="167"/>
        <v>1</v>
      </c>
      <c r="G1794" t="str">
        <f t="shared" ref="G1794:G1857" si="169">LEFT(C1794,(FIND(" ",C1794,1)-1))</f>
        <v>1F48F</v>
      </c>
      <c r="I1794">
        <f>HEX2DEC(Table1[[#This Row],[utf8]])</f>
        <v>128143</v>
      </c>
      <c r="J1794" t="str">
        <f>_xlfn.UNICHAR(HEX2DEC(Table1[[#This Row],[utf8]]))</f>
        <v>💏</v>
      </c>
      <c r="K1794" s="3" t="str" cm="1">
        <f t="array" ref="K1794">"Case "&amp;wRandomLetter()&amp;wRandomLetter()&amp;I1794&amp;":    UniConst = ChrW(" &amp; I1794 &amp;")"</f>
        <v>Case Qv128143:    UniConst = ChrW(128143)</v>
      </c>
    </row>
    <row r="1795" spans="1:11" hidden="1">
      <c r="A1795" t="s">
        <v>2668</v>
      </c>
      <c r="B1795" t="str">
        <f t="shared" ref="B1795:B1858" si="170">TRIM(A1795)</f>
        <v>1F48F 1F3FB ; fully-qualified # 💏🏻 E13.1 kiss: light skin tone</v>
      </c>
      <c r="C1795" t="str">
        <f t="shared" ref="C1795:C1858" si="171">LEFT(B1795,(FIND(";",B1795,1)-1))</f>
        <v xml:space="preserve">1F48F 1F3FB </v>
      </c>
      <c r="D1795">
        <f t="shared" ref="D1795:D1858" si="172">LEN(C1795)</f>
        <v>12</v>
      </c>
      <c r="E1795" t="str">
        <f t="shared" si="168"/>
        <v xml:space="preserve"> 💏🏻 E13.1 kiss: light skin tone</v>
      </c>
      <c r="F1795" t="b">
        <f t="shared" ref="F1795:F1858" si="173">IF(LEFT(C1795,2)="1F",TRUE,FALSE)</f>
        <v>1</v>
      </c>
      <c r="G1795" t="str">
        <f t="shared" si="169"/>
        <v>1F48F</v>
      </c>
      <c r="I1795">
        <f>HEX2DEC(Table1[[#This Row],[utf8]])</f>
        <v>128143</v>
      </c>
      <c r="J1795" t="str">
        <f>_xlfn.UNICHAR(HEX2DEC(Table1[[#This Row],[utf8]]))</f>
        <v>💏</v>
      </c>
      <c r="K1795" s="3" t="str" cm="1">
        <f t="array" ref="K1795">"Case "&amp;wRandomLetter()&amp;wRandomLetter()&amp;I1795&amp;":    UniConst = ChrW(" &amp; I1795 &amp;")"</f>
        <v>Case Cd128143:    UniConst = ChrW(128143)</v>
      </c>
    </row>
    <row r="1796" spans="1:11" hidden="1">
      <c r="A1796" t="s">
        <v>2669</v>
      </c>
      <c r="B1796" t="str">
        <f t="shared" si="170"/>
        <v>1F48F 1F3FC ; fully-qualified # 💏🏼 E13.1 kiss: medium-light skin tone</v>
      </c>
      <c r="C1796" t="str">
        <f t="shared" si="171"/>
        <v xml:space="preserve">1F48F 1F3FC </v>
      </c>
      <c r="D1796">
        <f t="shared" si="172"/>
        <v>12</v>
      </c>
      <c r="E1796" t="str">
        <f t="shared" si="168"/>
        <v xml:space="preserve"> 💏🏼 E13.1 kiss: medium-light skin tone</v>
      </c>
      <c r="F1796" t="b">
        <f t="shared" si="173"/>
        <v>1</v>
      </c>
      <c r="G1796" t="str">
        <f t="shared" si="169"/>
        <v>1F48F</v>
      </c>
      <c r="I1796">
        <f>HEX2DEC(Table1[[#This Row],[utf8]])</f>
        <v>128143</v>
      </c>
      <c r="J1796" t="str">
        <f>_xlfn.UNICHAR(HEX2DEC(Table1[[#This Row],[utf8]]))</f>
        <v>💏</v>
      </c>
      <c r="K1796" s="3" t="str" cm="1">
        <f t="array" ref="K1796">"Case "&amp;wRandomLetter()&amp;wRandomLetter()&amp;I1796&amp;":    UniConst = ChrW(" &amp; I1796 &amp;")"</f>
        <v>Case et128143:    UniConst = ChrW(128143)</v>
      </c>
    </row>
    <row r="1797" spans="1:11" hidden="1">
      <c r="A1797" t="s">
        <v>2670</v>
      </c>
      <c r="B1797" t="str">
        <f t="shared" si="170"/>
        <v>1F48F 1F3FD ; fully-qualified # 💏🏽 E13.1 kiss: medium skin tone</v>
      </c>
      <c r="C1797" t="str">
        <f t="shared" si="171"/>
        <v xml:space="preserve">1F48F 1F3FD </v>
      </c>
      <c r="D1797">
        <f t="shared" si="172"/>
        <v>12</v>
      </c>
      <c r="E1797" t="str">
        <f t="shared" si="168"/>
        <v xml:space="preserve"> 💏🏽 E13.1 kiss: medium skin tone</v>
      </c>
      <c r="F1797" t="b">
        <f t="shared" si="173"/>
        <v>1</v>
      </c>
      <c r="G1797" t="str">
        <f t="shared" si="169"/>
        <v>1F48F</v>
      </c>
      <c r="I1797">
        <f>HEX2DEC(Table1[[#This Row],[utf8]])</f>
        <v>128143</v>
      </c>
      <c r="J1797" t="str">
        <f>_xlfn.UNICHAR(HEX2DEC(Table1[[#This Row],[utf8]]))</f>
        <v>💏</v>
      </c>
      <c r="K1797" s="3" t="str" cm="1">
        <f t="array" ref="K1797">"Case "&amp;wRandomLetter()&amp;wRandomLetter()&amp;I1797&amp;":    UniConst = ChrW(" &amp; I1797 &amp;")"</f>
        <v>Case hj128143:    UniConst = ChrW(128143)</v>
      </c>
    </row>
    <row r="1798" spans="1:11" hidden="1">
      <c r="A1798" t="s">
        <v>2671</v>
      </c>
      <c r="B1798" t="str">
        <f t="shared" si="170"/>
        <v>1F48F 1F3FE ; fully-qualified # 💏🏾 E13.1 kiss: medium-dark skin tone</v>
      </c>
      <c r="C1798" t="str">
        <f t="shared" si="171"/>
        <v xml:space="preserve">1F48F 1F3FE </v>
      </c>
      <c r="D1798">
        <f t="shared" si="172"/>
        <v>12</v>
      </c>
      <c r="E1798" t="str">
        <f t="shared" si="168"/>
        <v xml:space="preserve"> 💏🏾 E13.1 kiss: medium-dark skin tone</v>
      </c>
      <c r="F1798" t="b">
        <f t="shared" si="173"/>
        <v>1</v>
      </c>
      <c r="G1798" t="str">
        <f t="shared" si="169"/>
        <v>1F48F</v>
      </c>
      <c r="I1798">
        <f>HEX2DEC(Table1[[#This Row],[utf8]])</f>
        <v>128143</v>
      </c>
      <c r="J1798" t="str">
        <f>_xlfn.UNICHAR(HEX2DEC(Table1[[#This Row],[utf8]]))</f>
        <v>💏</v>
      </c>
      <c r="K1798" s="3" t="str" cm="1">
        <f t="array" ref="K1798">"Case "&amp;wRandomLetter()&amp;wRandomLetter()&amp;I1798&amp;":    UniConst = ChrW(" &amp; I1798 &amp;")"</f>
        <v>Case KW128143:    UniConst = ChrW(128143)</v>
      </c>
    </row>
    <row r="1799" spans="1:11" hidden="1">
      <c r="A1799" t="s">
        <v>2672</v>
      </c>
      <c r="B1799" t="str">
        <f t="shared" si="170"/>
        <v>1F48F 1F3FF ; fully-qualified # 💏🏿 E13.1 kiss: dark skin tone</v>
      </c>
      <c r="C1799" t="str">
        <f t="shared" si="171"/>
        <v xml:space="preserve">1F48F 1F3FF </v>
      </c>
      <c r="D1799">
        <f t="shared" si="172"/>
        <v>12</v>
      </c>
      <c r="E1799" t="str">
        <f t="shared" si="168"/>
        <v xml:space="preserve"> 💏🏿 E13.1 kiss: dark skin tone</v>
      </c>
      <c r="F1799" t="b">
        <f t="shared" si="173"/>
        <v>1</v>
      </c>
      <c r="G1799" t="str">
        <f t="shared" si="169"/>
        <v>1F48F</v>
      </c>
      <c r="I1799">
        <f>HEX2DEC(Table1[[#This Row],[utf8]])</f>
        <v>128143</v>
      </c>
      <c r="J1799" t="str">
        <f>_xlfn.UNICHAR(HEX2DEC(Table1[[#This Row],[utf8]]))</f>
        <v>💏</v>
      </c>
      <c r="K1799" s="3" t="str" cm="1">
        <f t="array" ref="K1799">"Case "&amp;wRandomLetter()&amp;wRandomLetter()&amp;I1799&amp;":    UniConst = ChrW(" &amp; I1799 &amp;")"</f>
        <v>Case ck128143:    UniConst = ChrW(128143)</v>
      </c>
    </row>
    <row r="1800" spans="1:11" hidden="1">
      <c r="A1800" t="s">
        <v>3250</v>
      </c>
      <c r="B1800" t="str">
        <f t="shared" si="170"/>
        <v>1F490 ; fully-qualified # 💐 E0.6 bouquet</v>
      </c>
      <c r="C1800" t="str">
        <f t="shared" si="171"/>
        <v xml:space="preserve">1F490 </v>
      </c>
      <c r="D1800">
        <f t="shared" si="172"/>
        <v>6</v>
      </c>
      <c r="E1800" t="str">
        <f t="shared" si="168"/>
        <v xml:space="preserve"> 💐 E0.6 bouquet</v>
      </c>
      <c r="F1800" t="b">
        <f t="shared" si="173"/>
        <v>1</v>
      </c>
      <c r="G1800" t="str">
        <f t="shared" si="169"/>
        <v>1F490</v>
      </c>
      <c r="I1800">
        <f>HEX2DEC(Table1[[#This Row],[utf8]])</f>
        <v>128144</v>
      </c>
      <c r="J1800" t="str">
        <f>_xlfn.UNICHAR(HEX2DEC(Table1[[#This Row],[utf8]]))</f>
        <v>💐</v>
      </c>
      <c r="K1800" s="3" t="str" cm="1">
        <f t="array" ref="K1800">"Case "&amp;wRandomLetter()&amp;wRandomLetter()&amp;I1800&amp;":    UniConst = ChrW(" &amp; I1800 &amp;")"</f>
        <v>Case hk128144:    UniConst = ChrW(128144)</v>
      </c>
    </row>
    <row r="1801" spans="1:11" hidden="1">
      <c r="A1801" t="s">
        <v>2869</v>
      </c>
      <c r="B1801" t="str">
        <f t="shared" si="170"/>
        <v>1F491 ; fully-qualified # 💑 E0.6 couple with heart</v>
      </c>
      <c r="C1801" t="str">
        <f t="shared" si="171"/>
        <v xml:space="preserve">1F491 </v>
      </c>
      <c r="D1801">
        <f t="shared" si="172"/>
        <v>6</v>
      </c>
      <c r="E1801" t="str">
        <f t="shared" si="168"/>
        <v xml:space="preserve"> 💑 E0.6 couple with heart</v>
      </c>
      <c r="F1801" t="b">
        <f t="shared" si="173"/>
        <v>1</v>
      </c>
      <c r="G1801" t="str">
        <f t="shared" si="169"/>
        <v>1F491</v>
      </c>
      <c r="I1801">
        <f>HEX2DEC(Table1[[#This Row],[utf8]])</f>
        <v>128145</v>
      </c>
      <c r="J1801" t="str">
        <f>_xlfn.UNICHAR(HEX2DEC(Table1[[#This Row],[utf8]]))</f>
        <v>💑</v>
      </c>
      <c r="K1801" s="3" t="str" cm="1">
        <f t="array" ref="K1801">"Case "&amp;wRandomLetter()&amp;wRandomLetter()&amp;I1801&amp;":    UniConst = ChrW(" &amp; I1801 &amp;")"</f>
        <v>Case nu128145:    UniConst = ChrW(128145)</v>
      </c>
    </row>
    <row r="1802" spans="1:11" hidden="1">
      <c r="A1802" t="s">
        <v>2870</v>
      </c>
      <c r="B1802" t="str">
        <f t="shared" si="170"/>
        <v>1F491 1F3FB ; fully-qualified # 💑🏻 E13.1 couple with heart: light skin tone</v>
      </c>
      <c r="C1802" t="str">
        <f t="shared" si="171"/>
        <v xml:space="preserve">1F491 1F3FB </v>
      </c>
      <c r="D1802">
        <f t="shared" si="172"/>
        <v>12</v>
      </c>
      <c r="E1802" t="str">
        <f t="shared" si="168"/>
        <v xml:space="preserve"> 💑🏻 E13.1 couple with heart: light skin tone</v>
      </c>
      <c r="F1802" t="b">
        <f t="shared" si="173"/>
        <v>1</v>
      </c>
      <c r="G1802" t="str">
        <f t="shared" si="169"/>
        <v>1F491</v>
      </c>
      <c r="I1802">
        <f>HEX2DEC(Table1[[#This Row],[utf8]])</f>
        <v>128145</v>
      </c>
      <c r="J1802" t="str">
        <f>_xlfn.UNICHAR(HEX2DEC(Table1[[#This Row],[utf8]]))</f>
        <v>💑</v>
      </c>
      <c r="K1802" s="3" t="str" cm="1">
        <f t="array" ref="K1802">"Case "&amp;wRandomLetter()&amp;wRandomLetter()&amp;I1802&amp;":    UniConst = ChrW(" &amp; I1802 &amp;")"</f>
        <v>Case yG128145:    UniConst = ChrW(128145)</v>
      </c>
    </row>
    <row r="1803" spans="1:11" hidden="1">
      <c r="A1803" t="s">
        <v>2871</v>
      </c>
      <c r="B1803" t="str">
        <f t="shared" si="170"/>
        <v>1F491 1F3FC ; fully-qualified # 💑🏼 E13.1 couple with heart: medium-light skin tone</v>
      </c>
      <c r="C1803" t="str">
        <f t="shared" si="171"/>
        <v xml:space="preserve">1F491 1F3FC </v>
      </c>
      <c r="D1803">
        <f t="shared" si="172"/>
        <v>12</v>
      </c>
      <c r="E1803" t="str">
        <f t="shared" si="168"/>
        <v xml:space="preserve"> 💑🏼 E13.1 couple with heart: medium-light skin tone</v>
      </c>
      <c r="F1803" t="b">
        <f t="shared" si="173"/>
        <v>1</v>
      </c>
      <c r="G1803" t="str">
        <f t="shared" si="169"/>
        <v>1F491</v>
      </c>
      <c r="I1803">
        <f>HEX2DEC(Table1[[#This Row],[utf8]])</f>
        <v>128145</v>
      </c>
      <c r="J1803" t="str">
        <f>_xlfn.UNICHAR(HEX2DEC(Table1[[#This Row],[utf8]]))</f>
        <v>💑</v>
      </c>
      <c r="K1803" s="3" t="str" cm="1">
        <f t="array" ref="K1803">"Case "&amp;wRandomLetter()&amp;wRandomLetter()&amp;I1803&amp;":    UniConst = ChrW(" &amp; I1803 &amp;")"</f>
        <v>Case GF128145:    UniConst = ChrW(128145)</v>
      </c>
    </row>
    <row r="1804" spans="1:11" hidden="1">
      <c r="A1804" t="s">
        <v>2872</v>
      </c>
      <c r="B1804" t="str">
        <f t="shared" si="170"/>
        <v>1F491 1F3FD ; fully-qualified # 💑🏽 E13.1 couple with heart: medium skin tone</v>
      </c>
      <c r="C1804" t="str">
        <f t="shared" si="171"/>
        <v xml:space="preserve">1F491 1F3FD </v>
      </c>
      <c r="D1804">
        <f t="shared" si="172"/>
        <v>12</v>
      </c>
      <c r="E1804" t="str">
        <f t="shared" si="168"/>
        <v xml:space="preserve"> 💑🏽 E13.1 couple with heart: medium skin tone</v>
      </c>
      <c r="F1804" t="b">
        <f t="shared" si="173"/>
        <v>1</v>
      </c>
      <c r="G1804" t="str">
        <f t="shared" si="169"/>
        <v>1F491</v>
      </c>
      <c r="I1804">
        <f>HEX2DEC(Table1[[#This Row],[utf8]])</f>
        <v>128145</v>
      </c>
      <c r="J1804" t="str">
        <f>_xlfn.UNICHAR(HEX2DEC(Table1[[#This Row],[utf8]]))</f>
        <v>💑</v>
      </c>
      <c r="K1804" s="3" t="str" cm="1">
        <f t="array" ref="K1804">"Case "&amp;wRandomLetter()&amp;wRandomLetter()&amp;I1804&amp;":    UniConst = ChrW(" &amp; I1804 &amp;")"</f>
        <v>Case FO128145:    UniConst = ChrW(128145)</v>
      </c>
    </row>
    <row r="1805" spans="1:11" hidden="1">
      <c r="A1805" t="s">
        <v>2873</v>
      </c>
      <c r="B1805" t="str">
        <f t="shared" si="170"/>
        <v>1F491 1F3FE ; fully-qualified # 💑🏾 E13.1 couple with heart: medium-dark skin tone</v>
      </c>
      <c r="C1805" t="str">
        <f t="shared" si="171"/>
        <v xml:space="preserve">1F491 1F3FE </v>
      </c>
      <c r="D1805">
        <f t="shared" si="172"/>
        <v>12</v>
      </c>
      <c r="E1805" t="str">
        <f t="shared" si="168"/>
        <v xml:space="preserve"> 💑🏾 E13.1 couple with heart: medium-dark skin tone</v>
      </c>
      <c r="F1805" t="b">
        <f t="shared" si="173"/>
        <v>1</v>
      </c>
      <c r="G1805" t="str">
        <f t="shared" si="169"/>
        <v>1F491</v>
      </c>
      <c r="I1805">
        <f>HEX2DEC(Table1[[#This Row],[utf8]])</f>
        <v>128145</v>
      </c>
      <c r="J1805" t="str">
        <f>_xlfn.UNICHAR(HEX2DEC(Table1[[#This Row],[utf8]]))</f>
        <v>💑</v>
      </c>
      <c r="K1805" s="3" t="str" cm="1">
        <f t="array" ref="K1805">"Case "&amp;wRandomLetter()&amp;wRandomLetter()&amp;I1805&amp;":    UniConst = ChrW(" &amp; I1805 &amp;")"</f>
        <v>Case Lx128145:    UniConst = ChrW(128145)</v>
      </c>
    </row>
    <row r="1806" spans="1:11" hidden="1">
      <c r="A1806" t="s">
        <v>2874</v>
      </c>
      <c r="B1806" t="str">
        <f t="shared" si="170"/>
        <v>1F491 1F3FF ; fully-qualified # 💑🏿 E13.1 couple with heart: dark skin tone</v>
      </c>
      <c r="C1806" t="str">
        <f t="shared" si="171"/>
        <v xml:space="preserve">1F491 1F3FF </v>
      </c>
      <c r="D1806">
        <f t="shared" si="172"/>
        <v>12</v>
      </c>
      <c r="E1806" t="str">
        <f t="shared" si="168"/>
        <v xml:space="preserve"> 💑🏿 E13.1 couple with heart: dark skin tone</v>
      </c>
      <c r="F1806" t="b">
        <f t="shared" si="173"/>
        <v>1</v>
      </c>
      <c r="G1806" t="str">
        <f t="shared" si="169"/>
        <v>1F491</v>
      </c>
      <c r="I1806">
        <f>HEX2DEC(Table1[[#This Row],[utf8]])</f>
        <v>128145</v>
      </c>
      <c r="J1806" t="str">
        <f>_xlfn.UNICHAR(HEX2DEC(Table1[[#This Row],[utf8]]))</f>
        <v>💑</v>
      </c>
      <c r="K1806" s="3" t="str" cm="1">
        <f t="array" ref="K1806">"Case "&amp;wRandomLetter()&amp;wRandomLetter()&amp;I1806&amp;":    UniConst = ChrW(" &amp; I1806 &amp;")"</f>
        <v>Case UH128145:    UniConst = ChrW(128145)</v>
      </c>
    </row>
    <row r="1807" spans="1:11" hidden="1">
      <c r="A1807" t="s">
        <v>3477</v>
      </c>
      <c r="B1807" t="str">
        <f t="shared" si="170"/>
        <v>1F492 ; fully-qualified # 💒 E0.6 wedding</v>
      </c>
      <c r="C1807" t="str">
        <f t="shared" si="171"/>
        <v xml:space="preserve">1F492 </v>
      </c>
      <c r="D1807">
        <f t="shared" si="172"/>
        <v>6</v>
      </c>
      <c r="E1807" t="str">
        <f t="shared" si="168"/>
        <v xml:space="preserve"> 💒 E0.6 wedding</v>
      </c>
      <c r="F1807" t="b">
        <f t="shared" si="173"/>
        <v>1</v>
      </c>
      <c r="G1807" t="str">
        <f t="shared" si="169"/>
        <v>1F492</v>
      </c>
      <c r="I1807">
        <f>HEX2DEC(Table1[[#This Row],[utf8]])</f>
        <v>128146</v>
      </c>
      <c r="J1807" t="str">
        <f>_xlfn.UNICHAR(HEX2DEC(Table1[[#This Row],[utf8]]))</f>
        <v>💒</v>
      </c>
      <c r="K1807" s="3" t="str" cm="1">
        <f t="array" ref="K1807">"Case "&amp;wRandomLetter()&amp;wRandomLetter()&amp;I1807&amp;":    UniConst = ChrW(" &amp; I1807 &amp;")"</f>
        <v>Case Es128146:    UniConst = ChrW(128146)</v>
      </c>
    </row>
    <row r="1808" spans="1:11" hidden="1">
      <c r="A1808" t="s">
        <v>145</v>
      </c>
      <c r="B1808" t="str">
        <f t="shared" si="170"/>
        <v>1F493 ; fully-qualified # 💓 E0.6 beating heart</v>
      </c>
      <c r="C1808" t="str">
        <f t="shared" si="171"/>
        <v xml:space="preserve">1F493 </v>
      </c>
      <c r="D1808">
        <f t="shared" si="172"/>
        <v>6</v>
      </c>
      <c r="E1808" t="str">
        <f t="shared" si="168"/>
        <v xml:space="preserve"> 💓 E0.6 beating heart</v>
      </c>
      <c r="F1808" t="b">
        <f t="shared" si="173"/>
        <v>1</v>
      </c>
      <c r="G1808" t="str">
        <f t="shared" si="169"/>
        <v>1F493</v>
      </c>
      <c r="I1808">
        <f>HEX2DEC(Table1[[#This Row],[utf8]])</f>
        <v>128147</v>
      </c>
      <c r="J1808" t="str">
        <f>_xlfn.UNICHAR(HEX2DEC(Table1[[#This Row],[utf8]]))</f>
        <v>💓</v>
      </c>
      <c r="K1808" s="3" t="str" cm="1">
        <f t="array" ref="K1808">"Case "&amp;wRandomLetter()&amp;wRandomLetter()&amp;I1808&amp;":    UniConst = ChrW(" &amp; I1808 &amp;")"</f>
        <v>Case cz128147:    UniConst = ChrW(128147)</v>
      </c>
    </row>
    <row r="1809" spans="1:11" hidden="1">
      <c r="A1809" t="s">
        <v>151</v>
      </c>
      <c r="B1809" t="str">
        <f t="shared" si="170"/>
        <v>1F494 ; fully-qualified # 💔 E0.6 broken heart</v>
      </c>
      <c r="C1809" t="str">
        <f t="shared" si="171"/>
        <v xml:space="preserve">1F494 </v>
      </c>
      <c r="D1809">
        <f t="shared" si="172"/>
        <v>6</v>
      </c>
      <c r="E1809" t="str">
        <f t="shared" si="168"/>
        <v xml:space="preserve"> 💔 E0.6 broken heart</v>
      </c>
      <c r="F1809" t="b">
        <f t="shared" si="173"/>
        <v>1</v>
      </c>
      <c r="G1809" t="str">
        <f t="shared" si="169"/>
        <v>1F494</v>
      </c>
      <c r="I1809">
        <f>HEX2DEC(Table1[[#This Row],[utf8]])</f>
        <v>128148</v>
      </c>
      <c r="J1809" t="str">
        <f>_xlfn.UNICHAR(HEX2DEC(Table1[[#This Row],[utf8]]))</f>
        <v>💔</v>
      </c>
      <c r="K1809" s="3" t="str" cm="1">
        <f t="array" ref="K1809">"Case "&amp;wRandomLetter()&amp;wRandomLetter()&amp;I1809&amp;":    UniConst = ChrW(" &amp; I1809 &amp;")"</f>
        <v>Case ZT128148:    UniConst = ChrW(128148)</v>
      </c>
    </row>
    <row r="1810" spans="1:11" hidden="1">
      <c r="A1810" t="s">
        <v>147</v>
      </c>
      <c r="B1810" t="str">
        <f t="shared" si="170"/>
        <v>1F495 ; fully-qualified # 💕 E0.6 two hearts</v>
      </c>
      <c r="C1810" t="str">
        <f t="shared" si="171"/>
        <v xml:space="preserve">1F495 </v>
      </c>
      <c r="D1810">
        <f t="shared" si="172"/>
        <v>6</v>
      </c>
      <c r="E1810" t="str">
        <f t="shared" si="168"/>
        <v xml:space="preserve"> 💕 E0.6 two hearts</v>
      </c>
      <c r="F1810" t="b">
        <f t="shared" si="173"/>
        <v>1</v>
      </c>
      <c r="G1810" t="str">
        <f t="shared" si="169"/>
        <v>1F495</v>
      </c>
      <c r="I1810">
        <f>HEX2DEC(Table1[[#This Row],[utf8]])</f>
        <v>128149</v>
      </c>
      <c r="J1810" t="str">
        <f>_xlfn.UNICHAR(HEX2DEC(Table1[[#This Row],[utf8]]))</f>
        <v>💕</v>
      </c>
      <c r="K1810" s="3" t="str" cm="1">
        <f t="array" ref="K1810">"Case "&amp;wRandomLetter()&amp;wRandomLetter()&amp;I1810&amp;":    UniConst = ChrW(" &amp; I1810 &amp;")"</f>
        <v>Case JQ128149:    UniConst = ChrW(128149)</v>
      </c>
    </row>
    <row r="1811" spans="1:11" hidden="1">
      <c r="A1811" t="s">
        <v>143</v>
      </c>
      <c r="B1811" t="str">
        <f t="shared" si="170"/>
        <v>1F496 ; fully-qualified # 💖 E0.6 sparkling heart</v>
      </c>
      <c r="C1811" t="str">
        <f t="shared" si="171"/>
        <v xml:space="preserve">1F496 </v>
      </c>
      <c r="D1811">
        <f t="shared" si="172"/>
        <v>6</v>
      </c>
      <c r="E1811" t="str">
        <f t="shared" si="168"/>
        <v xml:space="preserve"> 💖 E0.6 sparkling heart</v>
      </c>
      <c r="F1811" t="b">
        <f t="shared" si="173"/>
        <v>1</v>
      </c>
      <c r="G1811" t="str">
        <f t="shared" si="169"/>
        <v>1F496</v>
      </c>
      <c r="I1811">
        <f>HEX2DEC(Table1[[#This Row],[utf8]])</f>
        <v>128150</v>
      </c>
      <c r="J1811" t="str">
        <f>_xlfn.UNICHAR(HEX2DEC(Table1[[#This Row],[utf8]]))</f>
        <v>💖</v>
      </c>
      <c r="K1811" s="3" t="str" cm="1">
        <f t="array" ref="K1811">"Case "&amp;wRandomLetter()&amp;wRandomLetter()&amp;I1811&amp;":    UniConst = ChrW(" &amp; I1811 &amp;")"</f>
        <v>Case HI128150:    UniConst = ChrW(128150)</v>
      </c>
    </row>
    <row r="1812" spans="1:11" hidden="1">
      <c r="A1812" t="s">
        <v>144</v>
      </c>
      <c r="B1812" t="str">
        <f t="shared" si="170"/>
        <v>1F497 ; fully-qualified # 💗 E0.6 growing heart</v>
      </c>
      <c r="C1812" t="str">
        <f t="shared" si="171"/>
        <v xml:space="preserve">1F497 </v>
      </c>
      <c r="D1812">
        <f t="shared" si="172"/>
        <v>6</v>
      </c>
      <c r="E1812" t="str">
        <f t="shared" si="168"/>
        <v xml:space="preserve"> 💗 E0.6 growing heart</v>
      </c>
      <c r="F1812" t="b">
        <f t="shared" si="173"/>
        <v>1</v>
      </c>
      <c r="G1812" t="str">
        <f t="shared" si="169"/>
        <v>1F497</v>
      </c>
      <c r="I1812">
        <f>HEX2DEC(Table1[[#This Row],[utf8]])</f>
        <v>128151</v>
      </c>
      <c r="J1812" t="str">
        <f>_xlfn.UNICHAR(HEX2DEC(Table1[[#This Row],[utf8]]))</f>
        <v>💗</v>
      </c>
      <c r="K1812" s="3" t="str" cm="1">
        <f t="array" ref="K1812">"Case "&amp;wRandomLetter()&amp;wRandomLetter()&amp;I1812&amp;":    UniConst = ChrW(" &amp; I1812 &amp;")"</f>
        <v>Case cy128151:    UniConst = ChrW(128151)</v>
      </c>
    </row>
    <row r="1813" spans="1:11" hidden="1">
      <c r="A1813" t="s">
        <v>141</v>
      </c>
      <c r="B1813" t="str">
        <f t="shared" si="170"/>
        <v>1F498 ; fully-qualified # 💘 E0.6 heart with arrow</v>
      </c>
      <c r="C1813" t="str">
        <f t="shared" si="171"/>
        <v xml:space="preserve">1F498 </v>
      </c>
      <c r="D1813">
        <f t="shared" si="172"/>
        <v>6</v>
      </c>
      <c r="E1813" t="str">
        <f t="shared" si="168"/>
        <v xml:space="preserve"> 💘 E0.6 heart with arrow</v>
      </c>
      <c r="F1813" t="b">
        <f t="shared" si="173"/>
        <v>1</v>
      </c>
      <c r="G1813" t="str">
        <f t="shared" si="169"/>
        <v>1F498</v>
      </c>
      <c r="I1813">
        <f>HEX2DEC(Table1[[#This Row],[utf8]])</f>
        <v>128152</v>
      </c>
      <c r="J1813" t="str">
        <f>_xlfn.UNICHAR(HEX2DEC(Table1[[#This Row],[utf8]]))</f>
        <v>💘</v>
      </c>
      <c r="K1813" s="3" t="str" cm="1">
        <f t="array" ref="K1813">"Case "&amp;wRandomLetter()&amp;wRandomLetter()&amp;I1813&amp;":    UniConst = ChrW(" &amp; I1813 &amp;")"</f>
        <v>Case Mf128152:    UniConst = ChrW(128152)</v>
      </c>
    </row>
    <row r="1814" spans="1:11" hidden="1">
      <c r="A1814" t="s">
        <v>161</v>
      </c>
      <c r="B1814" t="str">
        <f t="shared" si="170"/>
        <v>1F499 ; fully-qualified # 💙 E0.6 blue heart</v>
      </c>
      <c r="C1814" t="str">
        <f t="shared" si="171"/>
        <v xml:space="preserve">1F499 </v>
      </c>
      <c r="D1814">
        <f t="shared" si="172"/>
        <v>6</v>
      </c>
      <c r="E1814" t="str">
        <f t="shared" si="168"/>
        <v xml:space="preserve"> 💙 E0.6 blue heart</v>
      </c>
      <c r="F1814" t="b">
        <f t="shared" si="173"/>
        <v>1</v>
      </c>
      <c r="G1814" t="str">
        <f t="shared" si="169"/>
        <v>1F499</v>
      </c>
      <c r="I1814">
        <f>HEX2DEC(Table1[[#This Row],[utf8]])</f>
        <v>128153</v>
      </c>
      <c r="J1814" t="str">
        <f>_xlfn.UNICHAR(HEX2DEC(Table1[[#This Row],[utf8]]))</f>
        <v>💙</v>
      </c>
      <c r="K1814" s="3" t="str" cm="1">
        <f t="array" ref="K1814">"Case "&amp;wRandomLetter()&amp;wRandomLetter()&amp;I1814&amp;":    UniConst = ChrW(" &amp; I1814 &amp;")"</f>
        <v>Case xu128153:    UniConst = ChrW(128153)</v>
      </c>
    </row>
    <row r="1815" spans="1:11" hidden="1">
      <c r="A1815" t="s">
        <v>160</v>
      </c>
      <c r="B1815" t="str">
        <f t="shared" si="170"/>
        <v>1F49A ; fully-qualified # 💚 E0.6 green heart</v>
      </c>
      <c r="C1815" t="str">
        <f t="shared" si="171"/>
        <v xml:space="preserve">1F49A </v>
      </c>
      <c r="D1815">
        <f t="shared" si="172"/>
        <v>6</v>
      </c>
      <c r="E1815" t="str">
        <f t="shared" si="168"/>
        <v xml:space="preserve"> 💚 E0.6 green heart</v>
      </c>
      <c r="F1815" t="b">
        <f t="shared" si="173"/>
        <v>1</v>
      </c>
      <c r="G1815" t="str">
        <f t="shared" si="169"/>
        <v>1F49A</v>
      </c>
      <c r="I1815">
        <f>HEX2DEC(Table1[[#This Row],[utf8]])</f>
        <v>128154</v>
      </c>
      <c r="J1815" t="str">
        <f>_xlfn.UNICHAR(HEX2DEC(Table1[[#This Row],[utf8]]))</f>
        <v>💚</v>
      </c>
      <c r="K1815" s="3" t="str" cm="1">
        <f t="array" ref="K1815">"Case "&amp;wRandomLetter()&amp;wRandomLetter()&amp;I1815&amp;":    UniConst = ChrW(" &amp; I1815 &amp;")"</f>
        <v>Case Ak128154:    UniConst = ChrW(128154)</v>
      </c>
    </row>
    <row r="1816" spans="1:11" hidden="1">
      <c r="A1816" t="s">
        <v>159</v>
      </c>
      <c r="B1816" t="str">
        <f t="shared" si="170"/>
        <v>1F49B ; fully-qualified # 💛 E0.6 yellow heart</v>
      </c>
      <c r="C1816" t="str">
        <f t="shared" si="171"/>
        <v xml:space="preserve">1F49B </v>
      </c>
      <c r="D1816">
        <f t="shared" si="172"/>
        <v>6</v>
      </c>
      <c r="E1816" t="str">
        <f t="shared" si="168"/>
        <v xml:space="preserve"> 💛 E0.6 yellow heart</v>
      </c>
      <c r="F1816" t="b">
        <f t="shared" si="173"/>
        <v>1</v>
      </c>
      <c r="G1816" t="str">
        <f t="shared" si="169"/>
        <v>1F49B</v>
      </c>
      <c r="I1816">
        <f>HEX2DEC(Table1[[#This Row],[utf8]])</f>
        <v>128155</v>
      </c>
      <c r="J1816" t="str">
        <f>_xlfn.UNICHAR(HEX2DEC(Table1[[#This Row],[utf8]]))</f>
        <v>💛</v>
      </c>
      <c r="K1816" s="3" t="str" cm="1">
        <f t="array" ref="K1816">"Case "&amp;wRandomLetter()&amp;wRandomLetter()&amp;I1816&amp;":    UniConst = ChrW(" &amp; I1816 &amp;")"</f>
        <v>Case ae128155:    UniConst = ChrW(128155)</v>
      </c>
    </row>
    <row r="1817" spans="1:11" hidden="1">
      <c r="A1817" t="s">
        <v>162</v>
      </c>
      <c r="B1817" t="str">
        <f t="shared" si="170"/>
        <v>1F49C ; fully-qualified # 💜 E0.6 purple heart</v>
      </c>
      <c r="C1817" t="str">
        <f t="shared" si="171"/>
        <v xml:space="preserve">1F49C </v>
      </c>
      <c r="D1817">
        <f t="shared" si="172"/>
        <v>6</v>
      </c>
      <c r="E1817" t="str">
        <f t="shared" si="168"/>
        <v xml:space="preserve"> 💜 E0.6 purple heart</v>
      </c>
      <c r="F1817" t="b">
        <f t="shared" si="173"/>
        <v>1</v>
      </c>
      <c r="G1817" t="str">
        <f t="shared" si="169"/>
        <v>1F49C</v>
      </c>
      <c r="I1817">
        <f>HEX2DEC(Table1[[#This Row],[utf8]])</f>
        <v>128156</v>
      </c>
      <c r="J1817" t="str">
        <f>_xlfn.UNICHAR(HEX2DEC(Table1[[#This Row],[utf8]]))</f>
        <v>💜</v>
      </c>
      <c r="K1817" s="3" t="str" cm="1">
        <f t="array" ref="K1817">"Case "&amp;wRandomLetter()&amp;wRandomLetter()&amp;I1817&amp;":    UniConst = ChrW(" &amp; I1817 &amp;")"</f>
        <v>Case jG128156:    UniConst = ChrW(128156)</v>
      </c>
    </row>
    <row r="1818" spans="1:11" hidden="1">
      <c r="A1818" t="s">
        <v>142</v>
      </c>
      <c r="B1818" t="str">
        <f t="shared" si="170"/>
        <v>1F49D ; fully-qualified # 💝 E0.6 heart with ribbon</v>
      </c>
      <c r="C1818" t="str">
        <f t="shared" si="171"/>
        <v xml:space="preserve">1F49D </v>
      </c>
      <c r="D1818">
        <f t="shared" si="172"/>
        <v>6</v>
      </c>
      <c r="E1818" t="str">
        <f t="shared" si="168"/>
        <v xml:space="preserve"> 💝 E0.6 heart with ribbon</v>
      </c>
      <c r="F1818" t="b">
        <f t="shared" si="173"/>
        <v>1</v>
      </c>
      <c r="G1818" t="str">
        <f t="shared" si="169"/>
        <v>1F49D</v>
      </c>
      <c r="I1818">
        <f>HEX2DEC(Table1[[#This Row],[utf8]])</f>
        <v>128157</v>
      </c>
      <c r="J1818" t="str">
        <f>_xlfn.UNICHAR(HEX2DEC(Table1[[#This Row],[utf8]]))</f>
        <v>💝</v>
      </c>
      <c r="K1818" s="3" t="str" cm="1">
        <f t="array" ref="K1818">"Case "&amp;wRandomLetter()&amp;wRandomLetter()&amp;I1818&amp;":    UniConst = ChrW(" &amp; I1818 &amp;")"</f>
        <v>Case pJ128157:    UniConst = ChrW(128157)</v>
      </c>
    </row>
    <row r="1819" spans="1:11" hidden="1">
      <c r="A1819" t="s">
        <v>146</v>
      </c>
      <c r="B1819" t="str">
        <f t="shared" si="170"/>
        <v>1F49E ; fully-qualified # 💞 E0.6 revolving hearts</v>
      </c>
      <c r="C1819" t="str">
        <f t="shared" si="171"/>
        <v xml:space="preserve">1F49E </v>
      </c>
      <c r="D1819">
        <f t="shared" si="172"/>
        <v>6</v>
      </c>
      <c r="E1819" t="str">
        <f t="shared" si="168"/>
        <v xml:space="preserve"> 💞 E0.6 revolving hearts</v>
      </c>
      <c r="F1819" t="b">
        <f t="shared" si="173"/>
        <v>1</v>
      </c>
      <c r="G1819" t="str">
        <f t="shared" si="169"/>
        <v>1F49E</v>
      </c>
      <c r="I1819">
        <f>HEX2DEC(Table1[[#This Row],[utf8]])</f>
        <v>128158</v>
      </c>
      <c r="J1819" t="str">
        <f>_xlfn.UNICHAR(HEX2DEC(Table1[[#This Row],[utf8]]))</f>
        <v>💞</v>
      </c>
      <c r="K1819" s="3" t="str" cm="1">
        <f t="array" ref="K1819">"Case "&amp;wRandomLetter()&amp;wRandomLetter()&amp;I1819&amp;":    UniConst = ChrW(" &amp; I1819 &amp;")"</f>
        <v>Case FO128158:    UniConst = ChrW(128158)</v>
      </c>
    </row>
    <row r="1820" spans="1:11" hidden="1">
      <c r="A1820" t="s">
        <v>148</v>
      </c>
      <c r="B1820" t="str">
        <f t="shared" si="170"/>
        <v>1F49F ; fully-qualified # 💟 E0.6 heart decoration</v>
      </c>
      <c r="C1820" t="str">
        <f t="shared" si="171"/>
        <v xml:space="preserve">1F49F </v>
      </c>
      <c r="D1820">
        <f t="shared" si="172"/>
        <v>6</v>
      </c>
      <c r="E1820" t="str">
        <f t="shared" si="168"/>
        <v xml:space="preserve"> 💟 E0.6 heart decoration</v>
      </c>
      <c r="F1820" t="b">
        <f t="shared" si="173"/>
        <v>1</v>
      </c>
      <c r="G1820" t="str">
        <f t="shared" si="169"/>
        <v>1F49F</v>
      </c>
      <c r="I1820">
        <f>HEX2DEC(Table1[[#This Row],[utf8]])</f>
        <v>128159</v>
      </c>
      <c r="J1820" t="str">
        <f>_xlfn.UNICHAR(HEX2DEC(Table1[[#This Row],[utf8]]))</f>
        <v>💟</v>
      </c>
      <c r="K1820" s="3" t="str" cm="1">
        <f t="array" ref="K1820">"Case "&amp;wRandomLetter()&amp;wRandomLetter()&amp;I1820&amp;":    UniConst = ChrW(" &amp; I1820 &amp;")"</f>
        <v>Case Ww128159:    UniConst = ChrW(128159)</v>
      </c>
    </row>
    <row r="1821" spans="1:11" hidden="1">
      <c r="A1821" t="s">
        <v>4433</v>
      </c>
      <c r="B1821" t="str">
        <f t="shared" si="170"/>
        <v>1F4A0 ; fully-qualified # 💠 E0.6 diamond with a dot</v>
      </c>
      <c r="C1821" t="str">
        <f t="shared" si="171"/>
        <v xml:space="preserve">1F4A0 </v>
      </c>
      <c r="D1821">
        <f t="shared" si="172"/>
        <v>6</v>
      </c>
      <c r="E1821" t="str">
        <f t="shared" si="168"/>
        <v xml:space="preserve"> 💠 E0.6 diamond with a dot</v>
      </c>
      <c r="F1821" t="b">
        <f t="shared" si="173"/>
        <v>1</v>
      </c>
      <c r="G1821" t="str">
        <f t="shared" si="169"/>
        <v>1F4A0</v>
      </c>
      <c r="I1821">
        <f>HEX2DEC(Table1[[#This Row],[utf8]])</f>
        <v>128160</v>
      </c>
      <c r="J1821" t="str">
        <f>_xlfn.UNICHAR(HEX2DEC(Table1[[#This Row],[utf8]]))</f>
        <v>💠</v>
      </c>
      <c r="K1821" s="3" t="str" cm="1">
        <f t="array" ref="K1821">"Case "&amp;wRandomLetter()&amp;wRandomLetter()&amp;I1821&amp;":    UniConst = ChrW(" &amp; I1821 &amp;")"</f>
        <v>Case Fn128160:    UniConst = ChrW(128160)</v>
      </c>
    </row>
    <row r="1822" spans="1:11" hidden="1">
      <c r="A1822" t="s">
        <v>3927</v>
      </c>
      <c r="B1822" t="str">
        <f t="shared" si="170"/>
        <v>1F4A1 ; fully-qualified # 💡 E0.6 light bulb</v>
      </c>
      <c r="C1822" t="str">
        <f t="shared" si="171"/>
        <v xml:space="preserve">1F4A1 </v>
      </c>
      <c r="D1822">
        <f t="shared" si="172"/>
        <v>6</v>
      </c>
      <c r="E1822" t="str">
        <f t="shared" si="168"/>
        <v xml:space="preserve"> 💡 E0.6 light bulb</v>
      </c>
      <c r="F1822" t="b">
        <f t="shared" si="173"/>
        <v>1</v>
      </c>
      <c r="G1822" t="str">
        <f t="shared" si="169"/>
        <v>1F4A1</v>
      </c>
      <c r="I1822">
        <f>HEX2DEC(Table1[[#This Row],[utf8]])</f>
        <v>128161</v>
      </c>
      <c r="J1822" t="str">
        <f>_xlfn.UNICHAR(HEX2DEC(Table1[[#This Row],[utf8]]))</f>
        <v>💡</v>
      </c>
      <c r="K1822" s="3" t="str" cm="1">
        <f t="array" ref="K1822">"Case "&amp;wRandomLetter()&amp;wRandomLetter()&amp;I1822&amp;":    UniConst = ChrW(" &amp; I1822 &amp;")"</f>
        <v>Case Rd128161:    UniConst = ChrW(128161)</v>
      </c>
    </row>
    <row r="1823" spans="1:11" hidden="1">
      <c r="A1823" t="s">
        <v>167</v>
      </c>
      <c r="B1823" t="str">
        <f t="shared" si="170"/>
        <v>1F4A2 ; fully-qualified # 💢 E0.6 anger symbol</v>
      </c>
      <c r="C1823" t="str">
        <f t="shared" si="171"/>
        <v xml:space="preserve">1F4A2 </v>
      </c>
      <c r="D1823">
        <f t="shared" si="172"/>
        <v>6</v>
      </c>
      <c r="E1823" t="str">
        <f t="shared" si="168"/>
        <v xml:space="preserve"> 💢 E0.6 anger symbol</v>
      </c>
      <c r="F1823" t="b">
        <f t="shared" si="173"/>
        <v>1</v>
      </c>
      <c r="G1823" t="str">
        <f t="shared" si="169"/>
        <v>1F4A2</v>
      </c>
      <c r="I1823">
        <f>HEX2DEC(Table1[[#This Row],[utf8]])</f>
        <v>128162</v>
      </c>
      <c r="J1823" t="str">
        <f>_xlfn.UNICHAR(HEX2DEC(Table1[[#This Row],[utf8]]))</f>
        <v>💢</v>
      </c>
      <c r="K1823" s="3" t="str" cm="1">
        <f t="array" ref="K1823">"Case "&amp;wRandomLetter()&amp;wRandomLetter()&amp;I1823&amp;":    UniConst = ChrW(" &amp; I1823 &amp;")"</f>
        <v>Case TP128162:    UniConst = ChrW(128162)</v>
      </c>
    </row>
    <row r="1824" spans="1:11" hidden="1">
      <c r="A1824" t="s">
        <v>174</v>
      </c>
      <c r="B1824" t="str">
        <f t="shared" si="170"/>
        <v>1F4A3 ; fully-qualified # 💣 E0.6 bomb</v>
      </c>
      <c r="C1824" t="str">
        <f t="shared" si="171"/>
        <v xml:space="preserve">1F4A3 </v>
      </c>
      <c r="D1824">
        <f t="shared" si="172"/>
        <v>6</v>
      </c>
      <c r="E1824" t="str">
        <f t="shared" si="168"/>
        <v xml:space="preserve"> 💣 E0.6 bomb</v>
      </c>
      <c r="F1824" t="b">
        <f t="shared" si="173"/>
        <v>1</v>
      </c>
      <c r="G1824" t="str">
        <f t="shared" si="169"/>
        <v>1F4A3</v>
      </c>
      <c r="I1824">
        <f>HEX2DEC(Table1[[#This Row],[utf8]])</f>
        <v>128163</v>
      </c>
      <c r="J1824" t="str">
        <f>_xlfn.UNICHAR(HEX2DEC(Table1[[#This Row],[utf8]]))</f>
        <v>💣</v>
      </c>
      <c r="K1824" s="3" t="str" cm="1">
        <f t="array" ref="K1824">"Case "&amp;wRandomLetter()&amp;wRandomLetter()&amp;I1824&amp;":    UniConst = ChrW(" &amp; I1824 &amp;")"</f>
        <v>Case af128163:    UniConst = ChrW(128163)</v>
      </c>
    </row>
    <row r="1825" spans="1:11" hidden="1">
      <c r="A1825" t="s">
        <v>185</v>
      </c>
      <c r="B1825" t="str">
        <f t="shared" si="170"/>
        <v>1F4A4 ; fully-qualified # 💤 E0.6 zzz</v>
      </c>
      <c r="C1825" t="str">
        <f t="shared" si="171"/>
        <v xml:space="preserve">1F4A4 </v>
      </c>
      <c r="D1825">
        <f t="shared" si="172"/>
        <v>6</v>
      </c>
      <c r="E1825" t="str">
        <f t="shared" si="168"/>
        <v xml:space="preserve"> 💤 E0.6 zzz</v>
      </c>
      <c r="F1825" t="b">
        <f t="shared" si="173"/>
        <v>1</v>
      </c>
      <c r="G1825" t="str">
        <f t="shared" si="169"/>
        <v>1F4A4</v>
      </c>
      <c r="I1825">
        <f>HEX2DEC(Table1[[#This Row],[utf8]])</f>
        <v>128164</v>
      </c>
      <c r="J1825" t="str">
        <f>_xlfn.UNICHAR(HEX2DEC(Table1[[#This Row],[utf8]]))</f>
        <v>💤</v>
      </c>
      <c r="K1825" s="3" t="str" cm="1">
        <f t="array" ref="K1825">"Case "&amp;wRandomLetter()&amp;wRandomLetter()&amp;I1825&amp;":    UniConst = ChrW(" &amp; I1825 &amp;")"</f>
        <v>Case zE128164:    UniConst = ChrW(128164)</v>
      </c>
    </row>
    <row r="1826" spans="1:11" hidden="1">
      <c r="A1826" t="s">
        <v>168</v>
      </c>
      <c r="B1826" t="str">
        <f t="shared" si="170"/>
        <v>1F4A5 ; fully-qualified # 💥 E0.6 collision</v>
      </c>
      <c r="C1826" t="str">
        <f t="shared" si="171"/>
        <v xml:space="preserve">1F4A5 </v>
      </c>
      <c r="D1826">
        <f t="shared" si="172"/>
        <v>6</v>
      </c>
      <c r="E1826" t="str">
        <f t="shared" si="168"/>
        <v xml:space="preserve"> 💥 E0.6 collision</v>
      </c>
      <c r="F1826" t="b">
        <f t="shared" si="173"/>
        <v>1</v>
      </c>
      <c r="G1826" t="str">
        <f t="shared" si="169"/>
        <v>1F4A5</v>
      </c>
      <c r="I1826">
        <f>HEX2DEC(Table1[[#This Row],[utf8]])</f>
        <v>128165</v>
      </c>
      <c r="J1826" t="str">
        <f>_xlfn.UNICHAR(HEX2DEC(Table1[[#This Row],[utf8]]))</f>
        <v>💥</v>
      </c>
      <c r="K1826" s="3" t="str" cm="1">
        <f t="array" ref="K1826">"Case "&amp;wRandomLetter()&amp;wRandomLetter()&amp;I1826&amp;":    UniConst = ChrW(" &amp; I1826 &amp;")"</f>
        <v>Case tr128165:    UniConst = ChrW(128165)</v>
      </c>
    </row>
    <row r="1827" spans="1:11" hidden="1">
      <c r="A1827" t="s">
        <v>170</v>
      </c>
      <c r="B1827" t="str">
        <f t="shared" si="170"/>
        <v>1F4A6 ; fully-qualified # 💦 E0.6 sweat droplets</v>
      </c>
      <c r="C1827" t="str">
        <f t="shared" si="171"/>
        <v xml:space="preserve">1F4A6 </v>
      </c>
      <c r="D1827">
        <f t="shared" si="172"/>
        <v>6</v>
      </c>
      <c r="E1827" t="str">
        <f t="shared" si="168"/>
        <v xml:space="preserve"> 💦 E0.6 sweat droplets</v>
      </c>
      <c r="F1827" t="b">
        <f t="shared" si="173"/>
        <v>1</v>
      </c>
      <c r="G1827" t="str">
        <f t="shared" si="169"/>
        <v>1F4A6</v>
      </c>
      <c r="I1827">
        <f>HEX2DEC(Table1[[#This Row],[utf8]])</f>
        <v>128166</v>
      </c>
      <c r="J1827" t="str">
        <f>_xlfn.UNICHAR(HEX2DEC(Table1[[#This Row],[utf8]]))</f>
        <v>💦</v>
      </c>
      <c r="K1827" s="3" t="str" cm="1">
        <f t="array" ref="K1827">"Case "&amp;wRandomLetter()&amp;wRandomLetter()&amp;I1827&amp;":    UniConst = ChrW(" &amp; I1827 &amp;")"</f>
        <v>Case PH128166:    UniConst = ChrW(128166)</v>
      </c>
    </row>
    <row r="1828" spans="1:11" hidden="1">
      <c r="A1828" t="s">
        <v>3694</v>
      </c>
      <c r="B1828" t="str">
        <f t="shared" si="170"/>
        <v>1F4A7 ; fully-qualified # 💧 E0.6 droplet</v>
      </c>
      <c r="C1828" t="str">
        <f t="shared" si="171"/>
        <v xml:space="preserve">1F4A7 </v>
      </c>
      <c r="D1828">
        <f t="shared" si="172"/>
        <v>6</v>
      </c>
      <c r="E1828" t="str">
        <f t="shared" si="168"/>
        <v xml:space="preserve"> 💧 E0.6 droplet</v>
      </c>
      <c r="F1828" t="b">
        <f t="shared" si="173"/>
        <v>1</v>
      </c>
      <c r="G1828" t="str">
        <f t="shared" si="169"/>
        <v>1F4A7</v>
      </c>
      <c r="I1828">
        <f>HEX2DEC(Table1[[#This Row],[utf8]])</f>
        <v>128167</v>
      </c>
      <c r="J1828" t="str">
        <f>_xlfn.UNICHAR(HEX2DEC(Table1[[#This Row],[utf8]]))</f>
        <v>💧</v>
      </c>
      <c r="K1828" s="3" t="str" cm="1">
        <f t="array" ref="K1828">"Case "&amp;wRandomLetter()&amp;wRandomLetter()&amp;I1828&amp;":    UniConst = ChrW(" &amp; I1828 &amp;")"</f>
        <v>Case wy128167:    UniConst = ChrW(128167)</v>
      </c>
    </row>
    <row r="1829" spans="1:11" hidden="1">
      <c r="A1829" t="s">
        <v>171</v>
      </c>
      <c r="B1829" t="str">
        <f t="shared" si="170"/>
        <v>1F4A8 ; fully-qualified # 💨 E0.6 dashing away</v>
      </c>
      <c r="C1829" t="str">
        <f t="shared" si="171"/>
        <v xml:space="preserve">1F4A8 </v>
      </c>
      <c r="D1829">
        <f t="shared" si="172"/>
        <v>6</v>
      </c>
      <c r="E1829" t="str">
        <f t="shared" si="168"/>
        <v xml:space="preserve"> 💨 E0.6 dashing away</v>
      </c>
      <c r="F1829" t="b">
        <f t="shared" si="173"/>
        <v>1</v>
      </c>
      <c r="G1829" t="str">
        <f t="shared" si="169"/>
        <v>1F4A8</v>
      </c>
      <c r="I1829">
        <f>HEX2DEC(Table1[[#This Row],[utf8]])</f>
        <v>128168</v>
      </c>
      <c r="J1829" t="str">
        <f>_xlfn.UNICHAR(HEX2DEC(Table1[[#This Row],[utf8]]))</f>
        <v>💨</v>
      </c>
      <c r="K1829" s="3" t="str" cm="1">
        <f t="array" ref="K1829">"Case "&amp;wRandomLetter()&amp;wRandomLetter()&amp;I1829&amp;":    UniConst = ChrW(" &amp; I1829 &amp;")"</f>
        <v>Case nh128168:    UniConst = ChrW(128168)</v>
      </c>
    </row>
    <row r="1830" spans="1:11" hidden="1">
      <c r="A1830" t="s">
        <v>116</v>
      </c>
      <c r="B1830" t="str">
        <f t="shared" si="170"/>
        <v>1F4A9 ; fully-qualified # 💩 E0.6 pile of poo</v>
      </c>
      <c r="C1830" t="str">
        <f t="shared" si="171"/>
        <v xml:space="preserve">1F4A9 </v>
      </c>
      <c r="D1830">
        <f t="shared" si="172"/>
        <v>6</v>
      </c>
      <c r="E1830" t="str">
        <f t="shared" si="168"/>
        <v xml:space="preserve"> 💩 E0.6 pile of poo</v>
      </c>
      <c r="F1830" t="b">
        <f t="shared" si="173"/>
        <v>1</v>
      </c>
      <c r="G1830" t="str">
        <f t="shared" si="169"/>
        <v>1F4A9</v>
      </c>
      <c r="I1830">
        <f>HEX2DEC(Table1[[#This Row],[utf8]])</f>
        <v>128169</v>
      </c>
      <c r="J1830" t="str">
        <f>_xlfn.UNICHAR(HEX2DEC(Table1[[#This Row],[utf8]]))</f>
        <v>💩</v>
      </c>
      <c r="K1830" s="3" t="str" cm="1">
        <f t="array" ref="K1830">"Case "&amp;wRandomLetter()&amp;wRandomLetter()&amp;I1830&amp;":    UniConst = ChrW(" &amp; I1830 &amp;")"</f>
        <v>Case oI128169:    UniConst = ChrW(128169)</v>
      </c>
    </row>
    <row r="1831" spans="1:11" hidden="1">
      <c r="A1831" t="s">
        <v>399</v>
      </c>
      <c r="B1831" t="str">
        <f t="shared" si="170"/>
        <v>1F4AA ; fully-qualified # 💪 E0.6 flexed biceps</v>
      </c>
      <c r="C1831" t="str">
        <f t="shared" si="171"/>
        <v xml:space="preserve">1F4AA </v>
      </c>
      <c r="D1831">
        <f t="shared" si="172"/>
        <v>6</v>
      </c>
      <c r="E1831" t="str">
        <f t="shared" si="168"/>
        <v xml:space="preserve"> 💪 E0.6 flexed biceps</v>
      </c>
      <c r="F1831" t="b">
        <f t="shared" si="173"/>
        <v>1</v>
      </c>
      <c r="G1831" t="str">
        <f t="shared" si="169"/>
        <v>1F4AA</v>
      </c>
      <c r="I1831">
        <f>HEX2DEC(Table1[[#This Row],[utf8]])</f>
        <v>128170</v>
      </c>
      <c r="J1831" t="str">
        <f>_xlfn.UNICHAR(HEX2DEC(Table1[[#This Row],[utf8]]))</f>
        <v>💪</v>
      </c>
      <c r="K1831" s="3" t="str" cm="1">
        <f t="array" ref="K1831">"Case "&amp;wRandomLetter()&amp;wRandomLetter()&amp;I1831&amp;":    UniConst = ChrW(" &amp; I1831 &amp;")"</f>
        <v>Case SG128170:    UniConst = ChrW(128170)</v>
      </c>
    </row>
    <row r="1832" spans="1:11" hidden="1">
      <c r="A1832" t="s">
        <v>400</v>
      </c>
      <c r="B1832" t="str">
        <f t="shared" si="170"/>
        <v>1F4AA 1F3FB ; fully-qualified # 💪🏻 E1.0 flexed biceps: light skin tone</v>
      </c>
      <c r="C1832" t="str">
        <f t="shared" si="171"/>
        <v xml:space="preserve">1F4AA 1F3FB </v>
      </c>
      <c r="D1832">
        <f t="shared" si="172"/>
        <v>12</v>
      </c>
      <c r="E1832" t="str">
        <f t="shared" si="168"/>
        <v xml:space="preserve"> 💪🏻 E1.0 flexed biceps: light skin tone</v>
      </c>
      <c r="F1832" t="b">
        <f t="shared" si="173"/>
        <v>1</v>
      </c>
      <c r="G1832" t="str">
        <f t="shared" si="169"/>
        <v>1F4AA</v>
      </c>
      <c r="I1832">
        <f>HEX2DEC(Table1[[#This Row],[utf8]])</f>
        <v>128170</v>
      </c>
      <c r="J1832" t="str">
        <f>_xlfn.UNICHAR(HEX2DEC(Table1[[#This Row],[utf8]]))</f>
        <v>💪</v>
      </c>
      <c r="K1832" s="3" t="str" cm="1">
        <f t="array" ref="K1832">"Case "&amp;wRandomLetter()&amp;wRandomLetter()&amp;I1832&amp;":    UniConst = ChrW(" &amp; I1832 &amp;")"</f>
        <v>Case uT128170:    UniConst = ChrW(128170)</v>
      </c>
    </row>
    <row r="1833" spans="1:11" hidden="1">
      <c r="A1833" t="s">
        <v>401</v>
      </c>
      <c r="B1833" t="str">
        <f t="shared" si="170"/>
        <v>1F4AA 1F3FC ; fully-qualified # 💪🏼 E1.0 flexed biceps: medium-light skin tone</v>
      </c>
      <c r="C1833" t="str">
        <f t="shared" si="171"/>
        <v xml:space="preserve">1F4AA 1F3FC </v>
      </c>
      <c r="D1833">
        <f t="shared" si="172"/>
        <v>12</v>
      </c>
      <c r="E1833" t="str">
        <f t="shared" si="168"/>
        <v xml:space="preserve"> 💪🏼 E1.0 flexed biceps: medium-light skin tone</v>
      </c>
      <c r="F1833" t="b">
        <f t="shared" si="173"/>
        <v>1</v>
      </c>
      <c r="G1833" t="str">
        <f t="shared" si="169"/>
        <v>1F4AA</v>
      </c>
      <c r="I1833">
        <f>HEX2DEC(Table1[[#This Row],[utf8]])</f>
        <v>128170</v>
      </c>
      <c r="J1833" t="str">
        <f>_xlfn.UNICHAR(HEX2DEC(Table1[[#This Row],[utf8]]))</f>
        <v>💪</v>
      </c>
      <c r="K1833" s="3" t="str" cm="1">
        <f t="array" ref="K1833">"Case "&amp;wRandomLetter()&amp;wRandomLetter()&amp;I1833&amp;":    UniConst = ChrW(" &amp; I1833 &amp;")"</f>
        <v>Case Dz128170:    UniConst = ChrW(128170)</v>
      </c>
    </row>
    <row r="1834" spans="1:11" hidden="1">
      <c r="A1834" t="s">
        <v>402</v>
      </c>
      <c r="B1834" t="str">
        <f t="shared" si="170"/>
        <v>1F4AA 1F3FD ; fully-qualified # 💪🏽 E1.0 flexed biceps: medium skin tone</v>
      </c>
      <c r="C1834" t="str">
        <f t="shared" si="171"/>
        <v xml:space="preserve">1F4AA 1F3FD </v>
      </c>
      <c r="D1834">
        <f t="shared" si="172"/>
        <v>12</v>
      </c>
      <c r="E1834" t="str">
        <f t="shared" si="168"/>
        <v xml:space="preserve"> 💪🏽 E1.0 flexed biceps: medium skin tone</v>
      </c>
      <c r="F1834" t="b">
        <f t="shared" si="173"/>
        <v>1</v>
      </c>
      <c r="G1834" t="str">
        <f t="shared" si="169"/>
        <v>1F4AA</v>
      </c>
      <c r="I1834">
        <f>HEX2DEC(Table1[[#This Row],[utf8]])</f>
        <v>128170</v>
      </c>
      <c r="J1834" t="str">
        <f>_xlfn.UNICHAR(HEX2DEC(Table1[[#This Row],[utf8]]))</f>
        <v>💪</v>
      </c>
      <c r="K1834" s="3" t="str" cm="1">
        <f t="array" ref="K1834">"Case "&amp;wRandomLetter()&amp;wRandomLetter()&amp;I1834&amp;":    UniConst = ChrW(" &amp; I1834 &amp;")"</f>
        <v>Case ij128170:    UniConst = ChrW(128170)</v>
      </c>
    </row>
    <row r="1835" spans="1:11" hidden="1">
      <c r="A1835" t="s">
        <v>403</v>
      </c>
      <c r="B1835" t="str">
        <f t="shared" si="170"/>
        <v>1F4AA 1F3FE ; fully-qualified # 💪🏾 E1.0 flexed biceps: medium-dark skin tone</v>
      </c>
      <c r="C1835" t="str">
        <f t="shared" si="171"/>
        <v xml:space="preserve">1F4AA 1F3FE </v>
      </c>
      <c r="D1835">
        <f t="shared" si="172"/>
        <v>12</v>
      </c>
      <c r="E1835" t="str">
        <f t="shared" si="168"/>
        <v xml:space="preserve"> 💪🏾 E1.0 flexed biceps: medium-dark skin tone</v>
      </c>
      <c r="F1835" t="b">
        <f t="shared" si="173"/>
        <v>1</v>
      </c>
      <c r="G1835" t="str">
        <f t="shared" si="169"/>
        <v>1F4AA</v>
      </c>
      <c r="I1835">
        <f>HEX2DEC(Table1[[#This Row],[utf8]])</f>
        <v>128170</v>
      </c>
      <c r="J1835" t="str">
        <f>_xlfn.UNICHAR(HEX2DEC(Table1[[#This Row],[utf8]]))</f>
        <v>💪</v>
      </c>
      <c r="K1835" s="3" t="str" cm="1">
        <f t="array" ref="K1835">"Case "&amp;wRandomLetter()&amp;wRandomLetter()&amp;I1835&amp;":    UniConst = ChrW(" &amp; I1835 &amp;")"</f>
        <v>Case YQ128170:    UniConst = ChrW(128170)</v>
      </c>
    </row>
    <row r="1836" spans="1:11" hidden="1">
      <c r="A1836" t="s">
        <v>404</v>
      </c>
      <c r="B1836" t="str">
        <f t="shared" si="170"/>
        <v>1F4AA 1F3FF ; fully-qualified # 💪🏿 E1.0 flexed biceps: dark skin tone</v>
      </c>
      <c r="C1836" t="str">
        <f t="shared" si="171"/>
        <v xml:space="preserve">1F4AA 1F3FF </v>
      </c>
      <c r="D1836">
        <f t="shared" si="172"/>
        <v>12</v>
      </c>
      <c r="E1836" t="str">
        <f t="shared" si="168"/>
        <v xml:space="preserve"> 💪🏿 E1.0 flexed biceps: dark skin tone</v>
      </c>
      <c r="F1836" t="b">
        <f t="shared" si="173"/>
        <v>1</v>
      </c>
      <c r="G1836" t="str">
        <f t="shared" si="169"/>
        <v>1F4AA</v>
      </c>
      <c r="I1836">
        <f>HEX2DEC(Table1[[#This Row],[utf8]])</f>
        <v>128170</v>
      </c>
      <c r="J1836" t="str">
        <f>_xlfn.UNICHAR(HEX2DEC(Table1[[#This Row],[utf8]]))</f>
        <v>💪</v>
      </c>
      <c r="K1836" s="3" t="str" cm="1">
        <f t="array" ref="K1836">"Case "&amp;wRandomLetter()&amp;wRandomLetter()&amp;I1836&amp;":    UniConst = ChrW(" &amp; I1836 &amp;")"</f>
        <v>Case cu128170:    UniConst = ChrW(128170)</v>
      </c>
    </row>
    <row r="1837" spans="1:11" hidden="1">
      <c r="A1837" t="s">
        <v>169</v>
      </c>
      <c r="B1837" t="str">
        <f t="shared" si="170"/>
        <v>1F4AB ; fully-qualified # 💫 E0.6 dizzy</v>
      </c>
      <c r="C1837" t="str">
        <f t="shared" si="171"/>
        <v xml:space="preserve">1F4AB </v>
      </c>
      <c r="D1837">
        <f t="shared" si="172"/>
        <v>6</v>
      </c>
      <c r="E1837" t="str">
        <f t="shared" si="168"/>
        <v xml:space="preserve"> 💫 E0.6 dizzy</v>
      </c>
      <c r="F1837" t="b">
        <f t="shared" si="173"/>
        <v>1</v>
      </c>
      <c r="G1837" t="str">
        <f t="shared" si="169"/>
        <v>1F4AB</v>
      </c>
      <c r="I1837">
        <f>HEX2DEC(Table1[[#This Row],[utf8]])</f>
        <v>128171</v>
      </c>
      <c r="J1837" t="str">
        <f>_xlfn.UNICHAR(HEX2DEC(Table1[[#This Row],[utf8]]))</f>
        <v>💫</v>
      </c>
      <c r="K1837" s="3" t="str" cm="1">
        <f t="array" ref="K1837">"Case "&amp;wRandomLetter()&amp;wRandomLetter()&amp;I1837&amp;":    UniConst = ChrW(" &amp; I1837 &amp;")"</f>
        <v>Case mA128171:    UniConst = ChrW(128171)</v>
      </c>
    </row>
    <row r="1838" spans="1:11" hidden="1">
      <c r="A1838" t="s">
        <v>175</v>
      </c>
      <c r="B1838" t="str">
        <f t="shared" si="170"/>
        <v>1F4AC ; fully-qualified # 💬 E0.6 speech balloon</v>
      </c>
      <c r="C1838" t="str">
        <f t="shared" si="171"/>
        <v xml:space="preserve">1F4AC </v>
      </c>
      <c r="D1838">
        <f t="shared" si="172"/>
        <v>6</v>
      </c>
      <c r="E1838" t="str">
        <f t="shared" si="168"/>
        <v xml:space="preserve"> 💬 E0.6 speech balloon</v>
      </c>
      <c r="F1838" t="b">
        <f t="shared" si="173"/>
        <v>1</v>
      </c>
      <c r="G1838" t="str">
        <f t="shared" si="169"/>
        <v>1F4AC</v>
      </c>
      <c r="I1838">
        <f>HEX2DEC(Table1[[#This Row],[utf8]])</f>
        <v>128172</v>
      </c>
      <c r="J1838" t="str">
        <f>_xlfn.UNICHAR(HEX2DEC(Table1[[#This Row],[utf8]]))</f>
        <v>💬</v>
      </c>
      <c r="K1838" s="3" t="str" cm="1">
        <f t="array" ref="K1838">"Case "&amp;wRandomLetter()&amp;wRandomLetter()&amp;I1838&amp;":    UniConst = ChrW(" &amp; I1838 &amp;")"</f>
        <v>Case Cg128172:    UniConst = ChrW(128172)</v>
      </c>
    </row>
    <row r="1839" spans="1:11" hidden="1">
      <c r="A1839" t="s">
        <v>184</v>
      </c>
      <c r="B1839" t="str">
        <f t="shared" si="170"/>
        <v>1F4AD ; fully-qualified # 💭 E1.0 thought balloon</v>
      </c>
      <c r="C1839" t="str">
        <f t="shared" si="171"/>
        <v xml:space="preserve">1F4AD </v>
      </c>
      <c r="D1839">
        <f t="shared" si="172"/>
        <v>6</v>
      </c>
      <c r="E1839" t="str">
        <f t="shared" si="168"/>
        <v xml:space="preserve"> 💭 E1.0 thought balloon</v>
      </c>
      <c r="F1839" t="b">
        <f t="shared" si="173"/>
        <v>1</v>
      </c>
      <c r="G1839" t="str">
        <f t="shared" si="169"/>
        <v>1F4AD</v>
      </c>
      <c r="I1839">
        <f>HEX2DEC(Table1[[#This Row],[utf8]])</f>
        <v>128173</v>
      </c>
      <c r="J1839" t="str">
        <f>_xlfn.UNICHAR(HEX2DEC(Table1[[#This Row],[utf8]]))</f>
        <v>💭</v>
      </c>
      <c r="K1839" s="3" t="str" cm="1">
        <f t="array" ref="K1839">"Case "&amp;wRandomLetter()&amp;wRandomLetter()&amp;I1839&amp;":    UniConst = ChrW(" &amp; I1839 &amp;")"</f>
        <v>Case mO128173:    UniConst = ChrW(128173)</v>
      </c>
    </row>
    <row r="1840" spans="1:11" hidden="1">
      <c r="A1840" t="s">
        <v>3252</v>
      </c>
      <c r="B1840" t="str">
        <f t="shared" si="170"/>
        <v>1F4AE ; fully-qualified # 💮 E0.6 white flower</v>
      </c>
      <c r="C1840" t="str">
        <f t="shared" si="171"/>
        <v xml:space="preserve">1F4AE </v>
      </c>
      <c r="D1840">
        <f t="shared" si="172"/>
        <v>6</v>
      </c>
      <c r="E1840" t="str">
        <f t="shared" si="168"/>
        <v xml:space="preserve"> 💮 E0.6 white flower</v>
      </c>
      <c r="F1840" t="b">
        <f t="shared" si="173"/>
        <v>1</v>
      </c>
      <c r="G1840" t="str">
        <f t="shared" si="169"/>
        <v>1F4AE</v>
      </c>
      <c r="I1840">
        <f>HEX2DEC(Table1[[#This Row],[utf8]])</f>
        <v>128174</v>
      </c>
      <c r="J1840" t="str">
        <f>_xlfn.UNICHAR(HEX2DEC(Table1[[#This Row],[utf8]]))</f>
        <v>💮</v>
      </c>
      <c r="K1840" s="3" t="str" cm="1">
        <f t="array" ref="K1840">"Case "&amp;wRandomLetter()&amp;wRandomLetter()&amp;I1840&amp;":    UniConst = ChrW(" &amp; I1840 &amp;")"</f>
        <v>Case lA128174:    UniConst = ChrW(128174)</v>
      </c>
    </row>
    <row r="1841" spans="1:11" hidden="1">
      <c r="A1841" t="s">
        <v>166</v>
      </c>
      <c r="B1841" t="str">
        <f t="shared" si="170"/>
        <v>1F4AF ; fully-qualified # 💯 E0.6 hundred points</v>
      </c>
      <c r="C1841" t="str">
        <f t="shared" si="171"/>
        <v xml:space="preserve">1F4AF </v>
      </c>
      <c r="D1841">
        <f t="shared" si="172"/>
        <v>6</v>
      </c>
      <c r="E1841" t="str">
        <f t="shared" si="168"/>
        <v xml:space="preserve"> 💯 E0.6 hundred points</v>
      </c>
      <c r="F1841" t="b">
        <f t="shared" si="173"/>
        <v>1</v>
      </c>
      <c r="G1841" t="str">
        <f t="shared" si="169"/>
        <v>1F4AF</v>
      </c>
      <c r="I1841">
        <f>HEX2DEC(Table1[[#This Row],[utf8]])</f>
        <v>128175</v>
      </c>
      <c r="J1841" t="str">
        <f>_xlfn.UNICHAR(HEX2DEC(Table1[[#This Row],[utf8]]))</f>
        <v>💯</v>
      </c>
      <c r="K1841" s="3" t="str" cm="1">
        <f t="array" ref="K1841">"Case "&amp;wRandomLetter()&amp;wRandomLetter()&amp;I1841&amp;":    UniConst = ChrW(" &amp; I1841 &amp;")"</f>
        <v>Case tV128175:    UniConst = ChrW(128175)</v>
      </c>
    </row>
    <row r="1842" spans="1:11" hidden="1">
      <c r="A1842" t="s">
        <v>3952</v>
      </c>
      <c r="B1842" t="str">
        <f t="shared" si="170"/>
        <v>1F4B0 ; fully-qualified # 💰 E0.6 money bag</v>
      </c>
      <c r="C1842" t="str">
        <f t="shared" si="171"/>
        <v xml:space="preserve">1F4B0 </v>
      </c>
      <c r="D1842">
        <f t="shared" si="172"/>
        <v>6</v>
      </c>
      <c r="E1842" t="str">
        <f t="shared" si="168"/>
        <v xml:space="preserve"> 💰 E0.6 money bag</v>
      </c>
      <c r="F1842" t="b">
        <f t="shared" si="173"/>
        <v>1</v>
      </c>
      <c r="G1842" t="str">
        <f t="shared" si="169"/>
        <v>1F4B0</v>
      </c>
      <c r="I1842">
        <f>HEX2DEC(Table1[[#This Row],[utf8]])</f>
        <v>128176</v>
      </c>
      <c r="J1842" t="str">
        <f>_xlfn.UNICHAR(HEX2DEC(Table1[[#This Row],[utf8]]))</f>
        <v>💰</v>
      </c>
      <c r="K1842" s="3" t="str" cm="1">
        <f t="array" ref="K1842">"Case "&amp;wRandomLetter()&amp;wRandomLetter()&amp;I1842&amp;":    UniConst = ChrW(" &amp; I1842 &amp;")"</f>
        <v>Case PW128176:    UniConst = ChrW(128176)</v>
      </c>
    </row>
    <row r="1843" spans="1:11" hidden="1">
      <c r="A1843" t="s">
        <v>4286</v>
      </c>
      <c r="B1843" t="str">
        <f t="shared" si="170"/>
        <v>1F4B1 ; fully-qualified # 💱 E0.6 currency exchange</v>
      </c>
      <c r="C1843" t="str">
        <f t="shared" si="171"/>
        <v xml:space="preserve">1F4B1 </v>
      </c>
      <c r="D1843">
        <f t="shared" si="172"/>
        <v>6</v>
      </c>
      <c r="E1843" t="str">
        <f t="shared" si="168"/>
        <v xml:space="preserve"> 💱 E0.6 currency exchange</v>
      </c>
      <c r="F1843" t="b">
        <f t="shared" si="173"/>
        <v>1</v>
      </c>
      <c r="G1843" t="str">
        <f t="shared" si="169"/>
        <v>1F4B1</v>
      </c>
      <c r="I1843">
        <f>HEX2DEC(Table1[[#This Row],[utf8]])</f>
        <v>128177</v>
      </c>
      <c r="J1843" t="str">
        <f>_xlfn.UNICHAR(HEX2DEC(Table1[[#This Row],[utf8]]))</f>
        <v>💱</v>
      </c>
      <c r="K1843" s="3" t="str" cm="1">
        <f t="array" ref="K1843">"Case "&amp;wRandomLetter()&amp;wRandomLetter()&amp;I1843&amp;":    UniConst = ChrW(" &amp; I1843 &amp;")"</f>
        <v>Case DD128177:    UniConst = ChrW(128177)</v>
      </c>
    </row>
    <row r="1844" spans="1:11" hidden="1">
      <c r="A1844" t="s">
        <v>4287</v>
      </c>
      <c r="B1844" t="str">
        <f t="shared" si="170"/>
        <v>1F4B2 ; fully-qualified # 💲 E0.6 heavy dollar sign</v>
      </c>
      <c r="C1844" t="str">
        <f t="shared" si="171"/>
        <v xml:space="preserve">1F4B2 </v>
      </c>
      <c r="D1844">
        <f t="shared" si="172"/>
        <v>6</v>
      </c>
      <c r="E1844" t="str">
        <f t="shared" si="168"/>
        <v xml:space="preserve"> 💲 E0.6 heavy dollar sign</v>
      </c>
      <c r="F1844" t="b">
        <f t="shared" si="173"/>
        <v>1</v>
      </c>
      <c r="G1844" t="str">
        <f t="shared" si="169"/>
        <v>1F4B2</v>
      </c>
      <c r="I1844">
        <f>HEX2DEC(Table1[[#This Row],[utf8]])</f>
        <v>128178</v>
      </c>
      <c r="J1844" t="str">
        <f>_xlfn.UNICHAR(HEX2DEC(Table1[[#This Row],[utf8]]))</f>
        <v>💲</v>
      </c>
      <c r="K1844" s="3" t="str" cm="1">
        <f t="array" ref="K1844">"Case "&amp;wRandomLetter()&amp;wRandomLetter()&amp;I1844&amp;":    UniConst = ChrW(" &amp; I1844 &amp;")"</f>
        <v>Case en128178:    UniConst = ChrW(128178)</v>
      </c>
    </row>
    <row r="1845" spans="1:11" hidden="1">
      <c r="A1845" t="s">
        <v>3959</v>
      </c>
      <c r="B1845" t="str">
        <f t="shared" si="170"/>
        <v>1F4B3 ; fully-qualified # 💳 E0.6 credit card</v>
      </c>
      <c r="C1845" t="str">
        <f t="shared" si="171"/>
        <v xml:space="preserve">1F4B3 </v>
      </c>
      <c r="D1845">
        <f t="shared" si="172"/>
        <v>6</v>
      </c>
      <c r="E1845" t="str">
        <f t="shared" si="168"/>
        <v xml:space="preserve"> 💳 E0.6 credit card</v>
      </c>
      <c r="F1845" t="b">
        <f t="shared" si="173"/>
        <v>1</v>
      </c>
      <c r="G1845" t="str">
        <f t="shared" si="169"/>
        <v>1F4B3</v>
      </c>
      <c r="I1845">
        <f>HEX2DEC(Table1[[#This Row],[utf8]])</f>
        <v>128179</v>
      </c>
      <c r="J1845" t="str">
        <f>_xlfn.UNICHAR(HEX2DEC(Table1[[#This Row],[utf8]]))</f>
        <v>💳</v>
      </c>
      <c r="K1845" s="3" t="str" cm="1">
        <f t="array" ref="K1845">"Case "&amp;wRandomLetter()&amp;wRandomLetter()&amp;I1845&amp;":    UniConst = ChrW(" &amp; I1845 &amp;")"</f>
        <v>Case Hq128179:    UniConst = ChrW(128179)</v>
      </c>
    </row>
    <row r="1846" spans="1:11" hidden="1">
      <c r="A1846" t="s">
        <v>3954</v>
      </c>
      <c r="B1846" t="str">
        <f t="shared" si="170"/>
        <v>1F4B4 ; fully-qualified # 💴 E0.6 yen banknote</v>
      </c>
      <c r="C1846" t="str">
        <f t="shared" si="171"/>
        <v xml:space="preserve">1F4B4 </v>
      </c>
      <c r="D1846">
        <f t="shared" si="172"/>
        <v>6</v>
      </c>
      <c r="E1846" t="str">
        <f t="shared" si="168"/>
        <v xml:space="preserve"> 💴 E0.6 yen banknote</v>
      </c>
      <c r="F1846" t="b">
        <f t="shared" si="173"/>
        <v>1</v>
      </c>
      <c r="G1846" t="str">
        <f t="shared" si="169"/>
        <v>1F4B4</v>
      </c>
      <c r="I1846">
        <f>HEX2DEC(Table1[[#This Row],[utf8]])</f>
        <v>128180</v>
      </c>
      <c r="J1846" t="str">
        <f>_xlfn.UNICHAR(HEX2DEC(Table1[[#This Row],[utf8]]))</f>
        <v>💴</v>
      </c>
      <c r="K1846" s="3" t="str" cm="1">
        <f t="array" ref="K1846">"Case "&amp;wRandomLetter()&amp;wRandomLetter()&amp;I1846&amp;":    UniConst = ChrW(" &amp; I1846 &amp;")"</f>
        <v>Case SR128180:    UniConst = ChrW(128180)</v>
      </c>
    </row>
    <row r="1847" spans="1:11" hidden="1">
      <c r="A1847" t="s">
        <v>3955</v>
      </c>
      <c r="B1847" t="str">
        <f t="shared" si="170"/>
        <v>1F4B5 ; fully-qualified # 💵 E0.6 dollar banknote</v>
      </c>
      <c r="C1847" t="str">
        <f t="shared" si="171"/>
        <v xml:space="preserve">1F4B5 </v>
      </c>
      <c r="D1847">
        <f t="shared" si="172"/>
        <v>6</v>
      </c>
      <c r="E1847" t="str">
        <f t="shared" si="168"/>
        <v xml:space="preserve"> 💵 E0.6 dollar banknote</v>
      </c>
      <c r="F1847" t="b">
        <f t="shared" si="173"/>
        <v>1</v>
      </c>
      <c r="G1847" t="str">
        <f t="shared" si="169"/>
        <v>1F4B5</v>
      </c>
      <c r="I1847">
        <f>HEX2DEC(Table1[[#This Row],[utf8]])</f>
        <v>128181</v>
      </c>
      <c r="J1847" t="str">
        <f>_xlfn.UNICHAR(HEX2DEC(Table1[[#This Row],[utf8]]))</f>
        <v>💵</v>
      </c>
      <c r="K1847" s="3" t="str" cm="1">
        <f t="array" ref="K1847">"Case "&amp;wRandomLetter()&amp;wRandomLetter()&amp;I1847&amp;":    UniConst = ChrW(" &amp; I1847 &amp;")"</f>
        <v>Case xY128181:    UniConst = ChrW(128181)</v>
      </c>
    </row>
    <row r="1848" spans="1:11" hidden="1">
      <c r="A1848" t="s">
        <v>3956</v>
      </c>
      <c r="B1848" t="str">
        <f t="shared" si="170"/>
        <v>1F4B6 ; fully-qualified # 💶 E1.0 euro banknote</v>
      </c>
      <c r="C1848" t="str">
        <f t="shared" si="171"/>
        <v xml:space="preserve">1F4B6 </v>
      </c>
      <c r="D1848">
        <f t="shared" si="172"/>
        <v>6</v>
      </c>
      <c r="E1848" t="str">
        <f t="shared" si="168"/>
        <v xml:space="preserve"> 💶 E1.0 euro banknote</v>
      </c>
      <c r="F1848" t="b">
        <f t="shared" si="173"/>
        <v>1</v>
      </c>
      <c r="G1848" t="str">
        <f t="shared" si="169"/>
        <v>1F4B6</v>
      </c>
      <c r="I1848">
        <f>HEX2DEC(Table1[[#This Row],[utf8]])</f>
        <v>128182</v>
      </c>
      <c r="J1848" t="str">
        <f>_xlfn.UNICHAR(HEX2DEC(Table1[[#This Row],[utf8]]))</f>
        <v>💶</v>
      </c>
      <c r="K1848" s="3" t="str" cm="1">
        <f t="array" ref="K1848">"Case "&amp;wRandomLetter()&amp;wRandomLetter()&amp;I1848&amp;":    UniConst = ChrW(" &amp; I1848 &amp;")"</f>
        <v>Case sK128182:    UniConst = ChrW(128182)</v>
      </c>
    </row>
    <row r="1849" spans="1:11" hidden="1">
      <c r="A1849" t="s">
        <v>3957</v>
      </c>
      <c r="B1849" t="str">
        <f t="shared" si="170"/>
        <v>1F4B7 ; fully-qualified # 💷 E1.0 pound banknote</v>
      </c>
      <c r="C1849" t="str">
        <f t="shared" si="171"/>
        <v xml:space="preserve">1F4B7 </v>
      </c>
      <c r="D1849">
        <f t="shared" si="172"/>
        <v>6</v>
      </c>
      <c r="E1849" t="str">
        <f t="shared" si="168"/>
        <v xml:space="preserve"> 💷 E1.0 pound banknote</v>
      </c>
      <c r="F1849" t="b">
        <f t="shared" si="173"/>
        <v>1</v>
      </c>
      <c r="G1849" t="str">
        <f t="shared" si="169"/>
        <v>1F4B7</v>
      </c>
      <c r="I1849">
        <f>HEX2DEC(Table1[[#This Row],[utf8]])</f>
        <v>128183</v>
      </c>
      <c r="J1849" t="str">
        <f>_xlfn.UNICHAR(HEX2DEC(Table1[[#This Row],[utf8]]))</f>
        <v>💷</v>
      </c>
      <c r="K1849" s="3" t="str" cm="1">
        <f t="array" ref="K1849">"Case "&amp;wRandomLetter()&amp;wRandomLetter()&amp;I1849&amp;":    UniConst = ChrW(" &amp; I1849 &amp;")"</f>
        <v>Case Cg128183:    UniConst = ChrW(128183)</v>
      </c>
    </row>
    <row r="1850" spans="1:11" hidden="1">
      <c r="A1850" t="s">
        <v>3958</v>
      </c>
      <c r="B1850" t="str">
        <f t="shared" si="170"/>
        <v>1F4B8 ; fully-qualified # 💸 E0.6 money with wings</v>
      </c>
      <c r="C1850" t="str">
        <f t="shared" si="171"/>
        <v xml:space="preserve">1F4B8 </v>
      </c>
      <c r="D1850">
        <f t="shared" si="172"/>
        <v>6</v>
      </c>
      <c r="E1850" t="str">
        <f t="shared" si="168"/>
        <v xml:space="preserve"> 💸 E0.6 money with wings</v>
      </c>
      <c r="F1850" t="b">
        <f t="shared" si="173"/>
        <v>1</v>
      </c>
      <c r="G1850" t="str">
        <f t="shared" si="169"/>
        <v>1F4B8</v>
      </c>
      <c r="I1850">
        <f>HEX2DEC(Table1[[#This Row],[utf8]])</f>
        <v>128184</v>
      </c>
      <c r="J1850" t="str">
        <f>_xlfn.UNICHAR(HEX2DEC(Table1[[#This Row],[utf8]]))</f>
        <v>💸</v>
      </c>
      <c r="K1850" s="3" t="str" cm="1">
        <f t="array" ref="K1850">"Case "&amp;wRandomLetter()&amp;wRandomLetter()&amp;I1850&amp;":    UniConst = ChrW(" &amp; I1850 &amp;")"</f>
        <v>Case Ak128184:    UniConst = ChrW(128184)</v>
      </c>
    </row>
    <row r="1851" spans="1:11" hidden="1">
      <c r="A1851" t="s">
        <v>3961</v>
      </c>
      <c r="B1851" t="str">
        <f t="shared" si="170"/>
        <v>1F4B9 ; fully-qualified # 💹 E0.6 chart increasing with yen</v>
      </c>
      <c r="C1851" t="str">
        <f t="shared" si="171"/>
        <v xml:space="preserve">1F4B9 </v>
      </c>
      <c r="D1851">
        <f t="shared" si="172"/>
        <v>6</v>
      </c>
      <c r="E1851" t="str">
        <f t="shared" si="168"/>
        <v xml:space="preserve"> 💹 E0.6 chart increasing with yen</v>
      </c>
      <c r="F1851" t="b">
        <f t="shared" si="173"/>
        <v>1</v>
      </c>
      <c r="G1851" t="str">
        <f t="shared" si="169"/>
        <v>1F4B9</v>
      </c>
      <c r="I1851">
        <f>HEX2DEC(Table1[[#This Row],[utf8]])</f>
        <v>128185</v>
      </c>
      <c r="J1851" t="str">
        <f>_xlfn.UNICHAR(HEX2DEC(Table1[[#This Row],[utf8]]))</f>
        <v>💹</v>
      </c>
      <c r="K1851" s="3" t="str" cm="1">
        <f t="array" ref="K1851">"Case "&amp;wRandomLetter()&amp;wRandomLetter()&amp;I1851&amp;":    UniConst = ChrW(" &amp; I1851 &amp;")"</f>
        <v>Case oX128185:    UniConst = ChrW(128185)</v>
      </c>
    </row>
    <row r="1852" spans="1:11" hidden="1">
      <c r="A1852" t="s">
        <v>3582</v>
      </c>
      <c r="B1852" t="str">
        <f t="shared" si="170"/>
        <v>1F4BA ; fully-qualified # 💺 E0.6 seat</v>
      </c>
      <c r="C1852" t="str">
        <f t="shared" si="171"/>
        <v xml:space="preserve">1F4BA </v>
      </c>
      <c r="D1852">
        <f t="shared" si="172"/>
        <v>6</v>
      </c>
      <c r="E1852" t="str">
        <f t="shared" si="168"/>
        <v xml:space="preserve"> 💺 E0.6 seat</v>
      </c>
      <c r="F1852" t="b">
        <f t="shared" si="173"/>
        <v>1</v>
      </c>
      <c r="G1852" t="str">
        <f t="shared" si="169"/>
        <v>1F4BA</v>
      </c>
      <c r="I1852">
        <f>HEX2DEC(Table1[[#This Row],[utf8]])</f>
        <v>128186</v>
      </c>
      <c r="J1852" t="str">
        <f>_xlfn.UNICHAR(HEX2DEC(Table1[[#This Row],[utf8]]))</f>
        <v>💺</v>
      </c>
      <c r="K1852" s="3" t="str" cm="1">
        <f t="array" ref="K1852">"Case "&amp;wRandomLetter()&amp;wRandomLetter()&amp;I1852&amp;":    UniConst = ChrW(" &amp; I1852 &amp;")"</f>
        <v>Case nu128186:    UniConst = ChrW(128186)</v>
      </c>
    </row>
    <row r="1853" spans="1:11" hidden="1">
      <c r="A1853" t="s">
        <v>3895</v>
      </c>
      <c r="B1853" t="str">
        <f t="shared" si="170"/>
        <v>1F4BB ; fully-qualified # 💻 E0.6 laptop</v>
      </c>
      <c r="C1853" t="str">
        <f t="shared" si="171"/>
        <v xml:space="preserve">1F4BB </v>
      </c>
      <c r="D1853">
        <f t="shared" si="172"/>
        <v>6</v>
      </c>
      <c r="E1853" t="str">
        <f t="shared" si="168"/>
        <v xml:space="preserve"> 💻 E0.6 laptop</v>
      </c>
      <c r="F1853" t="b">
        <f t="shared" si="173"/>
        <v>1</v>
      </c>
      <c r="G1853" t="str">
        <f t="shared" si="169"/>
        <v>1F4BB</v>
      </c>
      <c r="I1853">
        <f>HEX2DEC(Table1[[#This Row],[utf8]])</f>
        <v>128187</v>
      </c>
      <c r="J1853" t="str">
        <f>_xlfn.UNICHAR(HEX2DEC(Table1[[#This Row],[utf8]]))</f>
        <v>💻</v>
      </c>
      <c r="K1853" s="3" t="str" cm="1">
        <f t="array" ref="K1853">"Case "&amp;wRandomLetter()&amp;wRandomLetter()&amp;I1853&amp;":    UniConst = ChrW(" &amp; I1853 &amp;")"</f>
        <v>Case BP128187:    UniConst = ChrW(128187)</v>
      </c>
    </row>
    <row r="1854" spans="1:11" hidden="1">
      <c r="A1854" t="s">
        <v>3993</v>
      </c>
      <c r="B1854" t="str">
        <f t="shared" si="170"/>
        <v>1F4BC ; fully-qualified # 💼 E0.6 briefcase</v>
      </c>
      <c r="C1854" t="str">
        <f t="shared" si="171"/>
        <v xml:space="preserve">1F4BC </v>
      </c>
      <c r="D1854">
        <f t="shared" si="172"/>
        <v>6</v>
      </c>
      <c r="E1854" t="str">
        <f t="shared" si="168"/>
        <v xml:space="preserve"> 💼 E0.6 briefcase</v>
      </c>
      <c r="F1854" t="b">
        <f t="shared" si="173"/>
        <v>1</v>
      </c>
      <c r="G1854" t="str">
        <f t="shared" si="169"/>
        <v>1F4BC</v>
      </c>
      <c r="I1854">
        <f>HEX2DEC(Table1[[#This Row],[utf8]])</f>
        <v>128188</v>
      </c>
      <c r="J1854" t="str">
        <f>_xlfn.UNICHAR(HEX2DEC(Table1[[#This Row],[utf8]]))</f>
        <v>💼</v>
      </c>
      <c r="K1854" s="3" t="str" cm="1">
        <f t="array" ref="K1854">"Case "&amp;wRandomLetter()&amp;wRandomLetter()&amp;I1854&amp;":    UniConst = ChrW(" &amp; I1854 &amp;")"</f>
        <v>Case dh128188:    UniConst = ChrW(128188)</v>
      </c>
    </row>
    <row r="1855" spans="1:11" hidden="1">
      <c r="A1855" t="s">
        <v>3906</v>
      </c>
      <c r="B1855" t="str">
        <f t="shared" si="170"/>
        <v>1F4BD ; fully-qualified # 💽 E0.6 computer disk</v>
      </c>
      <c r="C1855" t="str">
        <f t="shared" si="171"/>
        <v xml:space="preserve">1F4BD </v>
      </c>
      <c r="D1855">
        <f t="shared" si="172"/>
        <v>6</v>
      </c>
      <c r="E1855" t="str">
        <f t="shared" si="168"/>
        <v xml:space="preserve"> 💽 E0.6 computer disk</v>
      </c>
      <c r="F1855" t="b">
        <f t="shared" si="173"/>
        <v>1</v>
      </c>
      <c r="G1855" t="str">
        <f t="shared" si="169"/>
        <v>1F4BD</v>
      </c>
      <c r="I1855">
        <f>HEX2DEC(Table1[[#This Row],[utf8]])</f>
        <v>128189</v>
      </c>
      <c r="J1855" t="str">
        <f>_xlfn.UNICHAR(HEX2DEC(Table1[[#This Row],[utf8]]))</f>
        <v>💽</v>
      </c>
      <c r="K1855" s="3" t="str" cm="1">
        <f t="array" ref="K1855">"Case "&amp;wRandomLetter()&amp;wRandomLetter()&amp;I1855&amp;":    UniConst = ChrW(" &amp; I1855 &amp;")"</f>
        <v>Case sW128189:    UniConst = ChrW(128189)</v>
      </c>
    </row>
    <row r="1856" spans="1:11" hidden="1">
      <c r="A1856" t="s">
        <v>3907</v>
      </c>
      <c r="B1856" t="str">
        <f t="shared" si="170"/>
        <v>1F4BE ; fully-qualified # 💾 E0.6 floppy disk</v>
      </c>
      <c r="C1856" t="str">
        <f t="shared" si="171"/>
        <v xml:space="preserve">1F4BE </v>
      </c>
      <c r="D1856">
        <f t="shared" si="172"/>
        <v>6</v>
      </c>
      <c r="E1856" t="str">
        <f t="shared" si="168"/>
        <v xml:space="preserve"> 💾 E0.6 floppy disk</v>
      </c>
      <c r="F1856" t="b">
        <f t="shared" si="173"/>
        <v>1</v>
      </c>
      <c r="G1856" t="str">
        <f t="shared" si="169"/>
        <v>1F4BE</v>
      </c>
      <c r="I1856">
        <f>HEX2DEC(Table1[[#This Row],[utf8]])</f>
        <v>128190</v>
      </c>
      <c r="J1856" t="str">
        <f>_xlfn.UNICHAR(HEX2DEC(Table1[[#This Row],[utf8]]))</f>
        <v>💾</v>
      </c>
      <c r="K1856" s="3" t="str" cm="1">
        <f t="array" ref="K1856">"Case "&amp;wRandomLetter()&amp;wRandomLetter()&amp;I1856&amp;":    UniConst = ChrW(" &amp; I1856 &amp;")"</f>
        <v>Case Cg128190:    UniConst = ChrW(128190)</v>
      </c>
    </row>
    <row r="1857" spans="1:11" hidden="1">
      <c r="A1857" t="s">
        <v>3908</v>
      </c>
      <c r="B1857" t="str">
        <f t="shared" si="170"/>
        <v>1F4BF ; fully-qualified # 💿 E0.6 optical disk</v>
      </c>
      <c r="C1857" t="str">
        <f t="shared" si="171"/>
        <v xml:space="preserve">1F4BF </v>
      </c>
      <c r="D1857">
        <f t="shared" si="172"/>
        <v>6</v>
      </c>
      <c r="E1857" t="str">
        <f t="shared" si="168"/>
        <v xml:space="preserve"> 💿 E0.6 optical disk</v>
      </c>
      <c r="F1857" t="b">
        <f t="shared" si="173"/>
        <v>1</v>
      </c>
      <c r="G1857" t="str">
        <f t="shared" si="169"/>
        <v>1F4BF</v>
      </c>
      <c r="I1857">
        <f>HEX2DEC(Table1[[#This Row],[utf8]])</f>
        <v>128191</v>
      </c>
      <c r="J1857" t="str">
        <f>_xlfn.UNICHAR(HEX2DEC(Table1[[#This Row],[utf8]]))</f>
        <v>💿</v>
      </c>
      <c r="K1857" s="3" t="str" cm="1">
        <f t="array" ref="K1857">"Case "&amp;wRandomLetter()&amp;wRandomLetter()&amp;I1857&amp;":    UniConst = ChrW(" &amp; I1857 &amp;")"</f>
        <v>Case cA128191:    UniConst = ChrW(128191)</v>
      </c>
    </row>
    <row r="1858" spans="1:11" hidden="1">
      <c r="A1858" t="s">
        <v>3909</v>
      </c>
      <c r="B1858" t="str">
        <f t="shared" si="170"/>
        <v>1F4C0 ; fully-qualified # 📀 E0.6 dvd</v>
      </c>
      <c r="C1858" t="str">
        <f t="shared" si="171"/>
        <v xml:space="preserve">1F4C0 </v>
      </c>
      <c r="D1858">
        <f t="shared" si="172"/>
        <v>6</v>
      </c>
      <c r="E1858" t="str">
        <f t="shared" ref="E1858:E1921" si="174">MID(A1858,FIND("#",A1858)+1,256)</f>
        <v xml:space="preserve"> 📀 E0.6 dvd</v>
      </c>
      <c r="F1858" t="b">
        <f t="shared" si="173"/>
        <v>1</v>
      </c>
      <c r="G1858" t="str">
        <f t="shared" ref="G1858:G1921" si="175">LEFT(C1858,(FIND(" ",C1858,1)-1))</f>
        <v>1F4C0</v>
      </c>
      <c r="I1858">
        <f>HEX2DEC(Table1[[#This Row],[utf8]])</f>
        <v>128192</v>
      </c>
      <c r="J1858" t="str">
        <f>_xlfn.UNICHAR(HEX2DEC(Table1[[#This Row],[utf8]]))</f>
        <v>📀</v>
      </c>
      <c r="K1858" s="3" t="str" cm="1">
        <f t="array" ref="K1858">"Case "&amp;wRandomLetter()&amp;wRandomLetter()&amp;I1858&amp;":    UniConst = ChrW(" &amp; I1858 &amp;")"</f>
        <v>Case IV128192:    UniConst = ChrW(128192)</v>
      </c>
    </row>
    <row r="1859" spans="1:11" hidden="1">
      <c r="A1859" t="s">
        <v>3994</v>
      </c>
      <c r="B1859" t="str">
        <f t="shared" ref="B1859:B1922" si="176">TRIM(A1859)</f>
        <v>1F4C1 ; fully-qualified # 📁 E0.6 file folder</v>
      </c>
      <c r="C1859" t="str">
        <f t="shared" ref="C1859:C1922" si="177">LEFT(B1859,(FIND(";",B1859,1)-1))</f>
        <v xml:space="preserve">1F4C1 </v>
      </c>
      <c r="D1859">
        <f t="shared" ref="D1859:D1922" si="178">LEN(C1859)</f>
        <v>6</v>
      </c>
      <c r="E1859" t="str">
        <f t="shared" si="174"/>
        <v xml:space="preserve"> 📁 E0.6 file folder</v>
      </c>
      <c r="F1859" t="b">
        <f t="shared" ref="F1859:F1922" si="179">IF(LEFT(C1859,2)="1F",TRUE,FALSE)</f>
        <v>1</v>
      </c>
      <c r="G1859" t="str">
        <f t="shared" si="175"/>
        <v>1F4C1</v>
      </c>
      <c r="I1859">
        <f>HEX2DEC(Table1[[#This Row],[utf8]])</f>
        <v>128193</v>
      </c>
      <c r="J1859" t="str">
        <f>_xlfn.UNICHAR(HEX2DEC(Table1[[#This Row],[utf8]]))</f>
        <v>📁</v>
      </c>
      <c r="K1859" s="3" t="str" cm="1">
        <f t="array" ref="K1859">"Case "&amp;wRandomLetter()&amp;wRandomLetter()&amp;I1859&amp;":    UniConst = ChrW(" &amp; I1859 &amp;")"</f>
        <v>Case sB128193:    UniConst = ChrW(128193)</v>
      </c>
    </row>
    <row r="1860" spans="1:11" hidden="1">
      <c r="A1860" t="s">
        <v>3995</v>
      </c>
      <c r="B1860" t="str">
        <f t="shared" si="176"/>
        <v>1F4C2 ; fully-qualified # 📂 E0.6 open file folder</v>
      </c>
      <c r="C1860" t="str">
        <f t="shared" si="177"/>
        <v xml:space="preserve">1F4C2 </v>
      </c>
      <c r="D1860">
        <f t="shared" si="178"/>
        <v>6</v>
      </c>
      <c r="E1860" t="str">
        <f t="shared" si="174"/>
        <v xml:space="preserve"> 📂 E0.6 open file folder</v>
      </c>
      <c r="F1860" t="b">
        <f t="shared" si="179"/>
        <v>1</v>
      </c>
      <c r="G1860" t="str">
        <f t="shared" si="175"/>
        <v>1F4C2</v>
      </c>
      <c r="I1860">
        <f>HEX2DEC(Table1[[#This Row],[utf8]])</f>
        <v>128194</v>
      </c>
      <c r="J1860" t="str">
        <f>_xlfn.UNICHAR(HEX2DEC(Table1[[#This Row],[utf8]]))</f>
        <v>📂</v>
      </c>
      <c r="K1860" s="3" t="str" cm="1">
        <f t="array" ref="K1860">"Case "&amp;wRandomLetter()&amp;wRandomLetter()&amp;I1860&amp;":    UniConst = ChrW(" &amp; I1860 &amp;")"</f>
        <v>Case mO128194:    UniConst = ChrW(128194)</v>
      </c>
    </row>
    <row r="1861" spans="1:11" hidden="1">
      <c r="A1861" t="s">
        <v>3941</v>
      </c>
      <c r="B1861" t="str">
        <f t="shared" si="176"/>
        <v>1F4C3 ; fully-qualified # 📃 E0.6 page with curl</v>
      </c>
      <c r="C1861" t="str">
        <f t="shared" si="177"/>
        <v xml:space="preserve">1F4C3 </v>
      </c>
      <c r="D1861">
        <f t="shared" si="178"/>
        <v>6</v>
      </c>
      <c r="E1861" t="str">
        <f t="shared" si="174"/>
        <v xml:space="preserve"> 📃 E0.6 page with curl</v>
      </c>
      <c r="F1861" t="b">
        <f t="shared" si="179"/>
        <v>1</v>
      </c>
      <c r="G1861" t="str">
        <f t="shared" si="175"/>
        <v>1F4C3</v>
      </c>
      <c r="I1861">
        <f>HEX2DEC(Table1[[#This Row],[utf8]])</f>
        <v>128195</v>
      </c>
      <c r="J1861" t="str">
        <f>_xlfn.UNICHAR(HEX2DEC(Table1[[#This Row],[utf8]]))</f>
        <v>📃</v>
      </c>
      <c r="K1861" s="3" t="str" cm="1">
        <f t="array" ref="K1861">"Case "&amp;wRandomLetter()&amp;wRandomLetter()&amp;I1861&amp;":    UniConst = ChrW(" &amp; I1861 &amp;")"</f>
        <v>Case hN128195:    UniConst = ChrW(128195)</v>
      </c>
    </row>
    <row r="1862" spans="1:11" hidden="1">
      <c r="A1862" t="s">
        <v>3943</v>
      </c>
      <c r="B1862" t="str">
        <f t="shared" si="176"/>
        <v>1F4C4 ; fully-qualified # 📄 E0.6 page facing up</v>
      </c>
      <c r="C1862" t="str">
        <f t="shared" si="177"/>
        <v xml:space="preserve">1F4C4 </v>
      </c>
      <c r="D1862">
        <f t="shared" si="178"/>
        <v>6</v>
      </c>
      <c r="E1862" t="str">
        <f t="shared" si="174"/>
        <v xml:space="preserve"> 📄 E0.6 page facing up</v>
      </c>
      <c r="F1862" t="b">
        <f t="shared" si="179"/>
        <v>1</v>
      </c>
      <c r="G1862" t="str">
        <f t="shared" si="175"/>
        <v>1F4C4</v>
      </c>
      <c r="I1862">
        <f>HEX2DEC(Table1[[#This Row],[utf8]])</f>
        <v>128196</v>
      </c>
      <c r="J1862" t="str">
        <f>_xlfn.UNICHAR(HEX2DEC(Table1[[#This Row],[utf8]]))</f>
        <v>📄</v>
      </c>
      <c r="K1862" s="3" t="str" cm="1">
        <f t="array" ref="K1862">"Case "&amp;wRandomLetter()&amp;wRandomLetter()&amp;I1862&amp;":    UniConst = ChrW(" &amp; I1862 &amp;")"</f>
        <v>Case qN128196:    UniConst = ChrW(128196)</v>
      </c>
    </row>
    <row r="1863" spans="1:11" hidden="1">
      <c r="A1863" t="s">
        <v>3998</v>
      </c>
      <c r="B1863" t="str">
        <f t="shared" si="176"/>
        <v>1F4C5 ; fully-qualified # 📅 E0.6 calendar</v>
      </c>
      <c r="C1863" t="str">
        <f t="shared" si="177"/>
        <v xml:space="preserve">1F4C5 </v>
      </c>
      <c r="D1863">
        <f t="shared" si="178"/>
        <v>6</v>
      </c>
      <c r="E1863" t="str">
        <f t="shared" si="174"/>
        <v xml:space="preserve"> 📅 E0.6 calendar</v>
      </c>
      <c r="F1863" t="b">
        <f t="shared" si="179"/>
        <v>1</v>
      </c>
      <c r="G1863" t="str">
        <f t="shared" si="175"/>
        <v>1F4C5</v>
      </c>
      <c r="I1863">
        <f>HEX2DEC(Table1[[#This Row],[utf8]])</f>
        <v>128197</v>
      </c>
      <c r="J1863" t="str">
        <f>_xlfn.UNICHAR(HEX2DEC(Table1[[#This Row],[utf8]]))</f>
        <v>📅</v>
      </c>
      <c r="K1863" s="3" t="str" cm="1">
        <f t="array" ref="K1863">"Case "&amp;wRandomLetter()&amp;wRandomLetter()&amp;I1863&amp;":    UniConst = ChrW(" &amp; I1863 &amp;")"</f>
        <v>Case zp128197:    UniConst = ChrW(128197)</v>
      </c>
    </row>
    <row r="1864" spans="1:11" hidden="1">
      <c r="A1864" t="s">
        <v>3999</v>
      </c>
      <c r="B1864" t="str">
        <f t="shared" si="176"/>
        <v>1F4C6 ; fully-qualified # 📆 E0.6 tear-off calendar</v>
      </c>
      <c r="C1864" t="str">
        <f t="shared" si="177"/>
        <v xml:space="preserve">1F4C6 </v>
      </c>
      <c r="D1864">
        <f t="shared" si="178"/>
        <v>6</v>
      </c>
      <c r="E1864" t="str">
        <f t="shared" si="174"/>
        <v xml:space="preserve"> 📆 E0.6 tear-off calendar</v>
      </c>
      <c r="F1864" t="b">
        <f t="shared" si="179"/>
        <v>1</v>
      </c>
      <c r="G1864" t="str">
        <f t="shared" si="175"/>
        <v>1F4C6</v>
      </c>
      <c r="I1864">
        <f>HEX2DEC(Table1[[#This Row],[utf8]])</f>
        <v>128198</v>
      </c>
      <c r="J1864" t="str">
        <f>_xlfn.UNICHAR(HEX2DEC(Table1[[#This Row],[utf8]]))</f>
        <v>📆</v>
      </c>
      <c r="K1864" s="3" t="str" cm="1">
        <f t="array" ref="K1864">"Case "&amp;wRandomLetter()&amp;wRandomLetter()&amp;I1864&amp;":    UniConst = ChrW(" &amp; I1864 &amp;")"</f>
        <v>Case gm128198:    UniConst = ChrW(128198)</v>
      </c>
    </row>
    <row r="1865" spans="1:11" hidden="1">
      <c r="A1865" t="s">
        <v>4004</v>
      </c>
      <c r="B1865" t="str">
        <f t="shared" si="176"/>
        <v>1F4C7 ; fully-qualified # 📇 E0.6 card index</v>
      </c>
      <c r="C1865" t="str">
        <f t="shared" si="177"/>
        <v xml:space="preserve">1F4C7 </v>
      </c>
      <c r="D1865">
        <f t="shared" si="178"/>
        <v>6</v>
      </c>
      <c r="E1865" t="str">
        <f t="shared" si="174"/>
        <v xml:space="preserve"> 📇 E0.6 card index</v>
      </c>
      <c r="F1865" t="b">
        <f t="shared" si="179"/>
        <v>1</v>
      </c>
      <c r="G1865" t="str">
        <f t="shared" si="175"/>
        <v>1F4C7</v>
      </c>
      <c r="I1865">
        <f>HEX2DEC(Table1[[#This Row],[utf8]])</f>
        <v>128199</v>
      </c>
      <c r="J1865" t="str">
        <f>_xlfn.UNICHAR(HEX2DEC(Table1[[#This Row],[utf8]]))</f>
        <v>📇</v>
      </c>
      <c r="K1865" s="3" t="str" cm="1">
        <f t="array" ref="K1865">"Case "&amp;wRandomLetter()&amp;wRandomLetter()&amp;I1865&amp;":    UniConst = ChrW(" &amp; I1865 &amp;")"</f>
        <v>Case AE128199:    UniConst = ChrW(128199)</v>
      </c>
    </row>
    <row r="1866" spans="1:11" hidden="1">
      <c r="A1866" t="s">
        <v>4005</v>
      </c>
      <c r="B1866" t="str">
        <f t="shared" si="176"/>
        <v>1F4C8 ; fully-qualified # 📈 E0.6 chart increasing</v>
      </c>
      <c r="C1866" t="str">
        <f t="shared" si="177"/>
        <v xml:space="preserve">1F4C8 </v>
      </c>
      <c r="D1866">
        <f t="shared" si="178"/>
        <v>6</v>
      </c>
      <c r="E1866" t="str">
        <f t="shared" si="174"/>
        <v xml:space="preserve"> 📈 E0.6 chart increasing</v>
      </c>
      <c r="F1866" t="b">
        <f t="shared" si="179"/>
        <v>1</v>
      </c>
      <c r="G1866" t="str">
        <f t="shared" si="175"/>
        <v>1F4C8</v>
      </c>
      <c r="I1866">
        <f>HEX2DEC(Table1[[#This Row],[utf8]])</f>
        <v>128200</v>
      </c>
      <c r="J1866" t="str">
        <f>_xlfn.UNICHAR(HEX2DEC(Table1[[#This Row],[utf8]]))</f>
        <v>📈</v>
      </c>
      <c r="K1866" s="3" t="str" cm="1">
        <f t="array" ref="K1866">"Case "&amp;wRandomLetter()&amp;wRandomLetter()&amp;I1866&amp;":    UniConst = ChrW(" &amp; I1866 &amp;")"</f>
        <v>Case Mw128200:    UniConst = ChrW(128200)</v>
      </c>
    </row>
    <row r="1867" spans="1:11" hidden="1">
      <c r="A1867" t="s">
        <v>4006</v>
      </c>
      <c r="B1867" t="str">
        <f t="shared" si="176"/>
        <v>1F4C9 ; fully-qualified # 📉 E0.6 chart decreasing</v>
      </c>
      <c r="C1867" t="str">
        <f t="shared" si="177"/>
        <v xml:space="preserve">1F4C9 </v>
      </c>
      <c r="D1867">
        <f t="shared" si="178"/>
        <v>6</v>
      </c>
      <c r="E1867" t="str">
        <f t="shared" si="174"/>
        <v xml:space="preserve"> 📉 E0.6 chart decreasing</v>
      </c>
      <c r="F1867" t="b">
        <f t="shared" si="179"/>
        <v>1</v>
      </c>
      <c r="G1867" t="str">
        <f t="shared" si="175"/>
        <v>1F4C9</v>
      </c>
      <c r="I1867">
        <f>HEX2DEC(Table1[[#This Row],[utf8]])</f>
        <v>128201</v>
      </c>
      <c r="J1867" t="str">
        <f>_xlfn.UNICHAR(HEX2DEC(Table1[[#This Row],[utf8]]))</f>
        <v>📉</v>
      </c>
      <c r="K1867" s="3" t="str" cm="1">
        <f t="array" ref="K1867">"Case "&amp;wRandomLetter()&amp;wRandomLetter()&amp;I1867&amp;":    UniConst = ChrW(" &amp; I1867 &amp;")"</f>
        <v>Case Mw128201:    UniConst = ChrW(128201)</v>
      </c>
    </row>
    <row r="1868" spans="1:11" hidden="1">
      <c r="A1868" t="s">
        <v>4007</v>
      </c>
      <c r="B1868" t="str">
        <f t="shared" si="176"/>
        <v>1F4CA ; fully-qualified # 📊 E0.6 bar chart</v>
      </c>
      <c r="C1868" t="str">
        <f t="shared" si="177"/>
        <v xml:space="preserve">1F4CA </v>
      </c>
      <c r="D1868">
        <f t="shared" si="178"/>
        <v>6</v>
      </c>
      <c r="E1868" t="str">
        <f t="shared" si="174"/>
        <v xml:space="preserve"> 📊 E0.6 bar chart</v>
      </c>
      <c r="F1868" t="b">
        <f t="shared" si="179"/>
        <v>1</v>
      </c>
      <c r="G1868" t="str">
        <f t="shared" si="175"/>
        <v>1F4CA</v>
      </c>
      <c r="I1868">
        <f>HEX2DEC(Table1[[#This Row],[utf8]])</f>
        <v>128202</v>
      </c>
      <c r="J1868" t="str">
        <f>_xlfn.UNICHAR(HEX2DEC(Table1[[#This Row],[utf8]]))</f>
        <v>📊</v>
      </c>
      <c r="K1868" s="3" t="str" cm="1">
        <f t="array" ref="K1868">"Case "&amp;wRandomLetter()&amp;wRandomLetter()&amp;I1868&amp;":    UniConst = ChrW(" &amp; I1868 &amp;")"</f>
        <v>Case PD128202:    UniConst = ChrW(128202)</v>
      </c>
    </row>
    <row r="1869" spans="1:11" hidden="1">
      <c r="A1869" t="s">
        <v>4008</v>
      </c>
      <c r="B1869" t="str">
        <f t="shared" si="176"/>
        <v>1F4CB ; fully-qualified # 📋 E0.6 clipboard</v>
      </c>
      <c r="C1869" t="str">
        <f t="shared" si="177"/>
        <v xml:space="preserve">1F4CB </v>
      </c>
      <c r="D1869">
        <f t="shared" si="178"/>
        <v>6</v>
      </c>
      <c r="E1869" t="str">
        <f t="shared" si="174"/>
        <v xml:space="preserve"> 📋 E0.6 clipboard</v>
      </c>
      <c r="F1869" t="b">
        <f t="shared" si="179"/>
        <v>1</v>
      </c>
      <c r="G1869" t="str">
        <f t="shared" si="175"/>
        <v>1F4CB</v>
      </c>
      <c r="I1869">
        <f>HEX2DEC(Table1[[#This Row],[utf8]])</f>
        <v>128203</v>
      </c>
      <c r="J1869" t="str">
        <f>_xlfn.UNICHAR(HEX2DEC(Table1[[#This Row],[utf8]]))</f>
        <v>📋</v>
      </c>
      <c r="K1869" s="3" t="str" cm="1">
        <f t="array" ref="K1869">"Case "&amp;wRandomLetter()&amp;wRandomLetter()&amp;I1869&amp;":    UniConst = ChrW(" &amp; I1869 &amp;")"</f>
        <v>Case po128203:    UniConst = ChrW(128203)</v>
      </c>
    </row>
    <row r="1870" spans="1:11" hidden="1">
      <c r="A1870" t="s">
        <v>4009</v>
      </c>
      <c r="B1870" t="str">
        <f t="shared" si="176"/>
        <v>1F4CC ; fully-qualified # 📌 E0.6 pushpin</v>
      </c>
      <c r="C1870" t="str">
        <f t="shared" si="177"/>
        <v xml:space="preserve">1F4CC </v>
      </c>
      <c r="D1870">
        <f t="shared" si="178"/>
        <v>6</v>
      </c>
      <c r="E1870" t="str">
        <f t="shared" si="174"/>
        <v xml:space="preserve"> 📌 E0.6 pushpin</v>
      </c>
      <c r="F1870" t="b">
        <f t="shared" si="179"/>
        <v>1</v>
      </c>
      <c r="G1870" t="str">
        <f t="shared" si="175"/>
        <v>1F4CC</v>
      </c>
      <c r="I1870">
        <f>HEX2DEC(Table1[[#This Row],[utf8]])</f>
        <v>128204</v>
      </c>
      <c r="J1870" t="str">
        <f>_xlfn.UNICHAR(HEX2DEC(Table1[[#This Row],[utf8]]))</f>
        <v>📌</v>
      </c>
      <c r="K1870" s="3" t="str" cm="1">
        <f t="array" ref="K1870">"Case "&amp;wRandomLetter()&amp;wRandomLetter()&amp;I1870&amp;":    UniConst = ChrW(" &amp; I1870 &amp;")"</f>
        <v>Case Cd128204:    UniConst = ChrW(128204)</v>
      </c>
    </row>
    <row r="1871" spans="1:11" hidden="1">
      <c r="A1871" t="s">
        <v>4010</v>
      </c>
      <c r="B1871" t="str">
        <f t="shared" si="176"/>
        <v>1F4CD ; fully-qualified # 📍 E0.6 round pushpin</v>
      </c>
      <c r="C1871" t="str">
        <f t="shared" si="177"/>
        <v xml:space="preserve">1F4CD </v>
      </c>
      <c r="D1871">
        <f t="shared" si="178"/>
        <v>6</v>
      </c>
      <c r="E1871" t="str">
        <f t="shared" si="174"/>
        <v xml:space="preserve"> 📍 E0.6 round pushpin</v>
      </c>
      <c r="F1871" t="b">
        <f t="shared" si="179"/>
        <v>1</v>
      </c>
      <c r="G1871" t="str">
        <f t="shared" si="175"/>
        <v>1F4CD</v>
      </c>
      <c r="I1871">
        <f>HEX2DEC(Table1[[#This Row],[utf8]])</f>
        <v>128205</v>
      </c>
      <c r="J1871" t="str">
        <f>_xlfn.UNICHAR(HEX2DEC(Table1[[#This Row],[utf8]]))</f>
        <v>📍</v>
      </c>
      <c r="K1871" s="3" t="str" cm="1">
        <f t="array" ref="K1871">"Case "&amp;wRandomLetter()&amp;wRandomLetter()&amp;I1871&amp;":    UniConst = ChrW(" &amp; I1871 &amp;")"</f>
        <v>Case aq128205:    UniConst = ChrW(128205)</v>
      </c>
    </row>
    <row r="1872" spans="1:11" hidden="1">
      <c r="A1872" t="s">
        <v>4011</v>
      </c>
      <c r="B1872" t="str">
        <f t="shared" si="176"/>
        <v>1F4CE ; fully-qualified # 📎 E0.6 paperclip</v>
      </c>
      <c r="C1872" t="str">
        <f t="shared" si="177"/>
        <v xml:space="preserve">1F4CE </v>
      </c>
      <c r="D1872">
        <f t="shared" si="178"/>
        <v>6</v>
      </c>
      <c r="E1872" t="str">
        <f t="shared" si="174"/>
        <v xml:space="preserve"> 📎 E0.6 paperclip</v>
      </c>
      <c r="F1872" t="b">
        <f t="shared" si="179"/>
        <v>1</v>
      </c>
      <c r="G1872" t="str">
        <f t="shared" si="175"/>
        <v>1F4CE</v>
      </c>
      <c r="I1872">
        <f>HEX2DEC(Table1[[#This Row],[utf8]])</f>
        <v>128206</v>
      </c>
      <c r="J1872" t="str">
        <f>_xlfn.UNICHAR(HEX2DEC(Table1[[#This Row],[utf8]]))</f>
        <v>📎</v>
      </c>
      <c r="K1872" s="3" t="str" cm="1">
        <f t="array" ref="K1872">"Case "&amp;wRandomLetter()&amp;wRandomLetter()&amp;I1872&amp;":    UniConst = ChrW(" &amp; I1872 &amp;")"</f>
        <v>Case Fm128206:    UniConst = ChrW(128206)</v>
      </c>
    </row>
    <row r="1873" spans="1:11" hidden="1">
      <c r="A1873" t="s">
        <v>4014</v>
      </c>
      <c r="B1873" t="str">
        <f t="shared" si="176"/>
        <v>1F4CF ; fully-qualified # 📏 E0.6 straight ruler</v>
      </c>
      <c r="C1873" t="str">
        <f t="shared" si="177"/>
        <v xml:space="preserve">1F4CF </v>
      </c>
      <c r="D1873">
        <f t="shared" si="178"/>
        <v>6</v>
      </c>
      <c r="E1873" t="str">
        <f t="shared" si="174"/>
        <v xml:space="preserve"> 📏 E0.6 straight ruler</v>
      </c>
      <c r="F1873" t="b">
        <f t="shared" si="179"/>
        <v>1</v>
      </c>
      <c r="G1873" t="str">
        <f t="shared" si="175"/>
        <v>1F4CF</v>
      </c>
      <c r="I1873">
        <f>HEX2DEC(Table1[[#This Row],[utf8]])</f>
        <v>128207</v>
      </c>
      <c r="J1873" t="str">
        <f>_xlfn.UNICHAR(HEX2DEC(Table1[[#This Row],[utf8]]))</f>
        <v>📏</v>
      </c>
      <c r="K1873" s="3" t="str" cm="1">
        <f t="array" ref="K1873">"Case "&amp;wRandomLetter()&amp;wRandomLetter()&amp;I1873&amp;":    UniConst = ChrW(" &amp; I1873 &amp;")"</f>
        <v>Case Hu128207:    UniConst = ChrW(128207)</v>
      </c>
    </row>
    <row r="1874" spans="1:11" hidden="1">
      <c r="A1874" t="s">
        <v>4015</v>
      </c>
      <c r="B1874" t="str">
        <f t="shared" si="176"/>
        <v>1F4D0 ; fully-qualified # 📐 E0.6 triangular ruler</v>
      </c>
      <c r="C1874" t="str">
        <f t="shared" si="177"/>
        <v xml:space="preserve">1F4D0 </v>
      </c>
      <c r="D1874">
        <f t="shared" si="178"/>
        <v>6</v>
      </c>
      <c r="E1874" t="str">
        <f t="shared" si="174"/>
        <v xml:space="preserve"> 📐 E0.6 triangular ruler</v>
      </c>
      <c r="F1874" t="b">
        <f t="shared" si="179"/>
        <v>1</v>
      </c>
      <c r="G1874" t="str">
        <f t="shared" si="175"/>
        <v>1F4D0</v>
      </c>
      <c r="I1874">
        <f>HEX2DEC(Table1[[#This Row],[utf8]])</f>
        <v>128208</v>
      </c>
      <c r="J1874" t="str">
        <f>_xlfn.UNICHAR(HEX2DEC(Table1[[#This Row],[utf8]]))</f>
        <v>📐</v>
      </c>
      <c r="K1874" s="3" t="str" cm="1">
        <f t="array" ref="K1874">"Case "&amp;wRandomLetter()&amp;wRandomLetter()&amp;I1874&amp;":    UniConst = ChrW(" &amp; I1874 &amp;")"</f>
        <v>Case Vt128208:    UniConst = ChrW(128208)</v>
      </c>
    </row>
    <row r="1875" spans="1:11" hidden="1">
      <c r="A1875" t="s">
        <v>3947</v>
      </c>
      <c r="B1875" t="str">
        <f t="shared" si="176"/>
        <v>1F4D1 ; fully-qualified # 📑 E0.6 bookmark tabs</v>
      </c>
      <c r="C1875" t="str">
        <f t="shared" si="177"/>
        <v xml:space="preserve">1F4D1 </v>
      </c>
      <c r="D1875">
        <f t="shared" si="178"/>
        <v>6</v>
      </c>
      <c r="E1875" t="str">
        <f t="shared" si="174"/>
        <v xml:space="preserve"> 📑 E0.6 bookmark tabs</v>
      </c>
      <c r="F1875" t="b">
        <f t="shared" si="179"/>
        <v>1</v>
      </c>
      <c r="G1875" t="str">
        <f t="shared" si="175"/>
        <v>1F4D1</v>
      </c>
      <c r="I1875">
        <f>HEX2DEC(Table1[[#This Row],[utf8]])</f>
        <v>128209</v>
      </c>
      <c r="J1875" t="str">
        <f>_xlfn.UNICHAR(HEX2DEC(Table1[[#This Row],[utf8]]))</f>
        <v>📑</v>
      </c>
      <c r="K1875" s="3" t="str" cm="1">
        <f t="array" ref="K1875">"Case "&amp;wRandomLetter()&amp;wRandomLetter()&amp;I1875&amp;":    UniConst = ChrW(" &amp; I1875 &amp;")"</f>
        <v>Case xU128209:    UniConst = ChrW(128209)</v>
      </c>
    </row>
    <row r="1876" spans="1:11" hidden="1">
      <c r="A1876" t="s">
        <v>3940</v>
      </c>
      <c r="B1876" t="str">
        <f t="shared" si="176"/>
        <v>1F4D2 ; fully-qualified # 📒 E0.6 ledger</v>
      </c>
      <c r="C1876" t="str">
        <f t="shared" si="177"/>
        <v xml:space="preserve">1F4D2 </v>
      </c>
      <c r="D1876">
        <f t="shared" si="178"/>
        <v>6</v>
      </c>
      <c r="E1876" t="str">
        <f t="shared" si="174"/>
        <v xml:space="preserve"> 📒 E0.6 ledger</v>
      </c>
      <c r="F1876" t="b">
        <f t="shared" si="179"/>
        <v>1</v>
      </c>
      <c r="G1876" t="str">
        <f t="shared" si="175"/>
        <v>1F4D2</v>
      </c>
      <c r="I1876">
        <f>HEX2DEC(Table1[[#This Row],[utf8]])</f>
        <v>128210</v>
      </c>
      <c r="J1876" t="str">
        <f>_xlfn.UNICHAR(HEX2DEC(Table1[[#This Row],[utf8]]))</f>
        <v>📒</v>
      </c>
      <c r="K1876" s="3" t="str" cm="1">
        <f t="array" ref="K1876">"Case "&amp;wRandomLetter()&amp;wRandomLetter()&amp;I1876&amp;":    UniConst = ChrW(" &amp; I1876 &amp;")"</f>
        <v>Case CX128210:    UniConst = ChrW(128210)</v>
      </c>
    </row>
    <row r="1877" spans="1:11" hidden="1">
      <c r="A1877" t="s">
        <v>3939</v>
      </c>
      <c r="B1877" t="str">
        <f t="shared" si="176"/>
        <v>1F4D3 ; fully-qualified # 📓 E0.6 notebook</v>
      </c>
      <c r="C1877" t="str">
        <f t="shared" si="177"/>
        <v xml:space="preserve">1F4D3 </v>
      </c>
      <c r="D1877">
        <f t="shared" si="178"/>
        <v>6</v>
      </c>
      <c r="E1877" t="str">
        <f t="shared" si="174"/>
        <v xml:space="preserve"> 📓 E0.6 notebook</v>
      </c>
      <c r="F1877" t="b">
        <f t="shared" si="179"/>
        <v>1</v>
      </c>
      <c r="G1877" t="str">
        <f t="shared" si="175"/>
        <v>1F4D3</v>
      </c>
      <c r="I1877">
        <f>HEX2DEC(Table1[[#This Row],[utf8]])</f>
        <v>128211</v>
      </c>
      <c r="J1877" t="str">
        <f>_xlfn.UNICHAR(HEX2DEC(Table1[[#This Row],[utf8]]))</f>
        <v>📓</v>
      </c>
      <c r="K1877" s="3" t="str" cm="1">
        <f t="array" ref="K1877">"Case "&amp;wRandomLetter()&amp;wRandomLetter()&amp;I1877&amp;":    UniConst = ChrW(" &amp; I1877 &amp;")"</f>
        <v>Case aq128211:    UniConst = ChrW(128211)</v>
      </c>
    </row>
    <row r="1878" spans="1:11" hidden="1">
      <c r="A1878" t="s">
        <v>3932</v>
      </c>
      <c r="B1878" t="str">
        <f t="shared" si="176"/>
        <v>1F4D4 ; fully-qualified # 📔 E0.6 notebook with decorative cover</v>
      </c>
      <c r="C1878" t="str">
        <f t="shared" si="177"/>
        <v xml:space="preserve">1F4D4 </v>
      </c>
      <c r="D1878">
        <f t="shared" si="178"/>
        <v>6</v>
      </c>
      <c r="E1878" t="str">
        <f t="shared" si="174"/>
        <v xml:space="preserve"> 📔 E0.6 notebook with decorative cover</v>
      </c>
      <c r="F1878" t="b">
        <f t="shared" si="179"/>
        <v>1</v>
      </c>
      <c r="G1878" t="str">
        <f t="shared" si="175"/>
        <v>1F4D4</v>
      </c>
      <c r="I1878">
        <f>HEX2DEC(Table1[[#This Row],[utf8]])</f>
        <v>128212</v>
      </c>
      <c r="J1878" t="str">
        <f>_xlfn.UNICHAR(HEX2DEC(Table1[[#This Row],[utf8]]))</f>
        <v>📔</v>
      </c>
      <c r="K1878" s="3" t="str" cm="1">
        <f t="array" ref="K1878">"Case "&amp;wRandomLetter()&amp;wRandomLetter()&amp;I1878&amp;":    UniConst = ChrW(" &amp; I1878 &amp;")"</f>
        <v>Case Wg128212:    UniConst = ChrW(128212)</v>
      </c>
    </row>
    <row r="1879" spans="1:11" hidden="1">
      <c r="A1879" t="s">
        <v>3933</v>
      </c>
      <c r="B1879" t="str">
        <f t="shared" si="176"/>
        <v>1F4D5 ; fully-qualified # 📕 E0.6 closed book</v>
      </c>
      <c r="C1879" t="str">
        <f t="shared" si="177"/>
        <v xml:space="preserve">1F4D5 </v>
      </c>
      <c r="D1879">
        <f t="shared" si="178"/>
        <v>6</v>
      </c>
      <c r="E1879" t="str">
        <f t="shared" si="174"/>
        <v xml:space="preserve"> 📕 E0.6 closed book</v>
      </c>
      <c r="F1879" t="b">
        <f t="shared" si="179"/>
        <v>1</v>
      </c>
      <c r="G1879" t="str">
        <f t="shared" si="175"/>
        <v>1F4D5</v>
      </c>
      <c r="I1879">
        <f>HEX2DEC(Table1[[#This Row],[utf8]])</f>
        <v>128213</v>
      </c>
      <c r="J1879" t="str">
        <f>_xlfn.UNICHAR(HEX2DEC(Table1[[#This Row],[utf8]]))</f>
        <v>📕</v>
      </c>
      <c r="K1879" s="3" t="str" cm="1">
        <f t="array" ref="K1879">"Case "&amp;wRandomLetter()&amp;wRandomLetter()&amp;I1879&amp;":    UniConst = ChrW(" &amp; I1879 &amp;")"</f>
        <v>Case ab128213:    UniConst = ChrW(128213)</v>
      </c>
    </row>
    <row r="1880" spans="1:11" hidden="1">
      <c r="A1880" t="s">
        <v>3934</v>
      </c>
      <c r="B1880" t="str">
        <f t="shared" si="176"/>
        <v>1F4D6 ; fully-qualified # 📖 E0.6 open book</v>
      </c>
      <c r="C1880" t="str">
        <f t="shared" si="177"/>
        <v xml:space="preserve">1F4D6 </v>
      </c>
      <c r="D1880">
        <f t="shared" si="178"/>
        <v>6</v>
      </c>
      <c r="E1880" t="str">
        <f t="shared" si="174"/>
        <v xml:space="preserve"> 📖 E0.6 open book</v>
      </c>
      <c r="F1880" t="b">
        <f t="shared" si="179"/>
        <v>1</v>
      </c>
      <c r="G1880" t="str">
        <f t="shared" si="175"/>
        <v>1F4D6</v>
      </c>
      <c r="I1880">
        <f>HEX2DEC(Table1[[#This Row],[utf8]])</f>
        <v>128214</v>
      </c>
      <c r="J1880" t="str">
        <f>_xlfn.UNICHAR(HEX2DEC(Table1[[#This Row],[utf8]]))</f>
        <v>📖</v>
      </c>
      <c r="K1880" s="3" t="str" cm="1">
        <f t="array" ref="K1880">"Case "&amp;wRandomLetter()&amp;wRandomLetter()&amp;I1880&amp;":    UniConst = ChrW(" &amp; I1880 &amp;")"</f>
        <v>Case uC128214:    UniConst = ChrW(128214)</v>
      </c>
    </row>
    <row r="1881" spans="1:11" hidden="1">
      <c r="A1881" t="s">
        <v>3935</v>
      </c>
      <c r="B1881" t="str">
        <f t="shared" si="176"/>
        <v>1F4D7 ; fully-qualified # 📗 E0.6 green book</v>
      </c>
      <c r="C1881" t="str">
        <f t="shared" si="177"/>
        <v xml:space="preserve">1F4D7 </v>
      </c>
      <c r="D1881">
        <f t="shared" si="178"/>
        <v>6</v>
      </c>
      <c r="E1881" t="str">
        <f t="shared" si="174"/>
        <v xml:space="preserve"> 📗 E0.6 green book</v>
      </c>
      <c r="F1881" t="b">
        <f t="shared" si="179"/>
        <v>1</v>
      </c>
      <c r="G1881" t="str">
        <f t="shared" si="175"/>
        <v>1F4D7</v>
      </c>
      <c r="I1881">
        <f>HEX2DEC(Table1[[#This Row],[utf8]])</f>
        <v>128215</v>
      </c>
      <c r="J1881" t="str">
        <f>_xlfn.UNICHAR(HEX2DEC(Table1[[#This Row],[utf8]]))</f>
        <v>📗</v>
      </c>
      <c r="K1881" s="3" t="str" cm="1">
        <f t="array" ref="K1881">"Case "&amp;wRandomLetter()&amp;wRandomLetter()&amp;I1881&amp;":    UniConst = ChrW(" &amp; I1881 &amp;")"</f>
        <v>Case Zy128215:    UniConst = ChrW(128215)</v>
      </c>
    </row>
    <row r="1882" spans="1:11" hidden="1">
      <c r="A1882" t="s">
        <v>3936</v>
      </c>
      <c r="B1882" t="str">
        <f t="shared" si="176"/>
        <v>1F4D8 ; fully-qualified # 📘 E0.6 blue book</v>
      </c>
      <c r="C1882" t="str">
        <f t="shared" si="177"/>
        <v xml:space="preserve">1F4D8 </v>
      </c>
      <c r="D1882">
        <f t="shared" si="178"/>
        <v>6</v>
      </c>
      <c r="E1882" t="str">
        <f t="shared" si="174"/>
        <v xml:space="preserve"> 📘 E0.6 blue book</v>
      </c>
      <c r="F1882" t="b">
        <f t="shared" si="179"/>
        <v>1</v>
      </c>
      <c r="G1882" t="str">
        <f t="shared" si="175"/>
        <v>1F4D8</v>
      </c>
      <c r="I1882">
        <f>HEX2DEC(Table1[[#This Row],[utf8]])</f>
        <v>128216</v>
      </c>
      <c r="J1882" t="str">
        <f>_xlfn.UNICHAR(HEX2DEC(Table1[[#This Row],[utf8]]))</f>
        <v>📘</v>
      </c>
      <c r="K1882" s="3" t="str" cm="1">
        <f t="array" ref="K1882">"Case "&amp;wRandomLetter()&amp;wRandomLetter()&amp;I1882&amp;":    UniConst = ChrW(" &amp; I1882 &amp;")"</f>
        <v>Case RG128216:    UniConst = ChrW(128216)</v>
      </c>
    </row>
    <row r="1883" spans="1:11" hidden="1">
      <c r="A1883" t="s">
        <v>3937</v>
      </c>
      <c r="B1883" t="str">
        <f t="shared" si="176"/>
        <v>1F4D9 ; fully-qualified # 📙 E0.6 orange book</v>
      </c>
      <c r="C1883" t="str">
        <f t="shared" si="177"/>
        <v xml:space="preserve">1F4D9 </v>
      </c>
      <c r="D1883">
        <f t="shared" si="178"/>
        <v>6</v>
      </c>
      <c r="E1883" t="str">
        <f t="shared" si="174"/>
        <v xml:space="preserve"> 📙 E0.6 orange book</v>
      </c>
      <c r="F1883" t="b">
        <f t="shared" si="179"/>
        <v>1</v>
      </c>
      <c r="G1883" t="str">
        <f t="shared" si="175"/>
        <v>1F4D9</v>
      </c>
      <c r="I1883">
        <f>HEX2DEC(Table1[[#This Row],[utf8]])</f>
        <v>128217</v>
      </c>
      <c r="J1883" t="str">
        <f>_xlfn.UNICHAR(HEX2DEC(Table1[[#This Row],[utf8]]))</f>
        <v>📙</v>
      </c>
      <c r="K1883" s="3" t="str" cm="1">
        <f t="array" ref="K1883">"Case "&amp;wRandomLetter()&amp;wRandomLetter()&amp;I1883&amp;":    UniConst = ChrW(" &amp; I1883 &amp;")"</f>
        <v>Case Xr128217:    UniConst = ChrW(128217)</v>
      </c>
    </row>
    <row r="1884" spans="1:11" hidden="1">
      <c r="A1884" t="s">
        <v>3938</v>
      </c>
      <c r="B1884" t="str">
        <f t="shared" si="176"/>
        <v>1F4DA ; fully-qualified # 📚 E0.6 books</v>
      </c>
      <c r="C1884" t="str">
        <f t="shared" si="177"/>
        <v xml:space="preserve">1F4DA </v>
      </c>
      <c r="D1884">
        <f t="shared" si="178"/>
        <v>6</v>
      </c>
      <c r="E1884" t="str">
        <f t="shared" si="174"/>
        <v xml:space="preserve"> 📚 E0.6 books</v>
      </c>
      <c r="F1884" t="b">
        <f t="shared" si="179"/>
        <v>1</v>
      </c>
      <c r="G1884" t="str">
        <f t="shared" si="175"/>
        <v>1F4DA</v>
      </c>
      <c r="I1884">
        <f>HEX2DEC(Table1[[#This Row],[utf8]])</f>
        <v>128218</v>
      </c>
      <c r="J1884" t="str">
        <f>_xlfn.UNICHAR(HEX2DEC(Table1[[#This Row],[utf8]]))</f>
        <v>📚</v>
      </c>
      <c r="K1884" s="3" t="str" cm="1">
        <f t="array" ref="K1884">"Case "&amp;wRandomLetter()&amp;wRandomLetter()&amp;I1884&amp;":    UniConst = ChrW(" &amp; I1884 &amp;")"</f>
        <v>Case Xr128218:    UniConst = ChrW(128218)</v>
      </c>
    </row>
    <row r="1885" spans="1:11" hidden="1">
      <c r="A1885" t="s">
        <v>4296</v>
      </c>
      <c r="B1885" t="str">
        <f t="shared" si="176"/>
        <v>1F4DB ; fully-qualified # 📛 E0.6 name badge</v>
      </c>
      <c r="C1885" t="str">
        <f t="shared" si="177"/>
        <v xml:space="preserve">1F4DB </v>
      </c>
      <c r="D1885">
        <f t="shared" si="178"/>
        <v>6</v>
      </c>
      <c r="E1885" t="str">
        <f t="shared" si="174"/>
        <v xml:space="preserve"> 📛 E0.6 name badge</v>
      </c>
      <c r="F1885" t="b">
        <f t="shared" si="179"/>
        <v>1</v>
      </c>
      <c r="G1885" t="str">
        <f t="shared" si="175"/>
        <v>1F4DB</v>
      </c>
      <c r="I1885">
        <f>HEX2DEC(Table1[[#This Row],[utf8]])</f>
        <v>128219</v>
      </c>
      <c r="J1885" t="str">
        <f>_xlfn.UNICHAR(HEX2DEC(Table1[[#This Row],[utf8]]))</f>
        <v>📛</v>
      </c>
      <c r="K1885" s="3" t="str" cm="1">
        <f t="array" ref="K1885">"Case "&amp;wRandomLetter()&amp;wRandomLetter()&amp;I1885&amp;":    UniConst = ChrW(" &amp; I1885 &amp;")"</f>
        <v>Case oI128219:    UniConst = ChrW(128219)</v>
      </c>
    </row>
    <row r="1886" spans="1:11" hidden="1">
      <c r="A1886" t="s">
        <v>3942</v>
      </c>
      <c r="B1886" t="str">
        <f t="shared" si="176"/>
        <v>1F4DC ; fully-qualified # 📜 E0.6 scroll</v>
      </c>
      <c r="C1886" t="str">
        <f t="shared" si="177"/>
        <v xml:space="preserve">1F4DC </v>
      </c>
      <c r="D1886">
        <f t="shared" si="178"/>
        <v>6</v>
      </c>
      <c r="E1886" t="str">
        <f t="shared" si="174"/>
        <v xml:space="preserve"> 📜 E0.6 scroll</v>
      </c>
      <c r="F1886" t="b">
        <f t="shared" si="179"/>
        <v>1</v>
      </c>
      <c r="G1886" t="str">
        <f t="shared" si="175"/>
        <v>1F4DC</v>
      </c>
      <c r="I1886">
        <f>HEX2DEC(Table1[[#This Row],[utf8]])</f>
        <v>128220</v>
      </c>
      <c r="J1886" t="str">
        <f>_xlfn.UNICHAR(HEX2DEC(Table1[[#This Row],[utf8]]))</f>
        <v>📜</v>
      </c>
      <c r="K1886" s="3" t="str" cm="1">
        <f t="array" ref="K1886">"Case "&amp;wRandomLetter()&amp;wRandomLetter()&amp;I1886&amp;":    UniConst = ChrW(" &amp; I1886 &amp;")"</f>
        <v>Case mA128220:    UniConst = ChrW(128220)</v>
      </c>
    </row>
    <row r="1887" spans="1:11" hidden="1">
      <c r="A1887" t="s">
        <v>3991</v>
      </c>
      <c r="B1887" t="str">
        <f t="shared" si="176"/>
        <v>1F4DD ; fully-qualified # 📝 E0.6 memo</v>
      </c>
      <c r="C1887" t="str">
        <f t="shared" si="177"/>
        <v xml:space="preserve">1F4DD </v>
      </c>
      <c r="D1887">
        <f t="shared" si="178"/>
        <v>6</v>
      </c>
      <c r="E1887" t="str">
        <f t="shared" si="174"/>
        <v xml:space="preserve"> 📝 E0.6 memo</v>
      </c>
      <c r="F1887" t="b">
        <f t="shared" si="179"/>
        <v>1</v>
      </c>
      <c r="G1887" t="str">
        <f t="shared" si="175"/>
        <v>1F4DD</v>
      </c>
      <c r="I1887">
        <f>HEX2DEC(Table1[[#This Row],[utf8]])</f>
        <v>128221</v>
      </c>
      <c r="J1887" t="str">
        <f>_xlfn.UNICHAR(HEX2DEC(Table1[[#This Row],[utf8]]))</f>
        <v>📝</v>
      </c>
      <c r="K1887" s="3" t="str" cm="1">
        <f t="array" ref="K1887">"Case "&amp;wRandomLetter()&amp;wRandomLetter()&amp;I1887&amp;":    UniConst = ChrW(" &amp; I1887 &amp;")"</f>
        <v>Case vF128221:    UniConst = ChrW(128221)</v>
      </c>
    </row>
    <row r="1888" spans="1:11" hidden="1">
      <c r="A1888" t="s">
        <v>3889</v>
      </c>
      <c r="B1888" t="str">
        <f t="shared" si="176"/>
        <v>1F4DE ; fully-qualified # 📞 E0.6 telephone receiver</v>
      </c>
      <c r="C1888" t="str">
        <f t="shared" si="177"/>
        <v xml:space="preserve">1F4DE </v>
      </c>
      <c r="D1888">
        <f t="shared" si="178"/>
        <v>6</v>
      </c>
      <c r="E1888" t="str">
        <f t="shared" si="174"/>
        <v xml:space="preserve"> 📞 E0.6 telephone receiver</v>
      </c>
      <c r="F1888" t="b">
        <f t="shared" si="179"/>
        <v>1</v>
      </c>
      <c r="G1888" t="str">
        <f t="shared" si="175"/>
        <v>1F4DE</v>
      </c>
      <c r="I1888">
        <f>HEX2DEC(Table1[[#This Row],[utf8]])</f>
        <v>128222</v>
      </c>
      <c r="J1888" t="str">
        <f>_xlfn.UNICHAR(HEX2DEC(Table1[[#This Row],[utf8]]))</f>
        <v>📞</v>
      </c>
      <c r="K1888" s="3" t="str" cm="1">
        <f t="array" ref="K1888">"Case "&amp;wRandomLetter()&amp;wRandomLetter()&amp;I1888&amp;":    UniConst = ChrW(" &amp; I1888 &amp;")"</f>
        <v>Case fc128222:    UniConst = ChrW(128222)</v>
      </c>
    </row>
    <row r="1889" spans="1:11" hidden="1">
      <c r="A1889" t="s">
        <v>3890</v>
      </c>
      <c r="B1889" t="str">
        <f t="shared" si="176"/>
        <v>1F4DF ; fully-qualified # 📟 E0.6 pager</v>
      </c>
      <c r="C1889" t="str">
        <f t="shared" si="177"/>
        <v xml:space="preserve">1F4DF </v>
      </c>
      <c r="D1889">
        <f t="shared" si="178"/>
        <v>6</v>
      </c>
      <c r="E1889" t="str">
        <f t="shared" si="174"/>
        <v xml:space="preserve"> 📟 E0.6 pager</v>
      </c>
      <c r="F1889" t="b">
        <f t="shared" si="179"/>
        <v>1</v>
      </c>
      <c r="G1889" t="str">
        <f t="shared" si="175"/>
        <v>1F4DF</v>
      </c>
      <c r="I1889">
        <f>HEX2DEC(Table1[[#This Row],[utf8]])</f>
        <v>128223</v>
      </c>
      <c r="J1889" t="str">
        <f>_xlfn.UNICHAR(HEX2DEC(Table1[[#This Row],[utf8]]))</f>
        <v>📟</v>
      </c>
      <c r="K1889" s="3" t="str" cm="1">
        <f t="array" ref="K1889">"Case "&amp;wRandomLetter()&amp;wRandomLetter()&amp;I1889&amp;":    UniConst = ChrW(" &amp; I1889 &amp;")"</f>
        <v>Case oN128223:    UniConst = ChrW(128223)</v>
      </c>
    </row>
    <row r="1890" spans="1:11" hidden="1">
      <c r="A1890" t="s">
        <v>3891</v>
      </c>
      <c r="B1890" t="str">
        <f t="shared" si="176"/>
        <v>1F4E0 ; fully-qualified # 📠 E0.6 fax machine</v>
      </c>
      <c r="C1890" t="str">
        <f t="shared" si="177"/>
        <v xml:space="preserve">1F4E0 </v>
      </c>
      <c r="D1890">
        <f t="shared" si="178"/>
        <v>6</v>
      </c>
      <c r="E1890" t="str">
        <f t="shared" si="174"/>
        <v xml:space="preserve"> 📠 E0.6 fax machine</v>
      </c>
      <c r="F1890" t="b">
        <f t="shared" si="179"/>
        <v>1</v>
      </c>
      <c r="G1890" t="str">
        <f t="shared" si="175"/>
        <v>1F4E0</v>
      </c>
      <c r="I1890">
        <f>HEX2DEC(Table1[[#This Row],[utf8]])</f>
        <v>128224</v>
      </c>
      <c r="J1890" t="str">
        <f>_xlfn.UNICHAR(HEX2DEC(Table1[[#This Row],[utf8]]))</f>
        <v>📠</v>
      </c>
      <c r="K1890" s="3" t="str" cm="1">
        <f t="array" ref="K1890">"Case "&amp;wRandomLetter()&amp;wRandomLetter()&amp;I1890&amp;":    UniConst = ChrW(" &amp; I1890 &amp;")"</f>
        <v>Case BL128224:    UniConst = ChrW(128224)</v>
      </c>
    </row>
    <row r="1891" spans="1:11" hidden="1">
      <c r="A1891" t="s">
        <v>4076</v>
      </c>
      <c r="B1891" t="str">
        <f t="shared" si="176"/>
        <v>1F4E1 ; fully-qualified # 📡 E0.6 satellite antenna</v>
      </c>
      <c r="C1891" t="str">
        <f t="shared" si="177"/>
        <v xml:space="preserve">1F4E1 </v>
      </c>
      <c r="D1891">
        <f t="shared" si="178"/>
        <v>6</v>
      </c>
      <c r="E1891" t="str">
        <f t="shared" si="174"/>
        <v xml:space="preserve"> 📡 E0.6 satellite antenna</v>
      </c>
      <c r="F1891" t="b">
        <f t="shared" si="179"/>
        <v>1</v>
      </c>
      <c r="G1891" t="str">
        <f t="shared" si="175"/>
        <v>1F4E1</v>
      </c>
      <c r="I1891">
        <f>HEX2DEC(Table1[[#This Row],[utf8]])</f>
        <v>128225</v>
      </c>
      <c r="J1891" t="str">
        <f>_xlfn.UNICHAR(HEX2DEC(Table1[[#This Row],[utf8]]))</f>
        <v>📡</v>
      </c>
      <c r="K1891" s="3" t="str" cm="1">
        <f t="array" ref="K1891">"Case "&amp;wRandomLetter()&amp;wRandomLetter()&amp;I1891&amp;":    UniConst = ChrW(" &amp; I1891 &amp;")"</f>
        <v>Case MI128225:    UniConst = ChrW(128225)</v>
      </c>
    </row>
    <row r="1892" spans="1:11" hidden="1">
      <c r="A1892" t="s">
        <v>3856</v>
      </c>
      <c r="B1892" t="str">
        <f t="shared" si="176"/>
        <v>1F4E2 ; fully-qualified # 📢 E0.6 loudspeaker</v>
      </c>
      <c r="C1892" t="str">
        <f t="shared" si="177"/>
        <v xml:space="preserve">1F4E2 </v>
      </c>
      <c r="D1892">
        <f t="shared" si="178"/>
        <v>6</v>
      </c>
      <c r="E1892" t="str">
        <f t="shared" si="174"/>
        <v xml:space="preserve"> 📢 E0.6 loudspeaker</v>
      </c>
      <c r="F1892" t="b">
        <f t="shared" si="179"/>
        <v>1</v>
      </c>
      <c r="G1892" t="str">
        <f t="shared" si="175"/>
        <v>1F4E2</v>
      </c>
      <c r="I1892">
        <f>HEX2DEC(Table1[[#This Row],[utf8]])</f>
        <v>128226</v>
      </c>
      <c r="J1892" t="str">
        <f>_xlfn.UNICHAR(HEX2DEC(Table1[[#This Row],[utf8]]))</f>
        <v>📢</v>
      </c>
      <c r="K1892" s="3" t="str" cm="1">
        <f t="array" ref="K1892">"Case "&amp;wRandomLetter()&amp;wRandomLetter()&amp;I1892&amp;":    UniConst = ChrW(" &amp; I1892 &amp;")"</f>
        <v>Case Ic128226:    UniConst = ChrW(128226)</v>
      </c>
    </row>
    <row r="1893" spans="1:11" hidden="1">
      <c r="A1893" t="s">
        <v>3857</v>
      </c>
      <c r="B1893" t="str">
        <f t="shared" si="176"/>
        <v>1F4E3 ; fully-qualified # 📣 E0.6 megaphone</v>
      </c>
      <c r="C1893" t="str">
        <f t="shared" si="177"/>
        <v xml:space="preserve">1F4E3 </v>
      </c>
      <c r="D1893">
        <f t="shared" si="178"/>
        <v>6</v>
      </c>
      <c r="E1893" t="str">
        <f t="shared" si="174"/>
        <v xml:space="preserve"> 📣 E0.6 megaphone</v>
      </c>
      <c r="F1893" t="b">
        <f t="shared" si="179"/>
        <v>1</v>
      </c>
      <c r="G1893" t="str">
        <f t="shared" si="175"/>
        <v>1F4E3</v>
      </c>
      <c r="I1893">
        <f>HEX2DEC(Table1[[#This Row],[utf8]])</f>
        <v>128227</v>
      </c>
      <c r="J1893" t="str">
        <f>_xlfn.UNICHAR(HEX2DEC(Table1[[#This Row],[utf8]]))</f>
        <v>📣</v>
      </c>
      <c r="K1893" s="3" t="str" cm="1">
        <f t="array" ref="K1893">"Case "&amp;wRandomLetter()&amp;wRandomLetter()&amp;I1893&amp;":    UniConst = ChrW(" &amp; I1893 &amp;")"</f>
        <v>Case qR128227:    UniConst = ChrW(128227)</v>
      </c>
    </row>
    <row r="1894" spans="1:11" hidden="1">
      <c r="A1894" t="s">
        <v>3968</v>
      </c>
      <c r="B1894" t="str">
        <f t="shared" si="176"/>
        <v>1F4E4 ; fully-qualified # 📤 E0.6 outbox tray</v>
      </c>
      <c r="C1894" t="str">
        <f t="shared" si="177"/>
        <v xml:space="preserve">1F4E4 </v>
      </c>
      <c r="D1894">
        <f t="shared" si="178"/>
        <v>6</v>
      </c>
      <c r="E1894" t="str">
        <f t="shared" si="174"/>
        <v xml:space="preserve"> 📤 E0.6 outbox tray</v>
      </c>
      <c r="F1894" t="b">
        <f t="shared" si="179"/>
        <v>1</v>
      </c>
      <c r="G1894" t="str">
        <f t="shared" si="175"/>
        <v>1F4E4</v>
      </c>
      <c r="I1894">
        <f>HEX2DEC(Table1[[#This Row],[utf8]])</f>
        <v>128228</v>
      </c>
      <c r="J1894" t="str">
        <f>_xlfn.UNICHAR(HEX2DEC(Table1[[#This Row],[utf8]]))</f>
        <v>📤</v>
      </c>
      <c r="K1894" s="3" t="str" cm="1">
        <f t="array" ref="K1894">"Case "&amp;wRandomLetter()&amp;wRandomLetter()&amp;I1894&amp;":    UniConst = ChrW(" &amp; I1894 &amp;")"</f>
        <v>Case CX128228:    UniConst = ChrW(128228)</v>
      </c>
    </row>
    <row r="1895" spans="1:11" hidden="1">
      <c r="A1895" t="s">
        <v>3969</v>
      </c>
      <c r="B1895" t="str">
        <f t="shared" si="176"/>
        <v>1F4E5 ; fully-qualified # 📥 E0.6 inbox tray</v>
      </c>
      <c r="C1895" t="str">
        <f t="shared" si="177"/>
        <v xml:space="preserve">1F4E5 </v>
      </c>
      <c r="D1895">
        <f t="shared" si="178"/>
        <v>6</v>
      </c>
      <c r="E1895" t="str">
        <f t="shared" si="174"/>
        <v xml:space="preserve"> 📥 E0.6 inbox tray</v>
      </c>
      <c r="F1895" t="b">
        <f t="shared" si="179"/>
        <v>1</v>
      </c>
      <c r="G1895" t="str">
        <f t="shared" si="175"/>
        <v>1F4E5</v>
      </c>
      <c r="I1895">
        <f>HEX2DEC(Table1[[#This Row],[utf8]])</f>
        <v>128229</v>
      </c>
      <c r="J1895" t="str">
        <f>_xlfn.UNICHAR(HEX2DEC(Table1[[#This Row],[utf8]]))</f>
        <v>📥</v>
      </c>
      <c r="K1895" s="3" t="str" cm="1">
        <f t="array" ref="K1895">"Case "&amp;wRandomLetter()&amp;wRandomLetter()&amp;I1895&amp;":    UniConst = ChrW(" &amp; I1895 &amp;")"</f>
        <v>Case ef128229:    UniConst = ChrW(128229)</v>
      </c>
    </row>
    <row r="1896" spans="1:11" hidden="1">
      <c r="A1896" t="s">
        <v>3970</v>
      </c>
      <c r="B1896" t="str">
        <f t="shared" si="176"/>
        <v>1F4E6 ; fully-qualified # 📦 E0.6 package</v>
      </c>
      <c r="C1896" t="str">
        <f t="shared" si="177"/>
        <v xml:space="preserve">1F4E6 </v>
      </c>
      <c r="D1896">
        <f t="shared" si="178"/>
        <v>6</v>
      </c>
      <c r="E1896" t="str">
        <f t="shared" si="174"/>
        <v xml:space="preserve"> 📦 E0.6 package</v>
      </c>
      <c r="F1896" t="b">
        <f t="shared" si="179"/>
        <v>1</v>
      </c>
      <c r="G1896" t="str">
        <f t="shared" si="175"/>
        <v>1F4E6</v>
      </c>
      <c r="I1896">
        <f>HEX2DEC(Table1[[#This Row],[utf8]])</f>
        <v>128230</v>
      </c>
      <c r="J1896" t="str">
        <f>_xlfn.UNICHAR(HEX2DEC(Table1[[#This Row],[utf8]]))</f>
        <v>📦</v>
      </c>
      <c r="K1896" s="3" t="str" cm="1">
        <f t="array" ref="K1896">"Case "&amp;wRandomLetter()&amp;wRandomLetter()&amp;I1896&amp;":    UniConst = ChrW(" &amp; I1896 &amp;")"</f>
        <v>Case hj128230:    UniConst = ChrW(128230)</v>
      </c>
    </row>
    <row r="1897" spans="1:11" hidden="1">
      <c r="A1897" t="s">
        <v>3965</v>
      </c>
      <c r="B1897" t="str">
        <f t="shared" si="176"/>
        <v>1F4E7 ; fully-qualified # 📧 E0.6 e-mail</v>
      </c>
      <c r="C1897" t="str">
        <f t="shared" si="177"/>
        <v xml:space="preserve">1F4E7 </v>
      </c>
      <c r="D1897">
        <f t="shared" si="178"/>
        <v>6</v>
      </c>
      <c r="E1897" t="str">
        <f t="shared" si="174"/>
        <v xml:space="preserve"> 📧 E0.6 e-mail</v>
      </c>
      <c r="F1897" t="b">
        <f t="shared" si="179"/>
        <v>1</v>
      </c>
      <c r="G1897" t="str">
        <f t="shared" si="175"/>
        <v>1F4E7</v>
      </c>
      <c r="I1897">
        <f>HEX2DEC(Table1[[#This Row],[utf8]])</f>
        <v>128231</v>
      </c>
      <c r="J1897" t="str">
        <f>_xlfn.UNICHAR(HEX2DEC(Table1[[#This Row],[utf8]]))</f>
        <v>📧</v>
      </c>
      <c r="K1897" s="3" t="str" cm="1">
        <f t="array" ref="K1897">"Case "&amp;wRandomLetter()&amp;wRandomLetter()&amp;I1897&amp;":    UniConst = ChrW(" &amp; I1897 &amp;")"</f>
        <v>Case mc128231:    UniConst = ChrW(128231)</v>
      </c>
    </row>
    <row r="1898" spans="1:11" hidden="1">
      <c r="A1898" t="s">
        <v>3966</v>
      </c>
      <c r="B1898" t="str">
        <f t="shared" si="176"/>
        <v>1F4E8 ; fully-qualified # 📨 E0.6 incoming envelope</v>
      </c>
      <c r="C1898" t="str">
        <f t="shared" si="177"/>
        <v xml:space="preserve">1F4E8 </v>
      </c>
      <c r="D1898">
        <f t="shared" si="178"/>
        <v>6</v>
      </c>
      <c r="E1898" t="str">
        <f t="shared" si="174"/>
        <v xml:space="preserve"> 📨 E0.6 incoming envelope</v>
      </c>
      <c r="F1898" t="b">
        <f t="shared" si="179"/>
        <v>1</v>
      </c>
      <c r="G1898" t="str">
        <f t="shared" si="175"/>
        <v>1F4E8</v>
      </c>
      <c r="I1898">
        <f>HEX2DEC(Table1[[#This Row],[utf8]])</f>
        <v>128232</v>
      </c>
      <c r="J1898" t="str">
        <f>_xlfn.UNICHAR(HEX2DEC(Table1[[#This Row],[utf8]]))</f>
        <v>📨</v>
      </c>
      <c r="K1898" s="3" t="str" cm="1">
        <f t="array" ref="K1898">"Case "&amp;wRandomLetter()&amp;wRandomLetter()&amp;I1898&amp;":    UniConst = ChrW(" &amp; I1898 &amp;")"</f>
        <v>Case yU128232:    UniConst = ChrW(128232)</v>
      </c>
    </row>
    <row r="1899" spans="1:11" hidden="1">
      <c r="A1899" t="s">
        <v>3967</v>
      </c>
      <c r="B1899" t="str">
        <f t="shared" si="176"/>
        <v>1F4E9 ; fully-qualified # 📩 E0.6 envelope with arrow</v>
      </c>
      <c r="C1899" t="str">
        <f t="shared" si="177"/>
        <v xml:space="preserve">1F4E9 </v>
      </c>
      <c r="D1899">
        <f t="shared" si="178"/>
        <v>6</v>
      </c>
      <c r="E1899" t="str">
        <f t="shared" si="174"/>
        <v xml:space="preserve"> 📩 E0.6 envelope with arrow</v>
      </c>
      <c r="F1899" t="b">
        <f t="shared" si="179"/>
        <v>1</v>
      </c>
      <c r="G1899" t="str">
        <f t="shared" si="175"/>
        <v>1F4E9</v>
      </c>
      <c r="I1899">
        <f>HEX2DEC(Table1[[#This Row],[utf8]])</f>
        <v>128233</v>
      </c>
      <c r="J1899" t="str">
        <f>_xlfn.UNICHAR(HEX2DEC(Table1[[#This Row],[utf8]]))</f>
        <v>📩</v>
      </c>
      <c r="K1899" s="3" t="str" cm="1">
        <f t="array" ref="K1899">"Case "&amp;wRandomLetter()&amp;wRandomLetter()&amp;I1899&amp;":    UniConst = ChrW(" &amp; I1899 &amp;")"</f>
        <v>Case Tz128233:    UniConst = ChrW(128233)</v>
      </c>
    </row>
    <row r="1900" spans="1:11" hidden="1">
      <c r="A1900" t="s">
        <v>3972</v>
      </c>
      <c r="B1900" t="str">
        <f t="shared" si="176"/>
        <v>1F4EA ; fully-qualified # 📪 E0.6 closed mailbox with lowered flag</v>
      </c>
      <c r="C1900" t="str">
        <f t="shared" si="177"/>
        <v xml:space="preserve">1F4EA </v>
      </c>
      <c r="D1900">
        <f t="shared" si="178"/>
        <v>6</v>
      </c>
      <c r="E1900" t="str">
        <f t="shared" si="174"/>
        <v xml:space="preserve"> 📪 E0.6 closed mailbox with lowered flag</v>
      </c>
      <c r="F1900" t="b">
        <f t="shared" si="179"/>
        <v>1</v>
      </c>
      <c r="G1900" t="str">
        <f t="shared" si="175"/>
        <v>1F4EA</v>
      </c>
      <c r="I1900">
        <f>HEX2DEC(Table1[[#This Row],[utf8]])</f>
        <v>128234</v>
      </c>
      <c r="J1900" t="str">
        <f>_xlfn.UNICHAR(HEX2DEC(Table1[[#This Row],[utf8]]))</f>
        <v>📪</v>
      </c>
      <c r="K1900" s="3" t="str" cm="1">
        <f t="array" ref="K1900">"Case "&amp;wRandomLetter()&amp;wRandomLetter()&amp;I1900&amp;":    UniConst = ChrW(" &amp; I1900 &amp;")"</f>
        <v>Case qR128234:    UniConst = ChrW(128234)</v>
      </c>
    </row>
    <row r="1901" spans="1:11" hidden="1">
      <c r="A1901" t="s">
        <v>3971</v>
      </c>
      <c r="B1901" t="str">
        <f t="shared" si="176"/>
        <v>1F4EB ; fully-qualified # 📫 E0.6 closed mailbox with raised flag</v>
      </c>
      <c r="C1901" t="str">
        <f t="shared" si="177"/>
        <v xml:space="preserve">1F4EB </v>
      </c>
      <c r="D1901">
        <f t="shared" si="178"/>
        <v>6</v>
      </c>
      <c r="E1901" t="str">
        <f t="shared" si="174"/>
        <v xml:space="preserve"> 📫 E0.6 closed mailbox with raised flag</v>
      </c>
      <c r="F1901" t="b">
        <f t="shared" si="179"/>
        <v>1</v>
      </c>
      <c r="G1901" t="str">
        <f t="shared" si="175"/>
        <v>1F4EB</v>
      </c>
      <c r="I1901">
        <f>HEX2DEC(Table1[[#This Row],[utf8]])</f>
        <v>128235</v>
      </c>
      <c r="J1901" t="str">
        <f>_xlfn.UNICHAR(HEX2DEC(Table1[[#This Row],[utf8]]))</f>
        <v>📫</v>
      </c>
      <c r="K1901" s="3" t="str" cm="1">
        <f t="array" ref="K1901">"Case "&amp;wRandomLetter()&amp;wRandomLetter()&amp;I1901&amp;":    UniConst = ChrW(" &amp; I1901 &amp;")"</f>
        <v>Case cA128235:    UniConst = ChrW(128235)</v>
      </c>
    </row>
    <row r="1902" spans="1:11" hidden="1">
      <c r="A1902" t="s">
        <v>3973</v>
      </c>
      <c r="B1902" t="str">
        <f t="shared" si="176"/>
        <v>1F4EC ; fully-qualified # 📬 E0.7 open mailbox with raised flag</v>
      </c>
      <c r="C1902" t="str">
        <f t="shared" si="177"/>
        <v xml:space="preserve">1F4EC </v>
      </c>
      <c r="D1902">
        <f t="shared" si="178"/>
        <v>6</v>
      </c>
      <c r="E1902" t="str">
        <f t="shared" si="174"/>
        <v xml:space="preserve"> 📬 E0.7 open mailbox with raised flag</v>
      </c>
      <c r="F1902" t="b">
        <f t="shared" si="179"/>
        <v>1</v>
      </c>
      <c r="G1902" t="str">
        <f t="shared" si="175"/>
        <v>1F4EC</v>
      </c>
      <c r="I1902">
        <f>HEX2DEC(Table1[[#This Row],[utf8]])</f>
        <v>128236</v>
      </c>
      <c r="J1902" t="str">
        <f>_xlfn.UNICHAR(HEX2DEC(Table1[[#This Row],[utf8]]))</f>
        <v>📬</v>
      </c>
      <c r="K1902" s="3" t="str" cm="1">
        <f t="array" ref="K1902">"Case "&amp;wRandomLetter()&amp;wRandomLetter()&amp;I1902&amp;":    UniConst = ChrW(" &amp; I1902 &amp;")"</f>
        <v>Case Mf128236:    UniConst = ChrW(128236)</v>
      </c>
    </row>
    <row r="1903" spans="1:11" hidden="1">
      <c r="A1903" t="s">
        <v>3974</v>
      </c>
      <c r="B1903" t="str">
        <f t="shared" si="176"/>
        <v>1F4ED ; fully-qualified # 📭 E0.7 open mailbox with lowered flag</v>
      </c>
      <c r="C1903" t="str">
        <f t="shared" si="177"/>
        <v xml:space="preserve">1F4ED </v>
      </c>
      <c r="D1903">
        <f t="shared" si="178"/>
        <v>6</v>
      </c>
      <c r="E1903" t="str">
        <f t="shared" si="174"/>
        <v xml:space="preserve"> 📭 E0.7 open mailbox with lowered flag</v>
      </c>
      <c r="F1903" t="b">
        <f t="shared" si="179"/>
        <v>1</v>
      </c>
      <c r="G1903" t="str">
        <f t="shared" si="175"/>
        <v>1F4ED</v>
      </c>
      <c r="I1903">
        <f>HEX2DEC(Table1[[#This Row],[utf8]])</f>
        <v>128237</v>
      </c>
      <c r="J1903" t="str">
        <f>_xlfn.UNICHAR(HEX2DEC(Table1[[#This Row],[utf8]]))</f>
        <v>📭</v>
      </c>
      <c r="K1903" s="3" t="str" cm="1">
        <f t="array" ref="K1903">"Case "&amp;wRandomLetter()&amp;wRandomLetter()&amp;I1903&amp;":    UniConst = ChrW(" &amp; I1903 &amp;")"</f>
        <v>Case yK128237:    UniConst = ChrW(128237)</v>
      </c>
    </row>
    <row r="1904" spans="1:11" hidden="1">
      <c r="A1904" t="s">
        <v>3975</v>
      </c>
      <c r="B1904" t="str">
        <f t="shared" si="176"/>
        <v>1F4EE ; fully-qualified # 📮 E0.6 postbox</v>
      </c>
      <c r="C1904" t="str">
        <f t="shared" si="177"/>
        <v xml:space="preserve">1F4EE </v>
      </c>
      <c r="D1904">
        <f t="shared" si="178"/>
        <v>6</v>
      </c>
      <c r="E1904" t="str">
        <f t="shared" si="174"/>
        <v xml:space="preserve"> 📮 E0.6 postbox</v>
      </c>
      <c r="F1904" t="b">
        <f t="shared" si="179"/>
        <v>1</v>
      </c>
      <c r="G1904" t="str">
        <f t="shared" si="175"/>
        <v>1F4EE</v>
      </c>
      <c r="I1904">
        <f>HEX2DEC(Table1[[#This Row],[utf8]])</f>
        <v>128238</v>
      </c>
      <c r="J1904" t="str">
        <f>_xlfn.UNICHAR(HEX2DEC(Table1[[#This Row],[utf8]]))</f>
        <v>📮</v>
      </c>
      <c r="K1904" s="3" t="str" cm="1">
        <f t="array" ref="K1904">"Case "&amp;wRandomLetter()&amp;wRandomLetter()&amp;I1904&amp;":    UniConst = ChrW(" &amp; I1904 &amp;")"</f>
        <v>Case oj128238:    UniConst = ChrW(128238)</v>
      </c>
    </row>
    <row r="1905" spans="1:11" hidden="1">
      <c r="A1905" t="s">
        <v>3858</v>
      </c>
      <c r="B1905" t="str">
        <f t="shared" si="176"/>
        <v>1F4EF ; fully-qualified # 📯 E1.0 postal horn</v>
      </c>
      <c r="C1905" t="str">
        <f t="shared" si="177"/>
        <v xml:space="preserve">1F4EF </v>
      </c>
      <c r="D1905">
        <f t="shared" si="178"/>
        <v>6</v>
      </c>
      <c r="E1905" t="str">
        <f t="shared" si="174"/>
        <v xml:space="preserve"> 📯 E1.0 postal horn</v>
      </c>
      <c r="F1905" t="b">
        <f t="shared" si="179"/>
        <v>1</v>
      </c>
      <c r="G1905" t="str">
        <f t="shared" si="175"/>
        <v>1F4EF</v>
      </c>
      <c r="I1905">
        <f>HEX2DEC(Table1[[#This Row],[utf8]])</f>
        <v>128239</v>
      </c>
      <c r="J1905" t="str">
        <f>_xlfn.UNICHAR(HEX2DEC(Table1[[#This Row],[utf8]]))</f>
        <v>📯</v>
      </c>
      <c r="K1905" s="3" t="str" cm="1">
        <f t="array" ref="K1905">"Case "&amp;wRandomLetter()&amp;wRandomLetter()&amp;I1905&amp;":    UniConst = ChrW(" &amp; I1905 &amp;")"</f>
        <v>Case XF128239:    UniConst = ChrW(128239)</v>
      </c>
    </row>
    <row r="1906" spans="1:11" hidden="1">
      <c r="A1906" t="s">
        <v>3944</v>
      </c>
      <c r="B1906" t="str">
        <f t="shared" si="176"/>
        <v>1F4F0 ; fully-qualified # 📰 E0.6 newspaper</v>
      </c>
      <c r="C1906" t="str">
        <f t="shared" si="177"/>
        <v xml:space="preserve">1F4F0 </v>
      </c>
      <c r="D1906">
        <f t="shared" si="178"/>
        <v>6</v>
      </c>
      <c r="E1906" t="str">
        <f t="shared" si="174"/>
        <v xml:space="preserve"> 📰 E0.6 newspaper</v>
      </c>
      <c r="F1906" t="b">
        <f t="shared" si="179"/>
        <v>1</v>
      </c>
      <c r="G1906" t="str">
        <f t="shared" si="175"/>
        <v>1F4F0</v>
      </c>
      <c r="I1906">
        <f>HEX2DEC(Table1[[#This Row],[utf8]])</f>
        <v>128240</v>
      </c>
      <c r="J1906" t="str">
        <f>_xlfn.UNICHAR(HEX2DEC(Table1[[#This Row],[utf8]]))</f>
        <v>📰</v>
      </c>
      <c r="K1906" s="3" t="str" cm="1">
        <f t="array" ref="K1906">"Case "&amp;wRandomLetter()&amp;wRandomLetter()&amp;I1906&amp;":    UniConst = ChrW(" &amp; I1906 &amp;")"</f>
        <v>Case sZ128240:    UniConst = ChrW(128240)</v>
      </c>
    </row>
    <row r="1907" spans="1:11" hidden="1">
      <c r="A1907" t="s">
        <v>3885</v>
      </c>
      <c r="B1907" t="str">
        <f t="shared" si="176"/>
        <v>1F4F1 ; fully-qualified # 📱 E0.6 mobile phone</v>
      </c>
      <c r="C1907" t="str">
        <f t="shared" si="177"/>
        <v xml:space="preserve">1F4F1 </v>
      </c>
      <c r="D1907">
        <f t="shared" si="178"/>
        <v>6</v>
      </c>
      <c r="E1907" t="str">
        <f t="shared" si="174"/>
        <v xml:space="preserve"> 📱 E0.6 mobile phone</v>
      </c>
      <c r="F1907" t="b">
        <f t="shared" si="179"/>
        <v>1</v>
      </c>
      <c r="G1907" t="str">
        <f t="shared" si="175"/>
        <v>1F4F1</v>
      </c>
      <c r="I1907">
        <f>HEX2DEC(Table1[[#This Row],[utf8]])</f>
        <v>128241</v>
      </c>
      <c r="J1907" t="str">
        <f>_xlfn.UNICHAR(HEX2DEC(Table1[[#This Row],[utf8]]))</f>
        <v>📱</v>
      </c>
      <c r="K1907" s="3" t="str" cm="1">
        <f t="array" ref="K1907">"Case "&amp;wRandomLetter()&amp;wRandomLetter()&amp;I1907&amp;":    UniConst = ChrW(" &amp; I1907 &amp;")"</f>
        <v>Case xK128241:    UniConst = ChrW(128241)</v>
      </c>
    </row>
    <row r="1908" spans="1:11" hidden="1">
      <c r="A1908" t="s">
        <v>3886</v>
      </c>
      <c r="B1908" t="str">
        <f t="shared" si="176"/>
        <v>1F4F2 ; fully-qualified # 📲 E0.6 mobile phone with arrow</v>
      </c>
      <c r="C1908" t="str">
        <f t="shared" si="177"/>
        <v xml:space="preserve">1F4F2 </v>
      </c>
      <c r="D1908">
        <f t="shared" si="178"/>
        <v>6</v>
      </c>
      <c r="E1908" t="str">
        <f t="shared" si="174"/>
        <v xml:space="preserve"> 📲 E0.6 mobile phone with arrow</v>
      </c>
      <c r="F1908" t="b">
        <f t="shared" si="179"/>
        <v>1</v>
      </c>
      <c r="G1908" t="str">
        <f t="shared" si="175"/>
        <v>1F4F2</v>
      </c>
      <c r="I1908">
        <f>HEX2DEC(Table1[[#This Row],[utf8]])</f>
        <v>128242</v>
      </c>
      <c r="J1908" t="str">
        <f>_xlfn.UNICHAR(HEX2DEC(Table1[[#This Row],[utf8]]))</f>
        <v>📲</v>
      </c>
      <c r="K1908" s="3" t="str" cm="1">
        <f t="array" ref="K1908">"Case "&amp;wRandomLetter()&amp;wRandomLetter()&amp;I1908&amp;":    UniConst = ChrW(" &amp; I1908 &amp;")"</f>
        <v>Case YR128242:    UniConst = ChrW(128242)</v>
      </c>
    </row>
    <row r="1909" spans="1:11" hidden="1">
      <c r="A1909" t="s">
        <v>4257</v>
      </c>
      <c r="B1909" t="str">
        <f t="shared" si="176"/>
        <v>1F4F3 ; fully-qualified # 📳 E0.6 vibration mode</v>
      </c>
      <c r="C1909" t="str">
        <f t="shared" si="177"/>
        <v xml:space="preserve">1F4F3 </v>
      </c>
      <c r="D1909">
        <f t="shared" si="178"/>
        <v>6</v>
      </c>
      <c r="E1909" t="str">
        <f t="shared" si="174"/>
        <v xml:space="preserve"> 📳 E0.6 vibration mode</v>
      </c>
      <c r="F1909" t="b">
        <f t="shared" si="179"/>
        <v>1</v>
      </c>
      <c r="G1909" t="str">
        <f t="shared" si="175"/>
        <v>1F4F3</v>
      </c>
      <c r="I1909">
        <f>HEX2DEC(Table1[[#This Row],[utf8]])</f>
        <v>128243</v>
      </c>
      <c r="J1909" t="str">
        <f>_xlfn.UNICHAR(HEX2DEC(Table1[[#This Row],[utf8]]))</f>
        <v>📳</v>
      </c>
      <c r="K1909" s="3" t="str" cm="1">
        <f t="array" ref="K1909">"Case "&amp;wRandomLetter()&amp;wRandomLetter()&amp;I1909&amp;":    UniConst = ChrW(" &amp; I1909 &amp;")"</f>
        <v>Case AM128243:    UniConst = ChrW(128243)</v>
      </c>
    </row>
    <row r="1910" spans="1:11" hidden="1">
      <c r="A1910" t="s">
        <v>4258</v>
      </c>
      <c r="B1910" t="str">
        <f t="shared" si="176"/>
        <v>1F4F4 ; fully-qualified # 📴 E0.6 mobile phone off</v>
      </c>
      <c r="C1910" t="str">
        <f t="shared" si="177"/>
        <v xml:space="preserve">1F4F4 </v>
      </c>
      <c r="D1910">
        <f t="shared" si="178"/>
        <v>6</v>
      </c>
      <c r="E1910" t="str">
        <f t="shared" si="174"/>
        <v xml:space="preserve"> 📴 E0.6 mobile phone off</v>
      </c>
      <c r="F1910" t="b">
        <f t="shared" si="179"/>
        <v>1</v>
      </c>
      <c r="G1910" t="str">
        <f t="shared" si="175"/>
        <v>1F4F4</v>
      </c>
      <c r="I1910">
        <f>HEX2DEC(Table1[[#This Row],[utf8]])</f>
        <v>128244</v>
      </c>
      <c r="J1910" t="str">
        <f>_xlfn.UNICHAR(HEX2DEC(Table1[[#This Row],[utf8]]))</f>
        <v>📴</v>
      </c>
      <c r="K1910" s="3" t="str" cm="1">
        <f t="array" ref="K1910">"Case "&amp;wRandomLetter()&amp;wRandomLetter()&amp;I1910&amp;":    UniConst = ChrW(" &amp; I1910 &amp;")"</f>
        <v>Case Ic128244:    UniConst = ChrW(128244)</v>
      </c>
    </row>
    <row r="1911" spans="1:11" hidden="1">
      <c r="A1911" t="s">
        <v>4147</v>
      </c>
      <c r="B1911" t="str">
        <f t="shared" si="176"/>
        <v>1F4F5 ; fully-qualified # 📵 E1.0 no mobile phones</v>
      </c>
      <c r="C1911" t="str">
        <f t="shared" si="177"/>
        <v xml:space="preserve">1F4F5 </v>
      </c>
      <c r="D1911">
        <f t="shared" si="178"/>
        <v>6</v>
      </c>
      <c r="E1911" t="str">
        <f t="shared" si="174"/>
        <v xml:space="preserve"> 📵 E1.0 no mobile phones</v>
      </c>
      <c r="F1911" t="b">
        <f t="shared" si="179"/>
        <v>1</v>
      </c>
      <c r="G1911" t="str">
        <f t="shared" si="175"/>
        <v>1F4F5</v>
      </c>
      <c r="I1911">
        <f>HEX2DEC(Table1[[#This Row],[utf8]])</f>
        <v>128245</v>
      </c>
      <c r="J1911" t="str">
        <f>_xlfn.UNICHAR(HEX2DEC(Table1[[#This Row],[utf8]]))</f>
        <v>📵</v>
      </c>
      <c r="K1911" s="3" t="str" cm="1">
        <f t="array" ref="K1911">"Case "&amp;wRandomLetter()&amp;wRandomLetter()&amp;I1911&amp;":    UniConst = ChrW(" &amp; I1911 &amp;")"</f>
        <v>Case gP128245:    UniConst = ChrW(128245)</v>
      </c>
    </row>
    <row r="1912" spans="1:11" hidden="1">
      <c r="A1912" t="s">
        <v>4256</v>
      </c>
      <c r="B1912" t="str">
        <f t="shared" si="176"/>
        <v>1F4F6 ; fully-qualified # 📶 E0.6 antenna bars</v>
      </c>
      <c r="C1912" t="str">
        <f t="shared" si="177"/>
        <v xml:space="preserve">1F4F6 </v>
      </c>
      <c r="D1912">
        <f t="shared" si="178"/>
        <v>6</v>
      </c>
      <c r="E1912" t="str">
        <f t="shared" si="174"/>
        <v xml:space="preserve"> 📶 E0.6 antenna bars</v>
      </c>
      <c r="F1912" t="b">
        <f t="shared" si="179"/>
        <v>1</v>
      </c>
      <c r="G1912" t="str">
        <f t="shared" si="175"/>
        <v>1F4F6</v>
      </c>
      <c r="I1912">
        <f>HEX2DEC(Table1[[#This Row],[utf8]])</f>
        <v>128246</v>
      </c>
      <c r="J1912" t="str">
        <f>_xlfn.UNICHAR(HEX2DEC(Table1[[#This Row],[utf8]]))</f>
        <v>📶</v>
      </c>
      <c r="K1912" s="3" t="str" cm="1">
        <f t="array" ref="K1912">"Case "&amp;wRandomLetter()&amp;wRandomLetter()&amp;I1912&amp;":    UniConst = ChrW(" &amp; I1912 &amp;")"</f>
        <v>Case DG128246:    UniConst = ChrW(128246)</v>
      </c>
    </row>
    <row r="1913" spans="1:11" hidden="1">
      <c r="A1913" t="s">
        <v>3919</v>
      </c>
      <c r="B1913" t="str">
        <f t="shared" si="176"/>
        <v>1F4F7 ; fully-qualified # 📷 E0.6 camera</v>
      </c>
      <c r="C1913" t="str">
        <f t="shared" si="177"/>
        <v xml:space="preserve">1F4F7 </v>
      </c>
      <c r="D1913">
        <f t="shared" si="178"/>
        <v>6</v>
      </c>
      <c r="E1913" t="str">
        <f t="shared" si="174"/>
        <v xml:space="preserve"> 📷 E0.6 camera</v>
      </c>
      <c r="F1913" t="b">
        <f t="shared" si="179"/>
        <v>1</v>
      </c>
      <c r="G1913" t="str">
        <f t="shared" si="175"/>
        <v>1F4F7</v>
      </c>
      <c r="I1913">
        <f>HEX2DEC(Table1[[#This Row],[utf8]])</f>
        <v>128247</v>
      </c>
      <c r="J1913" t="str">
        <f>_xlfn.UNICHAR(HEX2DEC(Table1[[#This Row],[utf8]]))</f>
        <v>📷</v>
      </c>
      <c r="K1913" s="3" t="str" cm="1">
        <f t="array" ref="K1913">"Case "&amp;wRandomLetter()&amp;wRandomLetter()&amp;I1913&amp;":    UniConst = ChrW(" &amp; I1913 &amp;")"</f>
        <v>Case AA128247:    UniConst = ChrW(128247)</v>
      </c>
    </row>
    <row r="1914" spans="1:11" hidden="1">
      <c r="A1914" t="s">
        <v>3920</v>
      </c>
      <c r="B1914" t="str">
        <f t="shared" si="176"/>
        <v>1F4F8 ; fully-qualified # 📸 E1.0 camera with flash</v>
      </c>
      <c r="C1914" t="str">
        <f t="shared" si="177"/>
        <v xml:space="preserve">1F4F8 </v>
      </c>
      <c r="D1914">
        <f t="shared" si="178"/>
        <v>6</v>
      </c>
      <c r="E1914" t="str">
        <f t="shared" si="174"/>
        <v xml:space="preserve"> 📸 E1.0 camera with flash</v>
      </c>
      <c r="F1914" t="b">
        <f t="shared" si="179"/>
        <v>1</v>
      </c>
      <c r="G1914" t="str">
        <f t="shared" si="175"/>
        <v>1F4F8</v>
      </c>
      <c r="I1914">
        <f>HEX2DEC(Table1[[#This Row],[utf8]])</f>
        <v>128248</v>
      </c>
      <c r="J1914" t="str">
        <f>_xlfn.UNICHAR(HEX2DEC(Table1[[#This Row],[utf8]]))</f>
        <v>📸</v>
      </c>
      <c r="K1914" s="3" t="str" cm="1">
        <f t="array" ref="K1914">"Case "&amp;wRandomLetter()&amp;wRandomLetter()&amp;I1914&amp;":    UniConst = ChrW(" &amp; I1914 &amp;")"</f>
        <v>Case sO128248:    UniConst = ChrW(128248)</v>
      </c>
    </row>
    <row r="1915" spans="1:11" hidden="1">
      <c r="A1915" t="s">
        <v>3921</v>
      </c>
      <c r="B1915" t="str">
        <f t="shared" si="176"/>
        <v>1F4F9 ; fully-qualified # 📹 E0.6 video camera</v>
      </c>
      <c r="C1915" t="str">
        <f t="shared" si="177"/>
        <v xml:space="preserve">1F4F9 </v>
      </c>
      <c r="D1915">
        <f t="shared" si="178"/>
        <v>6</v>
      </c>
      <c r="E1915" t="str">
        <f t="shared" si="174"/>
        <v xml:space="preserve"> 📹 E0.6 video camera</v>
      </c>
      <c r="F1915" t="b">
        <f t="shared" si="179"/>
        <v>1</v>
      </c>
      <c r="G1915" t="str">
        <f t="shared" si="175"/>
        <v>1F4F9</v>
      </c>
      <c r="I1915">
        <f>HEX2DEC(Table1[[#This Row],[utf8]])</f>
        <v>128249</v>
      </c>
      <c r="J1915" t="str">
        <f>_xlfn.UNICHAR(HEX2DEC(Table1[[#This Row],[utf8]]))</f>
        <v>📹</v>
      </c>
      <c r="K1915" s="3" t="str" cm="1">
        <f t="array" ref="K1915">"Case "&amp;wRandomLetter()&amp;wRandomLetter()&amp;I1915&amp;":    UniConst = ChrW(" &amp; I1915 &amp;")"</f>
        <v>Case oF128249:    UniConst = ChrW(128249)</v>
      </c>
    </row>
    <row r="1916" spans="1:11" hidden="1">
      <c r="A1916" t="s">
        <v>3918</v>
      </c>
      <c r="B1916" t="str">
        <f t="shared" si="176"/>
        <v>1F4FA ; fully-qualified # 📺 E0.6 television</v>
      </c>
      <c r="C1916" t="str">
        <f t="shared" si="177"/>
        <v xml:space="preserve">1F4FA </v>
      </c>
      <c r="D1916">
        <f t="shared" si="178"/>
        <v>6</v>
      </c>
      <c r="E1916" t="str">
        <f t="shared" si="174"/>
        <v xml:space="preserve"> 📺 E0.6 television</v>
      </c>
      <c r="F1916" t="b">
        <f t="shared" si="179"/>
        <v>1</v>
      </c>
      <c r="G1916" t="str">
        <f t="shared" si="175"/>
        <v>1F4FA</v>
      </c>
      <c r="I1916">
        <f>HEX2DEC(Table1[[#This Row],[utf8]])</f>
        <v>128250</v>
      </c>
      <c r="J1916" t="str">
        <f>_xlfn.UNICHAR(HEX2DEC(Table1[[#This Row],[utf8]]))</f>
        <v>📺</v>
      </c>
      <c r="K1916" s="3" t="str" cm="1">
        <f t="array" ref="K1916">"Case "&amp;wRandomLetter()&amp;wRandomLetter()&amp;I1916&amp;":    UniConst = ChrW(" &amp; I1916 &amp;")"</f>
        <v>Case qh128250:    UniConst = ChrW(128250)</v>
      </c>
    </row>
    <row r="1917" spans="1:11" hidden="1">
      <c r="A1917" t="s">
        <v>3873</v>
      </c>
      <c r="B1917" t="str">
        <f t="shared" si="176"/>
        <v>1F4FB ; fully-qualified # 📻 E0.6 radio</v>
      </c>
      <c r="C1917" t="str">
        <f t="shared" si="177"/>
        <v xml:space="preserve">1F4FB </v>
      </c>
      <c r="D1917">
        <f t="shared" si="178"/>
        <v>6</v>
      </c>
      <c r="E1917" t="str">
        <f t="shared" si="174"/>
        <v xml:space="preserve"> 📻 E0.6 radio</v>
      </c>
      <c r="F1917" t="b">
        <f t="shared" si="179"/>
        <v>1</v>
      </c>
      <c r="G1917" t="str">
        <f t="shared" si="175"/>
        <v>1F4FB</v>
      </c>
      <c r="I1917">
        <f>HEX2DEC(Table1[[#This Row],[utf8]])</f>
        <v>128251</v>
      </c>
      <c r="J1917" t="str">
        <f>_xlfn.UNICHAR(HEX2DEC(Table1[[#This Row],[utf8]]))</f>
        <v>📻</v>
      </c>
      <c r="K1917" s="3" t="str" cm="1">
        <f t="array" ref="K1917">"Case "&amp;wRandomLetter()&amp;wRandomLetter()&amp;I1917&amp;":    UniConst = ChrW(" &amp; I1917 &amp;")"</f>
        <v>Case LJ128251:    UniConst = ChrW(128251)</v>
      </c>
    </row>
    <row r="1918" spans="1:11" hidden="1">
      <c r="A1918" t="s">
        <v>3922</v>
      </c>
      <c r="B1918" t="str">
        <f t="shared" si="176"/>
        <v>1F4FC ; fully-qualified # 📼 E0.6 videocassette</v>
      </c>
      <c r="C1918" t="str">
        <f t="shared" si="177"/>
        <v xml:space="preserve">1F4FC </v>
      </c>
      <c r="D1918">
        <f t="shared" si="178"/>
        <v>6</v>
      </c>
      <c r="E1918" t="str">
        <f t="shared" si="174"/>
        <v xml:space="preserve"> 📼 E0.6 videocassette</v>
      </c>
      <c r="F1918" t="b">
        <f t="shared" si="179"/>
        <v>1</v>
      </c>
      <c r="G1918" t="str">
        <f t="shared" si="175"/>
        <v>1F4FC</v>
      </c>
      <c r="I1918">
        <f>HEX2DEC(Table1[[#This Row],[utf8]])</f>
        <v>128252</v>
      </c>
      <c r="J1918" t="str">
        <f>_xlfn.UNICHAR(HEX2DEC(Table1[[#This Row],[utf8]]))</f>
        <v>📼</v>
      </c>
      <c r="K1918" s="3" t="str" cm="1">
        <f t="array" ref="K1918">"Case "&amp;wRandomLetter()&amp;wRandomLetter()&amp;I1918&amp;":    UniConst = ChrW(" &amp; I1918 &amp;")"</f>
        <v>Case kr128252:    UniConst = ChrW(128252)</v>
      </c>
    </row>
    <row r="1919" spans="1:11" hidden="1">
      <c r="A1919" t="s">
        <v>3916</v>
      </c>
      <c r="B1919" t="str">
        <f t="shared" si="176"/>
        <v>1F4FD ; unqualified # 📽 E0.7 film projector</v>
      </c>
      <c r="C1919" t="str">
        <f t="shared" si="177"/>
        <v xml:space="preserve">1F4FD </v>
      </c>
      <c r="D1919">
        <f t="shared" si="178"/>
        <v>6</v>
      </c>
      <c r="E1919" t="str">
        <f t="shared" si="174"/>
        <v xml:space="preserve"> 📽 E0.7 film projector</v>
      </c>
      <c r="F1919" t="b">
        <f t="shared" si="179"/>
        <v>1</v>
      </c>
      <c r="G1919" t="str">
        <f t="shared" si="175"/>
        <v>1F4FD</v>
      </c>
      <c r="I1919">
        <f>HEX2DEC(Table1[[#This Row],[utf8]])</f>
        <v>128253</v>
      </c>
      <c r="J1919" t="str">
        <f>_xlfn.UNICHAR(HEX2DEC(Table1[[#This Row],[utf8]]))</f>
        <v>📽</v>
      </c>
      <c r="K1919" s="3" t="str" cm="1">
        <f t="array" ref="K1919">"Case "&amp;wRandomLetter()&amp;wRandomLetter()&amp;I1919&amp;":    UniConst = ChrW(" &amp; I1919 &amp;")"</f>
        <v>Case UD128253:    UniConst = ChrW(128253)</v>
      </c>
    </row>
    <row r="1920" spans="1:11" hidden="1">
      <c r="A1920" t="s">
        <v>3915</v>
      </c>
      <c r="B1920" t="str">
        <f t="shared" si="176"/>
        <v>1F4FD FE0F ; fully-qualified # 📽️ E0.7 film projector</v>
      </c>
      <c r="C1920" t="str">
        <f t="shared" si="177"/>
        <v xml:space="preserve">1F4FD FE0F </v>
      </c>
      <c r="D1920">
        <f t="shared" si="178"/>
        <v>11</v>
      </c>
      <c r="E1920" t="str">
        <f t="shared" si="174"/>
        <v xml:space="preserve"> 📽️ E0.7 film projector</v>
      </c>
      <c r="F1920" t="b">
        <f t="shared" si="179"/>
        <v>1</v>
      </c>
      <c r="G1920" t="str">
        <f t="shared" si="175"/>
        <v>1F4FD</v>
      </c>
      <c r="I1920">
        <f>HEX2DEC(Table1[[#This Row],[utf8]])</f>
        <v>128253</v>
      </c>
      <c r="J1920" t="str">
        <f>_xlfn.UNICHAR(HEX2DEC(Table1[[#This Row],[utf8]]))</f>
        <v>📽</v>
      </c>
      <c r="K1920" s="3" t="str" cm="1">
        <f t="array" ref="K1920">"Case "&amp;wRandomLetter()&amp;wRandomLetter()&amp;I1920&amp;":    UniConst = ChrW(" &amp; I1920 &amp;")"</f>
        <v>Case jG128253:    UniConst = ChrW(128253)</v>
      </c>
    </row>
    <row r="1921" spans="1:11" hidden="1">
      <c r="A1921" t="s">
        <v>3847</v>
      </c>
      <c r="B1921" t="str">
        <f t="shared" si="176"/>
        <v>1F4FF ; fully-qualified # 📿 E1.0 prayer beads</v>
      </c>
      <c r="C1921" t="str">
        <f t="shared" si="177"/>
        <v xml:space="preserve">1F4FF </v>
      </c>
      <c r="D1921">
        <f t="shared" si="178"/>
        <v>6</v>
      </c>
      <c r="E1921" t="str">
        <f t="shared" si="174"/>
        <v xml:space="preserve"> 📿 E1.0 prayer beads</v>
      </c>
      <c r="F1921" t="b">
        <f t="shared" si="179"/>
        <v>1</v>
      </c>
      <c r="G1921" t="str">
        <f t="shared" si="175"/>
        <v>1F4FF</v>
      </c>
      <c r="I1921">
        <f>HEX2DEC(Table1[[#This Row],[utf8]])</f>
        <v>128255</v>
      </c>
      <c r="J1921" t="str">
        <f>_xlfn.UNICHAR(HEX2DEC(Table1[[#This Row],[utf8]]))</f>
        <v>📿</v>
      </c>
      <c r="K1921" s="3" t="str" cm="1">
        <f t="array" ref="K1921">"Case "&amp;wRandomLetter()&amp;wRandomLetter()&amp;I1921&amp;":    UniConst = ChrW(" &amp; I1921 &amp;")"</f>
        <v>Case En128255:    UniConst = ChrW(128255)</v>
      </c>
    </row>
    <row r="1922" spans="1:11" hidden="1">
      <c r="A1922" t="s">
        <v>4226</v>
      </c>
      <c r="B1922" t="str">
        <f t="shared" si="176"/>
        <v>1F500 ; fully-qualified # 🔀 E1.0 shuffle tracks button</v>
      </c>
      <c r="C1922" t="str">
        <f t="shared" si="177"/>
        <v xml:space="preserve">1F500 </v>
      </c>
      <c r="D1922">
        <f t="shared" si="178"/>
        <v>6</v>
      </c>
      <c r="E1922" t="str">
        <f t="shared" ref="E1922:E1985" si="180">MID(A1922,FIND("#",A1922)+1,256)</f>
        <v xml:space="preserve"> 🔀 E1.0 shuffle tracks button</v>
      </c>
      <c r="F1922" t="b">
        <f t="shared" si="179"/>
        <v>1</v>
      </c>
      <c r="G1922" t="str">
        <f t="shared" ref="G1922:G1985" si="181">LEFT(C1922,(FIND(" ",C1922,1)-1))</f>
        <v>1F500</v>
      </c>
      <c r="I1922">
        <f>HEX2DEC(Table1[[#This Row],[utf8]])</f>
        <v>128256</v>
      </c>
      <c r="J1922" t="str">
        <f>_xlfn.UNICHAR(HEX2DEC(Table1[[#This Row],[utf8]]))</f>
        <v>🔀</v>
      </c>
      <c r="K1922" s="3" t="str" cm="1">
        <f t="array" ref="K1922">"Case "&amp;wRandomLetter()&amp;wRandomLetter()&amp;I1922&amp;":    UniConst = ChrW(" &amp; I1922 &amp;")"</f>
        <v>Case oT128256:    UniConst = ChrW(128256)</v>
      </c>
    </row>
    <row r="1923" spans="1:11" hidden="1">
      <c r="A1923" t="s">
        <v>4227</v>
      </c>
      <c r="B1923" t="str">
        <f t="shared" ref="B1923:B1986" si="182">TRIM(A1923)</f>
        <v>1F501 ; fully-qualified # 🔁 E1.0 repeat button</v>
      </c>
      <c r="C1923" t="str">
        <f t="shared" ref="C1923:C1986" si="183">LEFT(B1923,(FIND(";",B1923,1)-1))</f>
        <v xml:space="preserve">1F501 </v>
      </c>
      <c r="D1923">
        <f t="shared" ref="D1923:D1986" si="184">LEN(C1923)</f>
        <v>6</v>
      </c>
      <c r="E1923" t="str">
        <f t="shared" si="180"/>
        <v xml:space="preserve"> 🔁 E1.0 repeat button</v>
      </c>
      <c r="F1923" t="b">
        <f t="shared" ref="F1923:F1986" si="185">IF(LEFT(C1923,2)="1F",TRUE,FALSE)</f>
        <v>1</v>
      </c>
      <c r="G1923" t="str">
        <f t="shared" si="181"/>
        <v>1F501</v>
      </c>
      <c r="I1923">
        <f>HEX2DEC(Table1[[#This Row],[utf8]])</f>
        <v>128257</v>
      </c>
      <c r="J1923" t="str">
        <f>_xlfn.UNICHAR(HEX2DEC(Table1[[#This Row],[utf8]]))</f>
        <v>🔁</v>
      </c>
      <c r="K1923" s="3" t="str" cm="1">
        <f t="array" ref="K1923">"Case "&amp;wRandomLetter()&amp;wRandomLetter()&amp;I1923&amp;":    UniConst = ChrW(" &amp; I1923 &amp;")"</f>
        <v>Case kz128257:    UniConst = ChrW(128257)</v>
      </c>
    </row>
    <row r="1924" spans="1:11" hidden="1">
      <c r="A1924" t="s">
        <v>4228</v>
      </c>
      <c r="B1924" t="str">
        <f t="shared" si="182"/>
        <v>1F502 ; fully-qualified # 🔂 E1.0 repeat single button</v>
      </c>
      <c r="C1924" t="str">
        <f t="shared" si="183"/>
        <v xml:space="preserve">1F502 </v>
      </c>
      <c r="D1924">
        <f t="shared" si="184"/>
        <v>6</v>
      </c>
      <c r="E1924" t="str">
        <f t="shared" si="180"/>
        <v xml:space="preserve"> 🔂 E1.0 repeat single button</v>
      </c>
      <c r="F1924" t="b">
        <f t="shared" si="185"/>
        <v>1</v>
      </c>
      <c r="G1924" t="str">
        <f t="shared" si="181"/>
        <v>1F502</v>
      </c>
      <c r="I1924">
        <f>HEX2DEC(Table1[[#This Row],[utf8]])</f>
        <v>128258</v>
      </c>
      <c r="J1924" t="str">
        <f>_xlfn.UNICHAR(HEX2DEC(Table1[[#This Row],[utf8]]))</f>
        <v>🔂</v>
      </c>
      <c r="K1924" s="3" t="str" cm="1">
        <f t="array" ref="K1924">"Case "&amp;wRandomLetter()&amp;wRandomLetter()&amp;I1924&amp;":    UniConst = ChrW(" &amp; I1924 &amp;")"</f>
        <v>Case NE128258:    UniConst = ChrW(128258)</v>
      </c>
    </row>
    <row r="1925" spans="1:11" hidden="1">
      <c r="A1925" t="s">
        <v>4182</v>
      </c>
      <c r="B1925" t="str">
        <f t="shared" si="182"/>
        <v>1F503 ; fully-qualified # 🔃 E0.6 clockwise vertical arrows</v>
      </c>
      <c r="C1925" t="str">
        <f t="shared" si="183"/>
        <v xml:space="preserve">1F503 </v>
      </c>
      <c r="D1925">
        <f t="shared" si="184"/>
        <v>6</v>
      </c>
      <c r="E1925" t="str">
        <f t="shared" si="180"/>
        <v xml:space="preserve"> 🔃 E0.6 clockwise vertical arrows</v>
      </c>
      <c r="F1925" t="b">
        <f t="shared" si="185"/>
        <v>1</v>
      </c>
      <c r="G1925" t="str">
        <f t="shared" si="181"/>
        <v>1F503</v>
      </c>
      <c r="I1925">
        <f>HEX2DEC(Table1[[#This Row],[utf8]])</f>
        <v>128259</v>
      </c>
      <c r="J1925" t="str">
        <f>_xlfn.UNICHAR(HEX2DEC(Table1[[#This Row],[utf8]]))</f>
        <v>🔃</v>
      </c>
      <c r="K1925" s="3" t="str" cm="1">
        <f t="array" ref="K1925">"Case "&amp;wRandomLetter()&amp;wRandomLetter()&amp;I1925&amp;":    UniConst = ChrW(" &amp; I1925 &amp;")"</f>
        <v>Case SS128259:    UniConst = ChrW(128259)</v>
      </c>
    </row>
    <row r="1926" spans="1:11" hidden="1">
      <c r="A1926" t="s">
        <v>4183</v>
      </c>
      <c r="B1926" t="str">
        <f t="shared" si="182"/>
        <v>1F504 ; fully-qualified # 🔄 E1.0 counterclockwise arrows button</v>
      </c>
      <c r="C1926" t="str">
        <f t="shared" si="183"/>
        <v xml:space="preserve">1F504 </v>
      </c>
      <c r="D1926">
        <f t="shared" si="184"/>
        <v>6</v>
      </c>
      <c r="E1926" t="str">
        <f t="shared" si="180"/>
        <v xml:space="preserve"> 🔄 E1.0 counterclockwise arrows button</v>
      </c>
      <c r="F1926" t="b">
        <f t="shared" si="185"/>
        <v>1</v>
      </c>
      <c r="G1926" t="str">
        <f t="shared" si="181"/>
        <v>1F504</v>
      </c>
      <c r="I1926">
        <f>HEX2DEC(Table1[[#This Row],[utf8]])</f>
        <v>128260</v>
      </c>
      <c r="J1926" t="str">
        <f>_xlfn.UNICHAR(HEX2DEC(Table1[[#This Row],[utf8]]))</f>
        <v>🔄</v>
      </c>
      <c r="K1926" s="3" t="str" cm="1">
        <f t="array" ref="K1926">"Case "&amp;wRandomLetter()&amp;wRandomLetter()&amp;I1926&amp;":    UniConst = ChrW(" &amp; I1926 &amp;")"</f>
        <v>Case Cr128260:    UniConst = ChrW(128260)</v>
      </c>
    </row>
    <row r="1927" spans="1:11" hidden="1">
      <c r="A1927" t="s">
        <v>4254</v>
      </c>
      <c r="B1927" t="str">
        <f t="shared" si="182"/>
        <v>1F505 ; fully-qualified # 🔅 E1.0 dim button</v>
      </c>
      <c r="C1927" t="str">
        <f t="shared" si="183"/>
        <v xml:space="preserve">1F505 </v>
      </c>
      <c r="D1927">
        <f t="shared" si="184"/>
        <v>6</v>
      </c>
      <c r="E1927" t="str">
        <f t="shared" si="180"/>
        <v xml:space="preserve"> 🔅 E1.0 dim button</v>
      </c>
      <c r="F1927" t="b">
        <f t="shared" si="185"/>
        <v>1</v>
      </c>
      <c r="G1927" t="str">
        <f t="shared" si="181"/>
        <v>1F505</v>
      </c>
      <c r="I1927">
        <f>HEX2DEC(Table1[[#This Row],[utf8]])</f>
        <v>128261</v>
      </c>
      <c r="J1927" t="str">
        <f>_xlfn.UNICHAR(HEX2DEC(Table1[[#This Row],[utf8]]))</f>
        <v>🔅</v>
      </c>
      <c r="K1927" s="3" t="str" cm="1">
        <f t="array" ref="K1927">"Case "&amp;wRandomLetter()&amp;wRandomLetter()&amp;I1927&amp;":    UniConst = ChrW(" &amp; I1927 &amp;")"</f>
        <v>Case Rs128261:    UniConst = ChrW(128261)</v>
      </c>
    </row>
    <row r="1928" spans="1:11" hidden="1">
      <c r="A1928" t="s">
        <v>4255</v>
      </c>
      <c r="B1928" t="str">
        <f t="shared" si="182"/>
        <v>1F506 ; fully-qualified # 🔆 E1.0 bright button</v>
      </c>
      <c r="C1928" t="str">
        <f t="shared" si="183"/>
        <v xml:space="preserve">1F506 </v>
      </c>
      <c r="D1928">
        <f t="shared" si="184"/>
        <v>6</v>
      </c>
      <c r="E1928" t="str">
        <f t="shared" si="180"/>
        <v xml:space="preserve"> 🔆 E1.0 bright button</v>
      </c>
      <c r="F1928" t="b">
        <f t="shared" si="185"/>
        <v>1</v>
      </c>
      <c r="G1928" t="str">
        <f t="shared" si="181"/>
        <v>1F506</v>
      </c>
      <c r="I1928">
        <f>HEX2DEC(Table1[[#This Row],[utf8]])</f>
        <v>128262</v>
      </c>
      <c r="J1928" t="str">
        <f>_xlfn.UNICHAR(HEX2DEC(Table1[[#This Row],[utf8]]))</f>
        <v>🔆</v>
      </c>
      <c r="K1928" s="3" t="str" cm="1">
        <f t="array" ref="K1928">"Case "&amp;wRandomLetter()&amp;wRandomLetter()&amp;I1928&amp;":    UniConst = ChrW(" &amp; I1928 &amp;")"</f>
        <v>Case ij128262:    UniConst = ChrW(128262)</v>
      </c>
    </row>
    <row r="1929" spans="1:11" hidden="1">
      <c r="A1929" t="s">
        <v>3852</v>
      </c>
      <c r="B1929" t="str">
        <f t="shared" si="182"/>
        <v>1F507 ; fully-qualified # 🔇 E1.0 muted speaker</v>
      </c>
      <c r="C1929" t="str">
        <f t="shared" si="183"/>
        <v xml:space="preserve">1F507 </v>
      </c>
      <c r="D1929">
        <f t="shared" si="184"/>
        <v>6</v>
      </c>
      <c r="E1929" t="str">
        <f t="shared" si="180"/>
        <v xml:space="preserve"> 🔇 E1.0 muted speaker</v>
      </c>
      <c r="F1929" t="b">
        <f t="shared" si="185"/>
        <v>1</v>
      </c>
      <c r="G1929" t="str">
        <f t="shared" si="181"/>
        <v>1F507</v>
      </c>
      <c r="I1929">
        <f>HEX2DEC(Table1[[#This Row],[utf8]])</f>
        <v>128263</v>
      </c>
      <c r="J1929" t="str">
        <f>_xlfn.UNICHAR(HEX2DEC(Table1[[#This Row],[utf8]]))</f>
        <v>🔇</v>
      </c>
      <c r="K1929" s="3" t="str" cm="1">
        <f t="array" ref="K1929">"Case "&amp;wRandomLetter()&amp;wRandomLetter()&amp;I1929&amp;":    UniConst = ChrW(" &amp; I1929 &amp;")"</f>
        <v>Case tU128263:    UniConst = ChrW(128263)</v>
      </c>
    </row>
    <row r="1930" spans="1:11" hidden="1">
      <c r="A1930" t="s">
        <v>3853</v>
      </c>
      <c r="B1930" t="str">
        <f t="shared" si="182"/>
        <v>1F508 ; fully-qualified # 🔈 E0.7 speaker low volume</v>
      </c>
      <c r="C1930" t="str">
        <f t="shared" si="183"/>
        <v xml:space="preserve">1F508 </v>
      </c>
      <c r="D1930">
        <f t="shared" si="184"/>
        <v>6</v>
      </c>
      <c r="E1930" t="str">
        <f t="shared" si="180"/>
        <v xml:space="preserve"> 🔈 E0.7 speaker low volume</v>
      </c>
      <c r="F1930" t="b">
        <f t="shared" si="185"/>
        <v>1</v>
      </c>
      <c r="G1930" t="str">
        <f t="shared" si="181"/>
        <v>1F508</v>
      </c>
      <c r="I1930">
        <f>HEX2DEC(Table1[[#This Row],[utf8]])</f>
        <v>128264</v>
      </c>
      <c r="J1930" t="str">
        <f>_xlfn.UNICHAR(HEX2DEC(Table1[[#This Row],[utf8]]))</f>
        <v>🔈</v>
      </c>
      <c r="K1930" s="3" t="str" cm="1">
        <f t="array" ref="K1930">"Case "&amp;wRandomLetter()&amp;wRandomLetter()&amp;I1930&amp;":    UniConst = ChrW(" &amp; I1930 &amp;")"</f>
        <v>Case zo128264:    UniConst = ChrW(128264)</v>
      </c>
    </row>
    <row r="1931" spans="1:11" hidden="1">
      <c r="A1931" t="s">
        <v>3854</v>
      </c>
      <c r="B1931" t="str">
        <f t="shared" si="182"/>
        <v>1F509 ; fully-qualified # 🔉 E1.0 speaker medium volume</v>
      </c>
      <c r="C1931" t="str">
        <f t="shared" si="183"/>
        <v xml:space="preserve">1F509 </v>
      </c>
      <c r="D1931">
        <f t="shared" si="184"/>
        <v>6</v>
      </c>
      <c r="E1931" t="str">
        <f t="shared" si="180"/>
        <v xml:space="preserve"> 🔉 E1.0 speaker medium volume</v>
      </c>
      <c r="F1931" t="b">
        <f t="shared" si="185"/>
        <v>1</v>
      </c>
      <c r="G1931" t="str">
        <f t="shared" si="181"/>
        <v>1F509</v>
      </c>
      <c r="I1931">
        <f>HEX2DEC(Table1[[#This Row],[utf8]])</f>
        <v>128265</v>
      </c>
      <c r="J1931" t="str">
        <f>_xlfn.UNICHAR(HEX2DEC(Table1[[#This Row],[utf8]]))</f>
        <v>🔉</v>
      </c>
      <c r="K1931" s="3" t="str" cm="1">
        <f t="array" ref="K1931">"Case "&amp;wRandomLetter()&amp;wRandomLetter()&amp;I1931&amp;":    UniConst = ChrW(" &amp; I1931 &amp;")"</f>
        <v>Case iZ128265:    UniConst = ChrW(128265)</v>
      </c>
    </row>
    <row r="1932" spans="1:11" hidden="1">
      <c r="A1932" t="s">
        <v>3855</v>
      </c>
      <c r="B1932" t="str">
        <f t="shared" si="182"/>
        <v>1F50A ; fully-qualified # 🔊 E0.6 speaker high volume</v>
      </c>
      <c r="C1932" t="str">
        <f t="shared" si="183"/>
        <v xml:space="preserve">1F50A </v>
      </c>
      <c r="D1932">
        <f t="shared" si="184"/>
        <v>6</v>
      </c>
      <c r="E1932" t="str">
        <f t="shared" si="180"/>
        <v xml:space="preserve"> 🔊 E0.6 speaker high volume</v>
      </c>
      <c r="F1932" t="b">
        <f t="shared" si="185"/>
        <v>1</v>
      </c>
      <c r="G1932" t="str">
        <f t="shared" si="181"/>
        <v>1F50A</v>
      </c>
      <c r="I1932">
        <f>HEX2DEC(Table1[[#This Row],[utf8]])</f>
        <v>128266</v>
      </c>
      <c r="J1932" t="str">
        <f>_xlfn.UNICHAR(HEX2DEC(Table1[[#This Row],[utf8]]))</f>
        <v>🔊</v>
      </c>
      <c r="K1932" s="3" t="str" cm="1">
        <f t="array" ref="K1932">"Case "&amp;wRandomLetter()&amp;wRandomLetter()&amp;I1932&amp;":    UniConst = ChrW(" &amp; I1932 &amp;")"</f>
        <v>Case Lx128266:    UniConst = ChrW(128266)</v>
      </c>
    </row>
    <row r="1933" spans="1:11" hidden="1">
      <c r="A1933" t="s">
        <v>3893</v>
      </c>
      <c r="B1933" t="str">
        <f t="shared" si="182"/>
        <v>1F50B ; fully-qualified # 🔋 E0.6 battery</v>
      </c>
      <c r="C1933" t="str">
        <f t="shared" si="183"/>
        <v xml:space="preserve">1F50B </v>
      </c>
      <c r="D1933">
        <f t="shared" si="184"/>
        <v>6</v>
      </c>
      <c r="E1933" t="str">
        <f t="shared" si="180"/>
        <v xml:space="preserve"> 🔋 E0.6 battery</v>
      </c>
      <c r="F1933" t="b">
        <f t="shared" si="185"/>
        <v>1</v>
      </c>
      <c r="G1933" t="str">
        <f t="shared" si="181"/>
        <v>1F50B</v>
      </c>
      <c r="I1933">
        <f>HEX2DEC(Table1[[#This Row],[utf8]])</f>
        <v>128267</v>
      </c>
      <c r="J1933" t="str">
        <f>_xlfn.UNICHAR(HEX2DEC(Table1[[#This Row],[utf8]]))</f>
        <v>🔋</v>
      </c>
      <c r="K1933" s="3" t="str" cm="1">
        <f t="array" ref="K1933">"Case "&amp;wRandomLetter()&amp;wRandomLetter()&amp;I1933&amp;":    UniConst = ChrW(" &amp; I1933 &amp;")"</f>
        <v>Case mO128267:    UniConst = ChrW(128267)</v>
      </c>
    </row>
    <row r="1934" spans="1:11" hidden="1">
      <c r="A1934" t="s">
        <v>3894</v>
      </c>
      <c r="B1934" t="str">
        <f t="shared" si="182"/>
        <v>1F50C ; fully-qualified # 🔌 E0.6 electric plug</v>
      </c>
      <c r="C1934" t="str">
        <f t="shared" si="183"/>
        <v xml:space="preserve">1F50C </v>
      </c>
      <c r="D1934">
        <f t="shared" si="184"/>
        <v>6</v>
      </c>
      <c r="E1934" t="str">
        <f t="shared" si="180"/>
        <v xml:space="preserve"> 🔌 E0.6 electric plug</v>
      </c>
      <c r="F1934" t="b">
        <f t="shared" si="185"/>
        <v>1</v>
      </c>
      <c r="G1934" t="str">
        <f t="shared" si="181"/>
        <v>1F50C</v>
      </c>
      <c r="I1934">
        <f>HEX2DEC(Table1[[#This Row],[utf8]])</f>
        <v>128268</v>
      </c>
      <c r="J1934" t="str">
        <f>_xlfn.UNICHAR(HEX2DEC(Table1[[#This Row],[utf8]]))</f>
        <v>🔌</v>
      </c>
      <c r="K1934" s="3" t="str" cm="1">
        <f t="array" ref="K1934">"Case "&amp;wRandomLetter()&amp;wRandomLetter()&amp;I1934&amp;":    UniConst = ChrW(" &amp; I1934 &amp;")"</f>
        <v>Case Fy128268:    UniConst = ChrW(128268)</v>
      </c>
    </row>
    <row r="1935" spans="1:11" hidden="1">
      <c r="A1935" t="s">
        <v>3923</v>
      </c>
      <c r="B1935" t="str">
        <f t="shared" si="182"/>
        <v>1F50D ; fully-qualified # 🔍 E0.6 magnifying glass tilted left</v>
      </c>
      <c r="C1935" t="str">
        <f t="shared" si="183"/>
        <v xml:space="preserve">1F50D </v>
      </c>
      <c r="D1935">
        <f t="shared" si="184"/>
        <v>6</v>
      </c>
      <c r="E1935" t="str">
        <f t="shared" si="180"/>
        <v xml:space="preserve"> 🔍 E0.6 magnifying glass tilted left</v>
      </c>
      <c r="F1935" t="b">
        <f t="shared" si="185"/>
        <v>1</v>
      </c>
      <c r="G1935" t="str">
        <f t="shared" si="181"/>
        <v>1F50D</v>
      </c>
      <c r="I1935">
        <f>HEX2DEC(Table1[[#This Row],[utf8]])</f>
        <v>128269</v>
      </c>
      <c r="J1935" t="str">
        <f>_xlfn.UNICHAR(HEX2DEC(Table1[[#This Row],[utf8]]))</f>
        <v>🔍</v>
      </c>
      <c r="K1935" s="3" t="str" cm="1">
        <f t="array" ref="K1935">"Case "&amp;wRandomLetter()&amp;wRandomLetter()&amp;I1935&amp;":    UniConst = ChrW(" &amp; I1935 &amp;")"</f>
        <v>Case LK128269:    UniConst = ChrW(128269)</v>
      </c>
    </row>
    <row r="1936" spans="1:11" hidden="1">
      <c r="A1936" t="s">
        <v>3924</v>
      </c>
      <c r="B1936" t="str">
        <f t="shared" si="182"/>
        <v>1F50E ; fully-qualified # 🔎 E0.6 magnifying glass tilted right</v>
      </c>
      <c r="C1936" t="str">
        <f t="shared" si="183"/>
        <v xml:space="preserve">1F50E </v>
      </c>
      <c r="D1936">
        <f t="shared" si="184"/>
        <v>6</v>
      </c>
      <c r="E1936" t="str">
        <f t="shared" si="180"/>
        <v xml:space="preserve"> 🔎 E0.6 magnifying glass tilted right</v>
      </c>
      <c r="F1936" t="b">
        <f t="shared" si="185"/>
        <v>1</v>
      </c>
      <c r="G1936" t="str">
        <f t="shared" si="181"/>
        <v>1F50E</v>
      </c>
      <c r="I1936">
        <f>HEX2DEC(Table1[[#This Row],[utf8]])</f>
        <v>128270</v>
      </c>
      <c r="J1936" t="str">
        <f>_xlfn.UNICHAR(HEX2DEC(Table1[[#This Row],[utf8]]))</f>
        <v>🔎</v>
      </c>
      <c r="K1936" s="3" t="str" cm="1">
        <f t="array" ref="K1936">"Case "&amp;wRandomLetter()&amp;wRandomLetter()&amp;I1936&amp;":    UniConst = ChrW(" &amp; I1936 &amp;")"</f>
        <v>Case zb128270:    UniConst = ChrW(128270)</v>
      </c>
    </row>
    <row r="1937" spans="1:11" hidden="1">
      <c r="A1937" t="s">
        <v>4027</v>
      </c>
      <c r="B1937" t="str">
        <f t="shared" si="182"/>
        <v>1F50F ; fully-qualified # 🔏 E0.6 locked with pen</v>
      </c>
      <c r="C1937" t="str">
        <f t="shared" si="183"/>
        <v xml:space="preserve">1F50F </v>
      </c>
      <c r="D1937">
        <f t="shared" si="184"/>
        <v>6</v>
      </c>
      <c r="E1937" t="str">
        <f t="shared" si="180"/>
        <v xml:space="preserve"> 🔏 E0.6 locked with pen</v>
      </c>
      <c r="F1937" t="b">
        <f t="shared" si="185"/>
        <v>1</v>
      </c>
      <c r="G1937" t="str">
        <f t="shared" si="181"/>
        <v>1F50F</v>
      </c>
      <c r="I1937">
        <f>HEX2DEC(Table1[[#This Row],[utf8]])</f>
        <v>128271</v>
      </c>
      <c r="J1937" t="str">
        <f>_xlfn.UNICHAR(HEX2DEC(Table1[[#This Row],[utf8]]))</f>
        <v>🔏</v>
      </c>
      <c r="K1937" s="3" t="str" cm="1">
        <f t="array" ref="K1937">"Case "&amp;wRandomLetter()&amp;wRandomLetter()&amp;I1937&amp;":    UniConst = ChrW(" &amp; I1937 &amp;")"</f>
        <v>Case Yl128271:    UniConst = ChrW(128271)</v>
      </c>
    </row>
    <row r="1938" spans="1:11" hidden="1">
      <c r="A1938" t="s">
        <v>4028</v>
      </c>
      <c r="B1938" t="str">
        <f t="shared" si="182"/>
        <v>1F510 ; fully-qualified # 🔐 E0.6 locked with key</v>
      </c>
      <c r="C1938" t="str">
        <f t="shared" si="183"/>
        <v xml:space="preserve">1F510 </v>
      </c>
      <c r="D1938">
        <f t="shared" si="184"/>
        <v>6</v>
      </c>
      <c r="E1938" t="str">
        <f t="shared" si="180"/>
        <v xml:space="preserve"> 🔐 E0.6 locked with key</v>
      </c>
      <c r="F1938" t="b">
        <f t="shared" si="185"/>
        <v>1</v>
      </c>
      <c r="G1938" t="str">
        <f t="shared" si="181"/>
        <v>1F510</v>
      </c>
      <c r="I1938">
        <f>HEX2DEC(Table1[[#This Row],[utf8]])</f>
        <v>128272</v>
      </c>
      <c r="J1938" t="str">
        <f>_xlfn.UNICHAR(HEX2DEC(Table1[[#This Row],[utf8]]))</f>
        <v>🔐</v>
      </c>
      <c r="K1938" s="3" t="str" cm="1">
        <f t="array" ref="K1938">"Case "&amp;wRandomLetter()&amp;wRandomLetter()&amp;I1938&amp;":    UniConst = ChrW(" &amp; I1938 &amp;")"</f>
        <v>Case tk128272:    UniConst = ChrW(128272)</v>
      </c>
    </row>
    <row r="1939" spans="1:11" hidden="1">
      <c r="A1939" t="s">
        <v>4029</v>
      </c>
      <c r="B1939" t="str">
        <f t="shared" si="182"/>
        <v>1F511 ; fully-qualified # 🔑 E0.6 key</v>
      </c>
      <c r="C1939" t="str">
        <f t="shared" si="183"/>
        <v xml:space="preserve">1F511 </v>
      </c>
      <c r="D1939">
        <f t="shared" si="184"/>
        <v>6</v>
      </c>
      <c r="E1939" t="str">
        <f t="shared" si="180"/>
        <v xml:space="preserve"> 🔑 E0.6 key</v>
      </c>
      <c r="F1939" t="b">
        <f t="shared" si="185"/>
        <v>1</v>
      </c>
      <c r="G1939" t="str">
        <f t="shared" si="181"/>
        <v>1F511</v>
      </c>
      <c r="I1939">
        <f>HEX2DEC(Table1[[#This Row],[utf8]])</f>
        <v>128273</v>
      </c>
      <c r="J1939" t="str">
        <f>_xlfn.UNICHAR(HEX2DEC(Table1[[#This Row],[utf8]]))</f>
        <v>🔑</v>
      </c>
      <c r="K1939" s="3" t="str" cm="1">
        <f t="array" ref="K1939">"Case "&amp;wRandomLetter()&amp;wRandomLetter()&amp;I1939&amp;":    UniConst = ChrW(" &amp; I1939 &amp;")"</f>
        <v>Case hi128273:    UniConst = ChrW(128273)</v>
      </c>
    </row>
    <row r="1940" spans="1:11" hidden="1">
      <c r="A1940" t="s">
        <v>4025</v>
      </c>
      <c r="B1940" t="str">
        <f t="shared" si="182"/>
        <v>1F512 ; fully-qualified # 🔒 E0.6 locked</v>
      </c>
      <c r="C1940" t="str">
        <f t="shared" si="183"/>
        <v xml:space="preserve">1F512 </v>
      </c>
      <c r="D1940">
        <f t="shared" si="184"/>
        <v>6</v>
      </c>
      <c r="E1940" t="str">
        <f t="shared" si="180"/>
        <v xml:space="preserve"> 🔒 E0.6 locked</v>
      </c>
      <c r="F1940" t="b">
        <f t="shared" si="185"/>
        <v>1</v>
      </c>
      <c r="G1940" t="str">
        <f t="shared" si="181"/>
        <v>1F512</v>
      </c>
      <c r="I1940">
        <f>HEX2DEC(Table1[[#This Row],[utf8]])</f>
        <v>128274</v>
      </c>
      <c r="J1940" t="str">
        <f>_xlfn.UNICHAR(HEX2DEC(Table1[[#This Row],[utf8]]))</f>
        <v>🔒</v>
      </c>
      <c r="K1940" s="3" t="str" cm="1">
        <f t="array" ref="K1940">"Case "&amp;wRandomLetter()&amp;wRandomLetter()&amp;I1940&amp;":    UniConst = ChrW(" &amp; I1940 &amp;")"</f>
        <v>Case jW128274:    UniConst = ChrW(128274)</v>
      </c>
    </row>
    <row r="1941" spans="1:11" hidden="1">
      <c r="A1941" t="s">
        <v>4026</v>
      </c>
      <c r="B1941" t="str">
        <f t="shared" si="182"/>
        <v>1F513 ; fully-qualified # 🔓 E0.6 unlocked</v>
      </c>
      <c r="C1941" t="str">
        <f t="shared" si="183"/>
        <v xml:space="preserve">1F513 </v>
      </c>
      <c r="D1941">
        <f t="shared" si="184"/>
        <v>6</v>
      </c>
      <c r="E1941" t="str">
        <f t="shared" si="180"/>
        <v xml:space="preserve"> 🔓 E0.6 unlocked</v>
      </c>
      <c r="F1941" t="b">
        <f t="shared" si="185"/>
        <v>1</v>
      </c>
      <c r="G1941" t="str">
        <f t="shared" si="181"/>
        <v>1F513</v>
      </c>
      <c r="I1941">
        <f>HEX2DEC(Table1[[#This Row],[utf8]])</f>
        <v>128275</v>
      </c>
      <c r="J1941" t="str">
        <f>_xlfn.UNICHAR(HEX2DEC(Table1[[#This Row],[utf8]]))</f>
        <v>🔓</v>
      </c>
      <c r="K1941" s="3" t="str" cm="1">
        <f t="array" ref="K1941">"Case "&amp;wRandomLetter()&amp;wRandomLetter()&amp;I1941&amp;":    UniConst = ChrW(" &amp; I1941 &amp;")"</f>
        <v>Case Ie128275:    UniConst = ChrW(128275)</v>
      </c>
    </row>
    <row r="1942" spans="1:11" hidden="1">
      <c r="A1942" t="s">
        <v>3859</v>
      </c>
      <c r="B1942" t="str">
        <f t="shared" si="182"/>
        <v>1F514 ; fully-qualified # 🔔 E0.6 bell</v>
      </c>
      <c r="C1942" t="str">
        <f t="shared" si="183"/>
        <v xml:space="preserve">1F514 </v>
      </c>
      <c r="D1942">
        <f t="shared" si="184"/>
        <v>6</v>
      </c>
      <c r="E1942" t="str">
        <f t="shared" si="180"/>
        <v xml:space="preserve"> 🔔 E0.6 bell</v>
      </c>
      <c r="F1942" t="b">
        <f t="shared" si="185"/>
        <v>1</v>
      </c>
      <c r="G1942" t="str">
        <f t="shared" si="181"/>
        <v>1F514</v>
      </c>
      <c r="I1942">
        <f>HEX2DEC(Table1[[#This Row],[utf8]])</f>
        <v>128276</v>
      </c>
      <c r="J1942" t="str">
        <f>_xlfn.UNICHAR(HEX2DEC(Table1[[#This Row],[utf8]]))</f>
        <v>🔔</v>
      </c>
      <c r="K1942" s="3" t="str" cm="1">
        <f t="array" ref="K1942">"Case "&amp;wRandomLetter()&amp;wRandomLetter()&amp;I1942&amp;":    UniConst = ChrW(" &amp; I1942 &amp;")"</f>
        <v>Case JF128276:    UniConst = ChrW(128276)</v>
      </c>
    </row>
    <row r="1943" spans="1:11" hidden="1">
      <c r="A1943" t="s">
        <v>3860</v>
      </c>
      <c r="B1943" t="str">
        <f t="shared" si="182"/>
        <v>1F515 ; fully-qualified # 🔕 E1.0 bell with slash</v>
      </c>
      <c r="C1943" t="str">
        <f t="shared" si="183"/>
        <v xml:space="preserve">1F515 </v>
      </c>
      <c r="D1943">
        <f t="shared" si="184"/>
        <v>6</v>
      </c>
      <c r="E1943" t="str">
        <f t="shared" si="180"/>
        <v xml:space="preserve"> 🔕 E1.0 bell with slash</v>
      </c>
      <c r="F1943" t="b">
        <f t="shared" si="185"/>
        <v>1</v>
      </c>
      <c r="G1943" t="str">
        <f t="shared" si="181"/>
        <v>1F515</v>
      </c>
      <c r="I1943">
        <f>HEX2DEC(Table1[[#This Row],[utf8]])</f>
        <v>128277</v>
      </c>
      <c r="J1943" t="str">
        <f>_xlfn.UNICHAR(HEX2DEC(Table1[[#This Row],[utf8]]))</f>
        <v>🔕</v>
      </c>
      <c r="K1943" s="3" t="str" cm="1">
        <f t="array" ref="K1943">"Case "&amp;wRandomLetter()&amp;wRandomLetter()&amp;I1943&amp;":    UniConst = ChrW(" &amp; I1943 &amp;")"</f>
        <v>Case BN128277:    UniConst = ChrW(128277)</v>
      </c>
    </row>
    <row r="1944" spans="1:11" hidden="1">
      <c r="A1944" t="s">
        <v>3948</v>
      </c>
      <c r="B1944" t="str">
        <f t="shared" si="182"/>
        <v>1F516 ; fully-qualified # 🔖 E0.6 bookmark</v>
      </c>
      <c r="C1944" t="str">
        <f t="shared" si="183"/>
        <v xml:space="preserve">1F516 </v>
      </c>
      <c r="D1944">
        <f t="shared" si="184"/>
        <v>6</v>
      </c>
      <c r="E1944" t="str">
        <f t="shared" si="180"/>
        <v xml:space="preserve"> 🔖 E0.6 bookmark</v>
      </c>
      <c r="F1944" t="b">
        <f t="shared" si="185"/>
        <v>1</v>
      </c>
      <c r="G1944" t="str">
        <f t="shared" si="181"/>
        <v>1F516</v>
      </c>
      <c r="I1944">
        <f>HEX2DEC(Table1[[#This Row],[utf8]])</f>
        <v>128278</v>
      </c>
      <c r="J1944" t="str">
        <f>_xlfn.UNICHAR(HEX2DEC(Table1[[#This Row],[utf8]]))</f>
        <v>🔖</v>
      </c>
      <c r="K1944" s="3" t="str" cm="1">
        <f t="array" ref="K1944">"Case "&amp;wRandomLetter()&amp;wRandomLetter()&amp;I1944&amp;":    UniConst = ChrW(" &amp; I1944 &amp;")"</f>
        <v>Case uB128278:    UniConst = ChrW(128278)</v>
      </c>
    </row>
    <row r="1945" spans="1:11" hidden="1">
      <c r="A1945" t="s">
        <v>4061</v>
      </c>
      <c r="B1945" t="str">
        <f t="shared" si="182"/>
        <v>1F517 ; fully-qualified # 🔗 E0.6 link</v>
      </c>
      <c r="C1945" t="str">
        <f t="shared" si="183"/>
        <v xml:space="preserve">1F517 </v>
      </c>
      <c r="D1945">
        <f t="shared" si="184"/>
        <v>6</v>
      </c>
      <c r="E1945" t="str">
        <f t="shared" si="180"/>
        <v xml:space="preserve"> 🔗 E0.6 link</v>
      </c>
      <c r="F1945" t="b">
        <f t="shared" si="185"/>
        <v>1</v>
      </c>
      <c r="G1945" t="str">
        <f t="shared" si="181"/>
        <v>1F517</v>
      </c>
      <c r="I1945">
        <f>HEX2DEC(Table1[[#This Row],[utf8]])</f>
        <v>128279</v>
      </c>
      <c r="J1945" t="str">
        <f>_xlfn.UNICHAR(HEX2DEC(Table1[[#This Row],[utf8]]))</f>
        <v>🔗</v>
      </c>
      <c r="K1945" s="3" t="str" cm="1">
        <f t="array" ref="K1945">"Case "&amp;wRandomLetter()&amp;wRandomLetter()&amp;I1945&amp;":    UniConst = ChrW(" &amp; I1945 &amp;")"</f>
        <v>Case NE128279:    UniConst = ChrW(128279)</v>
      </c>
    </row>
    <row r="1946" spans="1:11" hidden="1">
      <c r="A1946" t="s">
        <v>4434</v>
      </c>
      <c r="B1946" t="str">
        <f t="shared" si="182"/>
        <v>1F518 ; fully-qualified # 🔘 E0.6 radio button</v>
      </c>
      <c r="C1946" t="str">
        <f t="shared" si="183"/>
        <v xml:space="preserve">1F518 </v>
      </c>
      <c r="D1946">
        <f t="shared" si="184"/>
        <v>6</v>
      </c>
      <c r="E1946" t="str">
        <f t="shared" si="180"/>
        <v xml:space="preserve"> 🔘 E0.6 radio button</v>
      </c>
      <c r="F1946" t="b">
        <f t="shared" si="185"/>
        <v>1</v>
      </c>
      <c r="G1946" t="str">
        <f t="shared" si="181"/>
        <v>1F518</v>
      </c>
      <c r="I1946">
        <f>HEX2DEC(Table1[[#This Row],[utf8]])</f>
        <v>128280</v>
      </c>
      <c r="J1946" t="str">
        <f>_xlfn.UNICHAR(HEX2DEC(Table1[[#This Row],[utf8]]))</f>
        <v>🔘</v>
      </c>
      <c r="K1946" s="3" t="str" cm="1">
        <f t="array" ref="K1946">"Case "&amp;wRandomLetter()&amp;wRandomLetter()&amp;I1946&amp;":    UniConst = ChrW(" &amp; I1946 &amp;")"</f>
        <v>Case Xc128280:    UniConst = ChrW(128280)</v>
      </c>
    </row>
    <row r="1947" spans="1:11" hidden="1">
      <c r="A1947" t="s">
        <v>4184</v>
      </c>
      <c r="B1947" t="str">
        <f t="shared" si="182"/>
        <v>1F519 ; fully-qualified # 🔙 E0.6 BACK arrow</v>
      </c>
      <c r="C1947" t="str">
        <f t="shared" si="183"/>
        <v xml:space="preserve">1F519 </v>
      </c>
      <c r="D1947">
        <f t="shared" si="184"/>
        <v>6</v>
      </c>
      <c r="E1947" t="str">
        <f t="shared" si="180"/>
        <v xml:space="preserve"> 🔙 E0.6 BACK arrow</v>
      </c>
      <c r="F1947" t="b">
        <f t="shared" si="185"/>
        <v>1</v>
      </c>
      <c r="G1947" t="str">
        <f t="shared" si="181"/>
        <v>1F519</v>
      </c>
      <c r="I1947">
        <f>HEX2DEC(Table1[[#This Row],[utf8]])</f>
        <v>128281</v>
      </c>
      <c r="J1947" t="str">
        <f>_xlfn.UNICHAR(HEX2DEC(Table1[[#This Row],[utf8]]))</f>
        <v>🔙</v>
      </c>
      <c r="K1947" s="3" t="str" cm="1">
        <f t="array" ref="K1947">"Case "&amp;wRandomLetter()&amp;wRandomLetter()&amp;I1947&amp;":    UniConst = ChrW(" &amp; I1947 &amp;")"</f>
        <v>Case zY128281:    UniConst = ChrW(128281)</v>
      </c>
    </row>
    <row r="1948" spans="1:11" hidden="1">
      <c r="A1948" t="s">
        <v>4185</v>
      </c>
      <c r="B1948" t="str">
        <f t="shared" si="182"/>
        <v>1F51A ; fully-qualified # 🔚 E0.6 END arrow</v>
      </c>
      <c r="C1948" t="str">
        <f t="shared" si="183"/>
        <v xml:space="preserve">1F51A </v>
      </c>
      <c r="D1948">
        <f t="shared" si="184"/>
        <v>6</v>
      </c>
      <c r="E1948" t="str">
        <f t="shared" si="180"/>
        <v xml:space="preserve"> 🔚 E0.6 END arrow</v>
      </c>
      <c r="F1948" t="b">
        <f t="shared" si="185"/>
        <v>1</v>
      </c>
      <c r="G1948" t="str">
        <f t="shared" si="181"/>
        <v>1F51A</v>
      </c>
      <c r="I1948">
        <f>HEX2DEC(Table1[[#This Row],[utf8]])</f>
        <v>128282</v>
      </c>
      <c r="J1948" t="str">
        <f>_xlfn.UNICHAR(HEX2DEC(Table1[[#This Row],[utf8]]))</f>
        <v>🔚</v>
      </c>
      <c r="K1948" s="3" t="str" cm="1">
        <f t="array" ref="K1948">"Case "&amp;wRandomLetter()&amp;wRandomLetter()&amp;I1948&amp;":    UniConst = ChrW(" &amp; I1948 &amp;")"</f>
        <v>Case qz128282:    UniConst = ChrW(128282)</v>
      </c>
    </row>
    <row r="1949" spans="1:11" hidden="1">
      <c r="A1949" t="s">
        <v>4186</v>
      </c>
      <c r="B1949" t="str">
        <f t="shared" si="182"/>
        <v>1F51B ; fully-qualified # 🔛 E0.6 ON! arrow</v>
      </c>
      <c r="C1949" t="str">
        <f t="shared" si="183"/>
        <v xml:space="preserve">1F51B </v>
      </c>
      <c r="D1949">
        <f t="shared" si="184"/>
        <v>6</v>
      </c>
      <c r="E1949" t="str">
        <f t="shared" si="180"/>
        <v xml:space="preserve"> 🔛 E0.6 ON! arrow</v>
      </c>
      <c r="F1949" t="b">
        <f t="shared" si="185"/>
        <v>1</v>
      </c>
      <c r="G1949" t="str">
        <f t="shared" si="181"/>
        <v>1F51B</v>
      </c>
      <c r="I1949">
        <f>HEX2DEC(Table1[[#This Row],[utf8]])</f>
        <v>128283</v>
      </c>
      <c r="J1949" t="str">
        <f>_xlfn.UNICHAR(HEX2DEC(Table1[[#This Row],[utf8]]))</f>
        <v>🔛</v>
      </c>
      <c r="K1949" s="3" t="str" cm="1">
        <f t="array" ref="K1949">"Case "&amp;wRandomLetter()&amp;wRandomLetter()&amp;I1949&amp;":    UniConst = ChrW(" &amp; I1949 &amp;")"</f>
        <v>Case Nj128283:    UniConst = ChrW(128283)</v>
      </c>
    </row>
    <row r="1950" spans="1:11" hidden="1">
      <c r="A1950" t="s">
        <v>4187</v>
      </c>
      <c r="B1950" t="str">
        <f t="shared" si="182"/>
        <v>1F51C ; fully-qualified # 🔜 E0.6 SOON arrow</v>
      </c>
      <c r="C1950" t="str">
        <f t="shared" si="183"/>
        <v xml:space="preserve">1F51C </v>
      </c>
      <c r="D1950">
        <f t="shared" si="184"/>
        <v>6</v>
      </c>
      <c r="E1950" t="str">
        <f t="shared" si="180"/>
        <v xml:space="preserve"> 🔜 E0.6 SOON arrow</v>
      </c>
      <c r="F1950" t="b">
        <f t="shared" si="185"/>
        <v>1</v>
      </c>
      <c r="G1950" t="str">
        <f t="shared" si="181"/>
        <v>1F51C</v>
      </c>
      <c r="I1950">
        <f>HEX2DEC(Table1[[#This Row],[utf8]])</f>
        <v>128284</v>
      </c>
      <c r="J1950" t="str">
        <f>_xlfn.UNICHAR(HEX2DEC(Table1[[#This Row],[utf8]]))</f>
        <v>🔜</v>
      </c>
      <c r="K1950" s="3" t="str" cm="1">
        <f t="array" ref="K1950">"Case "&amp;wRandomLetter()&amp;wRandomLetter()&amp;I1950&amp;":    UniConst = ChrW(" &amp; I1950 &amp;")"</f>
        <v>Case oX128284:    UniConst = ChrW(128284)</v>
      </c>
    </row>
    <row r="1951" spans="1:11" hidden="1">
      <c r="A1951" t="s">
        <v>4188</v>
      </c>
      <c r="B1951" t="str">
        <f t="shared" si="182"/>
        <v>1F51D ; fully-qualified # 🔝 E0.6 TOP arrow</v>
      </c>
      <c r="C1951" t="str">
        <f t="shared" si="183"/>
        <v xml:space="preserve">1F51D </v>
      </c>
      <c r="D1951">
        <f t="shared" si="184"/>
        <v>6</v>
      </c>
      <c r="E1951" t="str">
        <f t="shared" si="180"/>
        <v xml:space="preserve"> 🔝 E0.6 TOP arrow</v>
      </c>
      <c r="F1951" t="b">
        <f t="shared" si="185"/>
        <v>1</v>
      </c>
      <c r="G1951" t="str">
        <f t="shared" si="181"/>
        <v>1F51D</v>
      </c>
      <c r="I1951">
        <f>HEX2DEC(Table1[[#This Row],[utf8]])</f>
        <v>128285</v>
      </c>
      <c r="J1951" t="str">
        <f>_xlfn.UNICHAR(HEX2DEC(Table1[[#This Row],[utf8]]))</f>
        <v>🔝</v>
      </c>
      <c r="K1951" s="3" t="str" cm="1">
        <f t="array" ref="K1951">"Case "&amp;wRandomLetter()&amp;wRandomLetter()&amp;I1951&amp;":    UniConst = ChrW(" &amp; I1951 &amp;")"</f>
        <v>Case yF128285:    UniConst = ChrW(128285)</v>
      </c>
    </row>
    <row r="1952" spans="1:11" hidden="1">
      <c r="A1952" t="s">
        <v>4148</v>
      </c>
      <c r="B1952" t="str">
        <f t="shared" si="182"/>
        <v>1F51E ; fully-qualified # 🔞 E0.6 no one under eighteen</v>
      </c>
      <c r="C1952" t="str">
        <f t="shared" si="183"/>
        <v xml:space="preserve">1F51E </v>
      </c>
      <c r="D1952">
        <f t="shared" si="184"/>
        <v>6</v>
      </c>
      <c r="E1952" t="str">
        <f t="shared" si="180"/>
        <v xml:space="preserve"> 🔞 E0.6 no one under eighteen</v>
      </c>
      <c r="F1952" t="b">
        <f t="shared" si="185"/>
        <v>1</v>
      </c>
      <c r="G1952" t="str">
        <f t="shared" si="181"/>
        <v>1F51E</v>
      </c>
      <c r="I1952">
        <f>HEX2DEC(Table1[[#This Row],[utf8]])</f>
        <v>128286</v>
      </c>
      <c r="J1952" t="str">
        <f>_xlfn.UNICHAR(HEX2DEC(Table1[[#This Row],[utf8]]))</f>
        <v>🔞</v>
      </c>
      <c r="K1952" s="3" t="str" cm="1">
        <f t="array" ref="K1952">"Case "&amp;wRandomLetter()&amp;wRandomLetter()&amp;I1952&amp;":    UniConst = ChrW(" &amp; I1952 &amp;")"</f>
        <v>Case qz128286:    UniConst = ChrW(128286)</v>
      </c>
    </row>
    <row r="1953" spans="1:11" hidden="1">
      <c r="A1953" t="s">
        <v>4347</v>
      </c>
      <c r="B1953" t="str">
        <f t="shared" si="182"/>
        <v>1F51F ; fully-qualified # 🔟 E0.6 keycap: 10</v>
      </c>
      <c r="C1953" t="str">
        <f t="shared" si="183"/>
        <v xml:space="preserve">1F51F </v>
      </c>
      <c r="D1953">
        <f t="shared" si="184"/>
        <v>6</v>
      </c>
      <c r="E1953" t="str">
        <f t="shared" si="180"/>
        <v xml:space="preserve"> 🔟 E0.6 keycap: 10</v>
      </c>
      <c r="F1953" t="b">
        <f t="shared" si="185"/>
        <v>1</v>
      </c>
      <c r="G1953" t="str">
        <f t="shared" si="181"/>
        <v>1F51F</v>
      </c>
      <c r="I1953">
        <f>HEX2DEC(Table1[[#This Row],[utf8]])</f>
        <v>128287</v>
      </c>
      <c r="J1953" t="str">
        <f>_xlfn.UNICHAR(HEX2DEC(Table1[[#This Row],[utf8]]))</f>
        <v>🔟</v>
      </c>
      <c r="K1953" s="3" t="str" cm="1">
        <f t="array" ref="K1953">"Case "&amp;wRandomLetter()&amp;wRandomLetter()&amp;I1953&amp;":    UniConst = ChrW(" &amp; I1953 &amp;")"</f>
        <v>Case mz128287:    UniConst = ChrW(128287)</v>
      </c>
    </row>
    <row r="1954" spans="1:11" hidden="1">
      <c r="A1954" t="s">
        <v>4349</v>
      </c>
      <c r="B1954" t="str">
        <f t="shared" si="182"/>
        <v>1F520 ; fully-qualified # 🔠 E0.6 input latin uppercase</v>
      </c>
      <c r="C1954" t="str">
        <f t="shared" si="183"/>
        <v xml:space="preserve">1F520 </v>
      </c>
      <c r="D1954">
        <f t="shared" si="184"/>
        <v>6</v>
      </c>
      <c r="E1954" t="str">
        <f t="shared" si="180"/>
        <v xml:space="preserve"> 🔠 E0.6 input latin uppercase</v>
      </c>
      <c r="F1954" t="b">
        <f t="shared" si="185"/>
        <v>1</v>
      </c>
      <c r="G1954" t="str">
        <f t="shared" si="181"/>
        <v>1F520</v>
      </c>
      <c r="I1954">
        <f>HEX2DEC(Table1[[#This Row],[utf8]])</f>
        <v>128288</v>
      </c>
      <c r="J1954" t="str">
        <f>_xlfn.UNICHAR(HEX2DEC(Table1[[#This Row],[utf8]]))</f>
        <v>🔠</v>
      </c>
      <c r="K1954" s="3" t="str" cm="1">
        <f t="array" ref="K1954">"Case "&amp;wRandomLetter()&amp;wRandomLetter()&amp;I1954&amp;":    UniConst = ChrW(" &amp; I1954 &amp;")"</f>
        <v>Case PN128288:    UniConst = ChrW(128288)</v>
      </c>
    </row>
    <row r="1955" spans="1:11" hidden="1">
      <c r="A1955" t="s">
        <v>4350</v>
      </c>
      <c r="B1955" t="str">
        <f t="shared" si="182"/>
        <v>1F521 ; fully-qualified # 🔡 E0.6 input latin lowercase</v>
      </c>
      <c r="C1955" t="str">
        <f t="shared" si="183"/>
        <v xml:space="preserve">1F521 </v>
      </c>
      <c r="D1955">
        <f t="shared" si="184"/>
        <v>6</v>
      </c>
      <c r="E1955" t="str">
        <f t="shared" si="180"/>
        <v xml:space="preserve"> 🔡 E0.6 input latin lowercase</v>
      </c>
      <c r="F1955" t="b">
        <f t="shared" si="185"/>
        <v>1</v>
      </c>
      <c r="G1955" t="str">
        <f t="shared" si="181"/>
        <v>1F521</v>
      </c>
      <c r="I1955">
        <f>HEX2DEC(Table1[[#This Row],[utf8]])</f>
        <v>128289</v>
      </c>
      <c r="J1955" t="str">
        <f>_xlfn.UNICHAR(HEX2DEC(Table1[[#This Row],[utf8]]))</f>
        <v>🔡</v>
      </c>
      <c r="K1955" s="3" t="str" cm="1">
        <f t="array" ref="K1955">"Case "&amp;wRandomLetter()&amp;wRandomLetter()&amp;I1955&amp;":    UniConst = ChrW(" &amp; I1955 &amp;")"</f>
        <v>Case tH128289:    UniConst = ChrW(128289)</v>
      </c>
    </row>
    <row r="1956" spans="1:11" hidden="1">
      <c r="A1956" t="s">
        <v>4351</v>
      </c>
      <c r="B1956" t="str">
        <f t="shared" si="182"/>
        <v>1F522 ; fully-qualified # 🔢 E0.6 input numbers</v>
      </c>
      <c r="C1956" t="str">
        <f t="shared" si="183"/>
        <v xml:space="preserve">1F522 </v>
      </c>
      <c r="D1956">
        <f t="shared" si="184"/>
        <v>6</v>
      </c>
      <c r="E1956" t="str">
        <f t="shared" si="180"/>
        <v xml:space="preserve"> 🔢 E0.6 input numbers</v>
      </c>
      <c r="F1956" t="b">
        <f t="shared" si="185"/>
        <v>1</v>
      </c>
      <c r="G1956" t="str">
        <f t="shared" si="181"/>
        <v>1F522</v>
      </c>
      <c r="I1956">
        <f>HEX2DEC(Table1[[#This Row],[utf8]])</f>
        <v>128290</v>
      </c>
      <c r="J1956" t="str">
        <f>_xlfn.UNICHAR(HEX2DEC(Table1[[#This Row],[utf8]]))</f>
        <v>🔢</v>
      </c>
      <c r="K1956" s="3" t="str" cm="1">
        <f t="array" ref="K1956">"Case "&amp;wRandomLetter()&amp;wRandomLetter()&amp;I1956&amp;":    UniConst = ChrW(" &amp; I1956 &amp;")"</f>
        <v>Case Dp128290:    UniConst = ChrW(128290)</v>
      </c>
    </row>
    <row r="1957" spans="1:11" hidden="1">
      <c r="A1957" t="s">
        <v>4352</v>
      </c>
      <c r="B1957" t="str">
        <f t="shared" si="182"/>
        <v>1F523 ; fully-qualified # 🔣 E0.6 input symbols</v>
      </c>
      <c r="C1957" t="str">
        <f t="shared" si="183"/>
        <v xml:space="preserve">1F523 </v>
      </c>
      <c r="D1957">
        <f t="shared" si="184"/>
        <v>6</v>
      </c>
      <c r="E1957" t="str">
        <f t="shared" si="180"/>
        <v xml:space="preserve"> 🔣 E0.6 input symbols</v>
      </c>
      <c r="F1957" t="b">
        <f t="shared" si="185"/>
        <v>1</v>
      </c>
      <c r="G1957" t="str">
        <f t="shared" si="181"/>
        <v>1F523</v>
      </c>
      <c r="I1957">
        <f>HEX2DEC(Table1[[#This Row],[utf8]])</f>
        <v>128291</v>
      </c>
      <c r="J1957" t="str">
        <f>_xlfn.UNICHAR(HEX2DEC(Table1[[#This Row],[utf8]]))</f>
        <v>🔣</v>
      </c>
      <c r="K1957" s="3" t="str" cm="1">
        <f t="array" ref="K1957">"Case "&amp;wRandomLetter()&amp;wRandomLetter()&amp;I1957&amp;":    UniConst = ChrW(" &amp; I1957 &amp;")"</f>
        <v>Case jW128291:    UniConst = ChrW(128291)</v>
      </c>
    </row>
    <row r="1958" spans="1:11" hidden="1">
      <c r="A1958" t="s">
        <v>4353</v>
      </c>
      <c r="B1958" t="str">
        <f t="shared" si="182"/>
        <v>1F524 ; fully-qualified # 🔤 E0.6 input latin letters</v>
      </c>
      <c r="C1958" t="str">
        <f t="shared" si="183"/>
        <v xml:space="preserve">1F524 </v>
      </c>
      <c r="D1958">
        <f t="shared" si="184"/>
        <v>6</v>
      </c>
      <c r="E1958" t="str">
        <f t="shared" si="180"/>
        <v xml:space="preserve"> 🔤 E0.6 input latin letters</v>
      </c>
      <c r="F1958" t="b">
        <f t="shared" si="185"/>
        <v>1</v>
      </c>
      <c r="G1958" t="str">
        <f t="shared" si="181"/>
        <v>1F524</v>
      </c>
      <c r="I1958">
        <f>HEX2DEC(Table1[[#This Row],[utf8]])</f>
        <v>128292</v>
      </c>
      <c r="J1958" t="str">
        <f>_xlfn.UNICHAR(HEX2DEC(Table1[[#This Row],[utf8]]))</f>
        <v>🔤</v>
      </c>
      <c r="K1958" s="3" t="str" cm="1">
        <f t="array" ref="K1958">"Case "&amp;wRandomLetter()&amp;wRandomLetter()&amp;I1958&amp;":    UniConst = ChrW(" &amp; I1958 &amp;")"</f>
        <v>Case tx128292:    UniConst = ChrW(128292)</v>
      </c>
    </row>
    <row r="1959" spans="1:11" hidden="1">
      <c r="A1959" t="s">
        <v>3693</v>
      </c>
      <c r="B1959" t="str">
        <f t="shared" si="182"/>
        <v>1F525 ; fully-qualified # 🔥 E0.6 fire</v>
      </c>
      <c r="C1959" t="str">
        <f t="shared" si="183"/>
        <v xml:space="preserve">1F525 </v>
      </c>
      <c r="D1959">
        <f t="shared" si="184"/>
        <v>6</v>
      </c>
      <c r="E1959" t="str">
        <f t="shared" si="180"/>
        <v xml:space="preserve"> 🔥 E0.6 fire</v>
      </c>
      <c r="F1959" t="b">
        <f t="shared" si="185"/>
        <v>1</v>
      </c>
      <c r="G1959" t="str">
        <f t="shared" si="181"/>
        <v>1F525</v>
      </c>
      <c r="I1959">
        <f>HEX2DEC(Table1[[#This Row],[utf8]])</f>
        <v>128293</v>
      </c>
      <c r="J1959" t="str">
        <f>_xlfn.UNICHAR(HEX2DEC(Table1[[#This Row],[utf8]]))</f>
        <v>🔥</v>
      </c>
      <c r="K1959" s="3" t="str" cm="1">
        <f t="array" ref="K1959">"Case "&amp;wRandomLetter()&amp;wRandomLetter()&amp;I1959&amp;":    UniConst = ChrW(" &amp; I1959 &amp;")"</f>
        <v>Case gP128293:    UniConst = ChrW(128293)</v>
      </c>
    </row>
    <row r="1960" spans="1:11" hidden="1">
      <c r="A1960" t="s">
        <v>3928</v>
      </c>
      <c r="B1960" t="str">
        <f t="shared" si="182"/>
        <v>1F526 ; fully-qualified # 🔦 E0.6 flashlight</v>
      </c>
      <c r="C1960" t="str">
        <f t="shared" si="183"/>
        <v xml:space="preserve">1F526 </v>
      </c>
      <c r="D1960">
        <f t="shared" si="184"/>
        <v>6</v>
      </c>
      <c r="E1960" t="str">
        <f t="shared" si="180"/>
        <v xml:space="preserve"> 🔦 E0.6 flashlight</v>
      </c>
      <c r="F1960" t="b">
        <f t="shared" si="185"/>
        <v>1</v>
      </c>
      <c r="G1960" t="str">
        <f t="shared" si="181"/>
        <v>1F526</v>
      </c>
      <c r="I1960">
        <f>HEX2DEC(Table1[[#This Row],[utf8]])</f>
        <v>128294</v>
      </c>
      <c r="J1960" t="str">
        <f>_xlfn.UNICHAR(HEX2DEC(Table1[[#This Row],[utf8]]))</f>
        <v>🔦</v>
      </c>
      <c r="K1960" s="3" t="str" cm="1">
        <f t="array" ref="K1960">"Case "&amp;wRandomLetter()&amp;wRandomLetter()&amp;I1960&amp;":    UniConst = ChrW(" &amp; I1960 &amp;")"</f>
        <v>Case fd128294:    UniConst = ChrW(128294)</v>
      </c>
    </row>
    <row r="1961" spans="1:11" hidden="1">
      <c r="A1961" t="s">
        <v>4051</v>
      </c>
      <c r="B1961" t="str">
        <f t="shared" si="182"/>
        <v>1F527 ; fully-qualified # 🔧 E0.6 wrench</v>
      </c>
      <c r="C1961" t="str">
        <f t="shared" si="183"/>
        <v xml:space="preserve">1F527 </v>
      </c>
      <c r="D1961">
        <f t="shared" si="184"/>
        <v>6</v>
      </c>
      <c r="E1961" t="str">
        <f t="shared" si="180"/>
        <v xml:space="preserve"> 🔧 E0.6 wrench</v>
      </c>
      <c r="F1961" t="b">
        <f t="shared" si="185"/>
        <v>1</v>
      </c>
      <c r="G1961" t="str">
        <f t="shared" si="181"/>
        <v>1F527</v>
      </c>
      <c r="I1961">
        <f>HEX2DEC(Table1[[#This Row],[utf8]])</f>
        <v>128295</v>
      </c>
      <c r="J1961" t="str">
        <f>_xlfn.UNICHAR(HEX2DEC(Table1[[#This Row],[utf8]]))</f>
        <v>🔧</v>
      </c>
      <c r="K1961" s="3" t="str" cm="1">
        <f t="array" ref="K1961">"Case "&amp;wRandomLetter()&amp;wRandomLetter()&amp;I1961&amp;":    UniConst = ChrW(" &amp; I1961 &amp;")"</f>
        <v>Case wx128295:    UniConst = ChrW(128295)</v>
      </c>
    </row>
    <row r="1962" spans="1:11" hidden="1">
      <c r="A1962" t="s">
        <v>4033</v>
      </c>
      <c r="B1962" t="str">
        <f t="shared" si="182"/>
        <v>1F528 ; fully-qualified # 🔨 E0.6 hammer</v>
      </c>
      <c r="C1962" t="str">
        <f t="shared" si="183"/>
        <v xml:space="preserve">1F528 </v>
      </c>
      <c r="D1962">
        <f t="shared" si="184"/>
        <v>6</v>
      </c>
      <c r="E1962" t="str">
        <f t="shared" si="180"/>
        <v xml:space="preserve"> 🔨 E0.6 hammer</v>
      </c>
      <c r="F1962" t="b">
        <f t="shared" si="185"/>
        <v>1</v>
      </c>
      <c r="G1962" t="str">
        <f t="shared" si="181"/>
        <v>1F528</v>
      </c>
      <c r="I1962">
        <f>HEX2DEC(Table1[[#This Row],[utf8]])</f>
        <v>128296</v>
      </c>
      <c r="J1962" t="str">
        <f>_xlfn.UNICHAR(HEX2DEC(Table1[[#This Row],[utf8]]))</f>
        <v>🔨</v>
      </c>
      <c r="K1962" s="3" t="str" cm="1">
        <f t="array" ref="K1962">"Case "&amp;wRandomLetter()&amp;wRandomLetter()&amp;I1962&amp;":    UniConst = ChrW(" &amp; I1962 &amp;")"</f>
        <v>Case xw128296:    UniConst = ChrW(128296)</v>
      </c>
    </row>
    <row r="1963" spans="1:11" hidden="1">
      <c r="A1963" t="s">
        <v>4053</v>
      </c>
      <c r="B1963" t="str">
        <f t="shared" si="182"/>
        <v>1F529 ; fully-qualified # 🔩 E0.6 nut and bolt</v>
      </c>
      <c r="C1963" t="str">
        <f t="shared" si="183"/>
        <v xml:space="preserve">1F529 </v>
      </c>
      <c r="D1963">
        <f t="shared" si="184"/>
        <v>6</v>
      </c>
      <c r="E1963" t="str">
        <f t="shared" si="180"/>
        <v xml:space="preserve"> 🔩 E0.6 nut and bolt</v>
      </c>
      <c r="F1963" t="b">
        <f t="shared" si="185"/>
        <v>1</v>
      </c>
      <c r="G1963" t="str">
        <f t="shared" si="181"/>
        <v>1F529</v>
      </c>
      <c r="I1963">
        <f>HEX2DEC(Table1[[#This Row],[utf8]])</f>
        <v>128297</v>
      </c>
      <c r="J1963" t="str">
        <f>_xlfn.UNICHAR(HEX2DEC(Table1[[#This Row],[utf8]]))</f>
        <v>🔩</v>
      </c>
      <c r="K1963" s="3" t="str" cm="1">
        <f t="array" ref="K1963">"Case "&amp;wRandomLetter()&amp;wRandomLetter()&amp;I1963&amp;":    UniConst = ChrW(" &amp; I1963 &amp;")"</f>
        <v>Case kU128297:    UniConst = ChrW(128297)</v>
      </c>
    </row>
    <row r="1964" spans="1:11" hidden="1">
      <c r="A1964" t="s">
        <v>3416</v>
      </c>
      <c r="B1964" t="str">
        <f t="shared" si="182"/>
        <v>1F52A ; fully-qualified # 🔪 E0.6 kitchen knife</v>
      </c>
      <c r="C1964" t="str">
        <f t="shared" si="183"/>
        <v xml:space="preserve">1F52A </v>
      </c>
      <c r="D1964">
        <f t="shared" si="184"/>
        <v>6</v>
      </c>
      <c r="E1964" t="str">
        <f t="shared" si="180"/>
        <v xml:space="preserve"> 🔪 E0.6 kitchen knife</v>
      </c>
      <c r="F1964" t="b">
        <f t="shared" si="185"/>
        <v>1</v>
      </c>
      <c r="G1964" t="str">
        <f t="shared" si="181"/>
        <v>1F52A</v>
      </c>
      <c r="I1964">
        <f>HEX2DEC(Table1[[#This Row],[utf8]])</f>
        <v>128298</v>
      </c>
      <c r="J1964" t="str">
        <f>_xlfn.UNICHAR(HEX2DEC(Table1[[#This Row],[utf8]]))</f>
        <v>🔪</v>
      </c>
      <c r="K1964" s="3" t="str" cm="1">
        <f t="array" ref="K1964">"Case "&amp;wRandomLetter()&amp;wRandomLetter()&amp;I1964&amp;":    UniConst = ChrW(" &amp; I1964 &amp;")"</f>
        <v>Case Rs128298:    UniConst = ChrW(128298)</v>
      </c>
    </row>
    <row r="1965" spans="1:11" hidden="1">
      <c r="A1965" t="s">
        <v>4045</v>
      </c>
      <c r="B1965" t="str">
        <f t="shared" si="182"/>
        <v>1F52B ; fully-qualified # 🔫 E0.6 water pistol</v>
      </c>
      <c r="C1965" t="str">
        <f t="shared" si="183"/>
        <v xml:space="preserve">1F52B </v>
      </c>
      <c r="D1965">
        <f t="shared" si="184"/>
        <v>6</v>
      </c>
      <c r="E1965" t="str">
        <f t="shared" si="180"/>
        <v xml:space="preserve"> 🔫 E0.6 water pistol</v>
      </c>
      <c r="F1965" t="b">
        <f t="shared" si="185"/>
        <v>1</v>
      </c>
      <c r="G1965" t="str">
        <f t="shared" si="181"/>
        <v>1F52B</v>
      </c>
      <c r="I1965">
        <f>HEX2DEC(Table1[[#This Row],[utf8]])</f>
        <v>128299</v>
      </c>
      <c r="J1965" t="str">
        <f>_xlfn.UNICHAR(HEX2DEC(Table1[[#This Row],[utf8]]))</f>
        <v>🔫</v>
      </c>
      <c r="K1965" s="3" t="str" cm="1">
        <f t="array" ref="K1965">"Case "&amp;wRandomLetter()&amp;wRandomLetter()&amp;I1965&amp;":    UniConst = ChrW(" &amp; I1965 &amp;")"</f>
        <v>Case dw128299:    UniConst = ChrW(128299)</v>
      </c>
    </row>
    <row r="1966" spans="1:11" hidden="1">
      <c r="A1966" t="s">
        <v>4074</v>
      </c>
      <c r="B1966" t="str">
        <f t="shared" si="182"/>
        <v>1F52C ; fully-qualified # 🔬 E1.0 microscope</v>
      </c>
      <c r="C1966" t="str">
        <f t="shared" si="183"/>
        <v xml:space="preserve">1F52C </v>
      </c>
      <c r="D1966">
        <f t="shared" si="184"/>
        <v>6</v>
      </c>
      <c r="E1966" t="str">
        <f t="shared" si="180"/>
        <v xml:space="preserve"> 🔬 E1.0 microscope</v>
      </c>
      <c r="F1966" t="b">
        <f t="shared" si="185"/>
        <v>1</v>
      </c>
      <c r="G1966" t="str">
        <f t="shared" si="181"/>
        <v>1F52C</v>
      </c>
      <c r="I1966">
        <f>HEX2DEC(Table1[[#This Row],[utf8]])</f>
        <v>128300</v>
      </c>
      <c r="J1966" t="str">
        <f>_xlfn.UNICHAR(HEX2DEC(Table1[[#This Row],[utf8]]))</f>
        <v>🔬</v>
      </c>
      <c r="K1966" s="3" t="str" cm="1">
        <f t="array" ref="K1966">"Case "&amp;wRandomLetter()&amp;wRandomLetter()&amp;I1966&amp;":    UniConst = ChrW(" &amp; I1966 &amp;")"</f>
        <v>Case sJ128300:    UniConst = ChrW(128300)</v>
      </c>
    </row>
    <row r="1967" spans="1:11" hidden="1">
      <c r="A1967" t="s">
        <v>4075</v>
      </c>
      <c r="B1967" t="str">
        <f t="shared" si="182"/>
        <v>1F52D ; fully-qualified # 🔭 E1.0 telescope</v>
      </c>
      <c r="C1967" t="str">
        <f t="shared" si="183"/>
        <v xml:space="preserve">1F52D </v>
      </c>
      <c r="D1967">
        <f t="shared" si="184"/>
        <v>6</v>
      </c>
      <c r="E1967" t="str">
        <f t="shared" si="180"/>
        <v xml:space="preserve"> 🔭 E1.0 telescope</v>
      </c>
      <c r="F1967" t="b">
        <f t="shared" si="185"/>
        <v>1</v>
      </c>
      <c r="G1967" t="str">
        <f t="shared" si="181"/>
        <v>1F52D</v>
      </c>
      <c r="I1967">
        <f>HEX2DEC(Table1[[#This Row],[utf8]])</f>
        <v>128301</v>
      </c>
      <c r="J1967" t="str">
        <f>_xlfn.UNICHAR(HEX2DEC(Table1[[#This Row],[utf8]]))</f>
        <v>🔭</v>
      </c>
      <c r="K1967" s="3" t="str" cm="1">
        <f t="array" ref="K1967">"Case "&amp;wRandomLetter()&amp;wRandomLetter()&amp;I1967&amp;":    UniConst = ChrW(" &amp; I1967 &amp;")"</f>
        <v>Case Dz128301:    UniConst = ChrW(128301)</v>
      </c>
    </row>
    <row r="1968" spans="1:11" hidden="1">
      <c r="A1968" t="s">
        <v>3765</v>
      </c>
      <c r="B1968" t="str">
        <f t="shared" si="182"/>
        <v>1F52E ; fully-qualified # 🔮 E0.6 crystal ball</v>
      </c>
      <c r="C1968" t="str">
        <f t="shared" si="183"/>
        <v xml:space="preserve">1F52E </v>
      </c>
      <c r="D1968">
        <f t="shared" si="184"/>
        <v>6</v>
      </c>
      <c r="E1968" t="str">
        <f t="shared" si="180"/>
        <v xml:space="preserve"> 🔮 E0.6 crystal ball</v>
      </c>
      <c r="F1968" t="b">
        <f t="shared" si="185"/>
        <v>1</v>
      </c>
      <c r="G1968" t="str">
        <f t="shared" si="181"/>
        <v>1F52E</v>
      </c>
      <c r="I1968">
        <f>HEX2DEC(Table1[[#This Row],[utf8]])</f>
        <v>128302</v>
      </c>
      <c r="J1968" t="str">
        <f>_xlfn.UNICHAR(HEX2DEC(Table1[[#This Row],[utf8]]))</f>
        <v>🔮</v>
      </c>
      <c r="K1968" s="3" t="str" cm="1">
        <f t="array" ref="K1968">"Case "&amp;wRandomLetter()&amp;wRandomLetter()&amp;I1968&amp;":    UniConst = ChrW(" &amp; I1968 &amp;")"</f>
        <v>Case Xh128302:    UniConst = ChrW(128302)</v>
      </c>
    </row>
    <row r="1969" spans="1:11" hidden="1">
      <c r="A1969" t="s">
        <v>4210</v>
      </c>
      <c r="B1969" t="str">
        <f t="shared" si="182"/>
        <v>1F52F ; fully-qualified # 🔯 E0.6 dotted six-pointed star</v>
      </c>
      <c r="C1969" t="str">
        <f t="shared" si="183"/>
        <v xml:space="preserve">1F52F </v>
      </c>
      <c r="D1969">
        <f t="shared" si="184"/>
        <v>6</v>
      </c>
      <c r="E1969" t="str">
        <f t="shared" si="180"/>
        <v xml:space="preserve"> 🔯 E0.6 dotted six-pointed star</v>
      </c>
      <c r="F1969" t="b">
        <f t="shared" si="185"/>
        <v>1</v>
      </c>
      <c r="G1969" t="str">
        <f t="shared" si="181"/>
        <v>1F52F</v>
      </c>
      <c r="I1969">
        <f>HEX2DEC(Table1[[#This Row],[utf8]])</f>
        <v>128303</v>
      </c>
      <c r="J1969" t="str">
        <f>_xlfn.UNICHAR(HEX2DEC(Table1[[#This Row],[utf8]]))</f>
        <v>🔯</v>
      </c>
      <c r="K1969" s="3" t="str" cm="1">
        <f t="array" ref="K1969">"Case "&amp;wRandomLetter()&amp;wRandomLetter()&amp;I1969&amp;":    UniConst = ChrW(" &amp; I1969 &amp;")"</f>
        <v>Case By128303:    UniConst = ChrW(128303)</v>
      </c>
    </row>
    <row r="1970" spans="1:11" hidden="1">
      <c r="A1970" t="s">
        <v>4297</v>
      </c>
      <c r="B1970" t="str">
        <f t="shared" si="182"/>
        <v>1F530 ; fully-qualified # 🔰 E0.6 Japanese symbol for beginner</v>
      </c>
      <c r="C1970" t="str">
        <f t="shared" si="183"/>
        <v xml:space="preserve">1F530 </v>
      </c>
      <c r="D1970">
        <f t="shared" si="184"/>
        <v>6</v>
      </c>
      <c r="E1970" t="str">
        <f t="shared" si="180"/>
        <v xml:space="preserve"> 🔰 E0.6 Japanese symbol for beginner</v>
      </c>
      <c r="F1970" t="b">
        <f t="shared" si="185"/>
        <v>1</v>
      </c>
      <c r="G1970" t="str">
        <f t="shared" si="181"/>
        <v>1F530</v>
      </c>
      <c r="I1970">
        <f>HEX2DEC(Table1[[#This Row],[utf8]])</f>
        <v>128304</v>
      </c>
      <c r="J1970" t="str">
        <f>_xlfn.UNICHAR(HEX2DEC(Table1[[#This Row],[utf8]]))</f>
        <v>🔰</v>
      </c>
      <c r="K1970" s="3" t="str" cm="1">
        <f t="array" ref="K1970">"Case "&amp;wRandomLetter()&amp;wRandomLetter()&amp;I1970&amp;":    UniConst = ChrW(" &amp; I1970 &amp;")"</f>
        <v>Case jc128304:    UniConst = ChrW(128304)</v>
      </c>
    </row>
    <row r="1971" spans="1:11" hidden="1">
      <c r="A1971" t="s">
        <v>4295</v>
      </c>
      <c r="B1971" t="str">
        <f t="shared" si="182"/>
        <v>1F531 ; fully-qualified # 🔱 E0.6 trident emblem</v>
      </c>
      <c r="C1971" t="str">
        <f t="shared" si="183"/>
        <v xml:space="preserve">1F531 </v>
      </c>
      <c r="D1971">
        <f t="shared" si="184"/>
        <v>6</v>
      </c>
      <c r="E1971" t="str">
        <f t="shared" si="180"/>
        <v xml:space="preserve"> 🔱 E0.6 trident emblem</v>
      </c>
      <c r="F1971" t="b">
        <f t="shared" si="185"/>
        <v>1</v>
      </c>
      <c r="G1971" t="str">
        <f t="shared" si="181"/>
        <v>1F531</v>
      </c>
      <c r="I1971">
        <f>HEX2DEC(Table1[[#This Row],[utf8]])</f>
        <v>128305</v>
      </c>
      <c r="J1971" t="str">
        <f>_xlfn.UNICHAR(HEX2DEC(Table1[[#This Row],[utf8]]))</f>
        <v>🔱</v>
      </c>
      <c r="K1971" s="3" t="str" cm="1">
        <f t="array" ref="K1971">"Case "&amp;wRandomLetter()&amp;wRandomLetter()&amp;I1971&amp;":    UniConst = ChrW(" &amp; I1971 &amp;")"</f>
        <v>Case xv128305:    UniConst = ChrW(128305)</v>
      </c>
    </row>
    <row r="1972" spans="1:11" hidden="1">
      <c r="A1972" t="s">
        <v>4436</v>
      </c>
      <c r="B1972" t="str">
        <f t="shared" si="182"/>
        <v>1F532 ; fully-qualified # 🔲 E0.6 black square button</v>
      </c>
      <c r="C1972" t="str">
        <f t="shared" si="183"/>
        <v xml:space="preserve">1F532 </v>
      </c>
      <c r="D1972">
        <f t="shared" si="184"/>
        <v>6</v>
      </c>
      <c r="E1972" t="str">
        <f t="shared" si="180"/>
        <v xml:space="preserve"> 🔲 E0.6 black square button</v>
      </c>
      <c r="F1972" t="b">
        <f t="shared" si="185"/>
        <v>1</v>
      </c>
      <c r="G1972" t="str">
        <f t="shared" si="181"/>
        <v>1F532</v>
      </c>
      <c r="I1972">
        <f>HEX2DEC(Table1[[#This Row],[utf8]])</f>
        <v>128306</v>
      </c>
      <c r="J1972" t="str">
        <f>_xlfn.UNICHAR(HEX2DEC(Table1[[#This Row],[utf8]]))</f>
        <v>🔲</v>
      </c>
      <c r="K1972" s="3" t="str" cm="1">
        <f t="array" ref="K1972">"Case "&amp;wRandomLetter()&amp;wRandomLetter()&amp;I1972&amp;":    UniConst = ChrW(" &amp; I1972 &amp;")"</f>
        <v>Case xY128306:    UniConst = ChrW(128306)</v>
      </c>
    </row>
    <row r="1973" spans="1:11" hidden="1">
      <c r="A1973" t="s">
        <v>4435</v>
      </c>
      <c r="B1973" t="str">
        <f t="shared" si="182"/>
        <v>1F533 ; fully-qualified # 🔳 E0.6 white square button</v>
      </c>
      <c r="C1973" t="str">
        <f t="shared" si="183"/>
        <v xml:space="preserve">1F533 </v>
      </c>
      <c r="D1973">
        <f t="shared" si="184"/>
        <v>6</v>
      </c>
      <c r="E1973" t="str">
        <f t="shared" si="180"/>
        <v xml:space="preserve"> 🔳 E0.6 white square button</v>
      </c>
      <c r="F1973" t="b">
        <f t="shared" si="185"/>
        <v>1</v>
      </c>
      <c r="G1973" t="str">
        <f t="shared" si="181"/>
        <v>1F533</v>
      </c>
      <c r="I1973">
        <f>HEX2DEC(Table1[[#This Row],[utf8]])</f>
        <v>128307</v>
      </c>
      <c r="J1973" t="str">
        <f>_xlfn.UNICHAR(HEX2DEC(Table1[[#This Row],[utf8]]))</f>
        <v>🔳</v>
      </c>
      <c r="K1973" s="3" t="str" cm="1">
        <f t="array" ref="K1973">"Case "&amp;wRandomLetter()&amp;wRandomLetter()&amp;I1973&amp;":    UniConst = ChrW(" &amp; I1973 &amp;")"</f>
        <v>Case Tn128307:    UniConst = ChrW(128307)</v>
      </c>
    </row>
    <row r="1974" spans="1:11" hidden="1">
      <c r="A1974" t="s">
        <v>4399</v>
      </c>
      <c r="B1974" t="str">
        <f t="shared" si="182"/>
        <v>1F534 ; fully-qualified # 🔴 E0.6 red circle</v>
      </c>
      <c r="C1974" t="str">
        <f t="shared" si="183"/>
        <v xml:space="preserve">1F534 </v>
      </c>
      <c r="D1974">
        <f t="shared" si="184"/>
        <v>6</v>
      </c>
      <c r="E1974" t="str">
        <f t="shared" si="180"/>
        <v xml:space="preserve"> 🔴 E0.6 red circle</v>
      </c>
      <c r="F1974" t="b">
        <f t="shared" si="185"/>
        <v>1</v>
      </c>
      <c r="G1974" t="str">
        <f t="shared" si="181"/>
        <v>1F534</v>
      </c>
      <c r="I1974">
        <f>HEX2DEC(Table1[[#This Row],[utf8]])</f>
        <v>128308</v>
      </c>
      <c r="J1974" t="str">
        <f>_xlfn.UNICHAR(HEX2DEC(Table1[[#This Row],[utf8]]))</f>
        <v>🔴</v>
      </c>
      <c r="K1974" s="3" t="str" cm="1">
        <f t="array" ref="K1974">"Case "&amp;wRandomLetter()&amp;wRandomLetter()&amp;I1974&amp;":    UniConst = ChrW(" &amp; I1974 &amp;")"</f>
        <v>Case fT128308:    UniConst = ChrW(128308)</v>
      </c>
    </row>
    <row r="1975" spans="1:11" hidden="1">
      <c r="A1975" t="s">
        <v>4403</v>
      </c>
      <c r="B1975" t="str">
        <f t="shared" si="182"/>
        <v>1F535 ; fully-qualified # 🔵 E0.6 blue circle</v>
      </c>
      <c r="C1975" t="str">
        <f t="shared" si="183"/>
        <v xml:space="preserve">1F535 </v>
      </c>
      <c r="D1975">
        <f t="shared" si="184"/>
        <v>6</v>
      </c>
      <c r="E1975" t="str">
        <f t="shared" si="180"/>
        <v xml:space="preserve"> 🔵 E0.6 blue circle</v>
      </c>
      <c r="F1975" t="b">
        <f t="shared" si="185"/>
        <v>1</v>
      </c>
      <c r="G1975" t="str">
        <f t="shared" si="181"/>
        <v>1F535</v>
      </c>
      <c r="I1975">
        <f>HEX2DEC(Table1[[#This Row],[utf8]])</f>
        <v>128309</v>
      </c>
      <c r="J1975" t="str">
        <f>_xlfn.UNICHAR(HEX2DEC(Table1[[#This Row],[utf8]]))</f>
        <v>🔵</v>
      </c>
      <c r="K1975" s="3" t="str" cm="1">
        <f t="array" ref="K1975">"Case "&amp;wRandomLetter()&amp;wRandomLetter()&amp;I1975&amp;":    UniConst = ChrW(" &amp; I1975 &amp;")"</f>
        <v>Case zp128309:    UniConst = ChrW(128309)</v>
      </c>
    </row>
    <row r="1976" spans="1:11" hidden="1">
      <c r="A1976" t="s">
        <v>4427</v>
      </c>
      <c r="B1976" t="str">
        <f t="shared" si="182"/>
        <v>1F536 ; fully-qualified # 🔶 E0.6 large orange diamond</v>
      </c>
      <c r="C1976" t="str">
        <f t="shared" si="183"/>
        <v xml:space="preserve">1F536 </v>
      </c>
      <c r="D1976">
        <f t="shared" si="184"/>
        <v>6</v>
      </c>
      <c r="E1976" t="str">
        <f t="shared" si="180"/>
        <v xml:space="preserve"> 🔶 E0.6 large orange diamond</v>
      </c>
      <c r="F1976" t="b">
        <f t="shared" si="185"/>
        <v>1</v>
      </c>
      <c r="G1976" t="str">
        <f t="shared" si="181"/>
        <v>1F536</v>
      </c>
      <c r="I1976">
        <f>HEX2DEC(Table1[[#This Row],[utf8]])</f>
        <v>128310</v>
      </c>
      <c r="J1976" t="str">
        <f>_xlfn.UNICHAR(HEX2DEC(Table1[[#This Row],[utf8]]))</f>
        <v>🔶</v>
      </c>
      <c r="K1976" s="3" t="str" cm="1">
        <f t="array" ref="K1976">"Case "&amp;wRandomLetter()&amp;wRandomLetter()&amp;I1976&amp;":    UniConst = ChrW(" &amp; I1976 &amp;")"</f>
        <v>Case dv128310:    UniConst = ChrW(128310)</v>
      </c>
    </row>
    <row r="1977" spans="1:11" hidden="1">
      <c r="A1977" t="s">
        <v>4428</v>
      </c>
      <c r="B1977" t="str">
        <f t="shared" si="182"/>
        <v>1F537 ; fully-qualified # 🔷 E0.6 large blue diamond</v>
      </c>
      <c r="C1977" t="str">
        <f t="shared" si="183"/>
        <v xml:space="preserve">1F537 </v>
      </c>
      <c r="D1977">
        <f t="shared" si="184"/>
        <v>6</v>
      </c>
      <c r="E1977" t="str">
        <f t="shared" si="180"/>
        <v xml:space="preserve"> 🔷 E0.6 large blue diamond</v>
      </c>
      <c r="F1977" t="b">
        <f t="shared" si="185"/>
        <v>1</v>
      </c>
      <c r="G1977" t="str">
        <f t="shared" si="181"/>
        <v>1F537</v>
      </c>
      <c r="I1977">
        <f>HEX2DEC(Table1[[#This Row],[utf8]])</f>
        <v>128311</v>
      </c>
      <c r="J1977" t="str">
        <f>_xlfn.UNICHAR(HEX2DEC(Table1[[#This Row],[utf8]]))</f>
        <v>🔷</v>
      </c>
      <c r="K1977" s="3" t="str" cm="1">
        <f t="array" ref="K1977">"Case "&amp;wRandomLetter()&amp;wRandomLetter()&amp;I1977&amp;":    UniConst = ChrW(" &amp; I1977 &amp;")"</f>
        <v>Case Tn128311:    UniConst = ChrW(128311)</v>
      </c>
    </row>
    <row r="1978" spans="1:11" hidden="1">
      <c r="A1978" t="s">
        <v>4429</v>
      </c>
      <c r="B1978" t="str">
        <f t="shared" si="182"/>
        <v>1F538 ; fully-qualified # 🔸 E0.6 small orange diamond</v>
      </c>
      <c r="C1978" t="str">
        <f t="shared" si="183"/>
        <v xml:space="preserve">1F538 </v>
      </c>
      <c r="D1978">
        <f t="shared" si="184"/>
        <v>6</v>
      </c>
      <c r="E1978" t="str">
        <f t="shared" si="180"/>
        <v xml:space="preserve"> 🔸 E0.6 small orange diamond</v>
      </c>
      <c r="F1978" t="b">
        <f t="shared" si="185"/>
        <v>1</v>
      </c>
      <c r="G1978" t="str">
        <f t="shared" si="181"/>
        <v>1F538</v>
      </c>
      <c r="I1978">
        <f>HEX2DEC(Table1[[#This Row],[utf8]])</f>
        <v>128312</v>
      </c>
      <c r="J1978" t="str">
        <f>_xlfn.UNICHAR(HEX2DEC(Table1[[#This Row],[utf8]]))</f>
        <v>🔸</v>
      </c>
      <c r="K1978" s="3" t="str" cm="1">
        <f t="array" ref="K1978">"Case "&amp;wRandomLetter()&amp;wRandomLetter()&amp;I1978&amp;":    UniConst = ChrW(" &amp; I1978 &amp;")"</f>
        <v>Case zY128312:    UniConst = ChrW(128312)</v>
      </c>
    </row>
    <row r="1979" spans="1:11" hidden="1">
      <c r="A1979" t="s">
        <v>4430</v>
      </c>
      <c r="B1979" t="str">
        <f t="shared" si="182"/>
        <v>1F539 ; fully-qualified # 🔹 E0.6 small blue diamond</v>
      </c>
      <c r="C1979" t="str">
        <f t="shared" si="183"/>
        <v xml:space="preserve">1F539 </v>
      </c>
      <c r="D1979">
        <f t="shared" si="184"/>
        <v>6</v>
      </c>
      <c r="E1979" t="str">
        <f t="shared" si="180"/>
        <v xml:space="preserve"> 🔹 E0.6 small blue diamond</v>
      </c>
      <c r="F1979" t="b">
        <f t="shared" si="185"/>
        <v>1</v>
      </c>
      <c r="G1979" t="str">
        <f t="shared" si="181"/>
        <v>1F539</v>
      </c>
      <c r="I1979">
        <f>HEX2DEC(Table1[[#This Row],[utf8]])</f>
        <v>128313</v>
      </c>
      <c r="J1979" t="str">
        <f>_xlfn.UNICHAR(HEX2DEC(Table1[[#This Row],[utf8]]))</f>
        <v>🔹</v>
      </c>
      <c r="K1979" s="3" t="str" cm="1">
        <f t="array" ref="K1979">"Case "&amp;wRandomLetter()&amp;wRandomLetter()&amp;I1979&amp;":    UniConst = ChrW(" &amp; I1979 &amp;")"</f>
        <v>Case Yy128313:    UniConst = ChrW(128313)</v>
      </c>
    </row>
    <row r="1980" spans="1:11" hidden="1">
      <c r="A1980" t="s">
        <v>4431</v>
      </c>
      <c r="B1980" t="str">
        <f t="shared" si="182"/>
        <v>1F53A ; fully-qualified # 🔺 E0.6 red triangle pointed up</v>
      </c>
      <c r="C1980" t="str">
        <f t="shared" si="183"/>
        <v xml:space="preserve">1F53A </v>
      </c>
      <c r="D1980">
        <f t="shared" si="184"/>
        <v>6</v>
      </c>
      <c r="E1980" t="str">
        <f t="shared" si="180"/>
        <v xml:space="preserve"> 🔺 E0.6 red triangle pointed up</v>
      </c>
      <c r="F1980" t="b">
        <f t="shared" si="185"/>
        <v>1</v>
      </c>
      <c r="G1980" t="str">
        <f t="shared" si="181"/>
        <v>1F53A</v>
      </c>
      <c r="I1980">
        <f>HEX2DEC(Table1[[#This Row],[utf8]])</f>
        <v>128314</v>
      </c>
      <c r="J1980" t="str">
        <f>_xlfn.UNICHAR(HEX2DEC(Table1[[#This Row],[utf8]]))</f>
        <v>🔺</v>
      </c>
      <c r="K1980" s="3" t="str" cm="1">
        <f t="array" ref="K1980">"Case "&amp;wRandomLetter()&amp;wRandomLetter()&amp;I1980&amp;":    UniConst = ChrW(" &amp; I1980 &amp;")"</f>
        <v>Case Sb128314:    UniConst = ChrW(128314)</v>
      </c>
    </row>
    <row r="1981" spans="1:11" hidden="1">
      <c r="A1981" t="s">
        <v>4432</v>
      </c>
      <c r="B1981" t="str">
        <f t="shared" si="182"/>
        <v>1F53B ; fully-qualified # 🔻 E0.6 red triangle pointed down</v>
      </c>
      <c r="C1981" t="str">
        <f t="shared" si="183"/>
        <v xml:space="preserve">1F53B </v>
      </c>
      <c r="D1981">
        <f t="shared" si="184"/>
        <v>6</v>
      </c>
      <c r="E1981" t="str">
        <f t="shared" si="180"/>
        <v xml:space="preserve"> 🔻 E0.6 red triangle pointed down</v>
      </c>
      <c r="F1981" t="b">
        <f t="shared" si="185"/>
        <v>1</v>
      </c>
      <c r="G1981" t="str">
        <f t="shared" si="181"/>
        <v>1F53B</v>
      </c>
      <c r="I1981">
        <f>HEX2DEC(Table1[[#This Row],[utf8]])</f>
        <v>128315</v>
      </c>
      <c r="J1981" t="str">
        <f>_xlfn.UNICHAR(HEX2DEC(Table1[[#This Row],[utf8]]))</f>
        <v>🔻</v>
      </c>
      <c r="K1981" s="3" t="str" cm="1">
        <f t="array" ref="K1981">"Case "&amp;wRandomLetter()&amp;wRandomLetter()&amp;I1981&amp;":    UniConst = ChrW(" &amp; I1981 &amp;")"</f>
        <v>Case rd128315:    UniConst = ChrW(128315)</v>
      </c>
    </row>
    <row r="1982" spans="1:11" hidden="1">
      <c r="A1982" t="s">
        <v>4241</v>
      </c>
      <c r="B1982" t="str">
        <f t="shared" si="182"/>
        <v>1F53C ; fully-qualified # 🔼 E0.6 upwards button</v>
      </c>
      <c r="C1982" t="str">
        <f t="shared" si="183"/>
        <v xml:space="preserve">1F53C </v>
      </c>
      <c r="D1982">
        <f t="shared" si="184"/>
        <v>6</v>
      </c>
      <c r="E1982" t="str">
        <f t="shared" si="180"/>
        <v xml:space="preserve"> 🔼 E0.6 upwards button</v>
      </c>
      <c r="F1982" t="b">
        <f t="shared" si="185"/>
        <v>1</v>
      </c>
      <c r="G1982" t="str">
        <f t="shared" si="181"/>
        <v>1F53C</v>
      </c>
      <c r="I1982">
        <f>HEX2DEC(Table1[[#This Row],[utf8]])</f>
        <v>128316</v>
      </c>
      <c r="J1982" t="str">
        <f>_xlfn.UNICHAR(HEX2DEC(Table1[[#This Row],[utf8]]))</f>
        <v>🔼</v>
      </c>
      <c r="K1982" s="3" t="str" cm="1">
        <f t="array" ref="K1982">"Case "&amp;wRandomLetter()&amp;wRandomLetter()&amp;I1982&amp;":    UniConst = ChrW(" &amp; I1982 &amp;")"</f>
        <v>Case mj128316:    UniConst = ChrW(128316)</v>
      </c>
    </row>
    <row r="1983" spans="1:11" hidden="1">
      <c r="A1983" t="s">
        <v>4243</v>
      </c>
      <c r="B1983" t="str">
        <f t="shared" si="182"/>
        <v>1F53D ; fully-qualified # 🔽 E0.6 downwards button</v>
      </c>
      <c r="C1983" t="str">
        <f t="shared" si="183"/>
        <v xml:space="preserve">1F53D </v>
      </c>
      <c r="D1983">
        <f t="shared" si="184"/>
        <v>6</v>
      </c>
      <c r="E1983" t="str">
        <f t="shared" si="180"/>
        <v xml:space="preserve"> 🔽 E0.6 downwards button</v>
      </c>
      <c r="F1983" t="b">
        <f t="shared" si="185"/>
        <v>1</v>
      </c>
      <c r="G1983" t="str">
        <f t="shared" si="181"/>
        <v>1F53D</v>
      </c>
      <c r="I1983">
        <f>HEX2DEC(Table1[[#This Row],[utf8]])</f>
        <v>128317</v>
      </c>
      <c r="J1983" t="str">
        <f>_xlfn.UNICHAR(HEX2DEC(Table1[[#This Row],[utf8]]))</f>
        <v>🔽</v>
      </c>
      <c r="K1983" s="3" t="str" cm="1">
        <f t="array" ref="K1983">"Case "&amp;wRandomLetter()&amp;wRandomLetter()&amp;I1983&amp;":    UniConst = ChrW(" &amp; I1983 &amp;")"</f>
        <v>Case gP128317:    UniConst = ChrW(128317)</v>
      </c>
    </row>
    <row r="1984" spans="1:11" hidden="1">
      <c r="A1984" t="s">
        <v>4194</v>
      </c>
      <c r="B1984" t="str">
        <f t="shared" si="182"/>
        <v>1F549 ; unqualified # 🕉 E0.7 om</v>
      </c>
      <c r="C1984" t="str">
        <f t="shared" si="183"/>
        <v xml:space="preserve">1F549 </v>
      </c>
      <c r="D1984">
        <f t="shared" si="184"/>
        <v>6</v>
      </c>
      <c r="E1984" t="str">
        <f t="shared" si="180"/>
        <v xml:space="preserve"> 🕉 E0.7 om</v>
      </c>
      <c r="F1984" t="b">
        <f t="shared" si="185"/>
        <v>1</v>
      </c>
      <c r="G1984" t="str">
        <f t="shared" si="181"/>
        <v>1F549</v>
      </c>
      <c r="I1984">
        <f>HEX2DEC(Table1[[#This Row],[utf8]])</f>
        <v>128329</v>
      </c>
      <c r="J1984" t="str">
        <f>_xlfn.UNICHAR(HEX2DEC(Table1[[#This Row],[utf8]]))</f>
        <v>🕉</v>
      </c>
      <c r="K1984" s="3" t="str" cm="1">
        <f t="array" ref="K1984">"Case "&amp;wRandomLetter()&amp;wRandomLetter()&amp;I1984&amp;":    UniConst = ChrW(" &amp; I1984 &amp;")"</f>
        <v>Case Bi128329:    UniConst = ChrW(128329)</v>
      </c>
    </row>
    <row r="1985" spans="1:11" hidden="1">
      <c r="A1985" t="s">
        <v>4193</v>
      </c>
      <c r="B1985" t="str">
        <f t="shared" si="182"/>
        <v>1F549 FE0F ; fully-qualified # 🕉️ E0.7 om</v>
      </c>
      <c r="C1985" t="str">
        <f t="shared" si="183"/>
        <v xml:space="preserve">1F549 FE0F </v>
      </c>
      <c r="D1985">
        <f t="shared" si="184"/>
        <v>11</v>
      </c>
      <c r="E1985" t="str">
        <f t="shared" si="180"/>
        <v xml:space="preserve"> 🕉️ E0.7 om</v>
      </c>
      <c r="F1985" t="b">
        <f t="shared" si="185"/>
        <v>1</v>
      </c>
      <c r="G1985" t="str">
        <f t="shared" si="181"/>
        <v>1F549</v>
      </c>
      <c r="I1985">
        <f>HEX2DEC(Table1[[#This Row],[utf8]])</f>
        <v>128329</v>
      </c>
      <c r="J1985" t="str">
        <f>_xlfn.UNICHAR(HEX2DEC(Table1[[#This Row],[utf8]]))</f>
        <v>🕉</v>
      </c>
      <c r="K1985" s="3" t="str" cm="1">
        <f t="array" ref="K1985">"Case "&amp;wRandomLetter()&amp;wRandomLetter()&amp;I1985&amp;":    UniConst = ChrW(" &amp; I1985 &amp;")"</f>
        <v>Case Dz128329:    UniConst = ChrW(128329)</v>
      </c>
    </row>
    <row r="1986" spans="1:11" hidden="1">
      <c r="A1986" t="s">
        <v>3198</v>
      </c>
      <c r="B1986" t="str">
        <f t="shared" si="182"/>
        <v>1F54A ; unqualified # 🕊 E0.7 dove</v>
      </c>
      <c r="C1986" t="str">
        <f t="shared" si="183"/>
        <v xml:space="preserve">1F54A </v>
      </c>
      <c r="D1986">
        <f t="shared" si="184"/>
        <v>6</v>
      </c>
      <c r="E1986" t="str">
        <f t="shared" ref="E1986:E2049" si="186">MID(A1986,FIND("#",A1986)+1,256)</f>
        <v xml:space="preserve"> 🕊 E0.7 dove</v>
      </c>
      <c r="F1986" t="b">
        <f t="shared" si="185"/>
        <v>1</v>
      </c>
      <c r="G1986" t="str">
        <f t="shared" ref="G1986:G2049" si="187">LEFT(C1986,(FIND(" ",C1986,1)-1))</f>
        <v>1F54A</v>
      </c>
      <c r="I1986">
        <f>HEX2DEC(Table1[[#This Row],[utf8]])</f>
        <v>128330</v>
      </c>
      <c r="J1986" t="str">
        <f>_xlfn.UNICHAR(HEX2DEC(Table1[[#This Row],[utf8]]))</f>
        <v>🕊</v>
      </c>
      <c r="K1986" s="3" t="str" cm="1">
        <f t="array" ref="K1986">"Case "&amp;wRandomLetter()&amp;wRandomLetter()&amp;I1986&amp;":    UniConst = ChrW(" &amp; I1986 &amp;")"</f>
        <v>Case PM128330:    UniConst = ChrW(128330)</v>
      </c>
    </row>
    <row r="1987" spans="1:11" hidden="1">
      <c r="A1987" t="s">
        <v>3197</v>
      </c>
      <c r="B1987" t="str">
        <f t="shared" ref="B1987:B2050" si="188">TRIM(A1987)</f>
        <v>1F54A FE0F ; fully-qualified # 🕊️ E0.7 dove</v>
      </c>
      <c r="C1987" t="str">
        <f t="shared" ref="C1987:C2050" si="189">LEFT(B1987,(FIND(";",B1987,1)-1))</f>
        <v xml:space="preserve">1F54A FE0F </v>
      </c>
      <c r="D1987">
        <f t="shared" ref="D1987:D2050" si="190">LEN(C1987)</f>
        <v>11</v>
      </c>
      <c r="E1987" t="str">
        <f t="shared" si="186"/>
        <v xml:space="preserve"> 🕊️ E0.7 dove</v>
      </c>
      <c r="F1987" t="b">
        <f t="shared" ref="F1987:F2050" si="191">IF(LEFT(C1987,2)="1F",TRUE,FALSE)</f>
        <v>1</v>
      </c>
      <c r="G1987" t="str">
        <f t="shared" si="187"/>
        <v>1F54A</v>
      </c>
      <c r="I1987">
        <f>HEX2DEC(Table1[[#This Row],[utf8]])</f>
        <v>128330</v>
      </c>
      <c r="J1987" t="str">
        <f>_xlfn.UNICHAR(HEX2DEC(Table1[[#This Row],[utf8]]))</f>
        <v>🕊</v>
      </c>
      <c r="K1987" s="3" t="str" cm="1">
        <f t="array" ref="K1987">"Case "&amp;wRandomLetter()&amp;wRandomLetter()&amp;I1987&amp;":    UniConst = ChrW(" &amp; I1987 &amp;")"</f>
        <v>Case aT128330:    UniConst = ChrW(128330)</v>
      </c>
    </row>
    <row r="1988" spans="1:11" hidden="1">
      <c r="A1988" t="s">
        <v>3487</v>
      </c>
      <c r="B1988" t="str">
        <f t="shared" si="188"/>
        <v>1F54B ; fully-qualified # 🕋 E1.0 kaaba</v>
      </c>
      <c r="C1988" t="str">
        <f t="shared" si="189"/>
        <v xml:space="preserve">1F54B </v>
      </c>
      <c r="D1988">
        <f t="shared" si="190"/>
        <v>6</v>
      </c>
      <c r="E1988" t="str">
        <f t="shared" si="186"/>
        <v xml:space="preserve"> 🕋 E1.0 kaaba</v>
      </c>
      <c r="F1988" t="b">
        <f t="shared" si="191"/>
        <v>1</v>
      </c>
      <c r="G1988" t="str">
        <f t="shared" si="187"/>
        <v>1F54B</v>
      </c>
      <c r="I1988">
        <f>HEX2DEC(Table1[[#This Row],[utf8]])</f>
        <v>128331</v>
      </c>
      <c r="J1988" t="str">
        <f>_xlfn.UNICHAR(HEX2DEC(Table1[[#This Row],[utf8]]))</f>
        <v>🕋</v>
      </c>
      <c r="K1988" s="3" t="str" cm="1">
        <f t="array" ref="K1988">"Case "&amp;wRandomLetter()&amp;wRandomLetter()&amp;I1988&amp;":    UniConst = ChrW(" &amp; I1988 &amp;")"</f>
        <v>Case co128331:    UniConst = ChrW(128331)</v>
      </c>
    </row>
    <row r="1989" spans="1:11" hidden="1">
      <c r="A1989" t="s">
        <v>3482</v>
      </c>
      <c r="B1989" t="str">
        <f t="shared" si="188"/>
        <v>1F54C ; fully-qualified # 🕌 E1.0 mosque</v>
      </c>
      <c r="C1989" t="str">
        <f t="shared" si="189"/>
        <v xml:space="preserve">1F54C </v>
      </c>
      <c r="D1989">
        <f t="shared" si="190"/>
        <v>6</v>
      </c>
      <c r="E1989" t="str">
        <f t="shared" si="186"/>
        <v xml:space="preserve"> 🕌 E1.0 mosque</v>
      </c>
      <c r="F1989" t="b">
        <f t="shared" si="191"/>
        <v>1</v>
      </c>
      <c r="G1989" t="str">
        <f t="shared" si="187"/>
        <v>1F54C</v>
      </c>
      <c r="I1989">
        <f>HEX2DEC(Table1[[#This Row],[utf8]])</f>
        <v>128332</v>
      </c>
      <c r="J1989" t="str">
        <f>_xlfn.UNICHAR(HEX2DEC(Table1[[#This Row],[utf8]]))</f>
        <v>🕌</v>
      </c>
      <c r="K1989" s="3" t="str" cm="1">
        <f t="array" ref="K1989">"Case "&amp;wRandomLetter()&amp;wRandomLetter()&amp;I1989&amp;":    UniConst = ChrW(" &amp; I1989 &amp;")"</f>
        <v>Case ks128332:    UniConst = ChrW(128332)</v>
      </c>
    </row>
    <row r="1990" spans="1:11" hidden="1">
      <c r="A1990" t="s">
        <v>3484</v>
      </c>
      <c r="B1990" t="str">
        <f t="shared" si="188"/>
        <v>1F54D ; fully-qualified # 🕍 E1.0 synagogue</v>
      </c>
      <c r="C1990" t="str">
        <f t="shared" si="189"/>
        <v xml:space="preserve">1F54D </v>
      </c>
      <c r="D1990">
        <f t="shared" si="190"/>
        <v>6</v>
      </c>
      <c r="E1990" t="str">
        <f t="shared" si="186"/>
        <v xml:space="preserve"> 🕍 E1.0 synagogue</v>
      </c>
      <c r="F1990" t="b">
        <f t="shared" si="191"/>
        <v>1</v>
      </c>
      <c r="G1990" t="str">
        <f t="shared" si="187"/>
        <v>1F54D</v>
      </c>
      <c r="I1990">
        <f>HEX2DEC(Table1[[#This Row],[utf8]])</f>
        <v>128333</v>
      </c>
      <c r="J1990" t="str">
        <f>_xlfn.UNICHAR(HEX2DEC(Table1[[#This Row],[utf8]]))</f>
        <v>🕍</v>
      </c>
      <c r="K1990" s="3" t="str" cm="1">
        <f t="array" ref="K1990">"Case "&amp;wRandomLetter()&amp;wRandomLetter()&amp;I1990&amp;":    UniConst = ChrW(" &amp; I1990 &amp;")"</f>
        <v>Case Bh128333:    UniConst = ChrW(128333)</v>
      </c>
    </row>
    <row r="1991" spans="1:11" hidden="1">
      <c r="A1991" t="s">
        <v>4209</v>
      </c>
      <c r="B1991" t="str">
        <f t="shared" si="188"/>
        <v>1F54E ; fully-qualified # 🕎 E1.0 menorah</v>
      </c>
      <c r="C1991" t="str">
        <f t="shared" si="189"/>
        <v xml:space="preserve">1F54E </v>
      </c>
      <c r="D1991">
        <f t="shared" si="190"/>
        <v>6</v>
      </c>
      <c r="E1991" t="str">
        <f t="shared" si="186"/>
        <v xml:space="preserve"> 🕎 E1.0 menorah</v>
      </c>
      <c r="F1991" t="b">
        <f t="shared" si="191"/>
        <v>1</v>
      </c>
      <c r="G1991" t="str">
        <f t="shared" si="187"/>
        <v>1F54E</v>
      </c>
      <c r="I1991">
        <f>HEX2DEC(Table1[[#This Row],[utf8]])</f>
        <v>128334</v>
      </c>
      <c r="J1991" t="str">
        <f>_xlfn.UNICHAR(HEX2DEC(Table1[[#This Row],[utf8]]))</f>
        <v>🕎</v>
      </c>
      <c r="K1991" s="3" t="str" cm="1">
        <f t="array" ref="K1991">"Case "&amp;wRandomLetter()&amp;wRandomLetter()&amp;I1991&amp;":    UniConst = ChrW(" &amp; I1991 &amp;")"</f>
        <v>Case ef128334:    UniConst = ChrW(128334)</v>
      </c>
    </row>
    <row r="1992" spans="1:11" hidden="1">
      <c r="A1992" t="s">
        <v>3608</v>
      </c>
      <c r="B1992" t="str">
        <f t="shared" si="188"/>
        <v>1F550 ; fully-qualified # 🕐 E0.6 one o’clock</v>
      </c>
      <c r="C1992" t="str">
        <f t="shared" si="189"/>
        <v xml:space="preserve">1F550 </v>
      </c>
      <c r="D1992">
        <f t="shared" si="190"/>
        <v>6</v>
      </c>
      <c r="E1992" t="str">
        <f t="shared" si="186"/>
        <v xml:space="preserve"> 🕐 E0.6 one o’clock</v>
      </c>
      <c r="F1992" t="b">
        <f t="shared" si="191"/>
        <v>1</v>
      </c>
      <c r="G1992" t="str">
        <f t="shared" si="187"/>
        <v>1F550</v>
      </c>
      <c r="I1992">
        <f>HEX2DEC(Table1[[#This Row],[utf8]])</f>
        <v>128336</v>
      </c>
      <c r="J1992" t="str">
        <f>_xlfn.UNICHAR(HEX2DEC(Table1[[#This Row],[utf8]]))</f>
        <v>🕐</v>
      </c>
      <c r="K1992" s="3" t="str" cm="1">
        <f t="array" ref="K1992">"Case "&amp;wRandomLetter()&amp;wRandomLetter()&amp;I1992&amp;":    UniConst = ChrW(" &amp; I1992 &amp;")"</f>
        <v>Case II128336:    UniConst = ChrW(128336)</v>
      </c>
    </row>
    <row r="1993" spans="1:11" hidden="1">
      <c r="A1993" t="s">
        <v>3610</v>
      </c>
      <c r="B1993" t="str">
        <f t="shared" si="188"/>
        <v>1F551 ; fully-qualified # 🕑 E0.6 two o’clock</v>
      </c>
      <c r="C1993" t="str">
        <f t="shared" si="189"/>
        <v xml:space="preserve">1F551 </v>
      </c>
      <c r="D1993">
        <f t="shared" si="190"/>
        <v>6</v>
      </c>
      <c r="E1993" t="str">
        <f t="shared" si="186"/>
        <v xml:space="preserve"> 🕑 E0.6 two o’clock</v>
      </c>
      <c r="F1993" t="b">
        <f t="shared" si="191"/>
        <v>1</v>
      </c>
      <c r="G1993" t="str">
        <f t="shared" si="187"/>
        <v>1F551</v>
      </c>
      <c r="I1993">
        <f>HEX2DEC(Table1[[#This Row],[utf8]])</f>
        <v>128337</v>
      </c>
      <c r="J1993" t="str">
        <f>_xlfn.UNICHAR(HEX2DEC(Table1[[#This Row],[utf8]]))</f>
        <v>🕑</v>
      </c>
      <c r="K1993" s="3" t="str" cm="1">
        <f t="array" ref="K1993">"Case "&amp;wRandomLetter()&amp;wRandomLetter()&amp;I1993&amp;":    UniConst = ChrW(" &amp; I1993 &amp;")"</f>
        <v>Case Vd128337:    UniConst = ChrW(128337)</v>
      </c>
    </row>
    <row r="1994" spans="1:11" hidden="1">
      <c r="A1994" t="s">
        <v>3612</v>
      </c>
      <c r="B1994" t="str">
        <f t="shared" si="188"/>
        <v>1F552 ; fully-qualified # 🕒 E0.6 three o’clock</v>
      </c>
      <c r="C1994" t="str">
        <f t="shared" si="189"/>
        <v xml:space="preserve">1F552 </v>
      </c>
      <c r="D1994">
        <f t="shared" si="190"/>
        <v>6</v>
      </c>
      <c r="E1994" t="str">
        <f t="shared" si="186"/>
        <v xml:space="preserve"> 🕒 E0.6 three o’clock</v>
      </c>
      <c r="F1994" t="b">
        <f t="shared" si="191"/>
        <v>1</v>
      </c>
      <c r="G1994" t="str">
        <f t="shared" si="187"/>
        <v>1F552</v>
      </c>
      <c r="I1994">
        <f>HEX2DEC(Table1[[#This Row],[utf8]])</f>
        <v>128338</v>
      </c>
      <c r="J1994" t="str">
        <f>_xlfn.UNICHAR(HEX2DEC(Table1[[#This Row],[utf8]]))</f>
        <v>🕒</v>
      </c>
      <c r="K1994" s="3" t="str" cm="1">
        <f t="array" ref="K1994">"Case "&amp;wRandomLetter()&amp;wRandomLetter()&amp;I1994&amp;":    UniConst = ChrW(" &amp; I1994 &amp;")"</f>
        <v>Case cl128338:    UniConst = ChrW(128338)</v>
      </c>
    </row>
    <row r="1995" spans="1:11" hidden="1">
      <c r="A1995" t="s">
        <v>3614</v>
      </c>
      <c r="B1995" t="str">
        <f t="shared" si="188"/>
        <v>1F553 ; fully-qualified # 🕓 E0.6 four o’clock</v>
      </c>
      <c r="C1995" t="str">
        <f t="shared" si="189"/>
        <v xml:space="preserve">1F553 </v>
      </c>
      <c r="D1995">
        <f t="shared" si="190"/>
        <v>6</v>
      </c>
      <c r="E1995" t="str">
        <f t="shared" si="186"/>
        <v xml:space="preserve"> 🕓 E0.6 four o’clock</v>
      </c>
      <c r="F1995" t="b">
        <f t="shared" si="191"/>
        <v>1</v>
      </c>
      <c r="G1995" t="str">
        <f t="shared" si="187"/>
        <v>1F553</v>
      </c>
      <c r="I1995">
        <f>HEX2DEC(Table1[[#This Row],[utf8]])</f>
        <v>128339</v>
      </c>
      <c r="J1995" t="str">
        <f>_xlfn.UNICHAR(HEX2DEC(Table1[[#This Row],[utf8]]))</f>
        <v>🕓</v>
      </c>
      <c r="K1995" s="3" t="str" cm="1">
        <f t="array" ref="K1995">"Case "&amp;wRandomLetter()&amp;wRandomLetter()&amp;I1995&amp;":    UniConst = ChrW(" &amp; I1995 &amp;")"</f>
        <v>Case ES128339:    UniConst = ChrW(128339)</v>
      </c>
    </row>
    <row r="1996" spans="1:11" hidden="1">
      <c r="A1996" t="s">
        <v>3616</v>
      </c>
      <c r="B1996" t="str">
        <f t="shared" si="188"/>
        <v>1F554 ; fully-qualified # 🕔 E0.6 five o’clock</v>
      </c>
      <c r="C1996" t="str">
        <f t="shared" si="189"/>
        <v xml:space="preserve">1F554 </v>
      </c>
      <c r="D1996">
        <f t="shared" si="190"/>
        <v>6</v>
      </c>
      <c r="E1996" t="str">
        <f t="shared" si="186"/>
        <v xml:space="preserve"> 🕔 E0.6 five o’clock</v>
      </c>
      <c r="F1996" t="b">
        <f t="shared" si="191"/>
        <v>1</v>
      </c>
      <c r="G1996" t="str">
        <f t="shared" si="187"/>
        <v>1F554</v>
      </c>
      <c r="I1996">
        <f>HEX2DEC(Table1[[#This Row],[utf8]])</f>
        <v>128340</v>
      </c>
      <c r="J1996" t="str">
        <f>_xlfn.UNICHAR(HEX2DEC(Table1[[#This Row],[utf8]]))</f>
        <v>🕔</v>
      </c>
      <c r="K1996" s="3" t="str" cm="1">
        <f t="array" ref="K1996">"Case "&amp;wRandomLetter()&amp;wRandomLetter()&amp;I1996&amp;":    UniConst = ChrW(" &amp; I1996 &amp;")"</f>
        <v>Case pD128340:    UniConst = ChrW(128340)</v>
      </c>
    </row>
    <row r="1997" spans="1:11" hidden="1">
      <c r="A1997" t="s">
        <v>3618</v>
      </c>
      <c r="B1997" t="str">
        <f t="shared" si="188"/>
        <v>1F555 ; fully-qualified # 🕕 E0.6 six o’clock</v>
      </c>
      <c r="C1997" t="str">
        <f t="shared" si="189"/>
        <v xml:space="preserve">1F555 </v>
      </c>
      <c r="D1997">
        <f t="shared" si="190"/>
        <v>6</v>
      </c>
      <c r="E1997" t="str">
        <f t="shared" si="186"/>
        <v xml:space="preserve"> 🕕 E0.6 six o’clock</v>
      </c>
      <c r="F1997" t="b">
        <f t="shared" si="191"/>
        <v>1</v>
      </c>
      <c r="G1997" t="str">
        <f t="shared" si="187"/>
        <v>1F555</v>
      </c>
      <c r="I1997">
        <f>HEX2DEC(Table1[[#This Row],[utf8]])</f>
        <v>128341</v>
      </c>
      <c r="J1997" t="str">
        <f>_xlfn.UNICHAR(HEX2DEC(Table1[[#This Row],[utf8]]))</f>
        <v>🕕</v>
      </c>
      <c r="K1997" s="3" t="str" cm="1">
        <f t="array" ref="K1997">"Case "&amp;wRandomLetter()&amp;wRandomLetter()&amp;I1997&amp;":    UniConst = ChrW(" &amp; I1997 &amp;")"</f>
        <v>Case vy128341:    UniConst = ChrW(128341)</v>
      </c>
    </row>
    <row r="1998" spans="1:11" hidden="1">
      <c r="A1998" t="s">
        <v>3620</v>
      </c>
      <c r="B1998" t="str">
        <f t="shared" si="188"/>
        <v>1F556 ; fully-qualified # 🕖 E0.6 seven o’clock</v>
      </c>
      <c r="C1998" t="str">
        <f t="shared" si="189"/>
        <v xml:space="preserve">1F556 </v>
      </c>
      <c r="D1998">
        <f t="shared" si="190"/>
        <v>6</v>
      </c>
      <c r="E1998" t="str">
        <f t="shared" si="186"/>
        <v xml:space="preserve"> 🕖 E0.6 seven o’clock</v>
      </c>
      <c r="F1998" t="b">
        <f t="shared" si="191"/>
        <v>1</v>
      </c>
      <c r="G1998" t="str">
        <f t="shared" si="187"/>
        <v>1F556</v>
      </c>
      <c r="I1998">
        <f>HEX2DEC(Table1[[#This Row],[utf8]])</f>
        <v>128342</v>
      </c>
      <c r="J1998" t="str">
        <f>_xlfn.UNICHAR(HEX2DEC(Table1[[#This Row],[utf8]]))</f>
        <v>🕖</v>
      </c>
      <c r="K1998" s="3" t="str" cm="1">
        <f t="array" ref="K1998">"Case "&amp;wRandomLetter()&amp;wRandomLetter()&amp;I1998&amp;":    UniConst = ChrW(" &amp; I1998 &amp;")"</f>
        <v>Case eB128342:    UniConst = ChrW(128342)</v>
      </c>
    </row>
    <row r="1999" spans="1:11" hidden="1">
      <c r="A1999" t="s">
        <v>3622</v>
      </c>
      <c r="B1999" t="str">
        <f t="shared" si="188"/>
        <v>1F557 ; fully-qualified # 🕗 E0.6 eight o’clock</v>
      </c>
      <c r="C1999" t="str">
        <f t="shared" si="189"/>
        <v xml:space="preserve">1F557 </v>
      </c>
      <c r="D1999">
        <f t="shared" si="190"/>
        <v>6</v>
      </c>
      <c r="E1999" t="str">
        <f t="shared" si="186"/>
        <v xml:space="preserve"> 🕗 E0.6 eight o’clock</v>
      </c>
      <c r="F1999" t="b">
        <f t="shared" si="191"/>
        <v>1</v>
      </c>
      <c r="G1999" t="str">
        <f t="shared" si="187"/>
        <v>1F557</v>
      </c>
      <c r="I1999">
        <f>HEX2DEC(Table1[[#This Row],[utf8]])</f>
        <v>128343</v>
      </c>
      <c r="J1999" t="str">
        <f>_xlfn.UNICHAR(HEX2DEC(Table1[[#This Row],[utf8]]))</f>
        <v>🕗</v>
      </c>
      <c r="K1999" s="3" t="str" cm="1">
        <f t="array" ref="K1999">"Case "&amp;wRandomLetter()&amp;wRandomLetter()&amp;I1999&amp;":    UniConst = ChrW(" &amp; I1999 &amp;")"</f>
        <v>Case pS128343:    UniConst = ChrW(128343)</v>
      </c>
    </row>
    <row r="2000" spans="1:11" hidden="1">
      <c r="A2000" t="s">
        <v>3624</v>
      </c>
      <c r="B2000" t="str">
        <f t="shared" si="188"/>
        <v>1F558 ; fully-qualified # 🕘 E0.6 nine o’clock</v>
      </c>
      <c r="C2000" t="str">
        <f t="shared" si="189"/>
        <v xml:space="preserve">1F558 </v>
      </c>
      <c r="D2000">
        <f t="shared" si="190"/>
        <v>6</v>
      </c>
      <c r="E2000" t="str">
        <f t="shared" si="186"/>
        <v xml:space="preserve"> 🕘 E0.6 nine o’clock</v>
      </c>
      <c r="F2000" t="b">
        <f t="shared" si="191"/>
        <v>1</v>
      </c>
      <c r="G2000" t="str">
        <f t="shared" si="187"/>
        <v>1F558</v>
      </c>
      <c r="I2000">
        <f>HEX2DEC(Table1[[#This Row],[utf8]])</f>
        <v>128344</v>
      </c>
      <c r="J2000" t="str">
        <f>_xlfn.UNICHAR(HEX2DEC(Table1[[#This Row],[utf8]]))</f>
        <v>🕘</v>
      </c>
      <c r="K2000" s="3" t="str" cm="1">
        <f t="array" ref="K2000">"Case "&amp;wRandomLetter()&amp;wRandomLetter()&amp;I2000&amp;":    UniConst = ChrW(" &amp; I2000 &amp;")"</f>
        <v>Case Is128344:    UniConst = ChrW(128344)</v>
      </c>
    </row>
    <row r="2001" spans="1:11" hidden="1">
      <c r="A2001" t="s">
        <v>3626</v>
      </c>
      <c r="B2001" t="str">
        <f t="shared" si="188"/>
        <v>1F559 ; fully-qualified # 🕙 E0.6 ten o’clock</v>
      </c>
      <c r="C2001" t="str">
        <f t="shared" si="189"/>
        <v xml:space="preserve">1F559 </v>
      </c>
      <c r="D2001">
        <f t="shared" si="190"/>
        <v>6</v>
      </c>
      <c r="E2001" t="str">
        <f t="shared" si="186"/>
        <v xml:space="preserve"> 🕙 E0.6 ten o’clock</v>
      </c>
      <c r="F2001" t="b">
        <f t="shared" si="191"/>
        <v>1</v>
      </c>
      <c r="G2001" t="str">
        <f t="shared" si="187"/>
        <v>1F559</v>
      </c>
      <c r="I2001">
        <f>HEX2DEC(Table1[[#This Row],[utf8]])</f>
        <v>128345</v>
      </c>
      <c r="J2001" t="str">
        <f>_xlfn.UNICHAR(HEX2DEC(Table1[[#This Row],[utf8]]))</f>
        <v>🕙</v>
      </c>
      <c r="K2001" s="3" t="str" cm="1">
        <f t="array" ref="K2001">"Case "&amp;wRandomLetter()&amp;wRandomLetter()&amp;I2001&amp;":    UniConst = ChrW(" &amp; I2001 &amp;")"</f>
        <v>Case fd128345:    UniConst = ChrW(128345)</v>
      </c>
    </row>
    <row r="2002" spans="1:11" hidden="1">
      <c r="A2002" t="s">
        <v>3628</v>
      </c>
      <c r="B2002" t="str">
        <f t="shared" si="188"/>
        <v>1F55A ; fully-qualified # 🕚 E0.6 eleven o’clock</v>
      </c>
      <c r="C2002" t="str">
        <f t="shared" si="189"/>
        <v xml:space="preserve">1F55A </v>
      </c>
      <c r="D2002">
        <f t="shared" si="190"/>
        <v>6</v>
      </c>
      <c r="E2002" t="str">
        <f t="shared" si="186"/>
        <v xml:space="preserve"> 🕚 E0.6 eleven o’clock</v>
      </c>
      <c r="F2002" t="b">
        <f t="shared" si="191"/>
        <v>1</v>
      </c>
      <c r="G2002" t="str">
        <f t="shared" si="187"/>
        <v>1F55A</v>
      </c>
      <c r="I2002">
        <f>HEX2DEC(Table1[[#This Row],[utf8]])</f>
        <v>128346</v>
      </c>
      <c r="J2002" t="str">
        <f>_xlfn.UNICHAR(HEX2DEC(Table1[[#This Row],[utf8]]))</f>
        <v>🕚</v>
      </c>
      <c r="K2002" s="3" t="str" cm="1">
        <f t="array" ref="K2002">"Case "&amp;wRandomLetter()&amp;wRandomLetter()&amp;I2002&amp;":    UniConst = ChrW(" &amp; I2002 &amp;")"</f>
        <v>Case Em128346:    UniConst = ChrW(128346)</v>
      </c>
    </row>
    <row r="2003" spans="1:11" hidden="1">
      <c r="A2003" t="s">
        <v>3606</v>
      </c>
      <c r="B2003" t="str">
        <f t="shared" si="188"/>
        <v>1F55B ; fully-qualified # 🕛 E0.6 twelve o’clock</v>
      </c>
      <c r="C2003" t="str">
        <f t="shared" si="189"/>
        <v xml:space="preserve">1F55B </v>
      </c>
      <c r="D2003">
        <f t="shared" si="190"/>
        <v>6</v>
      </c>
      <c r="E2003" t="str">
        <f t="shared" si="186"/>
        <v xml:space="preserve"> 🕛 E0.6 twelve o’clock</v>
      </c>
      <c r="F2003" t="b">
        <f t="shared" si="191"/>
        <v>1</v>
      </c>
      <c r="G2003" t="str">
        <f t="shared" si="187"/>
        <v>1F55B</v>
      </c>
      <c r="I2003">
        <f>HEX2DEC(Table1[[#This Row],[utf8]])</f>
        <v>128347</v>
      </c>
      <c r="J2003" t="str">
        <f>_xlfn.UNICHAR(HEX2DEC(Table1[[#This Row],[utf8]]))</f>
        <v>🕛</v>
      </c>
      <c r="K2003" s="3" t="str" cm="1">
        <f t="array" ref="K2003">"Case "&amp;wRandomLetter()&amp;wRandomLetter()&amp;I2003&amp;":    UniConst = ChrW(" &amp; I2003 &amp;")"</f>
        <v>Case ab128347:    UniConst = ChrW(128347)</v>
      </c>
    </row>
    <row r="2004" spans="1:11" hidden="1">
      <c r="A2004" t="s">
        <v>3609</v>
      </c>
      <c r="B2004" t="str">
        <f t="shared" si="188"/>
        <v>1F55C ; fully-qualified # 🕜 E0.7 one-thirty</v>
      </c>
      <c r="C2004" t="str">
        <f t="shared" si="189"/>
        <v xml:space="preserve">1F55C </v>
      </c>
      <c r="D2004">
        <f t="shared" si="190"/>
        <v>6</v>
      </c>
      <c r="E2004" t="str">
        <f t="shared" si="186"/>
        <v xml:space="preserve"> 🕜 E0.7 one-thirty</v>
      </c>
      <c r="F2004" t="b">
        <f t="shared" si="191"/>
        <v>1</v>
      </c>
      <c r="G2004" t="str">
        <f t="shared" si="187"/>
        <v>1F55C</v>
      </c>
      <c r="I2004">
        <f>HEX2DEC(Table1[[#This Row],[utf8]])</f>
        <v>128348</v>
      </c>
      <c r="J2004" t="str">
        <f>_xlfn.UNICHAR(HEX2DEC(Table1[[#This Row],[utf8]]))</f>
        <v>🕜</v>
      </c>
      <c r="K2004" s="3" t="str" cm="1">
        <f t="array" ref="K2004">"Case "&amp;wRandomLetter()&amp;wRandomLetter()&amp;I2004&amp;":    UniConst = ChrW(" &amp; I2004 &amp;")"</f>
        <v>Case tr128348:    UniConst = ChrW(128348)</v>
      </c>
    </row>
    <row r="2005" spans="1:11" hidden="1">
      <c r="A2005" t="s">
        <v>3611</v>
      </c>
      <c r="B2005" t="str">
        <f t="shared" si="188"/>
        <v>1F55D ; fully-qualified # 🕝 E0.7 two-thirty</v>
      </c>
      <c r="C2005" t="str">
        <f t="shared" si="189"/>
        <v xml:space="preserve">1F55D </v>
      </c>
      <c r="D2005">
        <f t="shared" si="190"/>
        <v>6</v>
      </c>
      <c r="E2005" t="str">
        <f t="shared" si="186"/>
        <v xml:space="preserve"> 🕝 E0.7 two-thirty</v>
      </c>
      <c r="F2005" t="b">
        <f t="shared" si="191"/>
        <v>1</v>
      </c>
      <c r="G2005" t="str">
        <f t="shared" si="187"/>
        <v>1F55D</v>
      </c>
      <c r="I2005">
        <f>HEX2DEC(Table1[[#This Row],[utf8]])</f>
        <v>128349</v>
      </c>
      <c r="J2005" t="str">
        <f>_xlfn.UNICHAR(HEX2DEC(Table1[[#This Row],[utf8]]))</f>
        <v>🕝</v>
      </c>
      <c r="K2005" s="3" t="str" cm="1">
        <f t="array" ref="K2005">"Case "&amp;wRandomLetter()&amp;wRandomLetter()&amp;I2005&amp;":    UniConst = ChrW(" &amp; I2005 &amp;")"</f>
        <v>Case AP128349:    UniConst = ChrW(128349)</v>
      </c>
    </row>
    <row r="2006" spans="1:11" hidden="1">
      <c r="A2006" t="s">
        <v>3613</v>
      </c>
      <c r="B2006" t="str">
        <f t="shared" si="188"/>
        <v>1F55E ; fully-qualified # 🕞 E0.7 three-thirty</v>
      </c>
      <c r="C2006" t="str">
        <f t="shared" si="189"/>
        <v xml:space="preserve">1F55E </v>
      </c>
      <c r="D2006">
        <f t="shared" si="190"/>
        <v>6</v>
      </c>
      <c r="E2006" t="str">
        <f t="shared" si="186"/>
        <v xml:space="preserve"> 🕞 E0.7 three-thirty</v>
      </c>
      <c r="F2006" t="b">
        <f t="shared" si="191"/>
        <v>1</v>
      </c>
      <c r="G2006" t="str">
        <f t="shared" si="187"/>
        <v>1F55E</v>
      </c>
      <c r="I2006">
        <f>HEX2DEC(Table1[[#This Row],[utf8]])</f>
        <v>128350</v>
      </c>
      <c r="J2006" t="str">
        <f>_xlfn.UNICHAR(HEX2DEC(Table1[[#This Row],[utf8]]))</f>
        <v>🕞</v>
      </c>
      <c r="K2006" s="3" t="str" cm="1">
        <f t="array" ref="K2006">"Case "&amp;wRandomLetter()&amp;wRandomLetter()&amp;I2006&amp;":    UniConst = ChrW(" &amp; I2006 &amp;")"</f>
        <v>Case Eu128350:    UniConst = ChrW(128350)</v>
      </c>
    </row>
    <row r="2007" spans="1:11" hidden="1">
      <c r="A2007" t="s">
        <v>3615</v>
      </c>
      <c r="B2007" t="str">
        <f t="shared" si="188"/>
        <v>1F55F ; fully-qualified # 🕟 E0.7 four-thirty</v>
      </c>
      <c r="C2007" t="str">
        <f t="shared" si="189"/>
        <v xml:space="preserve">1F55F </v>
      </c>
      <c r="D2007">
        <f t="shared" si="190"/>
        <v>6</v>
      </c>
      <c r="E2007" t="str">
        <f t="shared" si="186"/>
        <v xml:space="preserve"> 🕟 E0.7 four-thirty</v>
      </c>
      <c r="F2007" t="b">
        <f t="shared" si="191"/>
        <v>1</v>
      </c>
      <c r="G2007" t="str">
        <f t="shared" si="187"/>
        <v>1F55F</v>
      </c>
      <c r="I2007">
        <f>HEX2DEC(Table1[[#This Row],[utf8]])</f>
        <v>128351</v>
      </c>
      <c r="J2007" t="str">
        <f>_xlfn.UNICHAR(HEX2DEC(Table1[[#This Row],[utf8]]))</f>
        <v>🕟</v>
      </c>
      <c r="K2007" s="3" t="str" cm="1">
        <f t="array" ref="K2007">"Case "&amp;wRandomLetter()&amp;wRandomLetter()&amp;I2007&amp;":    UniConst = ChrW(" &amp; I2007 &amp;")"</f>
        <v>Case jZ128351:    UniConst = ChrW(128351)</v>
      </c>
    </row>
    <row r="2008" spans="1:11" hidden="1">
      <c r="A2008" t="s">
        <v>3617</v>
      </c>
      <c r="B2008" t="str">
        <f t="shared" si="188"/>
        <v>1F560 ; fully-qualified # 🕠 E0.7 five-thirty</v>
      </c>
      <c r="C2008" t="str">
        <f t="shared" si="189"/>
        <v xml:space="preserve">1F560 </v>
      </c>
      <c r="D2008">
        <f t="shared" si="190"/>
        <v>6</v>
      </c>
      <c r="E2008" t="str">
        <f t="shared" si="186"/>
        <v xml:space="preserve"> 🕠 E0.7 five-thirty</v>
      </c>
      <c r="F2008" t="b">
        <f t="shared" si="191"/>
        <v>1</v>
      </c>
      <c r="G2008" t="str">
        <f t="shared" si="187"/>
        <v>1F560</v>
      </c>
      <c r="I2008">
        <f>HEX2DEC(Table1[[#This Row],[utf8]])</f>
        <v>128352</v>
      </c>
      <c r="J2008" t="str">
        <f>_xlfn.UNICHAR(HEX2DEC(Table1[[#This Row],[utf8]]))</f>
        <v>🕠</v>
      </c>
      <c r="K2008" s="3" t="str" cm="1">
        <f t="array" ref="K2008">"Case "&amp;wRandomLetter()&amp;wRandomLetter()&amp;I2008&amp;":    UniConst = ChrW(" &amp; I2008 &amp;")"</f>
        <v>Case NE128352:    UniConst = ChrW(128352)</v>
      </c>
    </row>
    <row r="2009" spans="1:11" hidden="1">
      <c r="A2009" t="s">
        <v>3619</v>
      </c>
      <c r="B2009" t="str">
        <f t="shared" si="188"/>
        <v>1F561 ; fully-qualified # 🕡 E0.7 six-thirty</v>
      </c>
      <c r="C2009" t="str">
        <f t="shared" si="189"/>
        <v xml:space="preserve">1F561 </v>
      </c>
      <c r="D2009">
        <f t="shared" si="190"/>
        <v>6</v>
      </c>
      <c r="E2009" t="str">
        <f t="shared" si="186"/>
        <v xml:space="preserve"> 🕡 E0.7 six-thirty</v>
      </c>
      <c r="F2009" t="b">
        <f t="shared" si="191"/>
        <v>1</v>
      </c>
      <c r="G2009" t="str">
        <f t="shared" si="187"/>
        <v>1F561</v>
      </c>
      <c r="I2009">
        <f>HEX2DEC(Table1[[#This Row],[utf8]])</f>
        <v>128353</v>
      </c>
      <c r="J2009" t="str">
        <f>_xlfn.UNICHAR(HEX2DEC(Table1[[#This Row],[utf8]]))</f>
        <v>🕡</v>
      </c>
      <c r="K2009" s="3" t="str" cm="1">
        <f t="array" ref="K2009">"Case "&amp;wRandomLetter()&amp;wRandomLetter()&amp;I2009&amp;":    UniConst = ChrW(" &amp; I2009 &amp;")"</f>
        <v>Case Mu128353:    UniConst = ChrW(128353)</v>
      </c>
    </row>
    <row r="2010" spans="1:11" hidden="1">
      <c r="A2010" t="s">
        <v>3621</v>
      </c>
      <c r="B2010" t="str">
        <f t="shared" si="188"/>
        <v>1F562 ; fully-qualified # 🕢 E0.7 seven-thirty</v>
      </c>
      <c r="C2010" t="str">
        <f t="shared" si="189"/>
        <v xml:space="preserve">1F562 </v>
      </c>
      <c r="D2010">
        <f t="shared" si="190"/>
        <v>6</v>
      </c>
      <c r="E2010" t="str">
        <f t="shared" si="186"/>
        <v xml:space="preserve"> 🕢 E0.7 seven-thirty</v>
      </c>
      <c r="F2010" t="b">
        <f t="shared" si="191"/>
        <v>1</v>
      </c>
      <c r="G2010" t="str">
        <f t="shared" si="187"/>
        <v>1F562</v>
      </c>
      <c r="I2010">
        <f>HEX2DEC(Table1[[#This Row],[utf8]])</f>
        <v>128354</v>
      </c>
      <c r="J2010" t="str">
        <f>_xlfn.UNICHAR(HEX2DEC(Table1[[#This Row],[utf8]]))</f>
        <v>🕢</v>
      </c>
      <c r="K2010" s="3" t="str" cm="1">
        <f t="array" ref="K2010">"Case "&amp;wRandomLetter()&amp;wRandomLetter()&amp;I2010&amp;":    UniConst = ChrW(" &amp; I2010 &amp;")"</f>
        <v>Case qs128354:    UniConst = ChrW(128354)</v>
      </c>
    </row>
    <row r="2011" spans="1:11" hidden="1">
      <c r="A2011" t="s">
        <v>3623</v>
      </c>
      <c r="B2011" t="str">
        <f t="shared" si="188"/>
        <v>1F563 ; fully-qualified # 🕣 E0.7 eight-thirty</v>
      </c>
      <c r="C2011" t="str">
        <f t="shared" si="189"/>
        <v xml:space="preserve">1F563 </v>
      </c>
      <c r="D2011">
        <f t="shared" si="190"/>
        <v>6</v>
      </c>
      <c r="E2011" t="str">
        <f t="shared" si="186"/>
        <v xml:space="preserve"> 🕣 E0.7 eight-thirty</v>
      </c>
      <c r="F2011" t="b">
        <f t="shared" si="191"/>
        <v>1</v>
      </c>
      <c r="G2011" t="str">
        <f t="shared" si="187"/>
        <v>1F563</v>
      </c>
      <c r="I2011">
        <f>HEX2DEC(Table1[[#This Row],[utf8]])</f>
        <v>128355</v>
      </c>
      <c r="J2011" t="str">
        <f>_xlfn.UNICHAR(HEX2DEC(Table1[[#This Row],[utf8]]))</f>
        <v>🕣</v>
      </c>
      <c r="K2011" s="3" t="str" cm="1">
        <f t="array" ref="K2011">"Case "&amp;wRandomLetter()&amp;wRandomLetter()&amp;I2011&amp;":    UniConst = ChrW(" &amp; I2011 &amp;")"</f>
        <v>Case LK128355:    UniConst = ChrW(128355)</v>
      </c>
    </row>
    <row r="2012" spans="1:11" hidden="1">
      <c r="A2012" t="s">
        <v>3625</v>
      </c>
      <c r="B2012" t="str">
        <f t="shared" si="188"/>
        <v>1F564 ; fully-qualified # 🕤 E0.7 nine-thirty</v>
      </c>
      <c r="C2012" t="str">
        <f t="shared" si="189"/>
        <v xml:space="preserve">1F564 </v>
      </c>
      <c r="D2012">
        <f t="shared" si="190"/>
        <v>6</v>
      </c>
      <c r="E2012" t="str">
        <f t="shared" si="186"/>
        <v xml:space="preserve"> 🕤 E0.7 nine-thirty</v>
      </c>
      <c r="F2012" t="b">
        <f t="shared" si="191"/>
        <v>1</v>
      </c>
      <c r="G2012" t="str">
        <f t="shared" si="187"/>
        <v>1F564</v>
      </c>
      <c r="I2012">
        <f>HEX2DEC(Table1[[#This Row],[utf8]])</f>
        <v>128356</v>
      </c>
      <c r="J2012" t="str">
        <f>_xlfn.UNICHAR(HEX2DEC(Table1[[#This Row],[utf8]]))</f>
        <v>🕤</v>
      </c>
      <c r="K2012" s="3" t="str" cm="1">
        <f t="array" ref="K2012">"Case "&amp;wRandomLetter()&amp;wRandomLetter()&amp;I2012&amp;":    UniConst = ChrW(" &amp; I2012 &amp;")"</f>
        <v>Case qO128356:    UniConst = ChrW(128356)</v>
      </c>
    </row>
    <row r="2013" spans="1:11" hidden="1">
      <c r="A2013" t="s">
        <v>3627</v>
      </c>
      <c r="B2013" t="str">
        <f t="shared" si="188"/>
        <v>1F565 ; fully-qualified # 🕥 E0.7 ten-thirty</v>
      </c>
      <c r="C2013" t="str">
        <f t="shared" si="189"/>
        <v xml:space="preserve">1F565 </v>
      </c>
      <c r="D2013">
        <f t="shared" si="190"/>
        <v>6</v>
      </c>
      <c r="E2013" t="str">
        <f t="shared" si="186"/>
        <v xml:space="preserve"> 🕥 E0.7 ten-thirty</v>
      </c>
      <c r="F2013" t="b">
        <f t="shared" si="191"/>
        <v>1</v>
      </c>
      <c r="G2013" t="str">
        <f t="shared" si="187"/>
        <v>1F565</v>
      </c>
      <c r="I2013">
        <f>HEX2DEC(Table1[[#This Row],[utf8]])</f>
        <v>128357</v>
      </c>
      <c r="J2013" t="str">
        <f>_xlfn.UNICHAR(HEX2DEC(Table1[[#This Row],[utf8]]))</f>
        <v>🕥</v>
      </c>
      <c r="K2013" s="3" t="str" cm="1">
        <f t="array" ref="K2013">"Case "&amp;wRandomLetter()&amp;wRandomLetter()&amp;I2013&amp;":    UniConst = ChrW(" &amp; I2013 &amp;")"</f>
        <v>Case NT128357:    UniConst = ChrW(128357)</v>
      </c>
    </row>
    <row r="2014" spans="1:11" hidden="1">
      <c r="A2014" t="s">
        <v>3629</v>
      </c>
      <c r="B2014" t="str">
        <f t="shared" si="188"/>
        <v>1F566 ; fully-qualified # 🕦 E0.7 eleven-thirty</v>
      </c>
      <c r="C2014" t="str">
        <f t="shared" si="189"/>
        <v xml:space="preserve">1F566 </v>
      </c>
      <c r="D2014">
        <f t="shared" si="190"/>
        <v>6</v>
      </c>
      <c r="E2014" t="str">
        <f t="shared" si="186"/>
        <v xml:space="preserve"> 🕦 E0.7 eleven-thirty</v>
      </c>
      <c r="F2014" t="b">
        <f t="shared" si="191"/>
        <v>1</v>
      </c>
      <c r="G2014" t="str">
        <f t="shared" si="187"/>
        <v>1F566</v>
      </c>
      <c r="I2014">
        <f>HEX2DEC(Table1[[#This Row],[utf8]])</f>
        <v>128358</v>
      </c>
      <c r="J2014" t="str">
        <f>_xlfn.UNICHAR(HEX2DEC(Table1[[#This Row],[utf8]]))</f>
        <v>🕦</v>
      </c>
      <c r="K2014" s="3" t="str" cm="1">
        <f t="array" ref="K2014">"Case "&amp;wRandomLetter()&amp;wRandomLetter()&amp;I2014&amp;":    UniConst = ChrW(" &amp; I2014 &amp;")"</f>
        <v>Case dM128358:    UniConst = ChrW(128358)</v>
      </c>
    </row>
    <row r="2015" spans="1:11" hidden="1">
      <c r="A2015" t="s">
        <v>3607</v>
      </c>
      <c r="B2015" t="str">
        <f t="shared" si="188"/>
        <v>1F567 ; fully-qualified # 🕧 E0.7 twelve-thirty</v>
      </c>
      <c r="C2015" t="str">
        <f t="shared" si="189"/>
        <v xml:space="preserve">1F567 </v>
      </c>
      <c r="D2015">
        <f t="shared" si="190"/>
        <v>6</v>
      </c>
      <c r="E2015" t="str">
        <f t="shared" si="186"/>
        <v xml:space="preserve"> 🕧 E0.7 twelve-thirty</v>
      </c>
      <c r="F2015" t="b">
        <f t="shared" si="191"/>
        <v>1</v>
      </c>
      <c r="G2015" t="str">
        <f t="shared" si="187"/>
        <v>1F567</v>
      </c>
      <c r="I2015">
        <f>HEX2DEC(Table1[[#This Row],[utf8]])</f>
        <v>128359</v>
      </c>
      <c r="J2015" t="str">
        <f>_xlfn.UNICHAR(HEX2DEC(Table1[[#This Row],[utf8]]))</f>
        <v>🕧</v>
      </c>
      <c r="K2015" s="3" t="str" cm="1">
        <f t="array" ref="K2015">"Case "&amp;wRandomLetter()&amp;wRandomLetter()&amp;I2015&amp;":    UniConst = ChrW(" &amp; I2015 &amp;")"</f>
        <v>Case fN128359:    UniConst = ChrW(128359)</v>
      </c>
    </row>
    <row r="2016" spans="1:11" hidden="1">
      <c r="A2016" t="s">
        <v>3926</v>
      </c>
      <c r="B2016" t="str">
        <f t="shared" si="188"/>
        <v>1F56F ; unqualified # 🕯 E0.7 candle</v>
      </c>
      <c r="C2016" t="str">
        <f t="shared" si="189"/>
        <v xml:space="preserve">1F56F </v>
      </c>
      <c r="D2016">
        <f t="shared" si="190"/>
        <v>6</v>
      </c>
      <c r="E2016" t="str">
        <f t="shared" si="186"/>
        <v xml:space="preserve"> 🕯 E0.7 candle</v>
      </c>
      <c r="F2016" t="b">
        <f t="shared" si="191"/>
        <v>1</v>
      </c>
      <c r="G2016" t="str">
        <f t="shared" si="187"/>
        <v>1F56F</v>
      </c>
      <c r="I2016">
        <f>HEX2DEC(Table1[[#This Row],[utf8]])</f>
        <v>128367</v>
      </c>
      <c r="J2016" t="str">
        <f>_xlfn.UNICHAR(HEX2DEC(Table1[[#This Row],[utf8]]))</f>
        <v>🕯</v>
      </c>
      <c r="K2016" s="3" t="str" cm="1">
        <f t="array" ref="K2016">"Case "&amp;wRandomLetter()&amp;wRandomLetter()&amp;I2016&amp;":    UniConst = ChrW(" &amp; I2016 &amp;")"</f>
        <v>Case Jn128367:    UniConst = ChrW(128367)</v>
      </c>
    </row>
    <row r="2017" spans="1:11" hidden="1">
      <c r="A2017" t="s">
        <v>3925</v>
      </c>
      <c r="B2017" t="str">
        <f t="shared" si="188"/>
        <v>1F56F FE0F ; fully-qualified # 🕯️ E0.7 candle</v>
      </c>
      <c r="C2017" t="str">
        <f t="shared" si="189"/>
        <v xml:space="preserve">1F56F FE0F </v>
      </c>
      <c r="D2017">
        <f t="shared" si="190"/>
        <v>11</v>
      </c>
      <c r="E2017" t="str">
        <f t="shared" si="186"/>
        <v xml:space="preserve"> 🕯️ E0.7 candle</v>
      </c>
      <c r="F2017" t="b">
        <f t="shared" si="191"/>
        <v>1</v>
      </c>
      <c r="G2017" t="str">
        <f t="shared" si="187"/>
        <v>1F56F</v>
      </c>
      <c r="I2017">
        <f>HEX2DEC(Table1[[#This Row],[utf8]])</f>
        <v>128367</v>
      </c>
      <c r="J2017" t="str">
        <f>_xlfn.UNICHAR(HEX2DEC(Table1[[#This Row],[utf8]]))</f>
        <v>🕯</v>
      </c>
      <c r="K2017" s="3" t="str" cm="1">
        <f t="array" ref="K2017">"Case "&amp;wRandomLetter()&amp;wRandomLetter()&amp;I2017&amp;":    UniConst = ChrW(" &amp; I2017 &amp;")"</f>
        <v>Case Rs128367:    UniConst = ChrW(128367)</v>
      </c>
    </row>
    <row r="2018" spans="1:11" hidden="1">
      <c r="A2018" t="s">
        <v>3605</v>
      </c>
      <c r="B2018" t="str">
        <f t="shared" si="188"/>
        <v>1F570 ; unqualified # 🕰 E0.7 mantelpiece clock</v>
      </c>
      <c r="C2018" t="str">
        <f t="shared" si="189"/>
        <v xml:space="preserve">1F570 </v>
      </c>
      <c r="D2018">
        <f t="shared" si="190"/>
        <v>6</v>
      </c>
      <c r="E2018" t="str">
        <f t="shared" si="186"/>
        <v xml:space="preserve"> 🕰 E0.7 mantelpiece clock</v>
      </c>
      <c r="F2018" t="b">
        <f t="shared" si="191"/>
        <v>1</v>
      </c>
      <c r="G2018" t="str">
        <f t="shared" si="187"/>
        <v>1F570</v>
      </c>
      <c r="I2018">
        <f>HEX2DEC(Table1[[#This Row],[utf8]])</f>
        <v>128368</v>
      </c>
      <c r="J2018" t="str">
        <f>_xlfn.UNICHAR(HEX2DEC(Table1[[#This Row],[utf8]]))</f>
        <v>🕰</v>
      </c>
      <c r="K2018" s="3" t="str" cm="1">
        <f t="array" ref="K2018">"Case "&amp;wRandomLetter()&amp;wRandomLetter()&amp;I2018&amp;":    UniConst = ChrW(" &amp; I2018 &amp;")"</f>
        <v>Case MI128368:    UniConst = ChrW(128368)</v>
      </c>
    </row>
    <row r="2019" spans="1:11" hidden="1">
      <c r="A2019" t="s">
        <v>3604</v>
      </c>
      <c r="B2019" t="str">
        <f t="shared" si="188"/>
        <v>1F570 FE0F ; fully-qualified # 🕰️ E0.7 mantelpiece clock</v>
      </c>
      <c r="C2019" t="str">
        <f t="shared" si="189"/>
        <v xml:space="preserve">1F570 FE0F </v>
      </c>
      <c r="D2019">
        <f t="shared" si="190"/>
        <v>11</v>
      </c>
      <c r="E2019" t="str">
        <f t="shared" si="186"/>
        <v xml:space="preserve"> 🕰️ E0.7 mantelpiece clock</v>
      </c>
      <c r="F2019" t="b">
        <f t="shared" si="191"/>
        <v>1</v>
      </c>
      <c r="G2019" t="str">
        <f t="shared" si="187"/>
        <v>1F570</v>
      </c>
      <c r="I2019">
        <f>HEX2DEC(Table1[[#This Row],[utf8]])</f>
        <v>128368</v>
      </c>
      <c r="J2019" t="str">
        <f>_xlfn.UNICHAR(HEX2DEC(Table1[[#This Row],[utf8]]))</f>
        <v>🕰</v>
      </c>
      <c r="K2019" s="3" t="str" cm="1">
        <f t="array" ref="K2019">"Case "&amp;wRandomLetter()&amp;wRandomLetter()&amp;I2019&amp;":    UniConst = ChrW(" &amp; I2019 &amp;")"</f>
        <v>Case pY128368:    UniConst = ChrW(128368)</v>
      </c>
    </row>
    <row r="2020" spans="1:11" hidden="1">
      <c r="A2020" t="s">
        <v>173</v>
      </c>
      <c r="B2020" t="str">
        <f t="shared" si="188"/>
        <v>1F573 ; unqualified # 🕳 E0.7 hole</v>
      </c>
      <c r="C2020" t="str">
        <f t="shared" si="189"/>
        <v xml:space="preserve">1F573 </v>
      </c>
      <c r="D2020">
        <f t="shared" si="190"/>
        <v>6</v>
      </c>
      <c r="E2020" t="str">
        <f t="shared" si="186"/>
        <v xml:space="preserve"> 🕳 E0.7 hole</v>
      </c>
      <c r="F2020" t="b">
        <f t="shared" si="191"/>
        <v>1</v>
      </c>
      <c r="G2020" t="str">
        <f t="shared" si="187"/>
        <v>1F573</v>
      </c>
      <c r="I2020">
        <f>HEX2DEC(Table1[[#This Row],[utf8]])</f>
        <v>128371</v>
      </c>
      <c r="J2020" t="str">
        <f>_xlfn.UNICHAR(HEX2DEC(Table1[[#This Row],[utf8]]))</f>
        <v>🕳</v>
      </c>
      <c r="K2020" s="3" t="str" cm="1">
        <f t="array" ref="K2020">"Case "&amp;wRandomLetter()&amp;wRandomLetter()&amp;I2020&amp;":    UniConst = ChrW(" &amp; I2020 &amp;")"</f>
        <v>Case GY128371:    UniConst = ChrW(128371)</v>
      </c>
    </row>
    <row r="2021" spans="1:11" hidden="1">
      <c r="A2021" t="s">
        <v>172</v>
      </c>
      <c r="B2021" t="str">
        <f t="shared" si="188"/>
        <v>1F573 FE0F ; fully-qualified # 🕳️ E0.7 hole</v>
      </c>
      <c r="C2021" t="str">
        <f t="shared" si="189"/>
        <v xml:space="preserve">1F573 FE0F </v>
      </c>
      <c r="D2021">
        <f t="shared" si="190"/>
        <v>11</v>
      </c>
      <c r="E2021" t="str">
        <f t="shared" si="186"/>
        <v xml:space="preserve"> 🕳️ E0.7 hole</v>
      </c>
      <c r="F2021" t="b">
        <f t="shared" si="191"/>
        <v>1</v>
      </c>
      <c r="G2021" t="str">
        <f t="shared" si="187"/>
        <v>1F573</v>
      </c>
      <c r="I2021">
        <f>HEX2DEC(Table1[[#This Row],[utf8]])</f>
        <v>128371</v>
      </c>
      <c r="J2021" t="str">
        <f>_xlfn.UNICHAR(HEX2DEC(Table1[[#This Row],[utf8]]))</f>
        <v>🕳</v>
      </c>
      <c r="K2021" s="3" t="str" cm="1">
        <f t="array" ref="K2021">"Case "&amp;wRandomLetter()&amp;wRandomLetter()&amp;I2021&amp;":    UniConst = ChrW(" &amp; I2021 &amp;")"</f>
        <v>Case Bv128371:    UniConst = ChrW(128371)</v>
      </c>
    </row>
    <row r="2022" spans="1:11" hidden="1">
      <c r="A2022" t="s">
        <v>2052</v>
      </c>
      <c r="B2022" t="str">
        <f t="shared" si="188"/>
        <v>1F574 ; unqualified # 🕴 E0.7 person in suit levitating</v>
      </c>
      <c r="C2022" t="str">
        <f t="shared" si="189"/>
        <v xml:space="preserve">1F574 </v>
      </c>
      <c r="D2022">
        <f t="shared" si="190"/>
        <v>6</v>
      </c>
      <c r="E2022" t="str">
        <f t="shared" si="186"/>
        <v xml:space="preserve"> 🕴 E0.7 person in suit levitating</v>
      </c>
      <c r="F2022" t="b">
        <f t="shared" si="191"/>
        <v>1</v>
      </c>
      <c r="G2022" t="str">
        <f t="shared" si="187"/>
        <v>1F574</v>
      </c>
      <c r="I2022">
        <f>HEX2DEC(Table1[[#This Row],[utf8]])</f>
        <v>128372</v>
      </c>
      <c r="J2022" t="str">
        <f>_xlfn.UNICHAR(HEX2DEC(Table1[[#This Row],[utf8]]))</f>
        <v>🕴</v>
      </c>
      <c r="K2022" s="3" t="str" cm="1">
        <f t="array" ref="K2022">"Case "&amp;wRandomLetter()&amp;wRandomLetter()&amp;I2022&amp;":    UniConst = ChrW(" &amp; I2022 &amp;")"</f>
        <v>Case Pk128372:    UniConst = ChrW(128372)</v>
      </c>
    </row>
    <row r="2023" spans="1:11" hidden="1">
      <c r="A2023" t="s">
        <v>2053</v>
      </c>
      <c r="B2023" t="str">
        <f t="shared" si="188"/>
        <v>1F574 1F3FB ; fully-qualified # 🕴🏻 E4.0 person in suit levitating: light skin tone</v>
      </c>
      <c r="C2023" t="str">
        <f t="shared" si="189"/>
        <v xml:space="preserve">1F574 1F3FB </v>
      </c>
      <c r="D2023">
        <f t="shared" si="190"/>
        <v>12</v>
      </c>
      <c r="E2023" t="str">
        <f t="shared" si="186"/>
        <v xml:space="preserve"> 🕴🏻 E4.0 person in suit levitating: light skin tone</v>
      </c>
      <c r="F2023" t="b">
        <f t="shared" si="191"/>
        <v>1</v>
      </c>
      <c r="G2023" t="str">
        <f t="shared" si="187"/>
        <v>1F574</v>
      </c>
      <c r="I2023">
        <f>HEX2DEC(Table1[[#This Row],[utf8]])</f>
        <v>128372</v>
      </c>
      <c r="J2023" t="str">
        <f>_xlfn.UNICHAR(HEX2DEC(Table1[[#This Row],[utf8]]))</f>
        <v>🕴</v>
      </c>
      <c r="K2023" s="3" t="str" cm="1">
        <f t="array" ref="K2023">"Case "&amp;wRandomLetter()&amp;wRandomLetter()&amp;I2023&amp;":    UniConst = ChrW(" &amp; I2023 &amp;")"</f>
        <v>Case hC128372:    UniConst = ChrW(128372)</v>
      </c>
    </row>
    <row r="2024" spans="1:11" hidden="1">
      <c r="A2024" t="s">
        <v>2054</v>
      </c>
      <c r="B2024" t="str">
        <f t="shared" si="188"/>
        <v>1F574 1F3FC ; fully-qualified # 🕴🏼 E4.0 person in suit levitating: medium-light skin tone</v>
      </c>
      <c r="C2024" t="str">
        <f t="shared" si="189"/>
        <v xml:space="preserve">1F574 1F3FC </v>
      </c>
      <c r="D2024">
        <f t="shared" si="190"/>
        <v>12</v>
      </c>
      <c r="E2024" t="str">
        <f t="shared" si="186"/>
        <v xml:space="preserve"> 🕴🏼 E4.0 person in suit levitating: medium-light skin tone</v>
      </c>
      <c r="F2024" t="b">
        <f t="shared" si="191"/>
        <v>1</v>
      </c>
      <c r="G2024" t="str">
        <f t="shared" si="187"/>
        <v>1F574</v>
      </c>
      <c r="I2024">
        <f>HEX2DEC(Table1[[#This Row],[utf8]])</f>
        <v>128372</v>
      </c>
      <c r="J2024" t="str">
        <f>_xlfn.UNICHAR(HEX2DEC(Table1[[#This Row],[utf8]]))</f>
        <v>🕴</v>
      </c>
      <c r="K2024" s="3" t="str" cm="1">
        <f t="array" ref="K2024">"Case "&amp;wRandomLetter()&amp;wRandomLetter()&amp;I2024&amp;":    UniConst = ChrW(" &amp; I2024 &amp;")"</f>
        <v>Case sO128372:    UniConst = ChrW(128372)</v>
      </c>
    </row>
    <row r="2025" spans="1:11" hidden="1">
      <c r="A2025" t="s">
        <v>2055</v>
      </c>
      <c r="B2025" t="str">
        <f t="shared" si="188"/>
        <v>1F574 1F3FD ; fully-qualified # 🕴🏽 E4.0 person in suit levitating: medium skin tone</v>
      </c>
      <c r="C2025" t="str">
        <f t="shared" si="189"/>
        <v xml:space="preserve">1F574 1F3FD </v>
      </c>
      <c r="D2025">
        <f t="shared" si="190"/>
        <v>12</v>
      </c>
      <c r="E2025" t="str">
        <f t="shared" si="186"/>
        <v xml:space="preserve"> 🕴🏽 E4.0 person in suit levitating: medium skin tone</v>
      </c>
      <c r="F2025" t="b">
        <f t="shared" si="191"/>
        <v>1</v>
      </c>
      <c r="G2025" t="str">
        <f t="shared" si="187"/>
        <v>1F574</v>
      </c>
      <c r="I2025">
        <f>HEX2DEC(Table1[[#This Row],[utf8]])</f>
        <v>128372</v>
      </c>
      <c r="J2025" t="str">
        <f>_xlfn.UNICHAR(HEX2DEC(Table1[[#This Row],[utf8]]))</f>
        <v>🕴</v>
      </c>
      <c r="K2025" s="3" t="str" cm="1">
        <f t="array" ref="K2025">"Case "&amp;wRandomLetter()&amp;wRandomLetter()&amp;I2025&amp;":    UniConst = ChrW(" &amp; I2025 &amp;")"</f>
        <v>Case So128372:    UniConst = ChrW(128372)</v>
      </c>
    </row>
    <row r="2026" spans="1:11" hidden="1">
      <c r="A2026" t="s">
        <v>2056</v>
      </c>
      <c r="B2026" t="str">
        <f t="shared" si="188"/>
        <v>1F574 1F3FE ; fully-qualified # 🕴🏾 E4.0 person in suit levitating: medium-dark skin tone</v>
      </c>
      <c r="C2026" t="str">
        <f t="shared" si="189"/>
        <v xml:space="preserve">1F574 1F3FE </v>
      </c>
      <c r="D2026">
        <f t="shared" si="190"/>
        <v>12</v>
      </c>
      <c r="E2026" t="str">
        <f t="shared" si="186"/>
        <v xml:space="preserve"> 🕴🏾 E4.0 person in suit levitating: medium-dark skin tone</v>
      </c>
      <c r="F2026" t="b">
        <f t="shared" si="191"/>
        <v>1</v>
      </c>
      <c r="G2026" t="str">
        <f t="shared" si="187"/>
        <v>1F574</v>
      </c>
      <c r="I2026">
        <f>HEX2DEC(Table1[[#This Row],[utf8]])</f>
        <v>128372</v>
      </c>
      <c r="J2026" t="str">
        <f>_xlfn.UNICHAR(HEX2DEC(Table1[[#This Row],[utf8]]))</f>
        <v>🕴</v>
      </c>
      <c r="K2026" s="3" t="str" cm="1">
        <f t="array" ref="K2026">"Case "&amp;wRandomLetter()&amp;wRandomLetter()&amp;I2026&amp;":    UniConst = ChrW(" &amp; I2026 &amp;")"</f>
        <v>Case KM128372:    UniConst = ChrW(128372)</v>
      </c>
    </row>
    <row r="2027" spans="1:11" hidden="1">
      <c r="A2027" t="s">
        <v>2057</v>
      </c>
      <c r="B2027" t="str">
        <f t="shared" si="188"/>
        <v>1F574 1F3FF ; fully-qualified # 🕴🏿 E4.0 person in suit levitating: dark skin tone</v>
      </c>
      <c r="C2027" t="str">
        <f t="shared" si="189"/>
        <v xml:space="preserve">1F574 1F3FF </v>
      </c>
      <c r="D2027">
        <f t="shared" si="190"/>
        <v>12</v>
      </c>
      <c r="E2027" t="str">
        <f t="shared" si="186"/>
        <v xml:space="preserve"> 🕴🏿 E4.0 person in suit levitating: dark skin tone</v>
      </c>
      <c r="F2027" t="b">
        <f t="shared" si="191"/>
        <v>1</v>
      </c>
      <c r="G2027" t="str">
        <f t="shared" si="187"/>
        <v>1F574</v>
      </c>
      <c r="I2027">
        <f>HEX2DEC(Table1[[#This Row],[utf8]])</f>
        <v>128372</v>
      </c>
      <c r="J2027" t="str">
        <f>_xlfn.UNICHAR(HEX2DEC(Table1[[#This Row],[utf8]]))</f>
        <v>🕴</v>
      </c>
      <c r="K2027" s="3" t="str" cm="1">
        <f t="array" ref="K2027">"Case "&amp;wRandomLetter()&amp;wRandomLetter()&amp;I2027&amp;":    UniConst = ChrW(" &amp; I2027 &amp;")"</f>
        <v>Case Ay128372:    UniConst = ChrW(128372)</v>
      </c>
    </row>
    <row r="2028" spans="1:11" hidden="1">
      <c r="A2028" t="s">
        <v>2051</v>
      </c>
      <c r="B2028" t="str">
        <f t="shared" si="188"/>
        <v>1F574 FE0F ; fully-qualified # 🕴️ E0.7 person in suit levitating</v>
      </c>
      <c r="C2028" t="str">
        <f t="shared" si="189"/>
        <v xml:space="preserve">1F574 FE0F </v>
      </c>
      <c r="D2028">
        <f t="shared" si="190"/>
        <v>11</v>
      </c>
      <c r="E2028" t="str">
        <f t="shared" si="186"/>
        <v xml:space="preserve"> 🕴️ E0.7 person in suit levitating</v>
      </c>
      <c r="F2028" t="b">
        <f t="shared" si="191"/>
        <v>1</v>
      </c>
      <c r="G2028" t="str">
        <f t="shared" si="187"/>
        <v>1F574</v>
      </c>
      <c r="I2028">
        <f>HEX2DEC(Table1[[#This Row],[utf8]])</f>
        <v>128372</v>
      </c>
      <c r="J2028" t="str">
        <f>_xlfn.UNICHAR(HEX2DEC(Table1[[#This Row],[utf8]]))</f>
        <v>🕴</v>
      </c>
      <c r="K2028" s="3" t="str" cm="1">
        <f t="array" ref="K2028">"Case "&amp;wRandomLetter()&amp;wRandomLetter()&amp;I2028&amp;":    UniConst = ChrW(" &amp; I2028 &amp;")"</f>
        <v>Case pD128372:    UniConst = ChrW(128372)</v>
      </c>
    </row>
    <row r="2029" spans="1:11" hidden="1">
      <c r="A2029" t="s">
        <v>1315</v>
      </c>
      <c r="B2029" t="str">
        <f t="shared" si="188"/>
        <v>1F575 ; unqualified # 🕵 E0.7 detective</v>
      </c>
      <c r="C2029" t="str">
        <f t="shared" si="189"/>
        <v xml:space="preserve">1F575 </v>
      </c>
      <c r="D2029">
        <f t="shared" si="190"/>
        <v>6</v>
      </c>
      <c r="E2029" t="str">
        <f t="shared" si="186"/>
        <v xml:space="preserve"> 🕵 E0.7 detective</v>
      </c>
      <c r="F2029" t="b">
        <f t="shared" si="191"/>
        <v>1</v>
      </c>
      <c r="G2029" t="str">
        <f t="shared" si="187"/>
        <v>1F575</v>
      </c>
      <c r="I2029">
        <f>HEX2DEC(Table1[[#This Row],[utf8]])</f>
        <v>128373</v>
      </c>
      <c r="J2029" t="str">
        <f>_xlfn.UNICHAR(HEX2DEC(Table1[[#This Row],[utf8]]))</f>
        <v>🕵</v>
      </c>
      <c r="K2029" s="3" t="str" cm="1">
        <f t="array" ref="K2029">"Case "&amp;wRandomLetter()&amp;wRandomLetter()&amp;I2029&amp;":    UniConst = ChrW(" &amp; I2029 &amp;")"</f>
        <v>Case xK128373:    UniConst = ChrW(128373)</v>
      </c>
    </row>
    <row r="2030" spans="1:11" hidden="1">
      <c r="A2030" t="s">
        <v>1316</v>
      </c>
      <c r="B2030" t="str">
        <f t="shared" si="188"/>
        <v>1F575 1F3FB ; fully-qualified # 🕵🏻 E2.0 detective: light skin tone</v>
      </c>
      <c r="C2030" t="str">
        <f t="shared" si="189"/>
        <v xml:space="preserve">1F575 1F3FB </v>
      </c>
      <c r="D2030">
        <f t="shared" si="190"/>
        <v>12</v>
      </c>
      <c r="E2030" t="str">
        <f t="shared" si="186"/>
        <v xml:space="preserve"> 🕵🏻 E2.0 detective: light skin tone</v>
      </c>
      <c r="F2030" t="b">
        <f t="shared" si="191"/>
        <v>1</v>
      </c>
      <c r="G2030" t="str">
        <f t="shared" si="187"/>
        <v>1F575</v>
      </c>
      <c r="I2030">
        <f>HEX2DEC(Table1[[#This Row],[utf8]])</f>
        <v>128373</v>
      </c>
      <c r="J2030" t="str">
        <f>_xlfn.UNICHAR(HEX2DEC(Table1[[#This Row],[utf8]]))</f>
        <v>🕵</v>
      </c>
      <c r="K2030" s="3" t="str" cm="1">
        <f t="array" ref="K2030">"Case "&amp;wRandomLetter()&amp;wRandomLetter()&amp;I2030&amp;":    UniConst = ChrW(" &amp; I2030 &amp;")"</f>
        <v>Case Wi128373:    UniConst = ChrW(128373)</v>
      </c>
    </row>
    <row r="2031" spans="1:11" hidden="1">
      <c r="A2031" t="s">
        <v>1340</v>
      </c>
      <c r="B2031" t="str">
        <f t="shared" si="188"/>
        <v>1F575 1F3FB 200D 2640 ; minimally-qualified # 🕵🏻‍♀ E4.0 woman detective: light skin tone</v>
      </c>
      <c r="C2031" t="str">
        <f t="shared" si="189"/>
        <v xml:space="preserve">1F575 1F3FB 200D 2640 </v>
      </c>
      <c r="D2031">
        <f t="shared" si="190"/>
        <v>22</v>
      </c>
      <c r="E2031" t="str">
        <f t="shared" si="186"/>
        <v xml:space="preserve"> 🕵🏻‍♀ E4.0 woman detective: light skin tone</v>
      </c>
      <c r="F2031" t="b">
        <f t="shared" si="191"/>
        <v>1</v>
      </c>
      <c r="G2031" t="str">
        <f t="shared" si="187"/>
        <v>1F575</v>
      </c>
      <c r="I2031">
        <f>HEX2DEC(Table1[[#This Row],[utf8]])</f>
        <v>128373</v>
      </c>
      <c r="J2031" t="str">
        <f>_xlfn.UNICHAR(HEX2DEC(Table1[[#This Row],[utf8]]))</f>
        <v>🕵</v>
      </c>
      <c r="K2031" s="3" t="str" cm="1">
        <f t="array" ref="K2031">"Case "&amp;wRandomLetter()&amp;wRandomLetter()&amp;I2031&amp;":    UniConst = ChrW(" &amp; I2031 &amp;")"</f>
        <v>Case JB128373:    UniConst = ChrW(128373)</v>
      </c>
    </row>
    <row r="2032" spans="1:11" hidden="1">
      <c r="A2032" t="s">
        <v>1339</v>
      </c>
      <c r="B2032" t="str">
        <f t="shared" si="188"/>
        <v>1F575 1F3FB 200D 2640 FE0F ; fully-qualified # 🕵🏻‍♀️ E4.0 woman detective: light skin tone</v>
      </c>
      <c r="C2032" t="str">
        <f t="shared" si="189"/>
        <v xml:space="preserve">1F575 1F3FB 200D 2640 FE0F </v>
      </c>
      <c r="D2032">
        <f t="shared" si="190"/>
        <v>27</v>
      </c>
      <c r="E2032" t="str">
        <f t="shared" si="186"/>
        <v xml:space="preserve"> 🕵🏻‍♀️ E4.0 woman detective: light skin tone</v>
      </c>
      <c r="F2032" t="b">
        <f t="shared" si="191"/>
        <v>1</v>
      </c>
      <c r="G2032" t="str">
        <f t="shared" si="187"/>
        <v>1F575</v>
      </c>
      <c r="I2032">
        <f>HEX2DEC(Table1[[#This Row],[utf8]])</f>
        <v>128373</v>
      </c>
      <c r="J2032" t="str">
        <f>_xlfn.UNICHAR(HEX2DEC(Table1[[#This Row],[utf8]]))</f>
        <v>🕵</v>
      </c>
      <c r="K2032" s="3" t="str" cm="1">
        <f t="array" ref="K2032">"Case "&amp;wRandomLetter()&amp;wRandomLetter()&amp;I2032&amp;":    UniConst = ChrW(" &amp; I2032 &amp;")"</f>
        <v>Case zr128373:    UniConst = ChrW(128373)</v>
      </c>
    </row>
    <row r="2033" spans="1:11" hidden="1">
      <c r="A2033" t="s">
        <v>1326</v>
      </c>
      <c r="B2033" t="str">
        <f t="shared" si="188"/>
        <v>1F575 1F3FB 200D 2642 ; minimally-qualified # 🕵🏻‍♂ E4.0 man detective: light skin tone</v>
      </c>
      <c r="C2033" t="str">
        <f t="shared" si="189"/>
        <v xml:space="preserve">1F575 1F3FB 200D 2642 </v>
      </c>
      <c r="D2033">
        <f t="shared" si="190"/>
        <v>22</v>
      </c>
      <c r="E2033" t="str">
        <f t="shared" si="186"/>
        <v xml:space="preserve"> 🕵🏻‍♂ E4.0 man detective: light skin tone</v>
      </c>
      <c r="F2033" t="b">
        <f t="shared" si="191"/>
        <v>1</v>
      </c>
      <c r="G2033" t="str">
        <f t="shared" si="187"/>
        <v>1F575</v>
      </c>
      <c r="I2033">
        <f>HEX2DEC(Table1[[#This Row],[utf8]])</f>
        <v>128373</v>
      </c>
      <c r="J2033" t="str">
        <f>_xlfn.UNICHAR(HEX2DEC(Table1[[#This Row],[utf8]]))</f>
        <v>🕵</v>
      </c>
      <c r="K2033" s="3" t="str" cm="1">
        <f t="array" ref="K2033">"Case "&amp;wRandomLetter()&amp;wRandomLetter()&amp;I2033&amp;":    UniConst = ChrW(" &amp; I2033 &amp;")"</f>
        <v>Case Wt128373:    UniConst = ChrW(128373)</v>
      </c>
    </row>
    <row r="2034" spans="1:11" hidden="1">
      <c r="A2034" t="s">
        <v>1325</v>
      </c>
      <c r="B2034" t="str">
        <f t="shared" si="188"/>
        <v>1F575 1F3FB 200D 2642 FE0F ; fully-qualified # 🕵🏻‍♂️ E4.0 man detective: light skin tone</v>
      </c>
      <c r="C2034" t="str">
        <f t="shared" si="189"/>
        <v xml:space="preserve">1F575 1F3FB 200D 2642 FE0F </v>
      </c>
      <c r="D2034">
        <f t="shared" si="190"/>
        <v>27</v>
      </c>
      <c r="E2034" t="str">
        <f t="shared" si="186"/>
        <v xml:space="preserve"> 🕵🏻‍♂️ E4.0 man detective: light skin tone</v>
      </c>
      <c r="F2034" t="b">
        <f t="shared" si="191"/>
        <v>1</v>
      </c>
      <c r="G2034" t="str">
        <f t="shared" si="187"/>
        <v>1F575</v>
      </c>
      <c r="I2034">
        <f>HEX2DEC(Table1[[#This Row],[utf8]])</f>
        <v>128373</v>
      </c>
      <c r="J2034" t="str">
        <f>_xlfn.UNICHAR(HEX2DEC(Table1[[#This Row],[utf8]]))</f>
        <v>🕵</v>
      </c>
      <c r="K2034" s="3" t="str" cm="1">
        <f t="array" ref="K2034">"Case "&amp;wRandomLetter()&amp;wRandomLetter()&amp;I2034&amp;":    UniConst = ChrW(" &amp; I2034 &amp;")"</f>
        <v>Case lm128373:    UniConst = ChrW(128373)</v>
      </c>
    </row>
    <row r="2035" spans="1:11" hidden="1">
      <c r="A2035" t="s">
        <v>1317</v>
      </c>
      <c r="B2035" t="str">
        <f t="shared" si="188"/>
        <v>1F575 1F3FC ; fully-qualified # 🕵🏼 E2.0 detective: medium-light skin tone</v>
      </c>
      <c r="C2035" t="str">
        <f t="shared" si="189"/>
        <v xml:space="preserve">1F575 1F3FC </v>
      </c>
      <c r="D2035">
        <f t="shared" si="190"/>
        <v>12</v>
      </c>
      <c r="E2035" t="str">
        <f t="shared" si="186"/>
        <v xml:space="preserve"> 🕵🏼 E2.0 detective: medium-light skin tone</v>
      </c>
      <c r="F2035" t="b">
        <f t="shared" si="191"/>
        <v>1</v>
      </c>
      <c r="G2035" t="str">
        <f t="shared" si="187"/>
        <v>1F575</v>
      </c>
      <c r="I2035">
        <f>HEX2DEC(Table1[[#This Row],[utf8]])</f>
        <v>128373</v>
      </c>
      <c r="J2035" t="str">
        <f>_xlfn.UNICHAR(HEX2DEC(Table1[[#This Row],[utf8]]))</f>
        <v>🕵</v>
      </c>
      <c r="K2035" s="3" t="str" cm="1">
        <f t="array" ref="K2035">"Case "&amp;wRandomLetter()&amp;wRandomLetter()&amp;I2035&amp;":    UniConst = ChrW(" &amp; I2035 &amp;")"</f>
        <v>Case zE128373:    UniConst = ChrW(128373)</v>
      </c>
    </row>
    <row r="2036" spans="1:11" hidden="1">
      <c r="A2036" t="s">
        <v>1342</v>
      </c>
      <c r="B2036" t="str">
        <f t="shared" si="188"/>
        <v>1F575 1F3FC 200D 2640 ; minimally-qualified # 🕵🏼‍♀ E4.0 woman detective: medium-light skin tone</v>
      </c>
      <c r="C2036" t="str">
        <f t="shared" si="189"/>
        <v xml:space="preserve">1F575 1F3FC 200D 2640 </v>
      </c>
      <c r="D2036">
        <f t="shared" si="190"/>
        <v>22</v>
      </c>
      <c r="E2036" t="str">
        <f t="shared" si="186"/>
        <v xml:space="preserve"> 🕵🏼‍♀ E4.0 woman detective: medium-light skin tone</v>
      </c>
      <c r="F2036" t="b">
        <f t="shared" si="191"/>
        <v>1</v>
      </c>
      <c r="G2036" t="str">
        <f t="shared" si="187"/>
        <v>1F575</v>
      </c>
      <c r="I2036">
        <f>HEX2DEC(Table1[[#This Row],[utf8]])</f>
        <v>128373</v>
      </c>
      <c r="J2036" t="str">
        <f>_xlfn.UNICHAR(HEX2DEC(Table1[[#This Row],[utf8]]))</f>
        <v>🕵</v>
      </c>
      <c r="K2036" s="3" t="str" cm="1">
        <f t="array" ref="K2036">"Case "&amp;wRandomLetter()&amp;wRandomLetter()&amp;I2036&amp;":    UniConst = ChrW(" &amp; I2036 &amp;")"</f>
        <v>Case zE128373:    UniConst = ChrW(128373)</v>
      </c>
    </row>
    <row r="2037" spans="1:11" hidden="1">
      <c r="A2037" t="s">
        <v>1341</v>
      </c>
      <c r="B2037" t="str">
        <f t="shared" si="188"/>
        <v>1F575 1F3FC 200D 2640 FE0F ; fully-qualified # 🕵🏼‍♀️ E4.0 woman detective: medium-light skin tone</v>
      </c>
      <c r="C2037" t="str">
        <f t="shared" si="189"/>
        <v xml:space="preserve">1F575 1F3FC 200D 2640 FE0F </v>
      </c>
      <c r="D2037">
        <f t="shared" si="190"/>
        <v>27</v>
      </c>
      <c r="E2037" t="str">
        <f t="shared" si="186"/>
        <v xml:space="preserve"> 🕵🏼‍♀️ E4.0 woman detective: medium-light skin tone</v>
      </c>
      <c r="F2037" t="b">
        <f t="shared" si="191"/>
        <v>1</v>
      </c>
      <c r="G2037" t="str">
        <f t="shared" si="187"/>
        <v>1F575</v>
      </c>
      <c r="I2037">
        <f>HEX2DEC(Table1[[#This Row],[utf8]])</f>
        <v>128373</v>
      </c>
      <c r="J2037" t="str">
        <f>_xlfn.UNICHAR(HEX2DEC(Table1[[#This Row],[utf8]]))</f>
        <v>🕵</v>
      </c>
      <c r="K2037" s="3" t="str" cm="1">
        <f t="array" ref="K2037">"Case "&amp;wRandomLetter()&amp;wRandomLetter()&amp;I2037&amp;":    UniConst = ChrW(" &amp; I2037 &amp;")"</f>
        <v>Case SC128373:    UniConst = ChrW(128373)</v>
      </c>
    </row>
    <row r="2038" spans="1:11" hidden="1">
      <c r="A2038" t="s">
        <v>1328</v>
      </c>
      <c r="B2038" t="str">
        <f t="shared" si="188"/>
        <v>1F575 1F3FC 200D 2642 ; minimally-qualified # 🕵🏼‍♂ E4.0 man detective: medium-light skin tone</v>
      </c>
      <c r="C2038" t="str">
        <f t="shared" si="189"/>
        <v xml:space="preserve">1F575 1F3FC 200D 2642 </v>
      </c>
      <c r="D2038">
        <f t="shared" si="190"/>
        <v>22</v>
      </c>
      <c r="E2038" t="str">
        <f t="shared" si="186"/>
        <v xml:space="preserve"> 🕵🏼‍♂ E4.0 man detective: medium-light skin tone</v>
      </c>
      <c r="F2038" t="b">
        <f t="shared" si="191"/>
        <v>1</v>
      </c>
      <c r="G2038" t="str">
        <f t="shared" si="187"/>
        <v>1F575</v>
      </c>
      <c r="I2038">
        <f>HEX2DEC(Table1[[#This Row],[utf8]])</f>
        <v>128373</v>
      </c>
      <c r="J2038" t="str">
        <f>_xlfn.UNICHAR(HEX2DEC(Table1[[#This Row],[utf8]]))</f>
        <v>🕵</v>
      </c>
      <c r="K2038" s="3" t="str" cm="1">
        <f t="array" ref="K2038">"Case "&amp;wRandomLetter()&amp;wRandomLetter()&amp;I2038&amp;":    UniConst = ChrW(" &amp; I2038 &amp;")"</f>
        <v>Case OB128373:    UniConst = ChrW(128373)</v>
      </c>
    </row>
    <row r="2039" spans="1:11" hidden="1">
      <c r="A2039" t="s">
        <v>1327</v>
      </c>
      <c r="B2039" t="str">
        <f t="shared" si="188"/>
        <v>1F575 1F3FC 200D 2642 FE0F ; fully-qualified # 🕵🏼‍♂️ E4.0 man detective: medium-light skin tone</v>
      </c>
      <c r="C2039" t="str">
        <f t="shared" si="189"/>
        <v xml:space="preserve">1F575 1F3FC 200D 2642 FE0F </v>
      </c>
      <c r="D2039">
        <f t="shared" si="190"/>
        <v>27</v>
      </c>
      <c r="E2039" t="str">
        <f t="shared" si="186"/>
        <v xml:space="preserve"> 🕵🏼‍♂️ E4.0 man detective: medium-light skin tone</v>
      </c>
      <c r="F2039" t="b">
        <f t="shared" si="191"/>
        <v>1</v>
      </c>
      <c r="G2039" t="str">
        <f t="shared" si="187"/>
        <v>1F575</v>
      </c>
      <c r="I2039">
        <f>HEX2DEC(Table1[[#This Row],[utf8]])</f>
        <v>128373</v>
      </c>
      <c r="J2039" t="str">
        <f>_xlfn.UNICHAR(HEX2DEC(Table1[[#This Row],[utf8]]))</f>
        <v>🕵</v>
      </c>
      <c r="K2039" s="3" t="str" cm="1">
        <f t="array" ref="K2039">"Case "&amp;wRandomLetter()&amp;wRandomLetter()&amp;I2039&amp;":    UniConst = ChrW(" &amp; I2039 &amp;")"</f>
        <v>Case mf128373:    UniConst = ChrW(128373)</v>
      </c>
    </row>
    <row r="2040" spans="1:11" hidden="1">
      <c r="A2040" t="s">
        <v>1318</v>
      </c>
      <c r="B2040" t="str">
        <f t="shared" si="188"/>
        <v>1F575 1F3FD ; fully-qualified # 🕵🏽 E2.0 detective: medium skin tone</v>
      </c>
      <c r="C2040" t="str">
        <f t="shared" si="189"/>
        <v xml:space="preserve">1F575 1F3FD </v>
      </c>
      <c r="D2040">
        <f t="shared" si="190"/>
        <v>12</v>
      </c>
      <c r="E2040" t="str">
        <f t="shared" si="186"/>
        <v xml:space="preserve"> 🕵🏽 E2.0 detective: medium skin tone</v>
      </c>
      <c r="F2040" t="b">
        <f t="shared" si="191"/>
        <v>1</v>
      </c>
      <c r="G2040" t="str">
        <f t="shared" si="187"/>
        <v>1F575</v>
      </c>
      <c r="I2040">
        <f>HEX2DEC(Table1[[#This Row],[utf8]])</f>
        <v>128373</v>
      </c>
      <c r="J2040" t="str">
        <f>_xlfn.UNICHAR(HEX2DEC(Table1[[#This Row],[utf8]]))</f>
        <v>🕵</v>
      </c>
      <c r="K2040" s="3" t="str" cm="1">
        <f t="array" ref="K2040">"Case "&amp;wRandomLetter()&amp;wRandomLetter()&amp;I2040&amp;":    UniConst = ChrW(" &amp; I2040 &amp;")"</f>
        <v>Case yV128373:    UniConst = ChrW(128373)</v>
      </c>
    </row>
    <row r="2041" spans="1:11" hidden="1">
      <c r="A2041" t="s">
        <v>1344</v>
      </c>
      <c r="B2041" t="str">
        <f t="shared" si="188"/>
        <v>1F575 1F3FD 200D 2640 ; minimally-qualified # 🕵🏽‍♀ E4.0 woman detective: medium skin tone</v>
      </c>
      <c r="C2041" t="str">
        <f t="shared" si="189"/>
        <v xml:space="preserve">1F575 1F3FD 200D 2640 </v>
      </c>
      <c r="D2041">
        <f t="shared" si="190"/>
        <v>22</v>
      </c>
      <c r="E2041" t="str">
        <f t="shared" si="186"/>
        <v xml:space="preserve"> 🕵🏽‍♀ E4.0 woman detective: medium skin tone</v>
      </c>
      <c r="F2041" t="b">
        <f t="shared" si="191"/>
        <v>1</v>
      </c>
      <c r="G2041" t="str">
        <f t="shared" si="187"/>
        <v>1F575</v>
      </c>
      <c r="I2041">
        <f>HEX2DEC(Table1[[#This Row],[utf8]])</f>
        <v>128373</v>
      </c>
      <c r="J2041" t="str">
        <f>_xlfn.UNICHAR(HEX2DEC(Table1[[#This Row],[utf8]]))</f>
        <v>🕵</v>
      </c>
      <c r="K2041" s="3" t="str" cm="1">
        <f t="array" ref="K2041">"Case "&amp;wRandomLetter()&amp;wRandomLetter()&amp;I2041&amp;":    UniConst = ChrW(" &amp; I2041 &amp;")"</f>
        <v>Case tk128373:    UniConst = ChrW(128373)</v>
      </c>
    </row>
    <row r="2042" spans="1:11" hidden="1">
      <c r="A2042" t="s">
        <v>1343</v>
      </c>
      <c r="B2042" t="str">
        <f t="shared" si="188"/>
        <v>1F575 1F3FD 200D 2640 FE0F ; fully-qualified # 🕵🏽‍♀️ E4.0 woman detective: medium skin tone</v>
      </c>
      <c r="C2042" t="str">
        <f t="shared" si="189"/>
        <v xml:space="preserve">1F575 1F3FD 200D 2640 FE0F </v>
      </c>
      <c r="D2042">
        <f t="shared" si="190"/>
        <v>27</v>
      </c>
      <c r="E2042" t="str">
        <f t="shared" si="186"/>
        <v xml:space="preserve"> 🕵🏽‍♀️ E4.0 woman detective: medium skin tone</v>
      </c>
      <c r="F2042" t="b">
        <f t="shared" si="191"/>
        <v>1</v>
      </c>
      <c r="G2042" t="str">
        <f t="shared" si="187"/>
        <v>1F575</v>
      </c>
      <c r="I2042">
        <f>HEX2DEC(Table1[[#This Row],[utf8]])</f>
        <v>128373</v>
      </c>
      <c r="J2042" t="str">
        <f>_xlfn.UNICHAR(HEX2DEC(Table1[[#This Row],[utf8]]))</f>
        <v>🕵</v>
      </c>
      <c r="K2042" s="3" t="str" cm="1">
        <f t="array" ref="K2042">"Case "&amp;wRandomLetter()&amp;wRandomLetter()&amp;I2042&amp;":    UniConst = ChrW(" &amp; I2042 &amp;")"</f>
        <v>Case Ds128373:    UniConst = ChrW(128373)</v>
      </c>
    </row>
    <row r="2043" spans="1:11" hidden="1">
      <c r="A2043" t="s">
        <v>1330</v>
      </c>
      <c r="B2043" t="str">
        <f t="shared" si="188"/>
        <v>1F575 1F3FD 200D 2642 ; minimally-qualified # 🕵🏽‍♂ E4.0 man detective: medium skin tone</v>
      </c>
      <c r="C2043" t="str">
        <f t="shared" si="189"/>
        <v xml:space="preserve">1F575 1F3FD 200D 2642 </v>
      </c>
      <c r="D2043">
        <f t="shared" si="190"/>
        <v>22</v>
      </c>
      <c r="E2043" t="str">
        <f t="shared" si="186"/>
        <v xml:space="preserve"> 🕵🏽‍♂ E4.0 man detective: medium skin tone</v>
      </c>
      <c r="F2043" t="b">
        <f t="shared" si="191"/>
        <v>1</v>
      </c>
      <c r="G2043" t="str">
        <f t="shared" si="187"/>
        <v>1F575</v>
      </c>
      <c r="I2043">
        <f>HEX2DEC(Table1[[#This Row],[utf8]])</f>
        <v>128373</v>
      </c>
      <c r="J2043" t="str">
        <f>_xlfn.UNICHAR(HEX2DEC(Table1[[#This Row],[utf8]]))</f>
        <v>🕵</v>
      </c>
      <c r="K2043" s="3" t="str" cm="1">
        <f t="array" ref="K2043">"Case "&amp;wRandomLetter()&amp;wRandomLetter()&amp;I2043&amp;":    UniConst = ChrW(" &amp; I2043 &amp;")"</f>
        <v>Case rj128373:    UniConst = ChrW(128373)</v>
      </c>
    </row>
    <row r="2044" spans="1:11" hidden="1">
      <c r="A2044" t="s">
        <v>1329</v>
      </c>
      <c r="B2044" t="str">
        <f t="shared" si="188"/>
        <v>1F575 1F3FD 200D 2642 FE0F ; fully-qualified # 🕵🏽‍♂️ E4.0 man detective: medium skin tone</v>
      </c>
      <c r="C2044" t="str">
        <f t="shared" si="189"/>
        <v xml:space="preserve">1F575 1F3FD 200D 2642 FE0F </v>
      </c>
      <c r="D2044">
        <f t="shared" si="190"/>
        <v>27</v>
      </c>
      <c r="E2044" t="str">
        <f t="shared" si="186"/>
        <v xml:space="preserve"> 🕵🏽‍♂️ E4.0 man detective: medium skin tone</v>
      </c>
      <c r="F2044" t="b">
        <f t="shared" si="191"/>
        <v>1</v>
      </c>
      <c r="G2044" t="str">
        <f t="shared" si="187"/>
        <v>1F575</v>
      </c>
      <c r="I2044">
        <f>HEX2DEC(Table1[[#This Row],[utf8]])</f>
        <v>128373</v>
      </c>
      <c r="J2044" t="str">
        <f>_xlfn.UNICHAR(HEX2DEC(Table1[[#This Row],[utf8]]))</f>
        <v>🕵</v>
      </c>
      <c r="K2044" s="3" t="str" cm="1">
        <f t="array" ref="K2044">"Case "&amp;wRandomLetter()&amp;wRandomLetter()&amp;I2044&amp;":    UniConst = ChrW(" &amp; I2044 &amp;")"</f>
        <v>Case hi128373:    UniConst = ChrW(128373)</v>
      </c>
    </row>
    <row r="2045" spans="1:11" hidden="1">
      <c r="A2045" t="s">
        <v>1319</v>
      </c>
      <c r="B2045" t="str">
        <f t="shared" si="188"/>
        <v>1F575 1F3FE ; fully-qualified # 🕵🏾 E2.0 detective: medium-dark skin tone</v>
      </c>
      <c r="C2045" t="str">
        <f t="shared" si="189"/>
        <v xml:space="preserve">1F575 1F3FE </v>
      </c>
      <c r="D2045">
        <f t="shared" si="190"/>
        <v>12</v>
      </c>
      <c r="E2045" t="str">
        <f t="shared" si="186"/>
        <v xml:space="preserve"> 🕵🏾 E2.0 detective: medium-dark skin tone</v>
      </c>
      <c r="F2045" t="b">
        <f t="shared" si="191"/>
        <v>1</v>
      </c>
      <c r="G2045" t="str">
        <f t="shared" si="187"/>
        <v>1F575</v>
      </c>
      <c r="I2045">
        <f>HEX2DEC(Table1[[#This Row],[utf8]])</f>
        <v>128373</v>
      </c>
      <c r="J2045" t="str">
        <f>_xlfn.UNICHAR(HEX2DEC(Table1[[#This Row],[utf8]]))</f>
        <v>🕵</v>
      </c>
      <c r="K2045" s="3" t="str" cm="1">
        <f t="array" ref="K2045">"Case "&amp;wRandomLetter()&amp;wRandomLetter()&amp;I2045&amp;":    UniConst = ChrW(" &amp; I2045 &amp;")"</f>
        <v>Case Or128373:    UniConst = ChrW(128373)</v>
      </c>
    </row>
    <row r="2046" spans="1:11" hidden="1">
      <c r="A2046" t="s">
        <v>1346</v>
      </c>
      <c r="B2046" t="str">
        <f t="shared" si="188"/>
        <v>1F575 1F3FE 200D 2640 ; minimally-qualified # 🕵🏾‍♀ E4.0 woman detective: medium-dark skin tone</v>
      </c>
      <c r="C2046" t="str">
        <f t="shared" si="189"/>
        <v xml:space="preserve">1F575 1F3FE 200D 2640 </v>
      </c>
      <c r="D2046">
        <f t="shared" si="190"/>
        <v>22</v>
      </c>
      <c r="E2046" t="str">
        <f t="shared" si="186"/>
        <v xml:space="preserve"> 🕵🏾‍♀ E4.0 woman detective: medium-dark skin tone</v>
      </c>
      <c r="F2046" t="b">
        <f t="shared" si="191"/>
        <v>1</v>
      </c>
      <c r="G2046" t="str">
        <f t="shared" si="187"/>
        <v>1F575</v>
      </c>
      <c r="I2046">
        <f>HEX2DEC(Table1[[#This Row],[utf8]])</f>
        <v>128373</v>
      </c>
      <c r="J2046" t="str">
        <f>_xlfn.UNICHAR(HEX2DEC(Table1[[#This Row],[utf8]]))</f>
        <v>🕵</v>
      </c>
      <c r="K2046" s="3" t="str" cm="1">
        <f t="array" ref="K2046">"Case "&amp;wRandomLetter()&amp;wRandomLetter()&amp;I2046&amp;":    UniConst = ChrW(" &amp; I2046 &amp;")"</f>
        <v>Case UL128373:    UniConst = ChrW(128373)</v>
      </c>
    </row>
    <row r="2047" spans="1:11" hidden="1">
      <c r="A2047" t="s">
        <v>1345</v>
      </c>
      <c r="B2047" t="str">
        <f t="shared" si="188"/>
        <v>1F575 1F3FE 200D 2640 FE0F ; fully-qualified # 🕵🏾‍♀️ E4.0 woman detective: medium-dark skin tone</v>
      </c>
      <c r="C2047" t="str">
        <f t="shared" si="189"/>
        <v xml:space="preserve">1F575 1F3FE 200D 2640 FE0F </v>
      </c>
      <c r="D2047">
        <f t="shared" si="190"/>
        <v>27</v>
      </c>
      <c r="E2047" t="str">
        <f t="shared" si="186"/>
        <v xml:space="preserve"> 🕵🏾‍♀️ E4.0 woman detective: medium-dark skin tone</v>
      </c>
      <c r="F2047" t="b">
        <f t="shared" si="191"/>
        <v>1</v>
      </c>
      <c r="G2047" t="str">
        <f t="shared" si="187"/>
        <v>1F575</v>
      </c>
      <c r="I2047">
        <f>HEX2DEC(Table1[[#This Row],[utf8]])</f>
        <v>128373</v>
      </c>
      <c r="J2047" t="str">
        <f>_xlfn.UNICHAR(HEX2DEC(Table1[[#This Row],[utf8]]))</f>
        <v>🕵</v>
      </c>
      <c r="K2047" s="3" t="str" cm="1">
        <f t="array" ref="K2047">"Case "&amp;wRandomLetter()&amp;wRandomLetter()&amp;I2047&amp;":    UniConst = ChrW(" &amp; I2047 &amp;")"</f>
        <v>Case Lx128373:    UniConst = ChrW(128373)</v>
      </c>
    </row>
    <row r="2048" spans="1:11" hidden="1">
      <c r="A2048" t="s">
        <v>1332</v>
      </c>
      <c r="B2048" t="str">
        <f t="shared" si="188"/>
        <v>1F575 1F3FE 200D 2642 ; minimally-qualified # 🕵🏾‍♂ E4.0 man detective: medium-dark skin tone</v>
      </c>
      <c r="C2048" t="str">
        <f t="shared" si="189"/>
        <v xml:space="preserve">1F575 1F3FE 200D 2642 </v>
      </c>
      <c r="D2048">
        <f t="shared" si="190"/>
        <v>22</v>
      </c>
      <c r="E2048" t="str">
        <f t="shared" si="186"/>
        <v xml:space="preserve"> 🕵🏾‍♂ E4.0 man detective: medium-dark skin tone</v>
      </c>
      <c r="F2048" t="b">
        <f t="shared" si="191"/>
        <v>1</v>
      </c>
      <c r="G2048" t="str">
        <f t="shared" si="187"/>
        <v>1F575</v>
      </c>
      <c r="I2048">
        <f>HEX2DEC(Table1[[#This Row],[utf8]])</f>
        <v>128373</v>
      </c>
      <c r="J2048" t="str">
        <f>_xlfn.UNICHAR(HEX2DEC(Table1[[#This Row],[utf8]]))</f>
        <v>🕵</v>
      </c>
      <c r="K2048" s="3" t="str" cm="1">
        <f t="array" ref="K2048">"Case "&amp;wRandomLetter()&amp;wRandomLetter()&amp;I2048&amp;":    UniConst = ChrW(" &amp; I2048 &amp;")"</f>
        <v>Case pa128373:    UniConst = ChrW(128373)</v>
      </c>
    </row>
    <row r="2049" spans="1:11" hidden="1">
      <c r="A2049" t="s">
        <v>1331</v>
      </c>
      <c r="B2049" t="str">
        <f t="shared" si="188"/>
        <v>1F575 1F3FE 200D 2642 FE0F ; fully-qualified # 🕵🏾‍♂️ E4.0 man detective: medium-dark skin tone</v>
      </c>
      <c r="C2049" t="str">
        <f t="shared" si="189"/>
        <v xml:space="preserve">1F575 1F3FE 200D 2642 FE0F </v>
      </c>
      <c r="D2049">
        <f t="shared" si="190"/>
        <v>27</v>
      </c>
      <c r="E2049" t="str">
        <f t="shared" si="186"/>
        <v xml:space="preserve"> 🕵🏾‍♂️ E4.0 man detective: medium-dark skin tone</v>
      </c>
      <c r="F2049" t="b">
        <f t="shared" si="191"/>
        <v>1</v>
      </c>
      <c r="G2049" t="str">
        <f t="shared" si="187"/>
        <v>1F575</v>
      </c>
      <c r="I2049">
        <f>HEX2DEC(Table1[[#This Row],[utf8]])</f>
        <v>128373</v>
      </c>
      <c r="J2049" t="str">
        <f>_xlfn.UNICHAR(HEX2DEC(Table1[[#This Row],[utf8]]))</f>
        <v>🕵</v>
      </c>
      <c r="K2049" s="3" t="str" cm="1">
        <f t="array" ref="K2049">"Case "&amp;wRandomLetter()&amp;wRandomLetter()&amp;I2049&amp;":    UniConst = ChrW(" &amp; I2049 &amp;")"</f>
        <v>Case sK128373:    UniConst = ChrW(128373)</v>
      </c>
    </row>
    <row r="2050" spans="1:11" hidden="1">
      <c r="A2050" t="s">
        <v>1320</v>
      </c>
      <c r="B2050" t="str">
        <f t="shared" si="188"/>
        <v>1F575 1F3FF ; fully-qualified # 🕵🏿 E2.0 detective: dark skin tone</v>
      </c>
      <c r="C2050" t="str">
        <f t="shared" si="189"/>
        <v xml:space="preserve">1F575 1F3FF </v>
      </c>
      <c r="D2050">
        <f t="shared" si="190"/>
        <v>12</v>
      </c>
      <c r="E2050" t="str">
        <f t="shared" ref="E2050:E2113" si="192">MID(A2050,FIND("#",A2050)+1,256)</f>
        <v xml:space="preserve"> 🕵🏿 E2.0 detective: dark skin tone</v>
      </c>
      <c r="F2050" t="b">
        <f t="shared" si="191"/>
        <v>1</v>
      </c>
      <c r="G2050" t="str">
        <f t="shared" ref="G2050:G2113" si="193">LEFT(C2050,(FIND(" ",C2050,1)-1))</f>
        <v>1F575</v>
      </c>
      <c r="I2050">
        <f>HEX2DEC(Table1[[#This Row],[utf8]])</f>
        <v>128373</v>
      </c>
      <c r="J2050" t="str">
        <f>_xlfn.UNICHAR(HEX2DEC(Table1[[#This Row],[utf8]]))</f>
        <v>🕵</v>
      </c>
      <c r="K2050" s="3" t="str" cm="1">
        <f t="array" ref="K2050">"Case "&amp;wRandomLetter()&amp;wRandomLetter()&amp;I2050&amp;":    UniConst = ChrW(" &amp; I2050 &amp;")"</f>
        <v>Case vR128373:    UniConst = ChrW(128373)</v>
      </c>
    </row>
    <row r="2051" spans="1:11" hidden="1">
      <c r="A2051" t="s">
        <v>1348</v>
      </c>
      <c r="B2051" t="str">
        <f t="shared" ref="B2051:B2114" si="194">TRIM(A2051)</f>
        <v>1F575 1F3FF 200D 2640 ; minimally-qualified # 🕵🏿‍♀ E4.0 woman detective: dark skin tone</v>
      </c>
      <c r="C2051" t="str">
        <f t="shared" ref="C2051:C2114" si="195">LEFT(B2051,(FIND(";",B2051,1)-1))</f>
        <v xml:space="preserve">1F575 1F3FF 200D 2640 </v>
      </c>
      <c r="D2051">
        <f t="shared" ref="D2051:D2114" si="196">LEN(C2051)</f>
        <v>22</v>
      </c>
      <c r="E2051" t="str">
        <f t="shared" si="192"/>
        <v xml:space="preserve"> 🕵🏿‍♀ E4.0 woman detective: dark skin tone</v>
      </c>
      <c r="F2051" t="b">
        <f t="shared" ref="F2051:F2114" si="197">IF(LEFT(C2051,2)="1F",TRUE,FALSE)</f>
        <v>1</v>
      </c>
      <c r="G2051" t="str">
        <f t="shared" si="193"/>
        <v>1F575</v>
      </c>
      <c r="I2051">
        <f>HEX2DEC(Table1[[#This Row],[utf8]])</f>
        <v>128373</v>
      </c>
      <c r="J2051" t="str">
        <f>_xlfn.UNICHAR(HEX2DEC(Table1[[#This Row],[utf8]]))</f>
        <v>🕵</v>
      </c>
      <c r="K2051" s="3" t="str" cm="1">
        <f t="array" ref="K2051">"Case "&amp;wRandomLetter()&amp;wRandomLetter()&amp;I2051&amp;":    UniConst = ChrW(" &amp; I2051 &amp;")"</f>
        <v>Case uC128373:    UniConst = ChrW(128373)</v>
      </c>
    </row>
    <row r="2052" spans="1:11" hidden="1">
      <c r="A2052" t="s">
        <v>1347</v>
      </c>
      <c r="B2052" t="str">
        <f t="shared" si="194"/>
        <v>1F575 1F3FF 200D 2640 FE0F ; fully-qualified # 🕵🏿‍♀️ E4.0 woman detective: dark skin tone</v>
      </c>
      <c r="C2052" t="str">
        <f t="shared" si="195"/>
        <v xml:space="preserve">1F575 1F3FF 200D 2640 FE0F </v>
      </c>
      <c r="D2052">
        <f t="shared" si="196"/>
        <v>27</v>
      </c>
      <c r="E2052" t="str">
        <f t="shared" si="192"/>
        <v xml:space="preserve"> 🕵🏿‍♀️ E4.0 woman detective: dark skin tone</v>
      </c>
      <c r="F2052" t="b">
        <f t="shared" si="197"/>
        <v>1</v>
      </c>
      <c r="G2052" t="str">
        <f t="shared" si="193"/>
        <v>1F575</v>
      </c>
      <c r="I2052">
        <f>HEX2DEC(Table1[[#This Row],[utf8]])</f>
        <v>128373</v>
      </c>
      <c r="J2052" t="str">
        <f>_xlfn.UNICHAR(HEX2DEC(Table1[[#This Row],[utf8]]))</f>
        <v>🕵</v>
      </c>
      <c r="K2052" s="3" t="str" cm="1">
        <f t="array" ref="K2052">"Case "&amp;wRandomLetter()&amp;wRandomLetter()&amp;I2052&amp;":    UniConst = ChrW(" &amp; I2052 &amp;")"</f>
        <v>Case GK128373:    UniConst = ChrW(128373)</v>
      </c>
    </row>
    <row r="2053" spans="1:11" hidden="1">
      <c r="A2053" t="s">
        <v>1334</v>
      </c>
      <c r="B2053" t="str">
        <f t="shared" si="194"/>
        <v>1F575 1F3FF 200D 2642 ; minimally-qualified # 🕵🏿‍♂ E4.0 man detective: dark skin tone</v>
      </c>
      <c r="C2053" t="str">
        <f t="shared" si="195"/>
        <v xml:space="preserve">1F575 1F3FF 200D 2642 </v>
      </c>
      <c r="D2053">
        <f t="shared" si="196"/>
        <v>22</v>
      </c>
      <c r="E2053" t="str">
        <f t="shared" si="192"/>
        <v xml:space="preserve"> 🕵🏿‍♂ E4.0 man detective: dark skin tone</v>
      </c>
      <c r="F2053" t="b">
        <f t="shared" si="197"/>
        <v>1</v>
      </c>
      <c r="G2053" t="str">
        <f t="shared" si="193"/>
        <v>1F575</v>
      </c>
      <c r="I2053">
        <f>HEX2DEC(Table1[[#This Row],[utf8]])</f>
        <v>128373</v>
      </c>
      <c r="J2053" t="str">
        <f>_xlfn.UNICHAR(HEX2DEC(Table1[[#This Row],[utf8]]))</f>
        <v>🕵</v>
      </c>
      <c r="K2053" s="3" t="str" cm="1">
        <f t="array" ref="K2053">"Case "&amp;wRandomLetter()&amp;wRandomLetter()&amp;I2053&amp;":    UniConst = ChrW(" &amp; I2053 &amp;")"</f>
        <v>Case HZ128373:    UniConst = ChrW(128373)</v>
      </c>
    </row>
    <row r="2054" spans="1:11" hidden="1">
      <c r="A2054" t="s">
        <v>1333</v>
      </c>
      <c r="B2054" t="str">
        <f t="shared" si="194"/>
        <v>1F575 1F3FF 200D 2642 FE0F ; fully-qualified # 🕵🏿‍♂️ E4.0 man detective: dark skin tone</v>
      </c>
      <c r="C2054" t="str">
        <f t="shared" si="195"/>
        <v xml:space="preserve">1F575 1F3FF 200D 2642 FE0F </v>
      </c>
      <c r="D2054">
        <f t="shared" si="196"/>
        <v>27</v>
      </c>
      <c r="E2054" t="str">
        <f t="shared" si="192"/>
        <v xml:space="preserve"> 🕵🏿‍♂️ E4.0 man detective: dark skin tone</v>
      </c>
      <c r="F2054" t="b">
        <f t="shared" si="197"/>
        <v>1</v>
      </c>
      <c r="G2054" t="str">
        <f t="shared" si="193"/>
        <v>1F575</v>
      </c>
      <c r="I2054">
        <f>HEX2DEC(Table1[[#This Row],[utf8]])</f>
        <v>128373</v>
      </c>
      <c r="J2054" t="str">
        <f>_xlfn.UNICHAR(HEX2DEC(Table1[[#This Row],[utf8]]))</f>
        <v>🕵</v>
      </c>
      <c r="K2054" s="3" t="str" cm="1">
        <f t="array" ref="K2054">"Case "&amp;wRandomLetter()&amp;wRandomLetter()&amp;I2054&amp;":    UniConst = ChrW(" &amp; I2054 &amp;")"</f>
        <v>Case rU128373:    UniConst = ChrW(128373)</v>
      </c>
    </row>
    <row r="2055" spans="1:11" hidden="1">
      <c r="A2055" t="s">
        <v>1338</v>
      </c>
      <c r="B2055" t="str">
        <f t="shared" si="194"/>
        <v>1F575 200D 2640 ; unqualified # 🕵‍♀ E4.0 woman detective</v>
      </c>
      <c r="C2055" t="str">
        <f t="shared" si="195"/>
        <v xml:space="preserve">1F575 200D 2640 </v>
      </c>
      <c r="D2055">
        <f t="shared" si="196"/>
        <v>16</v>
      </c>
      <c r="E2055" t="str">
        <f t="shared" si="192"/>
        <v xml:space="preserve"> 🕵‍♀ E4.0 woman detective</v>
      </c>
      <c r="F2055" t="b">
        <f t="shared" si="197"/>
        <v>1</v>
      </c>
      <c r="G2055" t="str">
        <f t="shared" si="193"/>
        <v>1F575</v>
      </c>
      <c r="I2055">
        <f>HEX2DEC(Table1[[#This Row],[utf8]])</f>
        <v>128373</v>
      </c>
      <c r="J2055" t="str">
        <f>_xlfn.UNICHAR(HEX2DEC(Table1[[#This Row],[utf8]]))</f>
        <v>🕵</v>
      </c>
      <c r="K2055" s="3" t="str" cm="1">
        <f t="array" ref="K2055">"Case "&amp;wRandomLetter()&amp;wRandomLetter()&amp;I2055&amp;":    UniConst = ChrW(" &amp; I2055 &amp;")"</f>
        <v>Case fj128373:    UniConst = ChrW(128373)</v>
      </c>
    </row>
    <row r="2056" spans="1:11" hidden="1">
      <c r="A2056" t="s">
        <v>1336</v>
      </c>
      <c r="B2056" t="str">
        <f t="shared" si="194"/>
        <v>1F575 200D 2640 FE0F ; unqualified # 🕵‍♀️ E4.0 woman detective</v>
      </c>
      <c r="C2056" t="str">
        <f t="shared" si="195"/>
        <v xml:space="preserve">1F575 200D 2640 FE0F </v>
      </c>
      <c r="D2056">
        <f t="shared" si="196"/>
        <v>21</v>
      </c>
      <c r="E2056" t="str">
        <f t="shared" si="192"/>
        <v xml:space="preserve"> 🕵‍♀️ E4.0 woman detective</v>
      </c>
      <c r="F2056" t="b">
        <f t="shared" si="197"/>
        <v>1</v>
      </c>
      <c r="G2056" t="str">
        <f t="shared" si="193"/>
        <v>1F575</v>
      </c>
      <c r="I2056">
        <f>HEX2DEC(Table1[[#This Row],[utf8]])</f>
        <v>128373</v>
      </c>
      <c r="J2056" t="str">
        <f>_xlfn.UNICHAR(HEX2DEC(Table1[[#This Row],[utf8]]))</f>
        <v>🕵</v>
      </c>
      <c r="K2056" s="3" t="str" cm="1">
        <f t="array" ref="K2056">"Case "&amp;wRandomLetter()&amp;wRandomLetter()&amp;I2056&amp;":    UniConst = ChrW(" &amp; I2056 &amp;")"</f>
        <v>Case Je128373:    UniConst = ChrW(128373)</v>
      </c>
    </row>
    <row r="2057" spans="1:11" hidden="1">
      <c r="A2057" t="s">
        <v>1324</v>
      </c>
      <c r="B2057" t="str">
        <f t="shared" si="194"/>
        <v>1F575 200D 2642 ; unqualified # 🕵‍♂ E4.0 man detective</v>
      </c>
      <c r="C2057" t="str">
        <f t="shared" si="195"/>
        <v xml:space="preserve">1F575 200D 2642 </v>
      </c>
      <c r="D2057">
        <f t="shared" si="196"/>
        <v>16</v>
      </c>
      <c r="E2057" t="str">
        <f t="shared" si="192"/>
        <v xml:space="preserve"> 🕵‍♂ E4.0 man detective</v>
      </c>
      <c r="F2057" t="b">
        <f t="shared" si="197"/>
        <v>1</v>
      </c>
      <c r="G2057" t="str">
        <f t="shared" si="193"/>
        <v>1F575</v>
      </c>
      <c r="I2057">
        <f>HEX2DEC(Table1[[#This Row],[utf8]])</f>
        <v>128373</v>
      </c>
      <c r="J2057" t="str">
        <f>_xlfn.UNICHAR(HEX2DEC(Table1[[#This Row],[utf8]]))</f>
        <v>🕵</v>
      </c>
      <c r="K2057" s="3" t="str" cm="1">
        <f t="array" ref="K2057">"Case "&amp;wRandomLetter()&amp;wRandomLetter()&amp;I2057&amp;":    UniConst = ChrW(" &amp; I2057 &amp;")"</f>
        <v>Case jy128373:    UniConst = ChrW(128373)</v>
      </c>
    </row>
    <row r="2058" spans="1:11" hidden="1">
      <c r="A2058" t="s">
        <v>1322</v>
      </c>
      <c r="B2058" t="str">
        <f t="shared" si="194"/>
        <v>1F575 200D 2642 FE0F ; unqualified # 🕵‍♂️ E4.0 man detective</v>
      </c>
      <c r="C2058" t="str">
        <f t="shared" si="195"/>
        <v xml:space="preserve">1F575 200D 2642 FE0F </v>
      </c>
      <c r="D2058">
        <f t="shared" si="196"/>
        <v>21</v>
      </c>
      <c r="E2058" t="str">
        <f t="shared" si="192"/>
        <v xml:space="preserve"> 🕵‍♂️ E4.0 man detective</v>
      </c>
      <c r="F2058" t="b">
        <f t="shared" si="197"/>
        <v>1</v>
      </c>
      <c r="G2058" t="str">
        <f t="shared" si="193"/>
        <v>1F575</v>
      </c>
      <c r="I2058">
        <f>HEX2DEC(Table1[[#This Row],[utf8]])</f>
        <v>128373</v>
      </c>
      <c r="J2058" t="str">
        <f>_xlfn.UNICHAR(HEX2DEC(Table1[[#This Row],[utf8]]))</f>
        <v>🕵</v>
      </c>
      <c r="K2058" s="3" t="str" cm="1">
        <f t="array" ref="K2058">"Case "&amp;wRandomLetter()&amp;wRandomLetter()&amp;I2058&amp;":    UniConst = ChrW(" &amp; I2058 &amp;")"</f>
        <v>Case XU128373:    UniConst = ChrW(128373)</v>
      </c>
    </row>
    <row r="2059" spans="1:11" hidden="1">
      <c r="A2059" t="s">
        <v>1314</v>
      </c>
      <c r="B2059" t="str">
        <f t="shared" si="194"/>
        <v>1F575 FE0F ; fully-qualified # 🕵️ E0.7 detective</v>
      </c>
      <c r="C2059" t="str">
        <f t="shared" si="195"/>
        <v xml:space="preserve">1F575 FE0F </v>
      </c>
      <c r="D2059">
        <f t="shared" si="196"/>
        <v>11</v>
      </c>
      <c r="E2059" t="str">
        <f t="shared" si="192"/>
        <v xml:space="preserve"> 🕵️ E0.7 detective</v>
      </c>
      <c r="F2059" t="b">
        <f t="shared" si="197"/>
        <v>1</v>
      </c>
      <c r="G2059" t="str">
        <f t="shared" si="193"/>
        <v>1F575</v>
      </c>
      <c r="I2059">
        <f>HEX2DEC(Table1[[#This Row],[utf8]])</f>
        <v>128373</v>
      </c>
      <c r="J2059" t="str">
        <f>_xlfn.UNICHAR(HEX2DEC(Table1[[#This Row],[utf8]]))</f>
        <v>🕵</v>
      </c>
      <c r="K2059" s="3" t="str" cm="1">
        <f t="array" ref="K2059">"Case "&amp;wRandomLetter()&amp;wRandomLetter()&amp;I2059&amp;":    UniConst = ChrW(" &amp; I2059 &amp;")"</f>
        <v>Case hA128373:    UniConst = ChrW(128373)</v>
      </c>
    </row>
    <row r="2060" spans="1:11" hidden="1">
      <c r="A2060" t="s">
        <v>1337</v>
      </c>
      <c r="B2060" t="str">
        <f t="shared" si="194"/>
        <v>1F575 FE0F 200D 2640 ; unqualified # 🕵️‍♀ E4.0 woman detective</v>
      </c>
      <c r="C2060" t="str">
        <f t="shared" si="195"/>
        <v xml:space="preserve">1F575 FE0F 200D 2640 </v>
      </c>
      <c r="D2060">
        <f t="shared" si="196"/>
        <v>21</v>
      </c>
      <c r="E2060" t="str">
        <f t="shared" si="192"/>
        <v xml:space="preserve"> 🕵️‍♀ E4.0 woman detective</v>
      </c>
      <c r="F2060" t="b">
        <f t="shared" si="197"/>
        <v>1</v>
      </c>
      <c r="G2060" t="str">
        <f t="shared" si="193"/>
        <v>1F575</v>
      </c>
      <c r="I2060">
        <f>HEX2DEC(Table1[[#This Row],[utf8]])</f>
        <v>128373</v>
      </c>
      <c r="J2060" t="str">
        <f>_xlfn.UNICHAR(HEX2DEC(Table1[[#This Row],[utf8]]))</f>
        <v>🕵</v>
      </c>
      <c r="K2060" s="3" t="str" cm="1">
        <f t="array" ref="K2060">"Case "&amp;wRandomLetter()&amp;wRandomLetter()&amp;I2060&amp;":    UniConst = ChrW(" &amp; I2060 &amp;")"</f>
        <v>Case Az128373:    UniConst = ChrW(128373)</v>
      </c>
    </row>
    <row r="2061" spans="1:11" hidden="1">
      <c r="A2061" t="s">
        <v>1335</v>
      </c>
      <c r="B2061" t="str">
        <f t="shared" si="194"/>
        <v>1F575 FE0F 200D 2640 FE0F ; fully-qualified # 🕵️‍♀️ E4.0 woman detective</v>
      </c>
      <c r="C2061" t="str">
        <f t="shared" si="195"/>
        <v xml:space="preserve">1F575 FE0F 200D 2640 FE0F </v>
      </c>
      <c r="D2061">
        <f t="shared" si="196"/>
        <v>26</v>
      </c>
      <c r="E2061" t="str">
        <f t="shared" si="192"/>
        <v xml:space="preserve"> 🕵️‍♀️ E4.0 woman detective</v>
      </c>
      <c r="F2061" t="b">
        <f t="shared" si="197"/>
        <v>1</v>
      </c>
      <c r="G2061" t="str">
        <f t="shared" si="193"/>
        <v>1F575</v>
      </c>
      <c r="I2061">
        <f>HEX2DEC(Table1[[#This Row],[utf8]])</f>
        <v>128373</v>
      </c>
      <c r="J2061" t="str">
        <f>_xlfn.UNICHAR(HEX2DEC(Table1[[#This Row],[utf8]]))</f>
        <v>🕵</v>
      </c>
      <c r="K2061" s="3" t="str" cm="1">
        <f t="array" ref="K2061">"Case "&amp;wRandomLetter()&amp;wRandomLetter()&amp;I2061&amp;":    UniConst = ChrW(" &amp; I2061 &amp;")"</f>
        <v>Case AQ128373:    UniConst = ChrW(128373)</v>
      </c>
    </row>
    <row r="2062" spans="1:11" hidden="1">
      <c r="A2062" t="s">
        <v>1323</v>
      </c>
      <c r="B2062" t="str">
        <f t="shared" si="194"/>
        <v>1F575 FE0F 200D 2642 ; unqualified # 🕵️‍♂ E4.0 man detective</v>
      </c>
      <c r="C2062" t="str">
        <f t="shared" si="195"/>
        <v xml:space="preserve">1F575 FE0F 200D 2642 </v>
      </c>
      <c r="D2062">
        <f t="shared" si="196"/>
        <v>21</v>
      </c>
      <c r="E2062" t="str">
        <f t="shared" si="192"/>
        <v xml:space="preserve"> 🕵️‍♂ E4.0 man detective</v>
      </c>
      <c r="F2062" t="b">
        <f t="shared" si="197"/>
        <v>1</v>
      </c>
      <c r="G2062" t="str">
        <f t="shared" si="193"/>
        <v>1F575</v>
      </c>
      <c r="I2062">
        <f>HEX2DEC(Table1[[#This Row],[utf8]])</f>
        <v>128373</v>
      </c>
      <c r="J2062" t="str">
        <f>_xlfn.UNICHAR(HEX2DEC(Table1[[#This Row],[utf8]]))</f>
        <v>🕵</v>
      </c>
      <c r="K2062" s="3" t="str" cm="1">
        <f t="array" ref="K2062">"Case "&amp;wRandomLetter()&amp;wRandomLetter()&amp;I2062&amp;":    UniConst = ChrW(" &amp; I2062 &amp;")"</f>
        <v>Case jg128373:    UniConst = ChrW(128373)</v>
      </c>
    </row>
    <row r="2063" spans="1:11" hidden="1">
      <c r="A2063" t="s">
        <v>1321</v>
      </c>
      <c r="B2063" t="str">
        <f t="shared" si="194"/>
        <v>1F575 FE0F 200D 2642 FE0F ; fully-qualified # 🕵️‍♂️ E4.0 man detective</v>
      </c>
      <c r="C2063" t="str">
        <f t="shared" si="195"/>
        <v xml:space="preserve">1F575 FE0F 200D 2642 FE0F </v>
      </c>
      <c r="D2063">
        <f t="shared" si="196"/>
        <v>26</v>
      </c>
      <c r="E2063" t="str">
        <f t="shared" si="192"/>
        <v xml:space="preserve"> 🕵️‍♂️ E4.0 man detective</v>
      </c>
      <c r="F2063" t="b">
        <f t="shared" si="197"/>
        <v>1</v>
      </c>
      <c r="G2063" t="str">
        <f t="shared" si="193"/>
        <v>1F575</v>
      </c>
      <c r="I2063">
        <f>HEX2DEC(Table1[[#This Row],[utf8]])</f>
        <v>128373</v>
      </c>
      <c r="J2063" t="str">
        <f>_xlfn.UNICHAR(HEX2DEC(Table1[[#This Row],[utf8]]))</f>
        <v>🕵</v>
      </c>
      <c r="K2063" s="3" t="str" cm="1">
        <f t="array" ref="K2063">"Case "&amp;wRandomLetter()&amp;wRandomLetter()&amp;I2063&amp;":    UniConst = ChrW(" &amp; I2063 &amp;")"</f>
        <v>Case RW128373:    UniConst = ChrW(128373)</v>
      </c>
    </row>
    <row r="2064" spans="1:11" hidden="1">
      <c r="A2064" t="s">
        <v>3805</v>
      </c>
      <c r="B2064" t="str">
        <f t="shared" si="194"/>
        <v>1F576 ; unqualified # 🕶 E0.7 sunglasses</v>
      </c>
      <c r="C2064" t="str">
        <f t="shared" si="195"/>
        <v xml:space="preserve">1F576 </v>
      </c>
      <c r="D2064">
        <f t="shared" si="196"/>
        <v>6</v>
      </c>
      <c r="E2064" t="str">
        <f t="shared" si="192"/>
        <v xml:space="preserve"> 🕶 E0.7 sunglasses</v>
      </c>
      <c r="F2064" t="b">
        <f t="shared" si="197"/>
        <v>1</v>
      </c>
      <c r="G2064" t="str">
        <f t="shared" si="193"/>
        <v>1F576</v>
      </c>
      <c r="I2064">
        <f>HEX2DEC(Table1[[#This Row],[utf8]])</f>
        <v>128374</v>
      </c>
      <c r="J2064" t="str">
        <f>_xlfn.UNICHAR(HEX2DEC(Table1[[#This Row],[utf8]]))</f>
        <v>🕶</v>
      </c>
      <c r="K2064" s="3" t="str" cm="1">
        <f t="array" ref="K2064">"Case "&amp;wRandomLetter()&amp;wRandomLetter()&amp;I2064&amp;":    UniConst = ChrW(" &amp; I2064 &amp;")"</f>
        <v>Case hm128374:    UniConst = ChrW(128374)</v>
      </c>
    </row>
    <row r="2065" spans="1:11" hidden="1">
      <c r="A2065" t="s">
        <v>3804</v>
      </c>
      <c r="B2065" t="str">
        <f t="shared" si="194"/>
        <v>1F576 FE0F ; fully-qualified # 🕶️ E0.7 sunglasses</v>
      </c>
      <c r="C2065" t="str">
        <f t="shared" si="195"/>
        <v xml:space="preserve">1F576 FE0F </v>
      </c>
      <c r="D2065">
        <f t="shared" si="196"/>
        <v>11</v>
      </c>
      <c r="E2065" t="str">
        <f t="shared" si="192"/>
        <v xml:space="preserve"> 🕶️ E0.7 sunglasses</v>
      </c>
      <c r="F2065" t="b">
        <f t="shared" si="197"/>
        <v>1</v>
      </c>
      <c r="G2065" t="str">
        <f t="shared" si="193"/>
        <v>1F576</v>
      </c>
      <c r="I2065">
        <f>HEX2DEC(Table1[[#This Row],[utf8]])</f>
        <v>128374</v>
      </c>
      <c r="J2065" t="str">
        <f>_xlfn.UNICHAR(HEX2DEC(Table1[[#This Row],[utf8]]))</f>
        <v>🕶</v>
      </c>
      <c r="K2065" s="3" t="str" cm="1">
        <f t="array" ref="K2065">"Case "&amp;wRandomLetter()&amp;wRandomLetter()&amp;I2065&amp;":    UniConst = ChrW(" &amp; I2065 &amp;")"</f>
        <v>Case So128374:    UniConst = ChrW(128374)</v>
      </c>
    </row>
    <row r="2066" spans="1:11" hidden="1">
      <c r="A2066" t="s">
        <v>3241</v>
      </c>
      <c r="B2066" t="str">
        <f t="shared" si="194"/>
        <v>1F577 ; unqualified # 🕷 E0.7 spider</v>
      </c>
      <c r="C2066" t="str">
        <f t="shared" si="195"/>
        <v xml:space="preserve">1F577 </v>
      </c>
      <c r="D2066">
        <f t="shared" si="196"/>
        <v>6</v>
      </c>
      <c r="E2066" t="str">
        <f t="shared" si="192"/>
        <v xml:space="preserve"> 🕷 E0.7 spider</v>
      </c>
      <c r="F2066" t="b">
        <f t="shared" si="197"/>
        <v>1</v>
      </c>
      <c r="G2066" t="str">
        <f t="shared" si="193"/>
        <v>1F577</v>
      </c>
      <c r="I2066">
        <f>HEX2DEC(Table1[[#This Row],[utf8]])</f>
        <v>128375</v>
      </c>
      <c r="J2066" t="str">
        <f>_xlfn.UNICHAR(HEX2DEC(Table1[[#This Row],[utf8]]))</f>
        <v>🕷</v>
      </c>
      <c r="K2066" s="3" t="str" cm="1">
        <f t="array" ref="K2066">"Case "&amp;wRandomLetter()&amp;wRandomLetter()&amp;I2066&amp;":    UniConst = ChrW(" &amp; I2066 &amp;")"</f>
        <v>Case bb128375:    UniConst = ChrW(128375)</v>
      </c>
    </row>
    <row r="2067" spans="1:11" hidden="1">
      <c r="A2067" t="s">
        <v>3240</v>
      </c>
      <c r="B2067" t="str">
        <f t="shared" si="194"/>
        <v>1F577 FE0F ; fully-qualified # 🕷️ E0.7 spider</v>
      </c>
      <c r="C2067" t="str">
        <f t="shared" si="195"/>
        <v xml:space="preserve">1F577 FE0F </v>
      </c>
      <c r="D2067">
        <f t="shared" si="196"/>
        <v>11</v>
      </c>
      <c r="E2067" t="str">
        <f t="shared" si="192"/>
        <v xml:space="preserve"> 🕷️ E0.7 spider</v>
      </c>
      <c r="F2067" t="b">
        <f t="shared" si="197"/>
        <v>1</v>
      </c>
      <c r="G2067" t="str">
        <f t="shared" si="193"/>
        <v>1F577</v>
      </c>
      <c r="I2067">
        <f>HEX2DEC(Table1[[#This Row],[utf8]])</f>
        <v>128375</v>
      </c>
      <c r="J2067" t="str">
        <f>_xlfn.UNICHAR(HEX2DEC(Table1[[#This Row],[utf8]]))</f>
        <v>🕷</v>
      </c>
      <c r="K2067" s="3" t="str" cm="1">
        <f t="array" ref="K2067">"Case "&amp;wRandomLetter()&amp;wRandomLetter()&amp;I2067&amp;":    UniConst = ChrW(" &amp; I2067 &amp;")"</f>
        <v>Case bC128375:    UniConst = ChrW(128375)</v>
      </c>
    </row>
    <row r="2068" spans="1:11" hidden="1">
      <c r="A2068" t="s">
        <v>3243</v>
      </c>
      <c r="B2068" t="str">
        <f t="shared" si="194"/>
        <v>1F578 ; unqualified # 🕸 E0.7 spider web</v>
      </c>
      <c r="C2068" t="str">
        <f t="shared" si="195"/>
        <v xml:space="preserve">1F578 </v>
      </c>
      <c r="D2068">
        <f t="shared" si="196"/>
        <v>6</v>
      </c>
      <c r="E2068" t="str">
        <f t="shared" si="192"/>
        <v xml:space="preserve"> 🕸 E0.7 spider web</v>
      </c>
      <c r="F2068" t="b">
        <f t="shared" si="197"/>
        <v>1</v>
      </c>
      <c r="G2068" t="str">
        <f t="shared" si="193"/>
        <v>1F578</v>
      </c>
      <c r="I2068">
        <f>HEX2DEC(Table1[[#This Row],[utf8]])</f>
        <v>128376</v>
      </c>
      <c r="J2068" t="str">
        <f>_xlfn.UNICHAR(HEX2DEC(Table1[[#This Row],[utf8]]))</f>
        <v>🕸</v>
      </c>
      <c r="K2068" s="3" t="str" cm="1">
        <f t="array" ref="K2068">"Case "&amp;wRandomLetter()&amp;wRandomLetter()&amp;I2068&amp;":    UniConst = ChrW(" &amp; I2068 &amp;")"</f>
        <v>Case mc128376:    UniConst = ChrW(128376)</v>
      </c>
    </row>
    <row r="2069" spans="1:11" hidden="1">
      <c r="A2069" t="s">
        <v>3242</v>
      </c>
      <c r="B2069" t="str">
        <f t="shared" si="194"/>
        <v>1F578 FE0F ; fully-qualified # 🕸️ E0.7 spider web</v>
      </c>
      <c r="C2069" t="str">
        <f t="shared" si="195"/>
        <v xml:space="preserve">1F578 FE0F </v>
      </c>
      <c r="D2069">
        <f t="shared" si="196"/>
        <v>11</v>
      </c>
      <c r="E2069" t="str">
        <f t="shared" si="192"/>
        <v xml:space="preserve"> 🕸️ E0.7 spider web</v>
      </c>
      <c r="F2069" t="b">
        <f t="shared" si="197"/>
        <v>1</v>
      </c>
      <c r="G2069" t="str">
        <f t="shared" si="193"/>
        <v>1F578</v>
      </c>
      <c r="I2069">
        <f>HEX2DEC(Table1[[#This Row],[utf8]])</f>
        <v>128376</v>
      </c>
      <c r="J2069" t="str">
        <f>_xlfn.UNICHAR(HEX2DEC(Table1[[#This Row],[utf8]]))</f>
        <v>🕸</v>
      </c>
      <c r="K2069" s="3" t="str" cm="1">
        <f t="array" ref="K2069">"Case "&amp;wRandomLetter()&amp;wRandomLetter()&amp;I2069&amp;":    UniConst = ChrW(" &amp; I2069 &amp;")"</f>
        <v>Case ln128376:    UniConst = ChrW(128376)</v>
      </c>
    </row>
    <row r="2070" spans="1:11" hidden="1">
      <c r="A2070" t="s">
        <v>3770</v>
      </c>
      <c r="B2070" t="str">
        <f t="shared" si="194"/>
        <v>1F579 ; unqualified # 🕹 E0.7 joystick</v>
      </c>
      <c r="C2070" t="str">
        <f t="shared" si="195"/>
        <v xml:space="preserve">1F579 </v>
      </c>
      <c r="D2070">
        <f t="shared" si="196"/>
        <v>6</v>
      </c>
      <c r="E2070" t="str">
        <f t="shared" si="192"/>
        <v xml:space="preserve"> 🕹 E0.7 joystick</v>
      </c>
      <c r="F2070" t="b">
        <f t="shared" si="197"/>
        <v>1</v>
      </c>
      <c r="G2070" t="str">
        <f t="shared" si="193"/>
        <v>1F579</v>
      </c>
      <c r="I2070">
        <f>HEX2DEC(Table1[[#This Row],[utf8]])</f>
        <v>128377</v>
      </c>
      <c r="J2070" t="str">
        <f>_xlfn.UNICHAR(HEX2DEC(Table1[[#This Row],[utf8]]))</f>
        <v>🕹</v>
      </c>
      <c r="K2070" s="3" t="str" cm="1">
        <f t="array" ref="K2070">"Case "&amp;wRandomLetter()&amp;wRandomLetter()&amp;I2070&amp;":    UniConst = ChrW(" &amp; I2070 &amp;")"</f>
        <v>Case zq128377:    UniConst = ChrW(128377)</v>
      </c>
    </row>
    <row r="2071" spans="1:11" hidden="1">
      <c r="A2071" t="s">
        <v>3769</v>
      </c>
      <c r="B2071" t="str">
        <f t="shared" si="194"/>
        <v>1F579 FE0F ; fully-qualified # 🕹️ E0.7 joystick</v>
      </c>
      <c r="C2071" t="str">
        <f t="shared" si="195"/>
        <v xml:space="preserve">1F579 FE0F </v>
      </c>
      <c r="D2071">
        <f t="shared" si="196"/>
        <v>11</v>
      </c>
      <c r="E2071" t="str">
        <f t="shared" si="192"/>
        <v xml:space="preserve"> 🕹️ E0.7 joystick</v>
      </c>
      <c r="F2071" t="b">
        <f t="shared" si="197"/>
        <v>1</v>
      </c>
      <c r="G2071" t="str">
        <f t="shared" si="193"/>
        <v>1F579</v>
      </c>
      <c r="I2071">
        <f>HEX2DEC(Table1[[#This Row],[utf8]])</f>
        <v>128377</v>
      </c>
      <c r="J2071" t="str">
        <f>_xlfn.UNICHAR(HEX2DEC(Table1[[#This Row],[utf8]]))</f>
        <v>🕹</v>
      </c>
      <c r="K2071" s="3" t="str" cm="1">
        <f t="array" ref="K2071">"Case "&amp;wRandomLetter()&amp;wRandomLetter()&amp;I2071&amp;":    UniConst = ChrW(" &amp; I2071 &amp;")"</f>
        <v>Case gD128377:    UniConst = ChrW(128377)</v>
      </c>
    </row>
    <row r="2072" spans="1:11" hidden="1">
      <c r="A2072" t="s">
        <v>2045</v>
      </c>
      <c r="B2072" t="str">
        <f t="shared" si="194"/>
        <v>1F57A ; fully-qualified # 🕺 E3.0 man dancing</v>
      </c>
      <c r="C2072" t="str">
        <f t="shared" si="195"/>
        <v xml:space="preserve">1F57A </v>
      </c>
      <c r="D2072">
        <f t="shared" si="196"/>
        <v>6</v>
      </c>
      <c r="E2072" t="str">
        <f t="shared" si="192"/>
        <v xml:space="preserve"> 🕺 E3.0 man dancing</v>
      </c>
      <c r="F2072" t="b">
        <f t="shared" si="197"/>
        <v>1</v>
      </c>
      <c r="G2072" t="str">
        <f t="shared" si="193"/>
        <v>1F57A</v>
      </c>
      <c r="I2072">
        <f>HEX2DEC(Table1[[#This Row],[utf8]])</f>
        <v>128378</v>
      </c>
      <c r="J2072" t="str">
        <f>_xlfn.UNICHAR(HEX2DEC(Table1[[#This Row],[utf8]]))</f>
        <v>🕺</v>
      </c>
      <c r="K2072" s="3" t="str" cm="1">
        <f t="array" ref="K2072">"Case "&amp;wRandomLetter()&amp;wRandomLetter()&amp;I2072&amp;":    UniConst = ChrW(" &amp; I2072 &amp;")"</f>
        <v>Case Gh128378:    UniConst = ChrW(128378)</v>
      </c>
    </row>
    <row r="2073" spans="1:11" hidden="1">
      <c r="A2073" t="s">
        <v>2046</v>
      </c>
      <c r="B2073" t="str">
        <f t="shared" si="194"/>
        <v>1F57A 1F3FB ; fully-qualified # 🕺🏻 E3.0 man dancing: light skin tone</v>
      </c>
      <c r="C2073" t="str">
        <f t="shared" si="195"/>
        <v xml:space="preserve">1F57A 1F3FB </v>
      </c>
      <c r="D2073">
        <f t="shared" si="196"/>
        <v>12</v>
      </c>
      <c r="E2073" t="str">
        <f t="shared" si="192"/>
        <v xml:space="preserve"> 🕺🏻 E3.0 man dancing: light skin tone</v>
      </c>
      <c r="F2073" t="b">
        <f t="shared" si="197"/>
        <v>1</v>
      </c>
      <c r="G2073" t="str">
        <f t="shared" si="193"/>
        <v>1F57A</v>
      </c>
      <c r="I2073">
        <f>HEX2DEC(Table1[[#This Row],[utf8]])</f>
        <v>128378</v>
      </c>
      <c r="J2073" t="str">
        <f>_xlfn.UNICHAR(HEX2DEC(Table1[[#This Row],[utf8]]))</f>
        <v>🕺</v>
      </c>
      <c r="K2073" s="3" t="str" cm="1">
        <f t="array" ref="K2073">"Case "&amp;wRandomLetter()&amp;wRandomLetter()&amp;I2073&amp;":    UniConst = ChrW(" &amp; I2073 &amp;")"</f>
        <v>Case Zy128378:    UniConst = ChrW(128378)</v>
      </c>
    </row>
    <row r="2074" spans="1:11" hidden="1">
      <c r="A2074" t="s">
        <v>2047</v>
      </c>
      <c r="B2074" t="str">
        <f t="shared" si="194"/>
        <v>1F57A 1F3FC ; fully-qualified # 🕺🏼 E3.0 man dancing: medium-light skin tone</v>
      </c>
      <c r="C2074" t="str">
        <f t="shared" si="195"/>
        <v xml:space="preserve">1F57A 1F3FC </v>
      </c>
      <c r="D2074">
        <f t="shared" si="196"/>
        <v>12</v>
      </c>
      <c r="E2074" t="str">
        <f t="shared" si="192"/>
        <v xml:space="preserve"> 🕺🏼 E3.0 man dancing: medium-light skin tone</v>
      </c>
      <c r="F2074" t="b">
        <f t="shared" si="197"/>
        <v>1</v>
      </c>
      <c r="G2074" t="str">
        <f t="shared" si="193"/>
        <v>1F57A</v>
      </c>
      <c r="I2074">
        <f>HEX2DEC(Table1[[#This Row],[utf8]])</f>
        <v>128378</v>
      </c>
      <c r="J2074" t="str">
        <f>_xlfn.UNICHAR(HEX2DEC(Table1[[#This Row],[utf8]]))</f>
        <v>🕺</v>
      </c>
      <c r="K2074" s="3" t="str" cm="1">
        <f t="array" ref="K2074">"Case "&amp;wRandomLetter()&amp;wRandomLetter()&amp;I2074&amp;":    UniConst = ChrW(" &amp; I2074 &amp;")"</f>
        <v>Case NJ128378:    UniConst = ChrW(128378)</v>
      </c>
    </row>
    <row r="2075" spans="1:11" hidden="1">
      <c r="A2075" t="s">
        <v>2048</v>
      </c>
      <c r="B2075" t="str">
        <f t="shared" si="194"/>
        <v>1F57A 1F3FD ; fully-qualified # 🕺🏽 E3.0 man dancing: medium skin tone</v>
      </c>
      <c r="C2075" t="str">
        <f t="shared" si="195"/>
        <v xml:space="preserve">1F57A 1F3FD </v>
      </c>
      <c r="D2075">
        <f t="shared" si="196"/>
        <v>12</v>
      </c>
      <c r="E2075" t="str">
        <f t="shared" si="192"/>
        <v xml:space="preserve"> 🕺🏽 E3.0 man dancing: medium skin tone</v>
      </c>
      <c r="F2075" t="b">
        <f t="shared" si="197"/>
        <v>1</v>
      </c>
      <c r="G2075" t="str">
        <f t="shared" si="193"/>
        <v>1F57A</v>
      </c>
      <c r="I2075">
        <f>HEX2DEC(Table1[[#This Row],[utf8]])</f>
        <v>128378</v>
      </c>
      <c r="J2075" t="str">
        <f>_xlfn.UNICHAR(HEX2DEC(Table1[[#This Row],[utf8]]))</f>
        <v>🕺</v>
      </c>
      <c r="K2075" s="3" t="str" cm="1">
        <f t="array" ref="K2075">"Case "&amp;wRandomLetter()&amp;wRandomLetter()&amp;I2075&amp;":    UniConst = ChrW(" &amp; I2075 &amp;")"</f>
        <v>Case fG128378:    UniConst = ChrW(128378)</v>
      </c>
    </row>
    <row r="2076" spans="1:11" hidden="1">
      <c r="A2076" t="s">
        <v>2049</v>
      </c>
      <c r="B2076" t="str">
        <f t="shared" si="194"/>
        <v>1F57A 1F3FE ; fully-qualified # 🕺🏾 E3.0 man dancing: medium-dark skin tone</v>
      </c>
      <c r="C2076" t="str">
        <f t="shared" si="195"/>
        <v xml:space="preserve">1F57A 1F3FE </v>
      </c>
      <c r="D2076">
        <f t="shared" si="196"/>
        <v>12</v>
      </c>
      <c r="E2076" t="str">
        <f t="shared" si="192"/>
        <v xml:space="preserve"> 🕺🏾 E3.0 man dancing: medium-dark skin tone</v>
      </c>
      <c r="F2076" t="b">
        <f t="shared" si="197"/>
        <v>1</v>
      </c>
      <c r="G2076" t="str">
        <f t="shared" si="193"/>
        <v>1F57A</v>
      </c>
      <c r="I2076">
        <f>HEX2DEC(Table1[[#This Row],[utf8]])</f>
        <v>128378</v>
      </c>
      <c r="J2076" t="str">
        <f>_xlfn.UNICHAR(HEX2DEC(Table1[[#This Row],[utf8]]))</f>
        <v>🕺</v>
      </c>
      <c r="K2076" s="3" t="str" cm="1">
        <f t="array" ref="K2076">"Case "&amp;wRandomLetter()&amp;wRandomLetter()&amp;I2076&amp;":    UniConst = ChrW(" &amp; I2076 &amp;")"</f>
        <v>Case Gx128378:    UniConst = ChrW(128378)</v>
      </c>
    </row>
    <row r="2077" spans="1:11" hidden="1">
      <c r="A2077" t="s">
        <v>2050</v>
      </c>
      <c r="B2077" t="str">
        <f t="shared" si="194"/>
        <v>1F57A 1F3FF ; fully-qualified # 🕺🏿 E3.0 man dancing: dark skin tone</v>
      </c>
      <c r="C2077" t="str">
        <f t="shared" si="195"/>
        <v xml:space="preserve">1F57A 1F3FF </v>
      </c>
      <c r="D2077">
        <f t="shared" si="196"/>
        <v>12</v>
      </c>
      <c r="E2077" t="str">
        <f t="shared" si="192"/>
        <v xml:space="preserve"> 🕺🏿 E3.0 man dancing: dark skin tone</v>
      </c>
      <c r="F2077" t="b">
        <f t="shared" si="197"/>
        <v>1</v>
      </c>
      <c r="G2077" t="str">
        <f t="shared" si="193"/>
        <v>1F57A</v>
      </c>
      <c r="I2077">
        <f>HEX2DEC(Table1[[#This Row],[utf8]])</f>
        <v>128378</v>
      </c>
      <c r="J2077" t="str">
        <f>_xlfn.UNICHAR(HEX2DEC(Table1[[#This Row],[utf8]]))</f>
        <v>🕺</v>
      </c>
      <c r="K2077" s="3" t="str" cm="1">
        <f t="array" ref="K2077">"Case "&amp;wRandomLetter()&amp;wRandomLetter()&amp;I2077&amp;":    UniConst = ChrW(" &amp; I2077 &amp;")"</f>
        <v>Case fc128378:    UniConst = ChrW(128378)</v>
      </c>
    </row>
    <row r="2078" spans="1:11" hidden="1">
      <c r="A2078" t="s">
        <v>4013</v>
      </c>
      <c r="B2078" t="str">
        <f t="shared" si="194"/>
        <v>1F587 ; unqualified # 🖇 E0.7 linked paperclips</v>
      </c>
      <c r="C2078" t="str">
        <f t="shared" si="195"/>
        <v xml:space="preserve">1F587 </v>
      </c>
      <c r="D2078">
        <f t="shared" si="196"/>
        <v>6</v>
      </c>
      <c r="E2078" t="str">
        <f t="shared" si="192"/>
        <v xml:space="preserve"> 🖇 E0.7 linked paperclips</v>
      </c>
      <c r="F2078" t="b">
        <f t="shared" si="197"/>
        <v>1</v>
      </c>
      <c r="G2078" t="str">
        <f t="shared" si="193"/>
        <v>1F587</v>
      </c>
      <c r="I2078">
        <f>HEX2DEC(Table1[[#This Row],[utf8]])</f>
        <v>128391</v>
      </c>
      <c r="J2078" t="str">
        <f>_xlfn.UNICHAR(HEX2DEC(Table1[[#This Row],[utf8]]))</f>
        <v>🖇</v>
      </c>
      <c r="K2078" s="3" t="str" cm="1">
        <f t="array" ref="K2078">"Case "&amp;wRandomLetter()&amp;wRandomLetter()&amp;I2078&amp;":    UniConst = ChrW(" &amp; I2078 &amp;")"</f>
        <v>Case uU128391:    UniConst = ChrW(128391)</v>
      </c>
    </row>
    <row r="2079" spans="1:11" hidden="1">
      <c r="A2079" t="s">
        <v>4012</v>
      </c>
      <c r="B2079" t="str">
        <f t="shared" si="194"/>
        <v>1F587 FE0F ; fully-qualified # 🖇️ E0.7 linked paperclips</v>
      </c>
      <c r="C2079" t="str">
        <f t="shared" si="195"/>
        <v xml:space="preserve">1F587 FE0F </v>
      </c>
      <c r="D2079">
        <f t="shared" si="196"/>
        <v>11</v>
      </c>
      <c r="E2079" t="str">
        <f t="shared" si="192"/>
        <v xml:space="preserve"> 🖇️ E0.7 linked paperclips</v>
      </c>
      <c r="F2079" t="b">
        <f t="shared" si="197"/>
        <v>1</v>
      </c>
      <c r="G2079" t="str">
        <f t="shared" si="193"/>
        <v>1F587</v>
      </c>
      <c r="I2079">
        <f>HEX2DEC(Table1[[#This Row],[utf8]])</f>
        <v>128391</v>
      </c>
      <c r="J2079" t="str">
        <f>_xlfn.UNICHAR(HEX2DEC(Table1[[#This Row],[utf8]]))</f>
        <v>🖇</v>
      </c>
      <c r="K2079" s="3" t="str" cm="1">
        <f t="array" ref="K2079">"Case "&amp;wRandomLetter()&amp;wRandomLetter()&amp;I2079&amp;":    UniConst = ChrW(" &amp; I2079 &amp;")"</f>
        <v>Case iu128391:    UniConst = ChrW(128391)</v>
      </c>
    </row>
    <row r="2080" spans="1:11" hidden="1">
      <c r="A2080" t="s">
        <v>3986</v>
      </c>
      <c r="B2080" t="str">
        <f t="shared" si="194"/>
        <v>1F58A ; unqualified # 🖊 E0.7 pen</v>
      </c>
      <c r="C2080" t="str">
        <f t="shared" si="195"/>
        <v xml:space="preserve">1F58A </v>
      </c>
      <c r="D2080">
        <f t="shared" si="196"/>
        <v>6</v>
      </c>
      <c r="E2080" t="str">
        <f t="shared" si="192"/>
        <v xml:space="preserve"> 🖊 E0.7 pen</v>
      </c>
      <c r="F2080" t="b">
        <f t="shared" si="197"/>
        <v>1</v>
      </c>
      <c r="G2080" t="str">
        <f t="shared" si="193"/>
        <v>1F58A</v>
      </c>
      <c r="I2080">
        <f>HEX2DEC(Table1[[#This Row],[utf8]])</f>
        <v>128394</v>
      </c>
      <c r="J2080" t="str">
        <f>_xlfn.UNICHAR(HEX2DEC(Table1[[#This Row],[utf8]]))</f>
        <v>🖊</v>
      </c>
      <c r="K2080" s="3" t="str" cm="1">
        <f t="array" ref="K2080">"Case "&amp;wRandomLetter()&amp;wRandomLetter()&amp;I2080&amp;":    UniConst = ChrW(" &amp; I2080 &amp;")"</f>
        <v>Case eh128394:    UniConst = ChrW(128394)</v>
      </c>
    </row>
    <row r="2081" spans="1:11" hidden="1">
      <c r="A2081" t="s">
        <v>3985</v>
      </c>
      <c r="B2081" t="str">
        <f t="shared" si="194"/>
        <v>1F58A FE0F ; fully-qualified # 🖊️ E0.7 pen</v>
      </c>
      <c r="C2081" t="str">
        <f t="shared" si="195"/>
        <v xml:space="preserve">1F58A FE0F </v>
      </c>
      <c r="D2081">
        <f t="shared" si="196"/>
        <v>11</v>
      </c>
      <c r="E2081" t="str">
        <f t="shared" si="192"/>
        <v xml:space="preserve"> 🖊️ E0.7 pen</v>
      </c>
      <c r="F2081" t="b">
        <f t="shared" si="197"/>
        <v>1</v>
      </c>
      <c r="G2081" t="str">
        <f t="shared" si="193"/>
        <v>1F58A</v>
      </c>
      <c r="I2081">
        <f>HEX2DEC(Table1[[#This Row],[utf8]])</f>
        <v>128394</v>
      </c>
      <c r="J2081" t="str">
        <f>_xlfn.UNICHAR(HEX2DEC(Table1[[#This Row],[utf8]]))</f>
        <v>🖊</v>
      </c>
      <c r="K2081" s="3" t="str" cm="1">
        <f t="array" ref="K2081">"Case "&amp;wRandomLetter()&amp;wRandomLetter()&amp;I2081&amp;":    UniConst = ChrW(" &amp; I2081 &amp;")"</f>
        <v>Case uS128394:    UniConst = ChrW(128394)</v>
      </c>
    </row>
    <row r="2082" spans="1:11" hidden="1">
      <c r="A2082" t="s">
        <v>3984</v>
      </c>
      <c r="B2082" t="str">
        <f t="shared" si="194"/>
        <v>1F58B ; unqualified # 🖋 E0.7 fountain pen</v>
      </c>
      <c r="C2082" t="str">
        <f t="shared" si="195"/>
        <v xml:space="preserve">1F58B </v>
      </c>
      <c r="D2082">
        <f t="shared" si="196"/>
        <v>6</v>
      </c>
      <c r="E2082" t="str">
        <f t="shared" si="192"/>
        <v xml:space="preserve"> 🖋 E0.7 fountain pen</v>
      </c>
      <c r="F2082" t="b">
        <f t="shared" si="197"/>
        <v>1</v>
      </c>
      <c r="G2082" t="str">
        <f t="shared" si="193"/>
        <v>1F58B</v>
      </c>
      <c r="I2082">
        <f>HEX2DEC(Table1[[#This Row],[utf8]])</f>
        <v>128395</v>
      </c>
      <c r="J2082" t="str">
        <f>_xlfn.UNICHAR(HEX2DEC(Table1[[#This Row],[utf8]]))</f>
        <v>🖋</v>
      </c>
      <c r="K2082" s="3" t="str" cm="1">
        <f t="array" ref="K2082">"Case "&amp;wRandomLetter()&amp;wRandomLetter()&amp;I2082&amp;":    UniConst = ChrW(" &amp; I2082 &amp;")"</f>
        <v>Case VA128395:    UniConst = ChrW(128395)</v>
      </c>
    </row>
    <row r="2083" spans="1:11" hidden="1">
      <c r="A2083" t="s">
        <v>3983</v>
      </c>
      <c r="B2083" t="str">
        <f t="shared" si="194"/>
        <v>1F58B FE0F ; fully-qualified # 🖋️ E0.7 fountain pen</v>
      </c>
      <c r="C2083" t="str">
        <f t="shared" si="195"/>
        <v xml:space="preserve">1F58B FE0F </v>
      </c>
      <c r="D2083">
        <f t="shared" si="196"/>
        <v>11</v>
      </c>
      <c r="E2083" t="str">
        <f t="shared" si="192"/>
        <v xml:space="preserve"> 🖋️ E0.7 fountain pen</v>
      </c>
      <c r="F2083" t="b">
        <f t="shared" si="197"/>
        <v>1</v>
      </c>
      <c r="G2083" t="str">
        <f t="shared" si="193"/>
        <v>1F58B</v>
      </c>
      <c r="I2083">
        <f>HEX2DEC(Table1[[#This Row],[utf8]])</f>
        <v>128395</v>
      </c>
      <c r="J2083" t="str">
        <f>_xlfn.UNICHAR(HEX2DEC(Table1[[#This Row],[utf8]]))</f>
        <v>🖋</v>
      </c>
      <c r="K2083" s="3" t="str" cm="1">
        <f t="array" ref="K2083">"Case "&amp;wRandomLetter()&amp;wRandomLetter()&amp;I2083&amp;":    UniConst = ChrW(" &amp; I2083 &amp;")"</f>
        <v>Case KA128395:    UniConst = ChrW(128395)</v>
      </c>
    </row>
    <row r="2084" spans="1:11" hidden="1">
      <c r="A2084" t="s">
        <v>3988</v>
      </c>
      <c r="B2084" t="str">
        <f t="shared" si="194"/>
        <v>1F58C ; unqualified # 🖌 E0.7 paintbrush</v>
      </c>
      <c r="C2084" t="str">
        <f t="shared" si="195"/>
        <v xml:space="preserve">1F58C </v>
      </c>
      <c r="D2084">
        <f t="shared" si="196"/>
        <v>6</v>
      </c>
      <c r="E2084" t="str">
        <f t="shared" si="192"/>
        <v xml:space="preserve"> 🖌 E0.7 paintbrush</v>
      </c>
      <c r="F2084" t="b">
        <f t="shared" si="197"/>
        <v>1</v>
      </c>
      <c r="G2084" t="str">
        <f t="shared" si="193"/>
        <v>1F58C</v>
      </c>
      <c r="I2084">
        <f>HEX2DEC(Table1[[#This Row],[utf8]])</f>
        <v>128396</v>
      </c>
      <c r="J2084" t="str">
        <f>_xlfn.UNICHAR(HEX2DEC(Table1[[#This Row],[utf8]]))</f>
        <v>🖌</v>
      </c>
      <c r="K2084" s="3" t="str" cm="1">
        <f t="array" ref="K2084">"Case "&amp;wRandomLetter()&amp;wRandomLetter()&amp;I2084&amp;":    UniConst = ChrW(" &amp; I2084 &amp;")"</f>
        <v>Case Ja128396:    UniConst = ChrW(128396)</v>
      </c>
    </row>
    <row r="2085" spans="1:11" hidden="1">
      <c r="A2085" t="s">
        <v>3987</v>
      </c>
      <c r="B2085" t="str">
        <f t="shared" si="194"/>
        <v>1F58C FE0F ; fully-qualified # 🖌️ E0.7 paintbrush</v>
      </c>
      <c r="C2085" t="str">
        <f t="shared" si="195"/>
        <v xml:space="preserve">1F58C FE0F </v>
      </c>
      <c r="D2085">
        <f t="shared" si="196"/>
        <v>11</v>
      </c>
      <c r="E2085" t="str">
        <f t="shared" si="192"/>
        <v xml:space="preserve"> 🖌️ E0.7 paintbrush</v>
      </c>
      <c r="F2085" t="b">
        <f t="shared" si="197"/>
        <v>1</v>
      </c>
      <c r="G2085" t="str">
        <f t="shared" si="193"/>
        <v>1F58C</v>
      </c>
      <c r="I2085">
        <f>HEX2DEC(Table1[[#This Row],[utf8]])</f>
        <v>128396</v>
      </c>
      <c r="J2085" t="str">
        <f>_xlfn.UNICHAR(HEX2DEC(Table1[[#This Row],[utf8]]))</f>
        <v>🖌</v>
      </c>
      <c r="K2085" s="3" t="str" cm="1">
        <f t="array" ref="K2085">"Case "&amp;wRandomLetter()&amp;wRandomLetter()&amp;I2085&amp;":    UniConst = ChrW(" &amp; I2085 &amp;")"</f>
        <v>Case dK128396:    UniConst = ChrW(128396)</v>
      </c>
    </row>
    <row r="2086" spans="1:11" hidden="1">
      <c r="A2086" t="s">
        <v>3990</v>
      </c>
      <c r="B2086" t="str">
        <f t="shared" si="194"/>
        <v>1F58D ; unqualified # 🖍 E0.7 crayon</v>
      </c>
      <c r="C2086" t="str">
        <f t="shared" si="195"/>
        <v xml:space="preserve">1F58D </v>
      </c>
      <c r="D2086">
        <f t="shared" si="196"/>
        <v>6</v>
      </c>
      <c r="E2086" t="str">
        <f t="shared" si="192"/>
        <v xml:space="preserve"> 🖍 E0.7 crayon</v>
      </c>
      <c r="F2086" t="b">
        <f t="shared" si="197"/>
        <v>1</v>
      </c>
      <c r="G2086" t="str">
        <f t="shared" si="193"/>
        <v>1F58D</v>
      </c>
      <c r="I2086">
        <f>HEX2DEC(Table1[[#This Row],[utf8]])</f>
        <v>128397</v>
      </c>
      <c r="J2086" t="str">
        <f>_xlfn.UNICHAR(HEX2DEC(Table1[[#This Row],[utf8]]))</f>
        <v>🖍</v>
      </c>
      <c r="K2086" s="3" t="str" cm="1">
        <f t="array" ref="K2086">"Case "&amp;wRandomLetter()&amp;wRandomLetter()&amp;I2086&amp;":    UniConst = ChrW(" &amp; I2086 &amp;")"</f>
        <v>Case PL128397:    UniConst = ChrW(128397)</v>
      </c>
    </row>
    <row r="2087" spans="1:11" hidden="1">
      <c r="A2087" t="s">
        <v>3989</v>
      </c>
      <c r="B2087" t="str">
        <f t="shared" si="194"/>
        <v>1F58D FE0F ; fully-qualified # 🖍️ E0.7 crayon</v>
      </c>
      <c r="C2087" t="str">
        <f t="shared" si="195"/>
        <v xml:space="preserve">1F58D FE0F </v>
      </c>
      <c r="D2087">
        <f t="shared" si="196"/>
        <v>11</v>
      </c>
      <c r="E2087" t="str">
        <f t="shared" si="192"/>
        <v xml:space="preserve"> 🖍️ E0.7 crayon</v>
      </c>
      <c r="F2087" t="b">
        <f t="shared" si="197"/>
        <v>1</v>
      </c>
      <c r="G2087" t="str">
        <f t="shared" si="193"/>
        <v>1F58D</v>
      </c>
      <c r="I2087">
        <f>HEX2DEC(Table1[[#This Row],[utf8]])</f>
        <v>128397</v>
      </c>
      <c r="J2087" t="str">
        <f>_xlfn.UNICHAR(HEX2DEC(Table1[[#This Row],[utf8]]))</f>
        <v>🖍</v>
      </c>
      <c r="K2087" s="3" t="str" cm="1">
        <f t="array" ref="K2087">"Case "&amp;wRandomLetter()&amp;wRandomLetter()&amp;I2087&amp;":    UniConst = ChrW(" &amp; I2087 &amp;")"</f>
        <v>Case vA128397:    UniConst = ChrW(128397)</v>
      </c>
    </row>
    <row r="2088" spans="1:11" hidden="1">
      <c r="A2088" t="s">
        <v>203</v>
      </c>
      <c r="B2088" t="str">
        <f t="shared" si="194"/>
        <v>1F590 ; unqualified # 🖐 E0.7 hand with fingers splayed</v>
      </c>
      <c r="C2088" t="str">
        <f t="shared" si="195"/>
        <v xml:space="preserve">1F590 </v>
      </c>
      <c r="D2088">
        <f t="shared" si="196"/>
        <v>6</v>
      </c>
      <c r="E2088" t="str">
        <f t="shared" si="192"/>
        <v xml:space="preserve"> 🖐 E0.7 hand with fingers splayed</v>
      </c>
      <c r="F2088" t="b">
        <f t="shared" si="197"/>
        <v>1</v>
      </c>
      <c r="G2088" t="str">
        <f t="shared" si="193"/>
        <v>1F590</v>
      </c>
      <c r="I2088">
        <f>HEX2DEC(Table1[[#This Row],[utf8]])</f>
        <v>128400</v>
      </c>
      <c r="J2088" t="str">
        <f>_xlfn.UNICHAR(HEX2DEC(Table1[[#This Row],[utf8]]))</f>
        <v>🖐</v>
      </c>
      <c r="K2088" s="3" t="str" cm="1">
        <f t="array" ref="K2088">"Case "&amp;wRandomLetter()&amp;wRandomLetter()&amp;I2088&amp;":    UniConst = ChrW(" &amp; I2088 &amp;")"</f>
        <v>Case TP128400:    UniConst = ChrW(128400)</v>
      </c>
    </row>
    <row r="2089" spans="1:11" hidden="1">
      <c r="A2089" t="s">
        <v>204</v>
      </c>
      <c r="B2089" t="str">
        <f t="shared" si="194"/>
        <v>1F590 1F3FB ; fully-qualified # 🖐🏻 E1.0 hand with fingers splayed: light skin tone</v>
      </c>
      <c r="C2089" t="str">
        <f t="shared" si="195"/>
        <v xml:space="preserve">1F590 1F3FB </v>
      </c>
      <c r="D2089">
        <f t="shared" si="196"/>
        <v>12</v>
      </c>
      <c r="E2089" t="str">
        <f t="shared" si="192"/>
        <v xml:space="preserve"> 🖐🏻 E1.0 hand with fingers splayed: light skin tone</v>
      </c>
      <c r="F2089" t="b">
        <f t="shared" si="197"/>
        <v>1</v>
      </c>
      <c r="G2089" t="str">
        <f t="shared" si="193"/>
        <v>1F590</v>
      </c>
      <c r="I2089">
        <f>HEX2DEC(Table1[[#This Row],[utf8]])</f>
        <v>128400</v>
      </c>
      <c r="J2089" t="str">
        <f>_xlfn.UNICHAR(HEX2DEC(Table1[[#This Row],[utf8]]))</f>
        <v>🖐</v>
      </c>
      <c r="K2089" s="3" t="str" cm="1">
        <f t="array" ref="K2089">"Case "&amp;wRandomLetter()&amp;wRandomLetter()&amp;I2089&amp;":    UniConst = ChrW(" &amp; I2089 &amp;")"</f>
        <v>Case bG128400:    UniConst = ChrW(128400)</v>
      </c>
    </row>
    <row r="2090" spans="1:11" hidden="1">
      <c r="A2090" t="s">
        <v>205</v>
      </c>
      <c r="B2090" t="str">
        <f t="shared" si="194"/>
        <v>1F590 1F3FC ; fully-qualified # 🖐🏼 E1.0 hand with fingers splayed: medium-light skin tone</v>
      </c>
      <c r="C2090" t="str">
        <f t="shared" si="195"/>
        <v xml:space="preserve">1F590 1F3FC </v>
      </c>
      <c r="D2090">
        <f t="shared" si="196"/>
        <v>12</v>
      </c>
      <c r="E2090" t="str">
        <f t="shared" si="192"/>
        <v xml:space="preserve"> 🖐🏼 E1.0 hand with fingers splayed: medium-light skin tone</v>
      </c>
      <c r="F2090" t="b">
        <f t="shared" si="197"/>
        <v>1</v>
      </c>
      <c r="G2090" t="str">
        <f t="shared" si="193"/>
        <v>1F590</v>
      </c>
      <c r="I2090">
        <f>HEX2DEC(Table1[[#This Row],[utf8]])</f>
        <v>128400</v>
      </c>
      <c r="J2090" t="str">
        <f>_xlfn.UNICHAR(HEX2DEC(Table1[[#This Row],[utf8]]))</f>
        <v>🖐</v>
      </c>
      <c r="K2090" s="3" t="str" cm="1">
        <f t="array" ref="K2090">"Case "&amp;wRandomLetter()&amp;wRandomLetter()&amp;I2090&amp;":    UniConst = ChrW(" &amp; I2090 &amp;")"</f>
        <v>Case Cu128400:    UniConst = ChrW(128400)</v>
      </c>
    </row>
    <row r="2091" spans="1:11" hidden="1">
      <c r="A2091" t="s">
        <v>206</v>
      </c>
      <c r="B2091" t="str">
        <f t="shared" si="194"/>
        <v>1F590 1F3FD ; fully-qualified # 🖐🏽 E1.0 hand with fingers splayed: medium skin tone</v>
      </c>
      <c r="C2091" t="str">
        <f t="shared" si="195"/>
        <v xml:space="preserve">1F590 1F3FD </v>
      </c>
      <c r="D2091">
        <f t="shared" si="196"/>
        <v>12</v>
      </c>
      <c r="E2091" t="str">
        <f t="shared" si="192"/>
        <v xml:space="preserve"> 🖐🏽 E1.0 hand with fingers splayed: medium skin tone</v>
      </c>
      <c r="F2091" t="b">
        <f t="shared" si="197"/>
        <v>1</v>
      </c>
      <c r="G2091" t="str">
        <f t="shared" si="193"/>
        <v>1F590</v>
      </c>
      <c r="I2091">
        <f>HEX2DEC(Table1[[#This Row],[utf8]])</f>
        <v>128400</v>
      </c>
      <c r="J2091" t="str">
        <f>_xlfn.UNICHAR(HEX2DEC(Table1[[#This Row],[utf8]]))</f>
        <v>🖐</v>
      </c>
      <c r="K2091" s="3" t="str" cm="1">
        <f t="array" ref="K2091">"Case "&amp;wRandomLetter()&amp;wRandomLetter()&amp;I2091&amp;":    UniConst = ChrW(" &amp; I2091 &amp;")"</f>
        <v>Case Hf128400:    UniConst = ChrW(128400)</v>
      </c>
    </row>
    <row r="2092" spans="1:11" hidden="1">
      <c r="A2092" t="s">
        <v>207</v>
      </c>
      <c r="B2092" t="str">
        <f t="shared" si="194"/>
        <v>1F590 1F3FE ; fully-qualified # 🖐🏾 E1.0 hand with fingers splayed: medium-dark skin tone</v>
      </c>
      <c r="C2092" t="str">
        <f t="shared" si="195"/>
        <v xml:space="preserve">1F590 1F3FE </v>
      </c>
      <c r="D2092">
        <f t="shared" si="196"/>
        <v>12</v>
      </c>
      <c r="E2092" t="str">
        <f t="shared" si="192"/>
        <v xml:space="preserve"> 🖐🏾 E1.0 hand with fingers splayed: medium-dark skin tone</v>
      </c>
      <c r="F2092" t="b">
        <f t="shared" si="197"/>
        <v>1</v>
      </c>
      <c r="G2092" t="str">
        <f t="shared" si="193"/>
        <v>1F590</v>
      </c>
      <c r="I2092">
        <f>HEX2DEC(Table1[[#This Row],[utf8]])</f>
        <v>128400</v>
      </c>
      <c r="J2092" t="str">
        <f>_xlfn.UNICHAR(HEX2DEC(Table1[[#This Row],[utf8]]))</f>
        <v>🖐</v>
      </c>
      <c r="K2092" s="3" t="str" cm="1">
        <f t="array" ref="K2092">"Case "&amp;wRandomLetter()&amp;wRandomLetter()&amp;I2092&amp;":    UniConst = ChrW(" &amp; I2092 &amp;")"</f>
        <v>Case Dz128400:    UniConst = ChrW(128400)</v>
      </c>
    </row>
    <row r="2093" spans="1:11" hidden="1">
      <c r="A2093" t="s">
        <v>208</v>
      </c>
      <c r="B2093" t="str">
        <f t="shared" si="194"/>
        <v>1F590 1F3FF ; fully-qualified # 🖐🏿 E1.0 hand with fingers splayed: dark skin tone</v>
      </c>
      <c r="C2093" t="str">
        <f t="shared" si="195"/>
        <v xml:space="preserve">1F590 1F3FF </v>
      </c>
      <c r="D2093">
        <f t="shared" si="196"/>
        <v>12</v>
      </c>
      <c r="E2093" t="str">
        <f t="shared" si="192"/>
        <v xml:space="preserve"> 🖐🏿 E1.0 hand with fingers splayed: dark skin tone</v>
      </c>
      <c r="F2093" t="b">
        <f t="shared" si="197"/>
        <v>1</v>
      </c>
      <c r="G2093" t="str">
        <f t="shared" si="193"/>
        <v>1F590</v>
      </c>
      <c r="I2093">
        <f>HEX2DEC(Table1[[#This Row],[utf8]])</f>
        <v>128400</v>
      </c>
      <c r="J2093" t="str">
        <f>_xlfn.UNICHAR(HEX2DEC(Table1[[#This Row],[utf8]]))</f>
        <v>🖐</v>
      </c>
      <c r="K2093" s="3" t="str" cm="1">
        <f t="array" ref="K2093">"Case "&amp;wRandomLetter()&amp;wRandomLetter()&amp;I2093&amp;":    UniConst = ChrW(" &amp; I2093 &amp;")"</f>
        <v>Case GC128400:    UniConst = ChrW(128400)</v>
      </c>
    </row>
    <row r="2094" spans="1:11" hidden="1">
      <c r="A2094" t="s">
        <v>202</v>
      </c>
      <c r="B2094" t="str">
        <f t="shared" si="194"/>
        <v>1F590 FE0F ; fully-qualified # 🖐️ E0.7 hand with fingers splayed</v>
      </c>
      <c r="C2094" t="str">
        <f t="shared" si="195"/>
        <v xml:space="preserve">1F590 FE0F </v>
      </c>
      <c r="D2094">
        <f t="shared" si="196"/>
        <v>11</v>
      </c>
      <c r="E2094" t="str">
        <f t="shared" si="192"/>
        <v xml:space="preserve"> 🖐️ E0.7 hand with fingers splayed</v>
      </c>
      <c r="F2094" t="b">
        <f t="shared" si="197"/>
        <v>1</v>
      </c>
      <c r="G2094" t="str">
        <f t="shared" si="193"/>
        <v>1F590</v>
      </c>
      <c r="I2094">
        <f>HEX2DEC(Table1[[#This Row],[utf8]])</f>
        <v>128400</v>
      </c>
      <c r="J2094" t="str">
        <f>_xlfn.UNICHAR(HEX2DEC(Table1[[#This Row],[utf8]]))</f>
        <v>🖐</v>
      </c>
      <c r="K2094" s="3" t="str" cm="1">
        <f t="array" ref="K2094">"Case "&amp;wRandomLetter()&amp;wRandomLetter()&amp;I2094&amp;":    UniConst = ChrW(" &amp; I2094 &amp;")"</f>
        <v>Case XU128400:    UniConst = ChrW(128400)</v>
      </c>
    </row>
    <row r="2095" spans="1:11" hidden="1">
      <c r="A2095" t="s">
        <v>290</v>
      </c>
      <c r="B2095" t="str">
        <f t="shared" si="194"/>
        <v>1F595 ; fully-qualified # 🖕 E1.0 middle finger</v>
      </c>
      <c r="C2095" t="str">
        <f t="shared" si="195"/>
        <v xml:space="preserve">1F595 </v>
      </c>
      <c r="D2095">
        <f t="shared" si="196"/>
        <v>6</v>
      </c>
      <c r="E2095" t="str">
        <f t="shared" si="192"/>
        <v xml:space="preserve"> 🖕 E1.0 middle finger</v>
      </c>
      <c r="F2095" t="b">
        <f t="shared" si="197"/>
        <v>1</v>
      </c>
      <c r="G2095" t="str">
        <f t="shared" si="193"/>
        <v>1F595</v>
      </c>
      <c r="I2095">
        <f>HEX2DEC(Table1[[#This Row],[utf8]])</f>
        <v>128405</v>
      </c>
      <c r="J2095" t="str">
        <f>_xlfn.UNICHAR(HEX2DEC(Table1[[#This Row],[utf8]]))</f>
        <v>🖕</v>
      </c>
      <c r="K2095" s="3" t="str" cm="1">
        <f t="array" ref="K2095">"Case "&amp;wRandomLetter()&amp;wRandomLetter()&amp;I2095&amp;":    UniConst = ChrW(" &amp; I2095 &amp;")"</f>
        <v>Case De128405:    UniConst = ChrW(128405)</v>
      </c>
    </row>
    <row r="2096" spans="1:11" hidden="1">
      <c r="A2096" t="s">
        <v>291</v>
      </c>
      <c r="B2096" t="str">
        <f t="shared" si="194"/>
        <v>1F595 1F3FB ; fully-qualified # 🖕🏻 E1.0 middle finger: light skin tone</v>
      </c>
      <c r="C2096" t="str">
        <f t="shared" si="195"/>
        <v xml:space="preserve">1F595 1F3FB </v>
      </c>
      <c r="D2096">
        <f t="shared" si="196"/>
        <v>12</v>
      </c>
      <c r="E2096" t="str">
        <f t="shared" si="192"/>
        <v xml:space="preserve"> 🖕🏻 E1.0 middle finger: light skin tone</v>
      </c>
      <c r="F2096" t="b">
        <f t="shared" si="197"/>
        <v>1</v>
      </c>
      <c r="G2096" t="str">
        <f t="shared" si="193"/>
        <v>1F595</v>
      </c>
      <c r="I2096">
        <f>HEX2DEC(Table1[[#This Row],[utf8]])</f>
        <v>128405</v>
      </c>
      <c r="J2096" t="str">
        <f>_xlfn.UNICHAR(HEX2DEC(Table1[[#This Row],[utf8]]))</f>
        <v>🖕</v>
      </c>
      <c r="K2096" s="3" t="str" cm="1">
        <f t="array" ref="K2096">"Case "&amp;wRandomLetter()&amp;wRandomLetter()&amp;I2096&amp;":    UniConst = ChrW(" &amp; I2096 &amp;")"</f>
        <v>Case iu128405:    UniConst = ChrW(128405)</v>
      </c>
    </row>
    <row r="2097" spans="1:11" hidden="1">
      <c r="A2097" t="s">
        <v>292</v>
      </c>
      <c r="B2097" t="str">
        <f t="shared" si="194"/>
        <v>1F595 1F3FC ; fully-qualified # 🖕🏼 E1.0 middle finger: medium-light skin tone</v>
      </c>
      <c r="C2097" t="str">
        <f t="shared" si="195"/>
        <v xml:space="preserve">1F595 1F3FC </v>
      </c>
      <c r="D2097">
        <f t="shared" si="196"/>
        <v>12</v>
      </c>
      <c r="E2097" t="str">
        <f t="shared" si="192"/>
        <v xml:space="preserve"> 🖕🏼 E1.0 middle finger: medium-light skin tone</v>
      </c>
      <c r="F2097" t="b">
        <f t="shared" si="197"/>
        <v>1</v>
      </c>
      <c r="G2097" t="str">
        <f t="shared" si="193"/>
        <v>1F595</v>
      </c>
      <c r="I2097">
        <f>HEX2DEC(Table1[[#This Row],[utf8]])</f>
        <v>128405</v>
      </c>
      <c r="J2097" t="str">
        <f>_xlfn.UNICHAR(HEX2DEC(Table1[[#This Row],[utf8]]))</f>
        <v>🖕</v>
      </c>
      <c r="K2097" s="3" t="str" cm="1">
        <f t="array" ref="K2097">"Case "&amp;wRandomLetter()&amp;wRandomLetter()&amp;I2097&amp;":    UniConst = ChrW(" &amp; I2097 &amp;")"</f>
        <v>Case lb128405:    UniConst = ChrW(128405)</v>
      </c>
    </row>
    <row r="2098" spans="1:11" hidden="1">
      <c r="A2098" t="s">
        <v>293</v>
      </c>
      <c r="B2098" t="str">
        <f t="shared" si="194"/>
        <v>1F595 1F3FD ; fully-qualified # 🖕🏽 E1.0 middle finger: medium skin tone</v>
      </c>
      <c r="C2098" t="str">
        <f t="shared" si="195"/>
        <v xml:space="preserve">1F595 1F3FD </v>
      </c>
      <c r="D2098">
        <f t="shared" si="196"/>
        <v>12</v>
      </c>
      <c r="E2098" t="str">
        <f t="shared" si="192"/>
        <v xml:space="preserve"> 🖕🏽 E1.0 middle finger: medium skin tone</v>
      </c>
      <c r="F2098" t="b">
        <f t="shared" si="197"/>
        <v>1</v>
      </c>
      <c r="G2098" t="str">
        <f t="shared" si="193"/>
        <v>1F595</v>
      </c>
      <c r="I2098">
        <f>HEX2DEC(Table1[[#This Row],[utf8]])</f>
        <v>128405</v>
      </c>
      <c r="J2098" t="str">
        <f>_xlfn.UNICHAR(HEX2DEC(Table1[[#This Row],[utf8]]))</f>
        <v>🖕</v>
      </c>
      <c r="K2098" s="3" t="str" cm="1">
        <f t="array" ref="K2098">"Case "&amp;wRandomLetter()&amp;wRandomLetter()&amp;I2098&amp;":    UniConst = ChrW(" &amp; I2098 &amp;")"</f>
        <v>Case Md128405:    UniConst = ChrW(128405)</v>
      </c>
    </row>
    <row r="2099" spans="1:11" hidden="1">
      <c r="A2099" t="s">
        <v>294</v>
      </c>
      <c r="B2099" t="str">
        <f t="shared" si="194"/>
        <v>1F595 1F3FE ; fully-qualified # 🖕🏾 E1.0 middle finger: medium-dark skin tone</v>
      </c>
      <c r="C2099" t="str">
        <f t="shared" si="195"/>
        <v xml:space="preserve">1F595 1F3FE </v>
      </c>
      <c r="D2099">
        <f t="shared" si="196"/>
        <v>12</v>
      </c>
      <c r="E2099" t="str">
        <f t="shared" si="192"/>
        <v xml:space="preserve"> 🖕🏾 E1.0 middle finger: medium-dark skin tone</v>
      </c>
      <c r="F2099" t="b">
        <f t="shared" si="197"/>
        <v>1</v>
      </c>
      <c r="G2099" t="str">
        <f t="shared" si="193"/>
        <v>1F595</v>
      </c>
      <c r="I2099">
        <f>HEX2DEC(Table1[[#This Row],[utf8]])</f>
        <v>128405</v>
      </c>
      <c r="J2099" t="str">
        <f>_xlfn.UNICHAR(HEX2DEC(Table1[[#This Row],[utf8]]))</f>
        <v>🖕</v>
      </c>
      <c r="K2099" s="3" t="str" cm="1">
        <f t="array" ref="K2099">"Case "&amp;wRandomLetter()&amp;wRandomLetter()&amp;I2099&amp;":    UniConst = ChrW(" &amp; I2099 &amp;")"</f>
        <v>Case Bw128405:    UniConst = ChrW(128405)</v>
      </c>
    </row>
    <row r="2100" spans="1:11" hidden="1">
      <c r="A2100" t="s">
        <v>295</v>
      </c>
      <c r="B2100" t="str">
        <f t="shared" si="194"/>
        <v>1F595 1F3FF ; fully-qualified # 🖕🏿 E1.0 middle finger: dark skin tone</v>
      </c>
      <c r="C2100" t="str">
        <f t="shared" si="195"/>
        <v xml:space="preserve">1F595 1F3FF </v>
      </c>
      <c r="D2100">
        <f t="shared" si="196"/>
        <v>12</v>
      </c>
      <c r="E2100" t="str">
        <f t="shared" si="192"/>
        <v xml:space="preserve"> 🖕🏿 E1.0 middle finger: dark skin tone</v>
      </c>
      <c r="F2100" t="b">
        <f t="shared" si="197"/>
        <v>1</v>
      </c>
      <c r="G2100" t="str">
        <f t="shared" si="193"/>
        <v>1F595</v>
      </c>
      <c r="I2100">
        <f>HEX2DEC(Table1[[#This Row],[utf8]])</f>
        <v>128405</v>
      </c>
      <c r="J2100" t="str">
        <f>_xlfn.UNICHAR(HEX2DEC(Table1[[#This Row],[utf8]]))</f>
        <v>🖕</v>
      </c>
      <c r="K2100" s="3" t="str" cm="1">
        <f t="array" ref="K2100">"Case "&amp;wRandomLetter()&amp;wRandomLetter()&amp;I2100&amp;":    UniConst = ChrW(" &amp; I2100 &amp;")"</f>
        <v>Case PM128405:    UniConst = ChrW(128405)</v>
      </c>
    </row>
    <row r="2101" spans="1:11" hidden="1">
      <c r="A2101" t="s">
        <v>215</v>
      </c>
      <c r="B2101" t="str">
        <f t="shared" si="194"/>
        <v>1F596 ; fully-qualified # 🖖 E1.0 vulcan salute</v>
      </c>
      <c r="C2101" t="str">
        <f t="shared" si="195"/>
        <v xml:space="preserve">1F596 </v>
      </c>
      <c r="D2101">
        <f t="shared" si="196"/>
        <v>6</v>
      </c>
      <c r="E2101" t="str">
        <f t="shared" si="192"/>
        <v xml:space="preserve"> 🖖 E1.0 vulcan salute</v>
      </c>
      <c r="F2101" t="b">
        <f t="shared" si="197"/>
        <v>1</v>
      </c>
      <c r="G2101" t="str">
        <f t="shared" si="193"/>
        <v>1F596</v>
      </c>
      <c r="I2101">
        <f>HEX2DEC(Table1[[#This Row],[utf8]])</f>
        <v>128406</v>
      </c>
      <c r="J2101" t="str">
        <f>_xlfn.UNICHAR(HEX2DEC(Table1[[#This Row],[utf8]]))</f>
        <v>🖖</v>
      </c>
      <c r="K2101" s="3" t="str" cm="1">
        <f t="array" ref="K2101">"Case "&amp;wRandomLetter()&amp;wRandomLetter()&amp;I2101&amp;":    UniConst = ChrW(" &amp; I2101 &amp;")"</f>
        <v>Case ot128406:    UniConst = ChrW(128406)</v>
      </c>
    </row>
    <row r="2102" spans="1:11" hidden="1">
      <c r="A2102" t="s">
        <v>216</v>
      </c>
      <c r="B2102" t="str">
        <f t="shared" si="194"/>
        <v>1F596 1F3FB ; fully-qualified # 🖖🏻 E1.0 vulcan salute: light skin tone</v>
      </c>
      <c r="C2102" t="str">
        <f t="shared" si="195"/>
        <v xml:space="preserve">1F596 1F3FB </v>
      </c>
      <c r="D2102">
        <f t="shared" si="196"/>
        <v>12</v>
      </c>
      <c r="E2102" t="str">
        <f t="shared" si="192"/>
        <v xml:space="preserve"> 🖖🏻 E1.0 vulcan salute: light skin tone</v>
      </c>
      <c r="F2102" t="b">
        <f t="shared" si="197"/>
        <v>1</v>
      </c>
      <c r="G2102" t="str">
        <f t="shared" si="193"/>
        <v>1F596</v>
      </c>
      <c r="I2102">
        <f>HEX2DEC(Table1[[#This Row],[utf8]])</f>
        <v>128406</v>
      </c>
      <c r="J2102" t="str">
        <f>_xlfn.UNICHAR(HEX2DEC(Table1[[#This Row],[utf8]]))</f>
        <v>🖖</v>
      </c>
      <c r="K2102" s="3" t="str" cm="1">
        <f t="array" ref="K2102">"Case "&amp;wRandomLetter()&amp;wRandomLetter()&amp;I2102&amp;":    UniConst = ChrW(" &amp; I2102 &amp;")"</f>
        <v>Case FQ128406:    UniConst = ChrW(128406)</v>
      </c>
    </row>
    <row r="2103" spans="1:11" hidden="1">
      <c r="A2103" t="s">
        <v>217</v>
      </c>
      <c r="B2103" t="str">
        <f t="shared" si="194"/>
        <v>1F596 1F3FC ; fully-qualified # 🖖🏼 E1.0 vulcan salute: medium-light skin tone</v>
      </c>
      <c r="C2103" t="str">
        <f t="shared" si="195"/>
        <v xml:space="preserve">1F596 1F3FC </v>
      </c>
      <c r="D2103">
        <f t="shared" si="196"/>
        <v>12</v>
      </c>
      <c r="E2103" t="str">
        <f t="shared" si="192"/>
        <v xml:space="preserve"> 🖖🏼 E1.0 vulcan salute: medium-light skin tone</v>
      </c>
      <c r="F2103" t="b">
        <f t="shared" si="197"/>
        <v>1</v>
      </c>
      <c r="G2103" t="str">
        <f t="shared" si="193"/>
        <v>1F596</v>
      </c>
      <c r="I2103">
        <f>HEX2DEC(Table1[[#This Row],[utf8]])</f>
        <v>128406</v>
      </c>
      <c r="J2103" t="str">
        <f>_xlfn.UNICHAR(HEX2DEC(Table1[[#This Row],[utf8]]))</f>
        <v>🖖</v>
      </c>
      <c r="K2103" s="3" t="str" cm="1">
        <f t="array" ref="K2103">"Case "&amp;wRandomLetter()&amp;wRandomLetter()&amp;I2103&amp;":    UniConst = ChrW(" &amp; I2103 &amp;")"</f>
        <v>Case TP128406:    UniConst = ChrW(128406)</v>
      </c>
    </row>
    <row r="2104" spans="1:11" hidden="1">
      <c r="A2104" t="s">
        <v>218</v>
      </c>
      <c r="B2104" t="str">
        <f t="shared" si="194"/>
        <v>1F596 1F3FD ; fully-qualified # 🖖🏽 E1.0 vulcan salute: medium skin tone</v>
      </c>
      <c r="C2104" t="str">
        <f t="shared" si="195"/>
        <v xml:space="preserve">1F596 1F3FD </v>
      </c>
      <c r="D2104">
        <f t="shared" si="196"/>
        <v>12</v>
      </c>
      <c r="E2104" t="str">
        <f t="shared" si="192"/>
        <v xml:space="preserve"> 🖖🏽 E1.0 vulcan salute: medium skin tone</v>
      </c>
      <c r="F2104" t="b">
        <f t="shared" si="197"/>
        <v>1</v>
      </c>
      <c r="G2104" t="str">
        <f t="shared" si="193"/>
        <v>1F596</v>
      </c>
      <c r="I2104">
        <f>HEX2DEC(Table1[[#This Row],[utf8]])</f>
        <v>128406</v>
      </c>
      <c r="J2104" t="str">
        <f>_xlfn.UNICHAR(HEX2DEC(Table1[[#This Row],[utf8]]))</f>
        <v>🖖</v>
      </c>
      <c r="K2104" s="3" t="str" cm="1">
        <f t="array" ref="K2104">"Case "&amp;wRandomLetter()&amp;wRandomLetter()&amp;I2104&amp;":    UniConst = ChrW(" &amp; I2104 &amp;")"</f>
        <v>Case SG128406:    UniConst = ChrW(128406)</v>
      </c>
    </row>
    <row r="2105" spans="1:11" hidden="1">
      <c r="A2105" t="s">
        <v>219</v>
      </c>
      <c r="B2105" t="str">
        <f t="shared" si="194"/>
        <v>1F596 1F3FE ; fully-qualified # 🖖🏾 E1.0 vulcan salute: medium-dark skin tone</v>
      </c>
      <c r="C2105" t="str">
        <f t="shared" si="195"/>
        <v xml:space="preserve">1F596 1F3FE </v>
      </c>
      <c r="D2105">
        <f t="shared" si="196"/>
        <v>12</v>
      </c>
      <c r="E2105" t="str">
        <f t="shared" si="192"/>
        <v xml:space="preserve"> 🖖🏾 E1.0 vulcan salute: medium-dark skin tone</v>
      </c>
      <c r="F2105" t="b">
        <f t="shared" si="197"/>
        <v>1</v>
      </c>
      <c r="G2105" t="str">
        <f t="shared" si="193"/>
        <v>1F596</v>
      </c>
      <c r="I2105">
        <f>HEX2DEC(Table1[[#This Row],[utf8]])</f>
        <v>128406</v>
      </c>
      <c r="J2105" t="str">
        <f>_xlfn.UNICHAR(HEX2DEC(Table1[[#This Row],[utf8]]))</f>
        <v>🖖</v>
      </c>
      <c r="K2105" s="3" t="str" cm="1">
        <f t="array" ref="K2105">"Case "&amp;wRandomLetter()&amp;wRandomLetter()&amp;I2105&amp;":    UniConst = ChrW(" &amp; I2105 &amp;")"</f>
        <v>Case bm128406:    UniConst = ChrW(128406)</v>
      </c>
    </row>
    <row r="2106" spans="1:11" hidden="1">
      <c r="A2106" t="s">
        <v>220</v>
      </c>
      <c r="B2106" t="str">
        <f t="shared" si="194"/>
        <v>1F596 1F3FF ; fully-qualified # 🖖🏿 E1.0 vulcan salute: dark skin tone</v>
      </c>
      <c r="C2106" t="str">
        <f t="shared" si="195"/>
        <v xml:space="preserve">1F596 1F3FF </v>
      </c>
      <c r="D2106">
        <f t="shared" si="196"/>
        <v>12</v>
      </c>
      <c r="E2106" t="str">
        <f t="shared" si="192"/>
        <v xml:space="preserve"> 🖖🏿 E1.0 vulcan salute: dark skin tone</v>
      </c>
      <c r="F2106" t="b">
        <f t="shared" si="197"/>
        <v>1</v>
      </c>
      <c r="G2106" t="str">
        <f t="shared" si="193"/>
        <v>1F596</v>
      </c>
      <c r="I2106">
        <f>HEX2DEC(Table1[[#This Row],[utf8]])</f>
        <v>128406</v>
      </c>
      <c r="J2106" t="str">
        <f>_xlfn.UNICHAR(HEX2DEC(Table1[[#This Row],[utf8]]))</f>
        <v>🖖</v>
      </c>
      <c r="K2106" s="3" t="str" cm="1">
        <f t="array" ref="K2106">"Case "&amp;wRandomLetter()&amp;wRandomLetter()&amp;I2106&amp;":    UniConst = ChrW(" &amp; I2106 &amp;")"</f>
        <v>Case sP128406:    UniConst = ChrW(128406)</v>
      </c>
    </row>
    <row r="2107" spans="1:11" hidden="1">
      <c r="A2107" t="s">
        <v>164</v>
      </c>
      <c r="B2107" t="str">
        <f t="shared" si="194"/>
        <v>1F5A4 ; fully-qualified # 🖤 E3.0 black heart</v>
      </c>
      <c r="C2107" t="str">
        <f t="shared" si="195"/>
        <v xml:space="preserve">1F5A4 </v>
      </c>
      <c r="D2107">
        <f t="shared" si="196"/>
        <v>6</v>
      </c>
      <c r="E2107" t="str">
        <f t="shared" si="192"/>
        <v xml:space="preserve"> 🖤 E3.0 black heart</v>
      </c>
      <c r="F2107" t="b">
        <f t="shared" si="197"/>
        <v>1</v>
      </c>
      <c r="G2107" t="str">
        <f t="shared" si="193"/>
        <v>1F5A4</v>
      </c>
      <c r="I2107">
        <f>HEX2DEC(Table1[[#This Row],[utf8]])</f>
        <v>128420</v>
      </c>
      <c r="J2107" t="str">
        <f>_xlfn.UNICHAR(HEX2DEC(Table1[[#This Row],[utf8]]))</f>
        <v>🖤</v>
      </c>
      <c r="K2107" s="3" t="str" cm="1">
        <f t="array" ref="K2107">"Case "&amp;wRandomLetter()&amp;wRandomLetter()&amp;I2107&amp;":    UniConst = ChrW(" &amp; I2107 &amp;")"</f>
        <v>Case Em128420:    UniConst = ChrW(128420)</v>
      </c>
    </row>
    <row r="2108" spans="1:11" hidden="1">
      <c r="A2108" t="s">
        <v>3897</v>
      </c>
      <c r="B2108" t="str">
        <f t="shared" si="194"/>
        <v>1F5A5 ; unqualified # 🖥 E0.7 desktop computer</v>
      </c>
      <c r="C2108" t="str">
        <f t="shared" si="195"/>
        <v xml:space="preserve">1F5A5 </v>
      </c>
      <c r="D2108">
        <f t="shared" si="196"/>
        <v>6</v>
      </c>
      <c r="E2108" t="str">
        <f t="shared" si="192"/>
        <v xml:space="preserve"> 🖥 E0.7 desktop computer</v>
      </c>
      <c r="F2108" t="b">
        <f t="shared" si="197"/>
        <v>1</v>
      </c>
      <c r="G2108" t="str">
        <f t="shared" si="193"/>
        <v>1F5A5</v>
      </c>
      <c r="I2108">
        <f>HEX2DEC(Table1[[#This Row],[utf8]])</f>
        <v>128421</v>
      </c>
      <c r="J2108" t="str">
        <f>_xlfn.UNICHAR(HEX2DEC(Table1[[#This Row],[utf8]]))</f>
        <v>🖥</v>
      </c>
      <c r="K2108" s="3" t="str" cm="1">
        <f t="array" ref="K2108">"Case "&amp;wRandomLetter()&amp;wRandomLetter()&amp;I2108&amp;":    UniConst = ChrW(" &amp; I2108 &amp;")"</f>
        <v>Case rY128421:    UniConst = ChrW(128421)</v>
      </c>
    </row>
    <row r="2109" spans="1:11" hidden="1">
      <c r="A2109" t="s">
        <v>3896</v>
      </c>
      <c r="B2109" t="str">
        <f t="shared" si="194"/>
        <v>1F5A5 FE0F ; fully-qualified # 🖥️ E0.7 desktop computer</v>
      </c>
      <c r="C2109" t="str">
        <f t="shared" si="195"/>
        <v xml:space="preserve">1F5A5 FE0F </v>
      </c>
      <c r="D2109">
        <f t="shared" si="196"/>
        <v>11</v>
      </c>
      <c r="E2109" t="str">
        <f t="shared" si="192"/>
        <v xml:space="preserve"> 🖥️ E0.7 desktop computer</v>
      </c>
      <c r="F2109" t="b">
        <f t="shared" si="197"/>
        <v>1</v>
      </c>
      <c r="G2109" t="str">
        <f t="shared" si="193"/>
        <v>1F5A5</v>
      </c>
      <c r="I2109">
        <f>HEX2DEC(Table1[[#This Row],[utf8]])</f>
        <v>128421</v>
      </c>
      <c r="J2109" t="str">
        <f>_xlfn.UNICHAR(HEX2DEC(Table1[[#This Row],[utf8]]))</f>
        <v>🖥</v>
      </c>
      <c r="K2109" s="3" t="str" cm="1">
        <f t="array" ref="K2109">"Case "&amp;wRandomLetter()&amp;wRandomLetter()&amp;I2109&amp;":    UniConst = ChrW(" &amp; I2109 &amp;")"</f>
        <v>Case Ay128421:    UniConst = ChrW(128421)</v>
      </c>
    </row>
    <row r="2110" spans="1:11" hidden="1">
      <c r="A2110" t="s">
        <v>3899</v>
      </c>
      <c r="B2110" t="str">
        <f t="shared" si="194"/>
        <v>1F5A8 ; unqualified # 🖨 E0.7 printer</v>
      </c>
      <c r="C2110" t="str">
        <f t="shared" si="195"/>
        <v xml:space="preserve">1F5A8 </v>
      </c>
      <c r="D2110">
        <f t="shared" si="196"/>
        <v>6</v>
      </c>
      <c r="E2110" t="str">
        <f t="shared" si="192"/>
        <v xml:space="preserve"> 🖨 E0.7 printer</v>
      </c>
      <c r="F2110" t="b">
        <f t="shared" si="197"/>
        <v>1</v>
      </c>
      <c r="G2110" t="str">
        <f t="shared" si="193"/>
        <v>1F5A8</v>
      </c>
      <c r="I2110">
        <f>HEX2DEC(Table1[[#This Row],[utf8]])</f>
        <v>128424</v>
      </c>
      <c r="J2110" t="str">
        <f>_xlfn.UNICHAR(HEX2DEC(Table1[[#This Row],[utf8]]))</f>
        <v>🖨</v>
      </c>
      <c r="K2110" s="3" t="str" cm="1">
        <f t="array" ref="K2110">"Case "&amp;wRandomLetter()&amp;wRandomLetter()&amp;I2110&amp;":    UniConst = ChrW(" &amp; I2110 &amp;")"</f>
        <v>Case qs128424:    UniConst = ChrW(128424)</v>
      </c>
    </row>
    <row r="2111" spans="1:11" hidden="1">
      <c r="A2111" t="s">
        <v>3898</v>
      </c>
      <c r="B2111" t="str">
        <f t="shared" si="194"/>
        <v>1F5A8 FE0F ; fully-qualified # 🖨️ E0.7 printer</v>
      </c>
      <c r="C2111" t="str">
        <f t="shared" si="195"/>
        <v xml:space="preserve">1F5A8 FE0F </v>
      </c>
      <c r="D2111">
        <f t="shared" si="196"/>
        <v>11</v>
      </c>
      <c r="E2111" t="str">
        <f t="shared" si="192"/>
        <v xml:space="preserve"> 🖨️ E0.7 printer</v>
      </c>
      <c r="F2111" t="b">
        <f t="shared" si="197"/>
        <v>1</v>
      </c>
      <c r="G2111" t="str">
        <f t="shared" si="193"/>
        <v>1F5A8</v>
      </c>
      <c r="I2111">
        <f>HEX2DEC(Table1[[#This Row],[utf8]])</f>
        <v>128424</v>
      </c>
      <c r="J2111" t="str">
        <f>_xlfn.UNICHAR(HEX2DEC(Table1[[#This Row],[utf8]]))</f>
        <v>🖨</v>
      </c>
      <c r="K2111" s="3" t="str" cm="1">
        <f t="array" ref="K2111">"Case "&amp;wRandomLetter()&amp;wRandomLetter()&amp;I2111&amp;":    UniConst = ChrW(" &amp; I2111 &amp;")"</f>
        <v>Case Ya128424:    UniConst = ChrW(128424)</v>
      </c>
    </row>
    <row r="2112" spans="1:11" hidden="1">
      <c r="A2112" t="s">
        <v>3903</v>
      </c>
      <c r="B2112" t="str">
        <f t="shared" si="194"/>
        <v>1F5B1 ; unqualified # 🖱 E0.7 computer mouse</v>
      </c>
      <c r="C2112" t="str">
        <f t="shared" si="195"/>
        <v xml:space="preserve">1F5B1 </v>
      </c>
      <c r="D2112">
        <f t="shared" si="196"/>
        <v>6</v>
      </c>
      <c r="E2112" t="str">
        <f t="shared" si="192"/>
        <v xml:space="preserve"> 🖱 E0.7 computer mouse</v>
      </c>
      <c r="F2112" t="b">
        <f t="shared" si="197"/>
        <v>1</v>
      </c>
      <c r="G2112" t="str">
        <f t="shared" si="193"/>
        <v>1F5B1</v>
      </c>
      <c r="I2112">
        <f>HEX2DEC(Table1[[#This Row],[utf8]])</f>
        <v>128433</v>
      </c>
      <c r="J2112" t="str">
        <f>_xlfn.UNICHAR(HEX2DEC(Table1[[#This Row],[utf8]]))</f>
        <v>🖱</v>
      </c>
      <c r="K2112" s="3" t="str" cm="1">
        <f t="array" ref="K2112">"Case "&amp;wRandomLetter()&amp;wRandomLetter()&amp;I2112&amp;":    UniConst = ChrW(" &amp; I2112 &amp;")"</f>
        <v>Case AD128433:    UniConst = ChrW(128433)</v>
      </c>
    </row>
    <row r="2113" spans="1:11" hidden="1">
      <c r="A2113" t="s">
        <v>3902</v>
      </c>
      <c r="B2113" t="str">
        <f t="shared" si="194"/>
        <v>1F5B1 FE0F ; fully-qualified # 🖱️ E0.7 computer mouse</v>
      </c>
      <c r="C2113" t="str">
        <f t="shared" si="195"/>
        <v xml:space="preserve">1F5B1 FE0F </v>
      </c>
      <c r="D2113">
        <f t="shared" si="196"/>
        <v>11</v>
      </c>
      <c r="E2113" t="str">
        <f t="shared" si="192"/>
        <v xml:space="preserve"> 🖱️ E0.7 computer mouse</v>
      </c>
      <c r="F2113" t="b">
        <f t="shared" si="197"/>
        <v>1</v>
      </c>
      <c r="G2113" t="str">
        <f t="shared" si="193"/>
        <v>1F5B1</v>
      </c>
      <c r="I2113">
        <f>HEX2DEC(Table1[[#This Row],[utf8]])</f>
        <v>128433</v>
      </c>
      <c r="J2113" t="str">
        <f>_xlfn.UNICHAR(HEX2DEC(Table1[[#This Row],[utf8]]))</f>
        <v>🖱</v>
      </c>
      <c r="K2113" s="3" t="str" cm="1">
        <f t="array" ref="K2113">"Case "&amp;wRandomLetter()&amp;wRandomLetter()&amp;I2113&amp;":    UniConst = ChrW(" &amp; I2113 &amp;")"</f>
        <v>Case Db128433:    UniConst = ChrW(128433)</v>
      </c>
    </row>
    <row r="2114" spans="1:11" hidden="1">
      <c r="A2114" t="s">
        <v>3905</v>
      </c>
      <c r="B2114" t="str">
        <f t="shared" si="194"/>
        <v>1F5B2 ; unqualified # 🖲 E0.7 trackball</v>
      </c>
      <c r="C2114" t="str">
        <f t="shared" si="195"/>
        <v xml:space="preserve">1F5B2 </v>
      </c>
      <c r="D2114">
        <f t="shared" si="196"/>
        <v>6</v>
      </c>
      <c r="E2114" t="str">
        <f t="shared" ref="E2114:E2177" si="198">MID(A2114,FIND("#",A2114)+1,256)</f>
        <v xml:space="preserve"> 🖲 E0.7 trackball</v>
      </c>
      <c r="F2114" t="b">
        <f t="shared" si="197"/>
        <v>1</v>
      </c>
      <c r="G2114" t="str">
        <f t="shared" ref="G2114:G2177" si="199">LEFT(C2114,(FIND(" ",C2114,1)-1))</f>
        <v>1F5B2</v>
      </c>
      <c r="I2114">
        <f>HEX2DEC(Table1[[#This Row],[utf8]])</f>
        <v>128434</v>
      </c>
      <c r="J2114" t="str">
        <f>_xlfn.UNICHAR(HEX2DEC(Table1[[#This Row],[utf8]]))</f>
        <v>🖲</v>
      </c>
      <c r="K2114" s="3" t="str" cm="1">
        <f t="array" ref="K2114">"Case "&amp;wRandomLetter()&amp;wRandomLetter()&amp;I2114&amp;":    UniConst = ChrW(" &amp; I2114 &amp;")"</f>
        <v>Case yU128434:    UniConst = ChrW(128434)</v>
      </c>
    </row>
    <row r="2115" spans="1:11" hidden="1">
      <c r="A2115" t="s">
        <v>3904</v>
      </c>
      <c r="B2115" t="str">
        <f t="shared" ref="B2115:B2178" si="200">TRIM(A2115)</f>
        <v>1F5B2 FE0F ; fully-qualified # 🖲️ E0.7 trackball</v>
      </c>
      <c r="C2115" t="str">
        <f t="shared" ref="C2115:C2178" si="201">LEFT(B2115,(FIND(";",B2115,1)-1))</f>
        <v xml:space="preserve">1F5B2 FE0F </v>
      </c>
      <c r="D2115">
        <f t="shared" ref="D2115:D2178" si="202">LEN(C2115)</f>
        <v>11</v>
      </c>
      <c r="E2115" t="str">
        <f t="shared" si="198"/>
        <v xml:space="preserve"> 🖲️ E0.7 trackball</v>
      </c>
      <c r="F2115" t="b">
        <f t="shared" ref="F2115:F2178" si="203">IF(LEFT(C2115,2)="1F",TRUE,FALSE)</f>
        <v>1</v>
      </c>
      <c r="G2115" t="str">
        <f t="shared" si="199"/>
        <v>1F5B2</v>
      </c>
      <c r="I2115">
        <f>HEX2DEC(Table1[[#This Row],[utf8]])</f>
        <v>128434</v>
      </c>
      <c r="J2115" t="str">
        <f>_xlfn.UNICHAR(HEX2DEC(Table1[[#This Row],[utf8]]))</f>
        <v>🖲</v>
      </c>
      <c r="K2115" s="3" t="str" cm="1">
        <f t="array" ref="K2115">"Case "&amp;wRandomLetter()&amp;wRandomLetter()&amp;I2115&amp;":    UniConst = ChrW(" &amp; I2115 &amp;")"</f>
        <v>Case LR128434:    UniConst = ChrW(128434)</v>
      </c>
    </row>
    <row r="2116" spans="1:11" hidden="1">
      <c r="A2116" t="s">
        <v>3793</v>
      </c>
      <c r="B2116" t="str">
        <f t="shared" si="200"/>
        <v>1F5BC ; unqualified # 🖼 E0.7 framed picture</v>
      </c>
      <c r="C2116" t="str">
        <f t="shared" si="201"/>
        <v xml:space="preserve">1F5BC </v>
      </c>
      <c r="D2116">
        <f t="shared" si="202"/>
        <v>6</v>
      </c>
      <c r="E2116" t="str">
        <f t="shared" si="198"/>
        <v xml:space="preserve"> 🖼 E0.7 framed picture</v>
      </c>
      <c r="F2116" t="b">
        <f t="shared" si="203"/>
        <v>1</v>
      </c>
      <c r="G2116" t="str">
        <f t="shared" si="199"/>
        <v>1F5BC</v>
      </c>
      <c r="I2116">
        <f>HEX2DEC(Table1[[#This Row],[utf8]])</f>
        <v>128444</v>
      </c>
      <c r="J2116" t="str">
        <f>_xlfn.UNICHAR(HEX2DEC(Table1[[#This Row],[utf8]]))</f>
        <v>🖼</v>
      </c>
      <c r="K2116" s="3" t="str" cm="1">
        <f t="array" ref="K2116">"Case "&amp;wRandomLetter()&amp;wRandomLetter()&amp;I2116&amp;":    UniConst = ChrW(" &amp; I2116 &amp;")"</f>
        <v>Case xW128444:    UniConst = ChrW(128444)</v>
      </c>
    </row>
    <row r="2117" spans="1:11" hidden="1">
      <c r="A2117" t="s">
        <v>3792</v>
      </c>
      <c r="B2117" t="str">
        <f t="shared" si="200"/>
        <v>1F5BC FE0F ; fully-qualified # 🖼️ E0.7 framed picture</v>
      </c>
      <c r="C2117" t="str">
        <f t="shared" si="201"/>
        <v xml:space="preserve">1F5BC FE0F </v>
      </c>
      <c r="D2117">
        <f t="shared" si="202"/>
        <v>11</v>
      </c>
      <c r="E2117" t="str">
        <f t="shared" si="198"/>
        <v xml:space="preserve"> 🖼️ E0.7 framed picture</v>
      </c>
      <c r="F2117" t="b">
        <f t="shared" si="203"/>
        <v>1</v>
      </c>
      <c r="G2117" t="str">
        <f t="shared" si="199"/>
        <v>1F5BC</v>
      </c>
      <c r="I2117">
        <f>HEX2DEC(Table1[[#This Row],[utf8]])</f>
        <v>128444</v>
      </c>
      <c r="J2117" t="str">
        <f>_xlfn.UNICHAR(HEX2DEC(Table1[[#This Row],[utf8]]))</f>
        <v>🖼</v>
      </c>
      <c r="K2117" s="3" t="str" cm="1">
        <f t="array" ref="K2117">"Case "&amp;wRandomLetter()&amp;wRandomLetter()&amp;I2117&amp;":    UniConst = ChrW(" &amp; I2117 &amp;")"</f>
        <v>Case hk128444:    UniConst = ChrW(128444)</v>
      </c>
    </row>
    <row r="2118" spans="1:11" hidden="1">
      <c r="A2118" t="s">
        <v>3997</v>
      </c>
      <c r="B2118" t="str">
        <f t="shared" si="200"/>
        <v>1F5C2 ; unqualified # 🗂 E0.7 card index dividers</v>
      </c>
      <c r="C2118" t="str">
        <f t="shared" si="201"/>
        <v xml:space="preserve">1F5C2 </v>
      </c>
      <c r="D2118">
        <f t="shared" si="202"/>
        <v>6</v>
      </c>
      <c r="E2118" t="str">
        <f t="shared" si="198"/>
        <v xml:space="preserve"> 🗂 E0.7 card index dividers</v>
      </c>
      <c r="F2118" t="b">
        <f t="shared" si="203"/>
        <v>1</v>
      </c>
      <c r="G2118" t="str">
        <f t="shared" si="199"/>
        <v>1F5C2</v>
      </c>
      <c r="I2118">
        <f>HEX2DEC(Table1[[#This Row],[utf8]])</f>
        <v>128450</v>
      </c>
      <c r="J2118" t="str">
        <f>_xlfn.UNICHAR(HEX2DEC(Table1[[#This Row],[utf8]]))</f>
        <v>🗂</v>
      </c>
      <c r="K2118" s="3" t="str" cm="1">
        <f t="array" ref="K2118">"Case "&amp;wRandomLetter()&amp;wRandomLetter()&amp;I2118&amp;":    UniConst = ChrW(" &amp; I2118 &amp;")"</f>
        <v>Case yv128450:    UniConst = ChrW(128450)</v>
      </c>
    </row>
    <row r="2119" spans="1:11" hidden="1">
      <c r="A2119" t="s">
        <v>3996</v>
      </c>
      <c r="B2119" t="str">
        <f t="shared" si="200"/>
        <v>1F5C2 FE0F ; fully-qualified # 🗂️ E0.7 card index dividers</v>
      </c>
      <c r="C2119" t="str">
        <f t="shared" si="201"/>
        <v xml:space="preserve">1F5C2 FE0F </v>
      </c>
      <c r="D2119">
        <f t="shared" si="202"/>
        <v>11</v>
      </c>
      <c r="E2119" t="str">
        <f t="shared" si="198"/>
        <v xml:space="preserve"> 🗂️ E0.7 card index dividers</v>
      </c>
      <c r="F2119" t="b">
        <f t="shared" si="203"/>
        <v>1</v>
      </c>
      <c r="G2119" t="str">
        <f t="shared" si="199"/>
        <v>1F5C2</v>
      </c>
      <c r="I2119">
        <f>HEX2DEC(Table1[[#This Row],[utf8]])</f>
        <v>128450</v>
      </c>
      <c r="J2119" t="str">
        <f>_xlfn.UNICHAR(HEX2DEC(Table1[[#This Row],[utf8]]))</f>
        <v>🗂</v>
      </c>
      <c r="K2119" s="3" t="str" cm="1">
        <f t="array" ref="K2119">"Case "&amp;wRandomLetter()&amp;wRandomLetter()&amp;I2119&amp;":    UniConst = ChrW(" &amp; I2119 &amp;")"</f>
        <v>Case xI128450:    UniConst = ChrW(128450)</v>
      </c>
    </row>
    <row r="2120" spans="1:11" hidden="1">
      <c r="A2120" t="s">
        <v>4019</v>
      </c>
      <c r="B2120" t="str">
        <f t="shared" si="200"/>
        <v>1F5C3 ; unqualified # 🗃 E0.7 card file box</v>
      </c>
      <c r="C2120" t="str">
        <f t="shared" si="201"/>
        <v xml:space="preserve">1F5C3 </v>
      </c>
      <c r="D2120">
        <f t="shared" si="202"/>
        <v>6</v>
      </c>
      <c r="E2120" t="str">
        <f t="shared" si="198"/>
        <v xml:space="preserve"> 🗃 E0.7 card file box</v>
      </c>
      <c r="F2120" t="b">
        <f t="shared" si="203"/>
        <v>1</v>
      </c>
      <c r="G2120" t="str">
        <f t="shared" si="199"/>
        <v>1F5C3</v>
      </c>
      <c r="I2120">
        <f>HEX2DEC(Table1[[#This Row],[utf8]])</f>
        <v>128451</v>
      </c>
      <c r="J2120" t="str">
        <f>_xlfn.UNICHAR(HEX2DEC(Table1[[#This Row],[utf8]]))</f>
        <v>🗃</v>
      </c>
      <c r="K2120" s="3" t="str" cm="1">
        <f t="array" ref="K2120">"Case "&amp;wRandomLetter()&amp;wRandomLetter()&amp;I2120&amp;":    UniConst = ChrW(" &amp; I2120 &amp;")"</f>
        <v>Case KZ128451:    UniConst = ChrW(128451)</v>
      </c>
    </row>
    <row r="2121" spans="1:11" hidden="1">
      <c r="A2121" t="s">
        <v>4018</v>
      </c>
      <c r="B2121" t="str">
        <f t="shared" si="200"/>
        <v>1F5C3 FE0F ; fully-qualified # 🗃️ E0.7 card file box</v>
      </c>
      <c r="C2121" t="str">
        <f t="shared" si="201"/>
        <v xml:space="preserve">1F5C3 FE0F </v>
      </c>
      <c r="D2121">
        <f t="shared" si="202"/>
        <v>11</v>
      </c>
      <c r="E2121" t="str">
        <f t="shared" si="198"/>
        <v xml:space="preserve"> 🗃️ E0.7 card file box</v>
      </c>
      <c r="F2121" t="b">
        <f t="shared" si="203"/>
        <v>1</v>
      </c>
      <c r="G2121" t="str">
        <f t="shared" si="199"/>
        <v>1F5C3</v>
      </c>
      <c r="I2121">
        <f>HEX2DEC(Table1[[#This Row],[utf8]])</f>
        <v>128451</v>
      </c>
      <c r="J2121" t="str">
        <f>_xlfn.UNICHAR(HEX2DEC(Table1[[#This Row],[utf8]]))</f>
        <v>🗃</v>
      </c>
      <c r="K2121" s="3" t="str" cm="1">
        <f t="array" ref="K2121">"Case "&amp;wRandomLetter()&amp;wRandomLetter()&amp;I2121&amp;":    UniConst = ChrW(" &amp; I2121 &amp;")"</f>
        <v>Case kU128451:    UniConst = ChrW(128451)</v>
      </c>
    </row>
    <row r="2122" spans="1:11" hidden="1">
      <c r="A2122" t="s">
        <v>4021</v>
      </c>
      <c r="B2122" t="str">
        <f t="shared" si="200"/>
        <v>1F5C4 ; unqualified # 🗄 E0.7 file cabinet</v>
      </c>
      <c r="C2122" t="str">
        <f t="shared" si="201"/>
        <v xml:space="preserve">1F5C4 </v>
      </c>
      <c r="D2122">
        <f t="shared" si="202"/>
        <v>6</v>
      </c>
      <c r="E2122" t="str">
        <f t="shared" si="198"/>
        <v xml:space="preserve"> 🗄 E0.7 file cabinet</v>
      </c>
      <c r="F2122" t="b">
        <f t="shared" si="203"/>
        <v>1</v>
      </c>
      <c r="G2122" t="str">
        <f t="shared" si="199"/>
        <v>1F5C4</v>
      </c>
      <c r="I2122">
        <f>HEX2DEC(Table1[[#This Row],[utf8]])</f>
        <v>128452</v>
      </c>
      <c r="J2122" t="str">
        <f>_xlfn.UNICHAR(HEX2DEC(Table1[[#This Row],[utf8]]))</f>
        <v>🗄</v>
      </c>
      <c r="K2122" s="3" t="str" cm="1">
        <f t="array" ref="K2122">"Case "&amp;wRandomLetter()&amp;wRandomLetter()&amp;I2122&amp;":    UniConst = ChrW(" &amp; I2122 &amp;")"</f>
        <v>Case yg128452:    UniConst = ChrW(128452)</v>
      </c>
    </row>
    <row r="2123" spans="1:11" hidden="1">
      <c r="A2123" t="s">
        <v>4020</v>
      </c>
      <c r="B2123" t="str">
        <f t="shared" si="200"/>
        <v>1F5C4 FE0F ; fully-qualified # 🗄️ E0.7 file cabinet</v>
      </c>
      <c r="C2123" t="str">
        <f t="shared" si="201"/>
        <v xml:space="preserve">1F5C4 FE0F </v>
      </c>
      <c r="D2123">
        <f t="shared" si="202"/>
        <v>11</v>
      </c>
      <c r="E2123" t="str">
        <f t="shared" si="198"/>
        <v xml:space="preserve"> 🗄️ E0.7 file cabinet</v>
      </c>
      <c r="F2123" t="b">
        <f t="shared" si="203"/>
        <v>1</v>
      </c>
      <c r="G2123" t="str">
        <f t="shared" si="199"/>
        <v>1F5C4</v>
      </c>
      <c r="I2123">
        <f>HEX2DEC(Table1[[#This Row],[utf8]])</f>
        <v>128452</v>
      </c>
      <c r="J2123" t="str">
        <f>_xlfn.UNICHAR(HEX2DEC(Table1[[#This Row],[utf8]]))</f>
        <v>🗄</v>
      </c>
      <c r="K2123" s="3" t="str" cm="1">
        <f t="array" ref="K2123">"Case "&amp;wRandomLetter()&amp;wRandomLetter()&amp;I2123&amp;":    UniConst = ChrW(" &amp; I2123 &amp;")"</f>
        <v>Case et128452:    UniConst = ChrW(128452)</v>
      </c>
    </row>
    <row r="2124" spans="1:11" hidden="1">
      <c r="A2124" t="s">
        <v>4023</v>
      </c>
      <c r="B2124" t="str">
        <f t="shared" si="200"/>
        <v>1F5D1 ; unqualified # 🗑 E0.7 wastebasket</v>
      </c>
      <c r="C2124" t="str">
        <f t="shared" si="201"/>
        <v xml:space="preserve">1F5D1 </v>
      </c>
      <c r="D2124">
        <f t="shared" si="202"/>
        <v>6</v>
      </c>
      <c r="E2124" t="str">
        <f t="shared" si="198"/>
        <v xml:space="preserve"> 🗑 E0.7 wastebasket</v>
      </c>
      <c r="F2124" t="b">
        <f t="shared" si="203"/>
        <v>1</v>
      </c>
      <c r="G2124" t="str">
        <f t="shared" si="199"/>
        <v>1F5D1</v>
      </c>
      <c r="I2124">
        <f>HEX2DEC(Table1[[#This Row],[utf8]])</f>
        <v>128465</v>
      </c>
      <c r="J2124" t="str">
        <f>_xlfn.UNICHAR(HEX2DEC(Table1[[#This Row],[utf8]]))</f>
        <v>🗑</v>
      </c>
      <c r="K2124" s="3" t="str" cm="1">
        <f t="array" ref="K2124">"Case "&amp;wRandomLetter()&amp;wRandomLetter()&amp;I2124&amp;":    UniConst = ChrW(" &amp; I2124 &amp;")"</f>
        <v>Case CX128465:    UniConst = ChrW(128465)</v>
      </c>
    </row>
    <row r="2125" spans="1:11" hidden="1">
      <c r="A2125" t="s">
        <v>4022</v>
      </c>
      <c r="B2125" t="str">
        <f t="shared" si="200"/>
        <v>1F5D1 FE0F ; fully-qualified # 🗑️ E0.7 wastebasket</v>
      </c>
      <c r="C2125" t="str">
        <f t="shared" si="201"/>
        <v xml:space="preserve">1F5D1 FE0F </v>
      </c>
      <c r="D2125">
        <f t="shared" si="202"/>
        <v>11</v>
      </c>
      <c r="E2125" t="str">
        <f t="shared" si="198"/>
        <v xml:space="preserve"> 🗑️ E0.7 wastebasket</v>
      </c>
      <c r="F2125" t="b">
        <f t="shared" si="203"/>
        <v>1</v>
      </c>
      <c r="G2125" t="str">
        <f t="shared" si="199"/>
        <v>1F5D1</v>
      </c>
      <c r="I2125">
        <f>HEX2DEC(Table1[[#This Row],[utf8]])</f>
        <v>128465</v>
      </c>
      <c r="J2125" t="str">
        <f>_xlfn.UNICHAR(HEX2DEC(Table1[[#This Row],[utf8]]))</f>
        <v>🗑</v>
      </c>
      <c r="K2125" s="3" t="str" cm="1">
        <f t="array" ref="K2125">"Case "&amp;wRandomLetter()&amp;wRandomLetter()&amp;I2125&amp;":    UniConst = ChrW(" &amp; I2125 &amp;")"</f>
        <v>Case Ym128465:    UniConst = ChrW(128465)</v>
      </c>
    </row>
    <row r="2126" spans="1:11" hidden="1">
      <c r="A2126" t="s">
        <v>4001</v>
      </c>
      <c r="B2126" t="str">
        <f t="shared" si="200"/>
        <v>1F5D2 ; unqualified # 🗒 E0.7 spiral notepad</v>
      </c>
      <c r="C2126" t="str">
        <f t="shared" si="201"/>
        <v xml:space="preserve">1F5D2 </v>
      </c>
      <c r="D2126">
        <f t="shared" si="202"/>
        <v>6</v>
      </c>
      <c r="E2126" t="str">
        <f t="shared" si="198"/>
        <v xml:space="preserve"> 🗒 E0.7 spiral notepad</v>
      </c>
      <c r="F2126" t="b">
        <f t="shared" si="203"/>
        <v>1</v>
      </c>
      <c r="G2126" t="str">
        <f t="shared" si="199"/>
        <v>1F5D2</v>
      </c>
      <c r="I2126">
        <f>HEX2DEC(Table1[[#This Row],[utf8]])</f>
        <v>128466</v>
      </c>
      <c r="J2126" t="str">
        <f>_xlfn.UNICHAR(HEX2DEC(Table1[[#This Row],[utf8]]))</f>
        <v>🗒</v>
      </c>
      <c r="K2126" s="3" t="str" cm="1">
        <f t="array" ref="K2126">"Case "&amp;wRandomLetter()&amp;wRandomLetter()&amp;I2126&amp;":    UniConst = ChrW(" &amp; I2126 &amp;")"</f>
        <v>Case Fi128466:    UniConst = ChrW(128466)</v>
      </c>
    </row>
    <row r="2127" spans="1:11" hidden="1">
      <c r="A2127" t="s">
        <v>4000</v>
      </c>
      <c r="B2127" t="str">
        <f t="shared" si="200"/>
        <v>1F5D2 FE0F ; fully-qualified # 🗒️ E0.7 spiral notepad</v>
      </c>
      <c r="C2127" t="str">
        <f t="shared" si="201"/>
        <v xml:space="preserve">1F5D2 FE0F </v>
      </c>
      <c r="D2127">
        <f t="shared" si="202"/>
        <v>11</v>
      </c>
      <c r="E2127" t="str">
        <f t="shared" si="198"/>
        <v xml:space="preserve"> 🗒️ E0.7 spiral notepad</v>
      </c>
      <c r="F2127" t="b">
        <f t="shared" si="203"/>
        <v>1</v>
      </c>
      <c r="G2127" t="str">
        <f t="shared" si="199"/>
        <v>1F5D2</v>
      </c>
      <c r="I2127">
        <f>HEX2DEC(Table1[[#This Row],[utf8]])</f>
        <v>128466</v>
      </c>
      <c r="J2127" t="str">
        <f>_xlfn.UNICHAR(HEX2DEC(Table1[[#This Row],[utf8]]))</f>
        <v>🗒</v>
      </c>
      <c r="K2127" s="3" t="str" cm="1">
        <f t="array" ref="K2127">"Case "&amp;wRandomLetter()&amp;wRandomLetter()&amp;I2127&amp;":    UniConst = ChrW(" &amp; I2127 &amp;")"</f>
        <v>Case Fk128466:    UniConst = ChrW(128466)</v>
      </c>
    </row>
    <row r="2128" spans="1:11" hidden="1">
      <c r="A2128" t="s">
        <v>4003</v>
      </c>
      <c r="B2128" t="str">
        <f t="shared" si="200"/>
        <v>1F5D3 ; unqualified # 🗓 E0.7 spiral calendar</v>
      </c>
      <c r="C2128" t="str">
        <f t="shared" si="201"/>
        <v xml:space="preserve">1F5D3 </v>
      </c>
      <c r="D2128">
        <f t="shared" si="202"/>
        <v>6</v>
      </c>
      <c r="E2128" t="str">
        <f t="shared" si="198"/>
        <v xml:space="preserve"> 🗓 E0.7 spiral calendar</v>
      </c>
      <c r="F2128" t="b">
        <f t="shared" si="203"/>
        <v>1</v>
      </c>
      <c r="G2128" t="str">
        <f t="shared" si="199"/>
        <v>1F5D3</v>
      </c>
      <c r="I2128">
        <f>HEX2DEC(Table1[[#This Row],[utf8]])</f>
        <v>128467</v>
      </c>
      <c r="J2128" t="str">
        <f>_xlfn.UNICHAR(HEX2DEC(Table1[[#This Row],[utf8]]))</f>
        <v>🗓</v>
      </c>
      <c r="K2128" s="3" t="str" cm="1">
        <f t="array" ref="K2128">"Case "&amp;wRandomLetter()&amp;wRandomLetter()&amp;I2128&amp;":    UniConst = ChrW(" &amp; I2128 &amp;")"</f>
        <v>Case jg128467:    UniConst = ChrW(128467)</v>
      </c>
    </row>
    <row r="2129" spans="1:11" hidden="1">
      <c r="A2129" t="s">
        <v>4002</v>
      </c>
      <c r="B2129" t="str">
        <f t="shared" si="200"/>
        <v>1F5D3 FE0F ; fully-qualified # 🗓️ E0.7 spiral calendar</v>
      </c>
      <c r="C2129" t="str">
        <f t="shared" si="201"/>
        <v xml:space="preserve">1F5D3 FE0F </v>
      </c>
      <c r="D2129">
        <f t="shared" si="202"/>
        <v>11</v>
      </c>
      <c r="E2129" t="str">
        <f t="shared" si="198"/>
        <v xml:space="preserve"> 🗓️ E0.7 spiral calendar</v>
      </c>
      <c r="F2129" t="b">
        <f t="shared" si="203"/>
        <v>1</v>
      </c>
      <c r="G2129" t="str">
        <f t="shared" si="199"/>
        <v>1F5D3</v>
      </c>
      <c r="I2129">
        <f>HEX2DEC(Table1[[#This Row],[utf8]])</f>
        <v>128467</v>
      </c>
      <c r="J2129" t="str">
        <f>_xlfn.UNICHAR(HEX2DEC(Table1[[#This Row],[utf8]]))</f>
        <v>🗓</v>
      </c>
      <c r="K2129" s="3" t="str" cm="1">
        <f t="array" ref="K2129">"Case "&amp;wRandomLetter()&amp;wRandomLetter()&amp;I2129&amp;":    UniConst = ChrW(" &amp; I2129 &amp;")"</f>
        <v>Case xt128467:    UniConst = ChrW(128467)</v>
      </c>
    </row>
    <row r="2130" spans="1:11" hidden="1">
      <c r="A2130" t="s">
        <v>4057</v>
      </c>
      <c r="B2130" t="str">
        <f t="shared" si="200"/>
        <v>1F5DC ; unqualified # 🗜 E0.7 clamp</v>
      </c>
      <c r="C2130" t="str">
        <f t="shared" si="201"/>
        <v xml:space="preserve">1F5DC </v>
      </c>
      <c r="D2130">
        <f t="shared" si="202"/>
        <v>6</v>
      </c>
      <c r="E2130" t="str">
        <f t="shared" si="198"/>
        <v xml:space="preserve"> 🗜 E0.7 clamp</v>
      </c>
      <c r="F2130" t="b">
        <f t="shared" si="203"/>
        <v>1</v>
      </c>
      <c r="G2130" t="str">
        <f t="shared" si="199"/>
        <v>1F5DC</v>
      </c>
      <c r="I2130">
        <f>HEX2DEC(Table1[[#This Row],[utf8]])</f>
        <v>128476</v>
      </c>
      <c r="J2130" t="str">
        <f>_xlfn.UNICHAR(HEX2DEC(Table1[[#This Row],[utf8]]))</f>
        <v>🗜</v>
      </c>
      <c r="K2130" s="3" t="str" cm="1">
        <f t="array" ref="K2130">"Case "&amp;wRandomLetter()&amp;wRandomLetter()&amp;I2130&amp;":    UniConst = ChrW(" &amp; I2130 &amp;")"</f>
        <v>Case pC128476:    UniConst = ChrW(128476)</v>
      </c>
    </row>
    <row r="2131" spans="1:11" hidden="1">
      <c r="A2131" t="s">
        <v>4056</v>
      </c>
      <c r="B2131" t="str">
        <f t="shared" si="200"/>
        <v>1F5DC FE0F ; fully-qualified # 🗜️ E0.7 clamp</v>
      </c>
      <c r="C2131" t="str">
        <f t="shared" si="201"/>
        <v xml:space="preserve">1F5DC FE0F </v>
      </c>
      <c r="D2131">
        <f t="shared" si="202"/>
        <v>11</v>
      </c>
      <c r="E2131" t="str">
        <f t="shared" si="198"/>
        <v xml:space="preserve"> 🗜️ E0.7 clamp</v>
      </c>
      <c r="F2131" t="b">
        <f t="shared" si="203"/>
        <v>1</v>
      </c>
      <c r="G2131" t="str">
        <f t="shared" si="199"/>
        <v>1F5DC</v>
      </c>
      <c r="I2131">
        <f>HEX2DEC(Table1[[#This Row],[utf8]])</f>
        <v>128476</v>
      </c>
      <c r="J2131" t="str">
        <f>_xlfn.UNICHAR(HEX2DEC(Table1[[#This Row],[utf8]]))</f>
        <v>🗜</v>
      </c>
      <c r="K2131" s="3" t="str" cm="1">
        <f t="array" ref="K2131">"Case "&amp;wRandomLetter()&amp;wRandomLetter()&amp;I2131&amp;":    UniConst = ChrW(" &amp; I2131 &amp;")"</f>
        <v>Case Zy128476:    UniConst = ChrW(128476)</v>
      </c>
    </row>
    <row r="2132" spans="1:11" hidden="1">
      <c r="A2132" t="s">
        <v>4031</v>
      </c>
      <c r="B2132" t="str">
        <f t="shared" si="200"/>
        <v>1F5DD ; unqualified # 🗝 E0.7 old key</v>
      </c>
      <c r="C2132" t="str">
        <f t="shared" si="201"/>
        <v xml:space="preserve">1F5DD </v>
      </c>
      <c r="D2132">
        <f t="shared" si="202"/>
        <v>6</v>
      </c>
      <c r="E2132" t="str">
        <f t="shared" si="198"/>
        <v xml:space="preserve"> 🗝 E0.7 old key</v>
      </c>
      <c r="F2132" t="b">
        <f t="shared" si="203"/>
        <v>1</v>
      </c>
      <c r="G2132" t="str">
        <f t="shared" si="199"/>
        <v>1F5DD</v>
      </c>
      <c r="I2132">
        <f>HEX2DEC(Table1[[#This Row],[utf8]])</f>
        <v>128477</v>
      </c>
      <c r="J2132" t="str">
        <f>_xlfn.UNICHAR(HEX2DEC(Table1[[#This Row],[utf8]]))</f>
        <v>🗝</v>
      </c>
      <c r="K2132" s="3" t="str" cm="1">
        <f t="array" ref="K2132">"Case "&amp;wRandomLetter()&amp;wRandomLetter()&amp;I2132&amp;":    UniConst = ChrW(" &amp; I2132 &amp;")"</f>
        <v>Case rN128477:    UniConst = ChrW(128477)</v>
      </c>
    </row>
    <row r="2133" spans="1:11" hidden="1">
      <c r="A2133" t="s">
        <v>4030</v>
      </c>
      <c r="B2133" t="str">
        <f t="shared" si="200"/>
        <v>1F5DD FE0F ; fully-qualified # 🗝️ E0.7 old key</v>
      </c>
      <c r="C2133" t="str">
        <f t="shared" si="201"/>
        <v xml:space="preserve">1F5DD FE0F </v>
      </c>
      <c r="D2133">
        <f t="shared" si="202"/>
        <v>11</v>
      </c>
      <c r="E2133" t="str">
        <f t="shared" si="198"/>
        <v xml:space="preserve"> 🗝️ E0.7 old key</v>
      </c>
      <c r="F2133" t="b">
        <f t="shared" si="203"/>
        <v>1</v>
      </c>
      <c r="G2133" t="str">
        <f t="shared" si="199"/>
        <v>1F5DD</v>
      </c>
      <c r="I2133">
        <f>HEX2DEC(Table1[[#This Row],[utf8]])</f>
        <v>128477</v>
      </c>
      <c r="J2133" t="str">
        <f>_xlfn.UNICHAR(HEX2DEC(Table1[[#This Row],[utf8]]))</f>
        <v>🗝</v>
      </c>
      <c r="K2133" s="3" t="str" cm="1">
        <f t="array" ref="K2133">"Case "&amp;wRandomLetter()&amp;wRandomLetter()&amp;I2133&amp;":    UniConst = ChrW(" &amp; I2133 &amp;")"</f>
        <v>Case TP128477:    UniConst = ChrW(128477)</v>
      </c>
    </row>
    <row r="2134" spans="1:11" hidden="1">
      <c r="A2134" t="s">
        <v>3946</v>
      </c>
      <c r="B2134" t="str">
        <f t="shared" si="200"/>
        <v>1F5DE ; unqualified # 🗞 E0.7 rolled-up newspaper</v>
      </c>
      <c r="C2134" t="str">
        <f t="shared" si="201"/>
        <v xml:space="preserve">1F5DE </v>
      </c>
      <c r="D2134">
        <f t="shared" si="202"/>
        <v>6</v>
      </c>
      <c r="E2134" t="str">
        <f t="shared" si="198"/>
        <v xml:space="preserve"> 🗞 E0.7 rolled-up newspaper</v>
      </c>
      <c r="F2134" t="b">
        <f t="shared" si="203"/>
        <v>1</v>
      </c>
      <c r="G2134" t="str">
        <f t="shared" si="199"/>
        <v>1F5DE</v>
      </c>
      <c r="I2134">
        <f>HEX2DEC(Table1[[#This Row],[utf8]])</f>
        <v>128478</v>
      </c>
      <c r="J2134" t="str">
        <f>_xlfn.UNICHAR(HEX2DEC(Table1[[#This Row],[utf8]]))</f>
        <v>🗞</v>
      </c>
      <c r="K2134" s="3" t="str" cm="1">
        <f t="array" ref="K2134">"Case "&amp;wRandomLetter()&amp;wRandomLetter()&amp;I2134&amp;":    UniConst = ChrW(" &amp; I2134 &amp;")"</f>
        <v>Case zE128478:    UniConst = ChrW(128478)</v>
      </c>
    </row>
    <row r="2135" spans="1:11" hidden="1">
      <c r="A2135" t="s">
        <v>3945</v>
      </c>
      <c r="B2135" t="str">
        <f t="shared" si="200"/>
        <v>1F5DE FE0F ; fully-qualified # 🗞️ E0.7 rolled-up newspaper</v>
      </c>
      <c r="C2135" t="str">
        <f t="shared" si="201"/>
        <v xml:space="preserve">1F5DE FE0F </v>
      </c>
      <c r="D2135">
        <f t="shared" si="202"/>
        <v>11</v>
      </c>
      <c r="E2135" t="str">
        <f t="shared" si="198"/>
        <v xml:space="preserve"> 🗞️ E0.7 rolled-up newspaper</v>
      </c>
      <c r="F2135" t="b">
        <f t="shared" si="203"/>
        <v>1</v>
      </c>
      <c r="G2135" t="str">
        <f t="shared" si="199"/>
        <v>1F5DE</v>
      </c>
      <c r="I2135">
        <f>HEX2DEC(Table1[[#This Row],[utf8]])</f>
        <v>128478</v>
      </c>
      <c r="J2135" t="str">
        <f>_xlfn.UNICHAR(HEX2DEC(Table1[[#This Row],[utf8]]))</f>
        <v>🗞</v>
      </c>
      <c r="K2135" s="3" t="str" cm="1">
        <f t="array" ref="K2135">"Case "&amp;wRandomLetter()&amp;wRandomLetter()&amp;I2135&amp;":    UniConst = ChrW(" &amp; I2135 &amp;")"</f>
        <v>Case Jp128478:    UniConst = ChrW(128478)</v>
      </c>
    </row>
    <row r="2136" spans="1:11" hidden="1">
      <c r="A2136" t="s">
        <v>4042</v>
      </c>
      <c r="B2136" t="str">
        <f t="shared" si="200"/>
        <v>1F5E1 ; unqualified # 🗡 E0.7 dagger</v>
      </c>
      <c r="C2136" t="str">
        <f t="shared" si="201"/>
        <v xml:space="preserve">1F5E1 </v>
      </c>
      <c r="D2136">
        <f t="shared" si="202"/>
        <v>6</v>
      </c>
      <c r="E2136" t="str">
        <f t="shared" si="198"/>
        <v xml:space="preserve"> 🗡 E0.7 dagger</v>
      </c>
      <c r="F2136" t="b">
        <f t="shared" si="203"/>
        <v>1</v>
      </c>
      <c r="G2136" t="str">
        <f t="shared" si="199"/>
        <v>1F5E1</v>
      </c>
      <c r="I2136">
        <f>HEX2DEC(Table1[[#This Row],[utf8]])</f>
        <v>128481</v>
      </c>
      <c r="J2136" t="str">
        <f>_xlfn.UNICHAR(HEX2DEC(Table1[[#This Row],[utf8]]))</f>
        <v>🗡</v>
      </c>
      <c r="K2136" s="3" t="str" cm="1">
        <f t="array" ref="K2136">"Case "&amp;wRandomLetter()&amp;wRandomLetter()&amp;I2136&amp;":    UniConst = ChrW(" &amp; I2136 &amp;")"</f>
        <v>Case je128481:    UniConst = ChrW(128481)</v>
      </c>
    </row>
    <row r="2137" spans="1:11" hidden="1">
      <c r="A2137" t="s">
        <v>4041</v>
      </c>
      <c r="B2137" t="str">
        <f t="shared" si="200"/>
        <v>1F5E1 FE0F ; fully-qualified # 🗡️ E0.7 dagger</v>
      </c>
      <c r="C2137" t="str">
        <f t="shared" si="201"/>
        <v xml:space="preserve">1F5E1 FE0F </v>
      </c>
      <c r="D2137">
        <f t="shared" si="202"/>
        <v>11</v>
      </c>
      <c r="E2137" t="str">
        <f t="shared" si="198"/>
        <v xml:space="preserve"> 🗡️ E0.7 dagger</v>
      </c>
      <c r="F2137" t="b">
        <f t="shared" si="203"/>
        <v>1</v>
      </c>
      <c r="G2137" t="str">
        <f t="shared" si="199"/>
        <v>1F5E1</v>
      </c>
      <c r="I2137">
        <f>HEX2DEC(Table1[[#This Row],[utf8]])</f>
        <v>128481</v>
      </c>
      <c r="J2137" t="str">
        <f>_xlfn.UNICHAR(HEX2DEC(Table1[[#This Row],[utf8]]))</f>
        <v>🗡</v>
      </c>
      <c r="K2137" s="3" t="str" cm="1">
        <f t="array" ref="K2137">"Case "&amp;wRandomLetter()&amp;wRandomLetter()&amp;I2137&amp;":    UniConst = ChrW(" &amp; I2137 &amp;")"</f>
        <v>Case AA128481:    UniConst = ChrW(128481)</v>
      </c>
    </row>
    <row r="2138" spans="1:11" hidden="1">
      <c r="A2138" t="s">
        <v>3099</v>
      </c>
      <c r="B2138" t="str">
        <f t="shared" si="200"/>
        <v>1F5E3 ; unqualified # 🗣 E0.7 speaking head</v>
      </c>
      <c r="C2138" t="str">
        <f t="shared" si="201"/>
        <v xml:space="preserve">1F5E3 </v>
      </c>
      <c r="D2138">
        <f t="shared" si="202"/>
        <v>6</v>
      </c>
      <c r="E2138" t="str">
        <f t="shared" si="198"/>
        <v xml:space="preserve"> 🗣 E0.7 speaking head</v>
      </c>
      <c r="F2138" t="b">
        <f t="shared" si="203"/>
        <v>1</v>
      </c>
      <c r="G2138" t="str">
        <f t="shared" si="199"/>
        <v>1F5E3</v>
      </c>
      <c r="I2138">
        <f>HEX2DEC(Table1[[#This Row],[utf8]])</f>
        <v>128483</v>
      </c>
      <c r="J2138" t="str">
        <f>_xlfn.UNICHAR(HEX2DEC(Table1[[#This Row],[utf8]]))</f>
        <v>🗣</v>
      </c>
      <c r="K2138" s="3" t="str" cm="1">
        <f t="array" ref="K2138">"Case "&amp;wRandomLetter()&amp;wRandomLetter()&amp;I2138&amp;":    UniConst = ChrW(" &amp; I2138 &amp;")"</f>
        <v>Case Zq128483:    UniConst = ChrW(128483)</v>
      </c>
    </row>
    <row r="2139" spans="1:11" hidden="1">
      <c r="A2139" t="s">
        <v>3098</v>
      </c>
      <c r="B2139" t="str">
        <f t="shared" si="200"/>
        <v>1F5E3 FE0F ; fully-qualified # 🗣️ E0.7 speaking head</v>
      </c>
      <c r="C2139" t="str">
        <f t="shared" si="201"/>
        <v xml:space="preserve">1F5E3 FE0F </v>
      </c>
      <c r="D2139">
        <f t="shared" si="202"/>
        <v>11</v>
      </c>
      <c r="E2139" t="str">
        <f t="shared" si="198"/>
        <v xml:space="preserve"> 🗣️ E0.7 speaking head</v>
      </c>
      <c r="F2139" t="b">
        <f t="shared" si="203"/>
        <v>1</v>
      </c>
      <c r="G2139" t="str">
        <f t="shared" si="199"/>
        <v>1F5E3</v>
      </c>
      <c r="I2139">
        <f>HEX2DEC(Table1[[#This Row],[utf8]])</f>
        <v>128483</v>
      </c>
      <c r="J2139" t="str">
        <f>_xlfn.UNICHAR(HEX2DEC(Table1[[#This Row],[utf8]]))</f>
        <v>🗣</v>
      </c>
      <c r="K2139" s="3" t="str" cm="1">
        <f t="array" ref="K2139">"Case "&amp;wRandomLetter()&amp;wRandomLetter()&amp;I2139&amp;":    UniConst = ChrW(" &amp; I2139 &amp;")"</f>
        <v>Case dL128483:    UniConst = ChrW(128483)</v>
      </c>
    </row>
    <row r="2140" spans="1:11" hidden="1">
      <c r="A2140" t="s">
        <v>181</v>
      </c>
      <c r="B2140" t="str">
        <f t="shared" si="200"/>
        <v>1F5E8 ; unqualified # 🗨 E2.0 left speech bubble</v>
      </c>
      <c r="C2140" t="str">
        <f t="shared" si="201"/>
        <v xml:space="preserve">1F5E8 </v>
      </c>
      <c r="D2140">
        <f t="shared" si="202"/>
        <v>6</v>
      </c>
      <c r="E2140" t="str">
        <f t="shared" si="198"/>
        <v xml:space="preserve"> 🗨 E2.0 left speech bubble</v>
      </c>
      <c r="F2140" t="b">
        <f t="shared" si="203"/>
        <v>1</v>
      </c>
      <c r="G2140" t="str">
        <f t="shared" si="199"/>
        <v>1F5E8</v>
      </c>
      <c r="I2140">
        <f>HEX2DEC(Table1[[#This Row],[utf8]])</f>
        <v>128488</v>
      </c>
      <c r="J2140" t="str">
        <f>_xlfn.UNICHAR(HEX2DEC(Table1[[#This Row],[utf8]]))</f>
        <v>🗨</v>
      </c>
      <c r="K2140" s="3" t="str" cm="1">
        <f t="array" ref="K2140">"Case "&amp;wRandomLetter()&amp;wRandomLetter()&amp;I2140&amp;":    UniConst = ChrW(" &amp; I2140 &amp;")"</f>
        <v>Case RG128488:    UniConst = ChrW(128488)</v>
      </c>
    </row>
    <row r="2141" spans="1:11" hidden="1">
      <c r="A2141" t="s">
        <v>180</v>
      </c>
      <c r="B2141" t="str">
        <f t="shared" si="200"/>
        <v>1F5E8 FE0F ; fully-qualified # 🗨️ E2.0 left speech bubble</v>
      </c>
      <c r="C2141" t="str">
        <f t="shared" si="201"/>
        <v xml:space="preserve">1F5E8 FE0F </v>
      </c>
      <c r="D2141">
        <f t="shared" si="202"/>
        <v>11</v>
      </c>
      <c r="E2141" t="str">
        <f t="shared" si="198"/>
        <v xml:space="preserve"> 🗨️ E2.0 left speech bubble</v>
      </c>
      <c r="F2141" t="b">
        <f t="shared" si="203"/>
        <v>1</v>
      </c>
      <c r="G2141" t="str">
        <f t="shared" si="199"/>
        <v>1F5E8</v>
      </c>
      <c r="I2141">
        <f>HEX2DEC(Table1[[#This Row],[utf8]])</f>
        <v>128488</v>
      </c>
      <c r="J2141" t="str">
        <f>_xlfn.UNICHAR(HEX2DEC(Table1[[#This Row],[utf8]]))</f>
        <v>🗨</v>
      </c>
      <c r="K2141" s="3" t="str" cm="1">
        <f t="array" ref="K2141">"Case "&amp;wRandomLetter()&amp;wRandomLetter()&amp;I2141&amp;":    UniConst = ChrW(" &amp; I2141 &amp;")"</f>
        <v>Case DD128488:    UniConst = ChrW(128488)</v>
      </c>
    </row>
    <row r="2142" spans="1:11" hidden="1">
      <c r="A2142" t="s">
        <v>183</v>
      </c>
      <c r="B2142" t="str">
        <f t="shared" si="200"/>
        <v>1F5EF ; unqualified # 🗯 E0.7 right anger bubble</v>
      </c>
      <c r="C2142" t="str">
        <f t="shared" si="201"/>
        <v xml:space="preserve">1F5EF </v>
      </c>
      <c r="D2142">
        <f t="shared" si="202"/>
        <v>6</v>
      </c>
      <c r="E2142" t="str">
        <f t="shared" si="198"/>
        <v xml:space="preserve"> 🗯 E0.7 right anger bubble</v>
      </c>
      <c r="F2142" t="b">
        <f t="shared" si="203"/>
        <v>1</v>
      </c>
      <c r="G2142" t="str">
        <f t="shared" si="199"/>
        <v>1F5EF</v>
      </c>
      <c r="I2142">
        <f>HEX2DEC(Table1[[#This Row],[utf8]])</f>
        <v>128495</v>
      </c>
      <c r="J2142" t="str">
        <f>_xlfn.UNICHAR(HEX2DEC(Table1[[#This Row],[utf8]]))</f>
        <v>🗯</v>
      </c>
      <c r="K2142" s="3" t="str" cm="1">
        <f t="array" ref="K2142">"Case "&amp;wRandomLetter()&amp;wRandomLetter()&amp;I2142&amp;":    UniConst = ChrW(" &amp; I2142 &amp;")"</f>
        <v>Case wk128495:    UniConst = ChrW(128495)</v>
      </c>
    </row>
    <row r="2143" spans="1:11" hidden="1">
      <c r="A2143" t="s">
        <v>182</v>
      </c>
      <c r="B2143" t="str">
        <f t="shared" si="200"/>
        <v>1F5EF FE0F ; fully-qualified # 🗯️ E0.7 right anger bubble</v>
      </c>
      <c r="C2143" t="str">
        <f t="shared" si="201"/>
        <v xml:space="preserve">1F5EF FE0F </v>
      </c>
      <c r="D2143">
        <f t="shared" si="202"/>
        <v>11</v>
      </c>
      <c r="E2143" t="str">
        <f t="shared" si="198"/>
        <v xml:space="preserve"> 🗯️ E0.7 right anger bubble</v>
      </c>
      <c r="F2143" t="b">
        <f t="shared" si="203"/>
        <v>1</v>
      </c>
      <c r="G2143" t="str">
        <f t="shared" si="199"/>
        <v>1F5EF</v>
      </c>
      <c r="I2143">
        <f>HEX2DEC(Table1[[#This Row],[utf8]])</f>
        <v>128495</v>
      </c>
      <c r="J2143" t="str">
        <f>_xlfn.UNICHAR(HEX2DEC(Table1[[#This Row],[utf8]]))</f>
        <v>🗯</v>
      </c>
      <c r="K2143" s="3" t="str" cm="1">
        <f t="array" ref="K2143">"Case "&amp;wRandomLetter()&amp;wRandomLetter()&amp;I2143&amp;":    UniConst = ChrW(" &amp; I2143 &amp;")"</f>
        <v>Case ac128495:    UniConst = ChrW(128495)</v>
      </c>
    </row>
    <row r="2144" spans="1:11" hidden="1">
      <c r="A2144" t="s">
        <v>3977</v>
      </c>
      <c r="B2144" t="str">
        <f t="shared" si="200"/>
        <v>1F5F3 ; unqualified # 🗳 E0.7 ballot box with ballot</v>
      </c>
      <c r="C2144" t="str">
        <f t="shared" si="201"/>
        <v xml:space="preserve">1F5F3 </v>
      </c>
      <c r="D2144">
        <f t="shared" si="202"/>
        <v>6</v>
      </c>
      <c r="E2144" t="str">
        <f t="shared" si="198"/>
        <v xml:space="preserve"> 🗳 E0.7 ballot box with ballot</v>
      </c>
      <c r="F2144" t="b">
        <f t="shared" si="203"/>
        <v>1</v>
      </c>
      <c r="G2144" t="str">
        <f t="shared" si="199"/>
        <v>1F5F3</v>
      </c>
      <c r="I2144">
        <f>HEX2DEC(Table1[[#This Row],[utf8]])</f>
        <v>128499</v>
      </c>
      <c r="J2144" t="str">
        <f>_xlfn.UNICHAR(HEX2DEC(Table1[[#This Row],[utf8]]))</f>
        <v>🗳</v>
      </c>
      <c r="K2144" s="3" t="str" cm="1">
        <f t="array" ref="K2144">"Case "&amp;wRandomLetter()&amp;wRandomLetter()&amp;I2144&amp;":    UniConst = ChrW(" &amp; I2144 &amp;")"</f>
        <v>Case OQ128499:    UniConst = ChrW(128499)</v>
      </c>
    </row>
    <row r="2145" spans="1:11" hidden="1">
      <c r="A2145" t="s">
        <v>3976</v>
      </c>
      <c r="B2145" t="str">
        <f t="shared" si="200"/>
        <v>1F5F3 FE0F ; fully-qualified # 🗳️ E0.7 ballot box with ballot</v>
      </c>
      <c r="C2145" t="str">
        <f t="shared" si="201"/>
        <v xml:space="preserve">1F5F3 FE0F </v>
      </c>
      <c r="D2145">
        <f t="shared" si="202"/>
        <v>11</v>
      </c>
      <c r="E2145" t="str">
        <f t="shared" si="198"/>
        <v xml:space="preserve"> 🗳️ E0.7 ballot box with ballot</v>
      </c>
      <c r="F2145" t="b">
        <f t="shared" si="203"/>
        <v>1</v>
      </c>
      <c r="G2145" t="str">
        <f t="shared" si="199"/>
        <v>1F5F3</v>
      </c>
      <c r="I2145">
        <f>HEX2DEC(Table1[[#This Row],[utf8]])</f>
        <v>128499</v>
      </c>
      <c r="J2145" t="str">
        <f>_xlfn.UNICHAR(HEX2DEC(Table1[[#This Row],[utf8]]))</f>
        <v>🗳</v>
      </c>
      <c r="K2145" s="3" t="str" cm="1">
        <f t="array" ref="K2145">"Case "&amp;wRandomLetter()&amp;wRandomLetter()&amp;I2145&amp;":    UniConst = ChrW(" &amp; I2145 &amp;")"</f>
        <v>Case oF128499:    UniConst = ChrW(128499)</v>
      </c>
    </row>
    <row r="2146" spans="1:11" hidden="1">
      <c r="A2146" t="s">
        <v>3427</v>
      </c>
      <c r="B2146" t="str">
        <f t="shared" si="200"/>
        <v>1F5FA ; unqualified # 🗺 E0.7 world map</v>
      </c>
      <c r="C2146" t="str">
        <f t="shared" si="201"/>
        <v xml:space="preserve">1F5FA </v>
      </c>
      <c r="D2146">
        <f t="shared" si="202"/>
        <v>6</v>
      </c>
      <c r="E2146" t="str">
        <f t="shared" si="198"/>
        <v xml:space="preserve"> 🗺 E0.7 world map</v>
      </c>
      <c r="F2146" t="b">
        <f t="shared" si="203"/>
        <v>1</v>
      </c>
      <c r="G2146" t="str">
        <f t="shared" si="199"/>
        <v>1F5FA</v>
      </c>
      <c r="I2146">
        <f>HEX2DEC(Table1[[#This Row],[utf8]])</f>
        <v>128506</v>
      </c>
      <c r="J2146" t="str">
        <f>_xlfn.UNICHAR(HEX2DEC(Table1[[#This Row],[utf8]]))</f>
        <v>🗺</v>
      </c>
      <c r="K2146" s="3" t="str" cm="1">
        <f t="array" ref="K2146">"Case "&amp;wRandomLetter()&amp;wRandomLetter()&amp;I2146&amp;":    UniConst = ChrW(" &amp; I2146 &amp;")"</f>
        <v>Case oN128506:    UniConst = ChrW(128506)</v>
      </c>
    </row>
    <row r="2147" spans="1:11" hidden="1">
      <c r="A2147" t="s">
        <v>3426</v>
      </c>
      <c r="B2147" t="str">
        <f t="shared" si="200"/>
        <v>1F5FA FE0F ; fully-qualified # 🗺️ E0.7 world map</v>
      </c>
      <c r="C2147" t="str">
        <f t="shared" si="201"/>
        <v xml:space="preserve">1F5FA FE0F </v>
      </c>
      <c r="D2147">
        <f t="shared" si="202"/>
        <v>11</v>
      </c>
      <c r="E2147" t="str">
        <f t="shared" si="198"/>
        <v xml:space="preserve"> 🗺️ E0.7 world map</v>
      </c>
      <c r="F2147" t="b">
        <f t="shared" si="203"/>
        <v>1</v>
      </c>
      <c r="G2147" t="str">
        <f t="shared" si="199"/>
        <v>1F5FA</v>
      </c>
      <c r="I2147">
        <f>HEX2DEC(Table1[[#This Row],[utf8]])</f>
        <v>128506</v>
      </c>
      <c r="J2147" t="str">
        <f>_xlfn.UNICHAR(HEX2DEC(Table1[[#This Row],[utf8]]))</f>
        <v>🗺</v>
      </c>
      <c r="K2147" s="3" t="str" cm="1">
        <f t="array" ref="K2147">"Case "&amp;wRandomLetter()&amp;wRandomLetter()&amp;I2147&amp;":    UniConst = ChrW(" &amp; I2147 &amp;")"</f>
        <v>Case VD128506:    UniConst = ChrW(128506)</v>
      </c>
    </row>
    <row r="2148" spans="1:11" hidden="1">
      <c r="A2148" t="s">
        <v>3436</v>
      </c>
      <c r="B2148" t="str">
        <f t="shared" si="200"/>
        <v>1F5FB ; fully-qualified # 🗻 E0.6 mount fuji</v>
      </c>
      <c r="C2148" t="str">
        <f t="shared" si="201"/>
        <v xml:space="preserve">1F5FB </v>
      </c>
      <c r="D2148">
        <f t="shared" si="202"/>
        <v>6</v>
      </c>
      <c r="E2148" t="str">
        <f t="shared" si="198"/>
        <v xml:space="preserve"> 🗻 E0.6 mount fuji</v>
      </c>
      <c r="F2148" t="b">
        <f t="shared" si="203"/>
        <v>1</v>
      </c>
      <c r="G2148" t="str">
        <f t="shared" si="199"/>
        <v>1F5FB</v>
      </c>
      <c r="I2148">
        <f>HEX2DEC(Table1[[#This Row],[utf8]])</f>
        <v>128507</v>
      </c>
      <c r="J2148" t="str">
        <f>_xlfn.UNICHAR(HEX2DEC(Table1[[#This Row],[utf8]]))</f>
        <v>🗻</v>
      </c>
      <c r="K2148" s="3" t="str" cm="1">
        <f t="array" ref="K2148">"Case "&amp;wRandomLetter()&amp;wRandomLetter()&amp;I2148&amp;":    UniConst = ChrW(" &amp; I2148 &amp;")"</f>
        <v>Case QA128507:    UniConst = ChrW(128507)</v>
      </c>
    </row>
    <row r="2149" spans="1:11" hidden="1">
      <c r="A2149" t="s">
        <v>3478</v>
      </c>
      <c r="B2149" t="str">
        <f t="shared" si="200"/>
        <v>1F5FC ; fully-qualified # 🗼 E0.6 Tokyo tower</v>
      </c>
      <c r="C2149" t="str">
        <f t="shared" si="201"/>
        <v xml:space="preserve">1F5FC </v>
      </c>
      <c r="D2149">
        <f t="shared" si="202"/>
        <v>6</v>
      </c>
      <c r="E2149" t="str">
        <f t="shared" si="198"/>
        <v xml:space="preserve"> 🗼 E0.6 Tokyo tower</v>
      </c>
      <c r="F2149" t="b">
        <f t="shared" si="203"/>
        <v>1</v>
      </c>
      <c r="G2149" t="str">
        <f t="shared" si="199"/>
        <v>1F5FC</v>
      </c>
      <c r="I2149">
        <f>HEX2DEC(Table1[[#This Row],[utf8]])</f>
        <v>128508</v>
      </c>
      <c r="J2149" t="str">
        <f>_xlfn.UNICHAR(HEX2DEC(Table1[[#This Row],[utf8]]))</f>
        <v>🗼</v>
      </c>
      <c r="K2149" s="3" t="str" cm="1">
        <f t="array" ref="K2149">"Case "&amp;wRandomLetter()&amp;wRandomLetter()&amp;I2149&amp;":    UniConst = ChrW(" &amp; I2149 &amp;")"</f>
        <v>Case aE128508:    UniConst = ChrW(128508)</v>
      </c>
    </row>
    <row r="2150" spans="1:11" hidden="1">
      <c r="A2150" t="s">
        <v>3479</v>
      </c>
      <c r="B2150" t="str">
        <f t="shared" si="200"/>
        <v>1F5FD ; fully-qualified # 🗽 E0.6 Statue of Liberty</v>
      </c>
      <c r="C2150" t="str">
        <f t="shared" si="201"/>
        <v xml:space="preserve">1F5FD </v>
      </c>
      <c r="D2150">
        <f t="shared" si="202"/>
        <v>6</v>
      </c>
      <c r="E2150" t="str">
        <f t="shared" si="198"/>
        <v xml:space="preserve"> 🗽 E0.6 Statue of Liberty</v>
      </c>
      <c r="F2150" t="b">
        <f t="shared" si="203"/>
        <v>1</v>
      </c>
      <c r="G2150" t="str">
        <f t="shared" si="199"/>
        <v>1F5FD</v>
      </c>
      <c r="I2150">
        <f>HEX2DEC(Table1[[#This Row],[utf8]])</f>
        <v>128509</v>
      </c>
      <c r="J2150" t="str">
        <f>_xlfn.UNICHAR(HEX2DEC(Table1[[#This Row],[utf8]]))</f>
        <v>🗽</v>
      </c>
      <c r="K2150" s="3" t="str" cm="1">
        <f t="array" ref="K2150">"Case "&amp;wRandomLetter()&amp;wRandomLetter()&amp;I2150&amp;":    UniConst = ChrW(" &amp; I2150 &amp;")"</f>
        <v>Case xU128509:    UniConst = ChrW(128509)</v>
      </c>
    </row>
    <row r="2151" spans="1:11" hidden="1">
      <c r="A2151" t="s">
        <v>3428</v>
      </c>
      <c r="B2151" t="str">
        <f t="shared" si="200"/>
        <v>1F5FE ; fully-qualified # 🗾 E0.6 map of Japan</v>
      </c>
      <c r="C2151" t="str">
        <f t="shared" si="201"/>
        <v xml:space="preserve">1F5FE </v>
      </c>
      <c r="D2151">
        <f t="shared" si="202"/>
        <v>6</v>
      </c>
      <c r="E2151" t="str">
        <f t="shared" si="198"/>
        <v xml:space="preserve"> 🗾 E0.6 map of Japan</v>
      </c>
      <c r="F2151" t="b">
        <f t="shared" si="203"/>
        <v>1</v>
      </c>
      <c r="G2151" t="str">
        <f t="shared" si="199"/>
        <v>1F5FE</v>
      </c>
      <c r="I2151">
        <f>HEX2DEC(Table1[[#This Row],[utf8]])</f>
        <v>128510</v>
      </c>
      <c r="J2151" t="str">
        <f>_xlfn.UNICHAR(HEX2DEC(Table1[[#This Row],[utf8]]))</f>
        <v>🗾</v>
      </c>
      <c r="K2151" s="3" t="str" cm="1">
        <f t="array" ref="K2151">"Case "&amp;wRandomLetter()&amp;wRandomLetter()&amp;I2151&amp;":    UniConst = ChrW(" &amp; I2151 &amp;")"</f>
        <v>Case YO128510:    UniConst = ChrW(128510)</v>
      </c>
    </row>
    <row r="2152" spans="1:11" hidden="1">
      <c r="A2152" t="s">
        <v>4117</v>
      </c>
      <c r="B2152" t="str">
        <f t="shared" si="200"/>
        <v>1F5FF ; fully-qualified # 🗿 E0.6 moai</v>
      </c>
      <c r="C2152" t="str">
        <f t="shared" si="201"/>
        <v xml:space="preserve">1F5FF </v>
      </c>
      <c r="D2152">
        <f t="shared" si="202"/>
        <v>6</v>
      </c>
      <c r="E2152" t="str">
        <f t="shared" si="198"/>
        <v xml:space="preserve"> 🗿 E0.6 moai</v>
      </c>
      <c r="F2152" t="b">
        <f t="shared" si="203"/>
        <v>1</v>
      </c>
      <c r="G2152" t="str">
        <f t="shared" si="199"/>
        <v>1F5FF</v>
      </c>
      <c r="I2152">
        <f>HEX2DEC(Table1[[#This Row],[utf8]])</f>
        <v>128511</v>
      </c>
      <c r="J2152" t="str">
        <f>_xlfn.UNICHAR(HEX2DEC(Table1[[#This Row],[utf8]]))</f>
        <v>🗿</v>
      </c>
      <c r="K2152" s="3" t="str" cm="1">
        <f t="array" ref="K2152">"Case "&amp;wRandomLetter()&amp;wRandomLetter()&amp;I2152&amp;":    UniConst = ChrW(" &amp; I2152 &amp;")"</f>
        <v>Case GP128511:    UniConst = ChrW(128511)</v>
      </c>
    </row>
    <row r="2153" spans="1:11" hidden="1">
      <c r="A2153" t="s">
        <v>2</v>
      </c>
      <c r="B2153" t="str">
        <f t="shared" si="200"/>
        <v>1F600 ; fully-qualified # 😀 E1.0 grinning face</v>
      </c>
      <c r="C2153" t="str">
        <f t="shared" si="201"/>
        <v xml:space="preserve">1F600 </v>
      </c>
      <c r="D2153">
        <f t="shared" si="202"/>
        <v>6</v>
      </c>
      <c r="E2153" t="str">
        <f t="shared" si="198"/>
        <v xml:space="preserve"> 😀 E1.0 grinning face</v>
      </c>
      <c r="F2153" t="b">
        <f t="shared" si="203"/>
        <v>1</v>
      </c>
      <c r="G2153" t="str">
        <f t="shared" si="199"/>
        <v>1F600</v>
      </c>
      <c r="I2153">
        <f>HEX2DEC(Table1[[#This Row],[utf8]])</f>
        <v>128512</v>
      </c>
      <c r="J2153" t="str">
        <f>_xlfn.UNICHAR(HEX2DEC(Table1[[#This Row],[utf8]]))</f>
        <v>😀</v>
      </c>
      <c r="K2153" s="3" t="str" cm="1">
        <f t="array" ref="K2153">"Case "&amp;wRandomLetter()&amp;wRandomLetter()&amp;I2153&amp;":    UniConst = ChrW(" &amp; I2153 &amp;")"</f>
        <v>Case GM128512:    UniConst = ChrW(128512)</v>
      </c>
    </row>
    <row r="2154" spans="1:11" hidden="1">
      <c r="A2154" t="s">
        <v>5</v>
      </c>
      <c r="B2154" t="str">
        <f t="shared" si="200"/>
        <v>1F601 ; fully-qualified # 😁 E0.6 beaming face with smiling eyes</v>
      </c>
      <c r="C2154" t="str">
        <f t="shared" si="201"/>
        <v xml:space="preserve">1F601 </v>
      </c>
      <c r="D2154">
        <f t="shared" si="202"/>
        <v>6</v>
      </c>
      <c r="E2154" t="str">
        <f t="shared" si="198"/>
        <v xml:space="preserve"> 😁 E0.6 beaming face with smiling eyes</v>
      </c>
      <c r="F2154" t="b">
        <f t="shared" si="203"/>
        <v>1</v>
      </c>
      <c r="G2154" t="str">
        <f t="shared" si="199"/>
        <v>1F601</v>
      </c>
      <c r="I2154">
        <f>HEX2DEC(Table1[[#This Row],[utf8]])</f>
        <v>128513</v>
      </c>
      <c r="J2154" t="str">
        <f>_xlfn.UNICHAR(HEX2DEC(Table1[[#This Row],[utf8]]))</f>
        <v>😁</v>
      </c>
      <c r="K2154" s="3" t="str" cm="1">
        <f t="array" ref="K2154">"Case "&amp;wRandomLetter()&amp;wRandomLetter()&amp;I2154&amp;":    UniConst = ChrW(" &amp; I2154 &amp;")"</f>
        <v>Case Pi128513:    UniConst = ChrW(128513)</v>
      </c>
    </row>
    <row r="2155" spans="1:11" hidden="1">
      <c r="A2155" t="s">
        <v>9</v>
      </c>
      <c r="B2155" t="str">
        <f t="shared" si="200"/>
        <v>1F602 ; fully-qualified # 😂 E0.6 face with tears of joy</v>
      </c>
      <c r="C2155" t="str">
        <f t="shared" si="201"/>
        <v xml:space="preserve">1F602 </v>
      </c>
      <c r="D2155">
        <f t="shared" si="202"/>
        <v>6</v>
      </c>
      <c r="E2155" t="str">
        <f t="shared" si="198"/>
        <v xml:space="preserve"> 😂 E0.6 face with tears of joy</v>
      </c>
      <c r="F2155" t="b">
        <f t="shared" si="203"/>
        <v>1</v>
      </c>
      <c r="G2155" t="str">
        <f t="shared" si="199"/>
        <v>1F602</v>
      </c>
      <c r="I2155">
        <f>HEX2DEC(Table1[[#This Row],[utf8]])</f>
        <v>128514</v>
      </c>
      <c r="J2155" t="str">
        <f>_xlfn.UNICHAR(HEX2DEC(Table1[[#This Row],[utf8]]))</f>
        <v>😂</v>
      </c>
      <c r="K2155" s="3" t="str" cm="1">
        <f t="array" ref="K2155">"Case "&amp;wRandomLetter()&amp;wRandomLetter()&amp;I2155&amp;":    UniConst = ChrW(" &amp; I2155 &amp;")"</f>
        <v>Case cn128514:    UniConst = ChrW(128514)</v>
      </c>
    </row>
    <row r="2156" spans="1:11" hidden="1">
      <c r="A2156" t="s">
        <v>3</v>
      </c>
      <c r="B2156" t="str">
        <f t="shared" si="200"/>
        <v>1F603 ; fully-qualified # 😃 E0.6 grinning face with big eyes</v>
      </c>
      <c r="C2156" t="str">
        <f t="shared" si="201"/>
        <v xml:space="preserve">1F603 </v>
      </c>
      <c r="D2156">
        <f t="shared" si="202"/>
        <v>6</v>
      </c>
      <c r="E2156" t="str">
        <f t="shared" si="198"/>
        <v xml:space="preserve"> 😃 E0.6 grinning face with big eyes</v>
      </c>
      <c r="F2156" t="b">
        <f t="shared" si="203"/>
        <v>1</v>
      </c>
      <c r="G2156" t="str">
        <f t="shared" si="199"/>
        <v>1F603</v>
      </c>
      <c r="I2156">
        <f>HEX2DEC(Table1[[#This Row],[utf8]])</f>
        <v>128515</v>
      </c>
      <c r="J2156" t="str">
        <f>_xlfn.UNICHAR(HEX2DEC(Table1[[#This Row],[utf8]]))</f>
        <v>😃</v>
      </c>
      <c r="K2156" s="3" t="str" cm="1">
        <f t="array" ref="K2156">"Case "&amp;wRandomLetter()&amp;wRandomLetter()&amp;I2156&amp;":    UniConst = ChrW(" &amp; I2156 &amp;")"</f>
        <v>Case yF128515:    UniConst = ChrW(128515)</v>
      </c>
    </row>
    <row r="2157" spans="1:11" hidden="1">
      <c r="A2157" t="s">
        <v>4</v>
      </c>
      <c r="B2157" t="str">
        <f t="shared" si="200"/>
        <v>1F604 ; fully-qualified # 😄 E0.6 grinning face with smiling eyes</v>
      </c>
      <c r="C2157" t="str">
        <f t="shared" si="201"/>
        <v xml:space="preserve">1F604 </v>
      </c>
      <c r="D2157">
        <f t="shared" si="202"/>
        <v>6</v>
      </c>
      <c r="E2157" t="str">
        <f t="shared" si="198"/>
        <v xml:space="preserve"> 😄 E0.6 grinning face with smiling eyes</v>
      </c>
      <c r="F2157" t="b">
        <f t="shared" si="203"/>
        <v>1</v>
      </c>
      <c r="G2157" t="str">
        <f t="shared" si="199"/>
        <v>1F604</v>
      </c>
      <c r="I2157">
        <f>HEX2DEC(Table1[[#This Row],[utf8]])</f>
        <v>128516</v>
      </c>
      <c r="J2157" t="str">
        <f>_xlfn.UNICHAR(HEX2DEC(Table1[[#This Row],[utf8]]))</f>
        <v>😄</v>
      </c>
      <c r="K2157" s="3" t="str" cm="1">
        <f t="array" ref="K2157">"Case "&amp;wRandomLetter()&amp;wRandomLetter()&amp;I2157&amp;":    UniConst = ChrW(" &amp; I2157 &amp;")"</f>
        <v>Case CX128516:    UniConst = ChrW(128516)</v>
      </c>
    </row>
    <row r="2158" spans="1:11" hidden="1">
      <c r="A2158" t="s">
        <v>7</v>
      </c>
      <c r="B2158" t="str">
        <f t="shared" si="200"/>
        <v>1F605 ; fully-qualified # 😅 E0.6 grinning face with sweat</v>
      </c>
      <c r="C2158" t="str">
        <f t="shared" si="201"/>
        <v xml:space="preserve">1F605 </v>
      </c>
      <c r="D2158">
        <f t="shared" si="202"/>
        <v>6</v>
      </c>
      <c r="E2158" t="str">
        <f t="shared" si="198"/>
        <v xml:space="preserve"> 😅 E0.6 grinning face with sweat</v>
      </c>
      <c r="F2158" t="b">
        <f t="shared" si="203"/>
        <v>1</v>
      </c>
      <c r="G2158" t="str">
        <f t="shared" si="199"/>
        <v>1F605</v>
      </c>
      <c r="I2158">
        <f>HEX2DEC(Table1[[#This Row],[utf8]])</f>
        <v>128517</v>
      </c>
      <c r="J2158" t="str">
        <f>_xlfn.UNICHAR(HEX2DEC(Table1[[#This Row],[utf8]]))</f>
        <v>😅</v>
      </c>
      <c r="K2158" s="3" t="str" cm="1">
        <f t="array" ref="K2158">"Case "&amp;wRandomLetter()&amp;wRandomLetter()&amp;I2158&amp;":    UniConst = ChrW(" &amp; I2158 &amp;")"</f>
        <v>Case Cg128517:    UniConst = ChrW(128517)</v>
      </c>
    </row>
    <row r="2159" spans="1:11" hidden="1">
      <c r="A2159" t="s">
        <v>6</v>
      </c>
      <c r="B2159" t="str">
        <f t="shared" si="200"/>
        <v>1F606 ; fully-qualified # 😆 E0.6 grinning squinting face</v>
      </c>
      <c r="C2159" t="str">
        <f t="shared" si="201"/>
        <v xml:space="preserve">1F606 </v>
      </c>
      <c r="D2159">
        <f t="shared" si="202"/>
        <v>6</v>
      </c>
      <c r="E2159" t="str">
        <f t="shared" si="198"/>
        <v xml:space="preserve"> 😆 E0.6 grinning squinting face</v>
      </c>
      <c r="F2159" t="b">
        <f t="shared" si="203"/>
        <v>1</v>
      </c>
      <c r="G2159" t="str">
        <f t="shared" si="199"/>
        <v>1F606</v>
      </c>
      <c r="I2159">
        <f>HEX2DEC(Table1[[#This Row],[utf8]])</f>
        <v>128518</v>
      </c>
      <c r="J2159" t="str">
        <f>_xlfn.UNICHAR(HEX2DEC(Table1[[#This Row],[utf8]]))</f>
        <v>😆</v>
      </c>
      <c r="K2159" s="3" t="str" cm="1">
        <f t="array" ref="K2159">"Case "&amp;wRandomLetter()&amp;wRandomLetter()&amp;I2159&amp;":    UniConst = ChrW(" &amp; I2159 &amp;")"</f>
        <v>Case Ma128518:    UniConst = ChrW(128518)</v>
      </c>
    </row>
    <row r="2160" spans="1:11" hidden="1">
      <c r="A2160" t="s">
        <v>14</v>
      </c>
      <c r="B2160" t="str">
        <f t="shared" si="200"/>
        <v>1F607 ; fully-qualified # 😇 E1.0 smiling face with halo</v>
      </c>
      <c r="C2160" t="str">
        <f t="shared" si="201"/>
        <v xml:space="preserve">1F607 </v>
      </c>
      <c r="D2160">
        <f t="shared" si="202"/>
        <v>6</v>
      </c>
      <c r="E2160" t="str">
        <f t="shared" si="198"/>
        <v xml:space="preserve"> 😇 E1.0 smiling face with halo</v>
      </c>
      <c r="F2160" t="b">
        <f t="shared" si="203"/>
        <v>1</v>
      </c>
      <c r="G2160" t="str">
        <f t="shared" si="199"/>
        <v>1F607</v>
      </c>
      <c r="I2160">
        <f>HEX2DEC(Table1[[#This Row],[utf8]])</f>
        <v>128519</v>
      </c>
      <c r="J2160" t="str">
        <f>_xlfn.UNICHAR(HEX2DEC(Table1[[#This Row],[utf8]]))</f>
        <v>😇</v>
      </c>
      <c r="K2160" s="3" t="str" cm="1">
        <f t="array" ref="K2160">"Case "&amp;wRandomLetter()&amp;wRandomLetter()&amp;I2160&amp;":    UniConst = ChrW(" &amp; I2160 &amp;")"</f>
        <v>Case GS128519:    UniConst = ChrW(128519)</v>
      </c>
    </row>
    <row r="2161" spans="1:11" hidden="1">
      <c r="A2161" t="s">
        <v>110</v>
      </c>
      <c r="B2161" t="str">
        <f t="shared" si="200"/>
        <v>1F608 ; fully-qualified # 😈 E1.0 smiling face with horns</v>
      </c>
      <c r="C2161" t="str">
        <f t="shared" si="201"/>
        <v xml:space="preserve">1F608 </v>
      </c>
      <c r="D2161">
        <f t="shared" si="202"/>
        <v>6</v>
      </c>
      <c r="E2161" t="str">
        <f t="shared" si="198"/>
        <v xml:space="preserve"> 😈 E1.0 smiling face with horns</v>
      </c>
      <c r="F2161" t="b">
        <f t="shared" si="203"/>
        <v>1</v>
      </c>
      <c r="G2161" t="str">
        <f t="shared" si="199"/>
        <v>1F608</v>
      </c>
      <c r="I2161">
        <f>HEX2DEC(Table1[[#This Row],[utf8]])</f>
        <v>128520</v>
      </c>
      <c r="J2161" t="str">
        <f>_xlfn.UNICHAR(HEX2DEC(Table1[[#This Row],[utf8]]))</f>
        <v>😈</v>
      </c>
      <c r="K2161" s="3" t="str" cm="1">
        <f t="array" ref="K2161">"Case "&amp;wRandomLetter()&amp;wRandomLetter()&amp;I2161&amp;":    UniConst = ChrW(" &amp; I2161 &amp;")"</f>
        <v>Case yU128520:    UniConst = ChrW(128520)</v>
      </c>
    </row>
    <row r="2162" spans="1:11" hidden="1">
      <c r="A2162" t="s">
        <v>12</v>
      </c>
      <c r="B2162" t="str">
        <f t="shared" si="200"/>
        <v>1F609 ; fully-qualified # 😉 E0.6 winking face</v>
      </c>
      <c r="C2162" t="str">
        <f t="shared" si="201"/>
        <v xml:space="preserve">1F609 </v>
      </c>
      <c r="D2162">
        <f t="shared" si="202"/>
        <v>6</v>
      </c>
      <c r="E2162" t="str">
        <f t="shared" si="198"/>
        <v xml:space="preserve"> 😉 E0.6 winking face</v>
      </c>
      <c r="F2162" t="b">
        <f t="shared" si="203"/>
        <v>1</v>
      </c>
      <c r="G2162" t="str">
        <f t="shared" si="199"/>
        <v>1F609</v>
      </c>
      <c r="I2162">
        <f>HEX2DEC(Table1[[#This Row],[utf8]])</f>
        <v>128521</v>
      </c>
      <c r="J2162" t="str">
        <f>_xlfn.UNICHAR(HEX2DEC(Table1[[#This Row],[utf8]]))</f>
        <v>😉</v>
      </c>
      <c r="K2162" s="3" t="str" cm="1">
        <f t="array" ref="K2162">"Case "&amp;wRandomLetter()&amp;wRandomLetter()&amp;I2162&amp;":    UniConst = ChrW(" &amp; I2162 &amp;")"</f>
        <v>Case Mu128521:    UniConst = ChrW(128521)</v>
      </c>
    </row>
    <row r="2163" spans="1:11" hidden="1">
      <c r="A2163" t="s">
        <v>13</v>
      </c>
      <c r="B2163" t="str">
        <f t="shared" si="200"/>
        <v>1F60A ; fully-qualified # 😊 E0.6 smiling face with smiling eyes</v>
      </c>
      <c r="C2163" t="str">
        <f t="shared" si="201"/>
        <v xml:space="preserve">1F60A </v>
      </c>
      <c r="D2163">
        <f t="shared" si="202"/>
        <v>6</v>
      </c>
      <c r="E2163" t="str">
        <f t="shared" si="198"/>
        <v xml:space="preserve"> 😊 E0.6 smiling face with smiling eyes</v>
      </c>
      <c r="F2163" t="b">
        <f t="shared" si="203"/>
        <v>1</v>
      </c>
      <c r="G2163" t="str">
        <f t="shared" si="199"/>
        <v>1F60A</v>
      </c>
      <c r="I2163">
        <f>HEX2DEC(Table1[[#This Row],[utf8]])</f>
        <v>128522</v>
      </c>
      <c r="J2163" t="str">
        <f>_xlfn.UNICHAR(HEX2DEC(Table1[[#This Row],[utf8]]))</f>
        <v>😊</v>
      </c>
      <c r="K2163" s="3" t="str" cm="1">
        <f t="array" ref="K2163">"Case "&amp;wRandomLetter()&amp;wRandomLetter()&amp;I2163&amp;":    UniConst = ChrW(" &amp; I2163 &amp;")"</f>
        <v>Case tF128522:    UniConst = ChrW(128522)</v>
      </c>
    </row>
    <row r="2164" spans="1:11" hidden="1">
      <c r="A2164" t="s">
        <v>27</v>
      </c>
      <c r="B2164" t="str">
        <f t="shared" si="200"/>
        <v>1F60B ; fully-qualified # 😋 E0.6 face savoring food</v>
      </c>
      <c r="C2164" t="str">
        <f t="shared" si="201"/>
        <v xml:space="preserve">1F60B </v>
      </c>
      <c r="D2164">
        <f t="shared" si="202"/>
        <v>6</v>
      </c>
      <c r="E2164" t="str">
        <f t="shared" si="198"/>
        <v xml:space="preserve"> 😋 E0.6 face savoring food</v>
      </c>
      <c r="F2164" t="b">
        <f t="shared" si="203"/>
        <v>1</v>
      </c>
      <c r="G2164" t="str">
        <f t="shared" si="199"/>
        <v>1F60B</v>
      </c>
      <c r="I2164">
        <f>HEX2DEC(Table1[[#This Row],[utf8]])</f>
        <v>128523</v>
      </c>
      <c r="J2164" t="str">
        <f>_xlfn.UNICHAR(HEX2DEC(Table1[[#This Row],[utf8]]))</f>
        <v>😋</v>
      </c>
      <c r="K2164" s="3" t="str" cm="1">
        <f t="array" ref="K2164">"Case "&amp;wRandomLetter()&amp;wRandomLetter()&amp;I2164&amp;":    UniConst = ChrW(" &amp; I2164 &amp;")"</f>
        <v>Case gj128523:    UniConst = ChrW(128523)</v>
      </c>
    </row>
    <row r="2165" spans="1:11" hidden="1">
      <c r="A2165" t="s">
        <v>53</v>
      </c>
      <c r="B2165" t="str">
        <f t="shared" si="200"/>
        <v>1F60C ; fully-qualified # 😌 E0.6 relieved face</v>
      </c>
      <c r="C2165" t="str">
        <f t="shared" si="201"/>
        <v xml:space="preserve">1F60C </v>
      </c>
      <c r="D2165">
        <f t="shared" si="202"/>
        <v>6</v>
      </c>
      <c r="E2165" t="str">
        <f t="shared" si="198"/>
        <v xml:space="preserve"> 😌 E0.6 relieved face</v>
      </c>
      <c r="F2165" t="b">
        <f t="shared" si="203"/>
        <v>1</v>
      </c>
      <c r="G2165" t="str">
        <f t="shared" si="199"/>
        <v>1F60C</v>
      </c>
      <c r="I2165">
        <f>HEX2DEC(Table1[[#This Row],[utf8]])</f>
        <v>128524</v>
      </c>
      <c r="J2165" t="str">
        <f>_xlfn.UNICHAR(HEX2DEC(Table1[[#This Row],[utf8]]))</f>
        <v>😌</v>
      </c>
      <c r="K2165" s="3" t="str" cm="1">
        <f t="array" ref="K2165">"Case "&amp;wRandomLetter()&amp;wRandomLetter()&amp;I2165&amp;":    UniConst = ChrW(" &amp; I2165 &amp;")"</f>
        <v>Case pD128524:    UniConst = ChrW(128524)</v>
      </c>
    </row>
    <row r="2166" spans="1:11" hidden="1">
      <c r="A2166" t="s">
        <v>17</v>
      </c>
      <c r="B2166" t="str">
        <f t="shared" si="200"/>
        <v>1F60D ; fully-qualified # 😍 E0.6 smiling face with heart-eyes</v>
      </c>
      <c r="C2166" t="str">
        <f t="shared" si="201"/>
        <v xml:space="preserve">1F60D </v>
      </c>
      <c r="D2166">
        <f t="shared" si="202"/>
        <v>6</v>
      </c>
      <c r="E2166" t="str">
        <f t="shared" si="198"/>
        <v xml:space="preserve"> 😍 E0.6 smiling face with heart-eyes</v>
      </c>
      <c r="F2166" t="b">
        <f t="shared" si="203"/>
        <v>1</v>
      </c>
      <c r="G2166" t="str">
        <f t="shared" si="199"/>
        <v>1F60D</v>
      </c>
      <c r="I2166">
        <f>HEX2DEC(Table1[[#This Row],[utf8]])</f>
        <v>128525</v>
      </c>
      <c r="J2166" t="str">
        <f>_xlfn.UNICHAR(HEX2DEC(Table1[[#This Row],[utf8]]))</f>
        <v>😍</v>
      </c>
      <c r="K2166" s="3" t="str" cm="1">
        <f t="array" ref="K2166">"Case "&amp;wRandomLetter()&amp;wRandomLetter()&amp;I2166&amp;":    UniConst = ChrW(" &amp; I2166 &amp;")"</f>
        <v>Case kd128525:    UniConst = ChrW(128525)</v>
      </c>
    </row>
    <row r="2167" spans="1:11" hidden="1">
      <c r="A2167" t="s">
        <v>76</v>
      </c>
      <c r="B2167" t="str">
        <f t="shared" si="200"/>
        <v>1F60E ; fully-qualified # 😎 E1.0 smiling face with sunglasses</v>
      </c>
      <c r="C2167" t="str">
        <f t="shared" si="201"/>
        <v xml:space="preserve">1F60E </v>
      </c>
      <c r="D2167">
        <f t="shared" si="202"/>
        <v>6</v>
      </c>
      <c r="E2167" t="str">
        <f t="shared" si="198"/>
        <v xml:space="preserve"> 😎 E1.0 smiling face with sunglasses</v>
      </c>
      <c r="F2167" t="b">
        <f t="shared" si="203"/>
        <v>1</v>
      </c>
      <c r="G2167" t="str">
        <f t="shared" si="199"/>
        <v>1F60E</v>
      </c>
      <c r="I2167">
        <f>HEX2DEC(Table1[[#This Row],[utf8]])</f>
        <v>128526</v>
      </c>
      <c r="J2167" t="str">
        <f>_xlfn.UNICHAR(HEX2DEC(Table1[[#This Row],[utf8]]))</f>
        <v>😎</v>
      </c>
      <c r="K2167" s="3" t="str" cm="1">
        <f t="array" ref="K2167">"Case "&amp;wRandomLetter()&amp;wRandomLetter()&amp;I2167&amp;":    UniConst = ChrW(" &amp; I2167 &amp;")"</f>
        <v>Case GB128526:    UniConst = ChrW(128526)</v>
      </c>
    </row>
    <row r="2168" spans="1:11" hidden="1">
      <c r="A2168" t="s">
        <v>46</v>
      </c>
      <c r="B2168" t="str">
        <f t="shared" si="200"/>
        <v>1F60F ; fully-qualified # 😏 E0.6 smirking face</v>
      </c>
      <c r="C2168" t="str">
        <f t="shared" si="201"/>
        <v xml:space="preserve">1F60F </v>
      </c>
      <c r="D2168">
        <f t="shared" si="202"/>
        <v>6</v>
      </c>
      <c r="E2168" t="str">
        <f t="shared" si="198"/>
        <v xml:space="preserve"> 😏 E0.6 smirking face</v>
      </c>
      <c r="F2168" t="b">
        <f t="shared" si="203"/>
        <v>1</v>
      </c>
      <c r="G2168" t="str">
        <f t="shared" si="199"/>
        <v>1F60F</v>
      </c>
      <c r="I2168">
        <f>HEX2DEC(Table1[[#This Row],[utf8]])</f>
        <v>128527</v>
      </c>
      <c r="J2168" t="str">
        <f>_xlfn.UNICHAR(HEX2DEC(Table1[[#This Row],[utf8]]))</f>
        <v>😏</v>
      </c>
      <c r="K2168" s="3" t="str" cm="1">
        <f t="array" ref="K2168">"Case "&amp;wRandomLetter()&amp;wRandomLetter()&amp;I2168&amp;":    UniConst = ChrW(" &amp; I2168 &amp;")"</f>
        <v>Case IX128527:    UniConst = ChrW(128527)</v>
      </c>
    </row>
    <row r="2169" spans="1:11" hidden="1">
      <c r="A2169" t="s">
        <v>41</v>
      </c>
      <c r="B2169" t="str">
        <f t="shared" si="200"/>
        <v>1F610 ; fully-qualified # 😐 E0.7 neutral face</v>
      </c>
      <c r="C2169" t="str">
        <f t="shared" si="201"/>
        <v xml:space="preserve">1F610 </v>
      </c>
      <c r="D2169">
        <f t="shared" si="202"/>
        <v>6</v>
      </c>
      <c r="E2169" t="str">
        <f t="shared" si="198"/>
        <v xml:space="preserve"> 😐 E0.7 neutral face</v>
      </c>
      <c r="F2169" t="b">
        <f t="shared" si="203"/>
        <v>1</v>
      </c>
      <c r="G2169" t="str">
        <f t="shared" si="199"/>
        <v>1F610</v>
      </c>
      <c r="I2169">
        <f>HEX2DEC(Table1[[#This Row],[utf8]])</f>
        <v>128528</v>
      </c>
      <c r="J2169" t="str">
        <f>_xlfn.UNICHAR(HEX2DEC(Table1[[#This Row],[utf8]]))</f>
        <v>😐</v>
      </c>
      <c r="K2169" s="3" t="str" cm="1">
        <f t="array" ref="K2169">"Case "&amp;wRandomLetter()&amp;wRandomLetter()&amp;I2169&amp;":    UniConst = ChrW(" &amp; I2169 &amp;")"</f>
        <v>Case Ol128528:    UniConst = ChrW(128528)</v>
      </c>
    </row>
    <row r="2170" spans="1:11" hidden="1">
      <c r="A2170" t="s">
        <v>42</v>
      </c>
      <c r="B2170" t="str">
        <f t="shared" si="200"/>
        <v>1F611 ; fully-qualified # 😑 E1.0 expressionless face</v>
      </c>
      <c r="C2170" t="str">
        <f t="shared" si="201"/>
        <v xml:space="preserve">1F611 </v>
      </c>
      <c r="D2170">
        <f t="shared" si="202"/>
        <v>6</v>
      </c>
      <c r="E2170" t="str">
        <f t="shared" si="198"/>
        <v xml:space="preserve"> 😑 E1.0 expressionless face</v>
      </c>
      <c r="F2170" t="b">
        <f t="shared" si="203"/>
        <v>1</v>
      </c>
      <c r="G2170" t="str">
        <f t="shared" si="199"/>
        <v>1F611</v>
      </c>
      <c r="I2170">
        <f>HEX2DEC(Table1[[#This Row],[utf8]])</f>
        <v>128529</v>
      </c>
      <c r="J2170" t="str">
        <f>_xlfn.UNICHAR(HEX2DEC(Table1[[#This Row],[utf8]]))</f>
        <v>😑</v>
      </c>
      <c r="K2170" s="3" t="str" cm="1">
        <f t="array" ref="K2170">"Case "&amp;wRandomLetter()&amp;wRandomLetter()&amp;I2170&amp;":    UniConst = ChrW(" &amp; I2170 &amp;")"</f>
        <v>Case DF128529:    UniConst = ChrW(128529)</v>
      </c>
    </row>
    <row r="2171" spans="1:11" hidden="1">
      <c r="A2171" t="s">
        <v>47</v>
      </c>
      <c r="B2171" t="str">
        <f t="shared" si="200"/>
        <v>1F612 ; fully-qualified # 😒 E0.6 unamused face</v>
      </c>
      <c r="C2171" t="str">
        <f t="shared" si="201"/>
        <v xml:space="preserve">1F612 </v>
      </c>
      <c r="D2171">
        <f t="shared" si="202"/>
        <v>6</v>
      </c>
      <c r="E2171" t="str">
        <f t="shared" si="198"/>
        <v xml:space="preserve"> 😒 E0.6 unamused face</v>
      </c>
      <c r="F2171" t="b">
        <f t="shared" si="203"/>
        <v>1</v>
      </c>
      <c r="G2171" t="str">
        <f t="shared" si="199"/>
        <v>1F612</v>
      </c>
      <c r="I2171">
        <f>HEX2DEC(Table1[[#This Row],[utf8]])</f>
        <v>128530</v>
      </c>
      <c r="J2171" t="str">
        <f>_xlfn.UNICHAR(HEX2DEC(Table1[[#This Row],[utf8]]))</f>
        <v>😒</v>
      </c>
      <c r="K2171" s="3" t="str" cm="1">
        <f t="array" ref="K2171">"Case "&amp;wRandomLetter()&amp;wRandomLetter()&amp;I2171&amp;":    UniConst = ChrW(" &amp; I2171 &amp;")"</f>
        <v>Case Ir128530:    UniConst = ChrW(128530)</v>
      </c>
    </row>
    <row r="2172" spans="1:11" hidden="1">
      <c r="A2172" t="s">
        <v>101</v>
      </c>
      <c r="B2172" t="str">
        <f t="shared" si="200"/>
        <v>1F613 ; fully-qualified # 😓 E0.6 downcast face with sweat</v>
      </c>
      <c r="C2172" t="str">
        <f t="shared" si="201"/>
        <v xml:space="preserve">1F613 </v>
      </c>
      <c r="D2172">
        <f t="shared" si="202"/>
        <v>6</v>
      </c>
      <c r="E2172" t="str">
        <f t="shared" si="198"/>
        <v xml:space="preserve"> 😓 E0.6 downcast face with sweat</v>
      </c>
      <c r="F2172" t="b">
        <f t="shared" si="203"/>
        <v>1</v>
      </c>
      <c r="G2172" t="str">
        <f t="shared" si="199"/>
        <v>1F613</v>
      </c>
      <c r="I2172">
        <f>HEX2DEC(Table1[[#This Row],[utf8]])</f>
        <v>128531</v>
      </c>
      <c r="J2172" t="str">
        <f>_xlfn.UNICHAR(HEX2DEC(Table1[[#This Row],[utf8]]))</f>
        <v>😓</v>
      </c>
      <c r="K2172" s="3" t="str" cm="1">
        <f t="array" ref="K2172">"Case "&amp;wRandomLetter()&amp;wRandomLetter()&amp;I2172&amp;":    UniConst = ChrW(" &amp; I2172 &amp;")"</f>
        <v>Case fc128531:    UniConst = ChrW(128531)</v>
      </c>
    </row>
    <row r="2173" spans="1:11" hidden="1">
      <c r="A2173" t="s">
        <v>54</v>
      </c>
      <c r="B2173" t="str">
        <f t="shared" si="200"/>
        <v>1F614 ; fully-qualified # 😔 E0.6 pensive face</v>
      </c>
      <c r="C2173" t="str">
        <f t="shared" si="201"/>
        <v xml:space="preserve">1F614 </v>
      </c>
      <c r="D2173">
        <f t="shared" si="202"/>
        <v>6</v>
      </c>
      <c r="E2173" t="str">
        <f t="shared" si="198"/>
        <v xml:space="preserve"> 😔 E0.6 pensive face</v>
      </c>
      <c r="F2173" t="b">
        <f t="shared" si="203"/>
        <v>1</v>
      </c>
      <c r="G2173" t="str">
        <f t="shared" si="199"/>
        <v>1F614</v>
      </c>
      <c r="I2173">
        <f>HEX2DEC(Table1[[#This Row],[utf8]])</f>
        <v>128532</v>
      </c>
      <c r="J2173" t="str">
        <f>_xlfn.UNICHAR(HEX2DEC(Table1[[#This Row],[utf8]]))</f>
        <v>😔</v>
      </c>
      <c r="K2173" s="3" t="str" cm="1">
        <f t="array" ref="K2173">"Case "&amp;wRandomLetter()&amp;wRandomLetter()&amp;I2173&amp;":    UniConst = ChrW(" &amp; I2173 &amp;")"</f>
        <v>Case JF128532:    UniConst = ChrW(128532)</v>
      </c>
    </row>
    <row r="2174" spans="1:11" hidden="1">
      <c r="A2174" t="s">
        <v>80</v>
      </c>
      <c r="B2174" t="str">
        <f t="shared" si="200"/>
        <v>1F615 ; fully-qualified # 😕 E1.0 confused face</v>
      </c>
      <c r="C2174" t="str">
        <f t="shared" si="201"/>
        <v xml:space="preserve">1F615 </v>
      </c>
      <c r="D2174">
        <f t="shared" si="202"/>
        <v>6</v>
      </c>
      <c r="E2174" t="str">
        <f t="shared" si="198"/>
        <v xml:space="preserve"> 😕 E1.0 confused face</v>
      </c>
      <c r="F2174" t="b">
        <f t="shared" si="203"/>
        <v>1</v>
      </c>
      <c r="G2174" t="str">
        <f t="shared" si="199"/>
        <v>1F615</v>
      </c>
      <c r="I2174">
        <f>HEX2DEC(Table1[[#This Row],[utf8]])</f>
        <v>128533</v>
      </c>
      <c r="J2174" t="str">
        <f>_xlfn.UNICHAR(HEX2DEC(Table1[[#This Row],[utf8]]))</f>
        <v>😕</v>
      </c>
      <c r="K2174" s="3" t="str" cm="1">
        <f t="array" ref="K2174">"Case "&amp;wRandomLetter()&amp;wRandomLetter()&amp;I2174&amp;":    UniConst = ChrW(" &amp; I2174 &amp;")"</f>
        <v>Case wL128533:    UniConst = ChrW(128533)</v>
      </c>
    </row>
    <row r="2175" spans="1:11" hidden="1">
      <c r="A2175" t="s">
        <v>98</v>
      </c>
      <c r="B2175" t="str">
        <f t="shared" si="200"/>
        <v>1F616 ; fully-qualified # 😖 E0.6 confounded face</v>
      </c>
      <c r="C2175" t="str">
        <f t="shared" si="201"/>
        <v xml:space="preserve">1F616 </v>
      </c>
      <c r="D2175">
        <f t="shared" si="202"/>
        <v>6</v>
      </c>
      <c r="E2175" t="str">
        <f t="shared" si="198"/>
        <v xml:space="preserve"> 😖 E0.6 confounded face</v>
      </c>
      <c r="F2175" t="b">
        <f t="shared" si="203"/>
        <v>1</v>
      </c>
      <c r="G2175" t="str">
        <f t="shared" si="199"/>
        <v>1F616</v>
      </c>
      <c r="I2175">
        <f>HEX2DEC(Table1[[#This Row],[utf8]])</f>
        <v>128534</v>
      </c>
      <c r="J2175" t="str">
        <f>_xlfn.UNICHAR(HEX2DEC(Table1[[#This Row],[utf8]]))</f>
        <v>😖</v>
      </c>
      <c r="K2175" s="3" t="str" cm="1">
        <f t="array" ref="K2175">"Case "&amp;wRandomLetter()&amp;wRandomLetter()&amp;I2175&amp;":    UniConst = ChrW(" &amp; I2175 &amp;")"</f>
        <v>Case UQ128534:    UniConst = ChrW(128534)</v>
      </c>
    </row>
    <row r="2176" spans="1:11" hidden="1">
      <c r="A2176" t="s">
        <v>20</v>
      </c>
      <c r="B2176" t="str">
        <f t="shared" si="200"/>
        <v>1F617 ; fully-qualified # 😗 E1.0 kissing face</v>
      </c>
      <c r="C2176" t="str">
        <f t="shared" si="201"/>
        <v xml:space="preserve">1F617 </v>
      </c>
      <c r="D2176">
        <f t="shared" si="202"/>
        <v>6</v>
      </c>
      <c r="E2176" t="str">
        <f t="shared" si="198"/>
        <v xml:space="preserve"> 😗 E1.0 kissing face</v>
      </c>
      <c r="F2176" t="b">
        <f t="shared" si="203"/>
        <v>1</v>
      </c>
      <c r="G2176" t="str">
        <f t="shared" si="199"/>
        <v>1F617</v>
      </c>
      <c r="I2176">
        <f>HEX2DEC(Table1[[#This Row],[utf8]])</f>
        <v>128535</v>
      </c>
      <c r="J2176" t="str">
        <f>_xlfn.UNICHAR(HEX2DEC(Table1[[#This Row],[utf8]]))</f>
        <v>😗</v>
      </c>
      <c r="K2176" s="3" t="str" cm="1">
        <f t="array" ref="K2176">"Case "&amp;wRandomLetter()&amp;wRandomLetter()&amp;I2176&amp;":    UniConst = ChrW(" &amp; I2176 &amp;")"</f>
        <v>Case kb128535:    UniConst = ChrW(128535)</v>
      </c>
    </row>
    <row r="2177" spans="1:11" hidden="1">
      <c r="A2177" t="s">
        <v>19</v>
      </c>
      <c r="B2177" t="str">
        <f t="shared" si="200"/>
        <v>1F618 ; fully-qualified # 😘 E0.6 face blowing a kiss</v>
      </c>
      <c r="C2177" t="str">
        <f t="shared" si="201"/>
        <v xml:space="preserve">1F618 </v>
      </c>
      <c r="D2177">
        <f t="shared" si="202"/>
        <v>6</v>
      </c>
      <c r="E2177" t="str">
        <f t="shared" si="198"/>
        <v xml:space="preserve"> 😘 E0.6 face blowing a kiss</v>
      </c>
      <c r="F2177" t="b">
        <f t="shared" si="203"/>
        <v>1</v>
      </c>
      <c r="G2177" t="str">
        <f t="shared" si="199"/>
        <v>1F618</v>
      </c>
      <c r="I2177">
        <f>HEX2DEC(Table1[[#This Row],[utf8]])</f>
        <v>128536</v>
      </c>
      <c r="J2177" t="str">
        <f>_xlfn.UNICHAR(HEX2DEC(Table1[[#This Row],[utf8]]))</f>
        <v>😘</v>
      </c>
      <c r="K2177" s="3" t="str" cm="1">
        <f t="array" ref="K2177">"Case "&amp;wRandomLetter()&amp;wRandomLetter()&amp;I2177&amp;":    UniConst = ChrW(" &amp; I2177 &amp;")"</f>
        <v>Case BZ128536:    UniConst = ChrW(128536)</v>
      </c>
    </row>
    <row r="2178" spans="1:11" hidden="1">
      <c r="A2178" t="s">
        <v>24</v>
      </c>
      <c r="B2178" t="str">
        <f t="shared" si="200"/>
        <v>1F619 ; fully-qualified # 😙 E1.0 kissing face with smiling eyes</v>
      </c>
      <c r="C2178" t="str">
        <f t="shared" si="201"/>
        <v xml:space="preserve">1F619 </v>
      </c>
      <c r="D2178">
        <f t="shared" si="202"/>
        <v>6</v>
      </c>
      <c r="E2178" t="str">
        <f t="shared" ref="E2178:E2241" si="204">MID(A2178,FIND("#",A2178)+1,256)</f>
        <v xml:space="preserve"> 😙 E1.0 kissing face with smiling eyes</v>
      </c>
      <c r="F2178" t="b">
        <f t="shared" si="203"/>
        <v>1</v>
      </c>
      <c r="G2178" t="str">
        <f t="shared" ref="G2178:G2241" si="205">LEFT(C2178,(FIND(" ",C2178,1)-1))</f>
        <v>1F619</v>
      </c>
      <c r="I2178">
        <f>HEX2DEC(Table1[[#This Row],[utf8]])</f>
        <v>128537</v>
      </c>
      <c r="J2178" t="str">
        <f>_xlfn.UNICHAR(HEX2DEC(Table1[[#This Row],[utf8]]))</f>
        <v>😙</v>
      </c>
      <c r="K2178" s="3" t="str" cm="1">
        <f t="array" ref="K2178">"Case "&amp;wRandomLetter()&amp;wRandomLetter()&amp;I2178&amp;":    UniConst = ChrW(" &amp; I2178 &amp;")"</f>
        <v>Case Rd128537:    UniConst = ChrW(128537)</v>
      </c>
    </row>
    <row r="2179" spans="1:11" hidden="1">
      <c r="A2179" t="s">
        <v>23</v>
      </c>
      <c r="B2179" t="str">
        <f t="shared" ref="B2179:B2242" si="206">TRIM(A2179)</f>
        <v>1F61A ; fully-qualified # 😚 E0.6 kissing face with closed eyes</v>
      </c>
      <c r="C2179" t="str">
        <f t="shared" ref="C2179:C2242" si="207">LEFT(B2179,(FIND(";",B2179,1)-1))</f>
        <v xml:space="preserve">1F61A </v>
      </c>
      <c r="D2179">
        <f t="shared" ref="D2179:D2242" si="208">LEN(C2179)</f>
        <v>6</v>
      </c>
      <c r="E2179" t="str">
        <f t="shared" si="204"/>
        <v xml:space="preserve"> 😚 E0.6 kissing face with closed eyes</v>
      </c>
      <c r="F2179" t="b">
        <f t="shared" ref="F2179:F2242" si="209">IF(LEFT(C2179,2)="1F",TRUE,FALSE)</f>
        <v>1</v>
      </c>
      <c r="G2179" t="str">
        <f t="shared" si="205"/>
        <v>1F61A</v>
      </c>
      <c r="I2179">
        <f>HEX2DEC(Table1[[#This Row],[utf8]])</f>
        <v>128538</v>
      </c>
      <c r="J2179" t="str">
        <f>_xlfn.UNICHAR(HEX2DEC(Table1[[#This Row],[utf8]]))</f>
        <v>😚</v>
      </c>
      <c r="K2179" s="3" t="str" cm="1">
        <f t="array" ref="K2179">"Case "&amp;wRandomLetter()&amp;wRandomLetter()&amp;I2179&amp;":    UniConst = ChrW(" &amp; I2179 &amp;")"</f>
        <v>Case GP128538:    UniConst = ChrW(128538)</v>
      </c>
    </row>
    <row r="2180" spans="1:11" hidden="1">
      <c r="A2180" t="s">
        <v>28</v>
      </c>
      <c r="B2180" t="str">
        <f t="shared" si="206"/>
        <v>1F61B ; fully-qualified # 😛 E1.0 face with tongue</v>
      </c>
      <c r="C2180" t="str">
        <f t="shared" si="207"/>
        <v xml:space="preserve">1F61B </v>
      </c>
      <c r="D2180">
        <f t="shared" si="208"/>
        <v>6</v>
      </c>
      <c r="E2180" t="str">
        <f t="shared" si="204"/>
        <v xml:space="preserve"> 😛 E1.0 face with tongue</v>
      </c>
      <c r="F2180" t="b">
        <f t="shared" si="209"/>
        <v>1</v>
      </c>
      <c r="G2180" t="str">
        <f t="shared" si="205"/>
        <v>1F61B</v>
      </c>
      <c r="I2180">
        <f>HEX2DEC(Table1[[#This Row],[utf8]])</f>
        <v>128539</v>
      </c>
      <c r="J2180" t="str">
        <f>_xlfn.UNICHAR(HEX2DEC(Table1[[#This Row],[utf8]]))</f>
        <v>😛</v>
      </c>
      <c r="K2180" s="3" t="str" cm="1">
        <f t="array" ref="K2180">"Case "&amp;wRandomLetter()&amp;wRandomLetter()&amp;I2180&amp;":    UniConst = ChrW(" &amp; I2180 &amp;")"</f>
        <v>Case jm128539:    UniConst = ChrW(128539)</v>
      </c>
    </row>
    <row r="2181" spans="1:11" hidden="1">
      <c r="A2181" t="s">
        <v>29</v>
      </c>
      <c r="B2181" t="str">
        <f t="shared" si="206"/>
        <v>1F61C ; fully-qualified # 😜 E0.6 winking face with tongue</v>
      </c>
      <c r="C2181" t="str">
        <f t="shared" si="207"/>
        <v xml:space="preserve">1F61C </v>
      </c>
      <c r="D2181">
        <f t="shared" si="208"/>
        <v>6</v>
      </c>
      <c r="E2181" t="str">
        <f t="shared" si="204"/>
        <v xml:space="preserve"> 😜 E0.6 winking face with tongue</v>
      </c>
      <c r="F2181" t="b">
        <f t="shared" si="209"/>
        <v>1</v>
      </c>
      <c r="G2181" t="str">
        <f t="shared" si="205"/>
        <v>1F61C</v>
      </c>
      <c r="I2181">
        <f>HEX2DEC(Table1[[#This Row],[utf8]])</f>
        <v>128540</v>
      </c>
      <c r="J2181" t="str">
        <f>_xlfn.UNICHAR(HEX2DEC(Table1[[#This Row],[utf8]]))</f>
        <v>😜</v>
      </c>
      <c r="K2181" s="3" t="str" cm="1">
        <f t="array" ref="K2181">"Case "&amp;wRandomLetter()&amp;wRandomLetter()&amp;I2181&amp;":    UniConst = ChrW(" &amp; I2181 &amp;")"</f>
        <v>Case Iq128540:    UniConst = ChrW(128540)</v>
      </c>
    </row>
    <row r="2182" spans="1:11" hidden="1">
      <c r="A2182" t="s">
        <v>31</v>
      </c>
      <c r="B2182" t="str">
        <f t="shared" si="206"/>
        <v>1F61D ; fully-qualified # 😝 E0.6 squinting face with tongue</v>
      </c>
      <c r="C2182" t="str">
        <f t="shared" si="207"/>
        <v xml:space="preserve">1F61D </v>
      </c>
      <c r="D2182">
        <f t="shared" si="208"/>
        <v>6</v>
      </c>
      <c r="E2182" t="str">
        <f t="shared" si="204"/>
        <v xml:space="preserve"> 😝 E0.6 squinting face with tongue</v>
      </c>
      <c r="F2182" t="b">
        <f t="shared" si="209"/>
        <v>1</v>
      </c>
      <c r="G2182" t="str">
        <f t="shared" si="205"/>
        <v>1F61D</v>
      </c>
      <c r="I2182">
        <f>HEX2DEC(Table1[[#This Row],[utf8]])</f>
        <v>128541</v>
      </c>
      <c r="J2182" t="str">
        <f>_xlfn.UNICHAR(HEX2DEC(Table1[[#This Row],[utf8]]))</f>
        <v>😝</v>
      </c>
      <c r="K2182" s="3" t="str" cm="1">
        <f t="array" ref="K2182">"Case "&amp;wRandomLetter()&amp;wRandomLetter()&amp;I2182&amp;":    UniConst = ChrW(" &amp; I2182 &amp;")"</f>
        <v>Case fH128541:    UniConst = ChrW(128541)</v>
      </c>
    </row>
    <row r="2183" spans="1:11" hidden="1">
      <c r="A2183" t="s">
        <v>100</v>
      </c>
      <c r="B2183" t="str">
        <f t="shared" si="206"/>
        <v>1F61E ; fully-qualified # 😞 E0.6 disappointed face</v>
      </c>
      <c r="C2183" t="str">
        <f t="shared" si="207"/>
        <v xml:space="preserve">1F61E </v>
      </c>
      <c r="D2183">
        <f t="shared" si="208"/>
        <v>6</v>
      </c>
      <c r="E2183" t="str">
        <f t="shared" si="204"/>
        <v xml:space="preserve"> 😞 E0.6 disappointed face</v>
      </c>
      <c r="F2183" t="b">
        <f t="shared" si="209"/>
        <v>1</v>
      </c>
      <c r="G2183" t="str">
        <f t="shared" si="205"/>
        <v>1F61E</v>
      </c>
      <c r="I2183">
        <f>HEX2DEC(Table1[[#This Row],[utf8]])</f>
        <v>128542</v>
      </c>
      <c r="J2183" t="str">
        <f>_xlfn.UNICHAR(HEX2DEC(Table1[[#This Row],[utf8]]))</f>
        <v>😞</v>
      </c>
      <c r="K2183" s="3" t="str" cm="1">
        <f t="array" ref="K2183">"Case "&amp;wRandomLetter()&amp;wRandomLetter()&amp;I2183&amp;":    UniConst = ChrW(" &amp; I2183 &amp;")"</f>
        <v>Case ng128542:    UniConst = ChrW(128542)</v>
      </c>
    </row>
    <row r="2184" spans="1:11" hidden="1">
      <c r="A2184" t="s">
        <v>81</v>
      </c>
      <c r="B2184" t="str">
        <f t="shared" si="206"/>
        <v>1F61F ; fully-qualified # 😟 E1.0 worried face</v>
      </c>
      <c r="C2184" t="str">
        <f t="shared" si="207"/>
        <v xml:space="preserve">1F61F </v>
      </c>
      <c r="D2184">
        <f t="shared" si="208"/>
        <v>6</v>
      </c>
      <c r="E2184" t="str">
        <f t="shared" si="204"/>
        <v xml:space="preserve"> 😟 E1.0 worried face</v>
      </c>
      <c r="F2184" t="b">
        <f t="shared" si="209"/>
        <v>1</v>
      </c>
      <c r="G2184" t="str">
        <f t="shared" si="205"/>
        <v>1F61F</v>
      </c>
      <c r="I2184">
        <f>HEX2DEC(Table1[[#This Row],[utf8]])</f>
        <v>128543</v>
      </c>
      <c r="J2184" t="str">
        <f>_xlfn.UNICHAR(HEX2DEC(Table1[[#This Row],[utf8]]))</f>
        <v>😟</v>
      </c>
      <c r="K2184" s="3" t="str" cm="1">
        <f t="array" ref="K2184">"Case "&amp;wRandomLetter()&amp;wRandomLetter()&amp;I2184&amp;":    UniConst = ChrW(" &amp; I2184 &amp;")"</f>
        <v>Case ef128543:    UniConst = ChrW(128543)</v>
      </c>
    </row>
    <row r="2185" spans="1:11" hidden="1">
      <c r="A2185" t="s">
        <v>108</v>
      </c>
      <c r="B2185" t="str">
        <f t="shared" si="206"/>
        <v>1F620 ; fully-qualified # 😠 E0.6 angry face</v>
      </c>
      <c r="C2185" t="str">
        <f t="shared" si="207"/>
        <v xml:space="preserve">1F620 </v>
      </c>
      <c r="D2185">
        <f t="shared" si="208"/>
        <v>6</v>
      </c>
      <c r="E2185" t="str">
        <f t="shared" si="204"/>
        <v xml:space="preserve"> 😠 E0.6 angry face</v>
      </c>
      <c r="F2185" t="b">
        <f t="shared" si="209"/>
        <v>1</v>
      </c>
      <c r="G2185" t="str">
        <f t="shared" si="205"/>
        <v>1F620</v>
      </c>
      <c r="I2185">
        <f>HEX2DEC(Table1[[#This Row],[utf8]])</f>
        <v>128544</v>
      </c>
      <c r="J2185" t="str">
        <f>_xlfn.UNICHAR(HEX2DEC(Table1[[#This Row],[utf8]]))</f>
        <v>😠</v>
      </c>
      <c r="K2185" s="3" t="str" cm="1">
        <f t="array" ref="K2185">"Case "&amp;wRandomLetter()&amp;wRandomLetter()&amp;I2185&amp;":    UniConst = ChrW(" &amp; I2185 &amp;")"</f>
        <v>Case sl128544:    UniConst = ChrW(128544)</v>
      </c>
    </row>
    <row r="2186" spans="1:11" hidden="1">
      <c r="A2186" t="s">
        <v>107</v>
      </c>
      <c r="B2186" t="str">
        <f t="shared" si="206"/>
        <v>1F621 ; fully-qualified # 😡 E0.6 pouting face</v>
      </c>
      <c r="C2186" t="str">
        <f t="shared" si="207"/>
        <v xml:space="preserve">1F621 </v>
      </c>
      <c r="D2186">
        <f t="shared" si="208"/>
        <v>6</v>
      </c>
      <c r="E2186" t="str">
        <f t="shared" si="204"/>
        <v xml:space="preserve"> 😡 E0.6 pouting face</v>
      </c>
      <c r="F2186" t="b">
        <f t="shared" si="209"/>
        <v>1</v>
      </c>
      <c r="G2186" t="str">
        <f t="shared" si="205"/>
        <v>1F621</v>
      </c>
      <c r="I2186">
        <f>HEX2DEC(Table1[[#This Row],[utf8]])</f>
        <v>128545</v>
      </c>
      <c r="J2186" t="str">
        <f>_xlfn.UNICHAR(HEX2DEC(Table1[[#This Row],[utf8]]))</f>
        <v>😡</v>
      </c>
      <c r="K2186" s="3" t="str" cm="1">
        <f t="array" ref="K2186">"Case "&amp;wRandomLetter()&amp;wRandomLetter()&amp;I2186&amp;":    UniConst = ChrW(" &amp; I2186 &amp;")"</f>
        <v>Case He128545:    UniConst = ChrW(128545)</v>
      </c>
    </row>
    <row r="2187" spans="1:11" hidden="1">
      <c r="A2187" t="s">
        <v>95</v>
      </c>
      <c r="B2187" t="str">
        <f t="shared" si="206"/>
        <v>1F622 ; fully-qualified # 😢 E0.6 crying face</v>
      </c>
      <c r="C2187" t="str">
        <f t="shared" si="207"/>
        <v xml:space="preserve">1F622 </v>
      </c>
      <c r="D2187">
        <f t="shared" si="208"/>
        <v>6</v>
      </c>
      <c r="E2187" t="str">
        <f t="shared" si="204"/>
        <v xml:space="preserve"> 😢 E0.6 crying face</v>
      </c>
      <c r="F2187" t="b">
        <f t="shared" si="209"/>
        <v>1</v>
      </c>
      <c r="G2187" t="str">
        <f t="shared" si="205"/>
        <v>1F622</v>
      </c>
      <c r="I2187">
        <f>HEX2DEC(Table1[[#This Row],[utf8]])</f>
        <v>128546</v>
      </c>
      <c r="J2187" t="str">
        <f>_xlfn.UNICHAR(HEX2DEC(Table1[[#This Row],[utf8]]))</f>
        <v>😢</v>
      </c>
      <c r="K2187" s="3" t="str" cm="1">
        <f t="array" ref="K2187">"Case "&amp;wRandomLetter()&amp;wRandomLetter()&amp;I2187&amp;":    UniConst = ChrW(" &amp; I2187 &amp;")"</f>
        <v>Case qP128546:    UniConst = ChrW(128546)</v>
      </c>
    </row>
    <row r="2188" spans="1:11" hidden="1">
      <c r="A2188" t="s">
        <v>99</v>
      </c>
      <c r="B2188" t="str">
        <f t="shared" si="206"/>
        <v>1F623 ; fully-qualified # 😣 E0.6 persevering face</v>
      </c>
      <c r="C2188" t="str">
        <f t="shared" si="207"/>
        <v xml:space="preserve">1F623 </v>
      </c>
      <c r="D2188">
        <f t="shared" si="208"/>
        <v>6</v>
      </c>
      <c r="E2188" t="str">
        <f t="shared" si="204"/>
        <v xml:space="preserve"> 😣 E0.6 persevering face</v>
      </c>
      <c r="F2188" t="b">
        <f t="shared" si="209"/>
        <v>1</v>
      </c>
      <c r="G2188" t="str">
        <f t="shared" si="205"/>
        <v>1F623</v>
      </c>
      <c r="I2188">
        <f>HEX2DEC(Table1[[#This Row],[utf8]])</f>
        <v>128547</v>
      </c>
      <c r="J2188" t="str">
        <f>_xlfn.UNICHAR(HEX2DEC(Table1[[#This Row],[utf8]]))</f>
        <v>😣</v>
      </c>
      <c r="K2188" s="3" t="str" cm="1">
        <f t="array" ref="K2188">"Case "&amp;wRandomLetter()&amp;wRandomLetter()&amp;I2188&amp;":    UniConst = ChrW(" &amp; I2188 &amp;")"</f>
        <v>Case mr128547:    UniConst = ChrW(128547)</v>
      </c>
    </row>
    <row r="2189" spans="1:11" hidden="1">
      <c r="A2189" t="s">
        <v>106</v>
      </c>
      <c r="B2189" t="str">
        <f t="shared" si="206"/>
        <v>1F624 ; fully-qualified # 😤 E0.6 face with steam from nose</v>
      </c>
      <c r="C2189" t="str">
        <f t="shared" si="207"/>
        <v xml:space="preserve">1F624 </v>
      </c>
      <c r="D2189">
        <f t="shared" si="208"/>
        <v>6</v>
      </c>
      <c r="E2189" t="str">
        <f t="shared" si="204"/>
        <v xml:space="preserve"> 😤 E0.6 face with steam from nose</v>
      </c>
      <c r="F2189" t="b">
        <f t="shared" si="209"/>
        <v>1</v>
      </c>
      <c r="G2189" t="str">
        <f t="shared" si="205"/>
        <v>1F624</v>
      </c>
      <c r="I2189">
        <f>HEX2DEC(Table1[[#This Row],[utf8]])</f>
        <v>128548</v>
      </c>
      <c r="J2189" t="str">
        <f>_xlfn.UNICHAR(HEX2DEC(Table1[[#This Row],[utf8]]))</f>
        <v>😤</v>
      </c>
      <c r="K2189" s="3" t="str" cm="1">
        <f t="array" ref="K2189">"Case "&amp;wRandomLetter()&amp;wRandomLetter()&amp;I2189&amp;":    UniConst = ChrW(" &amp; I2189 &amp;")"</f>
        <v>Case BZ128548:    UniConst = ChrW(128548)</v>
      </c>
    </row>
    <row r="2190" spans="1:11" hidden="1">
      <c r="A2190" t="s">
        <v>94</v>
      </c>
      <c r="B2190" t="str">
        <f t="shared" si="206"/>
        <v>1F625 ; fully-qualified # 😥 E0.6 sad but relieved face</v>
      </c>
      <c r="C2190" t="str">
        <f t="shared" si="207"/>
        <v xml:space="preserve">1F625 </v>
      </c>
      <c r="D2190">
        <f t="shared" si="208"/>
        <v>6</v>
      </c>
      <c r="E2190" t="str">
        <f t="shared" si="204"/>
        <v xml:space="preserve"> 😥 E0.6 sad but relieved face</v>
      </c>
      <c r="F2190" t="b">
        <f t="shared" si="209"/>
        <v>1</v>
      </c>
      <c r="G2190" t="str">
        <f t="shared" si="205"/>
        <v>1F625</v>
      </c>
      <c r="I2190">
        <f>HEX2DEC(Table1[[#This Row],[utf8]])</f>
        <v>128549</v>
      </c>
      <c r="J2190" t="str">
        <f>_xlfn.UNICHAR(HEX2DEC(Table1[[#This Row],[utf8]]))</f>
        <v>😥</v>
      </c>
      <c r="K2190" s="3" t="str" cm="1">
        <f t="array" ref="K2190">"Case "&amp;wRandomLetter()&amp;wRandomLetter()&amp;I2190&amp;":    UniConst = ChrW(" &amp; I2190 &amp;")"</f>
        <v>Case qz128549:    UniConst = ChrW(128549)</v>
      </c>
    </row>
    <row r="2191" spans="1:11" hidden="1">
      <c r="A2191" t="s">
        <v>90</v>
      </c>
      <c r="B2191" t="str">
        <f t="shared" si="206"/>
        <v>1F626 ; fully-qualified # 😦 E1.0 frowning face with open mouth</v>
      </c>
      <c r="C2191" t="str">
        <f t="shared" si="207"/>
        <v xml:space="preserve">1F626 </v>
      </c>
      <c r="D2191">
        <f t="shared" si="208"/>
        <v>6</v>
      </c>
      <c r="E2191" t="str">
        <f t="shared" si="204"/>
        <v xml:space="preserve"> 😦 E1.0 frowning face with open mouth</v>
      </c>
      <c r="F2191" t="b">
        <f t="shared" si="209"/>
        <v>1</v>
      </c>
      <c r="G2191" t="str">
        <f t="shared" si="205"/>
        <v>1F626</v>
      </c>
      <c r="I2191">
        <f>HEX2DEC(Table1[[#This Row],[utf8]])</f>
        <v>128550</v>
      </c>
      <c r="J2191" t="str">
        <f>_xlfn.UNICHAR(HEX2DEC(Table1[[#This Row],[utf8]]))</f>
        <v>😦</v>
      </c>
      <c r="K2191" s="3" t="str" cm="1">
        <f t="array" ref="K2191">"Case "&amp;wRandomLetter()&amp;wRandomLetter()&amp;I2191&amp;":    UniConst = ChrW(" &amp; I2191 &amp;")"</f>
        <v>Case Ym128550:    UniConst = ChrW(128550)</v>
      </c>
    </row>
    <row r="2192" spans="1:11" hidden="1">
      <c r="A2192" t="s">
        <v>91</v>
      </c>
      <c r="B2192" t="str">
        <f t="shared" si="206"/>
        <v>1F627 ; fully-qualified # 😧 E1.0 anguished face</v>
      </c>
      <c r="C2192" t="str">
        <f t="shared" si="207"/>
        <v xml:space="preserve">1F627 </v>
      </c>
      <c r="D2192">
        <f t="shared" si="208"/>
        <v>6</v>
      </c>
      <c r="E2192" t="str">
        <f t="shared" si="204"/>
        <v xml:space="preserve"> 😧 E1.0 anguished face</v>
      </c>
      <c r="F2192" t="b">
        <f t="shared" si="209"/>
        <v>1</v>
      </c>
      <c r="G2192" t="str">
        <f t="shared" si="205"/>
        <v>1F627</v>
      </c>
      <c r="I2192">
        <f>HEX2DEC(Table1[[#This Row],[utf8]])</f>
        <v>128551</v>
      </c>
      <c r="J2192" t="str">
        <f>_xlfn.UNICHAR(HEX2DEC(Table1[[#This Row],[utf8]]))</f>
        <v>😧</v>
      </c>
      <c r="K2192" s="3" t="str" cm="1">
        <f t="array" ref="K2192">"Case "&amp;wRandomLetter()&amp;wRandomLetter()&amp;I2192&amp;":    UniConst = ChrW(" &amp; I2192 &amp;")"</f>
        <v>Case SF128551:    UniConst = ChrW(128551)</v>
      </c>
    </row>
    <row r="2193" spans="1:11" hidden="1">
      <c r="A2193" t="s">
        <v>92</v>
      </c>
      <c r="B2193" t="str">
        <f t="shared" si="206"/>
        <v>1F628 ; fully-qualified # 😨 E0.6 fearful face</v>
      </c>
      <c r="C2193" t="str">
        <f t="shared" si="207"/>
        <v xml:space="preserve">1F628 </v>
      </c>
      <c r="D2193">
        <f t="shared" si="208"/>
        <v>6</v>
      </c>
      <c r="E2193" t="str">
        <f t="shared" si="204"/>
        <v xml:space="preserve"> 😨 E0.6 fearful face</v>
      </c>
      <c r="F2193" t="b">
        <f t="shared" si="209"/>
        <v>1</v>
      </c>
      <c r="G2193" t="str">
        <f t="shared" si="205"/>
        <v>1F628</v>
      </c>
      <c r="I2193">
        <f>HEX2DEC(Table1[[#This Row],[utf8]])</f>
        <v>128552</v>
      </c>
      <c r="J2193" t="str">
        <f>_xlfn.UNICHAR(HEX2DEC(Table1[[#This Row],[utf8]]))</f>
        <v>😨</v>
      </c>
      <c r="K2193" s="3" t="str" cm="1">
        <f t="array" ref="K2193">"Case "&amp;wRandomLetter()&amp;wRandomLetter()&amp;I2193&amp;":    UniConst = ChrW(" &amp; I2193 &amp;")"</f>
        <v>Case dj128552:    UniConst = ChrW(128552)</v>
      </c>
    </row>
    <row r="2194" spans="1:11" hidden="1">
      <c r="A2194" t="s">
        <v>102</v>
      </c>
      <c r="B2194" t="str">
        <f t="shared" si="206"/>
        <v>1F629 ; fully-qualified # 😩 E0.6 weary face</v>
      </c>
      <c r="C2194" t="str">
        <f t="shared" si="207"/>
        <v xml:space="preserve">1F629 </v>
      </c>
      <c r="D2194">
        <f t="shared" si="208"/>
        <v>6</v>
      </c>
      <c r="E2194" t="str">
        <f t="shared" si="204"/>
        <v xml:space="preserve"> 😩 E0.6 weary face</v>
      </c>
      <c r="F2194" t="b">
        <f t="shared" si="209"/>
        <v>1</v>
      </c>
      <c r="G2194" t="str">
        <f t="shared" si="205"/>
        <v>1F629</v>
      </c>
      <c r="I2194">
        <f>HEX2DEC(Table1[[#This Row],[utf8]])</f>
        <v>128553</v>
      </c>
      <c r="J2194" t="str">
        <f>_xlfn.UNICHAR(HEX2DEC(Table1[[#This Row],[utf8]]))</f>
        <v>😩</v>
      </c>
      <c r="K2194" s="3" t="str" cm="1">
        <f t="array" ref="K2194">"Case "&amp;wRandomLetter()&amp;wRandomLetter()&amp;I2194&amp;":    UniConst = ChrW(" &amp; I2194 &amp;")"</f>
        <v>Case VZ128553:    UniConst = ChrW(128553)</v>
      </c>
    </row>
    <row r="2195" spans="1:11" hidden="1">
      <c r="A2195" t="s">
        <v>55</v>
      </c>
      <c r="B2195" t="str">
        <f t="shared" si="206"/>
        <v>1F62A ; fully-qualified # 😪 E0.6 sleepy face</v>
      </c>
      <c r="C2195" t="str">
        <f t="shared" si="207"/>
        <v xml:space="preserve">1F62A </v>
      </c>
      <c r="D2195">
        <f t="shared" si="208"/>
        <v>6</v>
      </c>
      <c r="E2195" t="str">
        <f t="shared" si="204"/>
        <v xml:space="preserve"> 😪 E0.6 sleepy face</v>
      </c>
      <c r="F2195" t="b">
        <f t="shared" si="209"/>
        <v>1</v>
      </c>
      <c r="G2195" t="str">
        <f t="shared" si="205"/>
        <v>1F62A</v>
      </c>
      <c r="I2195">
        <f>HEX2DEC(Table1[[#This Row],[utf8]])</f>
        <v>128554</v>
      </c>
      <c r="J2195" t="str">
        <f>_xlfn.UNICHAR(HEX2DEC(Table1[[#This Row],[utf8]]))</f>
        <v>😪</v>
      </c>
      <c r="K2195" s="3" t="str" cm="1">
        <f t="array" ref="K2195">"Case "&amp;wRandomLetter()&amp;wRandomLetter()&amp;I2195&amp;":    UniConst = ChrW(" &amp; I2195 &amp;")"</f>
        <v>Case EO128554:    UniConst = ChrW(128554)</v>
      </c>
    </row>
    <row r="2196" spans="1:11" hidden="1">
      <c r="A2196" t="s">
        <v>103</v>
      </c>
      <c r="B2196" t="str">
        <f t="shared" si="206"/>
        <v>1F62B ; fully-qualified # 😫 E0.6 tired face</v>
      </c>
      <c r="C2196" t="str">
        <f t="shared" si="207"/>
        <v xml:space="preserve">1F62B </v>
      </c>
      <c r="D2196">
        <f t="shared" si="208"/>
        <v>6</v>
      </c>
      <c r="E2196" t="str">
        <f t="shared" si="204"/>
        <v xml:space="preserve"> 😫 E0.6 tired face</v>
      </c>
      <c r="F2196" t="b">
        <f t="shared" si="209"/>
        <v>1</v>
      </c>
      <c r="G2196" t="str">
        <f t="shared" si="205"/>
        <v>1F62B</v>
      </c>
      <c r="I2196">
        <f>HEX2DEC(Table1[[#This Row],[utf8]])</f>
        <v>128555</v>
      </c>
      <c r="J2196" t="str">
        <f>_xlfn.UNICHAR(HEX2DEC(Table1[[#This Row],[utf8]]))</f>
        <v>😫</v>
      </c>
      <c r="K2196" s="3" t="str" cm="1">
        <f t="array" ref="K2196">"Case "&amp;wRandomLetter()&amp;wRandomLetter()&amp;I2196&amp;":    UniConst = ChrW(" &amp; I2196 &amp;")"</f>
        <v>Case Cg128555:    UniConst = ChrW(128555)</v>
      </c>
    </row>
    <row r="2197" spans="1:11" hidden="1">
      <c r="A2197" t="s">
        <v>49</v>
      </c>
      <c r="B2197" t="str">
        <f t="shared" si="206"/>
        <v>1F62C ; fully-qualified # 😬 E1.0 grimacing face</v>
      </c>
      <c r="C2197" t="str">
        <f t="shared" si="207"/>
        <v xml:space="preserve">1F62C </v>
      </c>
      <c r="D2197">
        <f t="shared" si="208"/>
        <v>6</v>
      </c>
      <c r="E2197" t="str">
        <f t="shared" si="204"/>
        <v xml:space="preserve"> 😬 E1.0 grimacing face</v>
      </c>
      <c r="F2197" t="b">
        <f t="shared" si="209"/>
        <v>1</v>
      </c>
      <c r="G2197" t="str">
        <f t="shared" si="205"/>
        <v>1F62C</v>
      </c>
      <c r="I2197">
        <f>HEX2DEC(Table1[[#This Row],[utf8]])</f>
        <v>128556</v>
      </c>
      <c r="J2197" t="str">
        <f>_xlfn.UNICHAR(HEX2DEC(Table1[[#This Row],[utf8]]))</f>
        <v>😬</v>
      </c>
      <c r="K2197" s="3" t="str" cm="1">
        <f t="array" ref="K2197">"Case "&amp;wRandomLetter()&amp;wRandomLetter()&amp;I2197&amp;":    UniConst = ChrW(" &amp; I2197 &amp;")"</f>
        <v>Case QA128556:    UniConst = ChrW(128556)</v>
      </c>
    </row>
    <row r="2198" spans="1:11" hidden="1">
      <c r="A2198" t="s">
        <v>96</v>
      </c>
      <c r="B2198" t="str">
        <f t="shared" si="206"/>
        <v>1F62D ; fully-qualified # 😭 E0.6 loudly crying face</v>
      </c>
      <c r="C2198" t="str">
        <f t="shared" si="207"/>
        <v xml:space="preserve">1F62D </v>
      </c>
      <c r="D2198">
        <f t="shared" si="208"/>
        <v>6</v>
      </c>
      <c r="E2198" t="str">
        <f t="shared" si="204"/>
        <v xml:space="preserve"> 😭 E0.6 loudly crying face</v>
      </c>
      <c r="F2198" t="b">
        <f t="shared" si="209"/>
        <v>1</v>
      </c>
      <c r="G2198" t="str">
        <f t="shared" si="205"/>
        <v>1F62D</v>
      </c>
      <c r="I2198">
        <f>HEX2DEC(Table1[[#This Row],[utf8]])</f>
        <v>128557</v>
      </c>
      <c r="J2198" t="str">
        <f>_xlfn.UNICHAR(HEX2DEC(Table1[[#This Row],[utf8]]))</f>
        <v>😭</v>
      </c>
      <c r="K2198" s="3" t="str" cm="1">
        <f t="array" ref="K2198">"Case "&amp;wRandomLetter()&amp;wRandomLetter()&amp;I2198&amp;":    UniConst = ChrW(" &amp; I2198 &amp;")"</f>
        <v>Case rN128557:    UniConst = ChrW(128557)</v>
      </c>
    </row>
    <row r="2199" spans="1:11" hidden="1">
      <c r="A2199" t="s">
        <v>85</v>
      </c>
      <c r="B2199" t="str">
        <f t="shared" si="206"/>
        <v>1F62E ; fully-qualified # 😮 E1.0 face with open mouth</v>
      </c>
      <c r="C2199" t="str">
        <f t="shared" si="207"/>
        <v xml:space="preserve">1F62E </v>
      </c>
      <c r="D2199">
        <f t="shared" si="208"/>
        <v>6</v>
      </c>
      <c r="E2199" t="str">
        <f t="shared" si="204"/>
        <v xml:space="preserve"> 😮 E1.0 face with open mouth</v>
      </c>
      <c r="F2199" t="b">
        <f t="shared" si="209"/>
        <v>1</v>
      </c>
      <c r="G2199" t="str">
        <f t="shared" si="205"/>
        <v>1F62E</v>
      </c>
      <c r="I2199">
        <f>HEX2DEC(Table1[[#This Row],[utf8]])</f>
        <v>128558</v>
      </c>
      <c r="J2199" t="str">
        <f>_xlfn.UNICHAR(HEX2DEC(Table1[[#This Row],[utf8]]))</f>
        <v>😮</v>
      </c>
      <c r="K2199" s="3" t="str" cm="1">
        <f t="array" ref="K2199">"Case "&amp;wRandomLetter()&amp;wRandomLetter()&amp;I2199&amp;":    UniConst = ChrW(" &amp; I2199 &amp;")"</f>
        <v>Case Bd128558:    UniConst = ChrW(128558)</v>
      </c>
    </row>
    <row r="2200" spans="1:11" hidden="1">
      <c r="A2200" t="s">
        <v>50</v>
      </c>
      <c r="B2200" t="str">
        <f t="shared" si="206"/>
        <v>1F62E 200D 1F4A8 ; fully-qualified # 😮‍💨 E13.1 face exhaling</v>
      </c>
      <c r="C2200" t="str">
        <f t="shared" si="207"/>
        <v xml:space="preserve">1F62E 200D 1F4A8 </v>
      </c>
      <c r="D2200">
        <f t="shared" si="208"/>
        <v>17</v>
      </c>
      <c r="E2200" t="str">
        <f t="shared" si="204"/>
        <v xml:space="preserve"> 😮‍💨 E13.1 face exhaling</v>
      </c>
      <c r="F2200" t="b">
        <f t="shared" si="209"/>
        <v>1</v>
      </c>
      <c r="G2200" t="str">
        <f t="shared" si="205"/>
        <v>1F62E</v>
      </c>
      <c r="I2200">
        <f>HEX2DEC(Table1[[#This Row],[utf8]])</f>
        <v>128558</v>
      </c>
      <c r="J2200" t="str">
        <f>_xlfn.UNICHAR(HEX2DEC(Table1[[#This Row],[utf8]]))</f>
        <v>😮</v>
      </c>
      <c r="K2200" s="3" t="str" cm="1">
        <f t="array" ref="K2200">"Case "&amp;wRandomLetter()&amp;wRandomLetter()&amp;I2200&amp;":    UniConst = ChrW(" &amp; I2200 &amp;")"</f>
        <v>Case IX128558:    UniConst = ChrW(128558)</v>
      </c>
    </row>
    <row r="2201" spans="1:11" hidden="1">
      <c r="A2201" t="s">
        <v>86</v>
      </c>
      <c r="B2201" t="str">
        <f t="shared" si="206"/>
        <v>1F62F ; fully-qualified # 😯 E1.0 hushed face</v>
      </c>
      <c r="C2201" t="str">
        <f t="shared" si="207"/>
        <v xml:space="preserve">1F62F </v>
      </c>
      <c r="D2201">
        <f t="shared" si="208"/>
        <v>6</v>
      </c>
      <c r="E2201" t="str">
        <f t="shared" si="204"/>
        <v xml:space="preserve"> 😯 E1.0 hushed face</v>
      </c>
      <c r="F2201" t="b">
        <f t="shared" si="209"/>
        <v>1</v>
      </c>
      <c r="G2201" t="str">
        <f t="shared" si="205"/>
        <v>1F62F</v>
      </c>
      <c r="I2201">
        <f>HEX2DEC(Table1[[#This Row],[utf8]])</f>
        <v>128559</v>
      </c>
      <c r="J2201" t="str">
        <f>_xlfn.UNICHAR(HEX2DEC(Table1[[#This Row],[utf8]]))</f>
        <v>😯</v>
      </c>
      <c r="K2201" s="3" t="str" cm="1">
        <f t="array" ref="K2201">"Case "&amp;wRandomLetter()&amp;wRandomLetter()&amp;I2201&amp;":    UniConst = ChrW(" &amp; I2201 &amp;")"</f>
        <v>Case nX128559:    UniConst = ChrW(128559)</v>
      </c>
    </row>
    <row r="2202" spans="1:11" hidden="1">
      <c r="A2202" t="s">
        <v>93</v>
      </c>
      <c r="B2202" t="str">
        <f t="shared" si="206"/>
        <v>1F630 ; fully-qualified # 😰 E0.6 anxious face with sweat</v>
      </c>
      <c r="C2202" t="str">
        <f t="shared" si="207"/>
        <v xml:space="preserve">1F630 </v>
      </c>
      <c r="D2202">
        <f t="shared" si="208"/>
        <v>6</v>
      </c>
      <c r="E2202" t="str">
        <f t="shared" si="204"/>
        <v xml:space="preserve"> 😰 E0.6 anxious face with sweat</v>
      </c>
      <c r="F2202" t="b">
        <f t="shared" si="209"/>
        <v>1</v>
      </c>
      <c r="G2202" t="str">
        <f t="shared" si="205"/>
        <v>1F630</v>
      </c>
      <c r="I2202">
        <f>HEX2DEC(Table1[[#This Row],[utf8]])</f>
        <v>128560</v>
      </c>
      <c r="J2202" t="str">
        <f>_xlfn.UNICHAR(HEX2DEC(Table1[[#This Row],[utf8]]))</f>
        <v>😰</v>
      </c>
      <c r="K2202" s="3" t="str" cm="1">
        <f t="array" ref="K2202">"Case "&amp;wRandomLetter()&amp;wRandomLetter()&amp;I2202&amp;":    UniConst = ChrW(" &amp; I2202 &amp;")"</f>
        <v>Case tH128560:    UniConst = ChrW(128560)</v>
      </c>
    </row>
    <row r="2203" spans="1:11" hidden="1">
      <c r="A2203" t="s">
        <v>97</v>
      </c>
      <c r="B2203" t="str">
        <f t="shared" si="206"/>
        <v>1F631 ; fully-qualified # 😱 E0.6 face screaming in fear</v>
      </c>
      <c r="C2203" t="str">
        <f t="shared" si="207"/>
        <v xml:space="preserve">1F631 </v>
      </c>
      <c r="D2203">
        <f t="shared" si="208"/>
        <v>6</v>
      </c>
      <c r="E2203" t="str">
        <f t="shared" si="204"/>
        <v xml:space="preserve"> 😱 E0.6 face screaming in fear</v>
      </c>
      <c r="F2203" t="b">
        <f t="shared" si="209"/>
        <v>1</v>
      </c>
      <c r="G2203" t="str">
        <f t="shared" si="205"/>
        <v>1F631</v>
      </c>
      <c r="I2203">
        <f>HEX2DEC(Table1[[#This Row],[utf8]])</f>
        <v>128561</v>
      </c>
      <c r="J2203" t="str">
        <f>_xlfn.UNICHAR(HEX2DEC(Table1[[#This Row],[utf8]]))</f>
        <v>😱</v>
      </c>
      <c r="K2203" s="3" t="str" cm="1">
        <f t="array" ref="K2203">"Case "&amp;wRandomLetter()&amp;wRandomLetter()&amp;I2203&amp;":    UniConst = ChrW(" &amp; I2203 &amp;")"</f>
        <v>Case xw128561:    UniConst = ChrW(128561)</v>
      </c>
    </row>
    <row r="2204" spans="1:11" hidden="1">
      <c r="A2204" t="s">
        <v>87</v>
      </c>
      <c r="B2204" t="str">
        <f t="shared" si="206"/>
        <v>1F632 ; fully-qualified # 😲 E0.6 astonished face</v>
      </c>
      <c r="C2204" t="str">
        <f t="shared" si="207"/>
        <v xml:space="preserve">1F632 </v>
      </c>
      <c r="D2204">
        <f t="shared" si="208"/>
        <v>6</v>
      </c>
      <c r="E2204" t="str">
        <f t="shared" si="204"/>
        <v xml:space="preserve"> 😲 E0.6 astonished face</v>
      </c>
      <c r="F2204" t="b">
        <f t="shared" si="209"/>
        <v>1</v>
      </c>
      <c r="G2204" t="str">
        <f t="shared" si="205"/>
        <v>1F632</v>
      </c>
      <c r="I2204">
        <f>HEX2DEC(Table1[[#This Row],[utf8]])</f>
        <v>128562</v>
      </c>
      <c r="J2204" t="str">
        <f>_xlfn.UNICHAR(HEX2DEC(Table1[[#This Row],[utf8]]))</f>
        <v>😲</v>
      </c>
      <c r="K2204" s="3" t="str" cm="1">
        <f t="array" ref="K2204">"Case "&amp;wRandomLetter()&amp;wRandomLetter()&amp;I2204&amp;":    UniConst = ChrW(" &amp; I2204 &amp;")"</f>
        <v>Case iZ128562:    UniConst = ChrW(128562)</v>
      </c>
    </row>
    <row r="2205" spans="1:11" hidden="1">
      <c r="A2205" t="s">
        <v>88</v>
      </c>
      <c r="B2205" t="str">
        <f t="shared" si="206"/>
        <v>1F633 ; fully-qualified # 😳 E0.6 flushed face</v>
      </c>
      <c r="C2205" t="str">
        <f t="shared" si="207"/>
        <v xml:space="preserve">1F633 </v>
      </c>
      <c r="D2205">
        <f t="shared" si="208"/>
        <v>6</v>
      </c>
      <c r="E2205" t="str">
        <f t="shared" si="204"/>
        <v xml:space="preserve"> 😳 E0.6 flushed face</v>
      </c>
      <c r="F2205" t="b">
        <f t="shared" si="209"/>
        <v>1</v>
      </c>
      <c r="G2205" t="str">
        <f t="shared" si="205"/>
        <v>1F633</v>
      </c>
      <c r="I2205">
        <f>HEX2DEC(Table1[[#This Row],[utf8]])</f>
        <v>128563</v>
      </c>
      <c r="J2205" t="str">
        <f>_xlfn.UNICHAR(HEX2DEC(Table1[[#This Row],[utf8]]))</f>
        <v>😳</v>
      </c>
      <c r="K2205" s="3" t="str" cm="1">
        <f t="array" ref="K2205">"Case "&amp;wRandomLetter()&amp;wRandomLetter()&amp;I2205&amp;":    UniConst = ChrW(" &amp; I2205 &amp;")"</f>
        <v>Case Bh128563:    UniConst = ChrW(128563)</v>
      </c>
    </row>
    <row r="2206" spans="1:11" hidden="1">
      <c r="A2206" t="s">
        <v>57</v>
      </c>
      <c r="B2206" t="str">
        <f t="shared" si="206"/>
        <v>1F634 ; fully-qualified # 😴 E1.0 sleeping face</v>
      </c>
      <c r="C2206" t="str">
        <f t="shared" si="207"/>
        <v xml:space="preserve">1F634 </v>
      </c>
      <c r="D2206">
        <f t="shared" si="208"/>
        <v>6</v>
      </c>
      <c r="E2206" t="str">
        <f t="shared" si="204"/>
        <v xml:space="preserve"> 😴 E1.0 sleeping face</v>
      </c>
      <c r="F2206" t="b">
        <f t="shared" si="209"/>
        <v>1</v>
      </c>
      <c r="G2206" t="str">
        <f t="shared" si="205"/>
        <v>1F634</v>
      </c>
      <c r="I2206">
        <f>HEX2DEC(Table1[[#This Row],[utf8]])</f>
        <v>128564</v>
      </c>
      <c r="J2206" t="str">
        <f>_xlfn.UNICHAR(HEX2DEC(Table1[[#This Row],[utf8]]))</f>
        <v>😴</v>
      </c>
      <c r="K2206" s="3" t="str" cm="1">
        <f t="array" ref="K2206">"Case "&amp;wRandomLetter()&amp;wRandomLetter()&amp;I2206&amp;":    UniConst = ChrW(" &amp; I2206 &amp;")"</f>
        <v>Case Cs128564:    UniConst = ChrW(128564)</v>
      </c>
    </row>
    <row r="2207" spans="1:11" hidden="1">
      <c r="A2207" t="s">
        <v>68</v>
      </c>
      <c r="B2207" t="str">
        <f t="shared" si="206"/>
        <v>1F635 ; fully-qualified # 😵 E0.6 knocked-out face</v>
      </c>
      <c r="C2207" t="str">
        <f t="shared" si="207"/>
        <v xml:space="preserve">1F635 </v>
      </c>
      <c r="D2207">
        <f t="shared" si="208"/>
        <v>6</v>
      </c>
      <c r="E2207" t="str">
        <f t="shared" si="204"/>
        <v xml:space="preserve"> 😵 E0.6 knocked-out face</v>
      </c>
      <c r="F2207" t="b">
        <f t="shared" si="209"/>
        <v>1</v>
      </c>
      <c r="G2207" t="str">
        <f t="shared" si="205"/>
        <v>1F635</v>
      </c>
      <c r="I2207">
        <f>HEX2DEC(Table1[[#This Row],[utf8]])</f>
        <v>128565</v>
      </c>
      <c r="J2207" t="str">
        <f>_xlfn.UNICHAR(HEX2DEC(Table1[[#This Row],[utf8]]))</f>
        <v>😵</v>
      </c>
      <c r="K2207" s="3" t="str" cm="1">
        <f t="array" ref="K2207">"Case "&amp;wRandomLetter()&amp;wRandomLetter()&amp;I2207&amp;":    UniConst = ChrW(" &amp; I2207 &amp;")"</f>
        <v>Case Zm128565:    UniConst = ChrW(128565)</v>
      </c>
    </row>
    <row r="2208" spans="1:11" hidden="1">
      <c r="A2208" t="s">
        <v>69</v>
      </c>
      <c r="B2208" t="str">
        <f t="shared" si="206"/>
        <v>1F635 200D 1F4AB ; fully-qualified # 😵‍💫 E13.1 face with spiral eyes</v>
      </c>
      <c r="C2208" t="str">
        <f t="shared" si="207"/>
        <v xml:space="preserve">1F635 200D 1F4AB </v>
      </c>
      <c r="D2208">
        <f t="shared" si="208"/>
        <v>17</v>
      </c>
      <c r="E2208" t="str">
        <f t="shared" si="204"/>
        <v xml:space="preserve"> 😵‍💫 E13.1 face with spiral eyes</v>
      </c>
      <c r="F2208" t="b">
        <f t="shared" si="209"/>
        <v>1</v>
      </c>
      <c r="G2208" t="str">
        <f t="shared" si="205"/>
        <v>1F635</v>
      </c>
      <c r="I2208">
        <f>HEX2DEC(Table1[[#This Row],[utf8]])</f>
        <v>128565</v>
      </c>
      <c r="J2208" t="str">
        <f>_xlfn.UNICHAR(HEX2DEC(Table1[[#This Row],[utf8]]))</f>
        <v>😵</v>
      </c>
      <c r="K2208" s="3" t="str" cm="1">
        <f t="array" ref="K2208">"Case "&amp;wRandomLetter()&amp;wRandomLetter()&amp;I2208&amp;":    UniConst = ChrW(" &amp; I2208 &amp;")"</f>
        <v>Case bU128565:    UniConst = ChrW(128565)</v>
      </c>
    </row>
    <row r="2209" spans="1:11" hidden="1">
      <c r="A2209" t="s">
        <v>43</v>
      </c>
      <c r="B2209" t="str">
        <f t="shared" si="206"/>
        <v>1F636 ; fully-qualified # 😶 E1.0 face without mouth</v>
      </c>
      <c r="C2209" t="str">
        <f t="shared" si="207"/>
        <v xml:space="preserve">1F636 </v>
      </c>
      <c r="D2209">
        <f t="shared" si="208"/>
        <v>6</v>
      </c>
      <c r="E2209" t="str">
        <f t="shared" si="204"/>
        <v xml:space="preserve"> 😶 E1.0 face without mouth</v>
      </c>
      <c r="F2209" t="b">
        <f t="shared" si="209"/>
        <v>1</v>
      </c>
      <c r="G2209" t="str">
        <f t="shared" si="205"/>
        <v>1F636</v>
      </c>
      <c r="I2209">
        <f>HEX2DEC(Table1[[#This Row],[utf8]])</f>
        <v>128566</v>
      </c>
      <c r="J2209" t="str">
        <f>_xlfn.UNICHAR(HEX2DEC(Table1[[#This Row],[utf8]]))</f>
        <v>😶</v>
      </c>
      <c r="K2209" s="3" t="str" cm="1">
        <f t="array" ref="K2209">"Case "&amp;wRandomLetter()&amp;wRandomLetter()&amp;I2209&amp;":    UniConst = ChrW(" &amp; I2209 &amp;")"</f>
        <v>Case UD128566:    UniConst = ChrW(128566)</v>
      </c>
    </row>
    <row r="2210" spans="1:11" hidden="1">
      <c r="A2210" t="s">
        <v>45</v>
      </c>
      <c r="B2210" t="str">
        <f t="shared" si="206"/>
        <v>1F636 200D 1F32B ; minimally-qualified # 😶‍🌫 E13.1 face in clouds</v>
      </c>
      <c r="C2210" t="str">
        <f t="shared" si="207"/>
        <v xml:space="preserve">1F636 200D 1F32B </v>
      </c>
      <c r="D2210">
        <f t="shared" si="208"/>
        <v>17</v>
      </c>
      <c r="E2210" t="str">
        <f t="shared" si="204"/>
        <v xml:space="preserve"> 😶‍🌫 E13.1 face in clouds</v>
      </c>
      <c r="F2210" t="b">
        <f t="shared" si="209"/>
        <v>1</v>
      </c>
      <c r="G2210" t="str">
        <f t="shared" si="205"/>
        <v>1F636</v>
      </c>
      <c r="I2210">
        <f>HEX2DEC(Table1[[#This Row],[utf8]])</f>
        <v>128566</v>
      </c>
      <c r="J2210" t="str">
        <f>_xlfn.UNICHAR(HEX2DEC(Table1[[#This Row],[utf8]]))</f>
        <v>😶</v>
      </c>
      <c r="K2210" s="3" t="str" cm="1">
        <f t="array" ref="K2210">"Case "&amp;wRandomLetter()&amp;wRandomLetter()&amp;I2210&amp;":    UniConst = ChrW(" &amp; I2210 &amp;")"</f>
        <v>Case RG128566:    UniConst = ChrW(128566)</v>
      </c>
    </row>
    <row r="2211" spans="1:11" hidden="1">
      <c r="A2211" t="s">
        <v>44</v>
      </c>
      <c r="B2211" t="str">
        <f t="shared" si="206"/>
        <v>1F636 200D 1F32B FE0F ; fully-qualified # 😶‍🌫️ E13.1 face in clouds</v>
      </c>
      <c r="C2211" t="str">
        <f t="shared" si="207"/>
        <v xml:space="preserve">1F636 200D 1F32B FE0F </v>
      </c>
      <c r="D2211">
        <f t="shared" si="208"/>
        <v>22</v>
      </c>
      <c r="E2211" t="str">
        <f t="shared" si="204"/>
        <v xml:space="preserve"> 😶‍🌫️ E13.1 face in clouds</v>
      </c>
      <c r="F2211" t="b">
        <f t="shared" si="209"/>
        <v>1</v>
      </c>
      <c r="G2211" t="str">
        <f t="shared" si="205"/>
        <v>1F636</v>
      </c>
      <c r="I2211">
        <f>HEX2DEC(Table1[[#This Row],[utf8]])</f>
        <v>128566</v>
      </c>
      <c r="J2211" t="str">
        <f>_xlfn.UNICHAR(HEX2DEC(Table1[[#This Row],[utf8]]))</f>
        <v>😶</v>
      </c>
      <c r="K2211" s="3" t="str" cm="1">
        <f t="array" ref="K2211">"Case "&amp;wRandomLetter()&amp;wRandomLetter()&amp;I2211&amp;":    UniConst = ChrW(" &amp; I2211 &amp;")"</f>
        <v>Case YW128566:    UniConst = ChrW(128566)</v>
      </c>
    </row>
    <row r="2212" spans="1:11" hidden="1">
      <c r="A2212" t="s">
        <v>59</v>
      </c>
      <c r="B2212" t="str">
        <f t="shared" si="206"/>
        <v>1F637 ; fully-qualified # 😷 E0.6 face with medical mask</v>
      </c>
      <c r="C2212" t="str">
        <f t="shared" si="207"/>
        <v xml:space="preserve">1F637 </v>
      </c>
      <c r="D2212">
        <f t="shared" si="208"/>
        <v>6</v>
      </c>
      <c r="E2212" t="str">
        <f t="shared" si="204"/>
        <v xml:space="preserve"> 😷 E0.6 face with medical mask</v>
      </c>
      <c r="F2212" t="b">
        <f t="shared" si="209"/>
        <v>1</v>
      </c>
      <c r="G2212" t="str">
        <f t="shared" si="205"/>
        <v>1F637</v>
      </c>
      <c r="I2212">
        <f>HEX2DEC(Table1[[#This Row],[utf8]])</f>
        <v>128567</v>
      </c>
      <c r="J2212" t="str">
        <f>_xlfn.UNICHAR(HEX2DEC(Table1[[#This Row],[utf8]]))</f>
        <v>😷</v>
      </c>
      <c r="K2212" s="3" t="str" cm="1">
        <f t="array" ref="K2212">"Case "&amp;wRandomLetter()&amp;wRandomLetter()&amp;I2212&amp;":    UniConst = ChrW(" &amp; I2212 &amp;")"</f>
        <v>Case mp128567:    UniConst = ChrW(128567)</v>
      </c>
    </row>
    <row r="2213" spans="1:11" hidden="1">
      <c r="A2213" t="s">
        <v>126</v>
      </c>
      <c r="B2213" t="str">
        <f t="shared" si="206"/>
        <v>1F638 ; fully-qualified # 😸 E0.6 grinning cat with smiling eyes</v>
      </c>
      <c r="C2213" t="str">
        <f t="shared" si="207"/>
        <v xml:space="preserve">1F638 </v>
      </c>
      <c r="D2213">
        <f t="shared" si="208"/>
        <v>6</v>
      </c>
      <c r="E2213" t="str">
        <f t="shared" si="204"/>
        <v xml:space="preserve"> 😸 E0.6 grinning cat with smiling eyes</v>
      </c>
      <c r="F2213" t="b">
        <f t="shared" si="209"/>
        <v>1</v>
      </c>
      <c r="G2213" t="str">
        <f t="shared" si="205"/>
        <v>1F638</v>
      </c>
      <c r="I2213">
        <f>HEX2DEC(Table1[[#This Row],[utf8]])</f>
        <v>128568</v>
      </c>
      <c r="J2213" t="str">
        <f>_xlfn.UNICHAR(HEX2DEC(Table1[[#This Row],[utf8]]))</f>
        <v>😸</v>
      </c>
      <c r="K2213" s="3" t="str" cm="1">
        <f t="array" ref="K2213">"Case "&amp;wRandomLetter()&amp;wRandomLetter()&amp;I2213&amp;":    UniConst = ChrW(" &amp; I2213 &amp;")"</f>
        <v>Case fb128568:    UniConst = ChrW(128568)</v>
      </c>
    </row>
    <row r="2214" spans="1:11" hidden="1">
      <c r="A2214" t="s">
        <v>127</v>
      </c>
      <c r="B2214" t="str">
        <f t="shared" si="206"/>
        <v>1F639 ; fully-qualified # 😹 E0.6 cat with tears of joy</v>
      </c>
      <c r="C2214" t="str">
        <f t="shared" si="207"/>
        <v xml:space="preserve">1F639 </v>
      </c>
      <c r="D2214">
        <f t="shared" si="208"/>
        <v>6</v>
      </c>
      <c r="E2214" t="str">
        <f t="shared" si="204"/>
        <v xml:space="preserve"> 😹 E0.6 cat with tears of joy</v>
      </c>
      <c r="F2214" t="b">
        <f t="shared" si="209"/>
        <v>1</v>
      </c>
      <c r="G2214" t="str">
        <f t="shared" si="205"/>
        <v>1F639</v>
      </c>
      <c r="I2214">
        <f>HEX2DEC(Table1[[#This Row],[utf8]])</f>
        <v>128569</v>
      </c>
      <c r="J2214" t="str">
        <f>_xlfn.UNICHAR(HEX2DEC(Table1[[#This Row],[utf8]]))</f>
        <v>😹</v>
      </c>
      <c r="K2214" s="3" t="str" cm="1">
        <f t="array" ref="K2214">"Case "&amp;wRandomLetter()&amp;wRandomLetter()&amp;I2214&amp;":    UniConst = ChrW(" &amp; I2214 &amp;")"</f>
        <v>Case Zy128569:    UniConst = ChrW(128569)</v>
      </c>
    </row>
    <row r="2215" spans="1:11" hidden="1">
      <c r="A2215" t="s">
        <v>125</v>
      </c>
      <c r="B2215" t="str">
        <f t="shared" si="206"/>
        <v>1F63A ; fully-qualified # 😺 E0.6 grinning cat</v>
      </c>
      <c r="C2215" t="str">
        <f t="shared" si="207"/>
        <v xml:space="preserve">1F63A </v>
      </c>
      <c r="D2215">
        <f t="shared" si="208"/>
        <v>6</v>
      </c>
      <c r="E2215" t="str">
        <f t="shared" si="204"/>
        <v xml:space="preserve"> 😺 E0.6 grinning cat</v>
      </c>
      <c r="F2215" t="b">
        <f t="shared" si="209"/>
        <v>1</v>
      </c>
      <c r="G2215" t="str">
        <f t="shared" si="205"/>
        <v>1F63A</v>
      </c>
      <c r="I2215">
        <f>HEX2DEC(Table1[[#This Row],[utf8]])</f>
        <v>128570</v>
      </c>
      <c r="J2215" t="str">
        <f>_xlfn.UNICHAR(HEX2DEC(Table1[[#This Row],[utf8]]))</f>
        <v>😺</v>
      </c>
      <c r="K2215" s="3" t="str" cm="1">
        <f t="array" ref="K2215">"Case "&amp;wRandomLetter()&amp;wRandomLetter()&amp;I2215&amp;":    UniConst = ChrW(" &amp; I2215 &amp;")"</f>
        <v>Case Hu128570:    UniConst = ChrW(128570)</v>
      </c>
    </row>
    <row r="2216" spans="1:11" hidden="1">
      <c r="A2216" t="s">
        <v>128</v>
      </c>
      <c r="B2216" t="str">
        <f t="shared" si="206"/>
        <v>1F63B ; fully-qualified # 😻 E0.6 smiling cat with heart-eyes</v>
      </c>
      <c r="C2216" t="str">
        <f t="shared" si="207"/>
        <v xml:space="preserve">1F63B </v>
      </c>
      <c r="D2216">
        <f t="shared" si="208"/>
        <v>6</v>
      </c>
      <c r="E2216" t="str">
        <f t="shared" si="204"/>
        <v xml:space="preserve"> 😻 E0.6 smiling cat with heart-eyes</v>
      </c>
      <c r="F2216" t="b">
        <f t="shared" si="209"/>
        <v>1</v>
      </c>
      <c r="G2216" t="str">
        <f t="shared" si="205"/>
        <v>1F63B</v>
      </c>
      <c r="I2216">
        <f>HEX2DEC(Table1[[#This Row],[utf8]])</f>
        <v>128571</v>
      </c>
      <c r="J2216" t="str">
        <f>_xlfn.UNICHAR(HEX2DEC(Table1[[#This Row],[utf8]]))</f>
        <v>😻</v>
      </c>
      <c r="K2216" s="3" t="str" cm="1">
        <f t="array" ref="K2216">"Case "&amp;wRandomLetter()&amp;wRandomLetter()&amp;I2216&amp;":    UniConst = ChrW(" &amp; I2216 &amp;")"</f>
        <v>Case cE128571:    UniConst = ChrW(128571)</v>
      </c>
    </row>
    <row r="2217" spans="1:11" hidden="1">
      <c r="A2217" t="s">
        <v>129</v>
      </c>
      <c r="B2217" t="str">
        <f t="shared" si="206"/>
        <v>1F63C ; fully-qualified # 😼 E0.6 cat with wry smile</v>
      </c>
      <c r="C2217" t="str">
        <f t="shared" si="207"/>
        <v xml:space="preserve">1F63C </v>
      </c>
      <c r="D2217">
        <f t="shared" si="208"/>
        <v>6</v>
      </c>
      <c r="E2217" t="str">
        <f t="shared" si="204"/>
        <v xml:space="preserve"> 😼 E0.6 cat with wry smile</v>
      </c>
      <c r="F2217" t="b">
        <f t="shared" si="209"/>
        <v>1</v>
      </c>
      <c r="G2217" t="str">
        <f t="shared" si="205"/>
        <v>1F63C</v>
      </c>
      <c r="I2217">
        <f>HEX2DEC(Table1[[#This Row],[utf8]])</f>
        <v>128572</v>
      </c>
      <c r="J2217" t="str">
        <f>_xlfn.UNICHAR(HEX2DEC(Table1[[#This Row],[utf8]]))</f>
        <v>😼</v>
      </c>
      <c r="K2217" s="3" t="str" cm="1">
        <f t="array" ref="K2217">"Case "&amp;wRandomLetter()&amp;wRandomLetter()&amp;I2217&amp;":    UniConst = ChrW(" &amp; I2217 &amp;")"</f>
        <v>Case TB128572:    UniConst = ChrW(128572)</v>
      </c>
    </row>
    <row r="2218" spans="1:11" hidden="1">
      <c r="A2218" t="s">
        <v>130</v>
      </c>
      <c r="B2218" t="str">
        <f t="shared" si="206"/>
        <v>1F63D ; fully-qualified # 😽 E0.6 kissing cat</v>
      </c>
      <c r="C2218" t="str">
        <f t="shared" si="207"/>
        <v xml:space="preserve">1F63D </v>
      </c>
      <c r="D2218">
        <f t="shared" si="208"/>
        <v>6</v>
      </c>
      <c r="E2218" t="str">
        <f t="shared" si="204"/>
        <v xml:space="preserve"> 😽 E0.6 kissing cat</v>
      </c>
      <c r="F2218" t="b">
        <f t="shared" si="209"/>
        <v>1</v>
      </c>
      <c r="G2218" t="str">
        <f t="shared" si="205"/>
        <v>1F63D</v>
      </c>
      <c r="I2218">
        <f>HEX2DEC(Table1[[#This Row],[utf8]])</f>
        <v>128573</v>
      </c>
      <c r="J2218" t="str">
        <f>_xlfn.UNICHAR(HEX2DEC(Table1[[#This Row],[utf8]]))</f>
        <v>😽</v>
      </c>
      <c r="K2218" s="3" t="str" cm="1">
        <f t="array" ref="K2218">"Case "&amp;wRandomLetter()&amp;wRandomLetter()&amp;I2218&amp;":    UniConst = ChrW(" &amp; I2218 &amp;")"</f>
        <v>Case gQ128573:    UniConst = ChrW(128573)</v>
      </c>
    </row>
    <row r="2219" spans="1:11" hidden="1">
      <c r="A2219" t="s">
        <v>133</v>
      </c>
      <c r="B2219" t="str">
        <f t="shared" si="206"/>
        <v>1F63E ; fully-qualified # 😾 E0.6 pouting cat</v>
      </c>
      <c r="C2219" t="str">
        <f t="shared" si="207"/>
        <v xml:space="preserve">1F63E </v>
      </c>
      <c r="D2219">
        <f t="shared" si="208"/>
        <v>6</v>
      </c>
      <c r="E2219" t="str">
        <f t="shared" si="204"/>
        <v xml:space="preserve"> 😾 E0.6 pouting cat</v>
      </c>
      <c r="F2219" t="b">
        <f t="shared" si="209"/>
        <v>1</v>
      </c>
      <c r="G2219" t="str">
        <f t="shared" si="205"/>
        <v>1F63E</v>
      </c>
      <c r="I2219">
        <f>HEX2DEC(Table1[[#This Row],[utf8]])</f>
        <v>128574</v>
      </c>
      <c r="J2219" t="str">
        <f>_xlfn.UNICHAR(HEX2DEC(Table1[[#This Row],[utf8]]))</f>
        <v>😾</v>
      </c>
      <c r="K2219" s="3" t="str" cm="1">
        <f t="array" ref="K2219">"Case "&amp;wRandomLetter()&amp;wRandomLetter()&amp;I2219&amp;":    UniConst = ChrW(" &amp; I2219 &amp;")"</f>
        <v>Case zz128574:    UniConst = ChrW(128574)</v>
      </c>
    </row>
    <row r="2220" spans="1:11" hidden="1">
      <c r="A2220" t="s">
        <v>132</v>
      </c>
      <c r="B2220" t="str">
        <f t="shared" si="206"/>
        <v>1F63F ; fully-qualified # 😿 E0.6 crying cat</v>
      </c>
      <c r="C2220" t="str">
        <f t="shared" si="207"/>
        <v xml:space="preserve">1F63F </v>
      </c>
      <c r="D2220">
        <f t="shared" si="208"/>
        <v>6</v>
      </c>
      <c r="E2220" t="str">
        <f t="shared" si="204"/>
        <v xml:space="preserve"> 😿 E0.6 crying cat</v>
      </c>
      <c r="F2220" t="b">
        <f t="shared" si="209"/>
        <v>1</v>
      </c>
      <c r="G2220" t="str">
        <f t="shared" si="205"/>
        <v>1F63F</v>
      </c>
      <c r="I2220">
        <f>HEX2DEC(Table1[[#This Row],[utf8]])</f>
        <v>128575</v>
      </c>
      <c r="J2220" t="str">
        <f>_xlfn.UNICHAR(HEX2DEC(Table1[[#This Row],[utf8]]))</f>
        <v>😿</v>
      </c>
      <c r="K2220" s="3" t="str" cm="1">
        <f t="array" ref="K2220">"Case "&amp;wRandomLetter()&amp;wRandomLetter()&amp;I2220&amp;":    UniConst = ChrW(" &amp; I2220 &amp;")"</f>
        <v>Case qR128575:    UniConst = ChrW(128575)</v>
      </c>
    </row>
    <row r="2221" spans="1:11" hidden="1">
      <c r="A2221" t="s">
        <v>131</v>
      </c>
      <c r="B2221" t="str">
        <f t="shared" si="206"/>
        <v>1F640 ; fully-qualified # 🙀 E0.6 weary cat</v>
      </c>
      <c r="C2221" t="str">
        <f t="shared" si="207"/>
        <v xml:space="preserve">1F640 </v>
      </c>
      <c r="D2221">
        <f t="shared" si="208"/>
        <v>6</v>
      </c>
      <c r="E2221" t="str">
        <f t="shared" si="204"/>
        <v xml:space="preserve"> 🙀 E0.6 weary cat</v>
      </c>
      <c r="F2221" t="b">
        <f t="shared" si="209"/>
        <v>1</v>
      </c>
      <c r="G2221" t="str">
        <f t="shared" si="205"/>
        <v>1F640</v>
      </c>
      <c r="I2221">
        <f>HEX2DEC(Table1[[#This Row],[utf8]])</f>
        <v>128576</v>
      </c>
      <c r="J2221" t="str">
        <f>_xlfn.UNICHAR(HEX2DEC(Table1[[#This Row],[utf8]]))</f>
        <v>🙀</v>
      </c>
      <c r="K2221" s="3" t="str" cm="1">
        <f t="array" ref="K2221">"Case "&amp;wRandomLetter()&amp;wRandomLetter()&amp;I2221&amp;":    UniConst = ChrW(" &amp; I2221 &amp;")"</f>
        <v>Case Ds128576:    UniConst = ChrW(128576)</v>
      </c>
    </row>
    <row r="2222" spans="1:11" hidden="1">
      <c r="A2222" t="s">
        <v>82</v>
      </c>
      <c r="B2222" t="str">
        <f t="shared" si="206"/>
        <v>1F641 ; fully-qualified # 🙁 E1.0 slightly frowning face</v>
      </c>
      <c r="C2222" t="str">
        <f t="shared" si="207"/>
        <v xml:space="preserve">1F641 </v>
      </c>
      <c r="D2222">
        <f t="shared" si="208"/>
        <v>6</v>
      </c>
      <c r="E2222" t="str">
        <f t="shared" si="204"/>
        <v xml:space="preserve"> 🙁 E1.0 slightly frowning face</v>
      </c>
      <c r="F2222" t="b">
        <f t="shared" si="209"/>
        <v>1</v>
      </c>
      <c r="G2222" t="str">
        <f t="shared" si="205"/>
        <v>1F641</v>
      </c>
      <c r="I2222">
        <f>HEX2DEC(Table1[[#This Row],[utf8]])</f>
        <v>128577</v>
      </c>
      <c r="J2222" t="str">
        <f>_xlfn.UNICHAR(HEX2DEC(Table1[[#This Row],[utf8]]))</f>
        <v>🙁</v>
      </c>
      <c r="K2222" s="3" t="str" cm="1">
        <f t="array" ref="K2222">"Case "&amp;wRandomLetter()&amp;wRandomLetter()&amp;I2222&amp;":    UniConst = ChrW(" &amp; I2222 &amp;")"</f>
        <v>Case rU128577:    UniConst = ChrW(128577)</v>
      </c>
    </row>
    <row r="2223" spans="1:11" hidden="1">
      <c r="A2223" t="s">
        <v>10</v>
      </c>
      <c r="B2223" t="str">
        <f t="shared" si="206"/>
        <v>1F642 ; fully-qualified # 🙂 E1.0 slightly smiling face</v>
      </c>
      <c r="C2223" t="str">
        <f t="shared" si="207"/>
        <v xml:space="preserve">1F642 </v>
      </c>
      <c r="D2223">
        <f t="shared" si="208"/>
        <v>6</v>
      </c>
      <c r="E2223" t="str">
        <f t="shared" si="204"/>
        <v xml:space="preserve"> 🙂 E1.0 slightly smiling face</v>
      </c>
      <c r="F2223" t="b">
        <f t="shared" si="209"/>
        <v>1</v>
      </c>
      <c r="G2223" t="str">
        <f t="shared" si="205"/>
        <v>1F642</v>
      </c>
      <c r="I2223">
        <f>HEX2DEC(Table1[[#This Row],[utf8]])</f>
        <v>128578</v>
      </c>
      <c r="J2223" t="str">
        <f>_xlfn.UNICHAR(HEX2DEC(Table1[[#This Row],[utf8]]))</f>
        <v>🙂</v>
      </c>
      <c r="K2223" s="3" t="str" cm="1">
        <f t="array" ref="K2223">"Case "&amp;wRandomLetter()&amp;wRandomLetter()&amp;I2223&amp;":    UniConst = ChrW(" &amp; I2223 &amp;")"</f>
        <v>Case ES128578:    UniConst = ChrW(128578)</v>
      </c>
    </row>
    <row r="2224" spans="1:11" hidden="1">
      <c r="A2224" t="s">
        <v>11</v>
      </c>
      <c r="B2224" t="str">
        <f t="shared" si="206"/>
        <v>1F643 ; fully-qualified # 🙃 E1.0 upside-down face</v>
      </c>
      <c r="C2224" t="str">
        <f t="shared" si="207"/>
        <v xml:space="preserve">1F643 </v>
      </c>
      <c r="D2224">
        <f t="shared" si="208"/>
        <v>6</v>
      </c>
      <c r="E2224" t="str">
        <f t="shared" si="204"/>
        <v xml:space="preserve"> 🙃 E1.0 upside-down face</v>
      </c>
      <c r="F2224" t="b">
        <f t="shared" si="209"/>
        <v>1</v>
      </c>
      <c r="G2224" t="str">
        <f t="shared" si="205"/>
        <v>1F643</v>
      </c>
      <c r="I2224">
        <f>HEX2DEC(Table1[[#This Row],[utf8]])</f>
        <v>128579</v>
      </c>
      <c r="J2224" t="str">
        <f>_xlfn.UNICHAR(HEX2DEC(Table1[[#This Row],[utf8]]))</f>
        <v>🙃</v>
      </c>
      <c r="K2224" s="3" t="str" cm="1">
        <f t="array" ref="K2224">"Case "&amp;wRandomLetter()&amp;wRandomLetter()&amp;I2224&amp;":    UniConst = ChrW(" &amp; I2224 &amp;")"</f>
        <v>Case YO128579:    UniConst = ChrW(128579)</v>
      </c>
    </row>
    <row r="2225" spans="1:11" hidden="1">
      <c r="A2225" t="s">
        <v>48</v>
      </c>
      <c r="B2225" t="str">
        <f t="shared" si="206"/>
        <v>1F644 ; fully-qualified # 🙄 E1.0 face with rolling eyes</v>
      </c>
      <c r="C2225" t="str">
        <f t="shared" si="207"/>
        <v xml:space="preserve">1F644 </v>
      </c>
      <c r="D2225">
        <f t="shared" si="208"/>
        <v>6</v>
      </c>
      <c r="E2225" t="str">
        <f t="shared" si="204"/>
        <v xml:space="preserve"> 🙄 E1.0 face with rolling eyes</v>
      </c>
      <c r="F2225" t="b">
        <f t="shared" si="209"/>
        <v>1</v>
      </c>
      <c r="G2225" t="str">
        <f t="shared" si="205"/>
        <v>1F644</v>
      </c>
      <c r="I2225">
        <f>HEX2DEC(Table1[[#This Row],[utf8]])</f>
        <v>128580</v>
      </c>
      <c r="J2225" t="str">
        <f>_xlfn.UNICHAR(HEX2DEC(Table1[[#This Row],[utf8]]))</f>
        <v>🙄</v>
      </c>
      <c r="K2225" s="3" t="str" cm="1">
        <f t="array" ref="K2225">"Case "&amp;wRandomLetter()&amp;wRandomLetter()&amp;I2225&amp;":    UniConst = ChrW(" &amp; I2225 &amp;")"</f>
        <v>Case Bw128580:    UniConst = ChrW(128580)</v>
      </c>
    </row>
    <row r="2226" spans="1:11" hidden="1">
      <c r="A2226" t="s">
        <v>701</v>
      </c>
      <c r="B2226" t="str">
        <f t="shared" si="206"/>
        <v>1F645 ; fully-qualified # 🙅 E0.6 person gesturing NO</v>
      </c>
      <c r="C2226" t="str">
        <f t="shared" si="207"/>
        <v xml:space="preserve">1F645 </v>
      </c>
      <c r="D2226">
        <f t="shared" si="208"/>
        <v>6</v>
      </c>
      <c r="E2226" t="str">
        <f t="shared" si="204"/>
        <v xml:space="preserve"> 🙅 E0.6 person gesturing NO</v>
      </c>
      <c r="F2226" t="b">
        <f t="shared" si="209"/>
        <v>1</v>
      </c>
      <c r="G2226" t="str">
        <f t="shared" si="205"/>
        <v>1F645</v>
      </c>
      <c r="I2226">
        <f>HEX2DEC(Table1[[#This Row],[utf8]])</f>
        <v>128581</v>
      </c>
      <c r="J2226" t="str">
        <f>_xlfn.UNICHAR(HEX2DEC(Table1[[#This Row],[utf8]]))</f>
        <v>🙅</v>
      </c>
      <c r="K2226" s="3" t="str" cm="1">
        <f t="array" ref="K2226">"Case "&amp;wRandomLetter()&amp;wRandomLetter()&amp;I2226&amp;":    UniConst = ChrW(" &amp; I2226 &amp;")"</f>
        <v>Case yt128581:    UniConst = ChrW(128581)</v>
      </c>
    </row>
    <row r="2227" spans="1:11" hidden="1">
      <c r="A2227" t="s">
        <v>702</v>
      </c>
      <c r="B2227" t="str">
        <f t="shared" si="206"/>
        <v>1F645 1F3FB ; fully-qualified # 🙅🏻 E1.0 person gesturing NO: light skin tone</v>
      </c>
      <c r="C2227" t="str">
        <f t="shared" si="207"/>
        <v xml:space="preserve">1F645 1F3FB </v>
      </c>
      <c r="D2227">
        <f t="shared" si="208"/>
        <v>12</v>
      </c>
      <c r="E2227" t="str">
        <f t="shared" si="204"/>
        <v xml:space="preserve"> 🙅🏻 E1.0 person gesturing NO: light skin tone</v>
      </c>
      <c r="F2227" t="b">
        <f t="shared" si="209"/>
        <v>1</v>
      </c>
      <c r="G2227" t="str">
        <f t="shared" si="205"/>
        <v>1F645</v>
      </c>
      <c r="I2227">
        <f>HEX2DEC(Table1[[#This Row],[utf8]])</f>
        <v>128581</v>
      </c>
      <c r="J2227" t="str">
        <f>_xlfn.UNICHAR(HEX2DEC(Table1[[#This Row],[utf8]]))</f>
        <v>🙅</v>
      </c>
      <c r="K2227" s="3" t="str" cm="1">
        <f t="array" ref="K2227">"Case "&amp;wRandomLetter()&amp;wRandomLetter()&amp;I2227&amp;":    UniConst = ChrW(" &amp; I2227 &amp;")"</f>
        <v>Case OP128581:    UniConst = ChrW(128581)</v>
      </c>
    </row>
    <row r="2228" spans="1:11" hidden="1">
      <c r="A2228" t="s">
        <v>722</v>
      </c>
      <c r="B2228" t="str">
        <f t="shared" si="206"/>
        <v>1F645 1F3FB 200D 2640 ; minimally-qualified # 🙅🏻‍♀ E4.0 woman gesturing NO: light skin tone</v>
      </c>
      <c r="C2228" t="str">
        <f t="shared" si="207"/>
        <v xml:space="preserve">1F645 1F3FB 200D 2640 </v>
      </c>
      <c r="D2228">
        <f t="shared" si="208"/>
        <v>22</v>
      </c>
      <c r="E2228" t="str">
        <f t="shared" si="204"/>
        <v xml:space="preserve"> 🙅🏻‍♀ E4.0 woman gesturing NO: light skin tone</v>
      </c>
      <c r="F2228" t="b">
        <f t="shared" si="209"/>
        <v>1</v>
      </c>
      <c r="G2228" t="str">
        <f t="shared" si="205"/>
        <v>1F645</v>
      </c>
      <c r="I2228">
        <f>HEX2DEC(Table1[[#This Row],[utf8]])</f>
        <v>128581</v>
      </c>
      <c r="J2228" t="str">
        <f>_xlfn.UNICHAR(HEX2DEC(Table1[[#This Row],[utf8]]))</f>
        <v>🙅</v>
      </c>
      <c r="K2228" s="3" t="str" cm="1">
        <f t="array" ref="K2228">"Case "&amp;wRandomLetter()&amp;wRandomLetter()&amp;I2228&amp;":    UniConst = ChrW(" &amp; I2228 &amp;")"</f>
        <v>Case Uq128581:    UniConst = ChrW(128581)</v>
      </c>
    </row>
    <row r="2229" spans="1:11" hidden="1">
      <c r="A2229" t="s">
        <v>721</v>
      </c>
      <c r="B2229" t="str">
        <f t="shared" si="206"/>
        <v>1F645 1F3FB 200D 2640 FE0F ; fully-qualified # 🙅🏻‍♀️ E4.0 woman gesturing NO: light skin tone</v>
      </c>
      <c r="C2229" t="str">
        <f t="shared" si="207"/>
        <v xml:space="preserve">1F645 1F3FB 200D 2640 FE0F </v>
      </c>
      <c r="D2229">
        <f t="shared" si="208"/>
        <v>27</v>
      </c>
      <c r="E2229" t="str">
        <f t="shared" si="204"/>
        <v xml:space="preserve"> 🙅🏻‍♀️ E4.0 woman gesturing NO: light skin tone</v>
      </c>
      <c r="F2229" t="b">
        <f t="shared" si="209"/>
        <v>1</v>
      </c>
      <c r="G2229" t="str">
        <f t="shared" si="205"/>
        <v>1F645</v>
      </c>
      <c r="I2229">
        <f>HEX2DEC(Table1[[#This Row],[utf8]])</f>
        <v>128581</v>
      </c>
      <c r="J2229" t="str">
        <f>_xlfn.UNICHAR(HEX2DEC(Table1[[#This Row],[utf8]]))</f>
        <v>🙅</v>
      </c>
      <c r="K2229" s="3" t="str" cm="1">
        <f t="array" ref="K2229">"Case "&amp;wRandomLetter()&amp;wRandomLetter()&amp;I2229&amp;":    UniConst = ChrW(" &amp; I2229 &amp;")"</f>
        <v>Case KI128581:    UniConst = ChrW(128581)</v>
      </c>
    </row>
    <row r="2230" spans="1:11" hidden="1">
      <c r="A2230" t="s">
        <v>710</v>
      </c>
      <c r="B2230" t="str">
        <f t="shared" si="206"/>
        <v>1F645 1F3FB 200D 2642 ; minimally-qualified # 🙅🏻‍♂ E4.0 man gesturing NO: light skin tone</v>
      </c>
      <c r="C2230" t="str">
        <f t="shared" si="207"/>
        <v xml:space="preserve">1F645 1F3FB 200D 2642 </v>
      </c>
      <c r="D2230">
        <f t="shared" si="208"/>
        <v>22</v>
      </c>
      <c r="E2230" t="str">
        <f t="shared" si="204"/>
        <v xml:space="preserve"> 🙅🏻‍♂ E4.0 man gesturing NO: light skin tone</v>
      </c>
      <c r="F2230" t="b">
        <f t="shared" si="209"/>
        <v>1</v>
      </c>
      <c r="G2230" t="str">
        <f t="shared" si="205"/>
        <v>1F645</v>
      </c>
      <c r="I2230">
        <f>HEX2DEC(Table1[[#This Row],[utf8]])</f>
        <v>128581</v>
      </c>
      <c r="J2230" t="str">
        <f>_xlfn.UNICHAR(HEX2DEC(Table1[[#This Row],[utf8]]))</f>
        <v>🙅</v>
      </c>
      <c r="K2230" s="3" t="str" cm="1">
        <f t="array" ref="K2230">"Case "&amp;wRandomLetter()&amp;wRandomLetter()&amp;I2230&amp;":    UniConst = ChrW(" &amp; I2230 &amp;")"</f>
        <v>Case oj128581:    UniConst = ChrW(128581)</v>
      </c>
    </row>
    <row r="2231" spans="1:11" hidden="1">
      <c r="A2231" t="s">
        <v>709</v>
      </c>
      <c r="B2231" t="str">
        <f t="shared" si="206"/>
        <v>1F645 1F3FB 200D 2642 FE0F ; fully-qualified # 🙅🏻‍♂️ E4.0 man gesturing NO: light skin tone</v>
      </c>
      <c r="C2231" t="str">
        <f t="shared" si="207"/>
        <v xml:space="preserve">1F645 1F3FB 200D 2642 FE0F </v>
      </c>
      <c r="D2231">
        <f t="shared" si="208"/>
        <v>27</v>
      </c>
      <c r="E2231" t="str">
        <f t="shared" si="204"/>
        <v xml:space="preserve"> 🙅🏻‍♂️ E4.0 man gesturing NO: light skin tone</v>
      </c>
      <c r="F2231" t="b">
        <f t="shared" si="209"/>
        <v>1</v>
      </c>
      <c r="G2231" t="str">
        <f t="shared" si="205"/>
        <v>1F645</v>
      </c>
      <c r="I2231">
        <f>HEX2DEC(Table1[[#This Row],[utf8]])</f>
        <v>128581</v>
      </c>
      <c r="J2231" t="str">
        <f>_xlfn.UNICHAR(HEX2DEC(Table1[[#This Row],[utf8]]))</f>
        <v>🙅</v>
      </c>
      <c r="K2231" s="3" t="str" cm="1">
        <f t="array" ref="K2231">"Case "&amp;wRandomLetter()&amp;wRandomLetter()&amp;I2231&amp;":    UniConst = ChrW(" &amp; I2231 &amp;")"</f>
        <v>Case ED128581:    UniConst = ChrW(128581)</v>
      </c>
    </row>
    <row r="2232" spans="1:11" hidden="1">
      <c r="A2232" t="s">
        <v>703</v>
      </c>
      <c r="B2232" t="str">
        <f t="shared" si="206"/>
        <v>1F645 1F3FC ; fully-qualified # 🙅🏼 E1.0 person gesturing NO: medium-light skin tone</v>
      </c>
      <c r="C2232" t="str">
        <f t="shared" si="207"/>
        <v xml:space="preserve">1F645 1F3FC </v>
      </c>
      <c r="D2232">
        <f t="shared" si="208"/>
        <v>12</v>
      </c>
      <c r="E2232" t="str">
        <f t="shared" si="204"/>
        <v xml:space="preserve"> 🙅🏼 E1.0 person gesturing NO: medium-light skin tone</v>
      </c>
      <c r="F2232" t="b">
        <f t="shared" si="209"/>
        <v>1</v>
      </c>
      <c r="G2232" t="str">
        <f t="shared" si="205"/>
        <v>1F645</v>
      </c>
      <c r="I2232">
        <f>HEX2DEC(Table1[[#This Row],[utf8]])</f>
        <v>128581</v>
      </c>
      <c r="J2232" t="str">
        <f>_xlfn.UNICHAR(HEX2DEC(Table1[[#This Row],[utf8]]))</f>
        <v>🙅</v>
      </c>
      <c r="K2232" s="3" t="str" cm="1">
        <f t="array" ref="K2232">"Case "&amp;wRandomLetter()&amp;wRandomLetter()&amp;I2232&amp;":    UniConst = ChrW(" &amp; I2232 &amp;")"</f>
        <v>Case DV128581:    UniConst = ChrW(128581)</v>
      </c>
    </row>
    <row r="2233" spans="1:11" hidden="1">
      <c r="A2233" t="s">
        <v>724</v>
      </c>
      <c r="B2233" t="str">
        <f t="shared" si="206"/>
        <v>1F645 1F3FC 200D 2640 ; minimally-qualified # 🙅🏼‍♀ E4.0 woman gesturing NO: medium-light skin tone</v>
      </c>
      <c r="C2233" t="str">
        <f t="shared" si="207"/>
        <v xml:space="preserve">1F645 1F3FC 200D 2640 </v>
      </c>
      <c r="D2233">
        <f t="shared" si="208"/>
        <v>22</v>
      </c>
      <c r="E2233" t="str">
        <f t="shared" si="204"/>
        <v xml:space="preserve"> 🙅🏼‍♀ E4.0 woman gesturing NO: medium-light skin tone</v>
      </c>
      <c r="F2233" t="b">
        <f t="shared" si="209"/>
        <v>1</v>
      </c>
      <c r="G2233" t="str">
        <f t="shared" si="205"/>
        <v>1F645</v>
      </c>
      <c r="I2233">
        <f>HEX2DEC(Table1[[#This Row],[utf8]])</f>
        <v>128581</v>
      </c>
      <c r="J2233" t="str">
        <f>_xlfn.UNICHAR(HEX2DEC(Table1[[#This Row],[utf8]]))</f>
        <v>🙅</v>
      </c>
      <c r="K2233" s="3" t="str" cm="1">
        <f t="array" ref="K2233">"Case "&amp;wRandomLetter()&amp;wRandomLetter()&amp;I2233&amp;":    UniConst = ChrW(" &amp; I2233 &amp;")"</f>
        <v>Case pT128581:    UniConst = ChrW(128581)</v>
      </c>
    </row>
    <row r="2234" spans="1:11" hidden="1">
      <c r="A2234" t="s">
        <v>723</v>
      </c>
      <c r="B2234" t="str">
        <f t="shared" si="206"/>
        <v>1F645 1F3FC 200D 2640 FE0F ; fully-qualified # 🙅🏼‍♀️ E4.0 woman gesturing NO: medium-light skin tone</v>
      </c>
      <c r="C2234" t="str">
        <f t="shared" si="207"/>
        <v xml:space="preserve">1F645 1F3FC 200D 2640 FE0F </v>
      </c>
      <c r="D2234">
        <f t="shared" si="208"/>
        <v>27</v>
      </c>
      <c r="E2234" t="str">
        <f t="shared" si="204"/>
        <v xml:space="preserve"> 🙅🏼‍♀️ E4.0 woman gesturing NO: medium-light skin tone</v>
      </c>
      <c r="F2234" t="b">
        <f t="shared" si="209"/>
        <v>1</v>
      </c>
      <c r="G2234" t="str">
        <f t="shared" si="205"/>
        <v>1F645</v>
      </c>
      <c r="I2234">
        <f>HEX2DEC(Table1[[#This Row],[utf8]])</f>
        <v>128581</v>
      </c>
      <c r="J2234" t="str">
        <f>_xlfn.UNICHAR(HEX2DEC(Table1[[#This Row],[utf8]]))</f>
        <v>🙅</v>
      </c>
      <c r="K2234" s="3" t="str" cm="1">
        <f t="array" ref="K2234">"Case "&amp;wRandomLetter()&amp;wRandomLetter()&amp;I2234&amp;":    UniConst = ChrW(" &amp; I2234 &amp;")"</f>
        <v>Case uq128581:    UniConst = ChrW(128581)</v>
      </c>
    </row>
    <row r="2235" spans="1:11" hidden="1">
      <c r="A2235" t="s">
        <v>712</v>
      </c>
      <c r="B2235" t="str">
        <f t="shared" si="206"/>
        <v>1F645 1F3FC 200D 2642 ; minimally-qualified # 🙅🏼‍♂ E4.0 man gesturing NO: medium-light skin tone</v>
      </c>
      <c r="C2235" t="str">
        <f t="shared" si="207"/>
        <v xml:space="preserve">1F645 1F3FC 200D 2642 </v>
      </c>
      <c r="D2235">
        <f t="shared" si="208"/>
        <v>22</v>
      </c>
      <c r="E2235" t="str">
        <f t="shared" si="204"/>
        <v xml:space="preserve"> 🙅🏼‍♂ E4.0 man gesturing NO: medium-light skin tone</v>
      </c>
      <c r="F2235" t="b">
        <f t="shared" si="209"/>
        <v>1</v>
      </c>
      <c r="G2235" t="str">
        <f t="shared" si="205"/>
        <v>1F645</v>
      </c>
      <c r="I2235">
        <f>HEX2DEC(Table1[[#This Row],[utf8]])</f>
        <v>128581</v>
      </c>
      <c r="J2235" t="str">
        <f>_xlfn.UNICHAR(HEX2DEC(Table1[[#This Row],[utf8]]))</f>
        <v>🙅</v>
      </c>
      <c r="K2235" s="3" t="str" cm="1">
        <f t="array" ref="K2235">"Case "&amp;wRandomLetter()&amp;wRandomLetter()&amp;I2235&amp;":    UniConst = ChrW(" &amp; I2235 &amp;")"</f>
        <v>Case AM128581:    UniConst = ChrW(128581)</v>
      </c>
    </row>
    <row r="2236" spans="1:11" hidden="1">
      <c r="A2236" t="s">
        <v>711</v>
      </c>
      <c r="B2236" t="str">
        <f t="shared" si="206"/>
        <v>1F645 1F3FC 200D 2642 FE0F ; fully-qualified # 🙅🏼‍♂️ E4.0 man gesturing NO: medium-light skin tone</v>
      </c>
      <c r="C2236" t="str">
        <f t="shared" si="207"/>
        <v xml:space="preserve">1F645 1F3FC 200D 2642 FE0F </v>
      </c>
      <c r="D2236">
        <f t="shared" si="208"/>
        <v>27</v>
      </c>
      <c r="E2236" t="str">
        <f t="shared" si="204"/>
        <v xml:space="preserve"> 🙅🏼‍♂️ E4.0 man gesturing NO: medium-light skin tone</v>
      </c>
      <c r="F2236" t="b">
        <f t="shared" si="209"/>
        <v>1</v>
      </c>
      <c r="G2236" t="str">
        <f t="shared" si="205"/>
        <v>1F645</v>
      </c>
      <c r="I2236">
        <f>HEX2DEC(Table1[[#This Row],[utf8]])</f>
        <v>128581</v>
      </c>
      <c r="J2236" t="str">
        <f>_xlfn.UNICHAR(HEX2DEC(Table1[[#This Row],[utf8]]))</f>
        <v>🙅</v>
      </c>
      <c r="K2236" s="3" t="str" cm="1">
        <f t="array" ref="K2236">"Case "&amp;wRandomLetter()&amp;wRandomLetter()&amp;I2236&amp;":    UniConst = ChrW(" &amp; I2236 &amp;")"</f>
        <v>Case je128581:    UniConst = ChrW(128581)</v>
      </c>
    </row>
    <row r="2237" spans="1:11" hidden="1">
      <c r="A2237" t="s">
        <v>704</v>
      </c>
      <c r="B2237" t="str">
        <f t="shared" si="206"/>
        <v>1F645 1F3FD ; fully-qualified # 🙅🏽 E1.0 person gesturing NO: medium skin tone</v>
      </c>
      <c r="C2237" t="str">
        <f t="shared" si="207"/>
        <v xml:space="preserve">1F645 1F3FD </v>
      </c>
      <c r="D2237">
        <f t="shared" si="208"/>
        <v>12</v>
      </c>
      <c r="E2237" t="str">
        <f t="shared" si="204"/>
        <v xml:space="preserve"> 🙅🏽 E1.0 person gesturing NO: medium skin tone</v>
      </c>
      <c r="F2237" t="b">
        <f t="shared" si="209"/>
        <v>1</v>
      </c>
      <c r="G2237" t="str">
        <f t="shared" si="205"/>
        <v>1F645</v>
      </c>
      <c r="I2237">
        <f>HEX2DEC(Table1[[#This Row],[utf8]])</f>
        <v>128581</v>
      </c>
      <c r="J2237" t="str">
        <f>_xlfn.UNICHAR(HEX2DEC(Table1[[#This Row],[utf8]]))</f>
        <v>🙅</v>
      </c>
      <c r="K2237" s="3" t="str" cm="1">
        <f t="array" ref="K2237">"Case "&amp;wRandomLetter()&amp;wRandomLetter()&amp;I2237&amp;":    UniConst = ChrW(" &amp; I2237 &amp;")"</f>
        <v>Case IV128581:    UniConst = ChrW(128581)</v>
      </c>
    </row>
    <row r="2238" spans="1:11" hidden="1">
      <c r="A2238" t="s">
        <v>726</v>
      </c>
      <c r="B2238" t="str">
        <f t="shared" si="206"/>
        <v>1F645 1F3FD 200D 2640 ; minimally-qualified # 🙅🏽‍♀ E4.0 woman gesturing NO: medium skin tone</v>
      </c>
      <c r="C2238" t="str">
        <f t="shared" si="207"/>
        <v xml:space="preserve">1F645 1F3FD 200D 2640 </v>
      </c>
      <c r="D2238">
        <f t="shared" si="208"/>
        <v>22</v>
      </c>
      <c r="E2238" t="str">
        <f t="shared" si="204"/>
        <v xml:space="preserve"> 🙅🏽‍♀ E4.0 woman gesturing NO: medium skin tone</v>
      </c>
      <c r="F2238" t="b">
        <f t="shared" si="209"/>
        <v>1</v>
      </c>
      <c r="G2238" t="str">
        <f t="shared" si="205"/>
        <v>1F645</v>
      </c>
      <c r="I2238">
        <f>HEX2DEC(Table1[[#This Row],[utf8]])</f>
        <v>128581</v>
      </c>
      <c r="J2238" t="str">
        <f>_xlfn.UNICHAR(HEX2DEC(Table1[[#This Row],[utf8]]))</f>
        <v>🙅</v>
      </c>
      <c r="K2238" s="3" t="str" cm="1">
        <f t="array" ref="K2238">"Case "&amp;wRandomLetter()&amp;wRandomLetter()&amp;I2238&amp;":    UniConst = ChrW(" &amp; I2238 &amp;")"</f>
        <v>Case qh128581:    UniConst = ChrW(128581)</v>
      </c>
    </row>
    <row r="2239" spans="1:11" hidden="1">
      <c r="A2239" t="s">
        <v>725</v>
      </c>
      <c r="B2239" t="str">
        <f t="shared" si="206"/>
        <v>1F645 1F3FD 200D 2640 FE0F ; fully-qualified # 🙅🏽‍♀️ E4.0 woman gesturing NO: medium skin tone</v>
      </c>
      <c r="C2239" t="str">
        <f t="shared" si="207"/>
        <v xml:space="preserve">1F645 1F3FD 200D 2640 FE0F </v>
      </c>
      <c r="D2239">
        <f t="shared" si="208"/>
        <v>27</v>
      </c>
      <c r="E2239" t="str">
        <f t="shared" si="204"/>
        <v xml:space="preserve"> 🙅🏽‍♀️ E4.0 woman gesturing NO: medium skin tone</v>
      </c>
      <c r="F2239" t="b">
        <f t="shared" si="209"/>
        <v>1</v>
      </c>
      <c r="G2239" t="str">
        <f t="shared" si="205"/>
        <v>1F645</v>
      </c>
      <c r="I2239">
        <f>HEX2DEC(Table1[[#This Row],[utf8]])</f>
        <v>128581</v>
      </c>
      <c r="J2239" t="str">
        <f>_xlfn.UNICHAR(HEX2DEC(Table1[[#This Row],[utf8]]))</f>
        <v>🙅</v>
      </c>
      <c r="K2239" s="3" t="str" cm="1">
        <f t="array" ref="K2239">"Case "&amp;wRandomLetter()&amp;wRandomLetter()&amp;I2239&amp;":    UniConst = ChrW(" &amp; I2239 &amp;")"</f>
        <v>Case vD128581:    UniConst = ChrW(128581)</v>
      </c>
    </row>
    <row r="2240" spans="1:11" hidden="1">
      <c r="A2240" t="s">
        <v>714</v>
      </c>
      <c r="B2240" t="str">
        <f t="shared" si="206"/>
        <v>1F645 1F3FD 200D 2642 ; minimally-qualified # 🙅🏽‍♂ E4.0 man gesturing NO: medium skin tone</v>
      </c>
      <c r="C2240" t="str">
        <f t="shared" si="207"/>
        <v xml:space="preserve">1F645 1F3FD 200D 2642 </v>
      </c>
      <c r="D2240">
        <f t="shared" si="208"/>
        <v>22</v>
      </c>
      <c r="E2240" t="str">
        <f t="shared" si="204"/>
        <v xml:space="preserve"> 🙅🏽‍♂ E4.0 man gesturing NO: medium skin tone</v>
      </c>
      <c r="F2240" t="b">
        <f t="shared" si="209"/>
        <v>1</v>
      </c>
      <c r="G2240" t="str">
        <f t="shared" si="205"/>
        <v>1F645</v>
      </c>
      <c r="I2240">
        <f>HEX2DEC(Table1[[#This Row],[utf8]])</f>
        <v>128581</v>
      </c>
      <c r="J2240" t="str">
        <f>_xlfn.UNICHAR(HEX2DEC(Table1[[#This Row],[utf8]]))</f>
        <v>🙅</v>
      </c>
      <c r="K2240" s="3" t="str" cm="1">
        <f t="array" ref="K2240">"Case "&amp;wRandomLetter()&amp;wRandomLetter()&amp;I2240&amp;":    UniConst = ChrW(" &amp; I2240 &amp;")"</f>
        <v>Case dj128581:    UniConst = ChrW(128581)</v>
      </c>
    </row>
    <row r="2241" spans="1:11" hidden="1">
      <c r="A2241" t="s">
        <v>713</v>
      </c>
      <c r="B2241" t="str">
        <f t="shared" si="206"/>
        <v>1F645 1F3FD 200D 2642 FE0F ; fully-qualified # 🙅🏽‍♂️ E4.0 man gesturing NO: medium skin tone</v>
      </c>
      <c r="C2241" t="str">
        <f t="shared" si="207"/>
        <v xml:space="preserve">1F645 1F3FD 200D 2642 FE0F </v>
      </c>
      <c r="D2241">
        <f t="shared" si="208"/>
        <v>27</v>
      </c>
      <c r="E2241" t="str">
        <f t="shared" si="204"/>
        <v xml:space="preserve"> 🙅🏽‍♂️ E4.0 man gesturing NO: medium skin tone</v>
      </c>
      <c r="F2241" t="b">
        <f t="shared" si="209"/>
        <v>1</v>
      </c>
      <c r="G2241" t="str">
        <f t="shared" si="205"/>
        <v>1F645</v>
      </c>
      <c r="I2241">
        <f>HEX2DEC(Table1[[#This Row],[utf8]])</f>
        <v>128581</v>
      </c>
      <c r="J2241" t="str">
        <f>_xlfn.UNICHAR(HEX2DEC(Table1[[#This Row],[utf8]]))</f>
        <v>🙅</v>
      </c>
      <c r="K2241" s="3" t="str" cm="1">
        <f t="array" ref="K2241">"Case "&amp;wRandomLetter()&amp;wRandomLetter()&amp;I2241&amp;":    UniConst = ChrW(" &amp; I2241 &amp;")"</f>
        <v>Case JG128581:    UniConst = ChrW(128581)</v>
      </c>
    </row>
    <row r="2242" spans="1:11" hidden="1">
      <c r="A2242" t="s">
        <v>705</v>
      </c>
      <c r="B2242" t="str">
        <f t="shared" si="206"/>
        <v>1F645 1F3FE ; fully-qualified # 🙅🏾 E1.0 person gesturing NO: medium-dark skin tone</v>
      </c>
      <c r="C2242" t="str">
        <f t="shared" si="207"/>
        <v xml:space="preserve">1F645 1F3FE </v>
      </c>
      <c r="D2242">
        <f t="shared" si="208"/>
        <v>12</v>
      </c>
      <c r="E2242" t="str">
        <f t="shared" ref="E2242:E2305" si="210">MID(A2242,FIND("#",A2242)+1,256)</f>
        <v xml:space="preserve"> 🙅🏾 E1.0 person gesturing NO: medium-dark skin tone</v>
      </c>
      <c r="F2242" t="b">
        <f t="shared" si="209"/>
        <v>1</v>
      </c>
      <c r="G2242" t="str">
        <f t="shared" ref="G2242:G2305" si="211">LEFT(C2242,(FIND(" ",C2242,1)-1))</f>
        <v>1F645</v>
      </c>
      <c r="I2242">
        <f>HEX2DEC(Table1[[#This Row],[utf8]])</f>
        <v>128581</v>
      </c>
      <c r="J2242" t="str">
        <f>_xlfn.UNICHAR(HEX2DEC(Table1[[#This Row],[utf8]]))</f>
        <v>🙅</v>
      </c>
      <c r="K2242" s="3" t="str" cm="1">
        <f t="array" ref="K2242">"Case "&amp;wRandomLetter()&amp;wRandomLetter()&amp;I2242&amp;":    UniConst = ChrW(" &amp; I2242 &amp;")"</f>
        <v>Case lb128581:    UniConst = ChrW(128581)</v>
      </c>
    </row>
    <row r="2243" spans="1:11" hidden="1">
      <c r="A2243" t="s">
        <v>728</v>
      </c>
      <c r="B2243" t="str">
        <f t="shared" ref="B2243:B2306" si="212">TRIM(A2243)</f>
        <v>1F645 1F3FE 200D 2640 ; minimally-qualified # 🙅🏾‍♀ E4.0 woman gesturing NO: medium-dark skin tone</v>
      </c>
      <c r="C2243" t="str">
        <f t="shared" ref="C2243:C2306" si="213">LEFT(B2243,(FIND(";",B2243,1)-1))</f>
        <v xml:space="preserve">1F645 1F3FE 200D 2640 </v>
      </c>
      <c r="D2243">
        <f t="shared" ref="D2243:D2306" si="214">LEN(C2243)</f>
        <v>22</v>
      </c>
      <c r="E2243" t="str">
        <f t="shared" si="210"/>
        <v xml:space="preserve"> 🙅🏾‍♀ E4.0 woman gesturing NO: medium-dark skin tone</v>
      </c>
      <c r="F2243" t="b">
        <f t="shared" ref="F2243:F2306" si="215">IF(LEFT(C2243,2)="1F",TRUE,FALSE)</f>
        <v>1</v>
      </c>
      <c r="G2243" t="str">
        <f t="shared" si="211"/>
        <v>1F645</v>
      </c>
      <c r="I2243">
        <f>HEX2DEC(Table1[[#This Row],[utf8]])</f>
        <v>128581</v>
      </c>
      <c r="J2243" t="str">
        <f>_xlfn.UNICHAR(HEX2DEC(Table1[[#This Row],[utf8]]))</f>
        <v>🙅</v>
      </c>
      <c r="K2243" s="3" t="str" cm="1">
        <f t="array" ref="K2243">"Case "&amp;wRandomLetter()&amp;wRandomLetter()&amp;I2243&amp;":    UniConst = ChrW(" &amp; I2243 &amp;")"</f>
        <v>Case td128581:    UniConst = ChrW(128581)</v>
      </c>
    </row>
    <row r="2244" spans="1:11" hidden="1">
      <c r="A2244" t="s">
        <v>727</v>
      </c>
      <c r="B2244" t="str">
        <f t="shared" si="212"/>
        <v>1F645 1F3FE 200D 2640 FE0F ; fully-qualified # 🙅🏾‍♀️ E4.0 woman gesturing NO: medium-dark skin tone</v>
      </c>
      <c r="C2244" t="str">
        <f t="shared" si="213"/>
        <v xml:space="preserve">1F645 1F3FE 200D 2640 FE0F </v>
      </c>
      <c r="D2244">
        <f t="shared" si="214"/>
        <v>27</v>
      </c>
      <c r="E2244" t="str">
        <f t="shared" si="210"/>
        <v xml:space="preserve"> 🙅🏾‍♀️ E4.0 woman gesturing NO: medium-dark skin tone</v>
      </c>
      <c r="F2244" t="b">
        <f t="shared" si="215"/>
        <v>1</v>
      </c>
      <c r="G2244" t="str">
        <f t="shared" si="211"/>
        <v>1F645</v>
      </c>
      <c r="I2244">
        <f>HEX2DEC(Table1[[#This Row],[utf8]])</f>
        <v>128581</v>
      </c>
      <c r="J2244" t="str">
        <f>_xlfn.UNICHAR(HEX2DEC(Table1[[#This Row],[utf8]]))</f>
        <v>🙅</v>
      </c>
      <c r="K2244" s="3" t="str" cm="1">
        <f t="array" ref="K2244">"Case "&amp;wRandomLetter()&amp;wRandomLetter()&amp;I2244&amp;":    UniConst = ChrW(" &amp; I2244 &amp;")"</f>
        <v>Case Oa128581:    UniConst = ChrW(128581)</v>
      </c>
    </row>
    <row r="2245" spans="1:11" hidden="1">
      <c r="A2245" t="s">
        <v>716</v>
      </c>
      <c r="B2245" t="str">
        <f t="shared" si="212"/>
        <v>1F645 1F3FE 200D 2642 ; minimally-qualified # 🙅🏾‍♂ E4.0 man gesturing NO: medium-dark skin tone</v>
      </c>
      <c r="C2245" t="str">
        <f t="shared" si="213"/>
        <v xml:space="preserve">1F645 1F3FE 200D 2642 </v>
      </c>
      <c r="D2245">
        <f t="shared" si="214"/>
        <v>22</v>
      </c>
      <c r="E2245" t="str">
        <f t="shared" si="210"/>
        <v xml:space="preserve"> 🙅🏾‍♂ E4.0 man gesturing NO: medium-dark skin tone</v>
      </c>
      <c r="F2245" t="b">
        <f t="shared" si="215"/>
        <v>1</v>
      </c>
      <c r="G2245" t="str">
        <f t="shared" si="211"/>
        <v>1F645</v>
      </c>
      <c r="I2245">
        <f>HEX2DEC(Table1[[#This Row],[utf8]])</f>
        <v>128581</v>
      </c>
      <c r="J2245" t="str">
        <f>_xlfn.UNICHAR(HEX2DEC(Table1[[#This Row],[utf8]]))</f>
        <v>🙅</v>
      </c>
      <c r="K2245" s="3" t="str" cm="1">
        <f t="array" ref="K2245">"Case "&amp;wRandomLetter()&amp;wRandomLetter()&amp;I2245&amp;":    UniConst = ChrW(" &amp; I2245 &amp;")"</f>
        <v>Case MZ128581:    UniConst = ChrW(128581)</v>
      </c>
    </row>
    <row r="2246" spans="1:11" hidden="1">
      <c r="A2246" t="s">
        <v>715</v>
      </c>
      <c r="B2246" t="str">
        <f t="shared" si="212"/>
        <v>1F645 1F3FE 200D 2642 FE0F ; fully-qualified # 🙅🏾‍♂️ E4.0 man gesturing NO: medium-dark skin tone</v>
      </c>
      <c r="C2246" t="str">
        <f t="shared" si="213"/>
        <v xml:space="preserve">1F645 1F3FE 200D 2642 FE0F </v>
      </c>
      <c r="D2246">
        <f t="shared" si="214"/>
        <v>27</v>
      </c>
      <c r="E2246" t="str">
        <f t="shared" si="210"/>
        <v xml:space="preserve"> 🙅🏾‍♂️ E4.0 man gesturing NO: medium-dark skin tone</v>
      </c>
      <c r="F2246" t="b">
        <f t="shared" si="215"/>
        <v>1</v>
      </c>
      <c r="G2246" t="str">
        <f t="shared" si="211"/>
        <v>1F645</v>
      </c>
      <c r="I2246">
        <f>HEX2DEC(Table1[[#This Row],[utf8]])</f>
        <v>128581</v>
      </c>
      <c r="J2246" t="str">
        <f>_xlfn.UNICHAR(HEX2DEC(Table1[[#This Row],[utf8]]))</f>
        <v>🙅</v>
      </c>
      <c r="K2246" s="3" t="str" cm="1">
        <f t="array" ref="K2246">"Case "&amp;wRandomLetter()&amp;wRandomLetter()&amp;I2246&amp;":    UniConst = ChrW(" &amp; I2246 &amp;")"</f>
        <v>Case Ic128581:    UniConst = ChrW(128581)</v>
      </c>
    </row>
    <row r="2247" spans="1:11" hidden="1">
      <c r="A2247" t="s">
        <v>706</v>
      </c>
      <c r="B2247" t="str">
        <f t="shared" si="212"/>
        <v>1F645 1F3FF ; fully-qualified # 🙅🏿 E1.0 person gesturing NO: dark skin tone</v>
      </c>
      <c r="C2247" t="str">
        <f t="shared" si="213"/>
        <v xml:space="preserve">1F645 1F3FF </v>
      </c>
      <c r="D2247">
        <f t="shared" si="214"/>
        <v>12</v>
      </c>
      <c r="E2247" t="str">
        <f t="shared" si="210"/>
        <v xml:space="preserve"> 🙅🏿 E1.0 person gesturing NO: dark skin tone</v>
      </c>
      <c r="F2247" t="b">
        <f t="shared" si="215"/>
        <v>1</v>
      </c>
      <c r="G2247" t="str">
        <f t="shared" si="211"/>
        <v>1F645</v>
      </c>
      <c r="I2247">
        <f>HEX2DEC(Table1[[#This Row],[utf8]])</f>
        <v>128581</v>
      </c>
      <c r="J2247" t="str">
        <f>_xlfn.UNICHAR(HEX2DEC(Table1[[#This Row],[utf8]]))</f>
        <v>🙅</v>
      </c>
      <c r="K2247" s="3" t="str" cm="1">
        <f t="array" ref="K2247">"Case "&amp;wRandomLetter()&amp;wRandomLetter()&amp;I2247&amp;":    UniConst = ChrW(" &amp; I2247 &amp;")"</f>
        <v>Case BZ128581:    UniConst = ChrW(128581)</v>
      </c>
    </row>
    <row r="2248" spans="1:11" hidden="1">
      <c r="A2248" t="s">
        <v>730</v>
      </c>
      <c r="B2248" t="str">
        <f t="shared" si="212"/>
        <v>1F645 1F3FF 200D 2640 ; minimally-qualified # 🙅🏿‍♀ E4.0 woman gesturing NO: dark skin tone</v>
      </c>
      <c r="C2248" t="str">
        <f t="shared" si="213"/>
        <v xml:space="preserve">1F645 1F3FF 200D 2640 </v>
      </c>
      <c r="D2248">
        <f t="shared" si="214"/>
        <v>22</v>
      </c>
      <c r="E2248" t="str">
        <f t="shared" si="210"/>
        <v xml:space="preserve"> 🙅🏿‍♀ E4.0 woman gesturing NO: dark skin tone</v>
      </c>
      <c r="F2248" t="b">
        <f t="shared" si="215"/>
        <v>1</v>
      </c>
      <c r="G2248" t="str">
        <f t="shared" si="211"/>
        <v>1F645</v>
      </c>
      <c r="I2248">
        <f>HEX2DEC(Table1[[#This Row],[utf8]])</f>
        <v>128581</v>
      </c>
      <c r="J2248" t="str">
        <f>_xlfn.UNICHAR(HEX2DEC(Table1[[#This Row],[utf8]]))</f>
        <v>🙅</v>
      </c>
      <c r="K2248" s="3" t="str" cm="1">
        <f t="array" ref="K2248">"Case "&amp;wRandomLetter()&amp;wRandomLetter()&amp;I2248&amp;":    UniConst = ChrW(" &amp; I2248 &amp;")"</f>
        <v>Case YO128581:    UniConst = ChrW(128581)</v>
      </c>
    </row>
    <row r="2249" spans="1:11" hidden="1">
      <c r="A2249" t="s">
        <v>729</v>
      </c>
      <c r="B2249" t="str">
        <f t="shared" si="212"/>
        <v>1F645 1F3FF 200D 2640 FE0F ; fully-qualified # 🙅🏿‍♀️ E4.0 woman gesturing NO: dark skin tone</v>
      </c>
      <c r="C2249" t="str">
        <f t="shared" si="213"/>
        <v xml:space="preserve">1F645 1F3FF 200D 2640 FE0F </v>
      </c>
      <c r="D2249">
        <f t="shared" si="214"/>
        <v>27</v>
      </c>
      <c r="E2249" t="str">
        <f t="shared" si="210"/>
        <v xml:space="preserve"> 🙅🏿‍♀️ E4.0 woman gesturing NO: dark skin tone</v>
      </c>
      <c r="F2249" t="b">
        <f t="shared" si="215"/>
        <v>1</v>
      </c>
      <c r="G2249" t="str">
        <f t="shared" si="211"/>
        <v>1F645</v>
      </c>
      <c r="I2249">
        <f>HEX2DEC(Table1[[#This Row],[utf8]])</f>
        <v>128581</v>
      </c>
      <c r="J2249" t="str">
        <f>_xlfn.UNICHAR(HEX2DEC(Table1[[#This Row],[utf8]]))</f>
        <v>🙅</v>
      </c>
      <c r="K2249" s="3" t="str" cm="1">
        <f t="array" ref="K2249">"Case "&amp;wRandomLetter()&amp;wRandomLetter()&amp;I2249&amp;":    UniConst = ChrW(" &amp; I2249 &amp;")"</f>
        <v>Case bC128581:    UniConst = ChrW(128581)</v>
      </c>
    </row>
    <row r="2250" spans="1:11" hidden="1">
      <c r="A2250" t="s">
        <v>718</v>
      </c>
      <c r="B2250" t="str">
        <f t="shared" si="212"/>
        <v>1F645 1F3FF 200D 2642 ; minimally-qualified # 🙅🏿‍♂ E4.0 man gesturing NO: dark skin tone</v>
      </c>
      <c r="C2250" t="str">
        <f t="shared" si="213"/>
        <v xml:space="preserve">1F645 1F3FF 200D 2642 </v>
      </c>
      <c r="D2250">
        <f t="shared" si="214"/>
        <v>22</v>
      </c>
      <c r="E2250" t="str">
        <f t="shared" si="210"/>
        <v xml:space="preserve"> 🙅🏿‍♂ E4.0 man gesturing NO: dark skin tone</v>
      </c>
      <c r="F2250" t="b">
        <f t="shared" si="215"/>
        <v>1</v>
      </c>
      <c r="G2250" t="str">
        <f t="shared" si="211"/>
        <v>1F645</v>
      </c>
      <c r="I2250">
        <f>HEX2DEC(Table1[[#This Row],[utf8]])</f>
        <v>128581</v>
      </c>
      <c r="J2250" t="str">
        <f>_xlfn.UNICHAR(HEX2DEC(Table1[[#This Row],[utf8]]))</f>
        <v>🙅</v>
      </c>
      <c r="K2250" s="3" t="str" cm="1">
        <f t="array" ref="K2250">"Case "&amp;wRandomLetter()&amp;wRandomLetter()&amp;I2250&amp;":    UniConst = ChrW(" &amp; I2250 &amp;")"</f>
        <v>Case fr128581:    UniConst = ChrW(128581)</v>
      </c>
    </row>
    <row r="2251" spans="1:11" hidden="1">
      <c r="A2251" t="s">
        <v>717</v>
      </c>
      <c r="B2251" t="str">
        <f t="shared" si="212"/>
        <v>1F645 1F3FF 200D 2642 FE0F ; fully-qualified # 🙅🏿‍♂️ E4.0 man gesturing NO: dark skin tone</v>
      </c>
      <c r="C2251" t="str">
        <f t="shared" si="213"/>
        <v xml:space="preserve">1F645 1F3FF 200D 2642 FE0F </v>
      </c>
      <c r="D2251">
        <f t="shared" si="214"/>
        <v>27</v>
      </c>
      <c r="E2251" t="str">
        <f t="shared" si="210"/>
        <v xml:space="preserve"> 🙅🏿‍♂️ E4.0 man gesturing NO: dark skin tone</v>
      </c>
      <c r="F2251" t="b">
        <f t="shared" si="215"/>
        <v>1</v>
      </c>
      <c r="G2251" t="str">
        <f t="shared" si="211"/>
        <v>1F645</v>
      </c>
      <c r="I2251">
        <f>HEX2DEC(Table1[[#This Row],[utf8]])</f>
        <v>128581</v>
      </c>
      <c r="J2251" t="str">
        <f>_xlfn.UNICHAR(HEX2DEC(Table1[[#This Row],[utf8]]))</f>
        <v>🙅</v>
      </c>
      <c r="K2251" s="3" t="str" cm="1">
        <f t="array" ref="K2251">"Case "&amp;wRandomLetter()&amp;wRandomLetter()&amp;I2251&amp;":    UniConst = ChrW(" &amp; I2251 &amp;")"</f>
        <v>Case Xo128581:    UniConst = ChrW(128581)</v>
      </c>
    </row>
    <row r="2252" spans="1:11" hidden="1">
      <c r="A2252" t="s">
        <v>720</v>
      </c>
      <c r="B2252" t="str">
        <f t="shared" si="212"/>
        <v>1F645 200D 2640 ; minimally-qualified # 🙅‍♀ E4.0 woman gesturing NO</v>
      </c>
      <c r="C2252" t="str">
        <f t="shared" si="213"/>
        <v xml:space="preserve">1F645 200D 2640 </v>
      </c>
      <c r="D2252">
        <f t="shared" si="214"/>
        <v>16</v>
      </c>
      <c r="E2252" t="str">
        <f t="shared" si="210"/>
        <v xml:space="preserve"> 🙅‍♀ E4.0 woman gesturing NO</v>
      </c>
      <c r="F2252" t="b">
        <f t="shared" si="215"/>
        <v>1</v>
      </c>
      <c r="G2252" t="str">
        <f t="shared" si="211"/>
        <v>1F645</v>
      </c>
      <c r="I2252">
        <f>HEX2DEC(Table1[[#This Row],[utf8]])</f>
        <v>128581</v>
      </c>
      <c r="J2252" t="str">
        <f>_xlfn.UNICHAR(HEX2DEC(Table1[[#This Row],[utf8]]))</f>
        <v>🙅</v>
      </c>
      <c r="K2252" s="3" t="str" cm="1">
        <f t="array" ref="K2252">"Case "&amp;wRandomLetter()&amp;wRandomLetter()&amp;I2252&amp;":    UniConst = ChrW(" &amp; I2252 &amp;")"</f>
        <v>Case jh128581:    UniConst = ChrW(128581)</v>
      </c>
    </row>
    <row r="2253" spans="1:11" hidden="1">
      <c r="A2253" t="s">
        <v>719</v>
      </c>
      <c r="B2253" t="str">
        <f t="shared" si="212"/>
        <v>1F645 200D 2640 FE0F ; fully-qualified # 🙅‍♀️ E4.0 woman gesturing NO</v>
      </c>
      <c r="C2253" t="str">
        <f t="shared" si="213"/>
        <v xml:space="preserve">1F645 200D 2640 FE0F </v>
      </c>
      <c r="D2253">
        <f t="shared" si="214"/>
        <v>21</v>
      </c>
      <c r="E2253" t="str">
        <f t="shared" si="210"/>
        <v xml:space="preserve"> 🙅‍♀️ E4.0 woman gesturing NO</v>
      </c>
      <c r="F2253" t="b">
        <f t="shared" si="215"/>
        <v>1</v>
      </c>
      <c r="G2253" t="str">
        <f t="shared" si="211"/>
        <v>1F645</v>
      </c>
      <c r="I2253">
        <f>HEX2DEC(Table1[[#This Row],[utf8]])</f>
        <v>128581</v>
      </c>
      <c r="J2253" t="str">
        <f>_xlfn.UNICHAR(HEX2DEC(Table1[[#This Row],[utf8]]))</f>
        <v>🙅</v>
      </c>
      <c r="K2253" s="3" t="str" cm="1">
        <f t="array" ref="K2253">"Case "&amp;wRandomLetter()&amp;wRandomLetter()&amp;I2253&amp;":    UniConst = ChrW(" &amp; I2253 &amp;")"</f>
        <v>Case GM128581:    UniConst = ChrW(128581)</v>
      </c>
    </row>
    <row r="2254" spans="1:11" hidden="1">
      <c r="A2254" t="s">
        <v>708</v>
      </c>
      <c r="B2254" t="str">
        <f t="shared" si="212"/>
        <v>1F645 200D 2642 ; minimally-qualified # 🙅‍♂ E4.0 man gesturing NO</v>
      </c>
      <c r="C2254" t="str">
        <f t="shared" si="213"/>
        <v xml:space="preserve">1F645 200D 2642 </v>
      </c>
      <c r="D2254">
        <f t="shared" si="214"/>
        <v>16</v>
      </c>
      <c r="E2254" t="str">
        <f t="shared" si="210"/>
        <v xml:space="preserve"> 🙅‍♂ E4.0 man gesturing NO</v>
      </c>
      <c r="F2254" t="b">
        <f t="shared" si="215"/>
        <v>1</v>
      </c>
      <c r="G2254" t="str">
        <f t="shared" si="211"/>
        <v>1F645</v>
      </c>
      <c r="I2254">
        <f>HEX2DEC(Table1[[#This Row],[utf8]])</f>
        <v>128581</v>
      </c>
      <c r="J2254" t="str">
        <f>_xlfn.UNICHAR(HEX2DEC(Table1[[#This Row],[utf8]]))</f>
        <v>🙅</v>
      </c>
      <c r="K2254" s="3" t="str" cm="1">
        <f t="array" ref="K2254">"Case "&amp;wRandomLetter()&amp;wRandomLetter()&amp;I2254&amp;":    UniConst = ChrW(" &amp; I2254 &amp;")"</f>
        <v>Case dj128581:    UniConst = ChrW(128581)</v>
      </c>
    </row>
    <row r="2255" spans="1:11" hidden="1">
      <c r="A2255" t="s">
        <v>707</v>
      </c>
      <c r="B2255" t="str">
        <f t="shared" si="212"/>
        <v>1F645 200D 2642 FE0F ; fully-qualified # 🙅‍♂️ E4.0 man gesturing NO</v>
      </c>
      <c r="C2255" t="str">
        <f t="shared" si="213"/>
        <v xml:space="preserve">1F645 200D 2642 FE0F </v>
      </c>
      <c r="D2255">
        <f t="shared" si="214"/>
        <v>21</v>
      </c>
      <c r="E2255" t="str">
        <f t="shared" si="210"/>
        <v xml:space="preserve"> 🙅‍♂️ E4.0 man gesturing NO</v>
      </c>
      <c r="F2255" t="b">
        <f t="shared" si="215"/>
        <v>1</v>
      </c>
      <c r="G2255" t="str">
        <f t="shared" si="211"/>
        <v>1F645</v>
      </c>
      <c r="I2255">
        <f>HEX2DEC(Table1[[#This Row],[utf8]])</f>
        <v>128581</v>
      </c>
      <c r="J2255" t="str">
        <f>_xlfn.UNICHAR(HEX2DEC(Table1[[#This Row],[utf8]]))</f>
        <v>🙅</v>
      </c>
      <c r="K2255" s="3" t="str" cm="1">
        <f t="array" ref="K2255">"Case "&amp;wRandomLetter()&amp;wRandomLetter()&amp;I2255&amp;":    UniConst = ChrW(" &amp; I2255 &amp;")"</f>
        <v>Case Kl128581:    UniConst = ChrW(128581)</v>
      </c>
    </row>
    <row r="2256" spans="1:11" hidden="1">
      <c r="A2256" t="s">
        <v>731</v>
      </c>
      <c r="B2256" t="str">
        <f t="shared" si="212"/>
        <v>1F646 ; fully-qualified # 🙆 E0.6 person gesturing OK</v>
      </c>
      <c r="C2256" t="str">
        <f t="shared" si="213"/>
        <v xml:space="preserve">1F646 </v>
      </c>
      <c r="D2256">
        <f t="shared" si="214"/>
        <v>6</v>
      </c>
      <c r="E2256" t="str">
        <f t="shared" si="210"/>
        <v xml:space="preserve"> 🙆 E0.6 person gesturing OK</v>
      </c>
      <c r="F2256" t="b">
        <f t="shared" si="215"/>
        <v>1</v>
      </c>
      <c r="G2256" t="str">
        <f t="shared" si="211"/>
        <v>1F646</v>
      </c>
      <c r="I2256">
        <f>HEX2DEC(Table1[[#This Row],[utf8]])</f>
        <v>128582</v>
      </c>
      <c r="J2256" t="str">
        <f>_xlfn.UNICHAR(HEX2DEC(Table1[[#This Row],[utf8]]))</f>
        <v>🙆</v>
      </c>
      <c r="K2256" s="3" t="str" cm="1">
        <f t="array" ref="K2256">"Case "&amp;wRandomLetter()&amp;wRandomLetter()&amp;I2256&amp;":    UniConst = ChrW(" &amp; I2256 &amp;")"</f>
        <v>Case SS128582:    UniConst = ChrW(128582)</v>
      </c>
    </row>
    <row r="2257" spans="1:11" hidden="1">
      <c r="A2257" t="s">
        <v>732</v>
      </c>
      <c r="B2257" t="str">
        <f t="shared" si="212"/>
        <v>1F646 1F3FB ; fully-qualified # 🙆🏻 E1.0 person gesturing OK: light skin tone</v>
      </c>
      <c r="C2257" t="str">
        <f t="shared" si="213"/>
        <v xml:space="preserve">1F646 1F3FB </v>
      </c>
      <c r="D2257">
        <f t="shared" si="214"/>
        <v>12</v>
      </c>
      <c r="E2257" t="str">
        <f t="shared" si="210"/>
        <v xml:space="preserve"> 🙆🏻 E1.0 person gesturing OK: light skin tone</v>
      </c>
      <c r="F2257" t="b">
        <f t="shared" si="215"/>
        <v>1</v>
      </c>
      <c r="G2257" t="str">
        <f t="shared" si="211"/>
        <v>1F646</v>
      </c>
      <c r="I2257">
        <f>HEX2DEC(Table1[[#This Row],[utf8]])</f>
        <v>128582</v>
      </c>
      <c r="J2257" t="str">
        <f>_xlfn.UNICHAR(HEX2DEC(Table1[[#This Row],[utf8]]))</f>
        <v>🙆</v>
      </c>
      <c r="K2257" s="3" t="str" cm="1">
        <f t="array" ref="K2257">"Case "&amp;wRandomLetter()&amp;wRandomLetter()&amp;I2257&amp;":    UniConst = ChrW(" &amp; I2257 &amp;")"</f>
        <v>Case SS128582:    UniConst = ChrW(128582)</v>
      </c>
    </row>
    <row r="2258" spans="1:11" hidden="1">
      <c r="A2258" t="s">
        <v>752</v>
      </c>
      <c r="B2258" t="str">
        <f t="shared" si="212"/>
        <v>1F646 1F3FB 200D 2640 ; minimally-qualified # 🙆🏻‍♀ E4.0 woman gesturing OK: light skin tone</v>
      </c>
      <c r="C2258" t="str">
        <f t="shared" si="213"/>
        <v xml:space="preserve">1F646 1F3FB 200D 2640 </v>
      </c>
      <c r="D2258">
        <f t="shared" si="214"/>
        <v>22</v>
      </c>
      <c r="E2258" t="str">
        <f t="shared" si="210"/>
        <v xml:space="preserve"> 🙆🏻‍♀ E4.0 woman gesturing OK: light skin tone</v>
      </c>
      <c r="F2258" t="b">
        <f t="shared" si="215"/>
        <v>1</v>
      </c>
      <c r="G2258" t="str">
        <f t="shared" si="211"/>
        <v>1F646</v>
      </c>
      <c r="I2258">
        <f>HEX2DEC(Table1[[#This Row],[utf8]])</f>
        <v>128582</v>
      </c>
      <c r="J2258" t="str">
        <f>_xlfn.UNICHAR(HEX2DEC(Table1[[#This Row],[utf8]]))</f>
        <v>🙆</v>
      </c>
      <c r="K2258" s="3" t="str" cm="1">
        <f t="array" ref="K2258">"Case "&amp;wRandomLetter()&amp;wRandomLetter()&amp;I2258&amp;":    UniConst = ChrW(" &amp; I2258 &amp;")"</f>
        <v>Case Hy128582:    UniConst = ChrW(128582)</v>
      </c>
    </row>
    <row r="2259" spans="1:11" hidden="1">
      <c r="A2259" t="s">
        <v>751</v>
      </c>
      <c r="B2259" t="str">
        <f t="shared" si="212"/>
        <v>1F646 1F3FB 200D 2640 FE0F ; fully-qualified # 🙆🏻‍♀️ E4.0 woman gesturing OK: light skin tone</v>
      </c>
      <c r="C2259" t="str">
        <f t="shared" si="213"/>
        <v xml:space="preserve">1F646 1F3FB 200D 2640 FE0F </v>
      </c>
      <c r="D2259">
        <f t="shared" si="214"/>
        <v>27</v>
      </c>
      <c r="E2259" t="str">
        <f t="shared" si="210"/>
        <v xml:space="preserve"> 🙆🏻‍♀️ E4.0 woman gesturing OK: light skin tone</v>
      </c>
      <c r="F2259" t="b">
        <f t="shared" si="215"/>
        <v>1</v>
      </c>
      <c r="G2259" t="str">
        <f t="shared" si="211"/>
        <v>1F646</v>
      </c>
      <c r="I2259">
        <f>HEX2DEC(Table1[[#This Row],[utf8]])</f>
        <v>128582</v>
      </c>
      <c r="J2259" t="str">
        <f>_xlfn.UNICHAR(HEX2DEC(Table1[[#This Row],[utf8]]))</f>
        <v>🙆</v>
      </c>
      <c r="K2259" s="3" t="str" cm="1">
        <f t="array" ref="K2259">"Case "&amp;wRandomLetter()&amp;wRandomLetter()&amp;I2259&amp;":    UniConst = ChrW(" &amp; I2259 &amp;")"</f>
        <v>Case iZ128582:    UniConst = ChrW(128582)</v>
      </c>
    </row>
    <row r="2260" spans="1:11" hidden="1">
      <c r="A2260" t="s">
        <v>740</v>
      </c>
      <c r="B2260" t="str">
        <f t="shared" si="212"/>
        <v>1F646 1F3FB 200D 2642 ; minimally-qualified # 🙆🏻‍♂ E4.0 man gesturing OK: light skin tone</v>
      </c>
      <c r="C2260" t="str">
        <f t="shared" si="213"/>
        <v xml:space="preserve">1F646 1F3FB 200D 2642 </v>
      </c>
      <c r="D2260">
        <f t="shared" si="214"/>
        <v>22</v>
      </c>
      <c r="E2260" t="str">
        <f t="shared" si="210"/>
        <v xml:space="preserve"> 🙆🏻‍♂ E4.0 man gesturing OK: light skin tone</v>
      </c>
      <c r="F2260" t="b">
        <f t="shared" si="215"/>
        <v>1</v>
      </c>
      <c r="G2260" t="str">
        <f t="shared" si="211"/>
        <v>1F646</v>
      </c>
      <c r="I2260">
        <f>HEX2DEC(Table1[[#This Row],[utf8]])</f>
        <v>128582</v>
      </c>
      <c r="J2260" t="str">
        <f>_xlfn.UNICHAR(HEX2DEC(Table1[[#This Row],[utf8]]))</f>
        <v>🙆</v>
      </c>
      <c r="K2260" s="3" t="str" cm="1">
        <f t="array" ref="K2260">"Case "&amp;wRandomLetter()&amp;wRandomLetter()&amp;I2260&amp;":    UniConst = ChrW(" &amp; I2260 &amp;")"</f>
        <v>Case Bw128582:    UniConst = ChrW(128582)</v>
      </c>
    </row>
    <row r="2261" spans="1:11" hidden="1">
      <c r="A2261" t="s">
        <v>739</v>
      </c>
      <c r="B2261" t="str">
        <f t="shared" si="212"/>
        <v>1F646 1F3FB 200D 2642 FE0F ; fully-qualified # 🙆🏻‍♂️ E4.0 man gesturing OK: light skin tone</v>
      </c>
      <c r="C2261" t="str">
        <f t="shared" si="213"/>
        <v xml:space="preserve">1F646 1F3FB 200D 2642 FE0F </v>
      </c>
      <c r="D2261">
        <f t="shared" si="214"/>
        <v>27</v>
      </c>
      <c r="E2261" t="str">
        <f t="shared" si="210"/>
        <v xml:space="preserve"> 🙆🏻‍♂️ E4.0 man gesturing OK: light skin tone</v>
      </c>
      <c r="F2261" t="b">
        <f t="shared" si="215"/>
        <v>1</v>
      </c>
      <c r="G2261" t="str">
        <f t="shared" si="211"/>
        <v>1F646</v>
      </c>
      <c r="I2261">
        <f>HEX2DEC(Table1[[#This Row],[utf8]])</f>
        <v>128582</v>
      </c>
      <c r="J2261" t="str">
        <f>_xlfn.UNICHAR(HEX2DEC(Table1[[#This Row],[utf8]]))</f>
        <v>🙆</v>
      </c>
      <c r="K2261" s="3" t="str" cm="1">
        <f t="array" ref="K2261">"Case "&amp;wRandomLetter()&amp;wRandomLetter()&amp;I2261&amp;":    UniConst = ChrW(" &amp; I2261 &amp;")"</f>
        <v>Case Ma128582:    UniConst = ChrW(128582)</v>
      </c>
    </row>
    <row r="2262" spans="1:11" hidden="1">
      <c r="A2262" t="s">
        <v>733</v>
      </c>
      <c r="B2262" t="str">
        <f t="shared" si="212"/>
        <v>1F646 1F3FC ; fully-qualified # 🙆🏼 E1.0 person gesturing OK: medium-light skin tone</v>
      </c>
      <c r="C2262" t="str">
        <f t="shared" si="213"/>
        <v xml:space="preserve">1F646 1F3FC </v>
      </c>
      <c r="D2262">
        <f t="shared" si="214"/>
        <v>12</v>
      </c>
      <c r="E2262" t="str">
        <f t="shared" si="210"/>
        <v xml:space="preserve"> 🙆🏼 E1.0 person gesturing OK: medium-light skin tone</v>
      </c>
      <c r="F2262" t="b">
        <f t="shared" si="215"/>
        <v>1</v>
      </c>
      <c r="G2262" t="str">
        <f t="shared" si="211"/>
        <v>1F646</v>
      </c>
      <c r="I2262">
        <f>HEX2DEC(Table1[[#This Row],[utf8]])</f>
        <v>128582</v>
      </c>
      <c r="J2262" t="str">
        <f>_xlfn.UNICHAR(HEX2DEC(Table1[[#This Row],[utf8]]))</f>
        <v>🙆</v>
      </c>
      <c r="K2262" s="3" t="str" cm="1">
        <f t="array" ref="K2262">"Case "&amp;wRandomLetter()&amp;wRandomLetter()&amp;I2262&amp;":    UniConst = ChrW(" &amp; I2262 &amp;")"</f>
        <v>Case Vg128582:    UniConst = ChrW(128582)</v>
      </c>
    </row>
    <row r="2263" spans="1:11" hidden="1">
      <c r="A2263" t="s">
        <v>754</v>
      </c>
      <c r="B2263" t="str">
        <f t="shared" si="212"/>
        <v>1F646 1F3FC 200D 2640 ; minimally-qualified # 🙆🏼‍♀ E4.0 woman gesturing OK: medium-light skin tone</v>
      </c>
      <c r="C2263" t="str">
        <f t="shared" si="213"/>
        <v xml:space="preserve">1F646 1F3FC 200D 2640 </v>
      </c>
      <c r="D2263">
        <f t="shared" si="214"/>
        <v>22</v>
      </c>
      <c r="E2263" t="str">
        <f t="shared" si="210"/>
        <v xml:space="preserve"> 🙆🏼‍♀ E4.0 woman gesturing OK: medium-light skin tone</v>
      </c>
      <c r="F2263" t="b">
        <f t="shared" si="215"/>
        <v>1</v>
      </c>
      <c r="G2263" t="str">
        <f t="shared" si="211"/>
        <v>1F646</v>
      </c>
      <c r="I2263">
        <f>HEX2DEC(Table1[[#This Row],[utf8]])</f>
        <v>128582</v>
      </c>
      <c r="J2263" t="str">
        <f>_xlfn.UNICHAR(HEX2DEC(Table1[[#This Row],[utf8]]))</f>
        <v>🙆</v>
      </c>
      <c r="K2263" s="3" t="str" cm="1">
        <f t="array" ref="K2263">"Case "&amp;wRandomLetter()&amp;wRandomLetter()&amp;I2263&amp;":    UniConst = ChrW(" &amp; I2263 &amp;")"</f>
        <v>Case sv128582:    UniConst = ChrW(128582)</v>
      </c>
    </row>
    <row r="2264" spans="1:11" hidden="1">
      <c r="A2264" t="s">
        <v>753</v>
      </c>
      <c r="B2264" t="str">
        <f t="shared" si="212"/>
        <v>1F646 1F3FC 200D 2640 FE0F ; fully-qualified # 🙆🏼‍♀️ E4.0 woman gesturing OK: medium-light skin tone</v>
      </c>
      <c r="C2264" t="str">
        <f t="shared" si="213"/>
        <v xml:space="preserve">1F646 1F3FC 200D 2640 FE0F </v>
      </c>
      <c r="D2264">
        <f t="shared" si="214"/>
        <v>27</v>
      </c>
      <c r="E2264" t="str">
        <f t="shared" si="210"/>
        <v xml:space="preserve"> 🙆🏼‍♀️ E4.0 woman gesturing OK: medium-light skin tone</v>
      </c>
      <c r="F2264" t="b">
        <f t="shared" si="215"/>
        <v>1</v>
      </c>
      <c r="G2264" t="str">
        <f t="shared" si="211"/>
        <v>1F646</v>
      </c>
      <c r="I2264">
        <f>HEX2DEC(Table1[[#This Row],[utf8]])</f>
        <v>128582</v>
      </c>
      <c r="J2264" t="str">
        <f>_xlfn.UNICHAR(HEX2DEC(Table1[[#This Row],[utf8]]))</f>
        <v>🙆</v>
      </c>
      <c r="K2264" s="3" t="str" cm="1">
        <f t="array" ref="K2264">"Case "&amp;wRandomLetter()&amp;wRandomLetter()&amp;I2264&amp;":    UniConst = ChrW(" &amp; I2264 &amp;")"</f>
        <v>Case so128582:    UniConst = ChrW(128582)</v>
      </c>
    </row>
    <row r="2265" spans="1:11" hidden="1">
      <c r="A2265" t="s">
        <v>742</v>
      </c>
      <c r="B2265" t="str">
        <f t="shared" si="212"/>
        <v>1F646 1F3FC 200D 2642 ; minimally-qualified # 🙆🏼‍♂ E4.0 man gesturing OK: medium-light skin tone</v>
      </c>
      <c r="C2265" t="str">
        <f t="shared" si="213"/>
        <v xml:space="preserve">1F646 1F3FC 200D 2642 </v>
      </c>
      <c r="D2265">
        <f t="shared" si="214"/>
        <v>22</v>
      </c>
      <c r="E2265" t="str">
        <f t="shared" si="210"/>
        <v xml:space="preserve"> 🙆🏼‍♂ E4.0 man gesturing OK: medium-light skin tone</v>
      </c>
      <c r="F2265" t="b">
        <f t="shared" si="215"/>
        <v>1</v>
      </c>
      <c r="G2265" t="str">
        <f t="shared" si="211"/>
        <v>1F646</v>
      </c>
      <c r="I2265">
        <f>HEX2DEC(Table1[[#This Row],[utf8]])</f>
        <v>128582</v>
      </c>
      <c r="J2265" t="str">
        <f>_xlfn.UNICHAR(HEX2DEC(Table1[[#This Row],[utf8]]))</f>
        <v>🙆</v>
      </c>
      <c r="K2265" s="3" t="str" cm="1">
        <f t="array" ref="K2265">"Case "&amp;wRandomLetter()&amp;wRandomLetter()&amp;I2265&amp;":    UniConst = ChrW(" &amp; I2265 &amp;")"</f>
        <v>Case ac128582:    UniConst = ChrW(128582)</v>
      </c>
    </row>
    <row r="2266" spans="1:11" hidden="1">
      <c r="A2266" t="s">
        <v>741</v>
      </c>
      <c r="B2266" t="str">
        <f t="shared" si="212"/>
        <v>1F646 1F3FC 200D 2642 FE0F ; fully-qualified # 🙆🏼‍♂️ E4.0 man gesturing OK: medium-light skin tone</v>
      </c>
      <c r="C2266" t="str">
        <f t="shared" si="213"/>
        <v xml:space="preserve">1F646 1F3FC 200D 2642 FE0F </v>
      </c>
      <c r="D2266">
        <f t="shared" si="214"/>
        <v>27</v>
      </c>
      <c r="E2266" t="str">
        <f t="shared" si="210"/>
        <v xml:space="preserve"> 🙆🏼‍♂️ E4.0 man gesturing OK: medium-light skin tone</v>
      </c>
      <c r="F2266" t="b">
        <f t="shared" si="215"/>
        <v>1</v>
      </c>
      <c r="G2266" t="str">
        <f t="shared" si="211"/>
        <v>1F646</v>
      </c>
      <c r="I2266">
        <f>HEX2DEC(Table1[[#This Row],[utf8]])</f>
        <v>128582</v>
      </c>
      <c r="J2266" t="str">
        <f>_xlfn.UNICHAR(HEX2DEC(Table1[[#This Row],[utf8]]))</f>
        <v>🙆</v>
      </c>
      <c r="K2266" s="3" t="str" cm="1">
        <f t="array" ref="K2266">"Case "&amp;wRandomLetter()&amp;wRandomLetter()&amp;I2266&amp;":    UniConst = ChrW(" &amp; I2266 &amp;")"</f>
        <v>Case sI128582:    UniConst = ChrW(128582)</v>
      </c>
    </row>
    <row r="2267" spans="1:11" hidden="1">
      <c r="A2267" t="s">
        <v>734</v>
      </c>
      <c r="B2267" t="str">
        <f t="shared" si="212"/>
        <v>1F646 1F3FD ; fully-qualified # 🙆🏽 E1.0 person gesturing OK: medium skin tone</v>
      </c>
      <c r="C2267" t="str">
        <f t="shared" si="213"/>
        <v xml:space="preserve">1F646 1F3FD </v>
      </c>
      <c r="D2267">
        <f t="shared" si="214"/>
        <v>12</v>
      </c>
      <c r="E2267" t="str">
        <f t="shared" si="210"/>
        <v xml:space="preserve"> 🙆🏽 E1.0 person gesturing OK: medium skin tone</v>
      </c>
      <c r="F2267" t="b">
        <f t="shared" si="215"/>
        <v>1</v>
      </c>
      <c r="G2267" t="str">
        <f t="shared" si="211"/>
        <v>1F646</v>
      </c>
      <c r="I2267">
        <f>HEX2DEC(Table1[[#This Row],[utf8]])</f>
        <v>128582</v>
      </c>
      <c r="J2267" t="str">
        <f>_xlfn.UNICHAR(HEX2DEC(Table1[[#This Row],[utf8]]))</f>
        <v>🙆</v>
      </c>
      <c r="K2267" s="3" t="str" cm="1">
        <f t="array" ref="K2267">"Case "&amp;wRandomLetter()&amp;wRandomLetter()&amp;I2267&amp;":    UniConst = ChrW(" &amp; I2267 &amp;")"</f>
        <v>Case VY128582:    UniConst = ChrW(128582)</v>
      </c>
    </row>
    <row r="2268" spans="1:11" hidden="1">
      <c r="A2268" t="s">
        <v>756</v>
      </c>
      <c r="B2268" t="str">
        <f t="shared" si="212"/>
        <v>1F646 1F3FD 200D 2640 ; minimally-qualified # 🙆🏽‍♀ E4.0 woman gesturing OK: medium skin tone</v>
      </c>
      <c r="C2268" t="str">
        <f t="shared" si="213"/>
        <v xml:space="preserve">1F646 1F3FD 200D 2640 </v>
      </c>
      <c r="D2268">
        <f t="shared" si="214"/>
        <v>22</v>
      </c>
      <c r="E2268" t="str">
        <f t="shared" si="210"/>
        <v xml:space="preserve"> 🙆🏽‍♀ E4.0 woman gesturing OK: medium skin tone</v>
      </c>
      <c r="F2268" t="b">
        <f t="shared" si="215"/>
        <v>1</v>
      </c>
      <c r="G2268" t="str">
        <f t="shared" si="211"/>
        <v>1F646</v>
      </c>
      <c r="I2268">
        <f>HEX2DEC(Table1[[#This Row],[utf8]])</f>
        <v>128582</v>
      </c>
      <c r="J2268" t="str">
        <f>_xlfn.UNICHAR(HEX2DEC(Table1[[#This Row],[utf8]]))</f>
        <v>🙆</v>
      </c>
      <c r="K2268" s="3" t="str" cm="1">
        <f t="array" ref="K2268">"Case "&amp;wRandomLetter()&amp;wRandomLetter()&amp;I2268&amp;":    UniConst = ChrW(" &amp; I2268 &amp;")"</f>
        <v>Case rt128582:    UniConst = ChrW(128582)</v>
      </c>
    </row>
    <row r="2269" spans="1:11" hidden="1">
      <c r="A2269" t="s">
        <v>755</v>
      </c>
      <c r="B2269" t="str">
        <f t="shared" si="212"/>
        <v>1F646 1F3FD 200D 2640 FE0F ; fully-qualified # 🙆🏽‍♀️ E4.0 woman gesturing OK: medium skin tone</v>
      </c>
      <c r="C2269" t="str">
        <f t="shared" si="213"/>
        <v xml:space="preserve">1F646 1F3FD 200D 2640 FE0F </v>
      </c>
      <c r="D2269">
        <f t="shared" si="214"/>
        <v>27</v>
      </c>
      <c r="E2269" t="str">
        <f t="shared" si="210"/>
        <v xml:space="preserve"> 🙆🏽‍♀️ E4.0 woman gesturing OK: medium skin tone</v>
      </c>
      <c r="F2269" t="b">
        <f t="shared" si="215"/>
        <v>1</v>
      </c>
      <c r="G2269" t="str">
        <f t="shared" si="211"/>
        <v>1F646</v>
      </c>
      <c r="I2269">
        <f>HEX2DEC(Table1[[#This Row],[utf8]])</f>
        <v>128582</v>
      </c>
      <c r="J2269" t="str">
        <f>_xlfn.UNICHAR(HEX2DEC(Table1[[#This Row],[utf8]]))</f>
        <v>🙆</v>
      </c>
      <c r="K2269" s="3" t="str" cm="1">
        <f t="array" ref="K2269">"Case "&amp;wRandomLetter()&amp;wRandomLetter()&amp;I2269&amp;":    UniConst = ChrW(" &amp; I2269 &amp;")"</f>
        <v>Case Yz128582:    UniConst = ChrW(128582)</v>
      </c>
    </row>
    <row r="2270" spans="1:11" hidden="1">
      <c r="A2270" t="s">
        <v>744</v>
      </c>
      <c r="B2270" t="str">
        <f t="shared" si="212"/>
        <v>1F646 1F3FD 200D 2642 ; minimally-qualified # 🙆🏽‍♂ E4.0 man gesturing OK: medium skin tone</v>
      </c>
      <c r="C2270" t="str">
        <f t="shared" si="213"/>
        <v xml:space="preserve">1F646 1F3FD 200D 2642 </v>
      </c>
      <c r="D2270">
        <f t="shared" si="214"/>
        <v>22</v>
      </c>
      <c r="E2270" t="str">
        <f t="shared" si="210"/>
        <v xml:space="preserve"> 🙆🏽‍♂ E4.0 man gesturing OK: medium skin tone</v>
      </c>
      <c r="F2270" t="b">
        <f t="shared" si="215"/>
        <v>1</v>
      </c>
      <c r="G2270" t="str">
        <f t="shared" si="211"/>
        <v>1F646</v>
      </c>
      <c r="I2270">
        <f>HEX2DEC(Table1[[#This Row],[utf8]])</f>
        <v>128582</v>
      </c>
      <c r="J2270" t="str">
        <f>_xlfn.UNICHAR(HEX2DEC(Table1[[#This Row],[utf8]]))</f>
        <v>🙆</v>
      </c>
      <c r="K2270" s="3" t="str" cm="1">
        <f t="array" ref="K2270">"Case "&amp;wRandomLetter()&amp;wRandomLetter()&amp;I2270&amp;":    UniConst = ChrW(" &amp; I2270 &amp;")"</f>
        <v>Case TD128582:    UniConst = ChrW(128582)</v>
      </c>
    </row>
    <row r="2271" spans="1:11" hidden="1">
      <c r="A2271" t="s">
        <v>743</v>
      </c>
      <c r="B2271" t="str">
        <f t="shared" si="212"/>
        <v>1F646 1F3FD 200D 2642 FE0F ; fully-qualified # 🙆🏽‍♂️ E4.0 man gesturing OK: medium skin tone</v>
      </c>
      <c r="C2271" t="str">
        <f t="shared" si="213"/>
        <v xml:space="preserve">1F646 1F3FD 200D 2642 FE0F </v>
      </c>
      <c r="D2271">
        <f t="shared" si="214"/>
        <v>27</v>
      </c>
      <c r="E2271" t="str">
        <f t="shared" si="210"/>
        <v xml:space="preserve"> 🙆🏽‍♂️ E4.0 man gesturing OK: medium skin tone</v>
      </c>
      <c r="F2271" t="b">
        <f t="shared" si="215"/>
        <v>1</v>
      </c>
      <c r="G2271" t="str">
        <f t="shared" si="211"/>
        <v>1F646</v>
      </c>
      <c r="I2271">
        <f>HEX2DEC(Table1[[#This Row],[utf8]])</f>
        <v>128582</v>
      </c>
      <c r="J2271" t="str">
        <f>_xlfn.UNICHAR(HEX2DEC(Table1[[#This Row],[utf8]]))</f>
        <v>🙆</v>
      </c>
      <c r="K2271" s="3" t="str" cm="1">
        <f t="array" ref="K2271">"Case "&amp;wRandomLetter()&amp;wRandomLetter()&amp;I2271&amp;":    UniConst = ChrW(" &amp; I2271 &amp;")"</f>
        <v>Case mN128582:    UniConst = ChrW(128582)</v>
      </c>
    </row>
    <row r="2272" spans="1:11" hidden="1">
      <c r="A2272" t="s">
        <v>735</v>
      </c>
      <c r="B2272" t="str">
        <f t="shared" si="212"/>
        <v>1F646 1F3FE ; fully-qualified # 🙆🏾 E1.0 person gesturing OK: medium-dark skin tone</v>
      </c>
      <c r="C2272" t="str">
        <f t="shared" si="213"/>
        <v xml:space="preserve">1F646 1F3FE </v>
      </c>
      <c r="D2272">
        <f t="shared" si="214"/>
        <v>12</v>
      </c>
      <c r="E2272" t="str">
        <f t="shared" si="210"/>
        <v xml:space="preserve"> 🙆🏾 E1.0 person gesturing OK: medium-dark skin tone</v>
      </c>
      <c r="F2272" t="b">
        <f t="shared" si="215"/>
        <v>1</v>
      </c>
      <c r="G2272" t="str">
        <f t="shared" si="211"/>
        <v>1F646</v>
      </c>
      <c r="I2272">
        <f>HEX2DEC(Table1[[#This Row],[utf8]])</f>
        <v>128582</v>
      </c>
      <c r="J2272" t="str">
        <f>_xlfn.UNICHAR(HEX2DEC(Table1[[#This Row],[utf8]]))</f>
        <v>🙆</v>
      </c>
      <c r="K2272" s="3" t="str" cm="1">
        <f t="array" ref="K2272">"Case "&amp;wRandomLetter()&amp;wRandomLetter()&amp;I2272&amp;":    UniConst = ChrW(" &amp; I2272 &amp;")"</f>
        <v>Case Vg128582:    UniConst = ChrW(128582)</v>
      </c>
    </row>
    <row r="2273" spans="1:11" hidden="1">
      <c r="A2273" t="s">
        <v>758</v>
      </c>
      <c r="B2273" t="str">
        <f t="shared" si="212"/>
        <v>1F646 1F3FE 200D 2640 ; minimally-qualified # 🙆🏾‍♀ E4.0 woman gesturing OK: medium-dark skin tone</v>
      </c>
      <c r="C2273" t="str">
        <f t="shared" si="213"/>
        <v xml:space="preserve">1F646 1F3FE 200D 2640 </v>
      </c>
      <c r="D2273">
        <f t="shared" si="214"/>
        <v>22</v>
      </c>
      <c r="E2273" t="str">
        <f t="shared" si="210"/>
        <v xml:space="preserve"> 🙆🏾‍♀ E4.0 woman gesturing OK: medium-dark skin tone</v>
      </c>
      <c r="F2273" t="b">
        <f t="shared" si="215"/>
        <v>1</v>
      </c>
      <c r="G2273" t="str">
        <f t="shared" si="211"/>
        <v>1F646</v>
      </c>
      <c r="I2273">
        <f>HEX2DEC(Table1[[#This Row],[utf8]])</f>
        <v>128582</v>
      </c>
      <c r="J2273" t="str">
        <f>_xlfn.UNICHAR(HEX2DEC(Table1[[#This Row],[utf8]]))</f>
        <v>🙆</v>
      </c>
      <c r="K2273" s="3" t="str" cm="1">
        <f t="array" ref="K2273">"Case "&amp;wRandomLetter()&amp;wRandomLetter()&amp;I2273&amp;":    UniConst = ChrW(" &amp; I2273 &amp;")"</f>
        <v>Case IT128582:    UniConst = ChrW(128582)</v>
      </c>
    </row>
    <row r="2274" spans="1:11" hidden="1">
      <c r="A2274" t="s">
        <v>757</v>
      </c>
      <c r="B2274" t="str">
        <f t="shared" si="212"/>
        <v>1F646 1F3FE 200D 2640 FE0F ; fully-qualified # 🙆🏾‍♀️ E4.0 woman gesturing OK: medium-dark skin tone</v>
      </c>
      <c r="C2274" t="str">
        <f t="shared" si="213"/>
        <v xml:space="preserve">1F646 1F3FE 200D 2640 FE0F </v>
      </c>
      <c r="D2274">
        <f t="shared" si="214"/>
        <v>27</v>
      </c>
      <c r="E2274" t="str">
        <f t="shared" si="210"/>
        <v xml:space="preserve"> 🙆🏾‍♀️ E4.0 woman gesturing OK: medium-dark skin tone</v>
      </c>
      <c r="F2274" t="b">
        <f t="shared" si="215"/>
        <v>1</v>
      </c>
      <c r="G2274" t="str">
        <f t="shared" si="211"/>
        <v>1F646</v>
      </c>
      <c r="I2274">
        <f>HEX2DEC(Table1[[#This Row],[utf8]])</f>
        <v>128582</v>
      </c>
      <c r="J2274" t="str">
        <f>_xlfn.UNICHAR(HEX2DEC(Table1[[#This Row],[utf8]]))</f>
        <v>🙆</v>
      </c>
      <c r="K2274" s="3" t="str" cm="1">
        <f t="array" ref="K2274">"Case "&amp;wRandomLetter()&amp;wRandomLetter()&amp;I2274&amp;":    UniConst = ChrW(" &amp; I2274 &amp;")"</f>
        <v>Case pS128582:    UniConst = ChrW(128582)</v>
      </c>
    </row>
    <row r="2275" spans="1:11" hidden="1">
      <c r="A2275" t="s">
        <v>746</v>
      </c>
      <c r="B2275" t="str">
        <f t="shared" si="212"/>
        <v>1F646 1F3FE 200D 2642 ; minimally-qualified # 🙆🏾‍♂ E4.0 man gesturing OK: medium-dark skin tone</v>
      </c>
      <c r="C2275" t="str">
        <f t="shared" si="213"/>
        <v xml:space="preserve">1F646 1F3FE 200D 2642 </v>
      </c>
      <c r="D2275">
        <f t="shared" si="214"/>
        <v>22</v>
      </c>
      <c r="E2275" t="str">
        <f t="shared" si="210"/>
        <v xml:space="preserve"> 🙆🏾‍♂ E4.0 man gesturing OK: medium-dark skin tone</v>
      </c>
      <c r="F2275" t="b">
        <f t="shared" si="215"/>
        <v>1</v>
      </c>
      <c r="G2275" t="str">
        <f t="shared" si="211"/>
        <v>1F646</v>
      </c>
      <c r="I2275">
        <f>HEX2DEC(Table1[[#This Row],[utf8]])</f>
        <v>128582</v>
      </c>
      <c r="J2275" t="str">
        <f>_xlfn.UNICHAR(HEX2DEC(Table1[[#This Row],[utf8]]))</f>
        <v>🙆</v>
      </c>
      <c r="K2275" s="3" t="str" cm="1">
        <f t="array" ref="K2275">"Case "&amp;wRandomLetter()&amp;wRandomLetter()&amp;I2275&amp;":    UniConst = ChrW(" &amp; I2275 &amp;")"</f>
        <v>Case FM128582:    UniConst = ChrW(128582)</v>
      </c>
    </row>
    <row r="2276" spans="1:11" hidden="1">
      <c r="A2276" t="s">
        <v>745</v>
      </c>
      <c r="B2276" t="str">
        <f t="shared" si="212"/>
        <v>1F646 1F3FE 200D 2642 FE0F ; fully-qualified # 🙆🏾‍♂️ E4.0 man gesturing OK: medium-dark skin tone</v>
      </c>
      <c r="C2276" t="str">
        <f t="shared" si="213"/>
        <v xml:space="preserve">1F646 1F3FE 200D 2642 FE0F </v>
      </c>
      <c r="D2276">
        <f t="shared" si="214"/>
        <v>27</v>
      </c>
      <c r="E2276" t="str">
        <f t="shared" si="210"/>
        <v xml:space="preserve"> 🙆🏾‍♂️ E4.0 man gesturing OK: medium-dark skin tone</v>
      </c>
      <c r="F2276" t="b">
        <f t="shared" si="215"/>
        <v>1</v>
      </c>
      <c r="G2276" t="str">
        <f t="shared" si="211"/>
        <v>1F646</v>
      </c>
      <c r="I2276">
        <f>HEX2DEC(Table1[[#This Row],[utf8]])</f>
        <v>128582</v>
      </c>
      <c r="J2276" t="str">
        <f>_xlfn.UNICHAR(HEX2DEC(Table1[[#This Row],[utf8]]))</f>
        <v>🙆</v>
      </c>
      <c r="K2276" s="3" t="str" cm="1">
        <f t="array" ref="K2276">"Case "&amp;wRandomLetter()&amp;wRandomLetter()&amp;I2276&amp;":    UniConst = ChrW(" &amp; I2276 &amp;")"</f>
        <v>Case hQ128582:    UniConst = ChrW(128582)</v>
      </c>
    </row>
    <row r="2277" spans="1:11" hidden="1">
      <c r="A2277" t="s">
        <v>736</v>
      </c>
      <c r="B2277" t="str">
        <f t="shared" si="212"/>
        <v>1F646 1F3FF ; fully-qualified # 🙆🏿 E1.0 person gesturing OK: dark skin tone</v>
      </c>
      <c r="C2277" t="str">
        <f t="shared" si="213"/>
        <v xml:space="preserve">1F646 1F3FF </v>
      </c>
      <c r="D2277">
        <f t="shared" si="214"/>
        <v>12</v>
      </c>
      <c r="E2277" t="str">
        <f t="shared" si="210"/>
        <v xml:space="preserve"> 🙆🏿 E1.0 person gesturing OK: dark skin tone</v>
      </c>
      <c r="F2277" t="b">
        <f t="shared" si="215"/>
        <v>1</v>
      </c>
      <c r="G2277" t="str">
        <f t="shared" si="211"/>
        <v>1F646</v>
      </c>
      <c r="I2277">
        <f>HEX2DEC(Table1[[#This Row],[utf8]])</f>
        <v>128582</v>
      </c>
      <c r="J2277" t="str">
        <f>_xlfn.UNICHAR(HEX2DEC(Table1[[#This Row],[utf8]]))</f>
        <v>🙆</v>
      </c>
      <c r="K2277" s="3" t="str" cm="1">
        <f t="array" ref="K2277">"Case "&amp;wRandomLetter()&amp;wRandomLetter()&amp;I2277&amp;":    UniConst = ChrW(" &amp; I2277 &amp;")"</f>
        <v>Case ny128582:    UniConst = ChrW(128582)</v>
      </c>
    </row>
    <row r="2278" spans="1:11" hidden="1">
      <c r="A2278" t="s">
        <v>760</v>
      </c>
      <c r="B2278" t="str">
        <f t="shared" si="212"/>
        <v>1F646 1F3FF 200D 2640 ; minimally-qualified # 🙆🏿‍♀ E4.0 woman gesturing OK: dark skin tone</v>
      </c>
      <c r="C2278" t="str">
        <f t="shared" si="213"/>
        <v xml:space="preserve">1F646 1F3FF 200D 2640 </v>
      </c>
      <c r="D2278">
        <f t="shared" si="214"/>
        <v>22</v>
      </c>
      <c r="E2278" t="str">
        <f t="shared" si="210"/>
        <v xml:space="preserve"> 🙆🏿‍♀ E4.0 woman gesturing OK: dark skin tone</v>
      </c>
      <c r="F2278" t="b">
        <f t="shared" si="215"/>
        <v>1</v>
      </c>
      <c r="G2278" t="str">
        <f t="shared" si="211"/>
        <v>1F646</v>
      </c>
      <c r="I2278">
        <f>HEX2DEC(Table1[[#This Row],[utf8]])</f>
        <v>128582</v>
      </c>
      <c r="J2278" t="str">
        <f>_xlfn.UNICHAR(HEX2DEC(Table1[[#This Row],[utf8]]))</f>
        <v>🙆</v>
      </c>
      <c r="K2278" s="3" t="str" cm="1">
        <f t="array" ref="K2278">"Case "&amp;wRandomLetter()&amp;wRandomLetter()&amp;I2278&amp;":    UniConst = ChrW(" &amp; I2278 &amp;")"</f>
        <v>Case Ds128582:    UniConst = ChrW(128582)</v>
      </c>
    </row>
    <row r="2279" spans="1:11" hidden="1">
      <c r="A2279" t="s">
        <v>759</v>
      </c>
      <c r="B2279" t="str">
        <f t="shared" si="212"/>
        <v>1F646 1F3FF 200D 2640 FE0F ; fully-qualified # 🙆🏿‍♀️ E4.0 woman gesturing OK: dark skin tone</v>
      </c>
      <c r="C2279" t="str">
        <f t="shared" si="213"/>
        <v xml:space="preserve">1F646 1F3FF 200D 2640 FE0F </v>
      </c>
      <c r="D2279">
        <f t="shared" si="214"/>
        <v>27</v>
      </c>
      <c r="E2279" t="str">
        <f t="shared" si="210"/>
        <v xml:space="preserve"> 🙆🏿‍♀️ E4.0 woman gesturing OK: dark skin tone</v>
      </c>
      <c r="F2279" t="b">
        <f t="shared" si="215"/>
        <v>1</v>
      </c>
      <c r="G2279" t="str">
        <f t="shared" si="211"/>
        <v>1F646</v>
      </c>
      <c r="I2279">
        <f>HEX2DEC(Table1[[#This Row],[utf8]])</f>
        <v>128582</v>
      </c>
      <c r="J2279" t="str">
        <f>_xlfn.UNICHAR(HEX2DEC(Table1[[#This Row],[utf8]]))</f>
        <v>🙆</v>
      </c>
      <c r="K2279" s="3" t="str" cm="1">
        <f t="array" ref="K2279">"Case "&amp;wRandomLetter()&amp;wRandomLetter()&amp;I2279&amp;":    UniConst = ChrW(" &amp; I2279 &amp;")"</f>
        <v>Case Yz128582:    UniConst = ChrW(128582)</v>
      </c>
    </row>
    <row r="2280" spans="1:11" hidden="1">
      <c r="A2280" t="s">
        <v>748</v>
      </c>
      <c r="B2280" t="str">
        <f t="shared" si="212"/>
        <v>1F646 1F3FF 200D 2642 ; minimally-qualified # 🙆🏿‍♂ E4.0 man gesturing OK: dark skin tone</v>
      </c>
      <c r="C2280" t="str">
        <f t="shared" si="213"/>
        <v xml:space="preserve">1F646 1F3FF 200D 2642 </v>
      </c>
      <c r="D2280">
        <f t="shared" si="214"/>
        <v>22</v>
      </c>
      <c r="E2280" t="str">
        <f t="shared" si="210"/>
        <v xml:space="preserve"> 🙆🏿‍♂ E4.0 man gesturing OK: dark skin tone</v>
      </c>
      <c r="F2280" t="b">
        <f t="shared" si="215"/>
        <v>1</v>
      </c>
      <c r="G2280" t="str">
        <f t="shared" si="211"/>
        <v>1F646</v>
      </c>
      <c r="I2280">
        <f>HEX2DEC(Table1[[#This Row],[utf8]])</f>
        <v>128582</v>
      </c>
      <c r="J2280" t="str">
        <f>_xlfn.UNICHAR(HEX2DEC(Table1[[#This Row],[utf8]]))</f>
        <v>🙆</v>
      </c>
      <c r="K2280" s="3" t="str" cm="1">
        <f t="array" ref="K2280">"Case "&amp;wRandomLetter()&amp;wRandomLetter()&amp;I2280&amp;":    UniConst = ChrW(" &amp; I2280 &amp;")"</f>
        <v>Case YQ128582:    UniConst = ChrW(128582)</v>
      </c>
    </row>
    <row r="2281" spans="1:11" hidden="1">
      <c r="A2281" t="s">
        <v>747</v>
      </c>
      <c r="B2281" t="str">
        <f t="shared" si="212"/>
        <v>1F646 1F3FF 200D 2642 FE0F ; fully-qualified # 🙆🏿‍♂️ E4.0 man gesturing OK: dark skin tone</v>
      </c>
      <c r="C2281" t="str">
        <f t="shared" si="213"/>
        <v xml:space="preserve">1F646 1F3FF 200D 2642 FE0F </v>
      </c>
      <c r="D2281">
        <f t="shared" si="214"/>
        <v>27</v>
      </c>
      <c r="E2281" t="str">
        <f t="shared" si="210"/>
        <v xml:space="preserve"> 🙆🏿‍♂️ E4.0 man gesturing OK: dark skin tone</v>
      </c>
      <c r="F2281" t="b">
        <f t="shared" si="215"/>
        <v>1</v>
      </c>
      <c r="G2281" t="str">
        <f t="shared" si="211"/>
        <v>1F646</v>
      </c>
      <c r="I2281">
        <f>HEX2DEC(Table1[[#This Row],[utf8]])</f>
        <v>128582</v>
      </c>
      <c r="J2281" t="str">
        <f>_xlfn.UNICHAR(HEX2DEC(Table1[[#This Row],[utf8]]))</f>
        <v>🙆</v>
      </c>
      <c r="K2281" s="3" t="str" cm="1">
        <f t="array" ref="K2281">"Case "&amp;wRandomLetter()&amp;wRandomLetter()&amp;I2281&amp;":    UniConst = ChrW(" &amp; I2281 &amp;")"</f>
        <v>Case XE128582:    UniConst = ChrW(128582)</v>
      </c>
    </row>
    <row r="2282" spans="1:11" hidden="1">
      <c r="A2282" t="s">
        <v>750</v>
      </c>
      <c r="B2282" t="str">
        <f t="shared" si="212"/>
        <v>1F646 200D 2640 ; minimally-qualified # 🙆‍♀ E4.0 woman gesturing OK</v>
      </c>
      <c r="C2282" t="str">
        <f t="shared" si="213"/>
        <v xml:space="preserve">1F646 200D 2640 </v>
      </c>
      <c r="D2282">
        <f t="shared" si="214"/>
        <v>16</v>
      </c>
      <c r="E2282" t="str">
        <f t="shared" si="210"/>
        <v xml:space="preserve"> 🙆‍♀ E4.0 woman gesturing OK</v>
      </c>
      <c r="F2282" t="b">
        <f t="shared" si="215"/>
        <v>1</v>
      </c>
      <c r="G2282" t="str">
        <f t="shared" si="211"/>
        <v>1F646</v>
      </c>
      <c r="I2282">
        <f>HEX2DEC(Table1[[#This Row],[utf8]])</f>
        <v>128582</v>
      </c>
      <c r="J2282" t="str">
        <f>_xlfn.UNICHAR(HEX2DEC(Table1[[#This Row],[utf8]]))</f>
        <v>🙆</v>
      </c>
      <c r="K2282" s="3" t="str" cm="1">
        <f t="array" ref="K2282">"Case "&amp;wRandomLetter()&amp;wRandomLetter()&amp;I2282&amp;":    UniConst = ChrW(" &amp; I2282 &amp;")"</f>
        <v>Case nJ128582:    UniConst = ChrW(128582)</v>
      </c>
    </row>
    <row r="2283" spans="1:11" hidden="1">
      <c r="A2283" t="s">
        <v>749</v>
      </c>
      <c r="B2283" t="str">
        <f t="shared" si="212"/>
        <v>1F646 200D 2640 FE0F ; fully-qualified # 🙆‍♀️ E4.0 woman gesturing OK</v>
      </c>
      <c r="C2283" t="str">
        <f t="shared" si="213"/>
        <v xml:space="preserve">1F646 200D 2640 FE0F </v>
      </c>
      <c r="D2283">
        <f t="shared" si="214"/>
        <v>21</v>
      </c>
      <c r="E2283" t="str">
        <f t="shared" si="210"/>
        <v xml:space="preserve"> 🙆‍♀️ E4.0 woman gesturing OK</v>
      </c>
      <c r="F2283" t="b">
        <f t="shared" si="215"/>
        <v>1</v>
      </c>
      <c r="G2283" t="str">
        <f t="shared" si="211"/>
        <v>1F646</v>
      </c>
      <c r="I2283">
        <f>HEX2DEC(Table1[[#This Row],[utf8]])</f>
        <v>128582</v>
      </c>
      <c r="J2283" t="str">
        <f>_xlfn.UNICHAR(HEX2DEC(Table1[[#This Row],[utf8]]))</f>
        <v>🙆</v>
      </c>
      <c r="K2283" s="3" t="str" cm="1">
        <f t="array" ref="K2283">"Case "&amp;wRandomLetter()&amp;wRandomLetter()&amp;I2283&amp;":    UniConst = ChrW(" &amp; I2283 &amp;")"</f>
        <v>Case jJ128582:    UniConst = ChrW(128582)</v>
      </c>
    </row>
    <row r="2284" spans="1:11" hidden="1">
      <c r="A2284" t="s">
        <v>738</v>
      </c>
      <c r="B2284" t="str">
        <f t="shared" si="212"/>
        <v>1F646 200D 2642 ; minimally-qualified # 🙆‍♂ E4.0 man gesturing OK</v>
      </c>
      <c r="C2284" t="str">
        <f t="shared" si="213"/>
        <v xml:space="preserve">1F646 200D 2642 </v>
      </c>
      <c r="D2284">
        <f t="shared" si="214"/>
        <v>16</v>
      </c>
      <c r="E2284" t="str">
        <f t="shared" si="210"/>
        <v xml:space="preserve"> 🙆‍♂ E4.0 man gesturing OK</v>
      </c>
      <c r="F2284" t="b">
        <f t="shared" si="215"/>
        <v>1</v>
      </c>
      <c r="G2284" t="str">
        <f t="shared" si="211"/>
        <v>1F646</v>
      </c>
      <c r="I2284">
        <f>HEX2DEC(Table1[[#This Row],[utf8]])</f>
        <v>128582</v>
      </c>
      <c r="J2284" t="str">
        <f>_xlfn.UNICHAR(HEX2DEC(Table1[[#This Row],[utf8]]))</f>
        <v>🙆</v>
      </c>
      <c r="K2284" s="3" t="str" cm="1">
        <f t="array" ref="K2284">"Case "&amp;wRandomLetter()&amp;wRandomLetter()&amp;I2284&amp;":    UniConst = ChrW(" &amp; I2284 &amp;")"</f>
        <v>Case uo128582:    UniConst = ChrW(128582)</v>
      </c>
    </row>
    <row r="2285" spans="1:11" hidden="1">
      <c r="A2285" t="s">
        <v>737</v>
      </c>
      <c r="B2285" t="str">
        <f t="shared" si="212"/>
        <v>1F646 200D 2642 FE0F ; fully-qualified # 🙆‍♂️ E4.0 man gesturing OK</v>
      </c>
      <c r="C2285" t="str">
        <f t="shared" si="213"/>
        <v xml:space="preserve">1F646 200D 2642 FE0F </v>
      </c>
      <c r="D2285">
        <f t="shared" si="214"/>
        <v>21</v>
      </c>
      <c r="E2285" t="str">
        <f t="shared" si="210"/>
        <v xml:space="preserve"> 🙆‍♂️ E4.0 man gesturing OK</v>
      </c>
      <c r="F2285" t="b">
        <f t="shared" si="215"/>
        <v>1</v>
      </c>
      <c r="G2285" t="str">
        <f t="shared" si="211"/>
        <v>1F646</v>
      </c>
      <c r="I2285">
        <f>HEX2DEC(Table1[[#This Row],[utf8]])</f>
        <v>128582</v>
      </c>
      <c r="J2285" t="str">
        <f>_xlfn.UNICHAR(HEX2DEC(Table1[[#This Row],[utf8]]))</f>
        <v>🙆</v>
      </c>
      <c r="K2285" s="3" t="str" cm="1">
        <f t="array" ref="K2285">"Case "&amp;wRandomLetter()&amp;wRandomLetter()&amp;I2285&amp;":    UniConst = ChrW(" &amp; I2285 &amp;")"</f>
        <v>Case BY128582:    UniConst = ChrW(128582)</v>
      </c>
    </row>
    <row r="2286" spans="1:11" hidden="1">
      <c r="A2286" t="s">
        <v>851</v>
      </c>
      <c r="B2286" t="str">
        <f t="shared" si="212"/>
        <v>1F647 ; fully-qualified # 🙇 E0.6 person bowing</v>
      </c>
      <c r="C2286" t="str">
        <f t="shared" si="213"/>
        <v xml:space="preserve">1F647 </v>
      </c>
      <c r="D2286">
        <f t="shared" si="214"/>
        <v>6</v>
      </c>
      <c r="E2286" t="str">
        <f t="shared" si="210"/>
        <v xml:space="preserve"> 🙇 E0.6 person bowing</v>
      </c>
      <c r="F2286" t="b">
        <f t="shared" si="215"/>
        <v>1</v>
      </c>
      <c r="G2286" t="str">
        <f t="shared" si="211"/>
        <v>1F647</v>
      </c>
      <c r="I2286">
        <f>HEX2DEC(Table1[[#This Row],[utf8]])</f>
        <v>128583</v>
      </c>
      <c r="J2286" t="str">
        <f>_xlfn.UNICHAR(HEX2DEC(Table1[[#This Row],[utf8]]))</f>
        <v>🙇</v>
      </c>
      <c r="K2286" s="3" t="str" cm="1">
        <f t="array" ref="K2286">"Case "&amp;wRandomLetter()&amp;wRandomLetter()&amp;I2286&amp;":    UniConst = ChrW(" &amp; I2286 &amp;")"</f>
        <v>Case Gi128583:    UniConst = ChrW(128583)</v>
      </c>
    </row>
    <row r="2287" spans="1:11" hidden="1">
      <c r="A2287" t="s">
        <v>852</v>
      </c>
      <c r="B2287" t="str">
        <f t="shared" si="212"/>
        <v>1F647 1F3FB ; fully-qualified # 🙇🏻 E1.0 person bowing: light skin tone</v>
      </c>
      <c r="C2287" t="str">
        <f t="shared" si="213"/>
        <v xml:space="preserve">1F647 1F3FB </v>
      </c>
      <c r="D2287">
        <f t="shared" si="214"/>
        <v>12</v>
      </c>
      <c r="E2287" t="str">
        <f t="shared" si="210"/>
        <v xml:space="preserve"> 🙇🏻 E1.0 person bowing: light skin tone</v>
      </c>
      <c r="F2287" t="b">
        <f t="shared" si="215"/>
        <v>1</v>
      </c>
      <c r="G2287" t="str">
        <f t="shared" si="211"/>
        <v>1F647</v>
      </c>
      <c r="I2287">
        <f>HEX2DEC(Table1[[#This Row],[utf8]])</f>
        <v>128583</v>
      </c>
      <c r="J2287" t="str">
        <f>_xlfn.UNICHAR(HEX2DEC(Table1[[#This Row],[utf8]]))</f>
        <v>🙇</v>
      </c>
      <c r="K2287" s="3" t="str" cm="1">
        <f t="array" ref="K2287">"Case "&amp;wRandomLetter()&amp;wRandomLetter()&amp;I2287&amp;":    UniConst = ChrW(" &amp; I2287 &amp;")"</f>
        <v>Case CN128583:    UniConst = ChrW(128583)</v>
      </c>
    </row>
    <row r="2288" spans="1:11" hidden="1">
      <c r="A2288" t="s">
        <v>872</v>
      </c>
      <c r="B2288" t="str">
        <f t="shared" si="212"/>
        <v>1F647 1F3FB 200D 2640 ; minimally-qualified # 🙇🏻‍♀ E4.0 woman bowing: light skin tone</v>
      </c>
      <c r="C2288" t="str">
        <f t="shared" si="213"/>
        <v xml:space="preserve">1F647 1F3FB 200D 2640 </v>
      </c>
      <c r="D2288">
        <f t="shared" si="214"/>
        <v>22</v>
      </c>
      <c r="E2288" t="str">
        <f t="shared" si="210"/>
        <v xml:space="preserve"> 🙇🏻‍♀ E4.0 woman bowing: light skin tone</v>
      </c>
      <c r="F2288" t="b">
        <f t="shared" si="215"/>
        <v>1</v>
      </c>
      <c r="G2288" t="str">
        <f t="shared" si="211"/>
        <v>1F647</v>
      </c>
      <c r="I2288">
        <f>HEX2DEC(Table1[[#This Row],[utf8]])</f>
        <v>128583</v>
      </c>
      <c r="J2288" t="str">
        <f>_xlfn.UNICHAR(HEX2DEC(Table1[[#This Row],[utf8]]))</f>
        <v>🙇</v>
      </c>
      <c r="K2288" s="3" t="str" cm="1">
        <f t="array" ref="K2288">"Case "&amp;wRandomLetter()&amp;wRandomLetter()&amp;I2288&amp;":    UniConst = ChrW(" &amp; I2288 &amp;")"</f>
        <v>Case Zv128583:    UniConst = ChrW(128583)</v>
      </c>
    </row>
    <row r="2289" spans="1:11" hidden="1">
      <c r="A2289" t="s">
        <v>871</v>
      </c>
      <c r="B2289" t="str">
        <f t="shared" si="212"/>
        <v>1F647 1F3FB 200D 2640 FE0F ; fully-qualified # 🙇🏻‍♀️ E4.0 woman bowing: light skin tone</v>
      </c>
      <c r="C2289" t="str">
        <f t="shared" si="213"/>
        <v xml:space="preserve">1F647 1F3FB 200D 2640 FE0F </v>
      </c>
      <c r="D2289">
        <f t="shared" si="214"/>
        <v>27</v>
      </c>
      <c r="E2289" t="str">
        <f t="shared" si="210"/>
        <v xml:space="preserve"> 🙇🏻‍♀️ E4.0 woman bowing: light skin tone</v>
      </c>
      <c r="F2289" t="b">
        <f t="shared" si="215"/>
        <v>1</v>
      </c>
      <c r="G2289" t="str">
        <f t="shared" si="211"/>
        <v>1F647</v>
      </c>
      <c r="I2289">
        <f>HEX2DEC(Table1[[#This Row],[utf8]])</f>
        <v>128583</v>
      </c>
      <c r="J2289" t="str">
        <f>_xlfn.UNICHAR(HEX2DEC(Table1[[#This Row],[utf8]]))</f>
        <v>🙇</v>
      </c>
      <c r="K2289" s="3" t="str" cm="1">
        <f t="array" ref="K2289">"Case "&amp;wRandomLetter()&amp;wRandomLetter()&amp;I2289&amp;":    UniConst = ChrW(" &amp; I2289 &amp;")"</f>
        <v>Case Bw128583:    UniConst = ChrW(128583)</v>
      </c>
    </row>
    <row r="2290" spans="1:11" hidden="1">
      <c r="A2290" t="s">
        <v>860</v>
      </c>
      <c r="B2290" t="str">
        <f t="shared" si="212"/>
        <v>1F647 1F3FB 200D 2642 ; minimally-qualified # 🙇🏻‍♂ E4.0 man bowing: light skin tone</v>
      </c>
      <c r="C2290" t="str">
        <f t="shared" si="213"/>
        <v xml:space="preserve">1F647 1F3FB 200D 2642 </v>
      </c>
      <c r="D2290">
        <f t="shared" si="214"/>
        <v>22</v>
      </c>
      <c r="E2290" t="str">
        <f t="shared" si="210"/>
        <v xml:space="preserve"> 🙇🏻‍♂ E4.0 man bowing: light skin tone</v>
      </c>
      <c r="F2290" t="b">
        <f t="shared" si="215"/>
        <v>1</v>
      </c>
      <c r="G2290" t="str">
        <f t="shared" si="211"/>
        <v>1F647</v>
      </c>
      <c r="I2290">
        <f>HEX2DEC(Table1[[#This Row],[utf8]])</f>
        <v>128583</v>
      </c>
      <c r="J2290" t="str">
        <f>_xlfn.UNICHAR(HEX2DEC(Table1[[#This Row],[utf8]]))</f>
        <v>🙇</v>
      </c>
      <c r="K2290" s="3" t="str" cm="1">
        <f t="array" ref="K2290">"Case "&amp;wRandomLetter()&amp;wRandomLetter()&amp;I2290&amp;":    UniConst = ChrW(" &amp; I2290 &amp;")"</f>
        <v>Case Gg128583:    UniConst = ChrW(128583)</v>
      </c>
    </row>
    <row r="2291" spans="1:11" hidden="1">
      <c r="A2291" t="s">
        <v>859</v>
      </c>
      <c r="B2291" t="str">
        <f t="shared" si="212"/>
        <v>1F647 1F3FB 200D 2642 FE0F ; fully-qualified # 🙇🏻‍♂️ E4.0 man bowing: light skin tone</v>
      </c>
      <c r="C2291" t="str">
        <f t="shared" si="213"/>
        <v xml:space="preserve">1F647 1F3FB 200D 2642 FE0F </v>
      </c>
      <c r="D2291">
        <f t="shared" si="214"/>
        <v>27</v>
      </c>
      <c r="E2291" t="str">
        <f t="shared" si="210"/>
        <v xml:space="preserve"> 🙇🏻‍♂️ E4.0 man bowing: light skin tone</v>
      </c>
      <c r="F2291" t="b">
        <f t="shared" si="215"/>
        <v>1</v>
      </c>
      <c r="G2291" t="str">
        <f t="shared" si="211"/>
        <v>1F647</v>
      </c>
      <c r="I2291">
        <f>HEX2DEC(Table1[[#This Row],[utf8]])</f>
        <v>128583</v>
      </c>
      <c r="J2291" t="str">
        <f>_xlfn.UNICHAR(HEX2DEC(Table1[[#This Row],[utf8]]))</f>
        <v>🙇</v>
      </c>
      <c r="K2291" s="3" t="str" cm="1">
        <f t="array" ref="K2291">"Case "&amp;wRandomLetter()&amp;wRandomLetter()&amp;I2291&amp;":    UniConst = ChrW(" &amp; I2291 &amp;")"</f>
        <v>Case QA128583:    UniConst = ChrW(128583)</v>
      </c>
    </row>
    <row r="2292" spans="1:11" hidden="1">
      <c r="A2292" t="s">
        <v>853</v>
      </c>
      <c r="B2292" t="str">
        <f t="shared" si="212"/>
        <v>1F647 1F3FC ; fully-qualified # 🙇🏼 E1.0 person bowing: medium-light skin tone</v>
      </c>
      <c r="C2292" t="str">
        <f t="shared" si="213"/>
        <v xml:space="preserve">1F647 1F3FC </v>
      </c>
      <c r="D2292">
        <f t="shared" si="214"/>
        <v>12</v>
      </c>
      <c r="E2292" t="str">
        <f t="shared" si="210"/>
        <v xml:space="preserve"> 🙇🏼 E1.0 person bowing: medium-light skin tone</v>
      </c>
      <c r="F2292" t="b">
        <f t="shared" si="215"/>
        <v>1</v>
      </c>
      <c r="G2292" t="str">
        <f t="shared" si="211"/>
        <v>1F647</v>
      </c>
      <c r="I2292">
        <f>HEX2DEC(Table1[[#This Row],[utf8]])</f>
        <v>128583</v>
      </c>
      <c r="J2292" t="str">
        <f>_xlfn.UNICHAR(HEX2DEC(Table1[[#This Row],[utf8]]))</f>
        <v>🙇</v>
      </c>
      <c r="K2292" s="3" t="str" cm="1">
        <f t="array" ref="K2292">"Case "&amp;wRandomLetter()&amp;wRandomLetter()&amp;I2292&amp;":    UniConst = ChrW(" &amp; I2292 &amp;")"</f>
        <v>Case er128583:    UniConst = ChrW(128583)</v>
      </c>
    </row>
    <row r="2293" spans="1:11" hidden="1">
      <c r="A2293" t="s">
        <v>874</v>
      </c>
      <c r="B2293" t="str">
        <f t="shared" si="212"/>
        <v>1F647 1F3FC 200D 2640 ; minimally-qualified # 🙇🏼‍♀ E4.0 woman bowing: medium-light skin tone</v>
      </c>
      <c r="C2293" t="str">
        <f t="shared" si="213"/>
        <v xml:space="preserve">1F647 1F3FC 200D 2640 </v>
      </c>
      <c r="D2293">
        <f t="shared" si="214"/>
        <v>22</v>
      </c>
      <c r="E2293" t="str">
        <f t="shared" si="210"/>
        <v xml:space="preserve"> 🙇🏼‍♀ E4.0 woman bowing: medium-light skin tone</v>
      </c>
      <c r="F2293" t="b">
        <f t="shared" si="215"/>
        <v>1</v>
      </c>
      <c r="G2293" t="str">
        <f t="shared" si="211"/>
        <v>1F647</v>
      </c>
      <c r="I2293">
        <f>HEX2DEC(Table1[[#This Row],[utf8]])</f>
        <v>128583</v>
      </c>
      <c r="J2293" t="str">
        <f>_xlfn.UNICHAR(HEX2DEC(Table1[[#This Row],[utf8]]))</f>
        <v>🙇</v>
      </c>
      <c r="K2293" s="3" t="str" cm="1">
        <f t="array" ref="K2293">"Case "&amp;wRandomLetter()&amp;wRandomLetter()&amp;I2293&amp;":    UniConst = ChrW(" &amp; I2293 &amp;")"</f>
        <v>Case JF128583:    UniConst = ChrW(128583)</v>
      </c>
    </row>
    <row r="2294" spans="1:11" hidden="1">
      <c r="A2294" t="s">
        <v>873</v>
      </c>
      <c r="B2294" t="str">
        <f t="shared" si="212"/>
        <v>1F647 1F3FC 200D 2640 FE0F ; fully-qualified # 🙇🏼‍♀️ E4.0 woman bowing: medium-light skin tone</v>
      </c>
      <c r="C2294" t="str">
        <f t="shared" si="213"/>
        <v xml:space="preserve">1F647 1F3FC 200D 2640 FE0F </v>
      </c>
      <c r="D2294">
        <f t="shared" si="214"/>
        <v>27</v>
      </c>
      <c r="E2294" t="str">
        <f t="shared" si="210"/>
        <v xml:space="preserve"> 🙇🏼‍♀️ E4.0 woman bowing: medium-light skin tone</v>
      </c>
      <c r="F2294" t="b">
        <f t="shared" si="215"/>
        <v>1</v>
      </c>
      <c r="G2294" t="str">
        <f t="shared" si="211"/>
        <v>1F647</v>
      </c>
      <c r="I2294">
        <f>HEX2DEC(Table1[[#This Row],[utf8]])</f>
        <v>128583</v>
      </c>
      <c r="J2294" t="str">
        <f>_xlfn.UNICHAR(HEX2DEC(Table1[[#This Row],[utf8]]))</f>
        <v>🙇</v>
      </c>
      <c r="K2294" s="3" t="str" cm="1">
        <f t="array" ref="K2294">"Case "&amp;wRandomLetter()&amp;wRandomLetter()&amp;I2294&amp;":    UniConst = ChrW(" &amp; I2294 &amp;")"</f>
        <v>Case AA128583:    UniConst = ChrW(128583)</v>
      </c>
    </row>
    <row r="2295" spans="1:11" hidden="1">
      <c r="A2295" t="s">
        <v>862</v>
      </c>
      <c r="B2295" t="str">
        <f t="shared" si="212"/>
        <v>1F647 1F3FC 200D 2642 ; minimally-qualified # 🙇🏼‍♂ E4.0 man bowing: medium-light skin tone</v>
      </c>
      <c r="C2295" t="str">
        <f t="shared" si="213"/>
        <v xml:space="preserve">1F647 1F3FC 200D 2642 </v>
      </c>
      <c r="D2295">
        <f t="shared" si="214"/>
        <v>22</v>
      </c>
      <c r="E2295" t="str">
        <f t="shared" si="210"/>
        <v xml:space="preserve"> 🙇🏼‍♂ E4.0 man bowing: medium-light skin tone</v>
      </c>
      <c r="F2295" t="b">
        <f t="shared" si="215"/>
        <v>1</v>
      </c>
      <c r="G2295" t="str">
        <f t="shared" si="211"/>
        <v>1F647</v>
      </c>
      <c r="I2295">
        <f>HEX2DEC(Table1[[#This Row],[utf8]])</f>
        <v>128583</v>
      </c>
      <c r="J2295" t="str">
        <f>_xlfn.UNICHAR(HEX2DEC(Table1[[#This Row],[utf8]]))</f>
        <v>🙇</v>
      </c>
      <c r="K2295" s="3" t="str" cm="1">
        <f t="array" ref="K2295">"Case "&amp;wRandomLetter()&amp;wRandomLetter()&amp;I2295&amp;":    UniConst = ChrW(" &amp; I2295 &amp;")"</f>
        <v>Case kE128583:    UniConst = ChrW(128583)</v>
      </c>
    </row>
    <row r="2296" spans="1:11" hidden="1">
      <c r="A2296" t="s">
        <v>861</v>
      </c>
      <c r="B2296" t="str">
        <f t="shared" si="212"/>
        <v>1F647 1F3FC 200D 2642 FE0F ; fully-qualified # 🙇🏼‍♂️ E4.0 man bowing: medium-light skin tone</v>
      </c>
      <c r="C2296" t="str">
        <f t="shared" si="213"/>
        <v xml:space="preserve">1F647 1F3FC 200D 2642 FE0F </v>
      </c>
      <c r="D2296">
        <f t="shared" si="214"/>
        <v>27</v>
      </c>
      <c r="E2296" t="str">
        <f t="shared" si="210"/>
        <v xml:space="preserve"> 🙇🏼‍♂️ E4.0 man bowing: medium-light skin tone</v>
      </c>
      <c r="F2296" t="b">
        <f t="shared" si="215"/>
        <v>1</v>
      </c>
      <c r="G2296" t="str">
        <f t="shared" si="211"/>
        <v>1F647</v>
      </c>
      <c r="I2296">
        <f>HEX2DEC(Table1[[#This Row],[utf8]])</f>
        <v>128583</v>
      </c>
      <c r="J2296" t="str">
        <f>_xlfn.UNICHAR(HEX2DEC(Table1[[#This Row],[utf8]]))</f>
        <v>🙇</v>
      </c>
      <c r="K2296" s="3" t="str" cm="1">
        <f t="array" ref="K2296">"Case "&amp;wRandomLetter()&amp;wRandomLetter()&amp;I2296&amp;":    UniConst = ChrW(" &amp; I2296 &amp;")"</f>
        <v>Case WH128583:    UniConst = ChrW(128583)</v>
      </c>
    </row>
    <row r="2297" spans="1:11" hidden="1">
      <c r="A2297" t="s">
        <v>854</v>
      </c>
      <c r="B2297" t="str">
        <f t="shared" si="212"/>
        <v>1F647 1F3FD ; fully-qualified # 🙇🏽 E1.0 person bowing: medium skin tone</v>
      </c>
      <c r="C2297" t="str">
        <f t="shared" si="213"/>
        <v xml:space="preserve">1F647 1F3FD </v>
      </c>
      <c r="D2297">
        <f t="shared" si="214"/>
        <v>12</v>
      </c>
      <c r="E2297" t="str">
        <f t="shared" si="210"/>
        <v xml:space="preserve"> 🙇🏽 E1.0 person bowing: medium skin tone</v>
      </c>
      <c r="F2297" t="b">
        <f t="shared" si="215"/>
        <v>1</v>
      </c>
      <c r="G2297" t="str">
        <f t="shared" si="211"/>
        <v>1F647</v>
      </c>
      <c r="I2297">
        <f>HEX2DEC(Table1[[#This Row],[utf8]])</f>
        <v>128583</v>
      </c>
      <c r="J2297" t="str">
        <f>_xlfn.UNICHAR(HEX2DEC(Table1[[#This Row],[utf8]]))</f>
        <v>🙇</v>
      </c>
      <c r="K2297" s="3" t="str" cm="1">
        <f t="array" ref="K2297">"Case "&amp;wRandomLetter()&amp;wRandomLetter()&amp;I2297&amp;":    UniConst = ChrW(" &amp; I2297 &amp;")"</f>
        <v>Case en128583:    UniConst = ChrW(128583)</v>
      </c>
    </row>
    <row r="2298" spans="1:11" hidden="1">
      <c r="A2298" t="s">
        <v>876</v>
      </c>
      <c r="B2298" t="str">
        <f t="shared" si="212"/>
        <v>1F647 1F3FD 200D 2640 ; minimally-qualified # 🙇🏽‍♀ E4.0 woman bowing: medium skin tone</v>
      </c>
      <c r="C2298" t="str">
        <f t="shared" si="213"/>
        <v xml:space="preserve">1F647 1F3FD 200D 2640 </v>
      </c>
      <c r="D2298">
        <f t="shared" si="214"/>
        <v>22</v>
      </c>
      <c r="E2298" t="str">
        <f t="shared" si="210"/>
        <v xml:space="preserve"> 🙇🏽‍♀ E4.0 woman bowing: medium skin tone</v>
      </c>
      <c r="F2298" t="b">
        <f t="shared" si="215"/>
        <v>1</v>
      </c>
      <c r="G2298" t="str">
        <f t="shared" si="211"/>
        <v>1F647</v>
      </c>
      <c r="I2298">
        <f>HEX2DEC(Table1[[#This Row],[utf8]])</f>
        <v>128583</v>
      </c>
      <c r="J2298" t="str">
        <f>_xlfn.UNICHAR(HEX2DEC(Table1[[#This Row],[utf8]]))</f>
        <v>🙇</v>
      </c>
      <c r="K2298" s="3" t="str" cm="1">
        <f t="array" ref="K2298">"Case "&amp;wRandomLetter()&amp;wRandomLetter()&amp;I2298&amp;":    UniConst = ChrW(" &amp; I2298 &amp;")"</f>
        <v>Case hl128583:    UniConst = ChrW(128583)</v>
      </c>
    </row>
    <row r="2299" spans="1:11" hidden="1">
      <c r="A2299" t="s">
        <v>875</v>
      </c>
      <c r="B2299" t="str">
        <f t="shared" si="212"/>
        <v>1F647 1F3FD 200D 2640 FE0F ; fully-qualified # 🙇🏽‍♀️ E4.0 woman bowing: medium skin tone</v>
      </c>
      <c r="C2299" t="str">
        <f t="shared" si="213"/>
        <v xml:space="preserve">1F647 1F3FD 200D 2640 FE0F </v>
      </c>
      <c r="D2299">
        <f t="shared" si="214"/>
        <v>27</v>
      </c>
      <c r="E2299" t="str">
        <f t="shared" si="210"/>
        <v xml:space="preserve"> 🙇🏽‍♀️ E4.0 woman bowing: medium skin tone</v>
      </c>
      <c r="F2299" t="b">
        <f t="shared" si="215"/>
        <v>1</v>
      </c>
      <c r="G2299" t="str">
        <f t="shared" si="211"/>
        <v>1F647</v>
      </c>
      <c r="I2299">
        <f>HEX2DEC(Table1[[#This Row],[utf8]])</f>
        <v>128583</v>
      </c>
      <c r="J2299" t="str">
        <f>_xlfn.UNICHAR(HEX2DEC(Table1[[#This Row],[utf8]]))</f>
        <v>🙇</v>
      </c>
      <c r="K2299" s="3" t="str" cm="1">
        <f t="array" ref="K2299">"Case "&amp;wRandomLetter()&amp;wRandomLetter()&amp;I2299&amp;":    UniConst = ChrW(" &amp; I2299 &amp;")"</f>
        <v>Case LY128583:    UniConst = ChrW(128583)</v>
      </c>
    </row>
    <row r="2300" spans="1:11" hidden="1">
      <c r="A2300" t="s">
        <v>864</v>
      </c>
      <c r="B2300" t="str">
        <f t="shared" si="212"/>
        <v>1F647 1F3FD 200D 2642 ; minimally-qualified # 🙇🏽‍♂ E4.0 man bowing: medium skin tone</v>
      </c>
      <c r="C2300" t="str">
        <f t="shared" si="213"/>
        <v xml:space="preserve">1F647 1F3FD 200D 2642 </v>
      </c>
      <c r="D2300">
        <f t="shared" si="214"/>
        <v>22</v>
      </c>
      <c r="E2300" t="str">
        <f t="shared" si="210"/>
        <v xml:space="preserve"> 🙇🏽‍♂ E4.0 man bowing: medium skin tone</v>
      </c>
      <c r="F2300" t="b">
        <f t="shared" si="215"/>
        <v>1</v>
      </c>
      <c r="G2300" t="str">
        <f t="shared" si="211"/>
        <v>1F647</v>
      </c>
      <c r="I2300">
        <f>HEX2DEC(Table1[[#This Row],[utf8]])</f>
        <v>128583</v>
      </c>
      <c r="J2300" t="str">
        <f>_xlfn.UNICHAR(HEX2DEC(Table1[[#This Row],[utf8]]))</f>
        <v>🙇</v>
      </c>
      <c r="K2300" s="3" t="str" cm="1">
        <f t="array" ref="K2300">"Case "&amp;wRandomLetter()&amp;wRandomLetter()&amp;I2300&amp;":    UniConst = ChrW(" &amp; I2300 &amp;")"</f>
        <v>Case ck128583:    UniConst = ChrW(128583)</v>
      </c>
    </row>
    <row r="2301" spans="1:11" hidden="1">
      <c r="A2301" t="s">
        <v>863</v>
      </c>
      <c r="B2301" t="str">
        <f t="shared" si="212"/>
        <v>1F647 1F3FD 200D 2642 FE0F ; fully-qualified # 🙇🏽‍♂️ E4.0 man bowing: medium skin tone</v>
      </c>
      <c r="C2301" t="str">
        <f t="shared" si="213"/>
        <v xml:space="preserve">1F647 1F3FD 200D 2642 FE0F </v>
      </c>
      <c r="D2301">
        <f t="shared" si="214"/>
        <v>27</v>
      </c>
      <c r="E2301" t="str">
        <f t="shared" si="210"/>
        <v xml:space="preserve"> 🙇🏽‍♂️ E4.0 man bowing: medium skin tone</v>
      </c>
      <c r="F2301" t="b">
        <f t="shared" si="215"/>
        <v>1</v>
      </c>
      <c r="G2301" t="str">
        <f t="shared" si="211"/>
        <v>1F647</v>
      </c>
      <c r="I2301">
        <f>HEX2DEC(Table1[[#This Row],[utf8]])</f>
        <v>128583</v>
      </c>
      <c r="J2301" t="str">
        <f>_xlfn.UNICHAR(HEX2DEC(Table1[[#This Row],[utf8]]))</f>
        <v>🙇</v>
      </c>
      <c r="K2301" s="3" t="str" cm="1">
        <f t="array" ref="K2301">"Case "&amp;wRandomLetter()&amp;wRandomLetter()&amp;I2301&amp;":    UniConst = ChrW(" &amp; I2301 &amp;")"</f>
        <v>Case cR128583:    UniConst = ChrW(128583)</v>
      </c>
    </row>
    <row r="2302" spans="1:11" hidden="1">
      <c r="A2302" t="s">
        <v>855</v>
      </c>
      <c r="B2302" t="str">
        <f t="shared" si="212"/>
        <v>1F647 1F3FE ; fully-qualified # 🙇🏾 E1.0 person bowing: medium-dark skin tone</v>
      </c>
      <c r="C2302" t="str">
        <f t="shared" si="213"/>
        <v xml:space="preserve">1F647 1F3FE </v>
      </c>
      <c r="D2302">
        <f t="shared" si="214"/>
        <v>12</v>
      </c>
      <c r="E2302" t="str">
        <f t="shared" si="210"/>
        <v xml:space="preserve"> 🙇🏾 E1.0 person bowing: medium-dark skin tone</v>
      </c>
      <c r="F2302" t="b">
        <f t="shared" si="215"/>
        <v>1</v>
      </c>
      <c r="G2302" t="str">
        <f t="shared" si="211"/>
        <v>1F647</v>
      </c>
      <c r="I2302">
        <f>HEX2DEC(Table1[[#This Row],[utf8]])</f>
        <v>128583</v>
      </c>
      <c r="J2302" t="str">
        <f>_xlfn.UNICHAR(HEX2DEC(Table1[[#This Row],[utf8]]))</f>
        <v>🙇</v>
      </c>
      <c r="K2302" s="3" t="str" cm="1">
        <f t="array" ref="K2302">"Case "&amp;wRandomLetter()&amp;wRandomLetter()&amp;I2302&amp;":    UniConst = ChrW(" &amp; I2302 &amp;")"</f>
        <v>Case Vg128583:    UniConst = ChrW(128583)</v>
      </c>
    </row>
    <row r="2303" spans="1:11" hidden="1">
      <c r="A2303" t="s">
        <v>878</v>
      </c>
      <c r="B2303" t="str">
        <f t="shared" si="212"/>
        <v>1F647 1F3FE 200D 2640 ; minimally-qualified # 🙇🏾‍♀ E4.0 woman bowing: medium-dark skin tone</v>
      </c>
      <c r="C2303" t="str">
        <f t="shared" si="213"/>
        <v xml:space="preserve">1F647 1F3FE 200D 2640 </v>
      </c>
      <c r="D2303">
        <f t="shared" si="214"/>
        <v>22</v>
      </c>
      <c r="E2303" t="str">
        <f t="shared" si="210"/>
        <v xml:space="preserve"> 🙇🏾‍♀ E4.0 woman bowing: medium-dark skin tone</v>
      </c>
      <c r="F2303" t="b">
        <f t="shared" si="215"/>
        <v>1</v>
      </c>
      <c r="G2303" t="str">
        <f t="shared" si="211"/>
        <v>1F647</v>
      </c>
      <c r="I2303">
        <f>HEX2DEC(Table1[[#This Row],[utf8]])</f>
        <v>128583</v>
      </c>
      <c r="J2303" t="str">
        <f>_xlfn.UNICHAR(HEX2DEC(Table1[[#This Row],[utf8]]))</f>
        <v>🙇</v>
      </c>
      <c r="K2303" s="3" t="str" cm="1">
        <f t="array" ref="K2303">"Case "&amp;wRandomLetter()&amp;wRandomLetter()&amp;I2303&amp;":    UniConst = ChrW(" &amp; I2303 &amp;")"</f>
        <v>Case xg128583:    UniConst = ChrW(128583)</v>
      </c>
    </row>
    <row r="2304" spans="1:11" hidden="1">
      <c r="A2304" t="s">
        <v>877</v>
      </c>
      <c r="B2304" t="str">
        <f t="shared" si="212"/>
        <v>1F647 1F3FE 200D 2640 FE0F ; fully-qualified # 🙇🏾‍♀️ E4.0 woman bowing: medium-dark skin tone</v>
      </c>
      <c r="C2304" t="str">
        <f t="shared" si="213"/>
        <v xml:space="preserve">1F647 1F3FE 200D 2640 FE0F </v>
      </c>
      <c r="D2304">
        <f t="shared" si="214"/>
        <v>27</v>
      </c>
      <c r="E2304" t="str">
        <f t="shared" si="210"/>
        <v xml:space="preserve"> 🙇🏾‍♀️ E4.0 woman bowing: medium-dark skin tone</v>
      </c>
      <c r="F2304" t="b">
        <f t="shared" si="215"/>
        <v>1</v>
      </c>
      <c r="G2304" t="str">
        <f t="shared" si="211"/>
        <v>1F647</v>
      </c>
      <c r="I2304">
        <f>HEX2DEC(Table1[[#This Row],[utf8]])</f>
        <v>128583</v>
      </c>
      <c r="J2304" t="str">
        <f>_xlfn.UNICHAR(HEX2DEC(Table1[[#This Row],[utf8]]))</f>
        <v>🙇</v>
      </c>
      <c r="K2304" s="3" t="str" cm="1">
        <f t="array" ref="K2304">"Case "&amp;wRandomLetter()&amp;wRandomLetter()&amp;I2304&amp;":    UniConst = ChrW(" &amp; I2304 &amp;")"</f>
        <v>Case YB128583:    UniConst = ChrW(128583)</v>
      </c>
    </row>
    <row r="2305" spans="1:11" hidden="1">
      <c r="A2305" t="s">
        <v>866</v>
      </c>
      <c r="B2305" t="str">
        <f t="shared" si="212"/>
        <v>1F647 1F3FE 200D 2642 ; minimally-qualified # 🙇🏾‍♂ E4.0 man bowing: medium-dark skin tone</v>
      </c>
      <c r="C2305" t="str">
        <f t="shared" si="213"/>
        <v xml:space="preserve">1F647 1F3FE 200D 2642 </v>
      </c>
      <c r="D2305">
        <f t="shared" si="214"/>
        <v>22</v>
      </c>
      <c r="E2305" t="str">
        <f t="shared" si="210"/>
        <v xml:space="preserve"> 🙇🏾‍♂ E4.0 man bowing: medium-dark skin tone</v>
      </c>
      <c r="F2305" t="b">
        <f t="shared" si="215"/>
        <v>1</v>
      </c>
      <c r="G2305" t="str">
        <f t="shared" si="211"/>
        <v>1F647</v>
      </c>
      <c r="I2305">
        <f>HEX2DEC(Table1[[#This Row],[utf8]])</f>
        <v>128583</v>
      </c>
      <c r="J2305" t="str">
        <f>_xlfn.UNICHAR(HEX2DEC(Table1[[#This Row],[utf8]]))</f>
        <v>🙇</v>
      </c>
      <c r="K2305" s="3" t="str" cm="1">
        <f t="array" ref="K2305">"Case "&amp;wRandomLetter()&amp;wRandomLetter()&amp;I2305&amp;":    UniConst = ChrW(" &amp; I2305 &amp;")"</f>
        <v>Case GF128583:    UniConst = ChrW(128583)</v>
      </c>
    </row>
    <row r="2306" spans="1:11" hidden="1">
      <c r="A2306" t="s">
        <v>865</v>
      </c>
      <c r="B2306" t="str">
        <f t="shared" si="212"/>
        <v>1F647 1F3FE 200D 2642 FE0F ; fully-qualified # 🙇🏾‍♂️ E4.0 man bowing: medium-dark skin tone</v>
      </c>
      <c r="C2306" t="str">
        <f t="shared" si="213"/>
        <v xml:space="preserve">1F647 1F3FE 200D 2642 FE0F </v>
      </c>
      <c r="D2306">
        <f t="shared" si="214"/>
        <v>27</v>
      </c>
      <c r="E2306" t="str">
        <f t="shared" ref="E2306:E2369" si="216">MID(A2306,FIND("#",A2306)+1,256)</f>
        <v xml:space="preserve"> 🙇🏾‍♂️ E4.0 man bowing: medium-dark skin tone</v>
      </c>
      <c r="F2306" t="b">
        <f t="shared" si="215"/>
        <v>1</v>
      </c>
      <c r="G2306" t="str">
        <f t="shared" ref="G2306:G2369" si="217">LEFT(C2306,(FIND(" ",C2306,1)-1))</f>
        <v>1F647</v>
      </c>
      <c r="I2306">
        <f>HEX2DEC(Table1[[#This Row],[utf8]])</f>
        <v>128583</v>
      </c>
      <c r="J2306" t="str">
        <f>_xlfn.UNICHAR(HEX2DEC(Table1[[#This Row],[utf8]]))</f>
        <v>🙇</v>
      </c>
      <c r="K2306" s="3" t="str" cm="1">
        <f t="array" ref="K2306">"Case "&amp;wRandomLetter()&amp;wRandomLetter()&amp;I2306&amp;":    UniConst = ChrW(" &amp; I2306 &amp;")"</f>
        <v>Case Md128583:    UniConst = ChrW(128583)</v>
      </c>
    </row>
    <row r="2307" spans="1:11" hidden="1">
      <c r="A2307" t="s">
        <v>856</v>
      </c>
      <c r="B2307" t="str">
        <f t="shared" ref="B2307:B2370" si="218">TRIM(A2307)</f>
        <v>1F647 1F3FF ; fully-qualified # 🙇🏿 E1.0 person bowing: dark skin tone</v>
      </c>
      <c r="C2307" t="str">
        <f t="shared" ref="C2307:C2370" si="219">LEFT(B2307,(FIND(";",B2307,1)-1))</f>
        <v xml:space="preserve">1F647 1F3FF </v>
      </c>
      <c r="D2307">
        <f t="shared" ref="D2307:D2370" si="220">LEN(C2307)</f>
        <v>12</v>
      </c>
      <c r="E2307" t="str">
        <f t="shared" si="216"/>
        <v xml:space="preserve"> 🙇🏿 E1.0 person bowing: dark skin tone</v>
      </c>
      <c r="F2307" t="b">
        <f t="shared" ref="F2307:F2370" si="221">IF(LEFT(C2307,2)="1F",TRUE,FALSE)</f>
        <v>1</v>
      </c>
      <c r="G2307" t="str">
        <f t="shared" si="217"/>
        <v>1F647</v>
      </c>
      <c r="I2307">
        <f>HEX2DEC(Table1[[#This Row],[utf8]])</f>
        <v>128583</v>
      </c>
      <c r="J2307" t="str">
        <f>_xlfn.UNICHAR(HEX2DEC(Table1[[#This Row],[utf8]]))</f>
        <v>🙇</v>
      </c>
      <c r="K2307" s="3" t="str" cm="1">
        <f t="array" ref="K2307">"Case "&amp;wRandomLetter()&amp;wRandomLetter()&amp;I2307&amp;":    UniConst = ChrW(" &amp; I2307 &amp;")"</f>
        <v>Case LP128583:    UniConst = ChrW(128583)</v>
      </c>
    </row>
    <row r="2308" spans="1:11" hidden="1">
      <c r="A2308" t="s">
        <v>880</v>
      </c>
      <c r="B2308" t="str">
        <f t="shared" si="218"/>
        <v>1F647 1F3FF 200D 2640 ; minimally-qualified # 🙇🏿‍♀ E4.0 woman bowing: dark skin tone</v>
      </c>
      <c r="C2308" t="str">
        <f t="shared" si="219"/>
        <v xml:space="preserve">1F647 1F3FF 200D 2640 </v>
      </c>
      <c r="D2308">
        <f t="shared" si="220"/>
        <v>22</v>
      </c>
      <c r="E2308" t="str">
        <f t="shared" si="216"/>
        <v xml:space="preserve"> 🙇🏿‍♀ E4.0 woman bowing: dark skin tone</v>
      </c>
      <c r="F2308" t="b">
        <f t="shared" si="221"/>
        <v>1</v>
      </c>
      <c r="G2308" t="str">
        <f t="shared" si="217"/>
        <v>1F647</v>
      </c>
      <c r="I2308">
        <f>HEX2DEC(Table1[[#This Row],[utf8]])</f>
        <v>128583</v>
      </c>
      <c r="J2308" t="str">
        <f>_xlfn.UNICHAR(HEX2DEC(Table1[[#This Row],[utf8]]))</f>
        <v>🙇</v>
      </c>
      <c r="K2308" s="3" t="str" cm="1">
        <f t="array" ref="K2308">"Case "&amp;wRandomLetter()&amp;wRandomLetter()&amp;I2308&amp;":    UniConst = ChrW(" &amp; I2308 &amp;")"</f>
        <v>Case qU128583:    UniConst = ChrW(128583)</v>
      </c>
    </row>
    <row r="2309" spans="1:11" hidden="1">
      <c r="A2309" t="s">
        <v>879</v>
      </c>
      <c r="B2309" t="str">
        <f t="shared" si="218"/>
        <v>1F647 1F3FF 200D 2640 FE0F ; fully-qualified # 🙇🏿‍♀️ E4.0 woman bowing: dark skin tone</v>
      </c>
      <c r="C2309" t="str">
        <f t="shared" si="219"/>
        <v xml:space="preserve">1F647 1F3FF 200D 2640 FE0F </v>
      </c>
      <c r="D2309">
        <f t="shared" si="220"/>
        <v>27</v>
      </c>
      <c r="E2309" t="str">
        <f t="shared" si="216"/>
        <v xml:space="preserve"> 🙇🏿‍♀️ E4.0 woman bowing: dark skin tone</v>
      </c>
      <c r="F2309" t="b">
        <f t="shared" si="221"/>
        <v>1</v>
      </c>
      <c r="G2309" t="str">
        <f t="shared" si="217"/>
        <v>1F647</v>
      </c>
      <c r="I2309">
        <f>HEX2DEC(Table1[[#This Row],[utf8]])</f>
        <v>128583</v>
      </c>
      <c r="J2309" t="str">
        <f>_xlfn.UNICHAR(HEX2DEC(Table1[[#This Row],[utf8]]))</f>
        <v>🙇</v>
      </c>
      <c r="K2309" s="3" t="str" cm="1">
        <f t="array" ref="K2309">"Case "&amp;wRandomLetter()&amp;wRandomLetter()&amp;I2309&amp;":    UniConst = ChrW(" &amp; I2309 &amp;")"</f>
        <v>Case Vt128583:    UniConst = ChrW(128583)</v>
      </c>
    </row>
    <row r="2310" spans="1:11" hidden="1">
      <c r="A2310" t="s">
        <v>868</v>
      </c>
      <c r="B2310" t="str">
        <f t="shared" si="218"/>
        <v>1F647 1F3FF 200D 2642 ; minimally-qualified # 🙇🏿‍♂ E4.0 man bowing: dark skin tone</v>
      </c>
      <c r="C2310" t="str">
        <f t="shared" si="219"/>
        <v xml:space="preserve">1F647 1F3FF 200D 2642 </v>
      </c>
      <c r="D2310">
        <f t="shared" si="220"/>
        <v>22</v>
      </c>
      <c r="E2310" t="str">
        <f t="shared" si="216"/>
        <v xml:space="preserve"> 🙇🏿‍♂ E4.0 man bowing: dark skin tone</v>
      </c>
      <c r="F2310" t="b">
        <f t="shared" si="221"/>
        <v>1</v>
      </c>
      <c r="G2310" t="str">
        <f t="shared" si="217"/>
        <v>1F647</v>
      </c>
      <c r="I2310">
        <f>HEX2DEC(Table1[[#This Row],[utf8]])</f>
        <v>128583</v>
      </c>
      <c r="J2310" t="str">
        <f>_xlfn.UNICHAR(HEX2DEC(Table1[[#This Row],[utf8]]))</f>
        <v>🙇</v>
      </c>
      <c r="K2310" s="3" t="str" cm="1">
        <f t="array" ref="K2310">"Case "&amp;wRandomLetter()&amp;wRandomLetter()&amp;I2310&amp;":    UniConst = ChrW(" &amp; I2310 &amp;")"</f>
        <v>Case Gg128583:    UniConst = ChrW(128583)</v>
      </c>
    </row>
    <row r="2311" spans="1:11" hidden="1">
      <c r="A2311" t="s">
        <v>867</v>
      </c>
      <c r="B2311" t="str">
        <f t="shared" si="218"/>
        <v>1F647 1F3FF 200D 2642 FE0F ; fully-qualified # 🙇🏿‍♂️ E4.0 man bowing: dark skin tone</v>
      </c>
      <c r="C2311" t="str">
        <f t="shared" si="219"/>
        <v xml:space="preserve">1F647 1F3FF 200D 2642 FE0F </v>
      </c>
      <c r="D2311">
        <f t="shared" si="220"/>
        <v>27</v>
      </c>
      <c r="E2311" t="str">
        <f t="shared" si="216"/>
        <v xml:space="preserve"> 🙇🏿‍♂️ E4.0 man bowing: dark skin tone</v>
      </c>
      <c r="F2311" t="b">
        <f t="shared" si="221"/>
        <v>1</v>
      </c>
      <c r="G2311" t="str">
        <f t="shared" si="217"/>
        <v>1F647</v>
      </c>
      <c r="I2311">
        <f>HEX2DEC(Table1[[#This Row],[utf8]])</f>
        <v>128583</v>
      </c>
      <c r="J2311" t="str">
        <f>_xlfn.UNICHAR(HEX2DEC(Table1[[#This Row],[utf8]]))</f>
        <v>🙇</v>
      </c>
      <c r="K2311" s="3" t="str" cm="1">
        <f t="array" ref="K2311">"Case "&amp;wRandomLetter()&amp;wRandomLetter()&amp;I2311&amp;":    UniConst = ChrW(" &amp; I2311 &amp;")"</f>
        <v>Case ye128583:    UniConst = ChrW(128583)</v>
      </c>
    </row>
    <row r="2312" spans="1:11" hidden="1">
      <c r="A2312" t="s">
        <v>870</v>
      </c>
      <c r="B2312" t="str">
        <f t="shared" si="218"/>
        <v>1F647 200D 2640 ; minimally-qualified # 🙇‍♀ E4.0 woman bowing</v>
      </c>
      <c r="C2312" t="str">
        <f t="shared" si="219"/>
        <v xml:space="preserve">1F647 200D 2640 </v>
      </c>
      <c r="D2312">
        <f t="shared" si="220"/>
        <v>16</v>
      </c>
      <c r="E2312" t="str">
        <f t="shared" si="216"/>
        <v xml:space="preserve"> 🙇‍♀ E4.0 woman bowing</v>
      </c>
      <c r="F2312" t="b">
        <f t="shared" si="221"/>
        <v>1</v>
      </c>
      <c r="G2312" t="str">
        <f t="shared" si="217"/>
        <v>1F647</v>
      </c>
      <c r="I2312">
        <f>HEX2DEC(Table1[[#This Row],[utf8]])</f>
        <v>128583</v>
      </c>
      <c r="J2312" t="str">
        <f>_xlfn.UNICHAR(HEX2DEC(Table1[[#This Row],[utf8]]))</f>
        <v>🙇</v>
      </c>
      <c r="K2312" s="3" t="str" cm="1">
        <f t="array" ref="K2312">"Case "&amp;wRandomLetter()&amp;wRandomLetter()&amp;I2312&amp;":    UniConst = ChrW(" &amp; I2312 &amp;")"</f>
        <v>Case HI128583:    UniConst = ChrW(128583)</v>
      </c>
    </row>
    <row r="2313" spans="1:11" hidden="1">
      <c r="A2313" t="s">
        <v>869</v>
      </c>
      <c r="B2313" t="str">
        <f t="shared" si="218"/>
        <v>1F647 200D 2640 FE0F ; fully-qualified # 🙇‍♀️ E4.0 woman bowing</v>
      </c>
      <c r="C2313" t="str">
        <f t="shared" si="219"/>
        <v xml:space="preserve">1F647 200D 2640 FE0F </v>
      </c>
      <c r="D2313">
        <f t="shared" si="220"/>
        <v>21</v>
      </c>
      <c r="E2313" t="str">
        <f t="shared" si="216"/>
        <v xml:space="preserve"> 🙇‍♀️ E4.0 woman bowing</v>
      </c>
      <c r="F2313" t="b">
        <f t="shared" si="221"/>
        <v>1</v>
      </c>
      <c r="G2313" t="str">
        <f t="shared" si="217"/>
        <v>1F647</v>
      </c>
      <c r="I2313">
        <f>HEX2DEC(Table1[[#This Row],[utf8]])</f>
        <v>128583</v>
      </c>
      <c r="J2313" t="str">
        <f>_xlfn.UNICHAR(HEX2DEC(Table1[[#This Row],[utf8]]))</f>
        <v>🙇</v>
      </c>
      <c r="K2313" s="3" t="str" cm="1">
        <f t="array" ref="K2313">"Case "&amp;wRandomLetter()&amp;wRandomLetter()&amp;I2313&amp;":    UniConst = ChrW(" &amp; I2313 &amp;")"</f>
        <v>Case GC128583:    UniConst = ChrW(128583)</v>
      </c>
    </row>
    <row r="2314" spans="1:11" hidden="1">
      <c r="A2314" t="s">
        <v>858</v>
      </c>
      <c r="B2314" t="str">
        <f t="shared" si="218"/>
        <v>1F647 200D 2642 ; minimally-qualified # 🙇‍♂ E4.0 man bowing</v>
      </c>
      <c r="C2314" t="str">
        <f t="shared" si="219"/>
        <v xml:space="preserve">1F647 200D 2642 </v>
      </c>
      <c r="D2314">
        <f t="shared" si="220"/>
        <v>16</v>
      </c>
      <c r="E2314" t="str">
        <f t="shared" si="216"/>
        <v xml:space="preserve"> 🙇‍♂ E4.0 man bowing</v>
      </c>
      <c r="F2314" t="b">
        <f t="shared" si="221"/>
        <v>1</v>
      </c>
      <c r="G2314" t="str">
        <f t="shared" si="217"/>
        <v>1F647</v>
      </c>
      <c r="I2314">
        <f>HEX2DEC(Table1[[#This Row],[utf8]])</f>
        <v>128583</v>
      </c>
      <c r="J2314" t="str">
        <f>_xlfn.UNICHAR(HEX2DEC(Table1[[#This Row],[utf8]]))</f>
        <v>🙇</v>
      </c>
      <c r="K2314" s="3" t="str" cm="1">
        <f t="array" ref="K2314">"Case "&amp;wRandomLetter()&amp;wRandomLetter()&amp;I2314&amp;":    UniConst = ChrW(" &amp; I2314 &amp;")"</f>
        <v>Case lh128583:    UniConst = ChrW(128583)</v>
      </c>
    </row>
    <row r="2315" spans="1:11" hidden="1">
      <c r="A2315" t="s">
        <v>857</v>
      </c>
      <c r="B2315" t="str">
        <f t="shared" si="218"/>
        <v>1F647 200D 2642 FE0F ; fully-qualified # 🙇‍♂️ E4.0 man bowing</v>
      </c>
      <c r="C2315" t="str">
        <f t="shared" si="219"/>
        <v xml:space="preserve">1F647 200D 2642 FE0F </v>
      </c>
      <c r="D2315">
        <f t="shared" si="220"/>
        <v>21</v>
      </c>
      <c r="E2315" t="str">
        <f t="shared" si="216"/>
        <v xml:space="preserve"> 🙇‍♂️ E4.0 man bowing</v>
      </c>
      <c r="F2315" t="b">
        <f t="shared" si="221"/>
        <v>1</v>
      </c>
      <c r="G2315" t="str">
        <f t="shared" si="217"/>
        <v>1F647</v>
      </c>
      <c r="I2315">
        <f>HEX2DEC(Table1[[#This Row],[utf8]])</f>
        <v>128583</v>
      </c>
      <c r="J2315" t="str">
        <f>_xlfn.UNICHAR(HEX2DEC(Table1[[#This Row],[utf8]]))</f>
        <v>🙇</v>
      </c>
      <c r="K2315" s="3" t="str" cm="1">
        <f t="array" ref="K2315">"Case "&amp;wRandomLetter()&amp;wRandomLetter()&amp;I2315&amp;":    UniConst = ChrW(" &amp; I2315 &amp;")"</f>
        <v>Case wd128583:    UniConst = ChrW(128583)</v>
      </c>
    </row>
    <row r="2316" spans="1:11" hidden="1">
      <c r="A2316" t="s">
        <v>135</v>
      </c>
      <c r="B2316" t="str">
        <f t="shared" si="218"/>
        <v>1F648 ; fully-qualified # 🙈 E0.6 see-no-evil monkey</v>
      </c>
      <c r="C2316" t="str">
        <f t="shared" si="219"/>
        <v xml:space="preserve">1F648 </v>
      </c>
      <c r="D2316">
        <f t="shared" si="220"/>
        <v>6</v>
      </c>
      <c r="E2316" t="str">
        <f t="shared" si="216"/>
        <v xml:space="preserve"> 🙈 E0.6 see-no-evil monkey</v>
      </c>
      <c r="F2316" t="b">
        <f t="shared" si="221"/>
        <v>1</v>
      </c>
      <c r="G2316" t="str">
        <f t="shared" si="217"/>
        <v>1F648</v>
      </c>
      <c r="I2316">
        <f>HEX2DEC(Table1[[#This Row],[utf8]])</f>
        <v>128584</v>
      </c>
      <c r="J2316" t="str">
        <f>_xlfn.UNICHAR(HEX2DEC(Table1[[#This Row],[utf8]]))</f>
        <v>🙈</v>
      </c>
      <c r="K2316" s="3" t="str" cm="1">
        <f t="array" ref="K2316">"Case "&amp;wRandomLetter()&amp;wRandomLetter()&amp;I2316&amp;":    UniConst = ChrW(" &amp; I2316 &amp;")"</f>
        <v>Case tT128584:    UniConst = ChrW(128584)</v>
      </c>
    </row>
    <row r="2317" spans="1:11" hidden="1">
      <c r="A2317" t="s">
        <v>136</v>
      </c>
      <c r="B2317" t="str">
        <f t="shared" si="218"/>
        <v>1F649 ; fully-qualified # 🙉 E0.6 hear-no-evil monkey</v>
      </c>
      <c r="C2317" t="str">
        <f t="shared" si="219"/>
        <v xml:space="preserve">1F649 </v>
      </c>
      <c r="D2317">
        <f t="shared" si="220"/>
        <v>6</v>
      </c>
      <c r="E2317" t="str">
        <f t="shared" si="216"/>
        <v xml:space="preserve"> 🙉 E0.6 hear-no-evil monkey</v>
      </c>
      <c r="F2317" t="b">
        <f t="shared" si="221"/>
        <v>1</v>
      </c>
      <c r="G2317" t="str">
        <f t="shared" si="217"/>
        <v>1F649</v>
      </c>
      <c r="I2317">
        <f>HEX2DEC(Table1[[#This Row],[utf8]])</f>
        <v>128585</v>
      </c>
      <c r="J2317" t="str">
        <f>_xlfn.UNICHAR(HEX2DEC(Table1[[#This Row],[utf8]]))</f>
        <v>🙉</v>
      </c>
      <c r="K2317" s="3" t="str" cm="1">
        <f t="array" ref="K2317">"Case "&amp;wRandomLetter()&amp;wRandomLetter()&amp;I2317&amp;":    UniConst = ChrW(" &amp; I2317 &amp;")"</f>
        <v>Case ck128585:    UniConst = ChrW(128585)</v>
      </c>
    </row>
    <row r="2318" spans="1:11" hidden="1">
      <c r="A2318" t="s">
        <v>137</v>
      </c>
      <c r="B2318" t="str">
        <f t="shared" si="218"/>
        <v>1F64A ; fully-qualified # 🙊 E0.6 speak-no-evil monkey</v>
      </c>
      <c r="C2318" t="str">
        <f t="shared" si="219"/>
        <v xml:space="preserve">1F64A </v>
      </c>
      <c r="D2318">
        <f t="shared" si="220"/>
        <v>6</v>
      </c>
      <c r="E2318" t="str">
        <f t="shared" si="216"/>
        <v xml:space="preserve"> 🙊 E0.6 speak-no-evil monkey</v>
      </c>
      <c r="F2318" t="b">
        <f t="shared" si="221"/>
        <v>1</v>
      </c>
      <c r="G2318" t="str">
        <f t="shared" si="217"/>
        <v>1F64A</v>
      </c>
      <c r="I2318">
        <f>HEX2DEC(Table1[[#This Row],[utf8]])</f>
        <v>128586</v>
      </c>
      <c r="J2318" t="str">
        <f>_xlfn.UNICHAR(HEX2DEC(Table1[[#This Row],[utf8]]))</f>
        <v>🙊</v>
      </c>
      <c r="K2318" s="3" t="str" cm="1">
        <f t="array" ref="K2318">"Case "&amp;wRandomLetter()&amp;wRandomLetter()&amp;I2318&amp;":    UniConst = ChrW(" &amp; I2318 &amp;")"</f>
        <v>Case yg128586:    UniConst = ChrW(128586)</v>
      </c>
    </row>
    <row r="2319" spans="1:11" hidden="1">
      <c r="A2319" t="s">
        <v>791</v>
      </c>
      <c r="B2319" t="str">
        <f t="shared" si="218"/>
        <v>1F64B ; fully-qualified # 🙋 E0.6 person raising hand</v>
      </c>
      <c r="C2319" t="str">
        <f t="shared" si="219"/>
        <v xml:space="preserve">1F64B </v>
      </c>
      <c r="D2319">
        <f t="shared" si="220"/>
        <v>6</v>
      </c>
      <c r="E2319" t="str">
        <f t="shared" si="216"/>
        <v xml:space="preserve"> 🙋 E0.6 person raising hand</v>
      </c>
      <c r="F2319" t="b">
        <f t="shared" si="221"/>
        <v>1</v>
      </c>
      <c r="G2319" t="str">
        <f t="shared" si="217"/>
        <v>1F64B</v>
      </c>
      <c r="I2319">
        <f>HEX2DEC(Table1[[#This Row],[utf8]])</f>
        <v>128587</v>
      </c>
      <c r="J2319" t="str">
        <f>_xlfn.UNICHAR(HEX2DEC(Table1[[#This Row],[utf8]]))</f>
        <v>🙋</v>
      </c>
      <c r="K2319" s="3" t="str" cm="1">
        <f t="array" ref="K2319">"Case "&amp;wRandomLetter()&amp;wRandomLetter()&amp;I2319&amp;":    UniConst = ChrW(" &amp; I2319 &amp;")"</f>
        <v>Case nw128587:    UniConst = ChrW(128587)</v>
      </c>
    </row>
    <row r="2320" spans="1:11" hidden="1">
      <c r="A2320" t="s">
        <v>792</v>
      </c>
      <c r="B2320" t="str">
        <f t="shared" si="218"/>
        <v>1F64B 1F3FB ; fully-qualified # 🙋🏻 E1.0 person raising hand: light skin tone</v>
      </c>
      <c r="C2320" t="str">
        <f t="shared" si="219"/>
        <v xml:space="preserve">1F64B 1F3FB </v>
      </c>
      <c r="D2320">
        <f t="shared" si="220"/>
        <v>12</v>
      </c>
      <c r="E2320" t="str">
        <f t="shared" si="216"/>
        <v xml:space="preserve"> 🙋🏻 E1.0 person raising hand: light skin tone</v>
      </c>
      <c r="F2320" t="b">
        <f t="shared" si="221"/>
        <v>1</v>
      </c>
      <c r="G2320" t="str">
        <f t="shared" si="217"/>
        <v>1F64B</v>
      </c>
      <c r="I2320">
        <f>HEX2DEC(Table1[[#This Row],[utf8]])</f>
        <v>128587</v>
      </c>
      <c r="J2320" t="str">
        <f>_xlfn.UNICHAR(HEX2DEC(Table1[[#This Row],[utf8]]))</f>
        <v>🙋</v>
      </c>
      <c r="K2320" s="3" t="str" cm="1">
        <f t="array" ref="K2320">"Case "&amp;wRandomLetter()&amp;wRandomLetter()&amp;I2320&amp;":    UniConst = ChrW(" &amp; I2320 &amp;")"</f>
        <v>Case yt128587:    UniConst = ChrW(128587)</v>
      </c>
    </row>
    <row r="2321" spans="1:11" hidden="1">
      <c r="A2321" t="s">
        <v>812</v>
      </c>
      <c r="B2321" t="str">
        <f t="shared" si="218"/>
        <v>1F64B 1F3FB 200D 2640 ; minimally-qualified # 🙋🏻‍♀ E4.0 woman raising hand: light skin tone</v>
      </c>
      <c r="C2321" t="str">
        <f t="shared" si="219"/>
        <v xml:space="preserve">1F64B 1F3FB 200D 2640 </v>
      </c>
      <c r="D2321">
        <f t="shared" si="220"/>
        <v>22</v>
      </c>
      <c r="E2321" t="str">
        <f t="shared" si="216"/>
        <v xml:space="preserve"> 🙋🏻‍♀ E4.0 woman raising hand: light skin tone</v>
      </c>
      <c r="F2321" t="b">
        <f t="shared" si="221"/>
        <v>1</v>
      </c>
      <c r="G2321" t="str">
        <f t="shared" si="217"/>
        <v>1F64B</v>
      </c>
      <c r="I2321">
        <f>HEX2DEC(Table1[[#This Row],[utf8]])</f>
        <v>128587</v>
      </c>
      <c r="J2321" t="str">
        <f>_xlfn.UNICHAR(HEX2DEC(Table1[[#This Row],[utf8]]))</f>
        <v>🙋</v>
      </c>
      <c r="K2321" s="3" t="str" cm="1">
        <f t="array" ref="K2321">"Case "&amp;wRandomLetter()&amp;wRandomLetter()&amp;I2321&amp;":    UniConst = ChrW(" &amp; I2321 &amp;")"</f>
        <v>Case ed128587:    UniConst = ChrW(128587)</v>
      </c>
    </row>
    <row r="2322" spans="1:11" hidden="1">
      <c r="A2322" t="s">
        <v>811</v>
      </c>
      <c r="B2322" t="str">
        <f t="shared" si="218"/>
        <v>1F64B 1F3FB 200D 2640 FE0F ; fully-qualified # 🙋🏻‍♀️ E4.0 woman raising hand: light skin tone</v>
      </c>
      <c r="C2322" t="str">
        <f t="shared" si="219"/>
        <v xml:space="preserve">1F64B 1F3FB 200D 2640 FE0F </v>
      </c>
      <c r="D2322">
        <f t="shared" si="220"/>
        <v>27</v>
      </c>
      <c r="E2322" t="str">
        <f t="shared" si="216"/>
        <v xml:space="preserve"> 🙋🏻‍♀️ E4.0 woman raising hand: light skin tone</v>
      </c>
      <c r="F2322" t="b">
        <f t="shared" si="221"/>
        <v>1</v>
      </c>
      <c r="G2322" t="str">
        <f t="shared" si="217"/>
        <v>1F64B</v>
      </c>
      <c r="I2322">
        <f>HEX2DEC(Table1[[#This Row],[utf8]])</f>
        <v>128587</v>
      </c>
      <c r="J2322" t="str">
        <f>_xlfn.UNICHAR(HEX2DEC(Table1[[#This Row],[utf8]]))</f>
        <v>🙋</v>
      </c>
      <c r="K2322" s="3" t="str" cm="1">
        <f t="array" ref="K2322">"Case "&amp;wRandomLetter()&amp;wRandomLetter()&amp;I2322&amp;":    UniConst = ChrW(" &amp; I2322 &amp;")"</f>
        <v>Case Bw128587:    UniConst = ChrW(128587)</v>
      </c>
    </row>
    <row r="2323" spans="1:11" hidden="1">
      <c r="A2323" t="s">
        <v>800</v>
      </c>
      <c r="B2323" t="str">
        <f t="shared" si="218"/>
        <v>1F64B 1F3FB 200D 2642 ; minimally-qualified # 🙋🏻‍♂ E4.0 man raising hand: light skin tone</v>
      </c>
      <c r="C2323" t="str">
        <f t="shared" si="219"/>
        <v xml:space="preserve">1F64B 1F3FB 200D 2642 </v>
      </c>
      <c r="D2323">
        <f t="shared" si="220"/>
        <v>22</v>
      </c>
      <c r="E2323" t="str">
        <f t="shared" si="216"/>
        <v xml:space="preserve"> 🙋🏻‍♂ E4.0 man raising hand: light skin tone</v>
      </c>
      <c r="F2323" t="b">
        <f t="shared" si="221"/>
        <v>1</v>
      </c>
      <c r="G2323" t="str">
        <f t="shared" si="217"/>
        <v>1F64B</v>
      </c>
      <c r="I2323">
        <f>HEX2DEC(Table1[[#This Row],[utf8]])</f>
        <v>128587</v>
      </c>
      <c r="J2323" t="str">
        <f>_xlfn.UNICHAR(HEX2DEC(Table1[[#This Row],[utf8]]))</f>
        <v>🙋</v>
      </c>
      <c r="K2323" s="3" t="str" cm="1">
        <f t="array" ref="K2323">"Case "&amp;wRandomLetter()&amp;wRandomLetter()&amp;I2323&amp;":    UniConst = ChrW(" &amp; I2323 &amp;")"</f>
        <v>Case lm128587:    UniConst = ChrW(128587)</v>
      </c>
    </row>
    <row r="2324" spans="1:11" hidden="1">
      <c r="A2324" t="s">
        <v>799</v>
      </c>
      <c r="B2324" t="str">
        <f t="shared" si="218"/>
        <v>1F64B 1F3FB 200D 2642 FE0F ; fully-qualified # 🙋🏻‍♂️ E4.0 man raising hand: light skin tone</v>
      </c>
      <c r="C2324" t="str">
        <f t="shared" si="219"/>
        <v xml:space="preserve">1F64B 1F3FB 200D 2642 FE0F </v>
      </c>
      <c r="D2324">
        <f t="shared" si="220"/>
        <v>27</v>
      </c>
      <c r="E2324" t="str">
        <f t="shared" si="216"/>
        <v xml:space="preserve"> 🙋🏻‍♂️ E4.0 man raising hand: light skin tone</v>
      </c>
      <c r="F2324" t="b">
        <f t="shared" si="221"/>
        <v>1</v>
      </c>
      <c r="G2324" t="str">
        <f t="shared" si="217"/>
        <v>1F64B</v>
      </c>
      <c r="I2324">
        <f>HEX2DEC(Table1[[#This Row],[utf8]])</f>
        <v>128587</v>
      </c>
      <c r="J2324" t="str">
        <f>_xlfn.UNICHAR(HEX2DEC(Table1[[#This Row],[utf8]]))</f>
        <v>🙋</v>
      </c>
      <c r="K2324" s="3" t="str" cm="1">
        <f t="array" ref="K2324">"Case "&amp;wRandomLetter()&amp;wRandomLetter()&amp;I2324&amp;":    UniConst = ChrW(" &amp; I2324 &amp;")"</f>
        <v>Case Ow128587:    UniConst = ChrW(128587)</v>
      </c>
    </row>
    <row r="2325" spans="1:11" hidden="1">
      <c r="A2325" t="s">
        <v>793</v>
      </c>
      <c r="B2325" t="str">
        <f t="shared" si="218"/>
        <v>1F64B 1F3FC ; fully-qualified # 🙋🏼 E1.0 person raising hand: medium-light skin tone</v>
      </c>
      <c r="C2325" t="str">
        <f t="shared" si="219"/>
        <v xml:space="preserve">1F64B 1F3FC </v>
      </c>
      <c r="D2325">
        <f t="shared" si="220"/>
        <v>12</v>
      </c>
      <c r="E2325" t="str">
        <f t="shared" si="216"/>
        <v xml:space="preserve"> 🙋🏼 E1.0 person raising hand: medium-light skin tone</v>
      </c>
      <c r="F2325" t="b">
        <f t="shared" si="221"/>
        <v>1</v>
      </c>
      <c r="G2325" t="str">
        <f t="shared" si="217"/>
        <v>1F64B</v>
      </c>
      <c r="I2325">
        <f>HEX2DEC(Table1[[#This Row],[utf8]])</f>
        <v>128587</v>
      </c>
      <c r="J2325" t="str">
        <f>_xlfn.UNICHAR(HEX2DEC(Table1[[#This Row],[utf8]]))</f>
        <v>🙋</v>
      </c>
      <c r="K2325" s="3" t="str" cm="1">
        <f t="array" ref="K2325">"Case "&amp;wRandomLetter()&amp;wRandomLetter()&amp;I2325&amp;":    UniConst = ChrW(" &amp; I2325 &amp;")"</f>
        <v>Case NV128587:    UniConst = ChrW(128587)</v>
      </c>
    </row>
    <row r="2326" spans="1:11" hidden="1">
      <c r="A2326" t="s">
        <v>814</v>
      </c>
      <c r="B2326" t="str">
        <f t="shared" si="218"/>
        <v>1F64B 1F3FC 200D 2640 ; minimally-qualified # 🙋🏼‍♀ E4.0 woman raising hand: medium-light skin tone</v>
      </c>
      <c r="C2326" t="str">
        <f t="shared" si="219"/>
        <v xml:space="preserve">1F64B 1F3FC 200D 2640 </v>
      </c>
      <c r="D2326">
        <f t="shared" si="220"/>
        <v>22</v>
      </c>
      <c r="E2326" t="str">
        <f t="shared" si="216"/>
        <v xml:space="preserve"> 🙋🏼‍♀ E4.0 woman raising hand: medium-light skin tone</v>
      </c>
      <c r="F2326" t="b">
        <f t="shared" si="221"/>
        <v>1</v>
      </c>
      <c r="G2326" t="str">
        <f t="shared" si="217"/>
        <v>1F64B</v>
      </c>
      <c r="I2326">
        <f>HEX2DEC(Table1[[#This Row],[utf8]])</f>
        <v>128587</v>
      </c>
      <c r="J2326" t="str">
        <f>_xlfn.UNICHAR(HEX2DEC(Table1[[#This Row],[utf8]]))</f>
        <v>🙋</v>
      </c>
      <c r="K2326" s="3" t="str" cm="1">
        <f t="array" ref="K2326">"Case "&amp;wRandomLetter()&amp;wRandomLetter()&amp;I2326&amp;":    UniConst = ChrW(" &amp; I2326 &amp;")"</f>
        <v>Case jG128587:    UniConst = ChrW(128587)</v>
      </c>
    </row>
    <row r="2327" spans="1:11" hidden="1">
      <c r="A2327" t="s">
        <v>813</v>
      </c>
      <c r="B2327" t="str">
        <f t="shared" si="218"/>
        <v>1F64B 1F3FC 200D 2640 FE0F ; fully-qualified # 🙋🏼‍♀️ E4.0 woman raising hand: medium-light skin tone</v>
      </c>
      <c r="C2327" t="str">
        <f t="shared" si="219"/>
        <v xml:space="preserve">1F64B 1F3FC 200D 2640 FE0F </v>
      </c>
      <c r="D2327">
        <f t="shared" si="220"/>
        <v>27</v>
      </c>
      <c r="E2327" t="str">
        <f t="shared" si="216"/>
        <v xml:space="preserve"> 🙋🏼‍♀️ E4.0 woman raising hand: medium-light skin tone</v>
      </c>
      <c r="F2327" t="b">
        <f t="shared" si="221"/>
        <v>1</v>
      </c>
      <c r="G2327" t="str">
        <f t="shared" si="217"/>
        <v>1F64B</v>
      </c>
      <c r="I2327">
        <f>HEX2DEC(Table1[[#This Row],[utf8]])</f>
        <v>128587</v>
      </c>
      <c r="J2327" t="str">
        <f>_xlfn.UNICHAR(HEX2DEC(Table1[[#This Row],[utf8]]))</f>
        <v>🙋</v>
      </c>
      <c r="K2327" s="3" t="str" cm="1">
        <f t="array" ref="K2327">"Case "&amp;wRandomLetter()&amp;wRandomLetter()&amp;I2327&amp;":    UniConst = ChrW(" &amp; I2327 &amp;")"</f>
        <v>Case Mu128587:    UniConst = ChrW(128587)</v>
      </c>
    </row>
    <row r="2328" spans="1:11" hidden="1">
      <c r="A2328" t="s">
        <v>802</v>
      </c>
      <c r="B2328" t="str">
        <f t="shared" si="218"/>
        <v>1F64B 1F3FC 200D 2642 ; minimally-qualified # 🙋🏼‍♂ E4.0 man raising hand: medium-light skin tone</v>
      </c>
      <c r="C2328" t="str">
        <f t="shared" si="219"/>
        <v xml:space="preserve">1F64B 1F3FC 200D 2642 </v>
      </c>
      <c r="D2328">
        <f t="shared" si="220"/>
        <v>22</v>
      </c>
      <c r="E2328" t="str">
        <f t="shared" si="216"/>
        <v xml:space="preserve"> 🙋🏼‍♂ E4.0 man raising hand: medium-light skin tone</v>
      </c>
      <c r="F2328" t="b">
        <f t="shared" si="221"/>
        <v>1</v>
      </c>
      <c r="G2328" t="str">
        <f t="shared" si="217"/>
        <v>1F64B</v>
      </c>
      <c r="I2328">
        <f>HEX2DEC(Table1[[#This Row],[utf8]])</f>
        <v>128587</v>
      </c>
      <c r="J2328" t="str">
        <f>_xlfn.UNICHAR(HEX2DEC(Table1[[#This Row],[utf8]]))</f>
        <v>🙋</v>
      </c>
      <c r="K2328" s="3" t="str" cm="1">
        <f t="array" ref="K2328">"Case "&amp;wRandomLetter()&amp;wRandomLetter()&amp;I2328&amp;":    UniConst = ChrW(" &amp; I2328 &amp;")"</f>
        <v>Case mN128587:    UniConst = ChrW(128587)</v>
      </c>
    </row>
    <row r="2329" spans="1:11" hidden="1">
      <c r="A2329" t="s">
        <v>801</v>
      </c>
      <c r="B2329" t="str">
        <f t="shared" si="218"/>
        <v>1F64B 1F3FC 200D 2642 FE0F ; fully-qualified # 🙋🏼‍♂️ E4.0 man raising hand: medium-light skin tone</v>
      </c>
      <c r="C2329" t="str">
        <f t="shared" si="219"/>
        <v xml:space="preserve">1F64B 1F3FC 200D 2642 FE0F </v>
      </c>
      <c r="D2329">
        <f t="shared" si="220"/>
        <v>27</v>
      </c>
      <c r="E2329" t="str">
        <f t="shared" si="216"/>
        <v xml:space="preserve"> 🙋🏼‍♂️ E4.0 man raising hand: medium-light skin tone</v>
      </c>
      <c r="F2329" t="b">
        <f t="shared" si="221"/>
        <v>1</v>
      </c>
      <c r="G2329" t="str">
        <f t="shared" si="217"/>
        <v>1F64B</v>
      </c>
      <c r="I2329">
        <f>HEX2DEC(Table1[[#This Row],[utf8]])</f>
        <v>128587</v>
      </c>
      <c r="J2329" t="str">
        <f>_xlfn.UNICHAR(HEX2DEC(Table1[[#This Row],[utf8]]))</f>
        <v>🙋</v>
      </c>
      <c r="K2329" s="3" t="str" cm="1">
        <f t="array" ref="K2329">"Case "&amp;wRandomLetter()&amp;wRandomLetter()&amp;I2329&amp;":    UniConst = ChrW(" &amp; I2329 &amp;")"</f>
        <v>Case nW128587:    UniConst = ChrW(128587)</v>
      </c>
    </row>
    <row r="2330" spans="1:11" hidden="1">
      <c r="A2330" t="s">
        <v>794</v>
      </c>
      <c r="B2330" t="str">
        <f t="shared" si="218"/>
        <v>1F64B 1F3FD ; fully-qualified # 🙋🏽 E1.0 person raising hand: medium skin tone</v>
      </c>
      <c r="C2330" t="str">
        <f t="shared" si="219"/>
        <v xml:space="preserve">1F64B 1F3FD </v>
      </c>
      <c r="D2330">
        <f t="shared" si="220"/>
        <v>12</v>
      </c>
      <c r="E2330" t="str">
        <f t="shared" si="216"/>
        <v xml:space="preserve"> 🙋🏽 E1.0 person raising hand: medium skin tone</v>
      </c>
      <c r="F2330" t="b">
        <f t="shared" si="221"/>
        <v>1</v>
      </c>
      <c r="G2330" t="str">
        <f t="shared" si="217"/>
        <v>1F64B</v>
      </c>
      <c r="I2330">
        <f>HEX2DEC(Table1[[#This Row],[utf8]])</f>
        <v>128587</v>
      </c>
      <c r="J2330" t="str">
        <f>_xlfn.UNICHAR(HEX2DEC(Table1[[#This Row],[utf8]]))</f>
        <v>🙋</v>
      </c>
      <c r="K2330" s="3" t="str" cm="1">
        <f t="array" ref="K2330">"Case "&amp;wRandomLetter()&amp;wRandomLetter()&amp;I2330&amp;":    UniConst = ChrW(" &amp; I2330 &amp;")"</f>
        <v>Case iZ128587:    UniConst = ChrW(128587)</v>
      </c>
    </row>
    <row r="2331" spans="1:11" hidden="1">
      <c r="A2331" t="s">
        <v>816</v>
      </c>
      <c r="B2331" t="str">
        <f t="shared" si="218"/>
        <v>1F64B 1F3FD 200D 2640 ; minimally-qualified # 🙋🏽‍♀ E4.0 woman raising hand: medium skin tone</v>
      </c>
      <c r="C2331" t="str">
        <f t="shared" si="219"/>
        <v xml:space="preserve">1F64B 1F3FD 200D 2640 </v>
      </c>
      <c r="D2331">
        <f t="shared" si="220"/>
        <v>22</v>
      </c>
      <c r="E2331" t="str">
        <f t="shared" si="216"/>
        <v xml:space="preserve"> 🙋🏽‍♀ E4.0 woman raising hand: medium skin tone</v>
      </c>
      <c r="F2331" t="b">
        <f t="shared" si="221"/>
        <v>1</v>
      </c>
      <c r="G2331" t="str">
        <f t="shared" si="217"/>
        <v>1F64B</v>
      </c>
      <c r="I2331">
        <f>HEX2DEC(Table1[[#This Row],[utf8]])</f>
        <v>128587</v>
      </c>
      <c r="J2331" t="str">
        <f>_xlfn.UNICHAR(HEX2DEC(Table1[[#This Row],[utf8]]))</f>
        <v>🙋</v>
      </c>
      <c r="K2331" s="3" t="str" cm="1">
        <f t="array" ref="K2331">"Case "&amp;wRandomLetter()&amp;wRandomLetter()&amp;I2331&amp;":    UniConst = ChrW(" &amp; I2331 &amp;")"</f>
        <v>Case PB128587:    UniConst = ChrW(128587)</v>
      </c>
    </row>
    <row r="2332" spans="1:11" hidden="1">
      <c r="A2332" t="s">
        <v>815</v>
      </c>
      <c r="B2332" t="str">
        <f t="shared" si="218"/>
        <v>1F64B 1F3FD 200D 2640 FE0F ; fully-qualified # 🙋🏽‍♀️ E4.0 woman raising hand: medium skin tone</v>
      </c>
      <c r="C2332" t="str">
        <f t="shared" si="219"/>
        <v xml:space="preserve">1F64B 1F3FD 200D 2640 FE0F </v>
      </c>
      <c r="D2332">
        <f t="shared" si="220"/>
        <v>27</v>
      </c>
      <c r="E2332" t="str">
        <f t="shared" si="216"/>
        <v xml:space="preserve"> 🙋🏽‍♀️ E4.0 woman raising hand: medium skin tone</v>
      </c>
      <c r="F2332" t="b">
        <f t="shared" si="221"/>
        <v>1</v>
      </c>
      <c r="G2332" t="str">
        <f t="shared" si="217"/>
        <v>1F64B</v>
      </c>
      <c r="I2332">
        <f>HEX2DEC(Table1[[#This Row],[utf8]])</f>
        <v>128587</v>
      </c>
      <c r="J2332" t="str">
        <f>_xlfn.UNICHAR(HEX2DEC(Table1[[#This Row],[utf8]]))</f>
        <v>🙋</v>
      </c>
      <c r="K2332" s="3" t="str" cm="1">
        <f t="array" ref="K2332">"Case "&amp;wRandomLetter()&amp;wRandomLetter()&amp;I2332&amp;":    UniConst = ChrW(" &amp; I2332 &amp;")"</f>
        <v>Case Xp128587:    UniConst = ChrW(128587)</v>
      </c>
    </row>
    <row r="2333" spans="1:11" hidden="1">
      <c r="A2333" t="s">
        <v>804</v>
      </c>
      <c r="B2333" t="str">
        <f t="shared" si="218"/>
        <v>1F64B 1F3FD 200D 2642 ; minimally-qualified # 🙋🏽‍♂ E4.0 man raising hand: medium skin tone</v>
      </c>
      <c r="C2333" t="str">
        <f t="shared" si="219"/>
        <v xml:space="preserve">1F64B 1F3FD 200D 2642 </v>
      </c>
      <c r="D2333">
        <f t="shared" si="220"/>
        <v>22</v>
      </c>
      <c r="E2333" t="str">
        <f t="shared" si="216"/>
        <v xml:space="preserve"> 🙋🏽‍♂ E4.0 man raising hand: medium skin tone</v>
      </c>
      <c r="F2333" t="b">
        <f t="shared" si="221"/>
        <v>1</v>
      </c>
      <c r="G2333" t="str">
        <f t="shared" si="217"/>
        <v>1F64B</v>
      </c>
      <c r="I2333">
        <f>HEX2DEC(Table1[[#This Row],[utf8]])</f>
        <v>128587</v>
      </c>
      <c r="J2333" t="str">
        <f>_xlfn.UNICHAR(HEX2DEC(Table1[[#This Row],[utf8]]))</f>
        <v>🙋</v>
      </c>
      <c r="K2333" s="3" t="str" cm="1">
        <f t="array" ref="K2333">"Case "&amp;wRandomLetter()&amp;wRandomLetter()&amp;I2333&amp;":    UniConst = ChrW(" &amp; I2333 &amp;")"</f>
        <v>Case Wd128587:    UniConst = ChrW(128587)</v>
      </c>
    </row>
    <row r="2334" spans="1:11" hidden="1">
      <c r="A2334" t="s">
        <v>803</v>
      </c>
      <c r="B2334" t="str">
        <f t="shared" si="218"/>
        <v>1F64B 1F3FD 200D 2642 FE0F ; fully-qualified # 🙋🏽‍♂️ E4.0 man raising hand: medium skin tone</v>
      </c>
      <c r="C2334" t="str">
        <f t="shared" si="219"/>
        <v xml:space="preserve">1F64B 1F3FD 200D 2642 FE0F </v>
      </c>
      <c r="D2334">
        <f t="shared" si="220"/>
        <v>27</v>
      </c>
      <c r="E2334" t="str">
        <f t="shared" si="216"/>
        <v xml:space="preserve"> 🙋🏽‍♂️ E4.0 man raising hand: medium skin tone</v>
      </c>
      <c r="F2334" t="b">
        <f t="shared" si="221"/>
        <v>1</v>
      </c>
      <c r="G2334" t="str">
        <f t="shared" si="217"/>
        <v>1F64B</v>
      </c>
      <c r="I2334">
        <f>HEX2DEC(Table1[[#This Row],[utf8]])</f>
        <v>128587</v>
      </c>
      <c r="J2334" t="str">
        <f>_xlfn.UNICHAR(HEX2DEC(Table1[[#This Row],[utf8]]))</f>
        <v>🙋</v>
      </c>
      <c r="K2334" s="3" t="str" cm="1">
        <f t="array" ref="K2334">"Case "&amp;wRandomLetter()&amp;wRandomLetter()&amp;I2334&amp;":    UniConst = ChrW(" &amp; I2334 &amp;")"</f>
        <v>Case nh128587:    UniConst = ChrW(128587)</v>
      </c>
    </row>
    <row r="2335" spans="1:11" hidden="1">
      <c r="A2335" t="s">
        <v>795</v>
      </c>
      <c r="B2335" t="str">
        <f t="shared" si="218"/>
        <v>1F64B 1F3FE ; fully-qualified # 🙋🏾 E1.0 person raising hand: medium-dark skin tone</v>
      </c>
      <c r="C2335" t="str">
        <f t="shared" si="219"/>
        <v xml:space="preserve">1F64B 1F3FE </v>
      </c>
      <c r="D2335">
        <f t="shared" si="220"/>
        <v>12</v>
      </c>
      <c r="E2335" t="str">
        <f t="shared" si="216"/>
        <v xml:space="preserve"> 🙋🏾 E1.0 person raising hand: medium-dark skin tone</v>
      </c>
      <c r="F2335" t="b">
        <f t="shared" si="221"/>
        <v>1</v>
      </c>
      <c r="G2335" t="str">
        <f t="shared" si="217"/>
        <v>1F64B</v>
      </c>
      <c r="I2335">
        <f>HEX2DEC(Table1[[#This Row],[utf8]])</f>
        <v>128587</v>
      </c>
      <c r="J2335" t="str">
        <f>_xlfn.UNICHAR(HEX2DEC(Table1[[#This Row],[utf8]]))</f>
        <v>🙋</v>
      </c>
      <c r="K2335" s="3" t="str" cm="1">
        <f t="array" ref="K2335">"Case "&amp;wRandomLetter()&amp;wRandomLetter()&amp;I2335&amp;":    UniConst = ChrW(" &amp; I2335 &amp;")"</f>
        <v>Case UD128587:    UniConst = ChrW(128587)</v>
      </c>
    </row>
    <row r="2336" spans="1:11" hidden="1">
      <c r="A2336" t="s">
        <v>818</v>
      </c>
      <c r="B2336" t="str">
        <f t="shared" si="218"/>
        <v>1F64B 1F3FE 200D 2640 ; minimally-qualified # 🙋🏾‍♀ E4.0 woman raising hand: medium-dark skin tone</v>
      </c>
      <c r="C2336" t="str">
        <f t="shared" si="219"/>
        <v xml:space="preserve">1F64B 1F3FE 200D 2640 </v>
      </c>
      <c r="D2336">
        <f t="shared" si="220"/>
        <v>22</v>
      </c>
      <c r="E2336" t="str">
        <f t="shared" si="216"/>
        <v xml:space="preserve"> 🙋🏾‍♀ E4.0 woman raising hand: medium-dark skin tone</v>
      </c>
      <c r="F2336" t="b">
        <f t="shared" si="221"/>
        <v>1</v>
      </c>
      <c r="G2336" t="str">
        <f t="shared" si="217"/>
        <v>1F64B</v>
      </c>
      <c r="I2336">
        <f>HEX2DEC(Table1[[#This Row],[utf8]])</f>
        <v>128587</v>
      </c>
      <c r="J2336" t="str">
        <f>_xlfn.UNICHAR(HEX2DEC(Table1[[#This Row],[utf8]]))</f>
        <v>🙋</v>
      </c>
      <c r="K2336" s="3" t="str" cm="1">
        <f t="array" ref="K2336">"Case "&amp;wRandomLetter()&amp;wRandomLetter()&amp;I2336&amp;":    UniConst = ChrW(" &amp; I2336 &amp;")"</f>
        <v>Case GZ128587:    UniConst = ChrW(128587)</v>
      </c>
    </row>
    <row r="2337" spans="1:11" hidden="1">
      <c r="A2337" t="s">
        <v>817</v>
      </c>
      <c r="B2337" t="str">
        <f t="shared" si="218"/>
        <v>1F64B 1F3FE 200D 2640 FE0F ; fully-qualified # 🙋🏾‍♀️ E4.0 woman raising hand: medium-dark skin tone</v>
      </c>
      <c r="C2337" t="str">
        <f t="shared" si="219"/>
        <v xml:space="preserve">1F64B 1F3FE 200D 2640 FE0F </v>
      </c>
      <c r="D2337">
        <f t="shared" si="220"/>
        <v>27</v>
      </c>
      <c r="E2337" t="str">
        <f t="shared" si="216"/>
        <v xml:space="preserve"> 🙋🏾‍♀️ E4.0 woman raising hand: medium-dark skin tone</v>
      </c>
      <c r="F2337" t="b">
        <f t="shared" si="221"/>
        <v>1</v>
      </c>
      <c r="G2337" t="str">
        <f t="shared" si="217"/>
        <v>1F64B</v>
      </c>
      <c r="I2337">
        <f>HEX2DEC(Table1[[#This Row],[utf8]])</f>
        <v>128587</v>
      </c>
      <c r="J2337" t="str">
        <f>_xlfn.UNICHAR(HEX2DEC(Table1[[#This Row],[utf8]]))</f>
        <v>🙋</v>
      </c>
      <c r="K2337" s="3" t="str" cm="1">
        <f t="array" ref="K2337">"Case "&amp;wRandomLetter()&amp;wRandomLetter()&amp;I2337&amp;":    UniConst = ChrW(" &amp; I2337 &amp;")"</f>
        <v>Case Hu128587:    UniConst = ChrW(128587)</v>
      </c>
    </row>
    <row r="2338" spans="1:11" hidden="1">
      <c r="A2338" t="s">
        <v>806</v>
      </c>
      <c r="B2338" t="str">
        <f t="shared" si="218"/>
        <v>1F64B 1F3FE 200D 2642 ; minimally-qualified # 🙋🏾‍♂ E4.0 man raising hand: medium-dark skin tone</v>
      </c>
      <c r="C2338" t="str">
        <f t="shared" si="219"/>
        <v xml:space="preserve">1F64B 1F3FE 200D 2642 </v>
      </c>
      <c r="D2338">
        <f t="shared" si="220"/>
        <v>22</v>
      </c>
      <c r="E2338" t="str">
        <f t="shared" si="216"/>
        <v xml:space="preserve"> 🙋🏾‍♂ E4.0 man raising hand: medium-dark skin tone</v>
      </c>
      <c r="F2338" t="b">
        <f t="shared" si="221"/>
        <v>1</v>
      </c>
      <c r="G2338" t="str">
        <f t="shared" si="217"/>
        <v>1F64B</v>
      </c>
      <c r="I2338">
        <f>HEX2DEC(Table1[[#This Row],[utf8]])</f>
        <v>128587</v>
      </c>
      <c r="J2338" t="str">
        <f>_xlfn.UNICHAR(HEX2DEC(Table1[[#This Row],[utf8]]))</f>
        <v>🙋</v>
      </c>
      <c r="K2338" s="3" t="str" cm="1">
        <f t="array" ref="K2338">"Case "&amp;wRandomLetter()&amp;wRandomLetter()&amp;I2338&amp;":    UniConst = ChrW(" &amp; I2338 &amp;")"</f>
        <v>Case mO128587:    UniConst = ChrW(128587)</v>
      </c>
    </row>
    <row r="2339" spans="1:11" hidden="1">
      <c r="A2339" t="s">
        <v>805</v>
      </c>
      <c r="B2339" t="str">
        <f t="shared" si="218"/>
        <v>1F64B 1F3FE 200D 2642 FE0F ; fully-qualified # 🙋🏾‍♂️ E4.0 man raising hand: medium-dark skin tone</v>
      </c>
      <c r="C2339" t="str">
        <f t="shared" si="219"/>
        <v xml:space="preserve">1F64B 1F3FE 200D 2642 FE0F </v>
      </c>
      <c r="D2339">
        <f t="shared" si="220"/>
        <v>27</v>
      </c>
      <c r="E2339" t="str">
        <f t="shared" si="216"/>
        <v xml:space="preserve"> 🙋🏾‍♂️ E4.0 man raising hand: medium-dark skin tone</v>
      </c>
      <c r="F2339" t="b">
        <f t="shared" si="221"/>
        <v>1</v>
      </c>
      <c r="G2339" t="str">
        <f t="shared" si="217"/>
        <v>1F64B</v>
      </c>
      <c r="I2339">
        <f>HEX2DEC(Table1[[#This Row],[utf8]])</f>
        <v>128587</v>
      </c>
      <c r="J2339" t="str">
        <f>_xlfn.UNICHAR(HEX2DEC(Table1[[#This Row],[utf8]]))</f>
        <v>🙋</v>
      </c>
      <c r="K2339" s="3" t="str" cm="1">
        <f t="array" ref="K2339">"Case "&amp;wRandomLetter()&amp;wRandomLetter()&amp;I2339&amp;":    UniConst = ChrW(" &amp; I2339 &amp;")"</f>
        <v>Case iZ128587:    UniConst = ChrW(128587)</v>
      </c>
    </row>
    <row r="2340" spans="1:11" hidden="1">
      <c r="A2340" t="s">
        <v>796</v>
      </c>
      <c r="B2340" t="str">
        <f t="shared" si="218"/>
        <v>1F64B 1F3FF ; fully-qualified # 🙋🏿 E1.0 person raising hand: dark skin tone</v>
      </c>
      <c r="C2340" t="str">
        <f t="shared" si="219"/>
        <v xml:space="preserve">1F64B 1F3FF </v>
      </c>
      <c r="D2340">
        <f t="shared" si="220"/>
        <v>12</v>
      </c>
      <c r="E2340" t="str">
        <f t="shared" si="216"/>
        <v xml:space="preserve"> 🙋🏿 E1.0 person raising hand: dark skin tone</v>
      </c>
      <c r="F2340" t="b">
        <f t="shared" si="221"/>
        <v>1</v>
      </c>
      <c r="G2340" t="str">
        <f t="shared" si="217"/>
        <v>1F64B</v>
      </c>
      <c r="I2340">
        <f>HEX2DEC(Table1[[#This Row],[utf8]])</f>
        <v>128587</v>
      </c>
      <c r="J2340" t="str">
        <f>_xlfn.UNICHAR(HEX2DEC(Table1[[#This Row],[utf8]]))</f>
        <v>🙋</v>
      </c>
      <c r="K2340" s="3" t="str" cm="1">
        <f t="array" ref="K2340">"Case "&amp;wRandomLetter()&amp;wRandomLetter()&amp;I2340&amp;":    UniConst = ChrW(" &amp; I2340 &amp;")"</f>
        <v>Case DF128587:    UniConst = ChrW(128587)</v>
      </c>
    </row>
    <row r="2341" spans="1:11" hidden="1">
      <c r="A2341" t="s">
        <v>820</v>
      </c>
      <c r="B2341" t="str">
        <f t="shared" si="218"/>
        <v>1F64B 1F3FF 200D 2640 ; minimally-qualified # 🙋🏿‍♀ E4.0 woman raising hand: dark skin tone</v>
      </c>
      <c r="C2341" t="str">
        <f t="shared" si="219"/>
        <v xml:space="preserve">1F64B 1F3FF 200D 2640 </v>
      </c>
      <c r="D2341">
        <f t="shared" si="220"/>
        <v>22</v>
      </c>
      <c r="E2341" t="str">
        <f t="shared" si="216"/>
        <v xml:space="preserve"> 🙋🏿‍♀ E4.0 woman raising hand: dark skin tone</v>
      </c>
      <c r="F2341" t="b">
        <f t="shared" si="221"/>
        <v>1</v>
      </c>
      <c r="G2341" t="str">
        <f t="shared" si="217"/>
        <v>1F64B</v>
      </c>
      <c r="I2341">
        <f>HEX2DEC(Table1[[#This Row],[utf8]])</f>
        <v>128587</v>
      </c>
      <c r="J2341" t="str">
        <f>_xlfn.UNICHAR(HEX2DEC(Table1[[#This Row],[utf8]]))</f>
        <v>🙋</v>
      </c>
      <c r="K2341" s="3" t="str" cm="1">
        <f t="array" ref="K2341">"Case "&amp;wRandomLetter()&amp;wRandomLetter()&amp;I2341&amp;":    UniConst = ChrW(" &amp; I2341 &amp;")"</f>
        <v>Case BL128587:    UniConst = ChrW(128587)</v>
      </c>
    </row>
    <row r="2342" spans="1:11" hidden="1">
      <c r="A2342" t="s">
        <v>819</v>
      </c>
      <c r="B2342" t="str">
        <f t="shared" si="218"/>
        <v>1F64B 1F3FF 200D 2640 FE0F ; fully-qualified # 🙋🏿‍♀️ E4.0 woman raising hand: dark skin tone</v>
      </c>
      <c r="C2342" t="str">
        <f t="shared" si="219"/>
        <v xml:space="preserve">1F64B 1F3FF 200D 2640 FE0F </v>
      </c>
      <c r="D2342">
        <f t="shared" si="220"/>
        <v>27</v>
      </c>
      <c r="E2342" t="str">
        <f t="shared" si="216"/>
        <v xml:space="preserve"> 🙋🏿‍♀️ E4.0 woman raising hand: dark skin tone</v>
      </c>
      <c r="F2342" t="b">
        <f t="shared" si="221"/>
        <v>1</v>
      </c>
      <c r="G2342" t="str">
        <f t="shared" si="217"/>
        <v>1F64B</v>
      </c>
      <c r="I2342">
        <f>HEX2DEC(Table1[[#This Row],[utf8]])</f>
        <v>128587</v>
      </c>
      <c r="J2342" t="str">
        <f>_xlfn.UNICHAR(HEX2DEC(Table1[[#This Row],[utf8]]))</f>
        <v>🙋</v>
      </c>
      <c r="K2342" s="3" t="str" cm="1">
        <f t="array" ref="K2342">"Case "&amp;wRandomLetter()&amp;wRandomLetter()&amp;I2342&amp;":    UniConst = ChrW(" &amp; I2342 &amp;")"</f>
        <v>Case iw128587:    UniConst = ChrW(128587)</v>
      </c>
    </row>
    <row r="2343" spans="1:11" hidden="1">
      <c r="A2343" t="s">
        <v>808</v>
      </c>
      <c r="B2343" t="str">
        <f t="shared" si="218"/>
        <v>1F64B 1F3FF 200D 2642 ; minimally-qualified # 🙋🏿‍♂ E4.0 man raising hand: dark skin tone</v>
      </c>
      <c r="C2343" t="str">
        <f t="shared" si="219"/>
        <v xml:space="preserve">1F64B 1F3FF 200D 2642 </v>
      </c>
      <c r="D2343">
        <f t="shared" si="220"/>
        <v>22</v>
      </c>
      <c r="E2343" t="str">
        <f t="shared" si="216"/>
        <v xml:space="preserve"> 🙋🏿‍♂ E4.0 man raising hand: dark skin tone</v>
      </c>
      <c r="F2343" t="b">
        <f t="shared" si="221"/>
        <v>1</v>
      </c>
      <c r="G2343" t="str">
        <f t="shared" si="217"/>
        <v>1F64B</v>
      </c>
      <c r="I2343">
        <f>HEX2DEC(Table1[[#This Row],[utf8]])</f>
        <v>128587</v>
      </c>
      <c r="J2343" t="str">
        <f>_xlfn.UNICHAR(HEX2DEC(Table1[[#This Row],[utf8]]))</f>
        <v>🙋</v>
      </c>
      <c r="K2343" s="3" t="str" cm="1">
        <f t="array" ref="K2343">"Case "&amp;wRandomLetter()&amp;wRandomLetter()&amp;I2343&amp;":    UniConst = ChrW(" &amp; I2343 &amp;")"</f>
        <v>Case mr128587:    UniConst = ChrW(128587)</v>
      </c>
    </row>
    <row r="2344" spans="1:11" hidden="1">
      <c r="A2344" t="s">
        <v>807</v>
      </c>
      <c r="B2344" t="str">
        <f t="shared" si="218"/>
        <v>1F64B 1F3FF 200D 2642 FE0F ; fully-qualified # 🙋🏿‍♂️ E4.0 man raising hand: dark skin tone</v>
      </c>
      <c r="C2344" t="str">
        <f t="shared" si="219"/>
        <v xml:space="preserve">1F64B 1F3FF 200D 2642 FE0F </v>
      </c>
      <c r="D2344">
        <f t="shared" si="220"/>
        <v>27</v>
      </c>
      <c r="E2344" t="str">
        <f t="shared" si="216"/>
        <v xml:space="preserve"> 🙋🏿‍♂️ E4.0 man raising hand: dark skin tone</v>
      </c>
      <c r="F2344" t="b">
        <f t="shared" si="221"/>
        <v>1</v>
      </c>
      <c r="G2344" t="str">
        <f t="shared" si="217"/>
        <v>1F64B</v>
      </c>
      <c r="I2344">
        <f>HEX2DEC(Table1[[#This Row],[utf8]])</f>
        <v>128587</v>
      </c>
      <c r="J2344" t="str">
        <f>_xlfn.UNICHAR(HEX2DEC(Table1[[#This Row],[utf8]]))</f>
        <v>🙋</v>
      </c>
      <c r="K2344" s="3" t="str" cm="1">
        <f t="array" ref="K2344">"Case "&amp;wRandomLetter()&amp;wRandomLetter()&amp;I2344&amp;":    UniConst = ChrW(" &amp; I2344 &amp;")"</f>
        <v>Case Bw128587:    UniConst = ChrW(128587)</v>
      </c>
    </row>
    <row r="2345" spans="1:11" hidden="1">
      <c r="A2345" t="s">
        <v>810</v>
      </c>
      <c r="B2345" t="str">
        <f t="shared" si="218"/>
        <v>1F64B 200D 2640 ; minimally-qualified # 🙋‍♀ E4.0 woman raising hand</v>
      </c>
      <c r="C2345" t="str">
        <f t="shared" si="219"/>
        <v xml:space="preserve">1F64B 200D 2640 </v>
      </c>
      <c r="D2345">
        <f t="shared" si="220"/>
        <v>16</v>
      </c>
      <c r="E2345" t="str">
        <f t="shared" si="216"/>
        <v xml:space="preserve"> 🙋‍♀ E4.0 woman raising hand</v>
      </c>
      <c r="F2345" t="b">
        <f t="shared" si="221"/>
        <v>1</v>
      </c>
      <c r="G2345" t="str">
        <f t="shared" si="217"/>
        <v>1F64B</v>
      </c>
      <c r="I2345">
        <f>HEX2DEC(Table1[[#This Row],[utf8]])</f>
        <v>128587</v>
      </c>
      <c r="J2345" t="str">
        <f>_xlfn.UNICHAR(HEX2DEC(Table1[[#This Row],[utf8]]))</f>
        <v>🙋</v>
      </c>
      <c r="K2345" s="3" t="str" cm="1">
        <f t="array" ref="K2345">"Case "&amp;wRandomLetter()&amp;wRandomLetter()&amp;I2345&amp;":    UniConst = ChrW(" &amp; I2345 &amp;")"</f>
        <v>Case kF128587:    UniConst = ChrW(128587)</v>
      </c>
    </row>
    <row r="2346" spans="1:11" hidden="1">
      <c r="A2346" t="s">
        <v>809</v>
      </c>
      <c r="B2346" t="str">
        <f t="shared" si="218"/>
        <v>1F64B 200D 2640 FE0F ; fully-qualified # 🙋‍♀️ E4.0 woman raising hand</v>
      </c>
      <c r="C2346" t="str">
        <f t="shared" si="219"/>
        <v xml:space="preserve">1F64B 200D 2640 FE0F </v>
      </c>
      <c r="D2346">
        <f t="shared" si="220"/>
        <v>21</v>
      </c>
      <c r="E2346" t="str">
        <f t="shared" si="216"/>
        <v xml:space="preserve"> 🙋‍♀️ E4.0 woman raising hand</v>
      </c>
      <c r="F2346" t="b">
        <f t="shared" si="221"/>
        <v>1</v>
      </c>
      <c r="G2346" t="str">
        <f t="shared" si="217"/>
        <v>1F64B</v>
      </c>
      <c r="I2346">
        <f>HEX2DEC(Table1[[#This Row],[utf8]])</f>
        <v>128587</v>
      </c>
      <c r="J2346" t="str">
        <f>_xlfn.UNICHAR(HEX2DEC(Table1[[#This Row],[utf8]]))</f>
        <v>🙋</v>
      </c>
      <c r="K2346" s="3" t="str" cm="1">
        <f t="array" ref="K2346">"Case "&amp;wRandomLetter()&amp;wRandomLetter()&amp;I2346&amp;":    UniConst = ChrW(" &amp; I2346 &amp;")"</f>
        <v>Case dm128587:    UniConst = ChrW(128587)</v>
      </c>
    </row>
    <row r="2347" spans="1:11" hidden="1">
      <c r="A2347" t="s">
        <v>798</v>
      </c>
      <c r="B2347" t="str">
        <f t="shared" si="218"/>
        <v>1F64B 200D 2642 ; minimally-qualified # 🙋‍♂ E4.0 man raising hand</v>
      </c>
      <c r="C2347" t="str">
        <f t="shared" si="219"/>
        <v xml:space="preserve">1F64B 200D 2642 </v>
      </c>
      <c r="D2347">
        <f t="shared" si="220"/>
        <v>16</v>
      </c>
      <c r="E2347" t="str">
        <f t="shared" si="216"/>
        <v xml:space="preserve"> 🙋‍♂ E4.0 man raising hand</v>
      </c>
      <c r="F2347" t="b">
        <f t="shared" si="221"/>
        <v>1</v>
      </c>
      <c r="G2347" t="str">
        <f t="shared" si="217"/>
        <v>1F64B</v>
      </c>
      <c r="I2347">
        <f>HEX2DEC(Table1[[#This Row],[utf8]])</f>
        <v>128587</v>
      </c>
      <c r="J2347" t="str">
        <f>_xlfn.UNICHAR(HEX2DEC(Table1[[#This Row],[utf8]]))</f>
        <v>🙋</v>
      </c>
      <c r="K2347" s="3" t="str" cm="1">
        <f t="array" ref="K2347">"Case "&amp;wRandomLetter()&amp;wRandomLetter()&amp;I2347&amp;":    UniConst = ChrW(" &amp; I2347 &amp;")"</f>
        <v>Case Ww128587:    UniConst = ChrW(128587)</v>
      </c>
    </row>
    <row r="2348" spans="1:11" hidden="1">
      <c r="A2348" t="s">
        <v>797</v>
      </c>
      <c r="B2348" t="str">
        <f t="shared" si="218"/>
        <v>1F64B 200D 2642 FE0F ; fully-qualified # 🙋‍♂️ E4.0 man raising hand</v>
      </c>
      <c r="C2348" t="str">
        <f t="shared" si="219"/>
        <v xml:space="preserve">1F64B 200D 2642 FE0F </v>
      </c>
      <c r="D2348">
        <f t="shared" si="220"/>
        <v>21</v>
      </c>
      <c r="E2348" t="str">
        <f t="shared" si="216"/>
        <v xml:space="preserve"> 🙋‍♂️ E4.0 man raising hand</v>
      </c>
      <c r="F2348" t="b">
        <f t="shared" si="221"/>
        <v>1</v>
      </c>
      <c r="G2348" t="str">
        <f t="shared" si="217"/>
        <v>1F64B</v>
      </c>
      <c r="I2348">
        <f>HEX2DEC(Table1[[#This Row],[utf8]])</f>
        <v>128587</v>
      </c>
      <c r="J2348" t="str">
        <f>_xlfn.UNICHAR(HEX2DEC(Table1[[#This Row],[utf8]]))</f>
        <v>🙋</v>
      </c>
      <c r="K2348" s="3" t="str" cm="1">
        <f t="array" ref="K2348">"Case "&amp;wRandomLetter()&amp;wRandomLetter()&amp;I2348&amp;":    UniConst = ChrW(" &amp; I2348 &amp;")"</f>
        <v>Case OP128587:    UniConst = ChrW(128587)</v>
      </c>
    </row>
    <row r="2349" spans="1:11" hidden="1">
      <c r="A2349" t="s">
        <v>353</v>
      </c>
      <c r="B2349" t="str">
        <f t="shared" si="218"/>
        <v>1F64C ; fully-qualified # 🙌 E0.6 raising hands</v>
      </c>
      <c r="C2349" t="str">
        <f t="shared" si="219"/>
        <v xml:space="preserve">1F64C </v>
      </c>
      <c r="D2349">
        <f t="shared" si="220"/>
        <v>6</v>
      </c>
      <c r="E2349" t="str">
        <f t="shared" si="216"/>
        <v xml:space="preserve"> 🙌 E0.6 raising hands</v>
      </c>
      <c r="F2349" t="b">
        <f t="shared" si="221"/>
        <v>1</v>
      </c>
      <c r="G2349" t="str">
        <f t="shared" si="217"/>
        <v>1F64C</v>
      </c>
      <c r="I2349">
        <f>HEX2DEC(Table1[[#This Row],[utf8]])</f>
        <v>128588</v>
      </c>
      <c r="J2349" t="str">
        <f>_xlfn.UNICHAR(HEX2DEC(Table1[[#This Row],[utf8]]))</f>
        <v>🙌</v>
      </c>
      <c r="K2349" s="3" t="str" cm="1">
        <f t="array" ref="K2349">"Case "&amp;wRandomLetter()&amp;wRandomLetter()&amp;I2349&amp;":    UniConst = ChrW(" &amp; I2349 &amp;")"</f>
        <v>Case IV128588:    UniConst = ChrW(128588)</v>
      </c>
    </row>
    <row r="2350" spans="1:11" hidden="1">
      <c r="A2350" t="s">
        <v>354</v>
      </c>
      <c r="B2350" t="str">
        <f t="shared" si="218"/>
        <v>1F64C 1F3FB ; fully-qualified # 🙌🏻 E1.0 raising hands: light skin tone</v>
      </c>
      <c r="C2350" t="str">
        <f t="shared" si="219"/>
        <v xml:space="preserve">1F64C 1F3FB </v>
      </c>
      <c r="D2350">
        <f t="shared" si="220"/>
        <v>12</v>
      </c>
      <c r="E2350" t="str">
        <f t="shared" si="216"/>
        <v xml:space="preserve"> 🙌🏻 E1.0 raising hands: light skin tone</v>
      </c>
      <c r="F2350" t="b">
        <f t="shared" si="221"/>
        <v>1</v>
      </c>
      <c r="G2350" t="str">
        <f t="shared" si="217"/>
        <v>1F64C</v>
      </c>
      <c r="I2350">
        <f>HEX2DEC(Table1[[#This Row],[utf8]])</f>
        <v>128588</v>
      </c>
      <c r="J2350" t="str">
        <f>_xlfn.UNICHAR(HEX2DEC(Table1[[#This Row],[utf8]]))</f>
        <v>🙌</v>
      </c>
      <c r="K2350" s="3" t="str" cm="1">
        <f t="array" ref="K2350">"Case "&amp;wRandomLetter()&amp;wRandomLetter()&amp;I2350&amp;":    UniConst = ChrW(" &amp; I2350 &amp;")"</f>
        <v>Case tK128588:    UniConst = ChrW(128588)</v>
      </c>
    </row>
    <row r="2351" spans="1:11" hidden="1">
      <c r="A2351" t="s">
        <v>355</v>
      </c>
      <c r="B2351" t="str">
        <f t="shared" si="218"/>
        <v>1F64C 1F3FC ; fully-qualified # 🙌🏼 E1.0 raising hands: medium-light skin tone</v>
      </c>
      <c r="C2351" t="str">
        <f t="shared" si="219"/>
        <v xml:space="preserve">1F64C 1F3FC </v>
      </c>
      <c r="D2351">
        <f t="shared" si="220"/>
        <v>12</v>
      </c>
      <c r="E2351" t="str">
        <f t="shared" si="216"/>
        <v xml:space="preserve"> 🙌🏼 E1.0 raising hands: medium-light skin tone</v>
      </c>
      <c r="F2351" t="b">
        <f t="shared" si="221"/>
        <v>1</v>
      </c>
      <c r="G2351" t="str">
        <f t="shared" si="217"/>
        <v>1F64C</v>
      </c>
      <c r="I2351">
        <f>HEX2DEC(Table1[[#This Row],[utf8]])</f>
        <v>128588</v>
      </c>
      <c r="J2351" t="str">
        <f>_xlfn.UNICHAR(HEX2DEC(Table1[[#This Row],[utf8]]))</f>
        <v>🙌</v>
      </c>
      <c r="K2351" s="3" t="str" cm="1">
        <f t="array" ref="K2351">"Case "&amp;wRandomLetter()&amp;wRandomLetter()&amp;I2351&amp;":    UniConst = ChrW(" &amp; I2351 &amp;")"</f>
        <v>Case GZ128588:    UniConst = ChrW(128588)</v>
      </c>
    </row>
    <row r="2352" spans="1:11" hidden="1">
      <c r="A2352" t="s">
        <v>356</v>
      </c>
      <c r="B2352" t="str">
        <f t="shared" si="218"/>
        <v>1F64C 1F3FD ; fully-qualified # 🙌🏽 E1.0 raising hands: medium skin tone</v>
      </c>
      <c r="C2352" t="str">
        <f t="shared" si="219"/>
        <v xml:space="preserve">1F64C 1F3FD </v>
      </c>
      <c r="D2352">
        <f t="shared" si="220"/>
        <v>12</v>
      </c>
      <c r="E2352" t="str">
        <f t="shared" si="216"/>
        <v xml:space="preserve"> 🙌🏽 E1.0 raising hands: medium skin tone</v>
      </c>
      <c r="F2352" t="b">
        <f t="shared" si="221"/>
        <v>1</v>
      </c>
      <c r="G2352" t="str">
        <f t="shared" si="217"/>
        <v>1F64C</v>
      </c>
      <c r="I2352">
        <f>HEX2DEC(Table1[[#This Row],[utf8]])</f>
        <v>128588</v>
      </c>
      <c r="J2352" t="str">
        <f>_xlfn.UNICHAR(HEX2DEC(Table1[[#This Row],[utf8]]))</f>
        <v>🙌</v>
      </c>
      <c r="K2352" s="3" t="str" cm="1">
        <f t="array" ref="K2352">"Case "&amp;wRandomLetter()&amp;wRandomLetter()&amp;I2352&amp;":    UniConst = ChrW(" &amp; I2352 &amp;")"</f>
        <v>Case sW128588:    UniConst = ChrW(128588)</v>
      </c>
    </row>
    <row r="2353" spans="1:11" hidden="1">
      <c r="A2353" t="s">
        <v>357</v>
      </c>
      <c r="B2353" t="str">
        <f t="shared" si="218"/>
        <v>1F64C 1F3FE ; fully-qualified # 🙌🏾 E1.0 raising hands: medium-dark skin tone</v>
      </c>
      <c r="C2353" t="str">
        <f t="shared" si="219"/>
        <v xml:space="preserve">1F64C 1F3FE </v>
      </c>
      <c r="D2353">
        <f t="shared" si="220"/>
        <v>12</v>
      </c>
      <c r="E2353" t="str">
        <f t="shared" si="216"/>
        <v xml:space="preserve"> 🙌🏾 E1.0 raising hands: medium-dark skin tone</v>
      </c>
      <c r="F2353" t="b">
        <f t="shared" si="221"/>
        <v>1</v>
      </c>
      <c r="G2353" t="str">
        <f t="shared" si="217"/>
        <v>1F64C</v>
      </c>
      <c r="I2353">
        <f>HEX2DEC(Table1[[#This Row],[utf8]])</f>
        <v>128588</v>
      </c>
      <c r="J2353" t="str">
        <f>_xlfn.UNICHAR(HEX2DEC(Table1[[#This Row],[utf8]]))</f>
        <v>🙌</v>
      </c>
      <c r="K2353" s="3" t="str" cm="1">
        <f t="array" ref="K2353">"Case "&amp;wRandomLetter()&amp;wRandomLetter()&amp;I2353&amp;":    UniConst = ChrW(" &amp; I2353 &amp;")"</f>
        <v>Case BY128588:    UniConst = ChrW(128588)</v>
      </c>
    </row>
    <row r="2354" spans="1:11" hidden="1">
      <c r="A2354" t="s">
        <v>358</v>
      </c>
      <c r="B2354" t="str">
        <f t="shared" si="218"/>
        <v>1F64C 1F3FF ; fully-qualified # 🙌🏿 E1.0 raising hands: dark skin tone</v>
      </c>
      <c r="C2354" t="str">
        <f t="shared" si="219"/>
        <v xml:space="preserve">1F64C 1F3FF </v>
      </c>
      <c r="D2354">
        <f t="shared" si="220"/>
        <v>12</v>
      </c>
      <c r="E2354" t="str">
        <f t="shared" si="216"/>
        <v xml:space="preserve"> 🙌🏿 E1.0 raising hands: dark skin tone</v>
      </c>
      <c r="F2354" t="b">
        <f t="shared" si="221"/>
        <v>1</v>
      </c>
      <c r="G2354" t="str">
        <f t="shared" si="217"/>
        <v>1F64C</v>
      </c>
      <c r="I2354">
        <f>HEX2DEC(Table1[[#This Row],[utf8]])</f>
        <v>128588</v>
      </c>
      <c r="J2354" t="str">
        <f>_xlfn.UNICHAR(HEX2DEC(Table1[[#This Row],[utf8]]))</f>
        <v>🙌</v>
      </c>
      <c r="K2354" s="3" t="str" cm="1">
        <f t="array" ref="K2354">"Case "&amp;wRandomLetter()&amp;wRandomLetter()&amp;I2354&amp;":    UniConst = ChrW(" &amp; I2354 &amp;")"</f>
        <v>Case Ya128588:    UniConst = ChrW(128588)</v>
      </c>
    </row>
    <row r="2355" spans="1:11" hidden="1">
      <c r="A2355" t="s">
        <v>641</v>
      </c>
      <c r="B2355" t="str">
        <f t="shared" si="218"/>
        <v>1F64D ; fully-qualified # 🙍 E0.6 person frowning</v>
      </c>
      <c r="C2355" t="str">
        <f t="shared" si="219"/>
        <v xml:space="preserve">1F64D </v>
      </c>
      <c r="D2355">
        <f t="shared" si="220"/>
        <v>6</v>
      </c>
      <c r="E2355" t="str">
        <f t="shared" si="216"/>
        <v xml:space="preserve"> 🙍 E0.6 person frowning</v>
      </c>
      <c r="F2355" t="b">
        <f t="shared" si="221"/>
        <v>1</v>
      </c>
      <c r="G2355" t="str">
        <f t="shared" si="217"/>
        <v>1F64D</v>
      </c>
      <c r="I2355">
        <f>HEX2DEC(Table1[[#This Row],[utf8]])</f>
        <v>128589</v>
      </c>
      <c r="J2355" t="str">
        <f>_xlfn.UNICHAR(HEX2DEC(Table1[[#This Row],[utf8]]))</f>
        <v>🙍</v>
      </c>
      <c r="K2355" s="3" t="str" cm="1">
        <f t="array" ref="K2355">"Case "&amp;wRandomLetter()&amp;wRandomLetter()&amp;I2355&amp;":    UniConst = ChrW(" &amp; I2355 &amp;")"</f>
        <v>Case JQ128589:    UniConst = ChrW(128589)</v>
      </c>
    </row>
    <row r="2356" spans="1:11" hidden="1">
      <c r="A2356" t="s">
        <v>642</v>
      </c>
      <c r="B2356" t="str">
        <f t="shared" si="218"/>
        <v>1F64D 1F3FB ; fully-qualified # 🙍🏻 E1.0 person frowning: light skin tone</v>
      </c>
      <c r="C2356" t="str">
        <f t="shared" si="219"/>
        <v xml:space="preserve">1F64D 1F3FB </v>
      </c>
      <c r="D2356">
        <f t="shared" si="220"/>
        <v>12</v>
      </c>
      <c r="E2356" t="str">
        <f t="shared" si="216"/>
        <v xml:space="preserve"> 🙍🏻 E1.0 person frowning: light skin tone</v>
      </c>
      <c r="F2356" t="b">
        <f t="shared" si="221"/>
        <v>1</v>
      </c>
      <c r="G2356" t="str">
        <f t="shared" si="217"/>
        <v>1F64D</v>
      </c>
      <c r="I2356">
        <f>HEX2DEC(Table1[[#This Row],[utf8]])</f>
        <v>128589</v>
      </c>
      <c r="J2356" t="str">
        <f>_xlfn.UNICHAR(HEX2DEC(Table1[[#This Row],[utf8]]))</f>
        <v>🙍</v>
      </c>
      <c r="K2356" s="3" t="str" cm="1">
        <f t="array" ref="K2356">"Case "&amp;wRandomLetter()&amp;wRandomLetter()&amp;I2356&amp;":    UniConst = ChrW(" &amp; I2356 &amp;")"</f>
        <v>Case Ic128589:    UniConst = ChrW(128589)</v>
      </c>
    </row>
    <row r="2357" spans="1:11" hidden="1">
      <c r="A2357" t="s">
        <v>662</v>
      </c>
      <c r="B2357" t="str">
        <f t="shared" si="218"/>
        <v>1F64D 1F3FB 200D 2640 ; minimally-qualified # 🙍🏻‍♀ E4.0 woman frowning: light skin tone</v>
      </c>
      <c r="C2357" t="str">
        <f t="shared" si="219"/>
        <v xml:space="preserve">1F64D 1F3FB 200D 2640 </v>
      </c>
      <c r="D2357">
        <f t="shared" si="220"/>
        <v>22</v>
      </c>
      <c r="E2357" t="str">
        <f t="shared" si="216"/>
        <v xml:space="preserve"> 🙍🏻‍♀ E4.0 woman frowning: light skin tone</v>
      </c>
      <c r="F2357" t="b">
        <f t="shared" si="221"/>
        <v>1</v>
      </c>
      <c r="G2357" t="str">
        <f t="shared" si="217"/>
        <v>1F64D</v>
      </c>
      <c r="I2357">
        <f>HEX2DEC(Table1[[#This Row],[utf8]])</f>
        <v>128589</v>
      </c>
      <c r="J2357" t="str">
        <f>_xlfn.UNICHAR(HEX2DEC(Table1[[#This Row],[utf8]]))</f>
        <v>🙍</v>
      </c>
      <c r="K2357" s="3" t="str" cm="1">
        <f t="array" ref="K2357">"Case "&amp;wRandomLetter()&amp;wRandomLetter()&amp;I2357&amp;":    UniConst = ChrW(" &amp; I2357 &amp;")"</f>
        <v>Case jh128589:    UniConst = ChrW(128589)</v>
      </c>
    </row>
    <row r="2358" spans="1:11" hidden="1">
      <c r="A2358" t="s">
        <v>661</v>
      </c>
      <c r="B2358" t="str">
        <f t="shared" si="218"/>
        <v>1F64D 1F3FB 200D 2640 FE0F ; fully-qualified # 🙍🏻‍♀️ E4.0 woman frowning: light skin tone</v>
      </c>
      <c r="C2358" t="str">
        <f t="shared" si="219"/>
        <v xml:space="preserve">1F64D 1F3FB 200D 2640 FE0F </v>
      </c>
      <c r="D2358">
        <f t="shared" si="220"/>
        <v>27</v>
      </c>
      <c r="E2358" t="str">
        <f t="shared" si="216"/>
        <v xml:space="preserve"> 🙍🏻‍♀️ E4.0 woman frowning: light skin tone</v>
      </c>
      <c r="F2358" t="b">
        <f t="shared" si="221"/>
        <v>1</v>
      </c>
      <c r="G2358" t="str">
        <f t="shared" si="217"/>
        <v>1F64D</v>
      </c>
      <c r="I2358">
        <f>HEX2DEC(Table1[[#This Row],[utf8]])</f>
        <v>128589</v>
      </c>
      <c r="J2358" t="str">
        <f>_xlfn.UNICHAR(HEX2DEC(Table1[[#This Row],[utf8]]))</f>
        <v>🙍</v>
      </c>
      <c r="K2358" s="3" t="str" cm="1">
        <f t="array" ref="K2358">"Case "&amp;wRandomLetter()&amp;wRandomLetter()&amp;I2358&amp;":    UniConst = ChrW(" &amp; I2358 &amp;")"</f>
        <v>Case FO128589:    UniConst = ChrW(128589)</v>
      </c>
    </row>
    <row r="2359" spans="1:11" hidden="1">
      <c r="A2359" t="s">
        <v>650</v>
      </c>
      <c r="B2359" t="str">
        <f t="shared" si="218"/>
        <v>1F64D 1F3FB 200D 2642 ; minimally-qualified # 🙍🏻‍♂ E4.0 man frowning: light skin tone</v>
      </c>
      <c r="C2359" t="str">
        <f t="shared" si="219"/>
        <v xml:space="preserve">1F64D 1F3FB 200D 2642 </v>
      </c>
      <c r="D2359">
        <f t="shared" si="220"/>
        <v>22</v>
      </c>
      <c r="E2359" t="str">
        <f t="shared" si="216"/>
        <v xml:space="preserve"> 🙍🏻‍♂ E4.0 man frowning: light skin tone</v>
      </c>
      <c r="F2359" t="b">
        <f t="shared" si="221"/>
        <v>1</v>
      </c>
      <c r="G2359" t="str">
        <f t="shared" si="217"/>
        <v>1F64D</v>
      </c>
      <c r="I2359">
        <f>HEX2DEC(Table1[[#This Row],[utf8]])</f>
        <v>128589</v>
      </c>
      <c r="J2359" t="str">
        <f>_xlfn.UNICHAR(HEX2DEC(Table1[[#This Row],[utf8]]))</f>
        <v>🙍</v>
      </c>
      <c r="K2359" s="3" t="str" cm="1">
        <f t="array" ref="K2359">"Case "&amp;wRandomLetter()&amp;wRandomLetter()&amp;I2359&amp;":    UniConst = ChrW(" &amp; I2359 &amp;")"</f>
        <v>Case hN128589:    UniConst = ChrW(128589)</v>
      </c>
    </row>
    <row r="2360" spans="1:11" hidden="1">
      <c r="A2360" t="s">
        <v>649</v>
      </c>
      <c r="B2360" t="str">
        <f t="shared" si="218"/>
        <v>1F64D 1F3FB 200D 2642 FE0F ; fully-qualified # 🙍🏻‍♂️ E4.0 man frowning: light skin tone</v>
      </c>
      <c r="C2360" t="str">
        <f t="shared" si="219"/>
        <v xml:space="preserve">1F64D 1F3FB 200D 2642 FE0F </v>
      </c>
      <c r="D2360">
        <f t="shared" si="220"/>
        <v>27</v>
      </c>
      <c r="E2360" t="str">
        <f t="shared" si="216"/>
        <v xml:space="preserve"> 🙍🏻‍♂️ E4.0 man frowning: light skin tone</v>
      </c>
      <c r="F2360" t="b">
        <f t="shared" si="221"/>
        <v>1</v>
      </c>
      <c r="G2360" t="str">
        <f t="shared" si="217"/>
        <v>1F64D</v>
      </c>
      <c r="I2360">
        <f>HEX2DEC(Table1[[#This Row],[utf8]])</f>
        <v>128589</v>
      </c>
      <c r="J2360" t="str">
        <f>_xlfn.UNICHAR(HEX2DEC(Table1[[#This Row],[utf8]]))</f>
        <v>🙍</v>
      </c>
      <c r="K2360" s="3" t="str" cm="1">
        <f t="array" ref="K2360">"Case "&amp;wRandomLetter()&amp;wRandomLetter()&amp;I2360&amp;":    UniConst = ChrW(" &amp; I2360 &amp;")"</f>
        <v>Case Hf128589:    UniConst = ChrW(128589)</v>
      </c>
    </row>
    <row r="2361" spans="1:11" hidden="1">
      <c r="A2361" t="s">
        <v>643</v>
      </c>
      <c r="B2361" t="str">
        <f t="shared" si="218"/>
        <v>1F64D 1F3FC ; fully-qualified # 🙍🏼 E1.0 person frowning: medium-light skin tone</v>
      </c>
      <c r="C2361" t="str">
        <f t="shared" si="219"/>
        <v xml:space="preserve">1F64D 1F3FC </v>
      </c>
      <c r="D2361">
        <f t="shared" si="220"/>
        <v>12</v>
      </c>
      <c r="E2361" t="str">
        <f t="shared" si="216"/>
        <v xml:space="preserve"> 🙍🏼 E1.0 person frowning: medium-light skin tone</v>
      </c>
      <c r="F2361" t="b">
        <f t="shared" si="221"/>
        <v>1</v>
      </c>
      <c r="G2361" t="str">
        <f t="shared" si="217"/>
        <v>1F64D</v>
      </c>
      <c r="I2361">
        <f>HEX2DEC(Table1[[#This Row],[utf8]])</f>
        <v>128589</v>
      </c>
      <c r="J2361" t="str">
        <f>_xlfn.UNICHAR(HEX2DEC(Table1[[#This Row],[utf8]]))</f>
        <v>🙍</v>
      </c>
      <c r="K2361" s="3" t="str" cm="1">
        <f t="array" ref="K2361">"Case "&amp;wRandomLetter()&amp;wRandomLetter()&amp;I2361&amp;":    UniConst = ChrW(" &amp; I2361 &amp;")"</f>
        <v>Case Xp128589:    UniConst = ChrW(128589)</v>
      </c>
    </row>
    <row r="2362" spans="1:11" hidden="1">
      <c r="A2362" t="s">
        <v>664</v>
      </c>
      <c r="B2362" t="str">
        <f t="shared" si="218"/>
        <v>1F64D 1F3FC 200D 2640 ; minimally-qualified # 🙍🏼‍♀ E4.0 woman frowning: medium-light skin tone</v>
      </c>
      <c r="C2362" t="str">
        <f t="shared" si="219"/>
        <v xml:space="preserve">1F64D 1F3FC 200D 2640 </v>
      </c>
      <c r="D2362">
        <f t="shared" si="220"/>
        <v>22</v>
      </c>
      <c r="E2362" t="str">
        <f t="shared" si="216"/>
        <v xml:space="preserve"> 🙍🏼‍♀ E4.0 woman frowning: medium-light skin tone</v>
      </c>
      <c r="F2362" t="b">
        <f t="shared" si="221"/>
        <v>1</v>
      </c>
      <c r="G2362" t="str">
        <f t="shared" si="217"/>
        <v>1F64D</v>
      </c>
      <c r="I2362">
        <f>HEX2DEC(Table1[[#This Row],[utf8]])</f>
        <v>128589</v>
      </c>
      <c r="J2362" t="str">
        <f>_xlfn.UNICHAR(HEX2DEC(Table1[[#This Row],[utf8]]))</f>
        <v>🙍</v>
      </c>
      <c r="K2362" s="3" t="str" cm="1">
        <f t="array" ref="K2362">"Case "&amp;wRandomLetter()&amp;wRandomLetter()&amp;I2362&amp;":    UniConst = ChrW(" &amp; I2362 &amp;")"</f>
        <v>Case et128589:    UniConst = ChrW(128589)</v>
      </c>
    </row>
    <row r="2363" spans="1:11" hidden="1">
      <c r="A2363" t="s">
        <v>663</v>
      </c>
      <c r="B2363" t="str">
        <f t="shared" si="218"/>
        <v>1F64D 1F3FC 200D 2640 FE0F ; fully-qualified # 🙍🏼‍♀️ E4.0 woman frowning: medium-light skin tone</v>
      </c>
      <c r="C2363" t="str">
        <f t="shared" si="219"/>
        <v xml:space="preserve">1F64D 1F3FC 200D 2640 FE0F </v>
      </c>
      <c r="D2363">
        <f t="shared" si="220"/>
        <v>27</v>
      </c>
      <c r="E2363" t="str">
        <f t="shared" si="216"/>
        <v xml:space="preserve"> 🙍🏼‍♀️ E4.0 woman frowning: medium-light skin tone</v>
      </c>
      <c r="F2363" t="b">
        <f t="shared" si="221"/>
        <v>1</v>
      </c>
      <c r="G2363" t="str">
        <f t="shared" si="217"/>
        <v>1F64D</v>
      </c>
      <c r="I2363">
        <f>HEX2DEC(Table1[[#This Row],[utf8]])</f>
        <v>128589</v>
      </c>
      <c r="J2363" t="str">
        <f>_xlfn.UNICHAR(HEX2DEC(Table1[[#This Row],[utf8]]))</f>
        <v>🙍</v>
      </c>
      <c r="K2363" s="3" t="str" cm="1">
        <f t="array" ref="K2363">"Case "&amp;wRandomLetter()&amp;wRandomLetter()&amp;I2363&amp;":    UniConst = ChrW(" &amp; I2363 &amp;")"</f>
        <v>Case RG128589:    UniConst = ChrW(128589)</v>
      </c>
    </row>
    <row r="2364" spans="1:11" hidden="1">
      <c r="A2364" t="s">
        <v>652</v>
      </c>
      <c r="B2364" t="str">
        <f t="shared" si="218"/>
        <v>1F64D 1F3FC 200D 2642 ; minimally-qualified # 🙍🏼‍♂ E4.0 man frowning: medium-light skin tone</v>
      </c>
      <c r="C2364" t="str">
        <f t="shared" si="219"/>
        <v xml:space="preserve">1F64D 1F3FC 200D 2642 </v>
      </c>
      <c r="D2364">
        <f t="shared" si="220"/>
        <v>22</v>
      </c>
      <c r="E2364" t="str">
        <f t="shared" si="216"/>
        <v xml:space="preserve"> 🙍🏼‍♂ E4.0 man frowning: medium-light skin tone</v>
      </c>
      <c r="F2364" t="b">
        <f t="shared" si="221"/>
        <v>1</v>
      </c>
      <c r="G2364" t="str">
        <f t="shared" si="217"/>
        <v>1F64D</v>
      </c>
      <c r="I2364">
        <f>HEX2DEC(Table1[[#This Row],[utf8]])</f>
        <v>128589</v>
      </c>
      <c r="J2364" t="str">
        <f>_xlfn.UNICHAR(HEX2DEC(Table1[[#This Row],[utf8]]))</f>
        <v>🙍</v>
      </c>
      <c r="K2364" s="3" t="str" cm="1">
        <f t="array" ref="K2364">"Case "&amp;wRandomLetter()&amp;wRandomLetter()&amp;I2364&amp;":    UniConst = ChrW(" &amp; I2364 &amp;")"</f>
        <v>Case mZ128589:    UniConst = ChrW(128589)</v>
      </c>
    </row>
    <row r="2365" spans="1:11" hidden="1">
      <c r="A2365" t="s">
        <v>651</v>
      </c>
      <c r="B2365" t="str">
        <f t="shared" si="218"/>
        <v>1F64D 1F3FC 200D 2642 FE0F ; fully-qualified # 🙍🏼‍♂️ E4.0 man frowning: medium-light skin tone</v>
      </c>
      <c r="C2365" t="str">
        <f t="shared" si="219"/>
        <v xml:space="preserve">1F64D 1F3FC 200D 2642 FE0F </v>
      </c>
      <c r="D2365">
        <f t="shared" si="220"/>
        <v>27</v>
      </c>
      <c r="E2365" t="str">
        <f t="shared" si="216"/>
        <v xml:space="preserve"> 🙍🏼‍♂️ E4.0 man frowning: medium-light skin tone</v>
      </c>
      <c r="F2365" t="b">
        <f t="shared" si="221"/>
        <v>1</v>
      </c>
      <c r="G2365" t="str">
        <f t="shared" si="217"/>
        <v>1F64D</v>
      </c>
      <c r="I2365">
        <f>HEX2DEC(Table1[[#This Row],[utf8]])</f>
        <v>128589</v>
      </c>
      <c r="J2365" t="str">
        <f>_xlfn.UNICHAR(HEX2DEC(Table1[[#This Row],[utf8]]))</f>
        <v>🙍</v>
      </c>
      <c r="K2365" s="3" t="str" cm="1">
        <f t="array" ref="K2365">"Case "&amp;wRandomLetter()&amp;wRandomLetter()&amp;I2365&amp;":    UniConst = ChrW(" &amp; I2365 &amp;")"</f>
        <v>Case So128589:    UniConst = ChrW(128589)</v>
      </c>
    </row>
    <row r="2366" spans="1:11" hidden="1">
      <c r="A2366" t="s">
        <v>644</v>
      </c>
      <c r="B2366" t="str">
        <f t="shared" si="218"/>
        <v>1F64D 1F3FD ; fully-qualified # 🙍🏽 E1.0 person frowning: medium skin tone</v>
      </c>
      <c r="C2366" t="str">
        <f t="shared" si="219"/>
        <v xml:space="preserve">1F64D 1F3FD </v>
      </c>
      <c r="D2366">
        <f t="shared" si="220"/>
        <v>12</v>
      </c>
      <c r="E2366" t="str">
        <f t="shared" si="216"/>
        <v xml:space="preserve"> 🙍🏽 E1.0 person frowning: medium skin tone</v>
      </c>
      <c r="F2366" t="b">
        <f t="shared" si="221"/>
        <v>1</v>
      </c>
      <c r="G2366" t="str">
        <f t="shared" si="217"/>
        <v>1F64D</v>
      </c>
      <c r="I2366">
        <f>HEX2DEC(Table1[[#This Row],[utf8]])</f>
        <v>128589</v>
      </c>
      <c r="J2366" t="str">
        <f>_xlfn.UNICHAR(HEX2DEC(Table1[[#This Row],[utf8]]))</f>
        <v>🙍</v>
      </c>
      <c r="K2366" s="3" t="str" cm="1">
        <f t="array" ref="K2366">"Case "&amp;wRandomLetter()&amp;wRandomLetter()&amp;I2366&amp;":    UniConst = ChrW(" &amp; I2366 &amp;")"</f>
        <v>Case cT128589:    UniConst = ChrW(128589)</v>
      </c>
    </row>
    <row r="2367" spans="1:11" hidden="1">
      <c r="A2367" t="s">
        <v>666</v>
      </c>
      <c r="B2367" t="str">
        <f t="shared" si="218"/>
        <v>1F64D 1F3FD 200D 2640 ; minimally-qualified # 🙍🏽‍♀ E4.0 woman frowning: medium skin tone</v>
      </c>
      <c r="C2367" t="str">
        <f t="shared" si="219"/>
        <v xml:space="preserve">1F64D 1F3FD 200D 2640 </v>
      </c>
      <c r="D2367">
        <f t="shared" si="220"/>
        <v>22</v>
      </c>
      <c r="E2367" t="str">
        <f t="shared" si="216"/>
        <v xml:space="preserve"> 🙍🏽‍♀ E4.0 woman frowning: medium skin tone</v>
      </c>
      <c r="F2367" t="b">
        <f t="shared" si="221"/>
        <v>1</v>
      </c>
      <c r="G2367" t="str">
        <f t="shared" si="217"/>
        <v>1F64D</v>
      </c>
      <c r="I2367">
        <f>HEX2DEC(Table1[[#This Row],[utf8]])</f>
        <v>128589</v>
      </c>
      <c r="J2367" t="str">
        <f>_xlfn.UNICHAR(HEX2DEC(Table1[[#This Row],[utf8]]))</f>
        <v>🙍</v>
      </c>
      <c r="K2367" s="3" t="str" cm="1">
        <f t="array" ref="K2367">"Case "&amp;wRandomLetter()&amp;wRandomLetter()&amp;I2367&amp;":    UniConst = ChrW(" &amp; I2367 &amp;")"</f>
        <v>Case Oy128589:    UniConst = ChrW(128589)</v>
      </c>
    </row>
    <row r="2368" spans="1:11" hidden="1">
      <c r="A2368" t="s">
        <v>665</v>
      </c>
      <c r="B2368" t="str">
        <f t="shared" si="218"/>
        <v>1F64D 1F3FD 200D 2640 FE0F ; fully-qualified # 🙍🏽‍♀️ E4.0 woman frowning: medium skin tone</v>
      </c>
      <c r="C2368" t="str">
        <f t="shared" si="219"/>
        <v xml:space="preserve">1F64D 1F3FD 200D 2640 FE0F </v>
      </c>
      <c r="D2368">
        <f t="shared" si="220"/>
        <v>27</v>
      </c>
      <c r="E2368" t="str">
        <f t="shared" si="216"/>
        <v xml:space="preserve"> 🙍🏽‍♀️ E4.0 woman frowning: medium skin tone</v>
      </c>
      <c r="F2368" t="b">
        <f t="shared" si="221"/>
        <v>1</v>
      </c>
      <c r="G2368" t="str">
        <f t="shared" si="217"/>
        <v>1F64D</v>
      </c>
      <c r="I2368">
        <f>HEX2DEC(Table1[[#This Row],[utf8]])</f>
        <v>128589</v>
      </c>
      <c r="J2368" t="str">
        <f>_xlfn.UNICHAR(HEX2DEC(Table1[[#This Row],[utf8]]))</f>
        <v>🙍</v>
      </c>
      <c r="K2368" s="3" t="str" cm="1">
        <f t="array" ref="K2368">"Case "&amp;wRandomLetter()&amp;wRandomLetter()&amp;I2368&amp;":    UniConst = ChrW(" &amp; I2368 &amp;")"</f>
        <v>Case Dp128589:    UniConst = ChrW(128589)</v>
      </c>
    </row>
    <row r="2369" spans="1:11" hidden="1">
      <c r="A2369" t="s">
        <v>654</v>
      </c>
      <c r="B2369" t="str">
        <f t="shared" si="218"/>
        <v>1F64D 1F3FD 200D 2642 ; minimally-qualified # 🙍🏽‍♂ E4.0 man frowning: medium skin tone</v>
      </c>
      <c r="C2369" t="str">
        <f t="shared" si="219"/>
        <v xml:space="preserve">1F64D 1F3FD 200D 2642 </v>
      </c>
      <c r="D2369">
        <f t="shared" si="220"/>
        <v>22</v>
      </c>
      <c r="E2369" t="str">
        <f t="shared" si="216"/>
        <v xml:space="preserve"> 🙍🏽‍♂ E4.0 man frowning: medium skin tone</v>
      </c>
      <c r="F2369" t="b">
        <f t="shared" si="221"/>
        <v>1</v>
      </c>
      <c r="G2369" t="str">
        <f t="shared" si="217"/>
        <v>1F64D</v>
      </c>
      <c r="I2369">
        <f>HEX2DEC(Table1[[#This Row],[utf8]])</f>
        <v>128589</v>
      </c>
      <c r="J2369" t="str">
        <f>_xlfn.UNICHAR(HEX2DEC(Table1[[#This Row],[utf8]]))</f>
        <v>🙍</v>
      </c>
      <c r="K2369" s="3" t="str" cm="1">
        <f t="array" ref="K2369">"Case "&amp;wRandomLetter()&amp;wRandomLetter()&amp;I2369&amp;":    UniConst = ChrW(" &amp; I2369 &amp;")"</f>
        <v>Case mN128589:    UniConst = ChrW(128589)</v>
      </c>
    </row>
    <row r="2370" spans="1:11" hidden="1">
      <c r="A2370" t="s">
        <v>653</v>
      </c>
      <c r="B2370" t="str">
        <f t="shared" si="218"/>
        <v>1F64D 1F3FD 200D 2642 FE0F ; fully-qualified # 🙍🏽‍♂️ E4.0 man frowning: medium skin tone</v>
      </c>
      <c r="C2370" t="str">
        <f t="shared" si="219"/>
        <v xml:space="preserve">1F64D 1F3FD 200D 2642 FE0F </v>
      </c>
      <c r="D2370">
        <f t="shared" si="220"/>
        <v>27</v>
      </c>
      <c r="E2370" t="str">
        <f t="shared" ref="E2370:E2433" si="222">MID(A2370,FIND("#",A2370)+1,256)</f>
        <v xml:space="preserve"> 🙍🏽‍♂️ E4.0 man frowning: medium skin tone</v>
      </c>
      <c r="F2370" t="b">
        <f t="shared" si="221"/>
        <v>1</v>
      </c>
      <c r="G2370" t="str">
        <f t="shared" ref="G2370:G2433" si="223">LEFT(C2370,(FIND(" ",C2370,1)-1))</f>
        <v>1F64D</v>
      </c>
      <c r="I2370">
        <f>HEX2DEC(Table1[[#This Row],[utf8]])</f>
        <v>128589</v>
      </c>
      <c r="J2370" t="str">
        <f>_xlfn.UNICHAR(HEX2DEC(Table1[[#This Row],[utf8]]))</f>
        <v>🙍</v>
      </c>
      <c r="K2370" s="3" t="str" cm="1">
        <f t="array" ref="K2370">"Case "&amp;wRandomLetter()&amp;wRandomLetter()&amp;I2370&amp;":    UniConst = ChrW(" &amp; I2370 &amp;")"</f>
        <v>Case Bd128589:    UniConst = ChrW(128589)</v>
      </c>
    </row>
    <row r="2371" spans="1:11" hidden="1">
      <c r="A2371" t="s">
        <v>645</v>
      </c>
      <c r="B2371" t="str">
        <f t="shared" ref="B2371:B2434" si="224">TRIM(A2371)</f>
        <v>1F64D 1F3FE ; fully-qualified # 🙍🏾 E1.0 person frowning: medium-dark skin tone</v>
      </c>
      <c r="C2371" t="str">
        <f t="shared" ref="C2371:C2434" si="225">LEFT(B2371,(FIND(";",B2371,1)-1))</f>
        <v xml:space="preserve">1F64D 1F3FE </v>
      </c>
      <c r="D2371">
        <f t="shared" ref="D2371:D2434" si="226">LEN(C2371)</f>
        <v>12</v>
      </c>
      <c r="E2371" t="str">
        <f t="shared" si="222"/>
        <v xml:space="preserve"> 🙍🏾 E1.0 person frowning: medium-dark skin tone</v>
      </c>
      <c r="F2371" t="b">
        <f t="shared" ref="F2371:F2434" si="227">IF(LEFT(C2371,2)="1F",TRUE,FALSE)</f>
        <v>1</v>
      </c>
      <c r="G2371" t="str">
        <f t="shared" si="223"/>
        <v>1F64D</v>
      </c>
      <c r="I2371">
        <f>HEX2DEC(Table1[[#This Row],[utf8]])</f>
        <v>128589</v>
      </c>
      <c r="J2371" t="str">
        <f>_xlfn.UNICHAR(HEX2DEC(Table1[[#This Row],[utf8]]))</f>
        <v>🙍</v>
      </c>
      <c r="K2371" s="3" t="str" cm="1">
        <f t="array" ref="K2371">"Case "&amp;wRandomLetter()&amp;wRandomLetter()&amp;I2371&amp;":    UniConst = ChrW(" &amp; I2371 &amp;")"</f>
        <v>Case UZ128589:    UniConst = ChrW(128589)</v>
      </c>
    </row>
    <row r="2372" spans="1:11" hidden="1">
      <c r="A2372" t="s">
        <v>668</v>
      </c>
      <c r="B2372" t="str">
        <f t="shared" si="224"/>
        <v>1F64D 1F3FE 200D 2640 ; minimally-qualified # 🙍🏾‍♀ E4.0 woman frowning: medium-dark skin tone</v>
      </c>
      <c r="C2372" t="str">
        <f t="shared" si="225"/>
        <v xml:space="preserve">1F64D 1F3FE 200D 2640 </v>
      </c>
      <c r="D2372">
        <f t="shared" si="226"/>
        <v>22</v>
      </c>
      <c r="E2372" t="str">
        <f t="shared" si="222"/>
        <v xml:space="preserve"> 🙍🏾‍♀ E4.0 woman frowning: medium-dark skin tone</v>
      </c>
      <c r="F2372" t="b">
        <f t="shared" si="227"/>
        <v>1</v>
      </c>
      <c r="G2372" t="str">
        <f t="shared" si="223"/>
        <v>1F64D</v>
      </c>
      <c r="I2372">
        <f>HEX2DEC(Table1[[#This Row],[utf8]])</f>
        <v>128589</v>
      </c>
      <c r="J2372" t="str">
        <f>_xlfn.UNICHAR(HEX2DEC(Table1[[#This Row],[utf8]]))</f>
        <v>🙍</v>
      </c>
      <c r="K2372" s="3" t="str" cm="1">
        <f t="array" ref="K2372">"Case "&amp;wRandomLetter()&amp;wRandomLetter()&amp;I2372&amp;":    UniConst = ChrW(" &amp; I2372 &amp;")"</f>
        <v>Case gt128589:    UniConst = ChrW(128589)</v>
      </c>
    </row>
    <row r="2373" spans="1:11" hidden="1">
      <c r="A2373" t="s">
        <v>667</v>
      </c>
      <c r="B2373" t="str">
        <f t="shared" si="224"/>
        <v>1F64D 1F3FE 200D 2640 FE0F ; fully-qualified # 🙍🏾‍♀️ E4.0 woman frowning: medium-dark skin tone</v>
      </c>
      <c r="C2373" t="str">
        <f t="shared" si="225"/>
        <v xml:space="preserve">1F64D 1F3FE 200D 2640 FE0F </v>
      </c>
      <c r="D2373">
        <f t="shared" si="226"/>
        <v>27</v>
      </c>
      <c r="E2373" t="str">
        <f t="shared" si="222"/>
        <v xml:space="preserve"> 🙍🏾‍♀️ E4.0 woman frowning: medium-dark skin tone</v>
      </c>
      <c r="F2373" t="b">
        <f t="shared" si="227"/>
        <v>1</v>
      </c>
      <c r="G2373" t="str">
        <f t="shared" si="223"/>
        <v>1F64D</v>
      </c>
      <c r="I2373">
        <f>HEX2DEC(Table1[[#This Row],[utf8]])</f>
        <v>128589</v>
      </c>
      <c r="J2373" t="str">
        <f>_xlfn.UNICHAR(HEX2DEC(Table1[[#This Row],[utf8]]))</f>
        <v>🙍</v>
      </c>
      <c r="K2373" s="3" t="str" cm="1">
        <f t="array" ref="K2373">"Case "&amp;wRandomLetter()&amp;wRandomLetter()&amp;I2373&amp;":    UniConst = ChrW(" &amp; I2373 &amp;")"</f>
        <v>Case ad128589:    UniConst = ChrW(128589)</v>
      </c>
    </row>
    <row r="2374" spans="1:11" hidden="1">
      <c r="A2374" t="s">
        <v>656</v>
      </c>
      <c r="B2374" t="str">
        <f t="shared" si="224"/>
        <v>1F64D 1F3FE 200D 2642 ; minimally-qualified # 🙍🏾‍♂ E4.0 man frowning: medium-dark skin tone</v>
      </c>
      <c r="C2374" t="str">
        <f t="shared" si="225"/>
        <v xml:space="preserve">1F64D 1F3FE 200D 2642 </v>
      </c>
      <c r="D2374">
        <f t="shared" si="226"/>
        <v>22</v>
      </c>
      <c r="E2374" t="str">
        <f t="shared" si="222"/>
        <v xml:space="preserve"> 🙍🏾‍♂ E4.0 man frowning: medium-dark skin tone</v>
      </c>
      <c r="F2374" t="b">
        <f t="shared" si="227"/>
        <v>1</v>
      </c>
      <c r="G2374" t="str">
        <f t="shared" si="223"/>
        <v>1F64D</v>
      </c>
      <c r="I2374">
        <f>HEX2DEC(Table1[[#This Row],[utf8]])</f>
        <v>128589</v>
      </c>
      <c r="J2374" t="str">
        <f>_xlfn.UNICHAR(HEX2DEC(Table1[[#This Row],[utf8]]))</f>
        <v>🙍</v>
      </c>
      <c r="K2374" s="3" t="str" cm="1">
        <f t="array" ref="K2374">"Case "&amp;wRandomLetter()&amp;wRandomLetter()&amp;I2374&amp;":    UniConst = ChrW(" &amp; I2374 &amp;")"</f>
        <v>Case EO128589:    UniConst = ChrW(128589)</v>
      </c>
    </row>
    <row r="2375" spans="1:11" hidden="1">
      <c r="A2375" t="s">
        <v>655</v>
      </c>
      <c r="B2375" t="str">
        <f t="shared" si="224"/>
        <v>1F64D 1F3FE 200D 2642 FE0F ; fully-qualified # 🙍🏾‍♂️ E4.0 man frowning: medium-dark skin tone</v>
      </c>
      <c r="C2375" t="str">
        <f t="shared" si="225"/>
        <v xml:space="preserve">1F64D 1F3FE 200D 2642 FE0F </v>
      </c>
      <c r="D2375">
        <f t="shared" si="226"/>
        <v>27</v>
      </c>
      <c r="E2375" t="str">
        <f t="shared" si="222"/>
        <v xml:space="preserve"> 🙍🏾‍♂️ E4.0 man frowning: medium-dark skin tone</v>
      </c>
      <c r="F2375" t="b">
        <f t="shared" si="227"/>
        <v>1</v>
      </c>
      <c r="G2375" t="str">
        <f t="shared" si="223"/>
        <v>1F64D</v>
      </c>
      <c r="I2375">
        <f>HEX2DEC(Table1[[#This Row],[utf8]])</f>
        <v>128589</v>
      </c>
      <c r="J2375" t="str">
        <f>_xlfn.UNICHAR(HEX2DEC(Table1[[#This Row],[utf8]]))</f>
        <v>🙍</v>
      </c>
      <c r="K2375" s="3" t="str" cm="1">
        <f t="array" ref="K2375">"Case "&amp;wRandomLetter()&amp;wRandomLetter()&amp;I2375&amp;":    UniConst = ChrW(" &amp; I2375 &amp;")"</f>
        <v>Case Bd128589:    UniConst = ChrW(128589)</v>
      </c>
    </row>
    <row r="2376" spans="1:11" hidden="1">
      <c r="A2376" t="s">
        <v>646</v>
      </c>
      <c r="B2376" t="str">
        <f t="shared" si="224"/>
        <v>1F64D 1F3FF ; fully-qualified # 🙍🏿 E1.0 person frowning: dark skin tone</v>
      </c>
      <c r="C2376" t="str">
        <f t="shared" si="225"/>
        <v xml:space="preserve">1F64D 1F3FF </v>
      </c>
      <c r="D2376">
        <f t="shared" si="226"/>
        <v>12</v>
      </c>
      <c r="E2376" t="str">
        <f t="shared" si="222"/>
        <v xml:space="preserve"> 🙍🏿 E1.0 person frowning: dark skin tone</v>
      </c>
      <c r="F2376" t="b">
        <f t="shared" si="227"/>
        <v>1</v>
      </c>
      <c r="G2376" t="str">
        <f t="shared" si="223"/>
        <v>1F64D</v>
      </c>
      <c r="I2376">
        <f>HEX2DEC(Table1[[#This Row],[utf8]])</f>
        <v>128589</v>
      </c>
      <c r="J2376" t="str">
        <f>_xlfn.UNICHAR(HEX2DEC(Table1[[#This Row],[utf8]]))</f>
        <v>🙍</v>
      </c>
      <c r="K2376" s="3" t="str" cm="1">
        <f t="array" ref="K2376">"Case "&amp;wRandomLetter()&amp;wRandomLetter()&amp;I2376&amp;":    UniConst = ChrW(" &amp; I2376 &amp;")"</f>
        <v>Case mc128589:    UniConst = ChrW(128589)</v>
      </c>
    </row>
    <row r="2377" spans="1:11" hidden="1">
      <c r="A2377" t="s">
        <v>670</v>
      </c>
      <c r="B2377" t="str">
        <f t="shared" si="224"/>
        <v>1F64D 1F3FF 200D 2640 ; minimally-qualified # 🙍🏿‍♀ E4.0 woman frowning: dark skin tone</v>
      </c>
      <c r="C2377" t="str">
        <f t="shared" si="225"/>
        <v xml:space="preserve">1F64D 1F3FF 200D 2640 </v>
      </c>
      <c r="D2377">
        <f t="shared" si="226"/>
        <v>22</v>
      </c>
      <c r="E2377" t="str">
        <f t="shared" si="222"/>
        <v xml:space="preserve"> 🙍🏿‍♀ E4.0 woman frowning: dark skin tone</v>
      </c>
      <c r="F2377" t="b">
        <f t="shared" si="227"/>
        <v>1</v>
      </c>
      <c r="G2377" t="str">
        <f t="shared" si="223"/>
        <v>1F64D</v>
      </c>
      <c r="I2377">
        <f>HEX2DEC(Table1[[#This Row],[utf8]])</f>
        <v>128589</v>
      </c>
      <c r="J2377" t="str">
        <f>_xlfn.UNICHAR(HEX2DEC(Table1[[#This Row],[utf8]]))</f>
        <v>🙍</v>
      </c>
      <c r="K2377" s="3" t="str" cm="1">
        <f t="array" ref="K2377">"Case "&amp;wRandomLetter()&amp;wRandomLetter()&amp;I2377&amp;":    UniConst = ChrW(" &amp; I2377 &amp;")"</f>
        <v>Case tk128589:    UniConst = ChrW(128589)</v>
      </c>
    </row>
    <row r="2378" spans="1:11" hidden="1">
      <c r="A2378" t="s">
        <v>669</v>
      </c>
      <c r="B2378" t="str">
        <f t="shared" si="224"/>
        <v>1F64D 1F3FF 200D 2640 FE0F ; fully-qualified # 🙍🏿‍♀️ E4.0 woman frowning: dark skin tone</v>
      </c>
      <c r="C2378" t="str">
        <f t="shared" si="225"/>
        <v xml:space="preserve">1F64D 1F3FF 200D 2640 FE0F </v>
      </c>
      <c r="D2378">
        <f t="shared" si="226"/>
        <v>27</v>
      </c>
      <c r="E2378" t="str">
        <f t="shared" si="222"/>
        <v xml:space="preserve"> 🙍🏿‍♀️ E4.0 woman frowning: dark skin tone</v>
      </c>
      <c r="F2378" t="b">
        <f t="shared" si="227"/>
        <v>1</v>
      </c>
      <c r="G2378" t="str">
        <f t="shared" si="223"/>
        <v>1F64D</v>
      </c>
      <c r="I2378">
        <f>HEX2DEC(Table1[[#This Row],[utf8]])</f>
        <v>128589</v>
      </c>
      <c r="J2378" t="str">
        <f>_xlfn.UNICHAR(HEX2DEC(Table1[[#This Row],[utf8]]))</f>
        <v>🙍</v>
      </c>
      <c r="K2378" s="3" t="str" cm="1">
        <f t="array" ref="K2378">"Case "&amp;wRandomLetter()&amp;wRandomLetter()&amp;I2378&amp;":    UniConst = ChrW(" &amp; I2378 &amp;")"</f>
        <v>Case PM128589:    UniConst = ChrW(128589)</v>
      </c>
    </row>
    <row r="2379" spans="1:11" hidden="1">
      <c r="A2379" t="s">
        <v>658</v>
      </c>
      <c r="B2379" t="str">
        <f t="shared" si="224"/>
        <v>1F64D 1F3FF 200D 2642 ; minimally-qualified # 🙍🏿‍♂ E4.0 man frowning: dark skin tone</v>
      </c>
      <c r="C2379" t="str">
        <f t="shared" si="225"/>
        <v xml:space="preserve">1F64D 1F3FF 200D 2642 </v>
      </c>
      <c r="D2379">
        <f t="shared" si="226"/>
        <v>22</v>
      </c>
      <c r="E2379" t="str">
        <f t="shared" si="222"/>
        <v xml:space="preserve"> 🙍🏿‍♂ E4.0 man frowning: dark skin tone</v>
      </c>
      <c r="F2379" t="b">
        <f t="shared" si="227"/>
        <v>1</v>
      </c>
      <c r="G2379" t="str">
        <f t="shared" si="223"/>
        <v>1F64D</v>
      </c>
      <c r="I2379">
        <f>HEX2DEC(Table1[[#This Row],[utf8]])</f>
        <v>128589</v>
      </c>
      <c r="J2379" t="str">
        <f>_xlfn.UNICHAR(HEX2DEC(Table1[[#This Row],[utf8]]))</f>
        <v>🙍</v>
      </c>
      <c r="K2379" s="3" t="str" cm="1">
        <f t="array" ref="K2379">"Case "&amp;wRandomLetter()&amp;wRandomLetter()&amp;I2379&amp;":    UniConst = ChrW(" &amp; I2379 &amp;")"</f>
        <v>Case Ce128589:    UniConst = ChrW(128589)</v>
      </c>
    </row>
    <row r="2380" spans="1:11" hidden="1">
      <c r="A2380" t="s">
        <v>657</v>
      </c>
      <c r="B2380" t="str">
        <f t="shared" si="224"/>
        <v>1F64D 1F3FF 200D 2642 FE0F ; fully-qualified # 🙍🏿‍♂️ E4.0 man frowning: dark skin tone</v>
      </c>
      <c r="C2380" t="str">
        <f t="shared" si="225"/>
        <v xml:space="preserve">1F64D 1F3FF 200D 2642 FE0F </v>
      </c>
      <c r="D2380">
        <f t="shared" si="226"/>
        <v>27</v>
      </c>
      <c r="E2380" t="str">
        <f t="shared" si="222"/>
        <v xml:space="preserve"> 🙍🏿‍♂️ E4.0 man frowning: dark skin tone</v>
      </c>
      <c r="F2380" t="b">
        <f t="shared" si="227"/>
        <v>1</v>
      </c>
      <c r="G2380" t="str">
        <f t="shared" si="223"/>
        <v>1F64D</v>
      </c>
      <c r="I2380">
        <f>HEX2DEC(Table1[[#This Row],[utf8]])</f>
        <v>128589</v>
      </c>
      <c r="J2380" t="str">
        <f>_xlfn.UNICHAR(HEX2DEC(Table1[[#This Row],[utf8]]))</f>
        <v>🙍</v>
      </c>
      <c r="K2380" s="3" t="str" cm="1">
        <f t="array" ref="K2380">"Case "&amp;wRandomLetter()&amp;wRandomLetter()&amp;I2380&amp;":    UniConst = ChrW(" &amp; I2380 &amp;")"</f>
        <v>Case lb128589:    UniConst = ChrW(128589)</v>
      </c>
    </row>
    <row r="2381" spans="1:11" hidden="1">
      <c r="A2381" t="s">
        <v>660</v>
      </c>
      <c r="B2381" t="str">
        <f t="shared" si="224"/>
        <v>1F64D 200D 2640 ; minimally-qualified # 🙍‍♀ E4.0 woman frowning</v>
      </c>
      <c r="C2381" t="str">
        <f t="shared" si="225"/>
        <v xml:space="preserve">1F64D 200D 2640 </v>
      </c>
      <c r="D2381">
        <f t="shared" si="226"/>
        <v>16</v>
      </c>
      <c r="E2381" t="str">
        <f t="shared" si="222"/>
        <v xml:space="preserve"> 🙍‍♀ E4.0 woman frowning</v>
      </c>
      <c r="F2381" t="b">
        <f t="shared" si="227"/>
        <v>1</v>
      </c>
      <c r="G2381" t="str">
        <f t="shared" si="223"/>
        <v>1F64D</v>
      </c>
      <c r="I2381">
        <f>HEX2DEC(Table1[[#This Row],[utf8]])</f>
        <v>128589</v>
      </c>
      <c r="J2381" t="str">
        <f>_xlfn.UNICHAR(HEX2DEC(Table1[[#This Row],[utf8]]))</f>
        <v>🙍</v>
      </c>
      <c r="K2381" s="3" t="str" cm="1">
        <f t="array" ref="K2381">"Case "&amp;wRandomLetter()&amp;wRandomLetter()&amp;I2381&amp;":    UniConst = ChrW(" &amp; I2381 &amp;")"</f>
        <v>Case so128589:    UniConst = ChrW(128589)</v>
      </c>
    </row>
    <row r="2382" spans="1:11" hidden="1">
      <c r="A2382" t="s">
        <v>659</v>
      </c>
      <c r="B2382" t="str">
        <f t="shared" si="224"/>
        <v>1F64D 200D 2640 FE0F ; fully-qualified # 🙍‍♀️ E4.0 woman frowning</v>
      </c>
      <c r="C2382" t="str">
        <f t="shared" si="225"/>
        <v xml:space="preserve">1F64D 200D 2640 FE0F </v>
      </c>
      <c r="D2382">
        <f t="shared" si="226"/>
        <v>21</v>
      </c>
      <c r="E2382" t="str">
        <f t="shared" si="222"/>
        <v xml:space="preserve"> 🙍‍♀️ E4.0 woman frowning</v>
      </c>
      <c r="F2382" t="b">
        <f t="shared" si="227"/>
        <v>1</v>
      </c>
      <c r="G2382" t="str">
        <f t="shared" si="223"/>
        <v>1F64D</v>
      </c>
      <c r="I2382">
        <f>HEX2DEC(Table1[[#This Row],[utf8]])</f>
        <v>128589</v>
      </c>
      <c r="J2382" t="str">
        <f>_xlfn.UNICHAR(HEX2DEC(Table1[[#This Row],[utf8]]))</f>
        <v>🙍</v>
      </c>
      <c r="K2382" s="3" t="str" cm="1">
        <f t="array" ref="K2382">"Case "&amp;wRandomLetter()&amp;wRandomLetter()&amp;I2382&amp;":    UniConst = ChrW(" &amp; I2382 &amp;")"</f>
        <v>Case au128589:    UniConst = ChrW(128589)</v>
      </c>
    </row>
    <row r="2383" spans="1:11" hidden="1">
      <c r="A2383" t="s">
        <v>648</v>
      </c>
      <c r="B2383" t="str">
        <f t="shared" si="224"/>
        <v>1F64D 200D 2642 ; minimally-qualified # 🙍‍♂ E4.0 man frowning</v>
      </c>
      <c r="C2383" t="str">
        <f t="shared" si="225"/>
        <v xml:space="preserve">1F64D 200D 2642 </v>
      </c>
      <c r="D2383">
        <f t="shared" si="226"/>
        <v>16</v>
      </c>
      <c r="E2383" t="str">
        <f t="shared" si="222"/>
        <v xml:space="preserve"> 🙍‍♂ E4.0 man frowning</v>
      </c>
      <c r="F2383" t="b">
        <f t="shared" si="227"/>
        <v>1</v>
      </c>
      <c r="G2383" t="str">
        <f t="shared" si="223"/>
        <v>1F64D</v>
      </c>
      <c r="I2383">
        <f>HEX2DEC(Table1[[#This Row],[utf8]])</f>
        <v>128589</v>
      </c>
      <c r="J2383" t="str">
        <f>_xlfn.UNICHAR(HEX2DEC(Table1[[#This Row],[utf8]]))</f>
        <v>🙍</v>
      </c>
      <c r="K2383" s="3" t="str" cm="1">
        <f t="array" ref="K2383">"Case "&amp;wRandomLetter()&amp;wRandomLetter()&amp;I2383&amp;":    UniConst = ChrW(" &amp; I2383 &amp;")"</f>
        <v>Case bG128589:    UniConst = ChrW(128589)</v>
      </c>
    </row>
    <row r="2384" spans="1:11" hidden="1">
      <c r="A2384" t="s">
        <v>647</v>
      </c>
      <c r="B2384" t="str">
        <f t="shared" si="224"/>
        <v>1F64D 200D 2642 FE0F ; fully-qualified # 🙍‍♂️ E4.0 man frowning</v>
      </c>
      <c r="C2384" t="str">
        <f t="shared" si="225"/>
        <v xml:space="preserve">1F64D 200D 2642 FE0F </v>
      </c>
      <c r="D2384">
        <f t="shared" si="226"/>
        <v>21</v>
      </c>
      <c r="E2384" t="str">
        <f t="shared" si="222"/>
        <v xml:space="preserve"> 🙍‍♂️ E4.0 man frowning</v>
      </c>
      <c r="F2384" t="b">
        <f t="shared" si="227"/>
        <v>1</v>
      </c>
      <c r="G2384" t="str">
        <f t="shared" si="223"/>
        <v>1F64D</v>
      </c>
      <c r="I2384">
        <f>HEX2DEC(Table1[[#This Row],[utf8]])</f>
        <v>128589</v>
      </c>
      <c r="J2384" t="str">
        <f>_xlfn.UNICHAR(HEX2DEC(Table1[[#This Row],[utf8]]))</f>
        <v>🙍</v>
      </c>
      <c r="K2384" s="3" t="str" cm="1">
        <f t="array" ref="K2384">"Case "&amp;wRandomLetter()&amp;wRandomLetter()&amp;I2384&amp;":    UniConst = ChrW(" &amp; I2384 &amp;")"</f>
        <v>Case EO128589:    UniConst = ChrW(128589)</v>
      </c>
    </row>
    <row r="2385" spans="1:11" hidden="1">
      <c r="A2385" t="s">
        <v>671</v>
      </c>
      <c r="B2385" t="str">
        <f t="shared" si="224"/>
        <v>1F64E ; fully-qualified # 🙎 E0.6 person pouting</v>
      </c>
      <c r="C2385" t="str">
        <f t="shared" si="225"/>
        <v xml:space="preserve">1F64E </v>
      </c>
      <c r="D2385">
        <f t="shared" si="226"/>
        <v>6</v>
      </c>
      <c r="E2385" t="str">
        <f t="shared" si="222"/>
        <v xml:space="preserve"> 🙎 E0.6 person pouting</v>
      </c>
      <c r="F2385" t="b">
        <f t="shared" si="227"/>
        <v>1</v>
      </c>
      <c r="G2385" t="str">
        <f t="shared" si="223"/>
        <v>1F64E</v>
      </c>
      <c r="I2385">
        <f>HEX2DEC(Table1[[#This Row],[utf8]])</f>
        <v>128590</v>
      </c>
      <c r="J2385" t="str">
        <f>_xlfn.UNICHAR(HEX2DEC(Table1[[#This Row],[utf8]]))</f>
        <v>🙎</v>
      </c>
      <c r="K2385" s="3" t="str" cm="1">
        <f t="array" ref="K2385">"Case "&amp;wRandomLetter()&amp;wRandomLetter()&amp;I2385&amp;":    UniConst = ChrW(" &amp; I2385 &amp;")"</f>
        <v>Case eN128590:    UniConst = ChrW(128590)</v>
      </c>
    </row>
    <row r="2386" spans="1:11" hidden="1">
      <c r="A2386" t="s">
        <v>672</v>
      </c>
      <c r="B2386" t="str">
        <f t="shared" si="224"/>
        <v>1F64E 1F3FB ; fully-qualified # 🙎🏻 E1.0 person pouting: light skin tone</v>
      </c>
      <c r="C2386" t="str">
        <f t="shared" si="225"/>
        <v xml:space="preserve">1F64E 1F3FB </v>
      </c>
      <c r="D2386">
        <f t="shared" si="226"/>
        <v>12</v>
      </c>
      <c r="E2386" t="str">
        <f t="shared" si="222"/>
        <v xml:space="preserve"> 🙎🏻 E1.0 person pouting: light skin tone</v>
      </c>
      <c r="F2386" t="b">
        <f t="shared" si="227"/>
        <v>1</v>
      </c>
      <c r="G2386" t="str">
        <f t="shared" si="223"/>
        <v>1F64E</v>
      </c>
      <c r="I2386">
        <f>HEX2DEC(Table1[[#This Row],[utf8]])</f>
        <v>128590</v>
      </c>
      <c r="J2386" t="str">
        <f>_xlfn.UNICHAR(HEX2DEC(Table1[[#This Row],[utf8]]))</f>
        <v>🙎</v>
      </c>
      <c r="K2386" s="3" t="str" cm="1">
        <f t="array" ref="K2386">"Case "&amp;wRandomLetter()&amp;wRandomLetter()&amp;I2386&amp;":    UniConst = ChrW(" &amp; I2386 &amp;")"</f>
        <v>Case Cg128590:    UniConst = ChrW(128590)</v>
      </c>
    </row>
    <row r="2387" spans="1:11" hidden="1">
      <c r="A2387" t="s">
        <v>692</v>
      </c>
      <c r="B2387" t="str">
        <f t="shared" si="224"/>
        <v>1F64E 1F3FB 200D 2640 ; minimally-qualified # 🙎🏻‍♀ E4.0 woman pouting: light skin tone</v>
      </c>
      <c r="C2387" t="str">
        <f t="shared" si="225"/>
        <v xml:space="preserve">1F64E 1F3FB 200D 2640 </v>
      </c>
      <c r="D2387">
        <f t="shared" si="226"/>
        <v>22</v>
      </c>
      <c r="E2387" t="str">
        <f t="shared" si="222"/>
        <v xml:space="preserve"> 🙎🏻‍♀ E4.0 woman pouting: light skin tone</v>
      </c>
      <c r="F2387" t="b">
        <f t="shared" si="227"/>
        <v>1</v>
      </c>
      <c r="G2387" t="str">
        <f t="shared" si="223"/>
        <v>1F64E</v>
      </c>
      <c r="I2387">
        <f>HEX2DEC(Table1[[#This Row],[utf8]])</f>
        <v>128590</v>
      </c>
      <c r="J2387" t="str">
        <f>_xlfn.UNICHAR(HEX2DEC(Table1[[#This Row],[utf8]]))</f>
        <v>🙎</v>
      </c>
      <c r="K2387" s="3" t="str" cm="1">
        <f t="array" ref="K2387">"Case "&amp;wRandomLetter()&amp;wRandomLetter()&amp;I2387&amp;":    UniConst = ChrW(" &amp; I2387 &amp;")"</f>
        <v>Case Mw128590:    UniConst = ChrW(128590)</v>
      </c>
    </row>
    <row r="2388" spans="1:11" hidden="1">
      <c r="A2388" t="s">
        <v>691</v>
      </c>
      <c r="B2388" t="str">
        <f t="shared" si="224"/>
        <v>1F64E 1F3FB 200D 2640 FE0F ; fully-qualified # 🙎🏻‍♀️ E4.0 woman pouting: light skin tone</v>
      </c>
      <c r="C2388" t="str">
        <f t="shared" si="225"/>
        <v xml:space="preserve">1F64E 1F3FB 200D 2640 FE0F </v>
      </c>
      <c r="D2388">
        <f t="shared" si="226"/>
        <v>27</v>
      </c>
      <c r="E2388" t="str">
        <f t="shared" si="222"/>
        <v xml:space="preserve"> 🙎🏻‍♀️ E4.0 woman pouting: light skin tone</v>
      </c>
      <c r="F2388" t="b">
        <f t="shared" si="227"/>
        <v>1</v>
      </c>
      <c r="G2388" t="str">
        <f t="shared" si="223"/>
        <v>1F64E</v>
      </c>
      <c r="I2388">
        <f>HEX2DEC(Table1[[#This Row],[utf8]])</f>
        <v>128590</v>
      </c>
      <c r="J2388" t="str">
        <f>_xlfn.UNICHAR(HEX2DEC(Table1[[#This Row],[utf8]]))</f>
        <v>🙎</v>
      </c>
      <c r="K2388" s="3" t="str" cm="1">
        <f t="array" ref="K2388">"Case "&amp;wRandomLetter()&amp;wRandomLetter()&amp;I2388&amp;":    UniConst = ChrW(" &amp; I2388 &amp;")"</f>
        <v>Case hC128590:    UniConst = ChrW(128590)</v>
      </c>
    </row>
    <row r="2389" spans="1:11" hidden="1">
      <c r="A2389" t="s">
        <v>680</v>
      </c>
      <c r="B2389" t="str">
        <f t="shared" si="224"/>
        <v>1F64E 1F3FB 200D 2642 ; minimally-qualified # 🙎🏻‍♂ E4.0 man pouting: light skin tone</v>
      </c>
      <c r="C2389" t="str">
        <f t="shared" si="225"/>
        <v xml:space="preserve">1F64E 1F3FB 200D 2642 </v>
      </c>
      <c r="D2389">
        <f t="shared" si="226"/>
        <v>22</v>
      </c>
      <c r="E2389" t="str">
        <f t="shared" si="222"/>
        <v xml:space="preserve"> 🙎🏻‍♂ E4.0 man pouting: light skin tone</v>
      </c>
      <c r="F2389" t="b">
        <f t="shared" si="227"/>
        <v>1</v>
      </c>
      <c r="G2389" t="str">
        <f t="shared" si="223"/>
        <v>1F64E</v>
      </c>
      <c r="I2389">
        <f>HEX2DEC(Table1[[#This Row],[utf8]])</f>
        <v>128590</v>
      </c>
      <c r="J2389" t="str">
        <f>_xlfn.UNICHAR(HEX2DEC(Table1[[#This Row],[utf8]]))</f>
        <v>🙎</v>
      </c>
      <c r="K2389" s="3" t="str" cm="1">
        <f t="array" ref="K2389">"Case "&amp;wRandomLetter()&amp;wRandomLetter()&amp;I2389&amp;":    UniConst = ChrW(" &amp; I2389 &amp;")"</f>
        <v>Case nJ128590:    UniConst = ChrW(128590)</v>
      </c>
    </row>
    <row r="2390" spans="1:11" hidden="1">
      <c r="A2390" t="s">
        <v>679</v>
      </c>
      <c r="B2390" t="str">
        <f t="shared" si="224"/>
        <v>1F64E 1F3FB 200D 2642 FE0F ; fully-qualified # 🙎🏻‍♂️ E4.0 man pouting: light skin tone</v>
      </c>
      <c r="C2390" t="str">
        <f t="shared" si="225"/>
        <v xml:space="preserve">1F64E 1F3FB 200D 2642 FE0F </v>
      </c>
      <c r="D2390">
        <f t="shared" si="226"/>
        <v>27</v>
      </c>
      <c r="E2390" t="str">
        <f t="shared" si="222"/>
        <v xml:space="preserve"> 🙎🏻‍♂️ E4.0 man pouting: light skin tone</v>
      </c>
      <c r="F2390" t="b">
        <f t="shared" si="227"/>
        <v>1</v>
      </c>
      <c r="G2390" t="str">
        <f t="shared" si="223"/>
        <v>1F64E</v>
      </c>
      <c r="I2390">
        <f>HEX2DEC(Table1[[#This Row],[utf8]])</f>
        <v>128590</v>
      </c>
      <c r="J2390" t="str">
        <f>_xlfn.UNICHAR(HEX2DEC(Table1[[#This Row],[utf8]]))</f>
        <v>🙎</v>
      </c>
      <c r="K2390" s="3" t="str" cm="1">
        <f t="array" ref="K2390">"Case "&amp;wRandomLetter()&amp;wRandomLetter()&amp;I2390&amp;":    UniConst = ChrW(" &amp; I2390 &amp;")"</f>
        <v>Case pX128590:    UniConst = ChrW(128590)</v>
      </c>
    </row>
    <row r="2391" spans="1:11" hidden="1">
      <c r="A2391" t="s">
        <v>673</v>
      </c>
      <c r="B2391" t="str">
        <f t="shared" si="224"/>
        <v>1F64E 1F3FC ; fully-qualified # 🙎🏼 E1.0 person pouting: medium-light skin tone</v>
      </c>
      <c r="C2391" t="str">
        <f t="shared" si="225"/>
        <v xml:space="preserve">1F64E 1F3FC </v>
      </c>
      <c r="D2391">
        <f t="shared" si="226"/>
        <v>12</v>
      </c>
      <c r="E2391" t="str">
        <f t="shared" si="222"/>
        <v xml:space="preserve"> 🙎🏼 E1.0 person pouting: medium-light skin tone</v>
      </c>
      <c r="F2391" t="b">
        <f t="shared" si="227"/>
        <v>1</v>
      </c>
      <c r="G2391" t="str">
        <f t="shared" si="223"/>
        <v>1F64E</v>
      </c>
      <c r="I2391">
        <f>HEX2DEC(Table1[[#This Row],[utf8]])</f>
        <v>128590</v>
      </c>
      <c r="J2391" t="str">
        <f>_xlfn.UNICHAR(HEX2DEC(Table1[[#This Row],[utf8]]))</f>
        <v>🙎</v>
      </c>
      <c r="K2391" s="3" t="str" cm="1">
        <f t="array" ref="K2391">"Case "&amp;wRandomLetter()&amp;wRandomLetter()&amp;I2391&amp;":    UniConst = ChrW(" &amp; I2391 &amp;")"</f>
        <v>Case iu128590:    UniConst = ChrW(128590)</v>
      </c>
    </row>
    <row r="2392" spans="1:11" hidden="1">
      <c r="A2392" t="s">
        <v>694</v>
      </c>
      <c r="B2392" t="str">
        <f t="shared" si="224"/>
        <v>1F64E 1F3FC 200D 2640 ; minimally-qualified # 🙎🏼‍♀ E4.0 woman pouting: medium-light skin tone</v>
      </c>
      <c r="C2392" t="str">
        <f t="shared" si="225"/>
        <v xml:space="preserve">1F64E 1F3FC 200D 2640 </v>
      </c>
      <c r="D2392">
        <f t="shared" si="226"/>
        <v>22</v>
      </c>
      <c r="E2392" t="str">
        <f t="shared" si="222"/>
        <v xml:space="preserve"> 🙎🏼‍♀ E4.0 woman pouting: medium-light skin tone</v>
      </c>
      <c r="F2392" t="b">
        <f t="shared" si="227"/>
        <v>1</v>
      </c>
      <c r="G2392" t="str">
        <f t="shared" si="223"/>
        <v>1F64E</v>
      </c>
      <c r="I2392">
        <f>HEX2DEC(Table1[[#This Row],[utf8]])</f>
        <v>128590</v>
      </c>
      <c r="J2392" t="str">
        <f>_xlfn.UNICHAR(HEX2DEC(Table1[[#This Row],[utf8]]))</f>
        <v>🙎</v>
      </c>
      <c r="K2392" s="3" t="str" cm="1">
        <f t="array" ref="K2392">"Case "&amp;wRandomLetter()&amp;wRandomLetter()&amp;I2392&amp;":    UniConst = ChrW(" &amp; I2392 &amp;")"</f>
        <v>Case oq128590:    UniConst = ChrW(128590)</v>
      </c>
    </row>
    <row r="2393" spans="1:11" hidden="1">
      <c r="A2393" t="s">
        <v>693</v>
      </c>
      <c r="B2393" t="str">
        <f t="shared" si="224"/>
        <v>1F64E 1F3FC 200D 2640 FE0F ; fully-qualified # 🙎🏼‍♀️ E4.0 woman pouting: medium-light skin tone</v>
      </c>
      <c r="C2393" t="str">
        <f t="shared" si="225"/>
        <v xml:space="preserve">1F64E 1F3FC 200D 2640 FE0F </v>
      </c>
      <c r="D2393">
        <f t="shared" si="226"/>
        <v>27</v>
      </c>
      <c r="E2393" t="str">
        <f t="shared" si="222"/>
        <v xml:space="preserve"> 🙎🏼‍♀️ E4.0 woman pouting: medium-light skin tone</v>
      </c>
      <c r="F2393" t="b">
        <f t="shared" si="227"/>
        <v>1</v>
      </c>
      <c r="G2393" t="str">
        <f t="shared" si="223"/>
        <v>1F64E</v>
      </c>
      <c r="I2393">
        <f>HEX2DEC(Table1[[#This Row],[utf8]])</f>
        <v>128590</v>
      </c>
      <c r="J2393" t="str">
        <f>_xlfn.UNICHAR(HEX2DEC(Table1[[#This Row],[utf8]]))</f>
        <v>🙎</v>
      </c>
      <c r="K2393" s="3" t="str" cm="1">
        <f t="array" ref="K2393">"Case "&amp;wRandomLetter()&amp;wRandomLetter()&amp;I2393&amp;":    UniConst = ChrW(" &amp; I2393 &amp;")"</f>
        <v>Case cm128590:    UniConst = ChrW(128590)</v>
      </c>
    </row>
    <row r="2394" spans="1:11" hidden="1">
      <c r="A2394" t="s">
        <v>682</v>
      </c>
      <c r="B2394" t="str">
        <f t="shared" si="224"/>
        <v>1F64E 1F3FC 200D 2642 ; minimally-qualified # 🙎🏼‍♂ E4.0 man pouting: medium-light skin tone</v>
      </c>
      <c r="C2394" t="str">
        <f t="shared" si="225"/>
        <v xml:space="preserve">1F64E 1F3FC 200D 2642 </v>
      </c>
      <c r="D2394">
        <f t="shared" si="226"/>
        <v>22</v>
      </c>
      <c r="E2394" t="str">
        <f t="shared" si="222"/>
        <v xml:space="preserve"> 🙎🏼‍♂ E4.0 man pouting: medium-light skin tone</v>
      </c>
      <c r="F2394" t="b">
        <f t="shared" si="227"/>
        <v>1</v>
      </c>
      <c r="G2394" t="str">
        <f t="shared" si="223"/>
        <v>1F64E</v>
      </c>
      <c r="I2394">
        <f>HEX2DEC(Table1[[#This Row],[utf8]])</f>
        <v>128590</v>
      </c>
      <c r="J2394" t="str">
        <f>_xlfn.UNICHAR(HEX2DEC(Table1[[#This Row],[utf8]]))</f>
        <v>🙎</v>
      </c>
      <c r="K2394" s="3" t="str" cm="1">
        <f t="array" ref="K2394">"Case "&amp;wRandomLetter()&amp;wRandomLetter()&amp;I2394&amp;":    UniConst = ChrW(" &amp; I2394 &amp;")"</f>
        <v>Case tV128590:    UniConst = ChrW(128590)</v>
      </c>
    </row>
    <row r="2395" spans="1:11" hidden="1">
      <c r="A2395" t="s">
        <v>681</v>
      </c>
      <c r="B2395" t="str">
        <f t="shared" si="224"/>
        <v>1F64E 1F3FC 200D 2642 FE0F ; fully-qualified # 🙎🏼‍♂️ E4.0 man pouting: medium-light skin tone</v>
      </c>
      <c r="C2395" t="str">
        <f t="shared" si="225"/>
        <v xml:space="preserve">1F64E 1F3FC 200D 2642 FE0F </v>
      </c>
      <c r="D2395">
        <f t="shared" si="226"/>
        <v>27</v>
      </c>
      <c r="E2395" t="str">
        <f t="shared" si="222"/>
        <v xml:space="preserve"> 🙎🏼‍♂️ E4.0 man pouting: medium-light skin tone</v>
      </c>
      <c r="F2395" t="b">
        <f t="shared" si="227"/>
        <v>1</v>
      </c>
      <c r="G2395" t="str">
        <f t="shared" si="223"/>
        <v>1F64E</v>
      </c>
      <c r="I2395">
        <f>HEX2DEC(Table1[[#This Row],[utf8]])</f>
        <v>128590</v>
      </c>
      <c r="J2395" t="str">
        <f>_xlfn.UNICHAR(HEX2DEC(Table1[[#This Row],[utf8]]))</f>
        <v>🙎</v>
      </c>
      <c r="K2395" s="3" t="str" cm="1">
        <f t="array" ref="K2395">"Case "&amp;wRandomLetter()&amp;wRandomLetter()&amp;I2395&amp;":    UniConst = ChrW(" &amp; I2395 &amp;")"</f>
        <v>Case hT128590:    UniConst = ChrW(128590)</v>
      </c>
    </row>
    <row r="2396" spans="1:11" hidden="1">
      <c r="A2396" t="s">
        <v>674</v>
      </c>
      <c r="B2396" t="str">
        <f t="shared" si="224"/>
        <v>1F64E 1F3FD ; fully-qualified # 🙎🏽 E1.0 person pouting: medium skin tone</v>
      </c>
      <c r="C2396" t="str">
        <f t="shared" si="225"/>
        <v xml:space="preserve">1F64E 1F3FD </v>
      </c>
      <c r="D2396">
        <f t="shared" si="226"/>
        <v>12</v>
      </c>
      <c r="E2396" t="str">
        <f t="shared" si="222"/>
        <v xml:space="preserve"> 🙎🏽 E1.0 person pouting: medium skin tone</v>
      </c>
      <c r="F2396" t="b">
        <f t="shared" si="227"/>
        <v>1</v>
      </c>
      <c r="G2396" t="str">
        <f t="shared" si="223"/>
        <v>1F64E</v>
      </c>
      <c r="I2396">
        <f>HEX2DEC(Table1[[#This Row],[utf8]])</f>
        <v>128590</v>
      </c>
      <c r="J2396" t="str">
        <f>_xlfn.UNICHAR(HEX2DEC(Table1[[#This Row],[utf8]]))</f>
        <v>🙎</v>
      </c>
      <c r="K2396" s="3" t="str" cm="1">
        <f t="array" ref="K2396">"Case "&amp;wRandomLetter()&amp;wRandomLetter()&amp;I2396&amp;":    UniConst = ChrW(" &amp; I2396 &amp;")"</f>
        <v>Case aq128590:    UniConst = ChrW(128590)</v>
      </c>
    </row>
    <row r="2397" spans="1:11" hidden="1">
      <c r="A2397" t="s">
        <v>696</v>
      </c>
      <c r="B2397" t="str">
        <f t="shared" si="224"/>
        <v>1F64E 1F3FD 200D 2640 ; minimally-qualified # 🙎🏽‍♀ E4.0 woman pouting: medium skin tone</v>
      </c>
      <c r="C2397" t="str">
        <f t="shared" si="225"/>
        <v xml:space="preserve">1F64E 1F3FD 200D 2640 </v>
      </c>
      <c r="D2397">
        <f t="shared" si="226"/>
        <v>22</v>
      </c>
      <c r="E2397" t="str">
        <f t="shared" si="222"/>
        <v xml:space="preserve"> 🙎🏽‍♀ E4.0 woman pouting: medium skin tone</v>
      </c>
      <c r="F2397" t="b">
        <f t="shared" si="227"/>
        <v>1</v>
      </c>
      <c r="G2397" t="str">
        <f t="shared" si="223"/>
        <v>1F64E</v>
      </c>
      <c r="I2397">
        <f>HEX2DEC(Table1[[#This Row],[utf8]])</f>
        <v>128590</v>
      </c>
      <c r="J2397" t="str">
        <f>_xlfn.UNICHAR(HEX2DEC(Table1[[#This Row],[utf8]]))</f>
        <v>🙎</v>
      </c>
      <c r="K2397" s="3" t="str" cm="1">
        <f t="array" ref="K2397">"Case "&amp;wRandomLetter()&amp;wRandomLetter()&amp;I2397&amp;":    UniConst = ChrW(" &amp; I2397 &amp;")"</f>
        <v>Case vR128590:    UniConst = ChrW(128590)</v>
      </c>
    </row>
    <row r="2398" spans="1:11" hidden="1">
      <c r="A2398" t="s">
        <v>695</v>
      </c>
      <c r="B2398" t="str">
        <f t="shared" si="224"/>
        <v>1F64E 1F3FD 200D 2640 FE0F ; fully-qualified # 🙎🏽‍♀️ E4.0 woman pouting: medium skin tone</v>
      </c>
      <c r="C2398" t="str">
        <f t="shared" si="225"/>
        <v xml:space="preserve">1F64E 1F3FD 200D 2640 FE0F </v>
      </c>
      <c r="D2398">
        <f t="shared" si="226"/>
        <v>27</v>
      </c>
      <c r="E2398" t="str">
        <f t="shared" si="222"/>
        <v xml:space="preserve"> 🙎🏽‍♀️ E4.0 woman pouting: medium skin tone</v>
      </c>
      <c r="F2398" t="b">
        <f t="shared" si="227"/>
        <v>1</v>
      </c>
      <c r="G2398" t="str">
        <f t="shared" si="223"/>
        <v>1F64E</v>
      </c>
      <c r="I2398">
        <f>HEX2DEC(Table1[[#This Row],[utf8]])</f>
        <v>128590</v>
      </c>
      <c r="J2398" t="str">
        <f>_xlfn.UNICHAR(HEX2DEC(Table1[[#This Row],[utf8]]))</f>
        <v>🙎</v>
      </c>
      <c r="K2398" s="3" t="str" cm="1">
        <f t="array" ref="K2398">"Case "&amp;wRandomLetter()&amp;wRandomLetter()&amp;I2398&amp;":    UniConst = ChrW(" &amp; I2398 &amp;")"</f>
        <v>Case YO128590:    UniConst = ChrW(128590)</v>
      </c>
    </row>
    <row r="2399" spans="1:11" hidden="1">
      <c r="A2399" t="s">
        <v>684</v>
      </c>
      <c r="B2399" t="str">
        <f t="shared" si="224"/>
        <v>1F64E 1F3FD 200D 2642 ; minimally-qualified # 🙎🏽‍♂ E4.0 man pouting: medium skin tone</v>
      </c>
      <c r="C2399" t="str">
        <f t="shared" si="225"/>
        <v xml:space="preserve">1F64E 1F3FD 200D 2642 </v>
      </c>
      <c r="D2399">
        <f t="shared" si="226"/>
        <v>22</v>
      </c>
      <c r="E2399" t="str">
        <f t="shared" si="222"/>
        <v xml:space="preserve"> 🙎🏽‍♂ E4.0 man pouting: medium skin tone</v>
      </c>
      <c r="F2399" t="b">
        <f t="shared" si="227"/>
        <v>1</v>
      </c>
      <c r="G2399" t="str">
        <f t="shared" si="223"/>
        <v>1F64E</v>
      </c>
      <c r="I2399">
        <f>HEX2DEC(Table1[[#This Row],[utf8]])</f>
        <v>128590</v>
      </c>
      <c r="J2399" t="str">
        <f>_xlfn.UNICHAR(HEX2DEC(Table1[[#This Row],[utf8]]))</f>
        <v>🙎</v>
      </c>
      <c r="K2399" s="3" t="str" cm="1">
        <f t="array" ref="K2399">"Case "&amp;wRandomLetter()&amp;wRandomLetter()&amp;I2399&amp;":    UniConst = ChrW(" &amp; I2399 &amp;")"</f>
        <v>Case zC128590:    UniConst = ChrW(128590)</v>
      </c>
    </row>
    <row r="2400" spans="1:11" hidden="1">
      <c r="A2400" t="s">
        <v>683</v>
      </c>
      <c r="B2400" t="str">
        <f t="shared" si="224"/>
        <v>1F64E 1F3FD 200D 2642 FE0F ; fully-qualified # 🙎🏽‍♂️ E4.0 man pouting: medium skin tone</v>
      </c>
      <c r="C2400" t="str">
        <f t="shared" si="225"/>
        <v xml:space="preserve">1F64E 1F3FD 200D 2642 FE0F </v>
      </c>
      <c r="D2400">
        <f t="shared" si="226"/>
        <v>27</v>
      </c>
      <c r="E2400" t="str">
        <f t="shared" si="222"/>
        <v xml:space="preserve"> 🙎🏽‍♂️ E4.0 man pouting: medium skin tone</v>
      </c>
      <c r="F2400" t="b">
        <f t="shared" si="227"/>
        <v>1</v>
      </c>
      <c r="G2400" t="str">
        <f t="shared" si="223"/>
        <v>1F64E</v>
      </c>
      <c r="I2400">
        <f>HEX2DEC(Table1[[#This Row],[utf8]])</f>
        <v>128590</v>
      </c>
      <c r="J2400" t="str">
        <f>_xlfn.UNICHAR(HEX2DEC(Table1[[#This Row],[utf8]]))</f>
        <v>🙎</v>
      </c>
      <c r="K2400" s="3" t="str" cm="1">
        <f t="array" ref="K2400">"Case "&amp;wRandomLetter()&amp;wRandomLetter()&amp;I2400&amp;":    UniConst = ChrW(" &amp; I2400 &amp;")"</f>
        <v>Case hM128590:    UniConst = ChrW(128590)</v>
      </c>
    </row>
    <row r="2401" spans="1:11" hidden="1">
      <c r="A2401" t="s">
        <v>675</v>
      </c>
      <c r="B2401" t="str">
        <f t="shared" si="224"/>
        <v>1F64E 1F3FE ; fully-qualified # 🙎🏾 E1.0 person pouting: medium-dark skin tone</v>
      </c>
      <c r="C2401" t="str">
        <f t="shared" si="225"/>
        <v xml:space="preserve">1F64E 1F3FE </v>
      </c>
      <c r="D2401">
        <f t="shared" si="226"/>
        <v>12</v>
      </c>
      <c r="E2401" t="str">
        <f t="shared" si="222"/>
        <v xml:space="preserve"> 🙎🏾 E1.0 person pouting: medium-dark skin tone</v>
      </c>
      <c r="F2401" t="b">
        <f t="shared" si="227"/>
        <v>1</v>
      </c>
      <c r="G2401" t="str">
        <f t="shared" si="223"/>
        <v>1F64E</v>
      </c>
      <c r="I2401">
        <f>HEX2DEC(Table1[[#This Row],[utf8]])</f>
        <v>128590</v>
      </c>
      <c r="J2401" t="str">
        <f>_xlfn.UNICHAR(HEX2DEC(Table1[[#This Row],[utf8]]))</f>
        <v>🙎</v>
      </c>
      <c r="K2401" s="3" t="str" cm="1">
        <f t="array" ref="K2401">"Case "&amp;wRandomLetter()&amp;wRandomLetter()&amp;I2401&amp;":    UniConst = ChrW(" &amp; I2401 &amp;")"</f>
        <v>Case ld128590:    UniConst = ChrW(128590)</v>
      </c>
    </row>
    <row r="2402" spans="1:11" hidden="1">
      <c r="A2402" t="s">
        <v>698</v>
      </c>
      <c r="B2402" t="str">
        <f t="shared" si="224"/>
        <v>1F64E 1F3FE 200D 2640 ; minimally-qualified # 🙎🏾‍♀ E4.0 woman pouting: medium-dark skin tone</v>
      </c>
      <c r="C2402" t="str">
        <f t="shared" si="225"/>
        <v xml:space="preserve">1F64E 1F3FE 200D 2640 </v>
      </c>
      <c r="D2402">
        <f t="shared" si="226"/>
        <v>22</v>
      </c>
      <c r="E2402" t="str">
        <f t="shared" si="222"/>
        <v xml:space="preserve"> 🙎🏾‍♀ E4.0 woman pouting: medium-dark skin tone</v>
      </c>
      <c r="F2402" t="b">
        <f t="shared" si="227"/>
        <v>1</v>
      </c>
      <c r="G2402" t="str">
        <f t="shared" si="223"/>
        <v>1F64E</v>
      </c>
      <c r="I2402">
        <f>HEX2DEC(Table1[[#This Row],[utf8]])</f>
        <v>128590</v>
      </c>
      <c r="J2402" t="str">
        <f>_xlfn.UNICHAR(HEX2DEC(Table1[[#This Row],[utf8]]))</f>
        <v>🙎</v>
      </c>
      <c r="K2402" s="3" t="str" cm="1">
        <f t="array" ref="K2402">"Case "&amp;wRandomLetter()&amp;wRandomLetter()&amp;I2402&amp;":    UniConst = ChrW(" &amp; I2402 &amp;")"</f>
        <v>Case kd128590:    UniConst = ChrW(128590)</v>
      </c>
    </row>
    <row r="2403" spans="1:11" hidden="1">
      <c r="A2403" t="s">
        <v>697</v>
      </c>
      <c r="B2403" t="str">
        <f t="shared" si="224"/>
        <v>1F64E 1F3FE 200D 2640 FE0F ; fully-qualified # 🙎🏾‍♀️ E4.0 woman pouting: medium-dark skin tone</v>
      </c>
      <c r="C2403" t="str">
        <f t="shared" si="225"/>
        <v xml:space="preserve">1F64E 1F3FE 200D 2640 FE0F </v>
      </c>
      <c r="D2403">
        <f t="shared" si="226"/>
        <v>27</v>
      </c>
      <c r="E2403" t="str">
        <f t="shared" si="222"/>
        <v xml:space="preserve"> 🙎🏾‍♀️ E4.0 woman pouting: medium-dark skin tone</v>
      </c>
      <c r="F2403" t="b">
        <f t="shared" si="227"/>
        <v>1</v>
      </c>
      <c r="G2403" t="str">
        <f t="shared" si="223"/>
        <v>1F64E</v>
      </c>
      <c r="I2403">
        <f>HEX2DEC(Table1[[#This Row],[utf8]])</f>
        <v>128590</v>
      </c>
      <c r="J2403" t="str">
        <f>_xlfn.UNICHAR(HEX2DEC(Table1[[#This Row],[utf8]]))</f>
        <v>🙎</v>
      </c>
      <c r="K2403" s="3" t="str" cm="1">
        <f t="array" ref="K2403">"Case "&amp;wRandomLetter()&amp;wRandomLetter()&amp;I2403&amp;":    UniConst = ChrW(" &amp; I2403 &amp;")"</f>
        <v>Case jt128590:    UniConst = ChrW(128590)</v>
      </c>
    </row>
    <row r="2404" spans="1:11" hidden="1">
      <c r="A2404" t="s">
        <v>686</v>
      </c>
      <c r="B2404" t="str">
        <f t="shared" si="224"/>
        <v>1F64E 1F3FE 200D 2642 ; minimally-qualified # 🙎🏾‍♂ E4.0 man pouting: medium-dark skin tone</v>
      </c>
      <c r="C2404" t="str">
        <f t="shared" si="225"/>
        <v xml:space="preserve">1F64E 1F3FE 200D 2642 </v>
      </c>
      <c r="D2404">
        <f t="shared" si="226"/>
        <v>22</v>
      </c>
      <c r="E2404" t="str">
        <f t="shared" si="222"/>
        <v xml:space="preserve"> 🙎🏾‍♂ E4.0 man pouting: medium-dark skin tone</v>
      </c>
      <c r="F2404" t="b">
        <f t="shared" si="227"/>
        <v>1</v>
      </c>
      <c r="G2404" t="str">
        <f t="shared" si="223"/>
        <v>1F64E</v>
      </c>
      <c r="I2404">
        <f>HEX2DEC(Table1[[#This Row],[utf8]])</f>
        <v>128590</v>
      </c>
      <c r="J2404" t="str">
        <f>_xlfn.UNICHAR(HEX2DEC(Table1[[#This Row],[utf8]]))</f>
        <v>🙎</v>
      </c>
      <c r="K2404" s="3" t="str" cm="1">
        <f t="array" ref="K2404">"Case "&amp;wRandomLetter()&amp;wRandomLetter()&amp;I2404&amp;":    UniConst = ChrW(" &amp; I2404 &amp;")"</f>
        <v>Case zq128590:    UniConst = ChrW(128590)</v>
      </c>
    </row>
    <row r="2405" spans="1:11" hidden="1">
      <c r="A2405" t="s">
        <v>685</v>
      </c>
      <c r="B2405" t="str">
        <f t="shared" si="224"/>
        <v>1F64E 1F3FE 200D 2642 FE0F ; fully-qualified # 🙎🏾‍♂️ E4.0 man pouting: medium-dark skin tone</v>
      </c>
      <c r="C2405" t="str">
        <f t="shared" si="225"/>
        <v xml:space="preserve">1F64E 1F3FE 200D 2642 FE0F </v>
      </c>
      <c r="D2405">
        <f t="shared" si="226"/>
        <v>27</v>
      </c>
      <c r="E2405" t="str">
        <f t="shared" si="222"/>
        <v xml:space="preserve"> 🙎🏾‍♂️ E4.0 man pouting: medium-dark skin tone</v>
      </c>
      <c r="F2405" t="b">
        <f t="shared" si="227"/>
        <v>1</v>
      </c>
      <c r="G2405" t="str">
        <f t="shared" si="223"/>
        <v>1F64E</v>
      </c>
      <c r="I2405">
        <f>HEX2DEC(Table1[[#This Row],[utf8]])</f>
        <v>128590</v>
      </c>
      <c r="J2405" t="str">
        <f>_xlfn.UNICHAR(HEX2DEC(Table1[[#This Row],[utf8]]))</f>
        <v>🙎</v>
      </c>
      <c r="K2405" s="3" t="str" cm="1">
        <f t="array" ref="K2405">"Case "&amp;wRandomLetter()&amp;wRandomLetter()&amp;I2405&amp;":    UniConst = ChrW(" &amp; I2405 &amp;")"</f>
        <v>Case KP128590:    UniConst = ChrW(128590)</v>
      </c>
    </row>
    <row r="2406" spans="1:11" hidden="1">
      <c r="A2406" t="s">
        <v>676</v>
      </c>
      <c r="B2406" t="str">
        <f t="shared" si="224"/>
        <v>1F64E 1F3FF ; fully-qualified # 🙎🏿 E1.0 person pouting: dark skin tone</v>
      </c>
      <c r="C2406" t="str">
        <f t="shared" si="225"/>
        <v xml:space="preserve">1F64E 1F3FF </v>
      </c>
      <c r="D2406">
        <f t="shared" si="226"/>
        <v>12</v>
      </c>
      <c r="E2406" t="str">
        <f t="shared" si="222"/>
        <v xml:space="preserve"> 🙎🏿 E1.0 person pouting: dark skin tone</v>
      </c>
      <c r="F2406" t="b">
        <f t="shared" si="227"/>
        <v>1</v>
      </c>
      <c r="G2406" t="str">
        <f t="shared" si="223"/>
        <v>1F64E</v>
      </c>
      <c r="I2406">
        <f>HEX2DEC(Table1[[#This Row],[utf8]])</f>
        <v>128590</v>
      </c>
      <c r="J2406" t="str">
        <f>_xlfn.UNICHAR(HEX2DEC(Table1[[#This Row],[utf8]]))</f>
        <v>🙎</v>
      </c>
      <c r="K2406" s="3" t="str" cm="1">
        <f t="array" ref="K2406">"Case "&amp;wRandomLetter()&amp;wRandomLetter()&amp;I2406&amp;":    UniConst = ChrW(" &amp; I2406 &amp;")"</f>
        <v>Case at128590:    UniConst = ChrW(128590)</v>
      </c>
    </row>
    <row r="2407" spans="1:11" hidden="1">
      <c r="A2407" t="s">
        <v>700</v>
      </c>
      <c r="B2407" t="str">
        <f t="shared" si="224"/>
        <v>1F64E 1F3FF 200D 2640 ; minimally-qualified # 🙎🏿‍♀ E4.0 woman pouting: dark skin tone</v>
      </c>
      <c r="C2407" t="str">
        <f t="shared" si="225"/>
        <v xml:space="preserve">1F64E 1F3FF 200D 2640 </v>
      </c>
      <c r="D2407">
        <f t="shared" si="226"/>
        <v>22</v>
      </c>
      <c r="E2407" t="str">
        <f t="shared" si="222"/>
        <v xml:space="preserve"> 🙎🏿‍♀ E4.0 woman pouting: dark skin tone</v>
      </c>
      <c r="F2407" t="b">
        <f t="shared" si="227"/>
        <v>1</v>
      </c>
      <c r="G2407" t="str">
        <f t="shared" si="223"/>
        <v>1F64E</v>
      </c>
      <c r="I2407">
        <f>HEX2DEC(Table1[[#This Row],[utf8]])</f>
        <v>128590</v>
      </c>
      <c r="J2407" t="str">
        <f>_xlfn.UNICHAR(HEX2DEC(Table1[[#This Row],[utf8]]))</f>
        <v>🙎</v>
      </c>
      <c r="K2407" s="3" t="str" cm="1">
        <f t="array" ref="K2407">"Case "&amp;wRandomLetter()&amp;wRandomLetter()&amp;I2407&amp;":    UniConst = ChrW(" &amp; I2407 &amp;")"</f>
        <v>Case PN128590:    UniConst = ChrW(128590)</v>
      </c>
    </row>
    <row r="2408" spans="1:11" hidden="1">
      <c r="A2408" t="s">
        <v>699</v>
      </c>
      <c r="B2408" t="str">
        <f t="shared" si="224"/>
        <v>1F64E 1F3FF 200D 2640 FE0F ; fully-qualified # 🙎🏿‍♀️ E4.0 woman pouting: dark skin tone</v>
      </c>
      <c r="C2408" t="str">
        <f t="shared" si="225"/>
        <v xml:space="preserve">1F64E 1F3FF 200D 2640 FE0F </v>
      </c>
      <c r="D2408">
        <f t="shared" si="226"/>
        <v>27</v>
      </c>
      <c r="E2408" t="str">
        <f t="shared" si="222"/>
        <v xml:space="preserve"> 🙎🏿‍♀️ E4.0 woman pouting: dark skin tone</v>
      </c>
      <c r="F2408" t="b">
        <f t="shared" si="227"/>
        <v>1</v>
      </c>
      <c r="G2408" t="str">
        <f t="shared" si="223"/>
        <v>1F64E</v>
      </c>
      <c r="I2408">
        <f>HEX2DEC(Table1[[#This Row],[utf8]])</f>
        <v>128590</v>
      </c>
      <c r="J2408" t="str">
        <f>_xlfn.UNICHAR(HEX2DEC(Table1[[#This Row],[utf8]]))</f>
        <v>🙎</v>
      </c>
      <c r="K2408" s="3" t="str" cm="1">
        <f t="array" ref="K2408">"Case "&amp;wRandomLetter()&amp;wRandomLetter()&amp;I2408&amp;":    UniConst = ChrW(" &amp; I2408 &amp;")"</f>
        <v>Case Bv128590:    UniConst = ChrW(128590)</v>
      </c>
    </row>
    <row r="2409" spans="1:11" hidden="1">
      <c r="A2409" t="s">
        <v>688</v>
      </c>
      <c r="B2409" t="str">
        <f t="shared" si="224"/>
        <v>1F64E 1F3FF 200D 2642 ; minimally-qualified # 🙎🏿‍♂ E4.0 man pouting: dark skin tone</v>
      </c>
      <c r="C2409" t="str">
        <f t="shared" si="225"/>
        <v xml:space="preserve">1F64E 1F3FF 200D 2642 </v>
      </c>
      <c r="D2409">
        <f t="shared" si="226"/>
        <v>22</v>
      </c>
      <c r="E2409" t="str">
        <f t="shared" si="222"/>
        <v xml:space="preserve"> 🙎🏿‍♂ E4.0 man pouting: dark skin tone</v>
      </c>
      <c r="F2409" t="b">
        <f t="shared" si="227"/>
        <v>1</v>
      </c>
      <c r="G2409" t="str">
        <f t="shared" si="223"/>
        <v>1F64E</v>
      </c>
      <c r="I2409">
        <f>HEX2DEC(Table1[[#This Row],[utf8]])</f>
        <v>128590</v>
      </c>
      <c r="J2409" t="str">
        <f>_xlfn.UNICHAR(HEX2DEC(Table1[[#This Row],[utf8]]))</f>
        <v>🙎</v>
      </c>
      <c r="K2409" s="3" t="str" cm="1">
        <f t="array" ref="K2409">"Case "&amp;wRandomLetter()&amp;wRandomLetter()&amp;I2409&amp;":    UniConst = ChrW(" &amp; I2409 &amp;")"</f>
        <v>Case JG128590:    UniConst = ChrW(128590)</v>
      </c>
    </row>
    <row r="2410" spans="1:11" hidden="1">
      <c r="A2410" t="s">
        <v>687</v>
      </c>
      <c r="B2410" t="str">
        <f t="shared" si="224"/>
        <v>1F64E 1F3FF 200D 2642 FE0F ; fully-qualified # 🙎🏿‍♂️ E4.0 man pouting: dark skin tone</v>
      </c>
      <c r="C2410" t="str">
        <f t="shared" si="225"/>
        <v xml:space="preserve">1F64E 1F3FF 200D 2642 FE0F </v>
      </c>
      <c r="D2410">
        <f t="shared" si="226"/>
        <v>27</v>
      </c>
      <c r="E2410" t="str">
        <f t="shared" si="222"/>
        <v xml:space="preserve"> 🙎🏿‍♂️ E4.0 man pouting: dark skin tone</v>
      </c>
      <c r="F2410" t="b">
        <f t="shared" si="227"/>
        <v>1</v>
      </c>
      <c r="G2410" t="str">
        <f t="shared" si="223"/>
        <v>1F64E</v>
      </c>
      <c r="I2410">
        <f>HEX2DEC(Table1[[#This Row],[utf8]])</f>
        <v>128590</v>
      </c>
      <c r="J2410" t="str">
        <f>_xlfn.UNICHAR(HEX2DEC(Table1[[#This Row],[utf8]]))</f>
        <v>🙎</v>
      </c>
      <c r="K2410" s="3" t="str" cm="1">
        <f t="array" ref="K2410">"Case "&amp;wRandomLetter()&amp;wRandomLetter()&amp;I2410&amp;":    UniConst = ChrW(" &amp; I2410 &amp;")"</f>
        <v>Case Fn128590:    UniConst = ChrW(128590)</v>
      </c>
    </row>
    <row r="2411" spans="1:11" hidden="1">
      <c r="A2411" t="s">
        <v>690</v>
      </c>
      <c r="B2411" t="str">
        <f t="shared" si="224"/>
        <v>1F64E 200D 2640 ; minimally-qualified # 🙎‍♀ E4.0 woman pouting</v>
      </c>
      <c r="C2411" t="str">
        <f t="shared" si="225"/>
        <v xml:space="preserve">1F64E 200D 2640 </v>
      </c>
      <c r="D2411">
        <f t="shared" si="226"/>
        <v>16</v>
      </c>
      <c r="E2411" t="str">
        <f t="shared" si="222"/>
        <v xml:space="preserve"> 🙎‍♀ E4.0 woman pouting</v>
      </c>
      <c r="F2411" t="b">
        <f t="shared" si="227"/>
        <v>1</v>
      </c>
      <c r="G2411" t="str">
        <f t="shared" si="223"/>
        <v>1F64E</v>
      </c>
      <c r="I2411">
        <f>HEX2DEC(Table1[[#This Row],[utf8]])</f>
        <v>128590</v>
      </c>
      <c r="J2411" t="str">
        <f>_xlfn.UNICHAR(HEX2DEC(Table1[[#This Row],[utf8]]))</f>
        <v>🙎</v>
      </c>
      <c r="K2411" s="3" t="str" cm="1">
        <f t="array" ref="K2411">"Case "&amp;wRandomLetter()&amp;wRandomLetter()&amp;I2411&amp;":    UniConst = ChrW(" &amp; I2411 &amp;")"</f>
        <v>Case oW128590:    UniConst = ChrW(128590)</v>
      </c>
    </row>
    <row r="2412" spans="1:11" hidden="1">
      <c r="A2412" t="s">
        <v>689</v>
      </c>
      <c r="B2412" t="str">
        <f t="shared" si="224"/>
        <v>1F64E 200D 2640 FE0F ; fully-qualified # 🙎‍♀️ E4.0 woman pouting</v>
      </c>
      <c r="C2412" t="str">
        <f t="shared" si="225"/>
        <v xml:space="preserve">1F64E 200D 2640 FE0F </v>
      </c>
      <c r="D2412">
        <f t="shared" si="226"/>
        <v>21</v>
      </c>
      <c r="E2412" t="str">
        <f t="shared" si="222"/>
        <v xml:space="preserve"> 🙎‍♀️ E4.0 woman pouting</v>
      </c>
      <c r="F2412" t="b">
        <f t="shared" si="227"/>
        <v>1</v>
      </c>
      <c r="G2412" t="str">
        <f t="shared" si="223"/>
        <v>1F64E</v>
      </c>
      <c r="I2412">
        <f>HEX2DEC(Table1[[#This Row],[utf8]])</f>
        <v>128590</v>
      </c>
      <c r="J2412" t="str">
        <f>_xlfn.UNICHAR(HEX2DEC(Table1[[#This Row],[utf8]]))</f>
        <v>🙎</v>
      </c>
      <c r="K2412" s="3" t="str" cm="1">
        <f t="array" ref="K2412">"Case "&amp;wRandomLetter()&amp;wRandomLetter()&amp;I2412&amp;":    UniConst = ChrW(" &amp; I2412 &amp;")"</f>
        <v>Case jI128590:    UniConst = ChrW(128590)</v>
      </c>
    </row>
    <row r="2413" spans="1:11" hidden="1">
      <c r="A2413" t="s">
        <v>678</v>
      </c>
      <c r="B2413" t="str">
        <f t="shared" si="224"/>
        <v>1F64E 200D 2642 ; minimally-qualified # 🙎‍♂ E4.0 man pouting</v>
      </c>
      <c r="C2413" t="str">
        <f t="shared" si="225"/>
        <v xml:space="preserve">1F64E 200D 2642 </v>
      </c>
      <c r="D2413">
        <f t="shared" si="226"/>
        <v>16</v>
      </c>
      <c r="E2413" t="str">
        <f t="shared" si="222"/>
        <v xml:space="preserve"> 🙎‍♂ E4.0 man pouting</v>
      </c>
      <c r="F2413" t="b">
        <f t="shared" si="227"/>
        <v>1</v>
      </c>
      <c r="G2413" t="str">
        <f t="shared" si="223"/>
        <v>1F64E</v>
      </c>
      <c r="I2413">
        <f>HEX2DEC(Table1[[#This Row],[utf8]])</f>
        <v>128590</v>
      </c>
      <c r="J2413" t="str">
        <f>_xlfn.UNICHAR(HEX2DEC(Table1[[#This Row],[utf8]]))</f>
        <v>🙎</v>
      </c>
      <c r="K2413" s="3" t="str" cm="1">
        <f t="array" ref="K2413">"Case "&amp;wRandomLetter()&amp;wRandomLetter()&amp;I2413&amp;":    UniConst = ChrW(" &amp; I2413 &amp;")"</f>
        <v>Case BZ128590:    UniConst = ChrW(128590)</v>
      </c>
    </row>
    <row r="2414" spans="1:11" hidden="1">
      <c r="A2414" t="s">
        <v>677</v>
      </c>
      <c r="B2414" t="str">
        <f t="shared" si="224"/>
        <v>1F64E 200D 2642 FE0F ; fully-qualified # 🙎‍♂️ E4.0 man pouting</v>
      </c>
      <c r="C2414" t="str">
        <f t="shared" si="225"/>
        <v xml:space="preserve">1F64E 200D 2642 FE0F </v>
      </c>
      <c r="D2414">
        <f t="shared" si="226"/>
        <v>21</v>
      </c>
      <c r="E2414" t="str">
        <f t="shared" si="222"/>
        <v xml:space="preserve"> 🙎‍♂️ E4.0 man pouting</v>
      </c>
      <c r="F2414" t="b">
        <f t="shared" si="227"/>
        <v>1</v>
      </c>
      <c r="G2414" t="str">
        <f t="shared" si="223"/>
        <v>1F64E</v>
      </c>
      <c r="I2414">
        <f>HEX2DEC(Table1[[#This Row],[utf8]])</f>
        <v>128590</v>
      </c>
      <c r="J2414" t="str">
        <f>_xlfn.UNICHAR(HEX2DEC(Table1[[#This Row],[utf8]]))</f>
        <v>🙎</v>
      </c>
      <c r="K2414" s="3" t="str" cm="1">
        <f t="array" ref="K2414">"Case "&amp;wRandomLetter()&amp;wRandomLetter()&amp;I2414&amp;":    UniConst = ChrW(" &amp; I2414 &amp;")"</f>
        <v>Case Jf128590:    UniConst = ChrW(128590)</v>
      </c>
    </row>
    <row r="2415" spans="1:11" hidden="1">
      <c r="A2415" t="s">
        <v>372</v>
      </c>
      <c r="B2415" t="str">
        <f t="shared" si="224"/>
        <v>1F64F ; fully-qualified # 🙏 E0.6 folded hands</v>
      </c>
      <c r="C2415" t="str">
        <f t="shared" si="225"/>
        <v xml:space="preserve">1F64F </v>
      </c>
      <c r="D2415">
        <f t="shared" si="226"/>
        <v>6</v>
      </c>
      <c r="E2415" t="str">
        <f t="shared" si="222"/>
        <v xml:space="preserve"> 🙏 E0.6 folded hands</v>
      </c>
      <c r="F2415" t="b">
        <f t="shared" si="227"/>
        <v>1</v>
      </c>
      <c r="G2415" t="str">
        <f t="shared" si="223"/>
        <v>1F64F</v>
      </c>
      <c r="I2415">
        <f>HEX2DEC(Table1[[#This Row],[utf8]])</f>
        <v>128591</v>
      </c>
      <c r="J2415" t="str">
        <f>_xlfn.UNICHAR(HEX2DEC(Table1[[#This Row],[utf8]]))</f>
        <v>🙏</v>
      </c>
      <c r="K2415" s="3" t="str" cm="1">
        <f t="array" ref="K2415">"Case "&amp;wRandomLetter()&amp;wRandomLetter()&amp;I2415&amp;":    UniConst = ChrW(" &amp; I2415 &amp;")"</f>
        <v>Case sf128591:    UniConst = ChrW(128591)</v>
      </c>
    </row>
    <row r="2416" spans="1:11" hidden="1">
      <c r="A2416" t="s">
        <v>373</v>
      </c>
      <c r="B2416" t="str">
        <f t="shared" si="224"/>
        <v>1F64F 1F3FB ; fully-qualified # 🙏🏻 E1.0 folded hands: light skin tone</v>
      </c>
      <c r="C2416" t="str">
        <f t="shared" si="225"/>
        <v xml:space="preserve">1F64F 1F3FB </v>
      </c>
      <c r="D2416">
        <f t="shared" si="226"/>
        <v>12</v>
      </c>
      <c r="E2416" t="str">
        <f t="shared" si="222"/>
        <v xml:space="preserve"> 🙏🏻 E1.0 folded hands: light skin tone</v>
      </c>
      <c r="F2416" t="b">
        <f t="shared" si="227"/>
        <v>1</v>
      </c>
      <c r="G2416" t="str">
        <f t="shared" si="223"/>
        <v>1F64F</v>
      </c>
      <c r="I2416">
        <f>HEX2DEC(Table1[[#This Row],[utf8]])</f>
        <v>128591</v>
      </c>
      <c r="J2416" t="str">
        <f>_xlfn.UNICHAR(HEX2DEC(Table1[[#This Row],[utf8]]))</f>
        <v>🙏</v>
      </c>
      <c r="K2416" s="3" t="str" cm="1">
        <f t="array" ref="K2416">"Case "&amp;wRandomLetter()&amp;wRandomLetter()&amp;I2416&amp;":    UniConst = ChrW(" &amp; I2416 &amp;")"</f>
        <v>Case JE128591:    UniConst = ChrW(128591)</v>
      </c>
    </row>
    <row r="2417" spans="1:11" hidden="1">
      <c r="A2417" t="s">
        <v>374</v>
      </c>
      <c r="B2417" t="str">
        <f t="shared" si="224"/>
        <v>1F64F 1F3FC ; fully-qualified # 🙏🏼 E1.0 folded hands: medium-light skin tone</v>
      </c>
      <c r="C2417" t="str">
        <f t="shared" si="225"/>
        <v xml:space="preserve">1F64F 1F3FC </v>
      </c>
      <c r="D2417">
        <f t="shared" si="226"/>
        <v>12</v>
      </c>
      <c r="E2417" t="str">
        <f t="shared" si="222"/>
        <v xml:space="preserve"> 🙏🏼 E1.0 folded hands: medium-light skin tone</v>
      </c>
      <c r="F2417" t="b">
        <f t="shared" si="227"/>
        <v>1</v>
      </c>
      <c r="G2417" t="str">
        <f t="shared" si="223"/>
        <v>1F64F</v>
      </c>
      <c r="I2417">
        <f>HEX2DEC(Table1[[#This Row],[utf8]])</f>
        <v>128591</v>
      </c>
      <c r="J2417" t="str">
        <f>_xlfn.UNICHAR(HEX2DEC(Table1[[#This Row],[utf8]]))</f>
        <v>🙏</v>
      </c>
      <c r="K2417" s="3" t="str" cm="1">
        <f t="array" ref="K2417">"Case "&amp;wRandomLetter()&amp;wRandomLetter()&amp;I2417&amp;":    UniConst = ChrW(" &amp; I2417 &amp;")"</f>
        <v>Case ll128591:    UniConst = ChrW(128591)</v>
      </c>
    </row>
    <row r="2418" spans="1:11" hidden="1">
      <c r="A2418" t="s">
        <v>375</v>
      </c>
      <c r="B2418" t="str">
        <f t="shared" si="224"/>
        <v>1F64F 1F3FD ; fully-qualified # 🙏🏽 E1.0 folded hands: medium skin tone</v>
      </c>
      <c r="C2418" t="str">
        <f t="shared" si="225"/>
        <v xml:space="preserve">1F64F 1F3FD </v>
      </c>
      <c r="D2418">
        <f t="shared" si="226"/>
        <v>12</v>
      </c>
      <c r="E2418" t="str">
        <f t="shared" si="222"/>
        <v xml:space="preserve"> 🙏🏽 E1.0 folded hands: medium skin tone</v>
      </c>
      <c r="F2418" t="b">
        <f t="shared" si="227"/>
        <v>1</v>
      </c>
      <c r="G2418" t="str">
        <f t="shared" si="223"/>
        <v>1F64F</v>
      </c>
      <c r="I2418">
        <f>HEX2DEC(Table1[[#This Row],[utf8]])</f>
        <v>128591</v>
      </c>
      <c r="J2418" t="str">
        <f>_xlfn.UNICHAR(HEX2DEC(Table1[[#This Row],[utf8]]))</f>
        <v>🙏</v>
      </c>
      <c r="K2418" s="3" t="str" cm="1">
        <f t="array" ref="K2418">"Case "&amp;wRandomLetter()&amp;wRandomLetter()&amp;I2418&amp;":    UniConst = ChrW(" &amp; I2418 &amp;")"</f>
        <v>Case zn128591:    UniConst = ChrW(128591)</v>
      </c>
    </row>
    <row r="2419" spans="1:11" hidden="1">
      <c r="A2419" t="s">
        <v>376</v>
      </c>
      <c r="B2419" t="str">
        <f t="shared" si="224"/>
        <v>1F64F 1F3FE ; fully-qualified # 🙏🏾 E1.0 folded hands: medium-dark skin tone</v>
      </c>
      <c r="C2419" t="str">
        <f t="shared" si="225"/>
        <v xml:space="preserve">1F64F 1F3FE </v>
      </c>
      <c r="D2419">
        <f t="shared" si="226"/>
        <v>12</v>
      </c>
      <c r="E2419" t="str">
        <f t="shared" si="222"/>
        <v xml:space="preserve"> 🙏🏾 E1.0 folded hands: medium-dark skin tone</v>
      </c>
      <c r="F2419" t="b">
        <f t="shared" si="227"/>
        <v>1</v>
      </c>
      <c r="G2419" t="str">
        <f t="shared" si="223"/>
        <v>1F64F</v>
      </c>
      <c r="I2419">
        <f>HEX2DEC(Table1[[#This Row],[utf8]])</f>
        <v>128591</v>
      </c>
      <c r="J2419" t="str">
        <f>_xlfn.UNICHAR(HEX2DEC(Table1[[#This Row],[utf8]]))</f>
        <v>🙏</v>
      </c>
      <c r="K2419" s="3" t="str" cm="1">
        <f t="array" ref="K2419">"Case "&amp;wRandomLetter()&amp;wRandomLetter()&amp;I2419&amp;":    UniConst = ChrW(" &amp; I2419 &amp;")"</f>
        <v>Case pT128591:    UniConst = ChrW(128591)</v>
      </c>
    </row>
    <row r="2420" spans="1:11" hidden="1">
      <c r="A2420" t="s">
        <v>377</v>
      </c>
      <c r="B2420" t="str">
        <f t="shared" si="224"/>
        <v>1F64F 1F3FF ; fully-qualified # 🙏🏿 E1.0 folded hands: dark skin tone</v>
      </c>
      <c r="C2420" t="str">
        <f t="shared" si="225"/>
        <v xml:space="preserve">1F64F 1F3FF </v>
      </c>
      <c r="D2420">
        <f t="shared" si="226"/>
        <v>12</v>
      </c>
      <c r="E2420" t="str">
        <f t="shared" si="222"/>
        <v xml:space="preserve"> 🙏🏿 E1.0 folded hands: dark skin tone</v>
      </c>
      <c r="F2420" t="b">
        <f t="shared" si="227"/>
        <v>1</v>
      </c>
      <c r="G2420" t="str">
        <f t="shared" si="223"/>
        <v>1F64F</v>
      </c>
      <c r="I2420">
        <f>HEX2DEC(Table1[[#This Row],[utf8]])</f>
        <v>128591</v>
      </c>
      <c r="J2420" t="str">
        <f>_xlfn.UNICHAR(HEX2DEC(Table1[[#This Row],[utf8]]))</f>
        <v>🙏</v>
      </c>
      <c r="K2420" s="3" t="str" cm="1">
        <f t="array" ref="K2420">"Case "&amp;wRandomLetter()&amp;wRandomLetter()&amp;I2420&amp;":    UniConst = ChrW(" &amp; I2420 &amp;")"</f>
        <v>Case VJ128591:    UniConst = ChrW(128591)</v>
      </c>
    </row>
    <row r="2421" spans="1:11" hidden="1">
      <c r="A2421" t="s">
        <v>3589</v>
      </c>
      <c r="B2421" t="str">
        <f t="shared" si="224"/>
        <v>1F680 ; fully-qualified # 🚀 E0.6 rocket</v>
      </c>
      <c r="C2421" t="str">
        <f t="shared" si="225"/>
        <v xml:space="preserve">1F680 </v>
      </c>
      <c r="D2421">
        <f t="shared" si="226"/>
        <v>6</v>
      </c>
      <c r="E2421" t="str">
        <f t="shared" si="222"/>
        <v xml:space="preserve"> 🚀 E0.6 rocket</v>
      </c>
      <c r="F2421" t="b">
        <f t="shared" si="227"/>
        <v>1</v>
      </c>
      <c r="G2421" t="str">
        <f t="shared" si="223"/>
        <v>1F680</v>
      </c>
      <c r="I2421">
        <f>HEX2DEC(Table1[[#This Row],[utf8]])</f>
        <v>128640</v>
      </c>
      <c r="J2421" t="str">
        <f>_xlfn.UNICHAR(HEX2DEC(Table1[[#This Row],[utf8]]))</f>
        <v>🚀</v>
      </c>
      <c r="K2421" s="3" t="str" cm="1">
        <f t="array" ref="K2421">"Case "&amp;wRandomLetter()&amp;wRandomLetter()&amp;I2421&amp;":    UniConst = ChrW(" &amp; I2421 &amp;")"</f>
        <v>Case XC128640:    UniConst = ChrW(128640)</v>
      </c>
    </row>
    <row r="2422" spans="1:11" hidden="1">
      <c r="A2422" t="s">
        <v>3583</v>
      </c>
      <c r="B2422" t="str">
        <f t="shared" si="224"/>
        <v>1F681 ; fully-qualified # 🚁 E1.0 helicopter</v>
      </c>
      <c r="C2422" t="str">
        <f t="shared" si="225"/>
        <v xml:space="preserve">1F681 </v>
      </c>
      <c r="D2422">
        <f t="shared" si="226"/>
        <v>6</v>
      </c>
      <c r="E2422" t="str">
        <f t="shared" si="222"/>
        <v xml:space="preserve"> 🚁 E1.0 helicopter</v>
      </c>
      <c r="F2422" t="b">
        <f t="shared" si="227"/>
        <v>1</v>
      </c>
      <c r="G2422" t="str">
        <f t="shared" si="223"/>
        <v>1F681</v>
      </c>
      <c r="I2422">
        <f>HEX2DEC(Table1[[#This Row],[utf8]])</f>
        <v>128641</v>
      </c>
      <c r="J2422" t="str">
        <f>_xlfn.UNICHAR(HEX2DEC(Table1[[#This Row],[utf8]]))</f>
        <v>🚁</v>
      </c>
      <c r="K2422" s="3" t="str" cm="1">
        <f t="array" ref="K2422">"Case "&amp;wRandomLetter()&amp;wRandomLetter()&amp;I2422&amp;":    UniConst = ChrW(" &amp; I2422 &amp;")"</f>
        <v>Case FB128641:    UniConst = ChrW(128641)</v>
      </c>
    </row>
    <row r="2423" spans="1:11" hidden="1">
      <c r="A2423" t="s">
        <v>3508</v>
      </c>
      <c r="B2423" t="str">
        <f t="shared" si="224"/>
        <v>1F682 ; fully-qualified # 🚂 E1.0 locomotive</v>
      </c>
      <c r="C2423" t="str">
        <f t="shared" si="225"/>
        <v xml:space="preserve">1F682 </v>
      </c>
      <c r="D2423">
        <f t="shared" si="226"/>
        <v>6</v>
      </c>
      <c r="E2423" t="str">
        <f t="shared" si="222"/>
        <v xml:space="preserve"> 🚂 E1.0 locomotive</v>
      </c>
      <c r="F2423" t="b">
        <f t="shared" si="227"/>
        <v>1</v>
      </c>
      <c r="G2423" t="str">
        <f t="shared" si="223"/>
        <v>1F682</v>
      </c>
      <c r="I2423">
        <f>HEX2DEC(Table1[[#This Row],[utf8]])</f>
        <v>128642</v>
      </c>
      <c r="J2423" t="str">
        <f>_xlfn.UNICHAR(HEX2DEC(Table1[[#This Row],[utf8]]))</f>
        <v>🚂</v>
      </c>
      <c r="K2423" s="3" t="str" cm="1">
        <f t="array" ref="K2423">"Case "&amp;wRandomLetter()&amp;wRandomLetter()&amp;I2423&amp;":    UniConst = ChrW(" &amp; I2423 &amp;")"</f>
        <v>Case uE128642:    UniConst = ChrW(128642)</v>
      </c>
    </row>
    <row r="2424" spans="1:11" hidden="1">
      <c r="A2424" t="s">
        <v>3509</v>
      </c>
      <c r="B2424" t="str">
        <f t="shared" si="224"/>
        <v>1F683 ; fully-qualified # 🚃 E0.6 railway car</v>
      </c>
      <c r="C2424" t="str">
        <f t="shared" si="225"/>
        <v xml:space="preserve">1F683 </v>
      </c>
      <c r="D2424">
        <f t="shared" si="226"/>
        <v>6</v>
      </c>
      <c r="E2424" t="str">
        <f t="shared" si="222"/>
        <v xml:space="preserve"> 🚃 E0.6 railway car</v>
      </c>
      <c r="F2424" t="b">
        <f t="shared" si="227"/>
        <v>1</v>
      </c>
      <c r="G2424" t="str">
        <f t="shared" si="223"/>
        <v>1F683</v>
      </c>
      <c r="I2424">
        <f>HEX2DEC(Table1[[#This Row],[utf8]])</f>
        <v>128643</v>
      </c>
      <c r="J2424" t="str">
        <f>_xlfn.UNICHAR(HEX2DEC(Table1[[#This Row],[utf8]]))</f>
        <v>🚃</v>
      </c>
      <c r="K2424" s="3" t="str" cm="1">
        <f t="array" ref="K2424">"Case "&amp;wRandomLetter()&amp;wRandomLetter()&amp;I2424&amp;":    UniConst = ChrW(" &amp; I2424 &amp;")"</f>
        <v>Case Px128643:    UniConst = ChrW(128643)</v>
      </c>
    </row>
    <row r="2425" spans="1:11" hidden="1">
      <c r="A2425" t="s">
        <v>3510</v>
      </c>
      <c r="B2425" t="str">
        <f t="shared" si="224"/>
        <v>1F684 ; fully-qualified # 🚄 E0.6 high-speed train</v>
      </c>
      <c r="C2425" t="str">
        <f t="shared" si="225"/>
        <v xml:space="preserve">1F684 </v>
      </c>
      <c r="D2425">
        <f t="shared" si="226"/>
        <v>6</v>
      </c>
      <c r="E2425" t="str">
        <f t="shared" si="222"/>
        <v xml:space="preserve"> 🚄 E0.6 high-speed train</v>
      </c>
      <c r="F2425" t="b">
        <f t="shared" si="227"/>
        <v>1</v>
      </c>
      <c r="G2425" t="str">
        <f t="shared" si="223"/>
        <v>1F684</v>
      </c>
      <c r="I2425">
        <f>HEX2DEC(Table1[[#This Row],[utf8]])</f>
        <v>128644</v>
      </c>
      <c r="J2425" t="str">
        <f>_xlfn.UNICHAR(HEX2DEC(Table1[[#This Row],[utf8]]))</f>
        <v>🚄</v>
      </c>
      <c r="K2425" s="3" t="str" cm="1">
        <f t="array" ref="K2425">"Case "&amp;wRandomLetter()&amp;wRandomLetter()&amp;I2425&amp;":    UniConst = ChrW(" &amp; I2425 &amp;")"</f>
        <v>Case kr128644:    UniConst = ChrW(128644)</v>
      </c>
    </row>
    <row r="2426" spans="1:11" hidden="1">
      <c r="A2426" t="s">
        <v>3511</v>
      </c>
      <c r="B2426" t="str">
        <f t="shared" si="224"/>
        <v>1F685 ; fully-qualified # 🚅 E0.6 bullet train</v>
      </c>
      <c r="C2426" t="str">
        <f t="shared" si="225"/>
        <v xml:space="preserve">1F685 </v>
      </c>
      <c r="D2426">
        <f t="shared" si="226"/>
        <v>6</v>
      </c>
      <c r="E2426" t="str">
        <f t="shared" si="222"/>
        <v xml:space="preserve"> 🚅 E0.6 bullet train</v>
      </c>
      <c r="F2426" t="b">
        <f t="shared" si="227"/>
        <v>1</v>
      </c>
      <c r="G2426" t="str">
        <f t="shared" si="223"/>
        <v>1F685</v>
      </c>
      <c r="I2426">
        <f>HEX2DEC(Table1[[#This Row],[utf8]])</f>
        <v>128645</v>
      </c>
      <c r="J2426" t="str">
        <f>_xlfn.UNICHAR(HEX2DEC(Table1[[#This Row],[utf8]]))</f>
        <v>🚅</v>
      </c>
      <c r="K2426" s="3" t="str" cm="1">
        <f t="array" ref="K2426">"Case "&amp;wRandomLetter()&amp;wRandomLetter()&amp;I2426&amp;":    UniConst = ChrW(" &amp; I2426 &amp;")"</f>
        <v>Case Nb128645:    UniConst = ChrW(128645)</v>
      </c>
    </row>
    <row r="2427" spans="1:11" hidden="1">
      <c r="A2427" t="s">
        <v>3512</v>
      </c>
      <c r="B2427" t="str">
        <f t="shared" si="224"/>
        <v>1F686 ; fully-qualified # 🚆 E1.0 train</v>
      </c>
      <c r="C2427" t="str">
        <f t="shared" si="225"/>
        <v xml:space="preserve">1F686 </v>
      </c>
      <c r="D2427">
        <f t="shared" si="226"/>
        <v>6</v>
      </c>
      <c r="E2427" t="str">
        <f t="shared" si="222"/>
        <v xml:space="preserve"> 🚆 E1.0 train</v>
      </c>
      <c r="F2427" t="b">
        <f t="shared" si="227"/>
        <v>1</v>
      </c>
      <c r="G2427" t="str">
        <f t="shared" si="223"/>
        <v>1F686</v>
      </c>
      <c r="I2427">
        <f>HEX2DEC(Table1[[#This Row],[utf8]])</f>
        <v>128646</v>
      </c>
      <c r="J2427" t="str">
        <f>_xlfn.UNICHAR(HEX2DEC(Table1[[#This Row],[utf8]]))</f>
        <v>🚆</v>
      </c>
      <c r="K2427" s="3" t="str" cm="1">
        <f t="array" ref="K2427">"Case "&amp;wRandomLetter()&amp;wRandomLetter()&amp;I2427&amp;":    UniConst = ChrW(" &amp; I2427 &amp;")"</f>
        <v>Case sv128646:    UniConst = ChrW(128646)</v>
      </c>
    </row>
    <row r="2428" spans="1:11" hidden="1">
      <c r="A2428" t="s">
        <v>3513</v>
      </c>
      <c r="B2428" t="str">
        <f t="shared" si="224"/>
        <v>1F687 ; fully-qualified # 🚇 E0.6 metro</v>
      </c>
      <c r="C2428" t="str">
        <f t="shared" si="225"/>
        <v xml:space="preserve">1F687 </v>
      </c>
      <c r="D2428">
        <f t="shared" si="226"/>
        <v>6</v>
      </c>
      <c r="E2428" t="str">
        <f t="shared" si="222"/>
        <v xml:space="preserve"> 🚇 E0.6 metro</v>
      </c>
      <c r="F2428" t="b">
        <f t="shared" si="227"/>
        <v>1</v>
      </c>
      <c r="G2428" t="str">
        <f t="shared" si="223"/>
        <v>1F687</v>
      </c>
      <c r="I2428">
        <f>HEX2DEC(Table1[[#This Row],[utf8]])</f>
        <v>128647</v>
      </c>
      <c r="J2428" t="str">
        <f>_xlfn.UNICHAR(HEX2DEC(Table1[[#This Row],[utf8]]))</f>
        <v>🚇</v>
      </c>
      <c r="K2428" s="3" t="str" cm="1">
        <f t="array" ref="K2428">"Case "&amp;wRandomLetter()&amp;wRandomLetter()&amp;I2428&amp;":    UniConst = ChrW(" &amp; I2428 &amp;")"</f>
        <v>Case Xr128647:    UniConst = ChrW(128647)</v>
      </c>
    </row>
    <row r="2429" spans="1:11" hidden="1">
      <c r="A2429" t="s">
        <v>3514</v>
      </c>
      <c r="B2429" t="str">
        <f t="shared" si="224"/>
        <v>1F688 ; fully-qualified # 🚈 E1.0 light rail</v>
      </c>
      <c r="C2429" t="str">
        <f t="shared" si="225"/>
        <v xml:space="preserve">1F688 </v>
      </c>
      <c r="D2429">
        <f t="shared" si="226"/>
        <v>6</v>
      </c>
      <c r="E2429" t="str">
        <f t="shared" si="222"/>
        <v xml:space="preserve"> 🚈 E1.0 light rail</v>
      </c>
      <c r="F2429" t="b">
        <f t="shared" si="227"/>
        <v>1</v>
      </c>
      <c r="G2429" t="str">
        <f t="shared" si="223"/>
        <v>1F688</v>
      </c>
      <c r="I2429">
        <f>HEX2DEC(Table1[[#This Row],[utf8]])</f>
        <v>128648</v>
      </c>
      <c r="J2429" t="str">
        <f>_xlfn.UNICHAR(HEX2DEC(Table1[[#This Row],[utf8]]))</f>
        <v>🚈</v>
      </c>
      <c r="K2429" s="3" t="str" cm="1">
        <f t="array" ref="K2429">"Case "&amp;wRandomLetter()&amp;wRandomLetter()&amp;I2429&amp;":    UniConst = ChrW(" &amp; I2429 &amp;")"</f>
        <v>Case Tq128648:    UniConst = ChrW(128648)</v>
      </c>
    </row>
    <row r="2430" spans="1:11" hidden="1">
      <c r="A2430" t="s">
        <v>3515</v>
      </c>
      <c r="B2430" t="str">
        <f t="shared" si="224"/>
        <v>1F689 ; fully-qualified # 🚉 E0.6 station</v>
      </c>
      <c r="C2430" t="str">
        <f t="shared" si="225"/>
        <v xml:space="preserve">1F689 </v>
      </c>
      <c r="D2430">
        <f t="shared" si="226"/>
        <v>6</v>
      </c>
      <c r="E2430" t="str">
        <f t="shared" si="222"/>
        <v xml:space="preserve"> 🚉 E0.6 station</v>
      </c>
      <c r="F2430" t="b">
        <f t="shared" si="227"/>
        <v>1</v>
      </c>
      <c r="G2430" t="str">
        <f t="shared" si="223"/>
        <v>1F689</v>
      </c>
      <c r="I2430">
        <f>HEX2DEC(Table1[[#This Row],[utf8]])</f>
        <v>128649</v>
      </c>
      <c r="J2430" t="str">
        <f>_xlfn.UNICHAR(HEX2DEC(Table1[[#This Row],[utf8]]))</f>
        <v>🚉</v>
      </c>
      <c r="K2430" s="3" t="str" cm="1">
        <f t="array" ref="K2430">"Case "&amp;wRandomLetter()&amp;wRandomLetter()&amp;I2430&amp;":    UniConst = ChrW(" &amp; I2430 &amp;")"</f>
        <v>Case as128649:    UniConst = ChrW(128649)</v>
      </c>
    </row>
    <row r="2431" spans="1:11" hidden="1">
      <c r="A2431" t="s">
        <v>3516</v>
      </c>
      <c r="B2431" t="str">
        <f t="shared" si="224"/>
        <v>1F68A ; fully-qualified # 🚊 E1.0 tram</v>
      </c>
      <c r="C2431" t="str">
        <f t="shared" si="225"/>
        <v xml:space="preserve">1F68A </v>
      </c>
      <c r="D2431">
        <f t="shared" si="226"/>
        <v>6</v>
      </c>
      <c r="E2431" t="str">
        <f t="shared" si="222"/>
        <v xml:space="preserve"> 🚊 E1.0 tram</v>
      </c>
      <c r="F2431" t="b">
        <f t="shared" si="227"/>
        <v>1</v>
      </c>
      <c r="G2431" t="str">
        <f t="shared" si="223"/>
        <v>1F68A</v>
      </c>
      <c r="I2431">
        <f>HEX2DEC(Table1[[#This Row],[utf8]])</f>
        <v>128650</v>
      </c>
      <c r="J2431" t="str">
        <f>_xlfn.UNICHAR(HEX2DEC(Table1[[#This Row],[utf8]]))</f>
        <v>🚊</v>
      </c>
      <c r="K2431" s="3" t="str" cm="1">
        <f t="array" ref="K2431">"Case "&amp;wRandomLetter()&amp;wRandomLetter()&amp;I2431&amp;":    UniConst = ChrW(" &amp; I2431 &amp;")"</f>
        <v>Case TC128650:    UniConst = ChrW(128650)</v>
      </c>
    </row>
    <row r="2432" spans="1:11" hidden="1">
      <c r="A2432" t="s">
        <v>3519</v>
      </c>
      <c r="B2432" t="str">
        <f t="shared" si="224"/>
        <v>1F68B ; fully-qualified # 🚋 E1.0 tram car</v>
      </c>
      <c r="C2432" t="str">
        <f t="shared" si="225"/>
        <v xml:space="preserve">1F68B </v>
      </c>
      <c r="D2432">
        <f t="shared" si="226"/>
        <v>6</v>
      </c>
      <c r="E2432" t="str">
        <f t="shared" si="222"/>
        <v xml:space="preserve"> 🚋 E1.0 tram car</v>
      </c>
      <c r="F2432" t="b">
        <f t="shared" si="227"/>
        <v>1</v>
      </c>
      <c r="G2432" t="str">
        <f t="shared" si="223"/>
        <v>1F68B</v>
      </c>
      <c r="I2432">
        <f>HEX2DEC(Table1[[#This Row],[utf8]])</f>
        <v>128651</v>
      </c>
      <c r="J2432" t="str">
        <f>_xlfn.UNICHAR(HEX2DEC(Table1[[#This Row],[utf8]]))</f>
        <v>🚋</v>
      </c>
      <c r="K2432" s="3" t="str" cm="1">
        <f t="array" ref="K2432">"Case "&amp;wRandomLetter()&amp;wRandomLetter()&amp;I2432&amp;":    UniConst = ChrW(" &amp; I2432 &amp;")"</f>
        <v>Case co128651:    UniConst = ChrW(128651)</v>
      </c>
    </row>
    <row r="2433" spans="1:11" hidden="1">
      <c r="A2433" t="s">
        <v>3520</v>
      </c>
      <c r="B2433" t="str">
        <f t="shared" si="224"/>
        <v>1F68C ; fully-qualified # 🚌 E0.6 bus</v>
      </c>
      <c r="C2433" t="str">
        <f t="shared" si="225"/>
        <v xml:space="preserve">1F68C </v>
      </c>
      <c r="D2433">
        <f t="shared" si="226"/>
        <v>6</v>
      </c>
      <c r="E2433" t="str">
        <f t="shared" si="222"/>
        <v xml:space="preserve"> 🚌 E0.6 bus</v>
      </c>
      <c r="F2433" t="b">
        <f t="shared" si="227"/>
        <v>1</v>
      </c>
      <c r="G2433" t="str">
        <f t="shared" si="223"/>
        <v>1F68C</v>
      </c>
      <c r="I2433">
        <f>HEX2DEC(Table1[[#This Row],[utf8]])</f>
        <v>128652</v>
      </c>
      <c r="J2433" t="str">
        <f>_xlfn.UNICHAR(HEX2DEC(Table1[[#This Row],[utf8]]))</f>
        <v>🚌</v>
      </c>
      <c r="K2433" s="3" t="str" cm="1">
        <f t="array" ref="K2433">"Case "&amp;wRandomLetter()&amp;wRandomLetter()&amp;I2433&amp;":    UniConst = ChrW(" &amp; I2433 &amp;")"</f>
        <v>Case yr128652:    UniConst = ChrW(128652)</v>
      </c>
    </row>
    <row r="2434" spans="1:11" hidden="1">
      <c r="A2434" t="s">
        <v>3521</v>
      </c>
      <c r="B2434" t="str">
        <f t="shared" si="224"/>
        <v>1F68D ; fully-qualified # 🚍 E0.7 oncoming bus</v>
      </c>
      <c r="C2434" t="str">
        <f t="shared" si="225"/>
        <v xml:space="preserve">1F68D </v>
      </c>
      <c r="D2434">
        <f t="shared" si="226"/>
        <v>6</v>
      </c>
      <c r="E2434" t="str">
        <f t="shared" ref="E2434:E2497" si="228">MID(A2434,FIND("#",A2434)+1,256)</f>
        <v xml:space="preserve"> 🚍 E0.7 oncoming bus</v>
      </c>
      <c r="F2434" t="b">
        <f t="shared" si="227"/>
        <v>1</v>
      </c>
      <c r="G2434" t="str">
        <f t="shared" ref="G2434:G2497" si="229">LEFT(C2434,(FIND(" ",C2434,1)-1))</f>
        <v>1F68D</v>
      </c>
      <c r="I2434">
        <f>HEX2DEC(Table1[[#This Row],[utf8]])</f>
        <v>128653</v>
      </c>
      <c r="J2434" t="str">
        <f>_xlfn.UNICHAR(HEX2DEC(Table1[[#This Row],[utf8]]))</f>
        <v>🚍</v>
      </c>
      <c r="K2434" s="3" t="str" cm="1">
        <f t="array" ref="K2434">"Case "&amp;wRandomLetter()&amp;wRandomLetter()&amp;I2434&amp;":    UniConst = ChrW(" &amp; I2434 &amp;")"</f>
        <v>Case gj128653:    UniConst = ChrW(128653)</v>
      </c>
    </row>
    <row r="2435" spans="1:11" hidden="1">
      <c r="A2435" t="s">
        <v>3522</v>
      </c>
      <c r="B2435" t="str">
        <f t="shared" ref="B2435:B2498" si="230">TRIM(A2435)</f>
        <v>1F68E ; fully-qualified # 🚎 E1.0 trolleybus</v>
      </c>
      <c r="C2435" t="str">
        <f t="shared" ref="C2435:C2498" si="231">LEFT(B2435,(FIND(";",B2435,1)-1))</f>
        <v xml:space="preserve">1F68E </v>
      </c>
      <c r="D2435">
        <f t="shared" ref="D2435:D2498" si="232">LEN(C2435)</f>
        <v>6</v>
      </c>
      <c r="E2435" t="str">
        <f t="shared" si="228"/>
        <v xml:space="preserve"> 🚎 E1.0 trolleybus</v>
      </c>
      <c r="F2435" t="b">
        <f t="shared" ref="F2435:F2498" si="233">IF(LEFT(C2435,2)="1F",TRUE,FALSE)</f>
        <v>1</v>
      </c>
      <c r="G2435" t="str">
        <f t="shared" si="229"/>
        <v>1F68E</v>
      </c>
      <c r="I2435">
        <f>HEX2DEC(Table1[[#This Row],[utf8]])</f>
        <v>128654</v>
      </c>
      <c r="J2435" t="str">
        <f>_xlfn.UNICHAR(HEX2DEC(Table1[[#This Row],[utf8]]))</f>
        <v>🚎</v>
      </c>
      <c r="K2435" s="3" t="str" cm="1">
        <f t="array" ref="K2435">"Case "&amp;wRandomLetter()&amp;wRandomLetter()&amp;I2435&amp;":    UniConst = ChrW(" &amp; I2435 &amp;")"</f>
        <v>Case nl128654:    UniConst = ChrW(128654)</v>
      </c>
    </row>
    <row r="2436" spans="1:11" hidden="1">
      <c r="A2436" t="s">
        <v>3549</v>
      </c>
      <c r="B2436" t="str">
        <f t="shared" si="230"/>
        <v>1F68F ; fully-qualified # 🚏 E0.6 bus stop</v>
      </c>
      <c r="C2436" t="str">
        <f t="shared" si="231"/>
        <v xml:space="preserve">1F68F </v>
      </c>
      <c r="D2436">
        <f t="shared" si="232"/>
        <v>6</v>
      </c>
      <c r="E2436" t="str">
        <f t="shared" si="228"/>
        <v xml:space="preserve"> 🚏 E0.6 bus stop</v>
      </c>
      <c r="F2436" t="b">
        <f t="shared" si="233"/>
        <v>1</v>
      </c>
      <c r="G2436" t="str">
        <f t="shared" si="229"/>
        <v>1F68F</v>
      </c>
      <c r="I2436">
        <f>HEX2DEC(Table1[[#This Row],[utf8]])</f>
        <v>128655</v>
      </c>
      <c r="J2436" t="str">
        <f>_xlfn.UNICHAR(HEX2DEC(Table1[[#This Row],[utf8]]))</f>
        <v>🚏</v>
      </c>
      <c r="K2436" s="3" t="str" cm="1">
        <f t="array" ref="K2436">"Case "&amp;wRandomLetter()&amp;wRandomLetter()&amp;I2436&amp;":    UniConst = ChrW(" &amp; I2436 &amp;")"</f>
        <v>Case wZ128655:    UniConst = ChrW(128655)</v>
      </c>
    </row>
    <row r="2437" spans="1:11" hidden="1">
      <c r="A2437" t="s">
        <v>3523</v>
      </c>
      <c r="B2437" t="str">
        <f t="shared" si="230"/>
        <v>1F690 ; fully-qualified # 🚐 E1.0 minibus</v>
      </c>
      <c r="C2437" t="str">
        <f t="shared" si="231"/>
        <v xml:space="preserve">1F690 </v>
      </c>
      <c r="D2437">
        <f t="shared" si="232"/>
        <v>6</v>
      </c>
      <c r="E2437" t="str">
        <f t="shared" si="228"/>
        <v xml:space="preserve"> 🚐 E1.0 minibus</v>
      </c>
      <c r="F2437" t="b">
        <f t="shared" si="233"/>
        <v>1</v>
      </c>
      <c r="G2437" t="str">
        <f t="shared" si="229"/>
        <v>1F690</v>
      </c>
      <c r="I2437">
        <f>HEX2DEC(Table1[[#This Row],[utf8]])</f>
        <v>128656</v>
      </c>
      <c r="J2437" t="str">
        <f>_xlfn.UNICHAR(HEX2DEC(Table1[[#This Row],[utf8]]))</f>
        <v>🚐</v>
      </c>
      <c r="K2437" s="3" t="str" cm="1">
        <f t="array" ref="K2437">"Case "&amp;wRandomLetter()&amp;wRandomLetter()&amp;I2437&amp;":    UniConst = ChrW(" &amp; I2437 &amp;")"</f>
        <v>Case CX128656:    UniConst = ChrW(128656)</v>
      </c>
    </row>
    <row r="2438" spans="1:11" hidden="1">
      <c r="A2438" t="s">
        <v>3524</v>
      </c>
      <c r="B2438" t="str">
        <f t="shared" si="230"/>
        <v>1F691 ; fully-qualified # 🚑 E0.6 ambulance</v>
      </c>
      <c r="C2438" t="str">
        <f t="shared" si="231"/>
        <v xml:space="preserve">1F691 </v>
      </c>
      <c r="D2438">
        <f t="shared" si="232"/>
        <v>6</v>
      </c>
      <c r="E2438" t="str">
        <f t="shared" si="228"/>
        <v xml:space="preserve"> 🚑 E0.6 ambulance</v>
      </c>
      <c r="F2438" t="b">
        <f t="shared" si="233"/>
        <v>1</v>
      </c>
      <c r="G2438" t="str">
        <f t="shared" si="229"/>
        <v>1F691</v>
      </c>
      <c r="I2438">
        <f>HEX2DEC(Table1[[#This Row],[utf8]])</f>
        <v>128657</v>
      </c>
      <c r="J2438" t="str">
        <f>_xlfn.UNICHAR(HEX2DEC(Table1[[#This Row],[utf8]]))</f>
        <v>🚑</v>
      </c>
      <c r="K2438" s="3" t="str" cm="1">
        <f t="array" ref="K2438">"Case "&amp;wRandomLetter()&amp;wRandomLetter()&amp;I2438&amp;":    UniConst = ChrW(" &amp; I2438 &amp;")"</f>
        <v>Case uE128657:    UniConst = ChrW(128657)</v>
      </c>
    </row>
    <row r="2439" spans="1:11" hidden="1">
      <c r="A2439" t="s">
        <v>3525</v>
      </c>
      <c r="B2439" t="str">
        <f t="shared" si="230"/>
        <v>1F692 ; fully-qualified # 🚒 E0.6 fire engine</v>
      </c>
      <c r="C2439" t="str">
        <f t="shared" si="231"/>
        <v xml:space="preserve">1F692 </v>
      </c>
      <c r="D2439">
        <f t="shared" si="232"/>
        <v>6</v>
      </c>
      <c r="E2439" t="str">
        <f t="shared" si="228"/>
        <v xml:space="preserve"> 🚒 E0.6 fire engine</v>
      </c>
      <c r="F2439" t="b">
        <f t="shared" si="233"/>
        <v>1</v>
      </c>
      <c r="G2439" t="str">
        <f t="shared" si="229"/>
        <v>1F692</v>
      </c>
      <c r="I2439">
        <f>HEX2DEC(Table1[[#This Row],[utf8]])</f>
        <v>128658</v>
      </c>
      <c r="J2439" t="str">
        <f>_xlfn.UNICHAR(HEX2DEC(Table1[[#This Row],[utf8]]))</f>
        <v>🚒</v>
      </c>
      <c r="K2439" s="3" t="str" cm="1">
        <f t="array" ref="K2439">"Case "&amp;wRandomLetter()&amp;wRandomLetter()&amp;I2439&amp;":    UniConst = ChrW(" &amp; I2439 &amp;")"</f>
        <v>Case On128658:    UniConst = ChrW(128658)</v>
      </c>
    </row>
    <row r="2440" spans="1:11" hidden="1">
      <c r="A2440" t="s">
        <v>3526</v>
      </c>
      <c r="B2440" t="str">
        <f t="shared" si="230"/>
        <v>1F693 ; fully-qualified # 🚓 E0.6 police car</v>
      </c>
      <c r="C2440" t="str">
        <f t="shared" si="231"/>
        <v xml:space="preserve">1F693 </v>
      </c>
      <c r="D2440">
        <f t="shared" si="232"/>
        <v>6</v>
      </c>
      <c r="E2440" t="str">
        <f t="shared" si="228"/>
        <v xml:space="preserve"> 🚓 E0.6 police car</v>
      </c>
      <c r="F2440" t="b">
        <f t="shared" si="233"/>
        <v>1</v>
      </c>
      <c r="G2440" t="str">
        <f t="shared" si="229"/>
        <v>1F693</v>
      </c>
      <c r="I2440">
        <f>HEX2DEC(Table1[[#This Row],[utf8]])</f>
        <v>128659</v>
      </c>
      <c r="J2440" t="str">
        <f>_xlfn.UNICHAR(HEX2DEC(Table1[[#This Row],[utf8]]))</f>
        <v>🚓</v>
      </c>
      <c r="K2440" s="3" t="str" cm="1">
        <f t="array" ref="K2440">"Case "&amp;wRandomLetter()&amp;wRandomLetter()&amp;I2440&amp;":    UniConst = ChrW(" &amp; I2440 &amp;")"</f>
        <v>Case hl128659:    UniConst = ChrW(128659)</v>
      </c>
    </row>
    <row r="2441" spans="1:11" hidden="1">
      <c r="A2441" t="s">
        <v>3527</v>
      </c>
      <c r="B2441" t="str">
        <f t="shared" si="230"/>
        <v>1F694 ; fully-qualified # 🚔 E0.7 oncoming police car</v>
      </c>
      <c r="C2441" t="str">
        <f t="shared" si="231"/>
        <v xml:space="preserve">1F694 </v>
      </c>
      <c r="D2441">
        <f t="shared" si="232"/>
        <v>6</v>
      </c>
      <c r="E2441" t="str">
        <f t="shared" si="228"/>
        <v xml:space="preserve"> 🚔 E0.7 oncoming police car</v>
      </c>
      <c r="F2441" t="b">
        <f t="shared" si="233"/>
        <v>1</v>
      </c>
      <c r="G2441" t="str">
        <f t="shared" si="229"/>
        <v>1F694</v>
      </c>
      <c r="I2441">
        <f>HEX2DEC(Table1[[#This Row],[utf8]])</f>
        <v>128660</v>
      </c>
      <c r="J2441" t="str">
        <f>_xlfn.UNICHAR(HEX2DEC(Table1[[#This Row],[utf8]]))</f>
        <v>🚔</v>
      </c>
      <c r="K2441" s="3" t="str" cm="1">
        <f t="array" ref="K2441">"Case "&amp;wRandomLetter()&amp;wRandomLetter()&amp;I2441&amp;":    UniConst = ChrW(" &amp; I2441 &amp;")"</f>
        <v>Case uS128660:    UniConst = ChrW(128660)</v>
      </c>
    </row>
    <row r="2442" spans="1:11" hidden="1">
      <c r="A2442" t="s">
        <v>3528</v>
      </c>
      <c r="B2442" t="str">
        <f t="shared" si="230"/>
        <v>1F695 ; fully-qualified # 🚕 E0.6 taxi</v>
      </c>
      <c r="C2442" t="str">
        <f t="shared" si="231"/>
        <v xml:space="preserve">1F695 </v>
      </c>
      <c r="D2442">
        <f t="shared" si="232"/>
        <v>6</v>
      </c>
      <c r="E2442" t="str">
        <f t="shared" si="228"/>
        <v xml:space="preserve"> 🚕 E0.6 taxi</v>
      </c>
      <c r="F2442" t="b">
        <f t="shared" si="233"/>
        <v>1</v>
      </c>
      <c r="G2442" t="str">
        <f t="shared" si="229"/>
        <v>1F695</v>
      </c>
      <c r="I2442">
        <f>HEX2DEC(Table1[[#This Row],[utf8]])</f>
        <v>128661</v>
      </c>
      <c r="J2442" t="str">
        <f>_xlfn.UNICHAR(HEX2DEC(Table1[[#This Row],[utf8]]))</f>
        <v>🚕</v>
      </c>
      <c r="K2442" s="3" t="str" cm="1">
        <f t="array" ref="K2442">"Case "&amp;wRandomLetter()&amp;wRandomLetter()&amp;I2442&amp;":    UniConst = ChrW(" &amp; I2442 &amp;")"</f>
        <v>Case uQ128661:    UniConst = ChrW(128661)</v>
      </c>
    </row>
    <row r="2443" spans="1:11" hidden="1">
      <c r="A2443" t="s">
        <v>3529</v>
      </c>
      <c r="B2443" t="str">
        <f t="shared" si="230"/>
        <v>1F696 ; fully-qualified # 🚖 E1.0 oncoming taxi</v>
      </c>
      <c r="C2443" t="str">
        <f t="shared" si="231"/>
        <v xml:space="preserve">1F696 </v>
      </c>
      <c r="D2443">
        <f t="shared" si="232"/>
        <v>6</v>
      </c>
      <c r="E2443" t="str">
        <f t="shared" si="228"/>
        <v xml:space="preserve"> 🚖 E1.0 oncoming taxi</v>
      </c>
      <c r="F2443" t="b">
        <f t="shared" si="233"/>
        <v>1</v>
      </c>
      <c r="G2443" t="str">
        <f t="shared" si="229"/>
        <v>1F696</v>
      </c>
      <c r="I2443">
        <f>HEX2DEC(Table1[[#This Row],[utf8]])</f>
        <v>128662</v>
      </c>
      <c r="J2443" t="str">
        <f>_xlfn.UNICHAR(HEX2DEC(Table1[[#This Row],[utf8]]))</f>
        <v>🚖</v>
      </c>
      <c r="K2443" s="3" t="str" cm="1">
        <f t="array" ref="K2443">"Case "&amp;wRandomLetter()&amp;wRandomLetter()&amp;I2443&amp;":    UniConst = ChrW(" &amp; I2443 &amp;")"</f>
        <v>Case cj128662:    UniConst = ChrW(128662)</v>
      </c>
    </row>
    <row r="2444" spans="1:11" hidden="1">
      <c r="A2444" t="s">
        <v>3530</v>
      </c>
      <c r="B2444" t="str">
        <f t="shared" si="230"/>
        <v>1F697 ; fully-qualified # 🚗 E0.6 automobile</v>
      </c>
      <c r="C2444" t="str">
        <f t="shared" si="231"/>
        <v xml:space="preserve">1F697 </v>
      </c>
      <c r="D2444">
        <f t="shared" si="232"/>
        <v>6</v>
      </c>
      <c r="E2444" t="str">
        <f t="shared" si="228"/>
        <v xml:space="preserve"> 🚗 E0.6 automobile</v>
      </c>
      <c r="F2444" t="b">
        <f t="shared" si="233"/>
        <v>1</v>
      </c>
      <c r="G2444" t="str">
        <f t="shared" si="229"/>
        <v>1F697</v>
      </c>
      <c r="I2444">
        <f>HEX2DEC(Table1[[#This Row],[utf8]])</f>
        <v>128663</v>
      </c>
      <c r="J2444" t="str">
        <f>_xlfn.UNICHAR(HEX2DEC(Table1[[#This Row],[utf8]]))</f>
        <v>🚗</v>
      </c>
      <c r="K2444" s="3" t="str" cm="1">
        <f t="array" ref="K2444">"Case "&amp;wRandomLetter()&amp;wRandomLetter()&amp;I2444&amp;":    UniConst = ChrW(" &amp; I2444 &amp;")"</f>
        <v>Case Jn128663:    UniConst = ChrW(128663)</v>
      </c>
    </row>
    <row r="2445" spans="1:11" hidden="1">
      <c r="A2445" t="s">
        <v>3531</v>
      </c>
      <c r="B2445" t="str">
        <f t="shared" si="230"/>
        <v>1F698 ; fully-qualified # 🚘 E0.7 oncoming automobile</v>
      </c>
      <c r="C2445" t="str">
        <f t="shared" si="231"/>
        <v xml:space="preserve">1F698 </v>
      </c>
      <c r="D2445">
        <f t="shared" si="232"/>
        <v>6</v>
      </c>
      <c r="E2445" t="str">
        <f t="shared" si="228"/>
        <v xml:space="preserve"> 🚘 E0.7 oncoming automobile</v>
      </c>
      <c r="F2445" t="b">
        <f t="shared" si="233"/>
        <v>1</v>
      </c>
      <c r="G2445" t="str">
        <f t="shared" si="229"/>
        <v>1F698</v>
      </c>
      <c r="I2445">
        <f>HEX2DEC(Table1[[#This Row],[utf8]])</f>
        <v>128664</v>
      </c>
      <c r="J2445" t="str">
        <f>_xlfn.UNICHAR(HEX2DEC(Table1[[#This Row],[utf8]]))</f>
        <v>🚘</v>
      </c>
      <c r="K2445" s="3" t="str" cm="1">
        <f t="array" ref="K2445">"Case "&amp;wRandomLetter()&amp;wRandomLetter()&amp;I2445&amp;":    UniConst = ChrW(" &amp; I2445 &amp;")"</f>
        <v>Case Hx128664:    UniConst = ChrW(128664)</v>
      </c>
    </row>
    <row r="2446" spans="1:11" hidden="1">
      <c r="A2446" t="s">
        <v>3532</v>
      </c>
      <c r="B2446" t="str">
        <f t="shared" si="230"/>
        <v>1F699 ; fully-qualified # 🚙 E0.6 sport utility vehicle</v>
      </c>
      <c r="C2446" t="str">
        <f t="shared" si="231"/>
        <v xml:space="preserve">1F699 </v>
      </c>
      <c r="D2446">
        <f t="shared" si="232"/>
        <v>6</v>
      </c>
      <c r="E2446" t="str">
        <f t="shared" si="228"/>
        <v xml:space="preserve"> 🚙 E0.6 sport utility vehicle</v>
      </c>
      <c r="F2446" t="b">
        <f t="shared" si="233"/>
        <v>1</v>
      </c>
      <c r="G2446" t="str">
        <f t="shared" si="229"/>
        <v>1F699</v>
      </c>
      <c r="I2446">
        <f>HEX2DEC(Table1[[#This Row],[utf8]])</f>
        <v>128665</v>
      </c>
      <c r="J2446" t="str">
        <f>_xlfn.UNICHAR(HEX2DEC(Table1[[#This Row],[utf8]]))</f>
        <v>🚙</v>
      </c>
      <c r="K2446" s="3" t="str" cm="1">
        <f t="array" ref="K2446">"Case "&amp;wRandomLetter()&amp;wRandomLetter()&amp;I2446&amp;":    UniConst = ChrW(" &amp; I2446 &amp;")"</f>
        <v>Case hz128665:    UniConst = ChrW(128665)</v>
      </c>
    </row>
    <row r="2447" spans="1:11" hidden="1">
      <c r="A2447" t="s">
        <v>3534</v>
      </c>
      <c r="B2447" t="str">
        <f t="shared" si="230"/>
        <v>1F69A ; fully-qualified # 🚚 E0.6 delivery truck</v>
      </c>
      <c r="C2447" t="str">
        <f t="shared" si="231"/>
        <v xml:space="preserve">1F69A </v>
      </c>
      <c r="D2447">
        <f t="shared" si="232"/>
        <v>6</v>
      </c>
      <c r="E2447" t="str">
        <f t="shared" si="228"/>
        <v xml:space="preserve"> 🚚 E0.6 delivery truck</v>
      </c>
      <c r="F2447" t="b">
        <f t="shared" si="233"/>
        <v>1</v>
      </c>
      <c r="G2447" t="str">
        <f t="shared" si="229"/>
        <v>1F69A</v>
      </c>
      <c r="I2447">
        <f>HEX2DEC(Table1[[#This Row],[utf8]])</f>
        <v>128666</v>
      </c>
      <c r="J2447" t="str">
        <f>_xlfn.UNICHAR(HEX2DEC(Table1[[#This Row],[utf8]]))</f>
        <v>🚚</v>
      </c>
      <c r="K2447" s="3" t="str" cm="1">
        <f t="array" ref="K2447">"Case "&amp;wRandomLetter()&amp;wRandomLetter()&amp;I2447&amp;":    UniConst = ChrW(" &amp; I2447 &amp;")"</f>
        <v>Case QZ128666:    UniConst = ChrW(128666)</v>
      </c>
    </row>
    <row r="2448" spans="1:11" hidden="1">
      <c r="A2448" t="s">
        <v>3535</v>
      </c>
      <c r="B2448" t="str">
        <f t="shared" si="230"/>
        <v>1F69B ; fully-qualified # 🚛 E1.0 articulated lorry</v>
      </c>
      <c r="C2448" t="str">
        <f t="shared" si="231"/>
        <v xml:space="preserve">1F69B </v>
      </c>
      <c r="D2448">
        <f t="shared" si="232"/>
        <v>6</v>
      </c>
      <c r="E2448" t="str">
        <f t="shared" si="228"/>
        <v xml:space="preserve"> 🚛 E1.0 articulated lorry</v>
      </c>
      <c r="F2448" t="b">
        <f t="shared" si="233"/>
        <v>1</v>
      </c>
      <c r="G2448" t="str">
        <f t="shared" si="229"/>
        <v>1F69B</v>
      </c>
      <c r="I2448">
        <f>HEX2DEC(Table1[[#This Row],[utf8]])</f>
        <v>128667</v>
      </c>
      <c r="J2448" t="str">
        <f>_xlfn.UNICHAR(HEX2DEC(Table1[[#This Row],[utf8]]))</f>
        <v>🚛</v>
      </c>
      <c r="K2448" s="3" t="str" cm="1">
        <f t="array" ref="K2448">"Case "&amp;wRandomLetter()&amp;wRandomLetter()&amp;I2448&amp;":    UniConst = ChrW(" &amp; I2448 &amp;")"</f>
        <v>Case xU128667:    UniConst = ChrW(128667)</v>
      </c>
    </row>
    <row r="2449" spans="1:11" hidden="1">
      <c r="A2449" t="s">
        <v>3536</v>
      </c>
      <c r="B2449" t="str">
        <f t="shared" si="230"/>
        <v>1F69C ; fully-qualified # 🚜 E1.0 tractor</v>
      </c>
      <c r="C2449" t="str">
        <f t="shared" si="231"/>
        <v xml:space="preserve">1F69C </v>
      </c>
      <c r="D2449">
        <f t="shared" si="232"/>
        <v>6</v>
      </c>
      <c r="E2449" t="str">
        <f t="shared" si="228"/>
        <v xml:space="preserve"> 🚜 E1.0 tractor</v>
      </c>
      <c r="F2449" t="b">
        <f t="shared" si="233"/>
        <v>1</v>
      </c>
      <c r="G2449" t="str">
        <f t="shared" si="229"/>
        <v>1F69C</v>
      </c>
      <c r="I2449">
        <f>HEX2DEC(Table1[[#This Row],[utf8]])</f>
        <v>128668</v>
      </c>
      <c r="J2449" t="str">
        <f>_xlfn.UNICHAR(HEX2DEC(Table1[[#This Row],[utf8]]))</f>
        <v>🚜</v>
      </c>
      <c r="K2449" s="3" t="str" cm="1">
        <f t="array" ref="K2449">"Case "&amp;wRandomLetter()&amp;wRandomLetter()&amp;I2449&amp;":    UniConst = ChrW(" &amp; I2449 &amp;")"</f>
        <v>Case DU128668:    UniConst = ChrW(128668)</v>
      </c>
    </row>
    <row r="2450" spans="1:11" hidden="1">
      <c r="A2450" t="s">
        <v>3517</v>
      </c>
      <c r="B2450" t="str">
        <f t="shared" si="230"/>
        <v>1F69D ; fully-qualified # 🚝 E1.0 monorail</v>
      </c>
      <c r="C2450" t="str">
        <f t="shared" si="231"/>
        <v xml:space="preserve">1F69D </v>
      </c>
      <c r="D2450">
        <f t="shared" si="232"/>
        <v>6</v>
      </c>
      <c r="E2450" t="str">
        <f t="shared" si="228"/>
        <v xml:space="preserve"> 🚝 E1.0 monorail</v>
      </c>
      <c r="F2450" t="b">
        <f t="shared" si="233"/>
        <v>1</v>
      </c>
      <c r="G2450" t="str">
        <f t="shared" si="229"/>
        <v>1F69D</v>
      </c>
      <c r="I2450">
        <f>HEX2DEC(Table1[[#This Row],[utf8]])</f>
        <v>128669</v>
      </c>
      <c r="J2450" t="str">
        <f>_xlfn.UNICHAR(HEX2DEC(Table1[[#This Row],[utf8]]))</f>
        <v>🚝</v>
      </c>
      <c r="K2450" s="3" t="str" cm="1">
        <f t="array" ref="K2450">"Case "&amp;wRandomLetter()&amp;wRandomLetter()&amp;I2450&amp;":    UniConst = ChrW(" &amp; I2450 &amp;")"</f>
        <v>Case vD128669:    UniConst = ChrW(128669)</v>
      </c>
    </row>
    <row r="2451" spans="1:11" hidden="1">
      <c r="A2451" t="s">
        <v>3518</v>
      </c>
      <c r="B2451" t="str">
        <f t="shared" si="230"/>
        <v>1F69E ; fully-qualified # 🚞 E1.0 mountain railway</v>
      </c>
      <c r="C2451" t="str">
        <f t="shared" si="231"/>
        <v xml:space="preserve">1F69E </v>
      </c>
      <c r="D2451">
        <f t="shared" si="232"/>
        <v>6</v>
      </c>
      <c r="E2451" t="str">
        <f t="shared" si="228"/>
        <v xml:space="preserve"> 🚞 E1.0 mountain railway</v>
      </c>
      <c r="F2451" t="b">
        <f t="shared" si="233"/>
        <v>1</v>
      </c>
      <c r="G2451" t="str">
        <f t="shared" si="229"/>
        <v>1F69E</v>
      </c>
      <c r="I2451">
        <f>HEX2DEC(Table1[[#This Row],[utf8]])</f>
        <v>128670</v>
      </c>
      <c r="J2451" t="str">
        <f>_xlfn.UNICHAR(HEX2DEC(Table1[[#This Row],[utf8]]))</f>
        <v>🚞</v>
      </c>
      <c r="K2451" s="3" t="str" cm="1">
        <f t="array" ref="K2451">"Case "&amp;wRandomLetter()&amp;wRandomLetter()&amp;I2451&amp;":    UniConst = ChrW(" &amp; I2451 &amp;")"</f>
        <v>Case XU128670:    UniConst = ChrW(128670)</v>
      </c>
    </row>
    <row r="2452" spans="1:11" hidden="1">
      <c r="A2452" t="s">
        <v>3584</v>
      </c>
      <c r="B2452" t="str">
        <f t="shared" si="230"/>
        <v>1F69F ; fully-qualified # 🚟 E1.0 suspension railway</v>
      </c>
      <c r="C2452" t="str">
        <f t="shared" si="231"/>
        <v xml:space="preserve">1F69F </v>
      </c>
      <c r="D2452">
        <f t="shared" si="232"/>
        <v>6</v>
      </c>
      <c r="E2452" t="str">
        <f t="shared" si="228"/>
        <v xml:space="preserve"> 🚟 E1.0 suspension railway</v>
      </c>
      <c r="F2452" t="b">
        <f t="shared" si="233"/>
        <v>1</v>
      </c>
      <c r="G2452" t="str">
        <f t="shared" si="229"/>
        <v>1F69F</v>
      </c>
      <c r="I2452">
        <f>HEX2DEC(Table1[[#This Row],[utf8]])</f>
        <v>128671</v>
      </c>
      <c r="J2452" t="str">
        <f>_xlfn.UNICHAR(HEX2DEC(Table1[[#This Row],[utf8]]))</f>
        <v>🚟</v>
      </c>
      <c r="K2452" s="3" t="str" cm="1">
        <f t="array" ref="K2452">"Case "&amp;wRandomLetter()&amp;wRandomLetter()&amp;I2452&amp;":    UniConst = ChrW(" &amp; I2452 &amp;")"</f>
        <v>Case wR128671:    UniConst = ChrW(128671)</v>
      </c>
    </row>
    <row r="2453" spans="1:11" hidden="1">
      <c r="A2453" t="s">
        <v>3585</v>
      </c>
      <c r="B2453" t="str">
        <f t="shared" si="230"/>
        <v>1F6A0 ; fully-qualified # 🚠 E1.0 mountain cableway</v>
      </c>
      <c r="C2453" t="str">
        <f t="shared" si="231"/>
        <v xml:space="preserve">1F6A0 </v>
      </c>
      <c r="D2453">
        <f t="shared" si="232"/>
        <v>6</v>
      </c>
      <c r="E2453" t="str">
        <f t="shared" si="228"/>
        <v xml:space="preserve"> 🚠 E1.0 mountain cableway</v>
      </c>
      <c r="F2453" t="b">
        <f t="shared" si="233"/>
        <v>1</v>
      </c>
      <c r="G2453" t="str">
        <f t="shared" si="229"/>
        <v>1F6A0</v>
      </c>
      <c r="I2453">
        <f>HEX2DEC(Table1[[#This Row],[utf8]])</f>
        <v>128672</v>
      </c>
      <c r="J2453" t="str">
        <f>_xlfn.UNICHAR(HEX2DEC(Table1[[#This Row],[utf8]]))</f>
        <v>🚠</v>
      </c>
      <c r="K2453" s="3" t="str" cm="1">
        <f t="array" ref="K2453">"Case "&amp;wRandomLetter()&amp;wRandomLetter()&amp;I2453&amp;":    UniConst = ChrW(" &amp; I2453 &amp;")"</f>
        <v>Case dj128672:    UniConst = ChrW(128672)</v>
      </c>
    </row>
    <row r="2454" spans="1:11" hidden="1">
      <c r="A2454" t="s">
        <v>3586</v>
      </c>
      <c r="B2454" t="str">
        <f t="shared" si="230"/>
        <v>1F6A1 ; fully-qualified # 🚡 E1.0 aerial tramway</v>
      </c>
      <c r="C2454" t="str">
        <f t="shared" si="231"/>
        <v xml:space="preserve">1F6A1 </v>
      </c>
      <c r="D2454">
        <f t="shared" si="232"/>
        <v>6</v>
      </c>
      <c r="E2454" t="str">
        <f t="shared" si="228"/>
        <v xml:space="preserve"> 🚡 E1.0 aerial tramway</v>
      </c>
      <c r="F2454" t="b">
        <f t="shared" si="233"/>
        <v>1</v>
      </c>
      <c r="G2454" t="str">
        <f t="shared" si="229"/>
        <v>1F6A1</v>
      </c>
      <c r="I2454">
        <f>HEX2DEC(Table1[[#This Row],[utf8]])</f>
        <v>128673</v>
      </c>
      <c r="J2454" t="str">
        <f>_xlfn.UNICHAR(HEX2DEC(Table1[[#This Row],[utf8]]))</f>
        <v>🚡</v>
      </c>
      <c r="K2454" s="3" t="str" cm="1">
        <f t="array" ref="K2454">"Case "&amp;wRandomLetter()&amp;wRandomLetter()&amp;I2454&amp;":    UniConst = ChrW(" &amp; I2454 &amp;")"</f>
        <v>Case Pm128673:    UniConst = ChrW(128673)</v>
      </c>
    </row>
    <row r="2455" spans="1:11" hidden="1">
      <c r="A2455" t="s">
        <v>3573</v>
      </c>
      <c r="B2455" t="str">
        <f t="shared" si="230"/>
        <v>1F6A2 ; fully-qualified # 🚢 E0.6 ship</v>
      </c>
      <c r="C2455" t="str">
        <f t="shared" si="231"/>
        <v xml:space="preserve">1F6A2 </v>
      </c>
      <c r="D2455">
        <f t="shared" si="232"/>
        <v>6</v>
      </c>
      <c r="E2455" t="str">
        <f t="shared" si="228"/>
        <v xml:space="preserve"> 🚢 E0.6 ship</v>
      </c>
      <c r="F2455" t="b">
        <f t="shared" si="233"/>
        <v>1</v>
      </c>
      <c r="G2455" t="str">
        <f t="shared" si="229"/>
        <v>1F6A2</v>
      </c>
      <c r="I2455">
        <f>HEX2DEC(Table1[[#This Row],[utf8]])</f>
        <v>128674</v>
      </c>
      <c r="J2455" t="str">
        <f>_xlfn.UNICHAR(HEX2DEC(Table1[[#This Row],[utf8]]))</f>
        <v>🚢</v>
      </c>
      <c r="K2455" s="3" t="str" cm="1">
        <f t="array" ref="K2455">"Case "&amp;wRandomLetter()&amp;wRandomLetter()&amp;I2455&amp;":    UniConst = ChrW(" &amp; I2455 &amp;")"</f>
        <v>Case xY128674:    UniConst = ChrW(128674)</v>
      </c>
    </row>
    <row r="2456" spans="1:11" hidden="1">
      <c r="A2456" t="s">
        <v>2204</v>
      </c>
      <c r="B2456" t="str">
        <f t="shared" si="230"/>
        <v>1F6A3 ; fully-qualified # 🚣 E1.0 person rowing boat</v>
      </c>
      <c r="C2456" t="str">
        <f t="shared" si="231"/>
        <v xml:space="preserve">1F6A3 </v>
      </c>
      <c r="D2456">
        <f t="shared" si="232"/>
        <v>6</v>
      </c>
      <c r="E2456" t="str">
        <f t="shared" si="228"/>
        <v xml:space="preserve"> 🚣 E1.0 person rowing boat</v>
      </c>
      <c r="F2456" t="b">
        <f t="shared" si="233"/>
        <v>1</v>
      </c>
      <c r="G2456" t="str">
        <f t="shared" si="229"/>
        <v>1F6A3</v>
      </c>
      <c r="I2456">
        <f>HEX2DEC(Table1[[#This Row],[utf8]])</f>
        <v>128675</v>
      </c>
      <c r="J2456" t="str">
        <f>_xlfn.UNICHAR(HEX2DEC(Table1[[#This Row],[utf8]]))</f>
        <v>🚣</v>
      </c>
      <c r="K2456" s="3" t="str" cm="1">
        <f t="array" ref="K2456">"Case "&amp;wRandomLetter()&amp;wRandomLetter()&amp;I2456&amp;":    UniConst = ChrW(" &amp; I2456 &amp;")"</f>
        <v>Case fc128675:    UniConst = ChrW(128675)</v>
      </c>
    </row>
    <row r="2457" spans="1:11" hidden="1">
      <c r="A2457" t="s">
        <v>2205</v>
      </c>
      <c r="B2457" t="str">
        <f t="shared" si="230"/>
        <v>1F6A3 1F3FB ; fully-qualified # 🚣🏻 E1.0 person rowing boat: light skin tone</v>
      </c>
      <c r="C2457" t="str">
        <f t="shared" si="231"/>
        <v xml:space="preserve">1F6A3 1F3FB </v>
      </c>
      <c r="D2457">
        <f t="shared" si="232"/>
        <v>12</v>
      </c>
      <c r="E2457" t="str">
        <f t="shared" si="228"/>
        <v xml:space="preserve"> 🚣🏻 E1.0 person rowing boat: light skin tone</v>
      </c>
      <c r="F2457" t="b">
        <f t="shared" si="233"/>
        <v>1</v>
      </c>
      <c r="G2457" t="str">
        <f t="shared" si="229"/>
        <v>1F6A3</v>
      </c>
      <c r="I2457">
        <f>HEX2DEC(Table1[[#This Row],[utf8]])</f>
        <v>128675</v>
      </c>
      <c r="J2457" t="str">
        <f>_xlfn.UNICHAR(HEX2DEC(Table1[[#This Row],[utf8]]))</f>
        <v>🚣</v>
      </c>
      <c r="K2457" s="3" t="str" cm="1">
        <f t="array" ref="K2457">"Case "&amp;wRandomLetter()&amp;wRandomLetter()&amp;I2457&amp;":    UniConst = ChrW(" &amp; I2457 &amp;")"</f>
        <v>Case Da128675:    UniConst = ChrW(128675)</v>
      </c>
    </row>
    <row r="2458" spans="1:11" hidden="1">
      <c r="A2458" t="s">
        <v>2225</v>
      </c>
      <c r="B2458" t="str">
        <f t="shared" si="230"/>
        <v>1F6A3 1F3FB 200D 2640 ; minimally-qualified # 🚣🏻‍♀ E4.0 woman rowing boat: light skin tone</v>
      </c>
      <c r="C2458" t="str">
        <f t="shared" si="231"/>
        <v xml:space="preserve">1F6A3 1F3FB 200D 2640 </v>
      </c>
      <c r="D2458">
        <f t="shared" si="232"/>
        <v>22</v>
      </c>
      <c r="E2458" t="str">
        <f t="shared" si="228"/>
        <v xml:space="preserve"> 🚣🏻‍♀ E4.0 woman rowing boat: light skin tone</v>
      </c>
      <c r="F2458" t="b">
        <f t="shared" si="233"/>
        <v>1</v>
      </c>
      <c r="G2458" t="str">
        <f t="shared" si="229"/>
        <v>1F6A3</v>
      </c>
      <c r="I2458">
        <f>HEX2DEC(Table1[[#This Row],[utf8]])</f>
        <v>128675</v>
      </c>
      <c r="J2458" t="str">
        <f>_xlfn.UNICHAR(HEX2DEC(Table1[[#This Row],[utf8]]))</f>
        <v>🚣</v>
      </c>
      <c r="K2458" s="3" t="str" cm="1">
        <f t="array" ref="K2458">"Case "&amp;wRandomLetter()&amp;wRandomLetter()&amp;I2458&amp;":    UniConst = ChrW(" &amp; I2458 &amp;")"</f>
        <v>Case TP128675:    UniConst = ChrW(128675)</v>
      </c>
    </row>
    <row r="2459" spans="1:11" hidden="1">
      <c r="A2459" t="s">
        <v>2224</v>
      </c>
      <c r="B2459" t="str">
        <f t="shared" si="230"/>
        <v>1F6A3 1F3FB 200D 2640 FE0F ; fully-qualified # 🚣🏻‍♀️ E4.0 woman rowing boat: light skin tone</v>
      </c>
      <c r="C2459" t="str">
        <f t="shared" si="231"/>
        <v xml:space="preserve">1F6A3 1F3FB 200D 2640 FE0F </v>
      </c>
      <c r="D2459">
        <f t="shared" si="232"/>
        <v>27</v>
      </c>
      <c r="E2459" t="str">
        <f t="shared" si="228"/>
        <v xml:space="preserve"> 🚣🏻‍♀️ E4.0 woman rowing boat: light skin tone</v>
      </c>
      <c r="F2459" t="b">
        <f t="shared" si="233"/>
        <v>1</v>
      </c>
      <c r="G2459" t="str">
        <f t="shared" si="229"/>
        <v>1F6A3</v>
      </c>
      <c r="I2459">
        <f>HEX2DEC(Table1[[#This Row],[utf8]])</f>
        <v>128675</v>
      </c>
      <c r="J2459" t="str">
        <f>_xlfn.UNICHAR(HEX2DEC(Table1[[#This Row],[utf8]]))</f>
        <v>🚣</v>
      </c>
      <c r="K2459" s="3" t="str" cm="1">
        <f t="array" ref="K2459">"Case "&amp;wRandomLetter()&amp;wRandomLetter()&amp;I2459&amp;":    UniConst = ChrW(" &amp; I2459 &amp;")"</f>
        <v>Case vO128675:    UniConst = ChrW(128675)</v>
      </c>
    </row>
    <row r="2460" spans="1:11" hidden="1">
      <c r="A2460" t="s">
        <v>2213</v>
      </c>
      <c r="B2460" t="str">
        <f t="shared" si="230"/>
        <v>1F6A3 1F3FB 200D 2642 ; minimally-qualified # 🚣🏻‍♂ E4.0 man rowing boat: light skin tone</v>
      </c>
      <c r="C2460" t="str">
        <f t="shared" si="231"/>
        <v xml:space="preserve">1F6A3 1F3FB 200D 2642 </v>
      </c>
      <c r="D2460">
        <f t="shared" si="232"/>
        <v>22</v>
      </c>
      <c r="E2460" t="str">
        <f t="shared" si="228"/>
        <v xml:space="preserve"> 🚣🏻‍♂ E4.0 man rowing boat: light skin tone</v>
      </c>
      <c r="F2460" t="b">
        <f t="shared" si="233"/>
        <v>1</v>
      </c>
      <c r="G2460" t="str">
        <f t="shared" si="229"/>
        <v>1F6A3</v>
      </c>
      <c r="I2460">
        <f>HEX2DEC(Table1[[#This Row],[utf8]])</f>
        <v>128675</v>
      </c>
      <c r="J2460" t="str">
        <f>_xlfn.UNICHAR(HEX2DEC(Table1[[#This Row],[utf8]]))</f>
        <v>🚣</v>
      </c>
      <c r="K2460" s="3" t="str" cm="1">
        <f t="array" ref="K2460">"Case "&amp;wRandomLetter()&amp;wRandomLetter()&amp;I2460&amp;":    UniConst = ChrW(" &amp; I2460 &amp;")"</f>
        <v>Case rY128675:    UniConst = ChrW(128675)</v>
      </c>
    </row>
    <row r="2461" spans="1:11" hidden="1">
      <c r="A2461" t="s">
        <v>2212</v>
      </c>
      <c r="B2461" t="str">
        <f t="shared" si="230"/>
        <v>1F6A3 1F3FB 200D 2642 FE0F ; fully-qualified # 🚣🏻‍♂️ E4.0 man rowing boat: light skin tone</v>
      </c>
      <c r="C2461" t="str">
        <f t="shared" si="231"/>
        <v xml:space="preserve">1F6A3 1F3FB 200D 2642 FE0F </v>
      </c>
      <c r="D2461">
        <f t="shared" si="232"/>
        <v>27</v>
      </c>
      <c r="E2461" t="str">
        <f t="shared" si="228"/>
        <v xml:space="preserve"> 🚣🏻‍♂️ E4.0 man rowing boat: light skin tone</v>
      </c>
      <c r="F2461" t="b">
        <f t="shared" si="233"/>
        <v>1</v>
      </c>
      <c r="G2461" t="str">
        <f t="shared" si="229"/>
        <v>1F6A3</v>
      </c>
      <c r="I2461">
        <f>HEX2DEC(Table1[[#This Row],[utf8]])</f>
        <v>128675</v>
      </c>
      <c r="J2461" t="str">
        <f>_xlfn.UNICHAR(HEX2DEC(Table1[[#This Row],[utf8]]))</f>
        <v>🚣</v>
      </c>
      <c r="K2461" s="3" t="str" cm="1">
        <f t="array" ref="K2461">"Case "&amp;wRandomLetter()&amp;wRandomLetter()&amp;I2461&amp;":    UniConst = ChrW(" &amp; I2461 &amp;")"</f>
        <v>Case xt128675:    UniConst = ChrW(128675)</v>
      </c>
    </row>
    <row r="2462" spans="1:11" hidden="1">
      <c r="A2462" t="s">
        <v>2206</v>
      </c>
      <c r="B2462" t="str">
        <f t="shared" si="230"/>
        <v>1F6A3 1F3FC ; fully-qualified # 🚣🏼 E1.0 person rowing boat: medium-light skin tone</v>
      </c>
      <c r="C2462" t="str">
        <f t="shared" si="231"/>
        <v xml:space="preserve">1F6A3 1F3FC </v>
      </c>
      <c r="D2462">
        <f t="shared" si="232"/>
        <v>12</v>
      </c>
      <c r="E2462" t="str">
        <f t="shared" si="228"/>
        <v xml:space="preserve"> 🚣🏼 E1.0 person rowing boat: medium-light skin tone</v>
      </c>
      <c r="F2462" t="b">
        <f t="shared" si="233"/>
        <v>1</v>
      </c>
      <c r="G2462" t="str">
        <f t="shared" si="229"/>
        <v>1F6A3</v>
      </c>
      <c r="I2462">
        <f>HEX2DEC(Table1[[#This Row],[utf8]])</f>
        <v>128675</v>
      </c>
      <c r="J2462" t="str">
        <f>_xlfn.UNICHAR(HEX2DEC(Table1[[#This Row],[utf8]]))</f>
        <v>🚣</v>
      </c>
      <c r="K2462" s="3" t="str" cm="1">
        <f t="array" ref="K2462">"Case "&amp;wRandomLetter()&amp;wRandomLetter()&amp;I2462&amp;":    UniConst = ChrW(" &amp; I2462 &amp;")"</f>
        <v>Case RW128675:    UniConst = ChrW(128675)</v>
      </c>
    </row>
    <row r="2463" spans="1:11" hidden="1">
      <c r="A2463" t="s">
        <v>2227</v>
      </c>
      <c r="B2463" t="str">
        <f t="shared" si="230"/>
        <v>1F6A3 1F3FC 200D 2640 ; minimally-qualified # 🚣🏼‍♀ E4.0 woman rowing boat: medium-light skin tone</v>
      </c>
      <c r="C2463" t="str">
        <f t="shared" si="231"/>
        <v xml:space="preserve">1F6A3 1F3FC 200D 2640 </v>
      </c>
      <c r="D2463">
        <f t="shared" si="232"/>
        <v>22</v>
      </c>
      <c r="E2463" t="str">
        <f t="shared" si="228"/>
        <v xml:space="preserve"> 🚣🏼‍♀ E4.0 woman rowing boat: medium-light skin tone</v>
      </c>
      <c r="F2463" t="b">
        <f t="shared" si="233"/>
        <v>1</v>
      </c>
      <c r="G2463" t="str">
        <f t="shared" si="229"/>
        <v>1F6A3</v>
      </c>
      <c r="I2463">
        <f>HEX2DEC(Table1[[#This Row],[utf8]])</f>
        <v>128675</v>
      </c>
      <c r="J2463" t="str">
        <f>_xlfn.UNICHAR(HEX2DEC(Table1[[#This Row],[utf8]]))</f>
        <v>🚣</v>
      </c>
      <c r="K2463" s="3" t="str" cm="1">
        <f t="array" ref="K2463">"Case "&amp;wRandomLetter()&amp;wRandomLetter()&amp;I2463&amp;":    UniConst = ChrW(" &amp; I2463 &amp;")"</f>
        <v>Case cl128675:    UniConst = ChrW(128675)</v>
      </c>
    </row>
    <row r="2464" spans="1:11" hidden="1">
      <c r="A2464" t="s">
        <v>2226</v>
      </c>
      <c r="B2464" t="str">
        <f t="shared" si="230"/>
        <v>1F6A3 1F3FC 200D 2640 FE0F ; fully-qualified # 🚣🏼‍♀️ E4.0 woman rowing boat: medium-light skin tone</v>
      </c>
      <c r="C2464" t="str">
        <f t="shared" si="231"/>
        <v xml:space="preserve">1F6A3 1F3FC 200D 2640 FE0F </v>
      </c>
      <c r="D2464">
        <f t="shared" si="232"/>
        <v>27</v>
      </c>
      <c r="E2464" t="str">
        <f t="shared" si="228"/>
        <v xml:space="preserve"> 🚣🏼‍♀️ E4.0 woman rowing boat: medium-light skin tone</v>
      </c>
      <c r="F2464" t="b">
        <f t="shared" si="233"/>
        <v>1</v>
      </c>
      <c r="G2464" t="str">
        <f t="shared" si="229"/>
        <v>1F6A3</v>
      </c>
      <c r="I2464">
        <f>HEX2DEC(Table1[[#This Row],[utf8]])</f>
        <v>128675</v>
      </c>
      <c r="J2464" t="str">
        <f>_xlfn.UNICHAR(HEX2DEC(Table1[[#This Row],[utf8]]))</f>
        <v>🚣</v>
      </c>
      <c r="K2464" s="3" t="str" cm="1">
        <f t="array" ref="K2464">"Case "&amp;wRandomLetter()&amp;wRandomLetter()&amp;I2464&amp;":    UniConst = ChrW(" &amp; I2464 &amp;")"</f>
        <v>Case SU128675:    UniConst = ChrW(128675)</v>
      </c>
    </row>
    <row r="2465" spans="1:11" hidden="1">
      <c r="A2465" t="s">
        <v>2215</v>
      </c>
      <c r="B2465" t="str">
        <f t="shared" si="230"/>
        <v>1F6A3 1F3FC 200D 2642 ; minimally-qualified # 🚣🏼‍♂ E4.0 man rowing boat: medium-light skin tone</v>
      </c>
      <c r="C2465" t="str">
        <f t="shared" si="231"/>
        <v xml:space="preserve">1F6A3 1F3FC 200D 2642 </v>
      </c>
      <c r="D2465">
        <f t="shared" si="232"/>
        <v>22</v>
      </c>
      <c r="E2465" t="str">
        <f t="shared" si="228"/>
        <v xml:space="preserve"> 🚣🏼‍♂ E4.0 man rowing boat: medium-light skin tone</v>
      </c>
      <c r="F2465" t="b">
        <f t="shared" si="233"/>
        <v>1</v>
      </c>
      <c r="G2465" t="str">
        <f t="shared" si="229"/>
        <v>1F6A3</v>
      </c>
      <c r="I2465">
        <f>HEX2DEC(Table1[[#This Row],[utf8]])</f>
        <v>128675</v>
      </c>
      <c r="J2465" t="str">
        <f>_xlfn.UNICHAR(HEX2DEC(Table1[[#This Row],[utf8]]))</f>
        <v>🚣</v>
      </c>
      <c r="K2465" s="3" t="str" cm="1">
        <f t="array" ref="K2465">"Case "&amp;wRandomLetter()&amp;wRandomLetter()&amp;I2465&amp;":    UniConst = ChrW(" &amp; I2465 &amp;")"</f>
        <v>Case OA128675:    UniConst = ChrW(128675)</v>
      </c>
    </row>
    <row r="2466" spans="1:11" hidden="1">
      <c r="A2466" t="s">
        <v>2214</v>
      </c>
      <c r="B2466" t="str">
        <f t="shared" si="230"/>
        <v>1F6A3 1F3FC 200D 2642 FE0F ; fully-qualified # 🚣🏼‍♂️ E4.0 man rowing boat: medium-light skin tone</v>
      </c>
      <c r="C2466" t="str">
        <f t="shared" si="231"/>
        <v xml:space="preserve">1F6A3 1F3FC 200D 2642 FE0F </v>
      </c>
      <c r="D2466">
        <f t="shared" si="232"/>
        <v>27</v>
      </c>
      <c r="E2466" t="str">
        <f t="shared" si="228"/>
        <v xml:space="preserve"> 🚣🏼‍♂️ E4.0 man rowing boat: medium-light skin tone</v>
      </c>
      <c r="F2466" t="b">
        <f t="shared" si="233"/>
        <v>1</v>
      </c>
      <c r="G2466" t="str">
        <f t="shared" si="229"/>
        <v>1F6A3</v>
      </c>
      <c r="I2466">
        <f>HEX2DEC(Table1[[#This Row],[utf8]])</f>
        <v>128675</v>
      </c>
      <c r="J2466" t="str">
        <f>_xlfn.UNICHAR(HEX2DEC(Table1[[#This Row],[utf8]]))</f>
        <v>🚣</v>
      </c>
      <c r="K2466" s="3" t="str" cm="1">
        <f t="array" ref="K2466">"Case "&amp;wRandomLetter()&amp;wRandomLetter()&amp;I2466&amp;":    UniConst = ChrW(" &amp; I2466 &amp;")"</f>
        <v>Case fT128675:    UniConst = ChrW(128675)</v>
      </c>
    </row>
    <row r="2467" spans="1:11" hidden="1">
      <c r="A2467" t="s">
        <v>2207</v>
      </c>
      <c r="B2467" t="str">
        <f t="shared" si="230"/>
        <v>1F6A3 1F3FD ; fully-qualified # 🚣🏽 E1.0 person rowing boat: medium skin tone</v>
      </c>
      <c r="C2467" t="str">
        <f t="shared" si="231"/>
        <v xml:space="preserve">1F6A3 1F3FD </v>
      </c>
      <c r="D2467">
        <f t="shared" si="232"/>
        <v>12</v>
      </c>
      <c r="E2467" t="str">
        <f t="shared" si="228"/>
        <v xml:space="preserve"> 🚣🏽 E1.0 person rowing boat: medium skin tone</v>
      </c>
      <c r="F2467" t="b">
        <f t="shared" si="233"/>
        <v>1</v>
      </c>
      <c r="G2467" t="str">
        <f t="shared" si="229"/>
        <v>1F6A3</v>
      </c>
      <c r="I2467">
        <f>HEX2DEC(Table1[[#This Row],[utf8]])</f>
        <v>128675</v>
      </c>
      <c r="J2467" t="str">
        <f>_xlfn.UNICHAR(HEX2DEC(Table1[[#This Row],[utf8]]))</f>
        <v>🚣</v>
      </c>
      <c r="K2467" s="3" t="str" cm="1">
        <f t="array" ref="K2467">"Case "&amp;wRandomLetter()&amp;wRandomLetter()&amp;I2467&amp;":    UniConst = ChrW(" &amp; I2467 &amp;")"</f>
        <v>Case JB128675:    UniConst = ChrW(128675)</v>
      </c>
    </row>
    <row r="2468" spans="1:11" hidden="1">
      <c r="A2468" t="s">
        <v>2229</v>
      </c>
      <c r="B2468" t="str">
        <f t="shared" si="230"/>
        <v>1F6A3 1F3FD 200D 2640 ; minimally-qualified # 🚣🏽‍♀ E4.0 woman rowing boat: medium skin tone</v>
      </c>
      <c r="C2468" t="str">
        <f t="shared" si="231"/>
        <v xml:space="preserve">1F6A3 1F3FD 200D 2640 </v>
      </c>
      <c r="D2468">
        <f t="shared" si="232"/>
        <v>22</v>
      </c>
      <c r="E2468" t="str">
        <f t="shared" si="228"/>
        <v xml:space="preserve"> 🚣🏽‍♀ E4.0 woman rowing boat: medium skin tone</v>
      </c>
      <c r="F2468" t="b">
        <f t="shared" si="233"/>
        <v>1</v>
      </c>
      <c r="G2468" t="str">
        <f t="shared" si="229"/>
        <v>1F6A3</v>
      </c>
      <c r="I2468">
        <f>HEX2DEC(Table1[[#This Row],[utf8]])</f>
        <v>128675</v>
      </c>
      <c r="J2468" t="str">
        <f>_xlfn.UNICHAR(HEX2DEC(Table1[[#This Row],[utf8]]))</f>
        <v>🚣</v>
      </c>
      <c r="K2468" s="3" t="str" cm="1">
        <f t="array" ref="K2468">"Case "&amp;wRandomLetter()&amp;wRandomLetter()&amp;I2468&amp;":    UniConst = ChrW(" &amp; I2468 &amp;")"</f>
        <v>Case rG128675:    UniConst = ChrW(128675)</v>
      </c>
    </row>
    <row r="2469" spans="1:11" hidden="1">
      <c r="A2469" t="s">
        <v>2228</v>
      </c>
      <c r="B2469" t="str">
        <f t="shared" si="230"/>
        <v>1F6A3 1F3FD 200D 2640 FE0F ; fully-qualified # 🚣🏽‍♀️ E4.0 woman rowing boat: medium skin tone</v>
      </c>
      <c r="C2469" t="str">
        <f t="shared" si="231"/>
        <v xml:space="preserve">1F6A3 1F3FD 200D 2640 FE0F </v>
      </c>
      <c r="D2469">
        <f t="shared" si="232"/>
        <v>27</v>
      </c>
      <c r="E2469" t="str">
        <f t="shared" si="228"/>
        <v xml:space="preserve"> 🚣🏽‍♀️ E4.0 woman rowing boat: medium skin tone</v>
      </c>
      <c r="F2469" t="b">
        <f t="shared" si="233"/>
        <v>1</v>
      </c>
      <c r="G2469" t="str">
        <f t="shared" si="229"/>
        <v>1F6A3</v>
      </c>
      <c r="I2469">
        <f>HEX2DEC(Table1[[#This Row],[utf8]])</f>
        <v>128675</v>
      </c>
      <c r="J2469" t="str">
        <f>_xlfn.UNICHAR(HEX2DEC(Table1[[#This Row],[utf8]]))</f>
        <v>🚣</v>
      </c>
      <c r="K2469" s="3" t="str" cm="1">
        <f t="array" ref="K2469">"Case "&amp;wRandomLetter()&amp;wRandomLetter()&amp;I2469&amp;":    UniConst = ChrW(" &amp; I2469 &amp;")"</f>
        <v>Case pT128675:    UniConst = ChrW(128675)</v>
      </c>
    </row>
    <row r="2470" spans="1:11" hidden="1">
      <c r="A2470" t="s">
        <v>2217</v>
      </c>
      <c r="B2470" t="str">
        <f t="shared" si="230"/>
        <v>1F6A3 1F3FD 200D 2642 ; minimally-qualified # 🚣🏽‍♂ E4.0 man rowing boat: medium skin tone</v>
      </c>
      <c r="C2470" t="str">
        <f t="shared" si="231"/>
        <v xml:space="preserve">1F6A3 1F3FD 200D 2642 </v>
      </c>
      <c r="D2470">
        <f t="shared" si="232"/>
        <v>22</v>
      </c>
      <c r="E2470" t="str">
        <f t="shared" si="228"/>
        <v xml:space="preserve"> 🚣🏽‍♂ E4.0 man rowing boat: medium skin tone</v>
      </c>
      <c r="F2470" t="b">
        <f t="shared" si="233"/>
        <v>1</v>
      </c>
      <c r="G2470" t="str">
        <f t="shared" si="229"/>
        <v>1F6A3</v>
      </c>
      <c r="I2470">
        <f>HEX2DEC(Table1[[#This Row],[utf8]])</f>
        <v>128675</v>
      </c>
      <c r="J2470" t="str">
        <f>_xlfn.UNICHAR(HEX2DEC(Table1[[#This Row],[utf8]]))</f>
        <v>🚣</v>
      </c>
      <c r="K2470" s="3" t="str" cm="1">
        <f t="array" ref="K2470">"Case "&amp;wRandomLetter()&amp;wRandomLetter()&amp;I2470&amp;":    UniConst = ChrW(" &amp; I2470 &amp;")"</f>
        <v>Case iZ128675:    UniConst = ChrW(128675)</v>
      </c>
    </row>
    <row r="2471" spans="1:11" hidden="1">
      <c r="A2471" t="s">
        <v>2216</v>
      </c>
      <c r="B2471" t="str">
        <f t="shared" si="230"/>
        <v>1F6A3 1F3FD 200D 2642 FE0F ; fully-qualified # 🚣🏽‍♂️ E4.0 man rowing boat: medium skin tone</v>
      </c>
      <c r="C2471" t="str">
        <f t="shared" si="231"/>
        <v xml:space="preserve">1F6A3 1F3FD 200D 2642 FE0F </v>
      </c>
      <c r="D2471">
        <f t="shared" si="232"/>
        <v>27</v>
      </c>
      <c r="E2471" t="str">
        <f t="shared" si="228"/>
        <v xml:space="preserve"> 🚣🏽‍♂️ E4.0 man rowing boat: medium skin tone</v>
      </c>
      <c r="F2471" t="b">
        <f t="shared" si="233"/>
        <v>1</v>
      </c>
      <c r="G2471" t="str">
        <f t="shared" si="229"/>
        <v>1F6A3</v>
      </c>
      <c r="I2471">
        <f>HEX2DEC(Table1[[#This Row],[utf8]])</f>
        <v>128675</v>
      </c>
      <c r="J2471" t="str">
        <f>_xlfn.UNICHAR(HEX2DEC(Table1[[#This Row],[utf8]]))</f>
        <v>🚣</v>
      </c>
      <c r="K2471" s="3" t="str" cm="1">
        <f t="array" ref="K2471">"Case "&amp;wRandomLetter()&amp;wRandomLetter()&amp;I2471&amp;":    UniConst = ChrW(" &amp; I2471 &amp;")"</f>
        <v>Case nW128675:    UniConst = ChrW(128675)</v>
      </c>
    </row>
    <row r="2472" spans="1:11" hidden="1">
      <c r="A2472" t="s">
        <v>2208</v>
      </c>
      <c r="B2472" t="str">
        <f t="shared" si="230"/>
        <v>1F6A3 1F3FE ; fully-qualified # 🚣🏾 E1.0 person rowing boat: medium-dark skin tone</v>
      </c>
      <c r="C2472" t="str">
        <f t="shared" si="231"/>
        <v xml:space="preserve">1F6A3 1F3FE </v>
      </c>
      <c r="D2472">
        <f t="shared" si="232"/>
        <v>12</v>
      </c>
      <c r="E2472" t="str">
        <f t="shared" si="228"/>
        <v xml:space="preserve"> 🚣🏾 E1.0 person rowing boat: medium-dark skin tone</v>
      </c>
      <c r="F2472" t="b">
        <f t="shared" si="233"/>
        <v>1</v>
      </c>
      <c r="G2472" t="str">
        <f t="shared" si="229"/>
        <v>1F6A3</v>
      </c>
      <c r="I2472">
        <f>HEX2DEC(Table1[[#This Row],[utf8]])</f>
        <v>128675</v>
      </c>
      <c r="J2472" t="str">
        <f>_xlfn.UNICHAR(HEX2DEC(Table1[[#This Row],[utf8]]))</f>
        <v>🚣</v>
      </c>
      <c r="K2472" s="3" t="str" cm="1">
        <f t="array" ref="K2472">"Case "&amp;wRandomLetter()&amp;wRandomLetter()&amp;I2472&amp;":    UniConst = ChrW(" &amp; I2472 &amp;")"</f>
        <v>Case HW128675:    UniConst = ChrW(128675)</v>
      </c>
    </row>
    <row r="2473" spans="1:11" hidden="1">
      <c r="A2473" t="s">
        <v>2231</v>
      </c>
      <c r="B2473" t="str">
        <f t="shared" si="230"/>
        <v>1F6A3 1F3FE 200D 2640 ; minimally-qualified # 🚣🏾‍♀ E4.0 woman rowing boat: medium-dark skin tone</v>
      </c>
      <c r="C2473" t="str">
        <f t="shared" si="231"/>
        <v xml:space="preserve">1F6A3 1F3FE 200D 2640 </v>
      </c>
      <c r="D2473">
        <f t="shared" si="232"/>
        <v>22</v>
      </c>
      <c r="E2473" t="str">
        <f t="shared" si="228"/>
        <v xml:space="preserve"> 🚣🏾‍♀ E4.0 woman rowing boat: medium-dark skin tone</v>
      </c>
      <c r="F2473" t="b">
        <f t="shared" si="233"/>
        <v>1</v>
      </c>
      <c r="G2473" t="str">
        <f t="shared" si="229"/>
        <v>1F6A3</v>
      </c>
      <c r="I2473">
        <f>HEX2DEC(Table1[[#This Row],[utf8]])</f>
        <v>128675</v>
      </c>
      <c r="J2473" t="str">
        <f>_xlfn.UNICHAR(HEX2DEC(Table1[[#This Row],[utf8]]))</f>
        <v>🚣</v>
      </c>
      <c r="K2473" s="3" t="str" cm="1">
        <f t="array" ref="K2473">"Case "&amp;wRandomLetter()&amp;wRandomLetter()&amp;I2473&amp;":    UniConst = ChrW(" &amp; I2473 &amp;")"</f>
        <v>Case Dt128675:    UniConst = ChrW(128675)</v>
      </c>
    </row>
    <row r="2474" spans="1:11" hidden="1">
      <c r="A2474" t="s">
        <v>2230</v>
      </c>
      <c r="B2474" t="str">
        <f t="shared" si="230"/>
        <v>1F6A3 1F3FE 200D 2640 FE0F ; fully-qualified # 🚣🏾‍♀️ E4.0 woman rowing boat: medium-dark skin tone</v>
      </c>
      <c r="C2474" t="str">
        <f t="shared" si="231"/>
        <v xml:space="preserve">1F6A3 1F3FE 200D 2640 FE0F </v>
      </c>
      <c r="D2474">
        <f t="shared" si="232"/>
        <v>27</v>
      </c>
      <c r="E2474" t="str">
        <f t="shared" si="228"/>
        <v xml:space="preserve"> 🚣🏾‍♀️ E4.0 woman rowing boat: medium-dark skin tone</v>
      </c>
      <c r="F2474" t="b">
        <f t="shared" si="233"/>
        <v>1</v>
      </c>
      <c r="G2474" t="str">
        <f t="shared" si="229"/>
        <v>1F6A3</v>
      </c>
      <c r="I2474">
        <f>HEX2DEC(Table1[[#This Row],[utf8]])</f>
        <v>128675</v>
      </c>
      <c r="J2474" t="str">
        <f>_xlfn.UNICHAR(HEX2DEC(Table1[[#This Row],[utf8]]))</f>
        <v>🚣</v>
      </c>
      <c r="K2474" s="3" t="str" cm="1">
        <f t="array" ref="K2474">"Case "&amp;wRandomLetter()&amp;wRandomLetter()&amp;I2474&amp;":    UniConst = ChrW(" &amp; I2474 &amp;")"</f>
        <v>Case jt128675:    UniConst = ChrW(128675)</v>
      </c>
    </row>
    <row r="2475" spans="1:11" hidden="1">
      <c r="A2475" t="s">
        <v>2219</v>
      </c>
      <c r="B2475" t="str">
        <f t="shared" si="230"/>
        <v>1F6A3 1F3FE 200D 2642 ; minimally-qualified # 🚣🏾‍♂ E4.0 man rowing boat: medium-dark skin tone</v>
      </c>
      <c r="C2475" t="str">
        <f t="shared" si="231"/>
        <v xml:space="preserve">1F6A3 1F3FE 200D 2642 </v>
      </c>
      <c r="D2475">
        <f t="shared" si="232"/>
        <v>22</v>
      </c>
      <c r="E2475" t="str">
        <f t="shared" si="228"/>
        <v xml:space="preserve"> 🚣🏾‍♂ E4.0 man rowing boat: medium-dark skin tone</v>
      </c>
      <c r="F2475" t="b">
        <f t="shared" si="233"/>
        <v>1</v>
      </c>
      <c r="G2475" t="str">
        <f t="shared" si="229"/>
        <v>1F6A3</v>
      </c>
      <c r="I2475">
        <f>HEX2DEC(Table1[[#This Row],[utf8]])</f>
        <v>128675</v>
      </c>
      <c r="J2475" t="str">
        <f>_xlfn.UNICHAR(HEX2DEC(Table1[[#This Row],[utf8]]))</f>
        <v>🚣</v>
      </c>
      <c r="K2475" s="3" t="str" cm="1">
        <f t="array" ref="K2475">"Case "&amp;wRandomLetter()&amp;wRandomLetter()&amp;I2475&amp;":    UniConst = ChrW(" &amp; I2475 &amp;")"</f>
        <v>Case iK128675:    UniConst = ChrW(128675)</v>
      </c>
    </row>
    <row r="2476" spans="1:11" hidden="1">
      <c r="A2476" t="s">
        <v>2218</v>
      </c>
      <c r="B2476" t="str">
        <f t="shared" si="230"/>
        <v>1F6A3 1F3FE 200D 2642 FE0F ; fully-qualified # 🚣🏾‍♂️ E4.0 man rowing boat: medium-dark skin tone</v>
      </c>
      <c r="C2476" t="str">
        <f t="shared" si="231"/>
        <v xml:space="preserve">1F6A3 1F3FE 200D 2642 FE0F </v>
      </c>
      <c r="D2476">
        <f t="shared" si="232"/>
        <v>27</v>
      </c>
      <c r="E2476" t="str">
        <f t="shared" si="228"/>
        <v xml:space="preserve"> 🚣🏾‍♂️ E4.0 man rowing boat: medium-dark skin tone</v>
      </c>
      <c r="F2476" t="b">
        <f t="shared" si="233"/>
        <v>1</v>
      </c>
      <c r="G2476" t="str">
        <f t="shared" si="229"/>
        <v>1F6A3</v>
      </c>
      <c r="I2476">
        <f>HEX2DEC(Table1[[#This Row],[utf8]])</f>
        <v>128675</v>
      </c>
      <c r="J2476" t="str">
        <f>_xlfn.UNICHAR(HEX2DEC(Table1[[#This Row],[utf8]]))</f>
        <v>🚣</v>
      </c>
      <c r="K2476" s="3" t="str" cm="1">
        <f t="array" ref="K2476">"Case "&amp;wRandomLetter()&amp;wRandomLetter()&amp;I2476&amp;":    UniConst = ChrW(" &amp; I2476 &amp;")"</f>
        <v>Case rO128675:    UniConst = ChrW(128675)</v>
      </c>
    </row>
    <row r="2477" spans="1:11" hidden="1">
      <c r="A2477" t="s">
        <v>2209</v>
      </c>
      <c r="B2477" t="str">
        <f t="shared" si="230"/>
        <v>1F6A3 1F3FF ; fully-qualified # 🚣🏿 E1.0 person rowing boat: dark skin tone</v>
      </c>
      <c r="C2477" t="str">
        <f t="shared" si="231"/>
        <v xml:space="preserve">1F6A3 1F3FF </v>
      </c>
      <c r="D2477">
        <f t="shared" si="232"/>
        <v>12</v>
      </c>
      <c r="E2477" t="str">
        <f t="shared" si="228"/>
        <v xml:space="preserve"> 🚣🏿 E1.0 person rowing boat: dark skin tone</v>
      </c>
      <c r="F2477" t="b">
        <f t="shared" si="233"/>
        <v>1</v>
      </c>
      <c r="G2477" t="str">
        <f t="shared" si="229"/>
        <v>1F6A3</v>
      </c>
      <c r="I2477">
        <f>HEX2DEC(Table1[[#This Row],[utf8]])</f>
        <v>128675</v>
      </c>
      <c r="J2477" t="str">
        <f>_xlfn.UNICHAR(HEX2DEC(Table1[[#This Row],[utf8]]))</f>
        <v>🚣</v>
      </c>
      <c r="K2477" s="3" t="str" cm="1">
        <f t="array" ref="K2477">"Case "&amp;wRandomLetter()&amp;wRandomLetter()&amp;I2477&amp;":    UniConst = ChrW(" &amp; I2477 &amp;")"</f>
        <v>Case Sf128675:    UniConst = ChrW(128675)</v>
      </c>
    </row>
    <row r="2478" spans="1:11" hidden="1">
      <c r="A2478" t="s">
        <v>2233</v>
      </c>
      <c r="B2478" t="str">
        <f t="shared" si="230"/>
        <v>1F6A3 1F3FF 200D 2640 ; minimally-qualified # 🚣🏿‍♀ E4.0 woman rowing boat: dark skin tone</v>
      </c>
      <c r="C2478" t="str">
        <f t="shared" si="231"/>
        <v xml:space="preserve">1F6A3 1F3FF 200D 2640 </v>
      </c>
      <c r="D2478">
        <f t="shared" si="232"/>
        <v>22</v>
      </c>
      <c r="E2478" t="str">
        <f t="shared" si="228"/>
        <v xml:space="preserve"> 🚣🏿‍♀ E4.0 woman rowing boat: dark skin tone</v>
      </c>
      <c r="F2478" t="b">
        <f t="shared" si="233"/>
        <v>1</v>
      </c>
      <c r="G2478" t="str">
        <f t="shared" si="229"/>
        <v>1F6A3</v>
      </c>
      <c r="I2478">
        <f>HEX2DEC(Table1[[#This Row],[utf8]])</f>
        <v>128675</v>
      </c>
      <c r="J2478" t="str">
        <f>_xlfn.UNICHAR(HEX2DEC(Table1[[#This Row],[utf8]]))</f>
        <v>🚣</v>
      </c>
      <c r="K2478" s="3" t="str" cm="1">
        <f t="array" ref="K2478">"Case "&amp;wRandomLetter()&amp;wRandomLetter()&amp;I2478&amp;":    UniConst = ChrW(" &amp; I2478 &amp;")"</f>
        <v>Case Gk128675:    UniConst = ChrW(128675)</v>
      </c>
    </row>
    <row r="2479" spans="1:11" hidden="1">
      <c r="A2479" t="s">
        <v>2232</v>
      </c>
      <c r="B2479" t="str">
        <f t="shared" si="230"/>
        <v>1F6A3 1F3FF 200D 2640 FE0F ; fully-qualified # 🚣🏿‍♀️ E4.0 woman rowing boat: dark skin tone</v>
      </c>
      <c r="C2479" t="str">
        <f t="shared" si="231"/>
        <v xml:space="preserve">1F6A3 1F3FF 200D 2640 FE0F </v>
      </c>
      <c r="D2479">
        <f t="shared" si="232"/>
        <v>27</v>
      </c>
      <c r="E2479" t="str">
        <f t="shared" si="228"/>
        <v xml:space="preserve"> 🚣🏿‍♀️ E4.0 woman rowing boat: dark skin tone</v>
      </c>
      <c r="F2479" t="b">
        <f t="shared" si="233"/>
        <v>1</v>
      </c>
      <c r="G2479" t="str">
        <f t="shared" si="229"/>
        <v>1F6A3</v>
      </c>
      <c r="I2479">
        <f>HEX2DEC(Table1[[#This Row],[utf8]])</f>
        <v>128675</v>
      </c>
      <c r="J2479" t="str">
        <f>_xlfn.UNICHAR(HEX2DEC(Table1[[#This Row],[utf8]]))</f>
        <v>🚣</v>
      </c>
      <c r="K2479" s="3" t="str" cm="1">
        <f t="array" ref="K2479">"Case "&amp;wRandomLetter()&amp;wRandomLetter()&amp;I2479&amp;":    UniConst = ChrW(" &amp; I2479 &amp;")"</f>
        <v>Case jH128675:    UniConst = ChrW(128675)</v>
      </c>
    </row>
    <row r="2480" spans="1:11" hidden="1">
      <c r="A2480" t="s">
        <v>2221</v>
      </c>
      <c r="B2480" t="str">
        <f t="shared" si="230"/>
        <v>1F6A3 1F3FF 200D 2642 ; minimally-qualified # 🚣🏿‍♂ E4.0 man rowing boat: dark skin tone</v>
      </c>
      <c r="C2480" t="str">
        <f t="shared" si="231"/>
        <v xml:space="preserve">1F6A3 1F3FF 200D 2642 </v>
      </c>
      <c r="D2480">
        <f t="shared" si="232"/>
        <v>22</v>
      </c>
      <c r="E2480" t="str">
        <f t="shared" si="228"/>
        <v xml:space="preserve"> 🚣🏿‍♂ E4.0 man rowing boat: dark skin tone</v>
      </c>
      <c r="F2480" t="b">
        <f t="shared" si="233"/>
        <v>1</v>
      </c>
      <c r="G2480" t="str">
        <f t="shared" si="229"/>
        <v>1F6A3</v>
      </c>
      <c r="I2480">
        <f>HEX2DEC(Table1[[#This Row],[utf8]])</f>
        <v>128675</v>
      </c>
      <c r="J2480" t="str">
        <f>_xlfn.UNICHAR(HEX2DEC(Table1[[#This Row],[utf8]]))</f>
        <v>🚣</v>
      </c>
      <c r="K2480" s="3" t="str" cm="1">
        <f t="array" ref="K2480">"Case "&amp;wRandomLetter()&amp;wRandomLetter()&amp;I2480&amp;":    UniConst = ChrW(" &amp; I2480 &amp;")"</f>
        <v>Case LP128675:    UniConst = ChrW(128675)</v>
      </c>
    </row>
    <row r="2481" spans="1:11" hidden="1">
      <c r="A2481" t="s">
        <v>2220</v>
      </c>
      <c r="B2481" t="str">
        <f t="shared" si="230"/>
        <v>1F6A3 1F3FF 200D 2642 FE0F ; fully-qualified # 🚣🏿‍♂️ E4.0 man rowing boat: dark skin tone</v>
      </c>
      <c r="C2481" t="str">
        <f t="shared" si="231"/>
        <v xml:space="preserve">1F6A3 1F3FF 200D 2642 FE0F </v>
      </c>
      <c r="D2481">
        <f t="shared" si="232"/>
        <v>27</v>
      </c>
      <c r="E2481" t="str">
        <f t="shared" si="228"/>
        <v xml:space="preserve"> 🚣🏿‍♂️ E4.0 man rowing boat: dark skin tone</v>
      </c>
      <c r="F2481" t="b">
        <f t="shared" si="233"/>
        <v>1</v>
      </c>
      <c r="G2481" t="str">
        <f t="shared" si="229"/>
        <v>1F6A3</v>
      </c>
      <c r="I2481">
        <f>HEX2DEC(Table1[[#This Row],[utf8]])</f>
        <v>128675</v>
      </c>
      <c r="J2481" t="str">
        <f>_xlfn.UNICHAR(HEX2DEC(Table1[[#This Row],[utf8]]))</f>
        <v>🚣</v>
      </c>
      <c r="K2481" s="3" t="str" cm="1">
        <f t="array" ref="K2481">"Case "&amp;wRandomLetter()&amp;wRandomLetter()&amp;I2481&amp;":    UniConst = ChrW(" &amp; I2481 &amp;")"</f>
        <v>Case eu128675:    UniConst = ChrW(128675)</v>
      </c>
    </row>
    <row r="2482" spans="1:11" hidden="1">
      <c r="A2482" t="s">
        <v>2223</v>
      </c>
      <c r="B2482" t="str">
        <f t="shared" si="230"/>
        <v>1F6A3 200D 2640 ; minimally-qualified # 🚣‍♀ E4.0 woman rowing boat</v>
      </c>
      <c r="C2482" t="str">
        <f t="shared" si="231"/>
        <v xml:space="preserve">1F6A3 200D 2640 </v>
      </c>
      <c r="D2482">
        <f t="shared" si="232"/>
        <v>16</v>
      </c>
      <c r="E2482" t="str">
        <f t="shared" si="228"/>
        <v xml:space="preserve"> 🚣‍♀ E4.0 woman rowing boat</v>
      </c>
      <c r="F2482" t="b">
        <f t="shared" si="233"/>
        <v>1</v>
      </c>
      <c r="G2482" t="str">
        <f t="shared" si="229"/>
        <v>1F6A3</v>
      </c>
      <c r="I2482">
        <f>HEX2DEC(Table1[[#This Row],[utf8]])</f>
        <v>128675</v>
      </c>
      <c r="J2482" t="str">
        <f>_xlfn.UNICHAR(HEX2DEC(Table1[[#This Row],[utf8]]))</f>
        <v>🚣</v>
      </c>
      <c r="K2482" s="3" t="str" cm="1">
        <f t="array" ref="K2482">"Case "&amp;wRandomLetter()&amp;wRandomLetter()&amp;I2482&amp;":    UniConst = ChrW(" &amp; I2482 &amp;")"</f>
        <v>Case hE128675:    UniConst = ChrW(128675)</v>
      </c>
    </row>
    <row r="2483" spans="1:11" hidden="1">
      <c r="A2483" t="s">
        <v>2222</v>
      </c>
      <c r="B2483" t="str">
        <f t="shared" si="230"/>
        <v>1F6A3 200D 2640 FE0F ; fully-qualified # 🚣‍♀️ E4.0 woman rowing boat</v>
      </c>
      <c r="C2483" t="str">
        <f t="shared" si="231"/>
        <v xml:space="preserve">1F6A3 200D 2640 FE0F </v>
      </c>
      <c r="D2483">
        <f t="shared" si="232"/>
        <v>21</v>
      </c>
      <c r="E2483" t="str">
        <f t="shared" si="228"/>
        <v xml:space="preserve"> 🚣‍♀️ E4.0 woman rowing boat</v>
      </c>
      <c r="F2483" t="b">
        <f t="shared" si="233"/>
        <v>1</v>
      </c>
      <c r="G2483" t="str">
        <f t="shared" si="229"/>
        <v>1F6A3</v>
      </c>
      <c r="I2483">
        <f>HEX2DEC(Table1[[#This Row],[utf8]])</f>
        <v>128675</v>
      </c>
      <c r="J2483" t="str">
        <f>_xlfn.UNICHAR(HEX2DEC(Table1[[#This Row],[utf8]]))</f>
        <v>🚣</v>
      </c>
      <c r="K2483" s="3" t="str" cm="1">
        <f t="array" ref="K2483">"Case "&amp;wRandomLetter()&amp;wRandomLetter()&amp;I2483&amp;":    UniConst = ChrW(" &amp; I2483 &amp;")"</f>
        <v>Case IT128675:    UniConst = ChrW(128675)</v>
      </c>
    </row>
    <row r="2484" spans="1:11" hidden="1">
      <c r="A2484" t="s">
        <v>2211</v>
      </c>
      <c r="B2484" t="str">
        <f t="shared" si="230"/>
        <v>1F6A3 200D 2642 ; minimally-qualified # 🚣‍♂ E4.0 man rowing boat</v>
      </c>
      <c r="C2484" t="str">
        <f t="shared" si="231"/>
        <v xml:space="preserve">1F6A3 200D 2642 </v>
      </c>
      <c r="D2484">
        <f t="shared" si="232"/>
        <v>16</v>
      </c>
      <c r="E2484" t="str">
        <f t="shared" si="228"/>
        <v xml:space="preserve"> 🚣‍♂ E4.0 man rowing boat</v>
      </c>
      <c r="F2484" t="b">
        <f t="shared" si="233"/>
        <v>1</v>
      </c>
      <c r="G2484" t="str">
        <f t="shared" si="229"/>
        <v>1F6A3</v>
      </c>
      <c r="I2484">
        <f>HEX2DEC(Table1[[#This Row],[utf8]])</f>
        <v>128675</v>
      </c>
      <c r="J2484" t="str">
        <f>_xlfn.UNICHAR(HEX2DEC(Table1[[#This Row],[utf8]]))</f>
        <v>🚣</v>
      </c>
      <c r="K2484" s="3" t="str" cm="1">
        <f t="array" ref="K2484">"Case "&amp;wRandomLetter()&amp;wRandomLetter()&amp;I2484&amp;":    UniConst = ChrW(" &amp; I2484 &amp;")"</f>
        <v>Case yU128675:    UniConst = ChrW(128675)</v>
      </c>
    </row>
    <row r="2485" spans="1:11" hidden="1">
      <c r="A2485" t="s">
        <v>2210</v>
      </c>
      <c r="B2485" t="str">
        <f t="shared" si="230"/>
        <v>1F6A3 200D 2642 FE0F ; fully-qualified # 🚣‍♂️ E4.0 man rowing boat</v>
      </c>
      <c r="C2485" t="str">
        <f t="shared" si="231"/>
        <v xml:space="preserve">1F6A3 200D 2642 FE0F </v>
      </c>
      <c r="D2485">
        <f t="shared" si="232"/>
        <v>21</v>
      </c>
      <c r="E2485" t="str">
        <f t="shared" si="228"/>
        <v xml:space="preserve"> 🚣‍♂️ E4.0 man rowing boat</v>
      </c>
      <c r="F2485" t="b">
        <f t="shared" si="233"/>
        <v>1</v>
      </c>
      <c r="G2485" t="str">
        <f t="shared" si="229"/>
        <v>1F6A3</v>
      </c>
      <c r="I2485">
        <f>HEX2DEC(Table1[[#This Row],[utf8]])</f>
        <v>128675</v>
      </c>
      <c r="J2485" t="str">
        <f>_xlfn.UNICHAR(HEX2DEC(Table1[[#This Row],[utf8]]))</f>
        <v>🚣</v>
      </c>
      <c r="K2485" s="3" t="str" cm="1">
        <f t="array" ref="K2485">"Case "&amp;wRandomLetter()&amp;wRandomLetter()&amp;I2485&amp;":    UniConst = ChrW(" &amp; I2485 &amp;")"</f>
        <v>Case XU128675:    UniConst = ChrW(128675)</v>
      </c>
    </row>
    <row r="2486" spans="1:11" hidden="1">
      <c r="A2486" t="s">
        <v>3566</v>
      </c>
      <c r="B2486" t="str">
        <f t="shared" si="230"/>
        <v>1F6A4 ; fully-qualified # 🚤 E0.6 speedboat</v>
      </c>
      <c r="C2486" t="str">
        <f t="shared" si="231"/>
        <v xml:space="preserve">1F6A4 </v>
      </c>
      <c r="D2486">
        <f t="shared" si="232"/>
        <v>6</v>
      </c>
      <c r="E2486" t="str">
        <f t="shared" si="228"/>
        <v xml:space="preserve"> 🚤 E0.6 speedboat</v>
      </c>
      <c r="F2486" t="b">
        <f t="shared" si="233"/>
        <v>1</v>
      </c>
      <c r="G2486" t="str">
        <f t="shared" si="229"/>
        <v>1F6A4</v>
      </c>
      <c r="I2486">
        <f>HEX2DEC(Table1[[#This Row],[utf8]])</f>
        <v>128676</v>
      </c>
      <c r="J2486" t="str">
        <f>_xlfn.UNICHAR(HEX2DEC(Table1[[#This Row],[utf8]]))</f>
        <v>🚤</v>
      </c>
      <c r="K2486" s="3" t="str" cm="1">
        <f t="array" ref="K2486">"Case "&amp;wRandomLetter()&amp;wRandomLetter()&amp;I2486&amp;":    UniConst = ChrW(" &amp; I2486 &amp;")"</f>
        <v>Case rO128676:    UniConst = ChrW(128676)</v>
      </c>
    </row>
    <row r="2487" spans="1:11" hidden="1">
      <c r="A2487" t="s">
        <v>3558</v>
      </c>
      <c r="B2487" t="str">
        <f t="shared" si="230"/>
        <v>1F6A5 ; fully-qualified # 🚥 E0.6 horizontal traffic light</v>
      </c>
      <c r="C2487" t="str">
        <f t="shared" si="231"/>
        <v xml:space="preserve">1F6A5 </v>
      </c>
      <c r="D2487">
        <f t="shared" si="232"/>
        <v>6</v>
      </c>
      <c r="E2487" t="str">
        <f t="shared" si="228"/>
        <v xml:space="preserve"> 🚥 E0.6 horizontal traffic light</v>
      </c>
      <c r="F2487" t="b">
        <f t="shared" si="233"/>
        <v>1</v>
      </c>
      <c r="G2487" t="str">
        <f t="shared" si="229"/>
        <v>1F6A5</v>
      </c>
      <c r="I2487">
        <f>HEX2DEC(Table1[[#This Row],[utf8]])</f>
        <v>128677</v>
      </c>
      <c r="J2487" t="str">
        <f>_xlfn.UNICHAR(HEX2DEC(Table1[[#This Row],[utf8]]))</f>
        <v>🚥</v>
      </c>
      <c r="K2487" s="3" t="str" cm="1">
        <f t="array" ref="K2487">"Case "&amp;wRandomLetter()&amp;wRandomLetter()&amp;I2487&amp;":    UniConst = ChrW(" &amp; I2487 &amp;")"</f>
        <v>Case vA128677:    UniConst = ChrW(128677)</v>
      </c>
    </row>
    <row r="2488" spans="1:11" hidden="1">
      <c r="A2488" t="s">
        <v>3559</v>
      </c>
      <c r="B2488" t="str">
        <f t="shared" si="230"/>
        <v>1F6A6 ; fully-qualified # 🚦 E1.0 vertical traffic light</v>
      </c>
      <c r="C2488" t="str">
        <f t="shared" si="231"/>
        <v xml:space="preserve">1F6A6 </v>
      </c>
      <c r="D2488">
        <f t="shared" si="232"/>
        <v>6</v>
      </c>
      <c r="E2488" t="str">
        <f t="shared" si="228"/>
        <v xml:space="preserve"> 🚦 E1.0 vertical traffic light</v>
      </c>
      <c r="F2488" t="b">
        <f t="shared" si="233"/>
        <v>1</v>
      </c>
      <c r="G2488" t="str">
        <f t="shared" si="229"/>
        <v>1F6A6</v>
      </c>
      <c r="I2488">
        <f>HEX2DEC(Table1[[#This Row],[utf8]])</f>
        <v>128678</v>
      </c>
      <c r="J2488" t="str">
        <f>_xlfn.UNICHAR(HEX2DEC(Table1[[#This Row],[utf8]]))</f>
        <v>🚦</v>
      </c>
      <c r="K2488" s="3" t="str" cm="1">
        <f t="array" ref="K2488">"Case "&amp;wRandomLetter()&amp;wRandomLetter()&amp;I2488&amp;":    UniConst = ChrW(" &amp; I2488 &amp;")"</f>
        <v>Case Uk128678:    UniConst = ChrW(128678)</v>
      </c>
    </row>
    <row r="2489" spans="1:11" hidden="1">
      <c r="A2489" t="s">
        <v>3561</v>
      </c>
      <c r="B2489" t="str">
        <f t="shared" si="230"/>
        <v>1F6A7 ; fully-qualified # 🚧 E0.6 construction</v>
      </c>
      <c r="C2489" t="str">
        <f t="shared" si="231"/>
        <v xml:space="preserve">1F6A7 </v>
      </c>
      <c r="D2489">
        <f t="shared" si="232"/>
        <v>6</v>
      </c>
      <c r="E2489" t="str">
        <f t="shared" si="228"/>
        <v xml:space="preserve"> 🚧 E0.6 construction</v>
      </c>
      <c r="F2489" t="b">
        <f t="shared" si="233"/>
        <v>1</v>
      </c>
      <c r="G2489" t="str">
        <f t="shared" si="229"/>
        <v>1F6A7</v>
      </c>
      <c r="I2489">
        <f>HEX2DEC(Table1[[#This Row],[utf8]])</f>
        <v>128679</v>
      </c>
      <c r="J2489" t="str">
        <f>_xlfn.UNICHAR(HEX2DEC(Table1[[#This Row],[utf8]]))</f>
        <v>🚧</v>
      </c>
      <c r="K2489" s="3" t="str" cm="1">
        <f t="array" ref="K2489">"Case "&amp;wRandomLetter()&amp;wRandomLetter()&amp;I2489&amp;":    UniConst = ChrW(" &amp; I2489 &amp;")"</f>
        <v>Case ig128679:    UniConst = ChrW(128679)</v>
      </c>
    </row>
    <row r="2490" spans="1:11" hidden="1">
      <c r="A2490" t="s">
        <v>3557</v>
      </c>
      <c r="B2490" t="str">
        <f t="shared" si="230"/>
        <v>1F6A8 ; fully-qualified # 🚨 E0.6 police car light</v>
      </c>
      <c r="C2490" t="str">
        <f t="shared" si="231"/>
        <v xml:space="preserve">1F6A8 </v>
      </c>
      <c r="D2490">
        <f t="shared" si="232"/>
        <v>6</v>
      </c>
      <c r="E2490" t="str">
        <f t="shared" si="228"/>
        <v xml:space="preserve"> 🚨 E0.6 police car light</v>
      </c>
      <c r="F2490" t="b">
        <f t="shared" si="233"/>
        <v>1</v>
      </c>
      <c r="G2490" t="str">
        <f t="shared" si="229"/>
        <v>1F6A8</v>
      </c>
      <c r="I2490">
        <f>HEX2DEC(Table1[[#This Row],[utf8]])</f>
        <v>128680</v>
      </c>
      <c r="J2490" t="str">
        <f>_xlfn.UNICHAR(HEX2DEC(Table1[[#This Row],[utf8]]))</f>
        <v>🚨</v>
      </c>
      <c r="K2490" s="3" t="str" cm="1">
        <f t="array" ref="K2490">"Case "&amp;wRandomLetter()&amp;wRandomLetter()&amp;I2490&amp;":    UniConst = ChrW(" &amp; I2490 &amp;")"</f>
        <v>Case ef128680:    UniConst = ChrW(128680)</v>
      </c>
    </row>
    <row r="2491" spans="1:11" hidden="1">
      <c r="A2491" t="s">
        <v>4084</v>
      </c>
      <c r="B2491" t="str">
        <f t="shared" si="230"/>
        <v>1F6AA ; fully-qualified # 🚪 E0.6 door</v>
      </c>
      <c r="C2491" t="str">
        <f t="shared" si="231"/>
        <v xml:space="preserve">1F6AA </v>
      </c>
      <c r="D2491">
        <f t="shared" si="232"/>
        <v>6</v>
      </c>
      <c r="E2491" t="str">
        <f t="shared" si="228"/>
        <v xml:space="preserve"> 🚪 E0.6 door</v>
      </c>
      <c r="F2491" t="b">
        <f t="shared" si="233"/>
        <v>1</v>
      </c>
      <c r="G2491" t="str">
        <f t="shared" si="229"/>
        <v>1F6AA</v>
      </c>
      <c r="I2491">
        <f>HEX2DEC(Table1[[#This Row],[utf8]])</f>
        <v>128682</v>
      </c>
      <c r="J2491" t="str">
        <f>_xlfn.UNICHAR(HEX2DEC(Table1[[#This Row],[utf8]]))</f>
        <v>🚪</v>
      </c>
      <c r="K2491" s="3" t="str" cm="1">
        <f t="array" ref="K2491">"Case "&amp;wRandomLetter()&amp;wRandomLetter()&amp;I2491&amp;":    UniConst = ChrW(" &amp; I2491 &amp;")"</f>
        <v>Case Pm128682:    UniConst = ChrW(128682)</v>
      </c>
    </row>
    <row r="2492" spans="1:11" hidden="1">
      <c r="A2492" t="s">
        <v>4141</v>
      </c>
      <c r="B2492" t="str">
        <f t="shared" si="230"/>
        <v>1F6AB ; fully-qualified # 🚫 E0.6 prohibited</v>
      </c>
      <c r="C2492" t="str">
        <f t="shared" si="231"/>
        <v xml:space="preserve">1F6AB </v>
      </c>
      <c r="D2492">
        <f t="shared" si="232"/>
        <v>6</v>
      </c>
      <c r="E2492" t="str">
        <f t="shared" si="228"/>
        <v xml:space="preserve"> 🚫 E0.6 prohibited</v>
      </c>
      <c r="F2492" t="b">
        <f t="shared" si="233"/>
        <v>1</v>
      </c>
      <c r="G2492" t="str">
        <f t="shared" si="229"/>
        <v>1F6AB</v>
      </c>
      <c r="I2492">
        <f>HEX2DEC(Table1[[#This Row],[utf8]])</f>
        <v>128683</v>
      </c>
      <c r="J2492" t="str">
        <f>_xlfn.UNICHAR(HEX2DEC(Table1[[#This Row],[utf8]]))</f>
        <v>🚫</v>
      </c>
      <c r="K2492" s="3" t="str" cm="1">
        <f t="array" ref="K2492">"Case "&amp;wRandomLetter()&amp;wRandomLetter()&amp;I2492&amp;":    UniConst = ChrW(" &amp; I2492 &amp;")"</f>
        <v>Case Rs128683:    UniConst = ChrW(128683)</v>
      </c>
    </row>
    <row r="2493" spans="1:11" hidden="1">
      <c r="A2493" t="s">
        <v>4111</v>
      </c>
      <c r="B2493" t="str">
        <f t="shared" si="230"/>
        <v>1F6AC ; fully-qualified # 🚬 E0.6 cigarette</v>
      </c>
      <c r="C2493" t="str">
        <f t="shared" si="231"/>
        <v xml:space="preserve">1F6AC </v>
      </c>
      <c r="D2493">
        <f t="shared" si="232"/>
        <v>6</v>
      </c>
      <c r="E2493" t="str">
        <f t="shared" si="228"/>
        <v xml:space="preserve"> 🚬 E0.6 cigarette</v>
      </c>
      <c r="F2493" t="b">
        <f t="shared" si="233"/>
        <v>1</v>
      </c>
      <c r="G2493" t="str">
        <f t="shared" si="229"/>
        <v>1F6AC</v>
      </c>
      <c r="I2493">
        <f>HEX2DEC(Table1[[#This Row],[utf8]])</f>
        <v>128684</v>
      </c>
      <c r="J2493" t="str">
        <f>_xlfn.UNICHAR(HEX2DEC(Table1[[#This Row],[utf8]]))</f>
        <v>🚬</v>
      </c>
      <c r="K2493" s="3" t="str" cm="1">
        <f t="array" ref="K2493">"Case "&amp;wRandomLetter()&amp;wRandomLetter()&amp;I2493&amp;":    UniConst = ChrW(" &amp; I2493 &amp;")"</f>
        <v>Case TH128684:    UniConst = ChrW(128684)</v>
      </c>
    </row>
    <row r="2494" spans="1:11" hidden="1">
      <c r="A2494" t="s">
        <v>4143</v>
      </c>
      <c r="B2494" t="str">
        <f t="shared" si="230"/>
        <v>1F6AD ; fully-qualified # 🚭 E0.6 no smoking</v>
      </c>
      <c r="C2494" t="str">
        <f t="shared" si="231"/>
        <v xml:space="preserve">1F6AD </v>
      </c>
      <c r="D2494">
        <f t="shared" si="232"/>
        <v>6</v>
      </c>
      <c r="E2494" t="str">
        <f t="shared" si="228"/>
        <v xml:space="preserve"> 🚭 E0.6 no smoking</v>
      </c>
      <c r="F2494" t="b">
        <f t="shared" si="233"/>
        <v>1</v>
      </c>
      <c r="G2494" t="str">
        <f t="shared" si="229"/>
        <v>1F6AD</v>
      </c>
      <c r="I2494">
        <f>HEX2DEC(Table1[[#This Row],[utf8]])</f>
        <v>128685</v>
      </c>
      <c r="J2494" t="str">
        <f>_xlfn.UNICHAR(HEX2DEC(Table1[[#This Row],[utf8]]))</f>
        <v>🚭</v>
      </c>
      <c r="K2494" s="3" t="str" cm="1">
        <f t="array" ref="K2494">"Case "&amp;wRandomLetter()&amp;wRandomLetter()&amp;I2494&amp;":    UniConst = ChrW(" &amp; I2494 &amp;")"</f>
        <v>Case Fm128685:    UniConst = ChrW(128685)</v>
      </c>
    </row>
    <row r="2495" spans="1:11" hidden="1">
      <c r="A2495" t="s">
        <v>4124</v>
      </c>
      <c r="B2495" t="str">
        <f t="shared" si="230"/>
        <v>1F6AE ; fully-qualified # 🚮 E1.0 litter in bin sign</v>
      </c>
      <c r="C2495" t="str">
        <f t="shared" si="231"/>
        <v xml:space="preserve">1F6AE </v>
      </c>
      <c r="D2495">
        <f t="shared" si="232"/>
        <v>6</v>
      </c>
      <c r="E2495" t="str">
        <f t="shared" si="228"/>
        <v xml:space="preserve"> 🚮 E1.0 litter in bin sign</v>
      </c>
      <c r="F2495" t="b">
        <f t="shared" si="233"/>
        <v>1</v>
      </c>
      <c r="G2495" t="str">
        <f t="shared" si="229"/>
        <v>1F6AE</v>
      </c>
      <c r="I2495">
        <f>HEX2DEC(Table1[[#This Row],[utf8]])</f>
        <v>128686</v>
      </c>
      <c r="J2495" t="str">
        <f>_xlfn.UNICHAR(HEX2DEC(Table1[[#This Row],[utf8]]))</f>
        <v>🚮</v>
      </c>
      <c r="K2495" s="3" t="str" cm="1">
        <f t="array" ref="K2495">"Case "&amp;wRandomLetter()&amp;wRandomLetter()&amp;I2495&amp;":    UniConst = ChrW(" &amp; I2495 &amp;")"</f>
        <v>Case IE128686:    UniConst = ChrW(128686)</v>
      </c>
    </row>
    <row r="2496" spans="1:11" hidden="1">
      <c r="A2496" t="s">
        <v>4144</v>
      </c>
      <c r="B2496" t="str">
        <f t="shared" si="230"/>
        <v>1F6AF ; fully-qualified # 🚯 E1.0 no littering</v>
      </c>
      <c r="C2496" t="str">
        <f t="shared" si="231"/>
        <v xml:space="preserve">1F6AF </v>
      </c>
      <c r="D2496">
        <f t="shared" si="232"/>
        <v>6</v>
      </c>
      <c r="E2496" t="str">
        <f t="shared" si="228"/>
        <v xml:space="preserve"> 🚯 E1.0 no littering</v>
      </c>
      <c r="F2496" t="b">
        <f t="shared" si="233"/>
        <v>1</v>
      </c>
      <c r="G2496" t="str">
        <f t="shared" si="229"/>
        <v>1F6AF</v>
      </c>
      <c r="I2496">
        <f>HEX2DEC(Table1[[#This Row],[utf8]])</f>
        <v>128687</v>
      </c>
      <c r="J2496" t="str">
        <f>_xlfn.UNICHAR(HEX2DEC(Table1[[#This Row],[utf8]]))</f>
        <v>🚯</v>
      </c>
      <c r="K2496" s="3" t="str" cm="1">
        <f t="array" ref="K2496">"Case "&amp;wRandomLetter()&amp;wRandomLetter()&amp;I2496&amp;":    UniConst = ChrW(" &amp; I2496 &amp;")"</f>
        <v>Case yF128687:    UniConst = ChrW(128687)</v>
      </c>
    </row>
    <row r="2497" spans="1:11" hidden="1">
      <c r="A2497" t="s">
        <v>4125</v>
      </c>
      <c r="B2497" t="str">
        <f t="shared" si="230"/>
        <v>1F6B0 ; fully-qualified # 🚰 E1.0 potable water</v>
      </c>
      <c r="C2497" t="str">
        <f t="shared" si="231"/>
        <v xml:space="preserve">1F6B0 </v>
      </c>
      <c r="D2497">
        <f t="shared" si="232"/>
        <v>6</v>
      </c>
      <c r="E2497" t="str">
        <f t="shared" si="228"/>
        <v xml:space="preserve"> 🚰 E1.0 potable water</v>
      </c>
      <c r="F2497" t="b">
        <f t="shared" si="233"/>
        <v>1</v>
      </c>
      <c r="G2497" t="str">
        <f t="shared" si="229"/>
        <v>1F6B0</v>
      </c>
      <c r="I2497">
        <f>HEX2DEC(Table1[[#This Row],[utf8]])</f>
        <v>128688</v>
      </c>
      <c r="J2497" t="str">
        <f>_xlfn.UNICHAR(HEX2DEC(Table1[[#This Row],[utf8]]))</f>
        <v>🚰</v>
      </c>
      <c r="K2497" s="3" t="str" cm="1">
        <f t="array" ref="K2497">"Case "&amp;wRandomLetter()&amp;wRandomLetter()&amp;I2497&amp;":    UniConst = ChrW(" &amp; I2497 &amp;")"</f>
        <v>Case fg128688:    UniConst = ChrW(128688)</v>
      </c>
    </row>
    <row r="2498" spans="1:11" hidden="1">
      <c r="A2498" t="s">
        <v>4145</v>
      </c>
      <c r="B2498" t="str">
        <f t="shared" si="230"/>
        <v>1F6B1 ; fully-qualified # 🚱 E1.0 non-potable water</v>
      </c>
      <c r="C2498" t="str">
        <f t="shared" si="231"/>
        <v xml:space="preserve">1F6B1 </v>
      </c>
      <c r="D2498">
        <f t="shared" si="232"/>
        <v>6</v>
      </c>
      <c r="E2498" t="str">
        <f t="shared" ref="E2498:E2561" si="234">MID(A2498,FIND("#",A2498)+1,256)</f>
        <v xml:space="preserve"> 🚱 E1.0 non-potable water</v>
      </c>
      <c r="F2498" t="b">
        <f t="shared" si="233"/>
        <v>1</v>
      </c>
      <c r="G2498" t="str">
        <f t="shared" ref="G2498:G2561" si="235">LEFT(C2498,(FIND(" ",C2498,1)-1))</f>
        <v>1F6B1</v>
      </c>
      <c r="I2498">
        <f>HEX2DEC(Table1[[#This Row],[utf8]])</f>
        <v>128689</v>
      </c>
      <c r="J2498" t="str">
        <f>_xlfn.UNICHAR(HEX2DEC(Table1[[#This Row],[utf8]]))</f>
        <v>🚱</v>
      </c>
      <c r="K2498" s="3" t="str" cm="1">
        <f t="array" ref="K2498">"Case "&amp;wRandomLetter()&amp;wRandomLetter()&amp;I2498&amp;":    UniConst = ChrW(" &amp; I2498 &amp;")"</f>
        <v>Case bC128689:    UniConst = ChrW(128689)</v>
      </c>
    </row>
    <row r="2499" spans="1:11" hidden="1">
      <c r="A2499" t="s">
        <v>3545</v>
      </c>
      <c r="B2499" t="str">
        <f t="shared" ref="B2499:B2562" si="236">TRIM(A2499)</f>
        <v>1F6B2 ; fully-qualified # 🚲 E0.6 bicycle</v>
      </c>
      <c r="C2499" t="str">
        <f t="shared" ref="C2499:C2562" si="237">LEFT(B2499,(FIND(";",B2499,1)-1))</f>
        <v xml:space="preserve">1F6B2 </v>
      </c>
      <c r="D2499">
        <f t="shared" ref="D2499:D2562" si="238">LEN(C2499)</f>
        <v>6</v>
      </c>
      <c r="E2499" t="str">
        <f t="shared" si="234"/>
        <v xml:space="preserve"> 🚲 E0.6 bicycle</v>
      </c>
      <c r="F2499" t="b">
        <f t="shared" ref="F2499:F2562" si="239">IF(LEFT(C2499,2)="1F",TRUE,FALSE)</f>
        <v>1</v>
      </c>
      <c r="G2499" t="str">
        <f t="shared" si="235"/>
        <v>1F6B2</v>
      </c>
      <c r="I2499">
        <f>HEX2DEC(Table1[[#This Row],[utf8]])</f>
        <v>128690</v>
      </c>
      <c r="J2499" t="str">
        <f>_xlfn.UNICHAR(HEX2DEC(Table1[[#This Row],[utf8]]))</f>
        <v>🚲</v>
      </c>
      <c r="K2499" s="3" t="str" cm="1">
        <f t="array" ref="K2499">"Case "&amp;wRandomLetter()&amp;wRandomLetter()&amp;I2499&amp;":    UniConst = ChrW(" &amp; I2499 &amp;")"</f>
        <v>Case et128690:    UniConst = ChrW(128690)</v>
      </c>
    </row>
    <row r="2500" spans="1:11" hidden="1">
      <c r="A2500" t="s">
        <v>4142</v>
      </c>
      <c r="B2500" t="str">
        <f t="shared" si="236"/>
        <v>1F6B3 ; fully-qualified # 🚳 E1.0 no bicycles</v>
      </c>
      <c r="C2500" t="str">
        <f t="shared" si="237"/>
        <v xml:space="preserve">1F6B3 </v>
      </c>
      <c r="D2500">
        <f t="shared" si="238"/>
        <v>6</v>
      </c>
      <c r="E2500" t="str">
        <f t="shared" si="234"/>
        <v xml:space="preserve"> 🚳 E1.0 no bicycles</v>
      </c>
      <c r="F2500" t="b">
        <f t="shared" si="239"/>
        <v>1</v>
      </c>
      <c r="G2500" t="str">
        <f t="shared" si="235"/>
        <v>1F6B3</v>
      </c>
      <c r="I2500">
        <f>HEX2DEC(Table1[[#This Row],[utf8]])</f>
        <v>128691</v>
      </c>
      <c r="J2500" t="str">
        <f>_xlfn.UNICHAR(HEX2DEC(Table1[[#This Row],[utf8]]))</f>
        <v>🚳</v>
      </c>
      <c r="K2500" s="3" t="str" cm="1">
        <f t="array" ref="K2500">"Case "&amp;wRandomLetter()&amp;wRandomLetter()&amp;I2500&amp;":    UniConst = ChrW(" &amp; I2500 &amp;")"</f>
        <v>Case LH128691:    UniConst = ChrW(128691)</v>
      </c>
    </row>
    <row r="2501" spans="1:11" hidden="1">
      <c r="A2501" t="s">
        <v>2334</v>
      </c>
      <c r="B2501" t="str">
        <f t="shared" si="236"/>
        <v>1F6B4 ; fully-qualified # 🚴 E1.0 person biking</v>
      </c>
      <c r="C2501" t="str">
        <f t="shared" si="237"/>
        <v xml:space="preserve">1F6B4 </v>
      </c>
      <c r="D2501">
        <f t="shared" si="238"/>
        <v>6</v>
      </c>
      <c r="E2501" t="str">
        <f t="shared" si="234"/>
        <v xml:space="preserve"> 🚴 E1.0 person biking</v>
      </c>
      <c r="F2501" t="b">
        <f t="shared" si="239"/>
        <v>1</v>
      </c>
      <c r="G2501" t="str">
        <f t="shared" si="235"/>
        <v>1F6B4</v>
      </c>
      <c r="I2501">
        <f>HEX2DEC(Table1[[#This Row],[utf8]])</f>
        <v>128692</v>
      </c>
      <c r="J2501" t="str">
        <f>_xlfn.UNICHAR(HEX2DEC(Table1[[#This Row],[utf8]]))</f>
        <v>🚴</v>
      </c>
      <c r="K2501" s="3" t="str" cm="1">
        <f t="array" ref="K2501">"Case "&amp;wRandomLetter()&amp;wRandomLetter()&amp;I2501&amp;":    UniConst = ChrW(" &amp; I2501 &amp;")"</f>
        <v>Case fd128692:    UniConst = ChrW(128692)</v>
      </c>
    </row>
    <row r="2502" spans="1:11" hidden="1">
      <c r="A2502" t="s">
        <v>2335</v>
      </c>
      <c r="B2502" t="str">
        <f t="shared" si="236"/>
        <v>1F6B4 1F3FB ; fully-qualified # 🚴🏻 E1.0 person biking: light skin tone</v>
      </c>
      <c r="C2502" t="str">
        <f t="shared" si="237"/>
        <v xml:space="preserve">1F6B4 1F3FB </v>
      </c>
      <c r="D2502">
        <f t="shared" si="238"/>
        <v>12</v>
      </c>
      <c r="E2502" t="str">
        <f t="shared" si="234"/>
        <v xml:space="preserve"> 🚴🏻 E1.0 person biking: light skin tone</v>
      </c>
      <c r="F2502" t="b">
        <f t="shared" si="239"/>
        <v>1</v>
      </c>
      <c r="G2502" t="str">
        <f t="shared" si="235"/>
        <v>1F6B4</v>
      </c>
      <c r="I2502">
        <f>HEX2DEC(Table1[[#This Row],[utf8]])</f>
        <v>128692</v>
      </c>
      <c r="J2502" t="str">
        <f>_xlfn.UNICHAR(HEX2DEC(Table1[[#This Row],[utf8]]))</f>
        <v>🚴</v>
      </c>
      <c r="K2502" s="3" t="str" cm="1">
        <f t="array" ref="K2502">"Case "&amp;wRandomLetter()&amp;wRandomLetter()&amp;I2502&amp;":    UniConst = ChrW(" &amp; I2502 &amp;")"</f>
        <v>Case eW128692:    UniConst = ChrW(128692)</v>
      </c>
    </row>
    <row r="2503" spans="1:11" hidden="1">
      <c r="A2503" t="s">
        <v>2355</v>
      </c>
      <c r="B2503" t="str">
        <f t="shared" si="236"/>
        <v>1F6B4 1F3FB 200D 2640 ; minimally-qualified # 🚴🏻‍♀ E4.0 woman biking: light skin tone</v>
      </c>
      <c r="C2503" t="str">
        <f t="shared" si="237"/>
        <v xml:space="preserve">1F6B4 1F3FB 200D 2640 </v>
      </c>
      <c r="D2503">
        <f t="shared" si="238"/>
        <v>22</v>
      </c>
      <c r="E2503" t="str">
        <f t="shared" si="234"/>
        <v xml:space="preserve"> 🚴🏻‍♀ E4.0 woman biking: light skin tone</v>
      </c>
      <c r="F2503" t="b">
        <f t="shared" si="239"/>
        <v>1</v>
      </c>
      <c r="G2503" t="str">
        <f t="shared" si="235"/>
        <v>1F6B4</v>
      </c>
      <c r="I2503">
        <f>HEX2DEC(Table1[[#This Row],[utf8]])</f>
        <v>128692</v>
      </c>
      <c r="J2503" t="str">
        <f>_xlfn.UNICHAR(HEX2DEC(Table1[[#This Row],[utf8]]))</f>
        <v>🚴</v>
      </c>
      <c r="K2503" s="3" t="str" cm="1">
        <f t="array" ref="K2503">"Case "&amp;wRandomLetter()&amp;wRandomLetter()&amp;I2503&amp;":    UniConst = ChrW(" &amp; I2503 &amp;")"</f>
        <v>Case us128692:    UniConst = ChrW(128692)</v>
      </c>
    </row>
    <row r="2504" spans="1:11" hidden="1">
      <c r="A2504" t="s">
        <v>2354</v>
      </c>
      <c r="B2504" t="str">
        <f t="shared" si="236"/>
        <v>1F6B4 1F3FB 200D 2640 FE0F ; fully-qualified # 🚴🏻‍♀️ E4.0 woman biking: light skin tone</v>
      </c>
      <c r="C2504" t="str">
        <f t="shared" si="237"/>
        <v xml:space="preserve">1F6B4 1F3FB 200D 2640 FE0F </v>
      </c>
      <c r="D2504">
        <f t="shared" si="238"/>
        <v>27</v>
      </c>
      <c r="E2504" t="str">
        <f t="shared" si="234"/>
        <v xml:space="preserve"> 🚴🏻‍♀️ E4.0 woman biking: light skin tone</v>
      </c>
      <c r="F2504" t="b">
        <f t="shared" si="239"/>
        <v>1</v>
      </c>
      <c r="G2504" t="str">
        <f t="shared" si="235"/>
        <v>1F6B4</v>
      </c>
      <c r="I2504">
        <f>HEX2DEC(Table1[[#This Row],[utf8]])</f>
        <v>128692</v>
      </c>
      <c r="J2504" t="str">
        <f>_xlfn.UNICHAR(HEX2DEC(Table1[[#This Row],[utf8]]))</f>
        <v>🚴</v>
      </c>
      <c r="K2504" s="3" t="str" cm="1">
        <f t="array" ref="K2504">"Case "&amp;wRandomLetter()&amp;wRandomLetter()&amp;I2504&amp;":    UniConst = ChrW(" &amp; I2504 &amp;")"</f>
        <v>Case MJ128692:    UniConst = ChrW(128692)</v>
      </c>
    </row>
    <row r="2505" spans="1:11" hidden="1">
      <c r="A2505" t="s">
        <v>2343</v>
      </c>
      <c r="B2505" t="str">
        <f t="shared" si="236"/>
        <v>1F6B4 1F3FB 200D 2642 ; minimally-qualified # 🚴🏻‍♂ E4.0 man biking: light skin tone</v>
      </c>
      <c r="C2505" t="str">
        <f t="shared" si="237"/>
        <v xml:space="preserve">1F6B4 1F3FB 200D 2642 </v>
      </c>
      <c r="D2505">
        <f t="shared" si="238"/>
        <v>22</v>
      </c>
      <c r="E2505" t="str">
        <f t="shared" si="234"/>
        <v xml:space="preserve"> 🚴🏻‍♂ E4.0 man biking: light skin tone</v>
      </c>
      <c r="F2505" t="b">
        <f t="shared" si="239"/>
        <v>1</v>
      </c>
      <c r="G2505" t="str">
        <f t="shared" si="235"/>
        <v>1F6B4</v>
      </c>
      <c r="I2505">
        <f>HEX2DEC(Table1[[#This Row],[utf8]])</f>
        <v>128692</v>
      </c>
      <c r="J2505" t="str">
        <f>_xlfn.UNICHAR(HEX2DEC(Table1[[#This Row],[utf8]]))</f>
        <v>🚴</v>
      </c>
      <c r="K2505" s="3" t="str" cm="1">
        <f t="array" ref="K2505">"Case "&amp;wRandomLetter()&amp;wRandomLetter()&amp;I2505&amp;":    UniConst = ChrW(" &amp; I2505 &amp;")"</f>
        <v>Case CD128692:    UniConst = ChrW(128692)</v>
      </c>
    </row>
    <row r="2506" spans="1:11" hidden="1">
      <c r="A2506" t="s">
        <v>2342</v>
      </c>
      <c r="B2506" t="str">
        <f t="shared" si="236"/>
        <v>1F6B4 1F3FB 200D 2642 FE0F ; fully-qualified # 🚴🏻‍♂️ E4.0 man biking: light skin tone</v>
      </c>
      <c r="C2506" t="str">
        <f t="shared" si="237"/>
        <v xml:space="preserve">1F6B4 1F3FB 200D 2642 FE0F </v>
      </c>
      <c r="D2506">
        <f t="shared" si="238"/>
        <v>27</v>
      </c>
      <c r="E2506" t="str">
        <f t="shared" si="234"/>
        <v xml:space="preserve"> 🚴🏻‍♂️ E4.0 man biking: light skin tone</v>
      </c>
      <c r="F2506" t="b">
        <f t="shared" si="239"/>
        <v>1</v>
      </c>
      <c r="G2506" t="str">
        <f t="shared" si="235"/>
        <v>1F6B4</v>
      </c>
      <c r="I2506">
        <f>HEX2DEC(Table1[[#This Row],[utf8]])</f>
        <v>128692</v>
      </c>
      <c r="J2506" t="str">
        <f>_xlfn.UNICHAR(HEX2DEC(Table1[[#This Row],[utf8]]))</f>
        <v>🚴</v>
      </c>
      <c r="K2506" s="3" t="str" cm="1">
        <f t="array" ref="K2506">"Case "&amp;wRandomLetter()&amp;wRandomLetter()&amp;I2506&amp;":    UniConst = ChrW(" &amp; I2506 &amp;")"</f>
        <v>Case sl128692:    UniConst = ChrW(128692)</v>
      </c>
    </row>
    <row r="2507" spans="1:11" hidden="1">
      <c r="A2507" t="s">
        <v>2336</v>
      </c>
      <c r="B2507" t="str">
        <f t="shared" si="236"/>
        <v>1F6B4 1F3FC ; fully-qualified # 🚴🏼 E1.0 person biking: medium-light skin tone</v>
      </c>
      <c r="C2507" t="str">
        <f t="shared" si="237"/>
        <v xml:space="preserve">1F6B4 1F3FC </v>
      </c>
      <c r="D2507">
        <f t="shared" si="238"/>
        <v>12</v>
      </c>
      <c r="E2507" t="str">
        <f t="shared" si="234"/>
        <v xml:space="preserve"> 🚴🏼 E1.0 person biking: medium-light skin tone</v>
      </c>
      <c r="F2507" t="b">
        <f t="shared" si="239"/>
        <v>1</v>
      </c>
      <c r="G2507" t="str">
        <f t="shared" si="235"/>
        <v>1F6B4</v>
      </c>
      <c r="I2507">
        <f>HEX2DEC(Table1[[#This Row],[utf8]])</f>
        <v>128692</v>
      </c>
      <c r="J2507" t="str">
        <f>_xlfn.UNICHAR(HEX2DEC(Table1[[#This Row],[utf8]]))</f>
        <v>🚴</v>
      </c>
      <c r="K2507" s="3" t="str" cm="1">
        <f t="array" ref="K2507">"Case "&amp;wRandomLetter()&amp;wRandomLetter()&amp;I2507&amp;":    UniConst = ChrW(" &amp; I2507 &amp;")"</f>
        <v>Case wL128692:    UniConst = ChrW(128692)</v>
      </c>
    </row>
    <row r="2508" spans="1:11" hidden="1">
      <c r="A2508" t="s">
        <v>2357</v>
      </c>
      <c r="B2508" t="str">
        <f t="shared" si="236"/>
        <v>1F6B4 1F3FC 200D 2640 ; minimally-qualified # 🚴🏼‍♀ E4.0 woman biking: medium-light skin tone</v>
      </c>
      <c r="C2508" t="str">
        <f t="shared" si="237"/>
        <v xml:space="preserve">1F6B4 1F3FC 200D 2640 </v>
      </c>
      <c r="D2508">
        <f t="shared" si="238"/>
        <v>22</v>
      </c>
      <c r="E2508" t="str">
        <f t="shared" si="234"/>
        <v xml:space="preserve"> 🚴🏼‍♀ E4.0 woman biking: medium-light skin tone</v>
      </c>
      <c r="F2508" t="b">
        <f t="shared" si="239"/>
        <v>1</v>
      </c>
      <c r="G2508" t="str">
        <f t="shared" si="235"/>
        <v>1F6B4</v>
      </c>
      <c r="I2508">
        <f>HEX2DEC(Table1[[#This Row],[utf8]])</f>
        <v>128692</v>
      </c>
      <c r="J2508" t="str">
        <f>_xlfn.UNICHAR(HEX2DEC(Table1[[#This Row],[utf8]]))</f>
        <v>🚴</v>
      </c>
      <c r="K2508" s="3" t="str" cm="1">
        <f t="array" ref="K2508">"Case "&amp;wRandomLetter()&amp;wRandomLetter()&amp;I2508&amp;":    UniConst = ChrW(" &amp; I2508 &amp;")"</f>
        <v>Case Tm128692:    UniConst = ChrW(128692)</v>
      </c>
    </row>
    <row r="2509" spans="1:11" hidden="1">
      <c r="A2509" t="s">
        <v>2356</v>
      </c>
      <c r="B2509" t="str">
        <f t="shared" si="236"/>
        <v>1F6B4 1F3FC 200D 2640 FE0F ; fully-qualified # 🚴🏼‍♀️ E4.0 woman biking: medium-light skin tone</v>
      </c>
      <c r="C2509" t="str">
        <f t="shared" si="237"/>
        <v xml:space="preserve">1F6B4 1F3FC 200D 2640 FE0F </v>
      </c>
      <c r="D2509">
        <f t="shared" si="238"/>
        <v>27</v>
      </c>
      <c r="E2509" t="str">
        <f t="shared" si="234"/>
        <v xml:space="preserve"> 🚴🏼‍♀️ E4.0 woman biking: medium-light skin tone</v>
      </c>
      <c r="F2509" t="b">
        <f t="shared" si="239"/>
        <v>1</v>
      </c>
      <c r="G2509" t="str">
        <f t="shared" si="235"/>
        <v>1F6B4</v>
      </c>
      <c r="I2509">
        <f>HEX2DEC(Table1[[#This Row],[utf8]])</f>
        <v>128692</v>
      </c>
      <c r="J2509" t="str">
        <f>_xlfn.UNICHAR(HEX2DEC(Table1[[#This Row],[utf8]]))</f>
        <v>🚴</v>
      </c>
      <c r="K2509" s="3" t="str" cm="1">
        <f t="array" ref="K2509">"Case "&amp;wRandomLetter()&amp;wRandomLetter()&amp;I2509&amp;":    UniConst = ChrW(" &amp; I2509 &amp;")"</f>
        <v>Case JR128692:    UniConst = ChrW(128692)</v>
      </c>
    </row>
    <row r="2510" spans="1:11" hidden="1">
      <c r="A2510" t="s">
        <v>2345</v>
      </c>
      <c r="B2510" t="str">
        <f t="shared" si="236"/>
        <v>1F6B4 1F3FC 200D 2642 ; minimally-qualified # 🚴🏼‍♂ E4.0 man biking: medium-light skin tone</v>
      </c>
      <c r="C2510" t="str">
        <f t="shared" si="237"/>
        <v xml:space="preserve">1F6B4 1F3FC 200D 2642 </v>
      </c>
      <c r="D2510">
        <f t="shared" si="238"/>
        <v>22</v>
      </c>
      <c r="E2510" t="str">
        <f t="shared" si="234"/>
        <v xml:space="preserve"> 🚴🏼‍♂ E4.0 man biking: medium-light skin tone</v>
      </c>
      <c r="F2510" t="b">
        <f t="shared" si="239"/>
        <v>1</v>
      </c>
      <c r="G2510" t="str">
        <f t="shared" si="235"/>
        <v>1F6B4</v>
      </c>
      <c r="I2510">
        <f>HEX2DEC(Table1[[#This Row],[utf8]])</f>
        <v>128692</v>
      </c>
      <c r="J2510" t="str">
        <f>_xlfn.UNICHAR(HEX2DEC(Table1[[#This Row],[utf8]]))</f>
        <v>🚴</v>
      </c>
      <c r="K2510" s="3" t="str" cm="1">
        <f t="array" ref="K2510">"Case "&amp;wRandomLetter()&amp;wRandomLetter()&amp;I2510&amp;":    UniConst = ChrW(" &amp; I2510 &amp;")"</f>
        <v>Case YQ128692:    UniConst = ChrW(128692)</v>
      </c>
    </row>
    <row r="2511" spans="1:11" hidden="1">
      <c r="A2511" t="s">
        <v>2344</v>
      </c>
      <c r="B2511" t="str">
        <f t="shared" si="236"/>
        <v>1F6B4 1F3FC 200D 2642 FE0F ; fully-qualified # 🚴🏼‍♂️ E4.0 man biking: medium-light skin tone</v>
      </c>
      <c r="C2511" t="str">
        <f t="shared" si="237"/>
        <v xml:space="preserve">1F6B4 1F3FC 200D 2642 FE0F </v>
      </c>
      <c r="D2511">
        <f t="shared" si="238"/>
        <v>27</v>
      </c>
      <c r="E2511" t="str">
        <f t="shared" si="234"/>
        <v xml:space="preserve"> 🚴🏼‍♂️ E4.0 man biking: medium-light skin tone</v>
      </c>
      <c r="F2511" t="b">
        <f t="shared" si="239"/>
        <v>1</v>
      </c>
      <c r="G2511" t="str">
        <f t="shared" si="235"/>
        <v>1F6B4</v>
      </c>
      <c r="I2511">
        <f>HEX2DEC(Table1[[#This Row],[utf8]])</f>
        <v>128692</v>
      </c>
      <c r="J2511" t="str">
        <f>_xlfn.UNICHAR(HEX2DEC(Table1[[#This Row],[utf8]]))</f>
        <v>🚴</v>
      </c>
      <c r="K2511" s="3" t="str" cm="1">
        <f t="array" ref="K2511">"Case "&amp;wRandomLetter()&amp;wRandomLetter()&amp;I2511&amp;":    UniConst = ChrW(" &amp; I2511 &amp;")"</f>
        <v>Case dL128692:    UniConst = ChrW(128692)</v>
      </c>
    </row>
    <row r="2512" spans="1:11" hidden="1">
      <c r="A2512" t="s">
        <v>2337</v>
      </c>
      <c r="B2512" t="str">
        <f t="shared" si="236"/>
        <v>1F6B4 1F3FD ; fully-qualified # 🚴🏽 E1.0 person biking: medium skin tone</v>
      </c>
      <c r="C2512" t="str">
        <f t="shared" si="237"/>
        <v xml:space="preserve">1F6B4 1F3FD </v>
      </c>
      <c r="D2512">
        <f t="shared" si="238"/>
        <v>12</v>
      </c>
      <c r="E2512" t="str">
        <f t="shared" si="234"/>
        <v xml:space="preserve"> 🚴🏽 E1.0 person biking: medium skin tone</v>
      </c>
      <c r="F2512" t="b">
        <f t="shared" si="239"/>
        <v>1</v>
      </c>
      <c r="G2512" t="str">
        <f t="shared" si="235"/>
        <v>1F6B4</v>
      </c>
      <c r="I2512">
        <f>HEX2DEC(Table1[[#This Row],[utf8]])</f>
        <v>128692</v>
      </c>
      <c r="J2512" t="str">
        <f>_xlfn.UNICHAR(HEX2DEC(Table1[[#This Row],[utf8]]))</f>
        <v>🚴</v>
      </c>
      <c r="K2512" s="3" t="str" cm="1">
        <f t="array" ref="K2512">"Case "&amp;wRandomLetter()&amp;wRandomLetter()&amp;I2512&amp;":    UniConst = ChrW(" &amp; I2512 &amp;")"</f>
        <v>Case ed128692:    UniConst = ChrW(128692)</v>
      </c>
    </row>
    <row r="2513" spans="1:11" hidden="1">
      <c r="A2513" t="s">
        <v>2359</v>
      </c>
      <c r="B2513" t="str">
        <f t="shared" si="236"/>
        <v>1F6B4 1F3FD 200D 2640 ; minimally-qualified # 🚴🏽‍♀ E4.0 woman biking: medium skin tone</v>
      </c>
      <c r="C2513" t="str">
        <f t="shared" si="237"/>
        <v xml:space="preserve">1F6B4 1F3FD 200D 2640 </v>
      </c>
      <c r="D2513">
        <f t="shared" si="238"/>
        <v>22</v>
      </c>
      <c r="E2513" t="str">
        <f t="shared" si="234"/>
        <v xml:space="preserve"> 🚴🏽‍♀ E4.0 woman biking: medium skin tone</v>
      </c>
      <c r="F2513" t="b">
        <f t="shared" si="239"/>
        <v>1</v>
      </c>
      <c r="G2513" t="str">
        <f t="shared" si="235"/>
        <v>1F6B4</v>
      </c>
      <c r="I2513">
        <f>HEX2DEC(Table1[[#This Row],[utf8]])</f>
        <v>128692</v>
      </c>
      <c r="J2513" t="str">
        <f>_xlfn.UNICHAR(HEX2DEC(Table1[[#This Row],[utf8]]))</f>
        <v>🚴</v>
      </c>
      <c r="K2513" s="3" t="str" cm="1">
        <f t="array" ref="K2513">"Case "&amp;wRandomLetter()&amp;wRandomLetter()&amp;I2513&amp;":    UniConst = ChrW(" &amp; I2513 &amp;")"</f>
        <v>Case RY128692:    UniConst = ChrW(128692)</v>
      </c>
    </row>
    <row r="2514" spans="1:11" hidden="1">
      <c r="A2514" t="s">
        <v>2358</v>
      </c>
      <c r="B2514" t="str">
        <f t="shared" si="236"/>
        <v>1F6B4 1F3FD 200D 2640 FE0F ; fully-qualified # 🚴🏽‍♀️ E4.0 woman biking: medium skin tone</v>
      </c>
      <c r="C2514" t="str">
        <f t="shared" si="237"/>
        <v xml:space="preserve">1F6B4 1F3FD 200D 2640 FE0F </v>
      </c>
      <c r="D2514">
        <f t="shared" si="238"/>
        <v>27</v>
      </c>
      <c r="E2514" t="str">
        <f t="shared" si="234"/>
        <v xml:space="preserve"> 🚴🏽‍♀️ E4.0 woman biking: medium skin tone</v>
      </c>
      <c r="F2514" t="b">
        <f t="shared" si="239"/>
        <v>1</v>
      </c>
      <c r="G2514" t="str">
        <f t="shared" si="235"/>
        <v>1F6B4</v>
      </c>
      <c r="I2514">
        <f>HEX2DEC(Table1[[#This Row],[utf8]])</f>
        <v>128692</v>
      </c>
      <c r="J2514" t="str">
        <f>_xlfn.UNICHAR(HEX2DEC(Table1[[#This Row],[utf8]]))</f>
        <v>🚴</v>
      </c>
      <c r="K2514" s="3" t="str" cm="1">
        <f t="array" ref="K2514">"Case "&amp;wRandomLetter()&amp;wRandomLetter()&amp;I2514&amp;":    UniConst = ChrW(" &amp; I2514 &amp;")"</f>
        <v>Case xg128692:    UniConst = ChrW(128692)</v>
      </c>
    </row>
    <row r="2515" spans="1:11" hidden="1">
      <c r="A2515" t="s">
        <v>2347</v>
      </c>
      <c r="B2515" t="str">
        <f t="shared" si="236"/>
        <v>1F6B4 1F3FD 200D 2642 ; minimally-qualified # 🚴🏽‍♂ E4.0 man biking: medium skin tone</v>
      </c>
      <c r="C2515" t="str">
        <f t="shared" si="237"/>
        <v xml:space="preserve">1F6B4 1F3FD 200D 2642 </v>
      </c>
      <c r="D2515">
        <f t="shared" si="238"/>
        <v>22</v>
      </c>
      <c r="E2515" t="str">
        <f t="shared" si="234"/>
        <v xml:space="preserve"> 🚴🏽‍♂ E4.0 man biking: medium skin tone</v>
      </c>
      <c r="F2515" t="b">
        <f t="shared" si="239"/>
        <v>1</v>
      </c>
      <c r="G2515" t="str">
        <f t="shared" si="235"/>
        <v>1F6B4</v>
      </c>
      <c r="I2515">
        <f>HEX2DEC(Table1[[#This Row],[utf8]])</f>
        <v>128692</v>
      </c>
      <c r="J2515" t="str">
        <f>_xlfn.UNICHAR(HEX2DEC(Table1[[#This Row],[utf8]]))</f>
        <v>🚴</v>
      </c>
      <c r="K2515" s="3" t="str" cm="1">
        <f t="array" ref="K2515">"Case "&amp;wRandomLetter()&amp;wRandomLetter()&amp;I2515&amp;":    UniConst = ChrW(" &amp; I2515 &amp;")"</f>
        <v>Case EC128692:    UniConst = ChrW(128692)</v>
      </c>
    </row>
    <row r="2516" spans="1:11" hidden="1">
      <c r="A2516" t="s">
        <v>2346</v>
      </c>
      <c r="B2516" t="str">
        <f t="shared" si="236"/>
        <v>1F6B4 1F3FD 200D 2642 FE0F ; fully-qualified # 🚴🏽‍♂️ E4.0 man biking: medium skin tone</v>
      </c>
      <c r="C2516" t="str">
        <f t="shared" si="237"/>
        <v xml:space="preserve">1F6B4 1F3FD 200D 2642 FE0F </v>
      </c>
      <c r="D2516">
        <f t="shared" si="238"/>
        <v>27</v>
      </c>
      <c r="E2516" t="str">
        <f t="shared" si="234"/>
        <v xml:space="preserve"> 🚴🏽‍♂️ E4.0 man biking: medium skin tone</v>
      </c>
      <c r="F2516" t="b">
        <f t="shared" si="239"/>
        <v>1</v>
      </c>
      <c r="G2516" t="str">
        <f t="shared" si="235"/>
        <v>1F6B4</v>
      </c>
      <c r="I2516">
        <f>HEX2DEC(Table1[[#This Row],[utf8]])</f>
        <v>128692</v>
      </c>
      <c r="J2516" t="str">
        <f>_xlfn.UNICHAR(HEX2DEC(Table1[[#This Row],[utf8]]))</f>
        <v>🚴</v>
      </c>
      <c r="K2516" s="3" t="str" cm="1">
        <f t="array" ref="K2516">"Case "&amp;wRandomLetter()&amp;wRandomLetter()&amp;I2516&amp;":    UniConst = ChrW(" &amp; I2516 &amp;")"</f>
        <v>Case dk128692:    UniConst = ChrW(128692)</v>
      </c>
    </row>
    <row r="2517" spans="1:11" hidden="1">
      <c r="A2517" t="s">
        <v>2338</v>
      </c>
      <c r="B2517" t="str">
        <f t="shared" si="236"/>
        <v>1F6B4 1F3FE ; fully-qualified # 🚴🏾 E1.0 person biking: medium-dark skin tone</v>
      </c>
      <c r="C2517" t="str">
        <f t="shared" si="237"/>
        <v xml:space="preserve">1F6B4 1F3FE </v>
      </c>
      <c r="D2517">
        <f t="shared" si="238"/>
        <v>12</v>
      </c>
      <c r="E2517" t="str">
        <f t="shared" si="234"/>
        <v xml:space="preserve"> 🚴🏾 E1.0 person biking: medium-dark skin tone</v>
      </c>
      <c r="F2517" t="b">
        <f t="shared" si="239"/>
        <v>1</v>
      </c>
      <c r="G2517" t="str">
        <f t="shared" si="235"/>
        <v>1F6B4</v>
      </c>
      <c r="I2517">
        <f>HEX2DEC(Table1[[#This Row],[utf8]])</f>
        <v>128692</v>
      </c>
      <c r="J2517" t="str">
        <f>_xlfn.UNICHAR(HEX2DEC(Table1[[#This Row],[utf8]]))</f>
        <v>🚴</v>
      </c>
      <c r="K2517" s="3" t="str" cm="1">
        <f t="array" ref="K2517">"Case "&amp;wRandomLetter()&amp;wRandomLetter()&amp;I2517&amp;":    UniConst = ChrW(" &amp; I2517 &amp;")"</f>
        <v>Case AD128692:    UniConst = ChrW(128692)</v>
      </c>
    </row>
    <row r="2518" spans="1:11" hidden="1">
      <c r="A2518" t="s">
        <v>2361</v>
      </c>
      <c r="B2518" t="str">
        <f t="shared" si="236"/>
        <v>1F6B4 1F3FE 200D 2640 ; minimally-qualified # 🚴🏾‍♀ E4.0 woman biking: medium-dark skin tone</v>
      </c>
      <c r="C2518" t="str">
        <f t="shared" si="237"/>
        <v xml:space="preserve">1F6B4 1F3FE 200D 2640 </v>
      </c>
      <c r="D2518">
        <f t="shared" si="238"/>
        <v>22</v>
      </c>
      <c r="E2518" t="str">
        <f t="shared" si="234"/>
        <v xml:space="preserve"> 🚴🏾‍♀ E4.0 woman biking: medium-dark skin tone</v>
      </c>
      <c r="F2518" t="b">
        <f t="shared" si="239"/>
        <v>1</v>
      </c>
      <c r="G2518" t="str">
        <f t="shared" si="235"/>
        <v>1F6B4</v>
      </c>
      <c r="I2518">
        <f>HEX2DEC(Table1[[#This Row],[utf8]])</f>
        <v>128692</v>
      </c>
      <c r="J2518" t="str">
        <f>_xlfn.UNICHAR(HEX2DEC(Table1[[#This Row],[utf8]]))</f>
        <v>🚴</v>
      </c>
      <c r="K2518" s="3" t="str" cm="1">
        <f t="array" ref="K2518">"Case "&amp;wRandomLetter()&amp;wRandomLetter()&amp;I2518&amp;":    UniConst = ChrW(" &amp; I2518 &amp;")"</f>
        <v>Case QA128692:    UniConst = ChrW(128692)</v>
      </c>
    </row>
    <row r="2519" spans="1:11" hidden="1">
      <c r="A2519" t="s">
        <v>2360</v>
      </c>
      <c r="B2519" t="str">
        <f t="shared" si="236"/>
        <v>1F6B4 1F3FE 200D 2640 FE0F ; fully-qualified # 🚴🏾‍♀️ E4.0 woman biking: medium-dark skin tone</v>
      </c>
      <c r="C2519" t="str">
        <f t="shared" si="237"/>
        <v xml:space="preserve">1F6B4 1F3FE 200D 2640 FE0F </v>
      </c>
      <c r="D2519">
        <f t="shared" si="238"/>
        <v>27</v>
      </c>
      <c r="E2519" t="str">
        <f t="shared" si="234"/>
        <v xml:space="preserve"> 🚴🏾‍♀️ E4.0 woman biking: medium-dark skin tone</v>
      </c>
      <c r="F2519" t="b">
        <f t="shared" si="239"/>
        <v>1</v>
      </c>
      <c r="G2519" t="str">
        <f t="shared" si="235"/>
        <v>1F6B4</v>
      </c>
      <c r="I2519">
        <f>HEX2DEC(Table1[[#This Row],[utf8]])</f>
        <v>128692</v>
      </c>
      <c r="J2519" t="str">
        <f>_xlfn.UNICHAR(HEX2DEC(Table1[[#This Row],[utf8]]))</f>
        <v>🚴</v>
      </c>
      <c r="K2519" s="3" t="str" cm="1">
        <f t="array" ref="K2519">"Case "&amp;wRandomLetter()&amp;wRandomLetter()&amp;I2519&amp;":    UniConst = ChrW(" &amp; I2519 &amp;")"</f>
        <v>Case vA128692:    UniConst = ChrW(128692)</v>
      </c>
    </row>
    <row r="2520" spans="1:11" hidden="1">
      <c r="A2520" t="s">
        <v>2349</v>
      </c>
      <c r="B2520" t="str">
        <f t="shared" si="236"/>
        <v>1F6B4 1F3FE 200D 2642 ; minimally-qualified # 🚴🏾‍♂ E4.0 man biking: medium-dark skin tone</v>
      </c>
      <c r="C2520" t="str">
        <f t="shared" si="237"/>
        <v xml:space="preserve">1F6B4 1F3FE 200D 2642 </v>
      </c>
      <c r="D2520">
        <f t="shared" si="238"/>
        <v>22</v>
      </c>
      <c r="E2520" t="str">
        <f t="shared" si="234"/>
        <v xml:space="preserve"> 🚴🏾‍♂ E4.0 man biking: medium-dark skin tone</v>
      </c>
      <c r="F2520" t="b">
        <f t="shared" si="239"/>
        <v>1</v>
      </c>
      <c r="G2520" t="str">
        <f t="shared" si="235"/>
        <v>1F6B4</v>
      </c>
      <c r="I2520">
        <f>HEX2DEC(Table1[[#This Row],[utf8]])</f>
        <v>128692</v>
      </c>
      <c r="J2520" t="str">
        <f>_xlfn.UNICHAR(HEX2DEC(Table1[[#This Row],[utf8]]))</f>
        <v>🚴</v>
      </c>
      <c r="K2520" s="3" t="str" cm="1">
        <f t="array" ref="K2520">"Case "&amp;wRandomLetter()&amp;wRandomLetter()&amp;I2520&amp;":    UniConst = ChrW(" &amp; I2520 &amp;")"</f>
        <v>Case rY128692:    UniConst = ChrW(128692)</v>
      </c>
    </row>
    <row r="2521" spans="1:11" hidden="1">
      <c r="A2521" t="s">
        <v>2348</v>
      </c>
      <c r="B2521" t="str">
        <f t="shared" si="236"/>
        <v>1F6B4 1F3FE 200D 2642 FE0F ; fully-qualified # 🚴🏾‍♂️ E4.0 man biking: medium-dark skin tone</v>
      </c>
      <c r="C2521" t="str">
        <f t="shared" si="237"/>
        <v xml:space="preserve">1F6B4 1F3FE 200D 2642 FE0F </v>
      </c>
      <c r="D2521">
        <f t="shared" si="238"/>
        <v>27</v>
      </c>
      <c r="E2521" t="str">
        <f t="shared" si="234"/>
        <v xml:space="preserve"> 🚴🏾‍♂️ E4.0 man biking: medium-dark skin tone</v>
      </c>
      <c r="F2521" t="b">
        <f t="shared" si="239"/>
        <v>1</v>
      </c>
      <c r="G2521" t="str">
        <f t="shared" si="235"/>
        <v>1F6B4</v>
      </c>
      <c r="I2521">
        <f>HEX2DEC(Table1[[#This Row],[utf8]])</f>
        <v>128692</v>
      </c>
      <c r="J2521" t="str">
        <f>_xlfn.UNICHAR(HEX2DEC(Table1[[#This Row],[utf8]]))</f>
        <v>🚴</v>
      </c>
      <c r="K2521" s="3" t="str" cm="1">
        <f t="array" ref="K2521">"Case "&amp;wRandomLetter()&amp;wRandomLetter()&amp;I2521&amp;":    UniConst = ChrW(" &amp; I2521 &amp;")"</f>
        <v>Case BC128692:    UniConst = ChrW(128692)</v>
      </c>
    </row>
    <row r="2522" spans="1:11" hidden="1">
      <c r="A2522" t="s">
        <v>2339</v>
      </c>
      <c r="B2522" t="str">
        <f t="shared" si="236"/>
        <v>1F6B4 1F3FF ; fully-qualified # 🚴🏿 E1.0 person biking: dark skin tone</v>
      </c>
      <c r="C2522" t="str">
        <f t="shared" si="237"/>
        <v xml:space="preserve">1F6B4 1F3FF </v>
      </c>
      <c r="D2522">
        <f t="shared" si="238"/>
        <v>12</v>
      </c>
      <c r="E2522" t="str">
        <f t="shared" si="234"/>
        <v xml:space="preserve"> 🚴🏿 E1.0 person biking: dark skin tone</v>
      </c>
      <c r="F2522" t="b">
        <f t="shared" si="239"/>
        <v>1</v>
      </c>
      <c r="G2522" t="str">
        <f t="shared" si="235"/>
        <v>1F6B4</v>
      </c>
      <c r="I2522">
        <f>HEX2DEC(Table1[[#This Row],[utf8]])</f>
        <v>128692</v>
      </c>
      <c r="J2522" t="str">
        <f>_xlfn.UNICHAR(HEX2DEC(Table1[[#This Row],[utf8]]))</f>
        <v>🚴</v>
      </c>
      <c r="K2522" s="3" t="str" cm="1">
        <f t="array" ref="K2522">"Case "&amp;wRandomLetter()&amp;wRandomLetter()&amp;I2522&amp;":    UniConst = ChrW(" &amp; I2522 &amp;")"</f>
        <v>Case Cr128692:    UniConst = ChrW(128692)</v>
      </c>
    </row>
    <row r="2523" spans="1:11" hidden="1">
      <c r="A2523" t="s">
        <v>2363</v>
      </c>
      <c r="B2523" t="str">
        <f t="shared" si="236"/>
        <v>1F6B4 1F3FF 200D 2640 ; minimally-qualified # 🚴🏿‍♀ E4.0 woman biking: dark skin tone</v>
      </c>
      <c r="C2523" t="str">
        <f t="shared" si="237"/>
        <v xml:space="preserve">1F6B4 1F3FF 200D 2640 </v>
      </c>
      <c r="D2523">
        <f t="shared" si="238"/>
        <v>22</v>
      </c>
      <c r="E2523" t="str">
        <f t="shared" si="234"/>
        <v xml:space="preserve"> 🚴🏿‍♀ E4.0 woman biking: dark skin tone</v>
      </c>
      <c r="F2523" t="b">
        <f t="shared" si="239"/>
        <v>1</v>
      </c>
      <c r="G2523" t="str">
        <f t="shared" si="235"/>
        <v>1F6B4</v>
      </c>
      <c r="I2523">
        <f>HEX2DEC(Table1[[#This Row],[utf8]])</f>
        <v>128692</v>
      </c>
      <c r="J2523" t="str">
        <f>_xlfn.UNICHAR(HEX2DEC(Table1[[#This Row],[utf8]]))</f>
        <v>🚴</v>
      </c>
      <c r="K2523" s="3" t="str" cm="1">
        <f t="array" ref="K2523">"Case "&amp;wRandomLetter()&amp;wRandomLetter()&amp;I2523&amp;":    UniConst = ChrW(" &amp; I2523 &amp;")"</f>
        <v>Case Eo128692:    UniConst = ChrW(128692)</v>
      </c>
    </row>
    <row r="2524" spans="1:11" hidden="1">
      <c r="A2524" t="s">
        <v>2362</v>
      </c>
      <c r="B2524" t="str">
        <f t="shared" si="236"/>
        <v>1F6B4 1F3FF 200D 2640 FE0F ; fully-qualified # 🚴🏿‍♀️ E4.0 woman biking: dark skin tone</v>
      </c>
      <c r="C2524" t="str">
        <f t="shared" si="237"/>
        <v xml:space="preserve">1F6B4 1F3FF 200D 2640 FE0F </v>
      </c>
      <c r="D2524">
        <f t="shared" si="238"/>
        <v>27</v>
      </c>
      <c r="E2524" t="str">
        <f t="shared" si="234"/>
        <v xml:space="preserve"> 🚴🏿‍♀️ E4.0 woman biking: dark skin tone</v>
      </c>
      <c r="F2524" t="b">
        <f t="shared" si="239"/>
        <v>1</v>
      </c>
      <c r="G2524" t="str">
        <f t="shared" si="235"/>
        <v>1F6B4</v>
      </c>
      <c r="I2524">
        <f>HEX2DEC(Table1[[#This Row],[utf8]])</f>
        <v>128692</v>
      </c>
      <c r="J2524" t="str">
        <f>_xlfn.UNICHAR(HEX2DEC(Table1[[#This Row],[utf8]]))</f>
        <v>🚴</v>
      </c>
      <c r="K2524" s="3" t="str" cm="1">
        <f t="array" ref="K2524">"Case "&amp;wRandomLetter()&amp;wRandomLetter()&amp;I2524&amp;":    UniConst = ChrW(" &amp; I2524 &amp;")"</f>
        <v>Case AE128692:    UniConst = ChrW(128692)</v>
      </c>
    </row>
    <row r="2525" spans="1:11" hidden="1">
      <c r="A2525" t="s">
        <v>2351</v>
      </c>
      <c r="B2525" t="str">
        <f t="shared" si="236"/>
        <v>1F6B4 1F3FF 200D 2642 ; minimally-qualified # 🚴🏿‍♂ E4.0 man biking: dark skin tone</v>
      </c>
      <c r="C2525" t="str">
        <f t="shared" si="237"/>
        <v xml:space="preserve">1F6B4 1F3FF 200D 2642 </v>
      </c>
      <c r="D2525">
        <f t="shared" si="238"/>
        <v>22</v>
      </c>
      <c r="E2525" t="str">
        <f t="shared" si="234"/>
        <v xml:space="preserve"> 🚴🏿‍♂ E4.0 man biking: dark skin tone</v>
      </c>
      <c r="F2525" t="b">
        <f t="shared" si="239"/>
        <v>1</v>
      </c>
      <c r="G2525" t="str">
        <f t="shared" si="235"/>
        <v>1F6B4</v>
      </c>
      <c r="I2525">
        <f>HEX2DEC(Table1[[#This Row],[utf8]])</f>
        <v>128692</v>
      </c>
      <c r="J2525" t="str">
        <f>_xlfn.UNICHAR(HEX2DEC(Table1[[#This Row],[utf8]]))</f>
        <v>🚴</v>
      </c>
      <c r="K2525" s="3" t="str" cm="1">
        <f t="array" ref="K2525">"Case "&amp;wRandomLetter()&amp;wRandomLetter()&amp;I2525&amp;":    UniConst = ChrW(" &amp; I2525 &amp;")"</f>
        <v>Case Ay128692:    UniConst = ChrW(128692)</v>
      </c>
    </row>
    <row r="2526" spans="1:11" hidden="1">
      <c r="A2526" t="s">
        <v>2350</v>
      </c>
      <c r="B2526" t="str">
        <f t="shared" si="236"/>
        <v>1F6B4 1F3FF 200D 2642 FE0F ; fully-qualified # 🚴🏿‍♂️ E4.0 man biking: dark skin tone</v>
      </c>
      <c r="C2526" t="str">
        <f t="shared" si="237"/>
        <v xml:space="preserve">1F6B4 1F3FF 200D 2642 FE0F </v>
      </c>
      <c r="D2526">
        <f t="shared" si="238"/>
        <v>27</v>
      </c>
      <c r="E2526" t="str">
        <f t="shared" si="234"/>
        <v xml:space="preserve"> 🚴🏿‍♂️ E4.0 man biking: dark skin tone</v>
      </c>
      <c r="F2526" t="b">
        <f t="shared" si="239"/>
        <v>1</v>
      </c>
      <c r="G2526" t="str">
        <f t="shared" si="235"/>
        <v>1F6B4</v>
      </c>
      <c r="I2526">
        <f>HEX2DEC(Table1[[#This Row],[utf8]])</f>
        <v>128692</v>
      </c>
      <c r="J2526" t="str">
        <f>_xlfn.UNICHAR(HEX2DEC(Table1[[#This Row],[utf8]]))</f>
        <v>🚴</v>
      </c>
      <c r="K2526" s="3" t="str" cm="1">
        <f t="array" ref="K2526">"Case "&amp;wRandomLetter()&amp;wRandomLetter()&amp;I2526&amp;":    UniConst = ChrW(" &amp; I2526 &amp;")"</f>
        <v>Case eB128692:    UniConst = ChrW(128692)</v>
      </c>
    </row>
    <row r="2527" spans="1:11" hidden="1">
      <c r="A2527" t="s">
        <v>2353</v>
      </c>
      <c r="B2527" t="str">
        <f t="shared" si="236"/>
        <v>1F6B4 200D 2640 ; minimally-qualified # 🚴‍♀ E4.0 woman biking</v>
      </c>
      <c r="C2527" t="str">
        <f t="shared" si="237"/>
        <v xml:space="preserve">1F6B4 200D 2640 </v>
      </c>
      <c r="D2527">
        <f t="shared" si="238"/>
        <v>16</v>
      </c>
      <c r="E2527" t="str">
        <f t="shared" si="234"/>
        <v xml:space="preserve"> 🚴‍♀ E4.0 woman biking</v>
      </c>
      <c r="F2527" t="b">
        <f t="shared" si="239"/>
        <v>1</v>
      </c>
      <c r="G2527" t="str">
        <f t="shared" si="235"/>
        <v>1F6B4</v>
      </c>
      <c r="I2527">
        <f>HEX2DEC(Table1[[#This Row],[utf8]])</f>
        <v>128692</v>
      </c>
      <c r="J2527" t="str">
        <f>_xlfn.UNICHAR(HEX2DEC(Table1[[#This Row],[utf8]]))</f>
        <v>🚴</v>
      </c>
      <c r="K2527" s="3" t="str" cm="1">
        <f t="array" ref="K2527">"Case "&amp;wRandomLetter()&amp;wRandomLetter()&amp;I2527&amp;":    UniConst = ChrW(" &amp; I2527 &amp;")"</f>
        <v>Case yT128692:    UniConst = ChrW(128692)</v>
      </c>
    </row>
    <row r="2528" spans="1:11" hidden="1">
      <c r="A2528" t="s">
        <v>2352</v>
      </c>
      <c r="B2528" t="str">
        <f t="shared" si="236"/>
        <v>1F6B4 200D 2640 FE0F ; fully-qualified # 🚴‍♀️ E4.0 woman biking</v>
      </c>
      <c r="C2528" t="str">
        <f t="shared" si="237"/>
        <v xml:space="preserve">1F6B4 200D 2640 FE0F </v>
      </c>
      <c r="D2528">
        <f t="shared" si="238"/>
        <v>21</v>
      </c>
      <c r="E2528" t="str">
        <f t="shared" si="234"/>
        <v xml:space="preserve"> 🚴‍♀️ E4.0 woman biking</v>
      </c>
      <c r="F2528" t="b">
        <f t="shared" si="239"/>
        <v>1</v>
      </c>
      <c r="G2528" t="str">
        <f t="shared" si="235"/>
        <v>1F6B4</v>
      </c>
      <c r="I2528">
        <f>HEX2DEC(Table1[[#This Row],[utf8]])</f>
        <v>128692</v>
      </c>
      <c r="J2528" t="str">
        <f>_xlfn.UNICHAR(HEX2DEC(Table1[[#This Row],[utf8]]))</f>
        <v>🚴</v>
      </c>
      <c r="K2528" s="3" t="str" cm="1">
        <f t="array" ref="K2528">"Case "&amp;wRandomLetter()&amp;wRandomLetter()&amp;I2528&amp;":    UniConst = ChrW(" &amp; I2528 &amp;")"</f>
        <v>Case ic128692:    UniConst = ChrW(128692)</v>
      </c>
    </row>
    <row r="2529" spans="1:11" hidden="1">
      <c r="A2529" t="s">
        <v>2341</v>
      </c>
      <c r="B2529" t="str">
        <f t="shared" si="236"/>
        <v>1F6B4 200D 2642 ; minimally-qualified # 🚴‍♂ E4.0 man biking</v>
      </c>
      <c r="C2529" t="str">
        <f t="shared" si="237"/>
        <v xml:space="preserve">1F6B4 200D 2642 </v>
      </c>
      <c r="D2529">
        <f t="shared" si="238"/>
        <v>16</v>
      </c>
      <c r="E2529" t="str">
        <f t="shared" si="234"/>
        <v xml:space="preserve"> 🚴‍♂ E4.0 man biking</v>
      </c>
      <c r="F2529" t="b">
        <f t="shared" si="239"/>
        <v>1</v>
      </c>
      <c r="G2529" t="str">
        <f t="shared" si="235"/>
        <v>1F6B4</v>
      </c>
      <c r="I2529">
        <f>HEX2DEC(Table1[[#This Row],[utf8]])</f>
        <v>128692</v>
      </c>
      <c r="J2529" t="str">
        <f>_xlfn.UNICHAR(HEX2DEC(Table1[[#This Row],[utf8]]))</f>
        <v>🚴</v>
      </c>
      <c r="K2529" s="3" t="str" cm="1">
        <f t="array" ref="K2529">"Case "&amp;wRandomLetter()&amp;wRandomLetter()&amp;I2529&amp;":    UniConst = ChrW(" &amp; I2529 &amp;")"</f>
        <v>Case tE128692:    UniConst = ChrW(128692)</v>
      </c>
    </row>
    <row r="2530" spans="1:11" hidden="1">
      <c r="A2530" t="s">
        <v>2340</v>
      </c>
      <c r="B2530" t="str">
        <f t="shared" si="236"/>
        <v>1F6B4 200D 2642 FE0F ; fully-qualified # 🚴‍♂️ E4.0 man biking</v>
      </c>
      <c r="C2530" t="str">
        <f t="shared" si="237"/>
        <v xml:space="preserve">1F6B4 200D 2642 FE0F </v>
      </c>
      <c r="D2530">
        <f t="shared" si="238"/>
        <v>21</v>
      </c>
      <c r="E2530" t="str">
        <f t="shared" si="234"/>
        <v xml:space="preserve"> 🚴‍♂️ E4.0 man biking</v>
      </c>
      <c r="F2530" t="b">
        <f t="shared" si="239"/>
        <v>1</v>
      </c>
      <c r="G2530" t="str">
        <f t="shared" si="235"/>
        <v>1F6B4</v>
      </c>
      <c r="I2530">
        <f>HEX2DEC(Table1[[#This Row],[utf8]])</f>
        <v>128692</v>
      </c>
      <c r="J2530" t="str">
        <f>_xlfn.UNICHAR(HEX2DEC(Table1[[#This Row],[utf8]]))</f>
        <v>🚴</v>
      </c>
      <c r="K2530" s="3" t="str" cm="1">
        <f t="array" ref="K2530">"Case "&amp;wRandomLetter()&amp;wRandomLetter()&amp;I2530&amp;":    UniConst = ChrW(" &amp; I2530 &amp;")"</f>
        <v>Case BL128692:    UniConst = ChrW(128692)</v>
      </c>
    </row>
    <row r="2531" spans="1:11" hidden="1">
      <c r="A2531" t="s">
        <v>2364</v>
      </c>
      <c r="B2531" t="str">
        <f t="shared" si="236"/>
        <v>1F6B5 ; fully-qualified # 🚵 E1.0 person mountain biking</v>
      </c>
      <c r="C2531" t="str">
        <f t="shared" si="237"/>
        <v xml:space="preserve">1F6B5 </v>
      </c>
      <c r="D2531">
        <f t="shared" si="238"/>
        <v>6</v>
      </c>
      <c r="E2531" t="str">
        <f t="shared" si="234"/>
        <v xml:space="preserve"> 🚵 E1.0 person mountain biking</v>
      </c>
      <c r="F2531" t="b">
        <f t="shared" si="239"/>
        <v>1</v>
      </c>
      <c r="G2531" t="str">
        <f t="shared" si="235"/>
        <v>1F6B5</v>
      </c>
      <c r="I2531">
        <f>HEX2DEC(Table1[[#This Row],[utf8]])</f>
        <v>128693</v>
      </c>
      <c r="J2531" t="str">
        <f>_xlfn.UNICHAR(HEX2DEC(Table1[[#This Row],[utf8]]))</f>
        <v>🚵</v>
      </c>
      <c r="K2531" s="3" t="str" cm="1">
        <f t="array" ref="K2531">"Case "&amp;wRandomLetter()&amp;wRandomLetter()&amp;I2531&amp;":    UniConst = ChrW(" &amp; I2531 &amp;")"</f>
        <v>Case Xf128693:    UniConst = ChrW(128693)</v>
      </c>
    </row>
    <row r="2532" spans="1:11" hidden="1">
      <c r="A2532" t="s">
        <v>2365</v>
      </c>
      <c r="B2532" t="str">
        <f t="shared" si="236"/>
        <v>1F6B5 1F3FB ; fully-qualified # 🚵🏻 E1.0 person mountain biking: light skin tone</v>
      </c>
      <c r="C2532" t="str">
        <f t="shared" si="237"/>
        <v xml:space="preserve">1F6B5 1F3FB </v>
      </c>
      <c r="D2532">
        <f t="shared" si="238"/>
        <v>12</v>
      </c>
      <c r="E2532" t="str">
        <f t="shared" si="234"/>
        <v xml:space="preserve"> 🚵🏻 E1.0 person mountain biking: light skin tone</v>
      </c>
      <c r="F2532" t="b">
        <f t="shared" si="239"/>
        <v>1</v>
      </c>
      <c r="G2532" t="str">
        <f t="shared" si="235"/>
        <v>1F6B5</v>
      </c>
      <c r="I2532">
        <f>HEX2DEC(Table1[[#This Row],[utf8]])</f>
        <v>128693</v>
      </c>
      <c r="J2532" t="str">
        <f>_xlfn.UNICHAR(HEX2DEC(Table1[[#This Row],[utf8]]))</f>
        <v>🚵</v>
      </c>
      <c r="K2532" s="3" t="str" cm="1">
        <f t="array" ref="K2532">"Case "&amp;wRandomLetter()&amp;wRandomLetter()&amp;I2532&amp;":    UniConst = ChrW(" &amp; I2532 &amp;")"</f>
        <v>Case QJ128693:    UniConst = ChrW(128693)</v>
      </c>
    </row>
    <row r="2533" spans="1:11" hidden="1">
      <c r="A2533" t="s">
        <v>2385</v>
      </c>
      <c r="B2533" t="str">
        <f t="shared" si="236"/>
        <v>1F6B5 1F3FB 200D 2640 ; minimally-qualified # 🚵🏻‍♀ E4.0 woman mountain biking: light skin tone</v>
      </c>
      <c r="C2533" t="str">
        <f t="shared" si="237"/>
        <v xml:space="preserve">1F6B5 1F3FB 200D 2640 </v>
      </c>
      <c r="D2533">
        <f t="shared" si="238"/>
        <v>22</v>
      </c>
      <c r="E2533" t="str">
        <f t="shared" si="234"/>
        <v xml:space="preserve"> 🚵🏻‍♀ E4.0 woman mountain biking: light skin tone</v>
      </c>
      <c r="F2533" t="b">
        <f t="shared" si="239"/>
        <v>1</v>
      </c>
      <c r="G2533" t="str">
        <f t="shared" si="235"/>
        <v>1F6B5</v>
      </c>
      <c r="I2533">
        <f>HEX2DEC(Table1[[#This Row],[utf8]])</f>
        <v>128693</v>
      </c>
      <c r="J2533" t="str">
        <f>_xlfn.UNICHAR(HEX2DEC(Table1[[#This Row],[utf8]]))</f>
        <v>🚵</v>
      </c>
      <c r="K2533" s="3" t="str" cm="1">
        <f t="array" ref="K2533">"Case "&amp;wRandomLetter()&amp;wRandomLetter()&amp;I2533&amp;":    UniConst = ChrW(" &amp; I2533 &amp;")"</f>
        <v>Case bI128693:    UniConst = ChrW(128693)</v>
      </c>
    </row>
    <row r="2534" spans="1:11" hidden="1">
      <c r="A2534" t="s">
        <v>2384</v>
      </c>
      <c r="B2534" t="str">
        <f t="shared" si="236"/>
        <v>1F6B5 1F3FB 200D 2640 FE0F ; fully-qualified # 🚵🏻‍♀️ E4.0 woman mountain biking: light skin tone</v>
      </c>
      <c r="C2534" t="str">
        <f t="shared" si="237"/>
        <v xml:space="preserve">1F6B5 1F3FB 200D 2640 FE0F </v>
      </c>
      <c r="D2534">
        <f t="shared" si="238"/>
        <v>27</v>
      </c>
      <c r="E2534" t="str">
        <f t="shared" si="234"/>
        <v xml:space="preserve"> 🚵🏻‍♀️ E4.0 woman mountain biking: light skin tone</v>
      </c>
      <c r="F2534" t="b">
        <f t="shared" si="239"/>
        <v>1</v>
      </c>
      <c r="G2534" t="str">
        <f t="shared" si="235"/>
        <v>1F6B5</v>
      </c>
      <c r="I2534">
        <f>HEX2DEC(Table1[[#This Row],[utf8]])</f>
        <v>128693</v>
      </c>
      <c r="J2534" t="str">
        <f>_xlfn.UNICHAR(HEX2DEC(Table1[[#This Row],[utf8]]))</f>
        <v>🚵</v>
      </c>
      <c r="K2534" s="3" t="str" cm="1">
        <f t="array" ref="K2534">"Case "&amp;wRandomLetter()&amp;wRandomLetter()&amp;I2534&amp;":    UniConst = ChrW(" &amp; I2534 &amp;")"</f>
        <v>Case lm128693:    UniConst = ChrW(128693)</v>
      </c>
    </row>
    <row r="2535" spans="1:11" hidden="1">
      <c r="A2535" t="s">
        <v>2373</v>
      </c>
      <c r="B2535" t="str">
        <f t="shared" si="236"/>
        <v>1F6B5 1F3FB 200D 2642 ; minimally-qualified # 🚵🏻‍♂ E4.0 man mountain biking: light skin tone</v>
      </c>
      <c r="C2535" t="str">
        <f t="shared" si="237"/>
        <v xml:space="preserve">1F6B5 1F3FB 200D 2642 </v>
      </c>
      <c r="D2535">
        <f t="shared" si="238"/>
        <v>22</v>
      </c>
      <c r="E2535" t="str">
        <f t="shared" si="234"/>
        <v xml:space="preserve"> 🚵🏻‍♂ E4.0 man mountain biking: light skin tone</v>
      </c>
      <c r="F2535" t="b">
        <f t="shared" si="239"/>
        <v>1</v>
      </c>
      <c r="G2535" t="str">
        <f t="shared" si="235"/>
        <v>1F6B5</v>
      </c>
      <c r="I2535">
        <f>HEX2DEC(Table1[[#This Row],[utf8]])</f>
        <v>128693</v>
      </c>
      <c r="J2535" t="str">
        <f>_xlfn.UNICHAR(HEX2DEC(Table1[[#This Row],[utf8]]))</f>
        <v>🚵</v>
      </c>
      <c r="K2535" s="3" t="str" cm="1">
        <f t="array" ref="K2535">"Case "&amp;wRandomLetter()&amp;wRandomLetter()&amp;I2535&amp;":    UniConst = ChrW(" &amp; I2535 &amp;")"</f>
        <v>Case Nc128693:    UniConst = ChrW(128693)</v>
      </c>
    </row>
    <row r="2536" spans="1:11" hidden="1">
      <c r="A2536" t="s">
        <v>2372</v>
      </c>
      <c r="B2536" t="str">
        <f t="shared" si="236"/>
        <v>1F6B5 1F3FB 200D 2642 FE0F ; fully-qualified # 🚵🏻‍♂️ E4.0 man mountain biking: light skin tone</v>
      </c>
      <c r="C2536" t="str">
        <f t="shared" si="237"/>
        <v xml:space="preserve">1F6B5 1F3FB 200D 2642 FE0F </v>
      </c>
      <c r="D2536">
        <f t="shared" si="238"/>
        <v>27</v>
      </c>
      <c r="E2536" t="str">
        <f t="shared" si="234"/>
        <v xml:space="preserve"> 🚵🏻‍♂️ E4.0 man mountain biking: light skin tone</v>
      </c>
      <c r="F2536" t="b">
        <f t="shared" si="239"/>
        <v>1</v>
      </c>
      <c r="G2536" t="str">
        <f t="shared" si="235"/>
        <v>1F6B5</v>
      </c>
      <c r="I2536">
        <f>HEX2DEC(Table1[[#This Row],[utf8]])</f>
        <v>128693</v>
      </c>
      <c r="J2536" t="str">
        <f>_xlfn.UNICHAR(HEX2DEC(Table1[[#This Row],[utf8]]))</f>
        <v>🚵</v>
      </c>
      <c r="K2536" s="3" t="str" cm="1">
        <f t="array" ref="K2536">"Case "&amp;wRandomLetter()&amp;wRandomLetter()&amp;I2536&amp;":    UniConst = ChrW(" &amp; I2536 &amp;")"</f>
        <v>Case cx128693:    UniConst = ChrW(128693)</v>
      </c>
    </row>
    <row r="2537" spans="1:11" hidden="1">
      <c r="A2537" t="s">
        <v>2366</v>
      </c>
      <c r="B2537" t="str">
        <f t="shared" si="236"/>
        <v>1F6B5 1F3FC ; fully-qualified # 🚵🏼 E1.0 person mountain biking: medium-light skin tone</v>
      </c>
      <c r="C2537" t="str">
        <f t="shared" si="237"/>
        <v xml:space="preserve">1F6B5 1F3FC </v>
      </c>
      <c r="D2537">
        <f t="shared" si="238"/>
        <v>12</v>
      </c>
      <c r="E2537" t="str">
        <f t="shared" si="234"/>
        <v xml:space="preserve"> 🚵🏼 E1.0 person mountain biking: medium-light skin tone</v>
      </c>
      <c r="F2537" t="b">
        <f t="shared" si="239"/>
        <v>1</v>
      </c>
      <c r="G2537" t="str">
        <f t="shared" si="235"/>
        <v>1F6B5</v>
      </c>
      <c r="I2537">
        <f>HEX2DEC(Table1[[#This Row],[utf8]])</f>
        <v>128693</v>
      </c>
      <c r="J2537" t="str">
        <f>_xlfn.UNICHAR(HEX2DEC(Table1[[#This Row],[utf8]]))</f>
        <v>🚵</v>
      </c>
      <c r="K2537" s="3" t="str" cm="1">
        <f t="array" ref="K2537">"Case "&amp;wRandomLetter()&amp;wRandomLetter()&amp;I2537&amp;":    UniConst = ChrW(" &amp; I2537 &amp;")"</f>
        <v>Case Su128693:    UniConst = ChrW(128693)</v>
      </c>
    </row>
    <row r="2538" spans="1:11" hidden="1">
      <c r="A2538" t="s">
        <v>2387</v>
      </c>
      <c r="B2538" t="str">
        <f t="shared" si="236"/>
        <v>1F6B5 1F3FC 200D 2640 ; minimally-qualified # 🚵🏼‍♀ E4.0 woman mountain biking: medium-light skin tone</v>
      </c>
      <c r="C2538" t="str">
        <f t="shared" si="237"/>
        <v xml:space="preserve">1F6B5 1F3FC 200D 2640 </v>
      </c>
      <c r="D2538">
        <f t="shared" si="238"/>
        <v>22</v>
      </c>
      <c r="E2538" t="str">
        <f t="shared" si="234"/>
        <v xml:space="preserve"> 🚵🏼‍♀ E4.0 woman mountain biking: medium-light skin tone</v>
      </c>
      <c r="F2538" t="b">
        <f t="shared" si="239"/>
        <v>1</v>
      </c>
      <c r="G2538" t="str">
        <f t="shared" si="235"/>
        <v>1F6B5</v>
      </c>
      <c r="I2538">
        <f>HEX2DEC(Table1[[#This Row],[utf8]])</f>
        <v>128693</v>
      </c>
      <c r="J2538" t="str">
        <f>_xlfn.UNICHAR(HEX2DEC(Table1[[#This Row],[utf8]]))</f>
        <v>🚵</v>
      </c>
      <c r="K2538" s="3" t="str" cm="1">
        <f t="array" ref="K2538">"Case "&amp;wRandomLetter()&amp;wRandomLetter()&amp;I2538&amp;":    UniConst = ChrW(" &amp; I2538 &amp;")"</f>
        <v>Case ES128693:    UniConst = ChrW(128693)</v>
      </c>
    </row>
    <row r="2539" spans="1:11" hidden="1">
      <c r="A2539" t="s">
        <v>2386</v>
      </c>
      <c r="B2539" t="str">
        <f t="shared" si="236"/>
        <v>1F6B5 1F3FC 200D 2640 FE0F ; fully-qualified # 🚵🏼‍♀️ E4.0 woman mountain biking: medium-light skin tone</v>
      </c>
      <c r="C2539" t="str">
        <f t="shared" si="237"/>
        <v xml:space="preserve">1F6B5 1F3FC 200D 2640 FE0F </v>
      </c>
      <c r="D2539">
        <f t="shared" si="238"/>
        <v>27</v>
      </c>
      <c r="E2539" t="str">
        <f t="shared" si="234"/>
        <v xml:space="preserve"> 🚵🏼‍♀️ E4.0 woman mountain biking: medium-light skin tone</v>
      </c>
      <c r="F2539" t="b">
        <f t="shared" si="239"/>
        <v>1</v>
      </c>
      <c r="G2539" t="str">
        <f t="shared" si="235"/>
        <v>1F6B5</v>
      </c>
      <c r="I2539">
        <f>HEX2DEC(Table1[[#This Row],[utf8]])</f>
        <v>128693</v>
      </c>
      <c r="J2539" t="str">
        <f>_xlfn.UNICHAR(HEX2DEC(Table1[[#This Row],[utf8]]))</f>
        <v>🚵</v>
      </c>
      <c r="K2539" s="3" t="str" cm="1">
        <f t="array" ref="K2539">"Case "&amp;wRandomLetter()&amp;wRandomLetter()&amp;I2539&amp;":    UniConst = ChrW(" &amp; I2539 &amp;")"</f>
        <v>Case XU128693:    UniConst = ChrW(128693)</v>
      </c>
    </row>
    <row r="2540" spans="1:11" hidden="1">
      <c r="A2540" t="s">
        <v>2375</v>
      </c>
      <c r="B2540" t="str">
        <f t="shared" si="236"/>
        <v>1F6B5 1F3FC 200D 2642 ; minimally-qualified # 🚵🏼‍♂ E4.0 man mountain biking: medium-light skin tone</v>
      </c>
      <c r="C2540" t="str">
        <f t="shared" si="237"/>
        <v xml:space="preserve">1F6B5 1F3FC 200D 2642 </v>
      </c>
      <c r="D2540">
        <f t="shared" si="238"/>
        <v>22</v>
      </c>
      <c r="E2540" t="str">
        <f t="shared" si="234"/>
        <v xml:space="preserve"> 🚵🏼‍♂ E4.0 man mountain biking: medium-light skin tone</v>
      </c>
      <c r="F2540" t="b">
        <f t="shared" si="239"/>
        <v>1</v>
      </c>
      <c r="G2540" t="str">
        <f t="shared" si="235"/>
        <v>1F6B5</v>
      </c>
      <c r="I2540">
        <f>HEX2DEC(Table1[[#This Row],[utf8]])</f>
        <v>128693</v>
      </c>
      <c r="J2540" t="str">
        <f>_xlfn.UNICHAR(HEX2DEC(Table1[[#This Row],[utf8]]))</f>
        <v>🚵</v>
      </c>
      <c r="K2540" s="3" t="str" cm="1">
        <f t="array" ref="K2540">"Case "&amp;wRandomLetter()&amp;wRandomLetter()&amp;I2540&amp;":    UniConst = ChrW(" &amp; I2540 &amp;")"</f>
        <v>Case BN128693:    UniConst = ChrW(128693)</v>
      </c>
    </row>
    <row r="2541" spans="1:11" hidden="1">
      <c r="A2541" t="s">
        <v>2374</v>
      </c>
      <c r="B2541" t="str">
        <f t="shared" si="236"/>
        <v>1F6B5 1F3FC 200D 2642 FE0F ; fully-qualified # 🚵🏼‍♂️ E4.0 man mountain biking: medium-light skin tone</v>
      </c>
      <c r="C2541" t="str">
        <f t="shared" si="237"/>
        <v xml:space="preserve">1F6B5 1F3FC 200D 2642 FE0F </v>
      </c>
      <c r="D2541">
        <f t="shared" si="238"/>
        <v>27</v>
      </c>
      <c r="E2541" t="str">
        <f t="shared" si="234"/>
        <v xml:space="preserve"> 🚵🏼‍♂️ E4.0 man mountain biking: medium-light skin tone</v>
      </c>
      <c r="F2541" t="b">
        <f t="shared" si="239"/>
        <v>1</v>
      </c>
      <c r="G2541" t="str">
        <f t="shared" si="235"/>
        <v>1F6B5</v>
      </c>
      <c r="I2541">
        <f>HEX2DEC(Table1[[#This Row],[utf8]])</f>
        <v>128693</v>
      </c>
      <c r="J2541" t="str">
        <f>_xlfn.UNICHAR(HEX2DEC(Table1[[#This Row],[utf8]]))</f>
        <v>🚵</v>
      </c>
      <c r="K2541" s="3" t="str" cm="1">
        <f t="array" ref="K2541">"Case "&amp;wRandomLetter()&amp;wRandomLetter()&amp;I2541&amp;":    UniConst = ChrW(" &amp; I2541 &amp;")"</f>
        <v>Case nW128693:    UniConst = ChrW(128693)</v>
      </c>
    </row>
    <row r="2542" spans="1:11" hidden="1">
      <c r="A2542" t="s">
        <v>2367</v>
      </c>
      <c r="B2542" t="str">
        <f t="shared" si="236"/>
        <v>1F6B5 1F3FD ; fully-qualified # 🚵🏽 E1.0 person mountain biking: medium skin tone</v>
      </c>
      <c r="C2542" t="str">
        <f t="shared" si="237"/>
        <v xml:space="preserve">1F6B5 1F3FD </v>
      </c>
      <c r="D2542">
        <f t="shared" si="238"/>
        <v>12</v>
      </c>
      <c r="E2542" t="str">
        <f t="shared" si="234"/>
        <v xml:space="preserve"> 🚵🏽 E1.0 person mountain biking: medium skin tone</v>
      </c>
      <c r="F2542" t="b">
        <f t="shared" si="239"/>
        <v>1</v>
      </c>
      <c r="G2542" t="str">
        <f t="shared" si="235"/>
        <v>1F6B5</v>
      </c>
      <c r="I2542">
        <f>HEX2DEC(Table1[[#This Row],[utf8]])</f>
        <v>128693</v>
      </c>
      <c r="J2542" t="str">
        <f>_xlfn.UNICHAR(HEX2DEC(Table1[[#This Row],[utf8]]))</f>
        <v>🚵</v>
      </c>
      <c r="K2542" s="3" t="str" cm="1">
        <f t="array" ref="K2542">"Case "&amp;wRandomLetter()&amp;wRandomLetter()&amp;I2542&amp;":    UniConst = ChrW(" &amp; I2542 &amp;")"</f>
        <v>Case Zv128693:    UniConst = ChrW(128693)</v>
      </c>
    </row>
    <row r="2543" spans="1:11" hidden="1">
      <c r="A2543" t="s">
        <v>2389</v>
      </c>
      <c r="B2543" t="str">
        <f t="shared" si="236"/>
        <v>1F6B5 1F3FD 200D 2640 ; minimally-qualified # 🚵🏽‍♀ E4.0 woman mountain biking: medium skin tone</v>
      </c>
      <c r="C2543" t="str">
        <f t="shared" si="237"/>
        <v xml:space="preserve">1F6B5 1F3FD 200D 2640 </v>
      </c>
      <c r="D2543">
        <f t="shared" si="238"/>
        <v>22</v>
      </c>
      <c r="E2543" t="str">
        <f t="shared" si="234"/>
        <v xml:space="preserve"> 🚵🏽‍♀ E4.0 woman mountain biking: medium skin tone</v>
      </c>
      <c r="F2543" t="b">
        <f t="shared" si="239"/>
        <v>1</v>
      </c>
      <c r="G2543" t="str">
        <f t="shared" si="235"/>
        <v>1F6B5</v>
      </c>
      <c r="I2543">
        <f>HEX2DEC(Table1[[#This Row],[utf8]])</f>
        <v>128693</v>
      </c>
      <c r="J2543" t="str">
        <f>_xlfn.UNICHAR(HEX2DEC(Table1[[#This Row],[utf8]]))</f>
        <v>🚵</v>
      </c>
      <c r="K2543" s="3" t="str" cm="1">
        <f t="array" ref="K2543">"Case "&amp;wRandomLetter()&amp;wRandomLetter()&amp;I2543&amp;":    UniConst = ChrW(" &amp; I2543 &amp;")"</f>
        <v>Case Ux128693:    UniConst = ChrW(128693)</v>
      </c>
    </row>
    <row r="2544" spans="1:11" hidden="1">
      <c r="A2544" t="s">
        <v>2388</v>
      </c>
      <c r="B2544" t="str">
        <f t="shared" si="236"/>
        <v>1F6B5 1F3FD 200D 2640 FE0F ; fully-qualified # 🚵🏽‍♀️ E4.0 woman mountain biking: medium skin tone</v>
      </c>
      <c r="C2544" t="str">
        <f t="shared" si="237"/>
        <v xml:space="preserve">1F6B5 1F3FD 200D 2640 FE0F </v>
      </c>
      <c r="D2544">
        <f t="shared" si="238"/>
        <v>27</v>
      </c>
      <c r="E2544" t="str">
        <f t="shared" si="234"/>
        <v xml:space="preserve"> 🚵🏽‍♀️ E4.0 woman mountain biking: medium skin tone</v>
      </c>
      <c r="F2544" t="b">
        <f t="shared" si="239"/>
        <v>1</v>
      </c>
      <c r="G2544" t="str">
        <f t="shared" si="235"/>
        <v>1F6B5</v>
      </c>
      <c r="I2544">
        <f>HEX2DEC(Table1[[#This Row],[utf8]])</f>
        <v>128693</v>
      </c>
      <c r="J2544" t="str">
        <f>_xlfn.UNICHAR(HEX2DEC(Table1[[#This Row],[utf8]]))</f>
        <v>🚵</v>
      </c>
      <c r="K2544" s="3" t="str" cm="1">
        <f t="array" ref="K2544">"Case "&amp;wRandomLetter()&amp;wRandomLetter()&amp;I2544&amp;":    UniConst = ChrW(" &amp; I2544 &amp;")"</f>
        <v>Case bm128693:    UniConst = ChrW(128693)</v>
      </c>
    </row>
    <row r="2545" spans="1:11" hidden="1">
      <c r="A2545" t="s">
        <v>2377</v>
      </c>
      <c r="B2545" t="str">
        <f t="shared" si="236"/>
        <v>1F6B5 1F3FD 200D 2642 ; minimally-qualified # 🚵🏽‍♂ E4.0 man mountain biking: medium skin tone</v>
      </c>
      <c r="C2545" t="str">
        <f t="shared" si="237"/>
        <v xml:space="preserve">1F6B5 1F3FD 200D 2642 </v>
      </c>
      <c r="D2545">
        <f t="shared" si="238"/>
        <v>22</v>
      </c>
      <c r="E2545" t="str">
        <f t="shared" si="234"/>
        <v xml:space="preserve"> 🚵🏽‍♂ E4.0 man mountain biking: medium skin tone</v>
      </c>
      <c r="F2545" t="b">
        <f t="shared" si="239"/>
        <v>1</v>
      </c>
      <c r="G2545" t="str">
        <f t="shared" si="235"/>
        <v>1F6B5</v>
      </c>
      <c r="I2545">
        <f>HEX2DEC(Table1[[#This Row],[utf8]])</f>
        <v>128693</v>
      </c>
      <c r="J2545" t="str">
        <f>_xlfn.UNICHAR(HEX2DEC(Table1[[#This Row],[utf8]]))</f>
        <v>🚵</v>
      </c>
      <c r="K2545" s="3" t="str" cm="1">
        <f t="array" ref="K2545">"Case "&amp;wRandomLetter()&amp;wRandomLetter()&amp;I2545&amp;":    UniConst = ChrW(" &amp; I2545 &amp;")"</f>
        <v>Case ae128693:    UniConst = ChrW(128693)</v>
      </c>
    </row>
    <row r="2546" spans="1:11" hidden="1">
      <c r="A2546" t="s">
        <v>2376</v>
      </c>
      <c r="B2546" t="str">
        <f t="shared" si="236"/>
        <v>1F6B5 1F3FD 200D 2642 FE0F ; fully-qualified # 🚵🏽‍♂️ E4.0 man mountain biking: medium skin tone</v>
      </c>
      <c r="C2546" t="str">
        <f t="shared" si="237"/>
        <v xml:space="preserve">1F6B5 1F3FD 200D 2642 FE0F </v>
      </c>
      <c r="D2546">
        <f t="shared" si="238"/>
        <v>27</v>
      </c>
      <c r="E2546" t="str">
        <f t="shared" si="234"/>
        <v xml:space="preserve"> 🚵🏽‍♂️ E4.0 man mountain biking: medium skin tone</v>
      </c>
      <c r="F2546" t="b">
        <f t="shared" si="239"/>
        <v>1</v>
      </c>
      <c r="G2546" t="str">
        <f t="shared" si="235"/>
        <v>1F6B5</v>
      </c>
      <c r="I2546">
        <f>HEX2DEC(Table1[[#This Row],[utf8]])</f>
        <v>128693</v>
      </c>
      <c r="J2546" t="str">
        <f>_xlfn.UNICHAR(HEX2DEC(Table1[[#This Row],[utf8]]))</f>
        <v>🚵</v>
      </c>
      <c r="K2546" s="3" t="str" cm="1">
        <f t="array" ref="K2546">"Case "&amp;wRandomLetter()&amp;wRandomLetter()&amp;I2546&amp;":    UniConst = ChrW(" &amp; I2546 &amp;")"</f>
        <v>Case sx128693:    UniConst = ChrW(128693)</v>
      </c>
    </row>
    <row r="2547" spans="1:11" hidden="1">
      <c r="A2547" t="s">
        <v>2368</v>
      </c>
      <c r="B2547" t="str">
        <f t="shared" si="236"/>
        <v>1F6B5 1F3FE ; fully-qualified # 🚵🏾 E1.0 person mountain biking: medium-dark skin tone</v>
      </c>
      <c r="C2547" t="str">
        <f t="shared" si="237"/>
        <v xml:space="preserve">1F6B5 1F3FE </v>
      </c>
      <c r="D2547">
        <f t="shared" si="238"/>
        <v>12</v>
      </c>
      <c r="E2547" t="str">
        <f t="shared" si="234"/>
        <v xml:space="preserve"> 🚵🏾 E1.0 person mountain biking: medium-dark skin tone</v>
      </c>
      <c r="F2547" t="b">
        <f t="shared" si="239"/>
        <v>1</v>
      </c>
      <c r="G2547" t="str">
        <f t="shared" si="235"/>
        <v>1F6B5</v>
      </c>
      <c r="I2547">
        <f>HEX2DEC(Table1[[#This Row],[utf8]])</f>
        <v>128693</v>
      </c>
      <c r="J2547" t="str">
        <f>_xlfn.UNICHAR(HEX2DEC(Table1[[#This Row],[utf8]]))</f>
        <v>🚵</v>
      </c>
      <c r="K2547" s="3" t="str" cm="1">
        <f t="array" ref="K2547">"Case "&amp;wRandomLetter()&amp;wRandomLetter()&amp;I2547&amp;":    UniConst = ChrW(" &amp; I2547 &amp;")"</f>
        <v>Case cz128693:    UniConst = ChrW(128693)</v>
      </c>
    </row>
    <row r="2548" spans="1:11" hidden="1">
      <c r="A2548" t="s">
        <v>2391</v>
      </c>
      <c r="B2548" t="str">
        <f t="shared" si="236"/>
        <v>1F6B5 1F3FE 200D 2640 ; minimally-qualified # 🚵🏾‍♀ E4.0 woman mountain biking: medium-dark skin tone</v>
      </c>
      <c r="C2548" t="str">
        <f t="shared" si="237"/>
        <v xml:space="preserve">1F6B5 1F3FE 200D 2640 </v>
      </c>
      <c r="D2548">
        <f t="shared" si="238"/>
        <v>22</v>
      </c>
      <c r="E2548" t="str">
        <f t="shared" si="234"/>
        <v xml:space="preserve"> 🚵🏾‍♀ E4.0 woman mountain biking: medium-dark skin tone</v>
      </c>
      <c r="F2548" t="b">
        <f t="shared" si="239"/>
        <v>1</v>
      </c>
      <c r="G2548" t="str">
        <f t="shared" si="235"/>
        <v>1F6B5</v>
      </c>
      <c r="I2548">
        <f>HEX2DEC(Table1[[#This Row],[utf8]])</f>
        <v>128693</v>
      </c>
      <c r="J2548" t="str">
        <f>_xlfn.UNICHAR(HEX2DEC(Table1[[#This Row],[utf8]]))</f>
        <v>🚵</v>
      </c>
      <c r="K2548" s="3" t="str" cm="1">
        <f t="array" ref="K2548">"Case "&amp;wRandomLetter()&amp;wRandomLetter()&amp;I2548&amp;":    UniConst = ChrW(" &amp; I2548 &amp;")"</f>
        <v>Case Ic128693:    UniConst = ChrW(128693)</v>
      </c>
    </row>
    <row r="2549" spans="1:11" hidden="1">
      <c r="A2549" t="s">
        <v>2390</v>
      </c>
      <c r="B2549" t="str">
        <f t="shared" si="236"/>
        <v>1F6B5 1F3FE 200D 2640 FE0F ; fully-qualified # 🚵🏾‍♀️ E4.0 woman mountain biking: medium-dark skin tone</v>
      </c>
      <c r="C2549" t="str">
        <f t="shared" si="237"/>
        <v xml:space="preserve">1F6B5 1F3FE 200D 2640 FE0F </v>
      </c>
      <c r="D2549">
        <f t="shared" si="238"/>
        <v>27</v>
      </c>
      <c r="E2549" t="str">
        <f t="shared" si="234"/>
        <v xml:space="preserve"> 🚵🏾‍♀️ E4.0 woman mountain biking: medium-dark skin tone</v>
      </c>
      <c r="F2549" t="b">
        <f t="shared" si="239"/>
        <v>1</v>
      </c>
      <c r="G2549" t="str">
        <f t="shared" si="235"/>
        <v>1F6B5</v>
      </c>
      <c r="I2549">
        <f>HEX2DEC(Table1[[#This Row],[utf8]])</f>
        <v>128693</v>
      </c>
      <c r="J2549" t="str">
        <f>_xlfn.UNICHAR(HEX2DEC(Table1[[#This Row],[utf8]]))</f>
        <v>🚵</v>
      </c>
      <c r="K2549" s="3" t="str" cm="1">
        <f t="array" ref="K2549">"Case "&amp;wRandomLetter()&amp;wRandomLetter()&amp;I2549&amp;":    UniConst = ChrW(" &amp; I2549 &amp;")"</f>
        <v>Case bI128693:    UniConst = ChrW(128693)</v>
      </c>
    </row>
    <row r="2550" spans="1:11" hidden="1">
      <c r="A2550" t="s">
        <v>2379</v>
      </c>
      <c r="B2550" t="str">
        <f t="shared" si="236"/>
        <v>1F6B5 1F3FE 200D 2642 ; minimally-qualified # 🚵🏾‍♂ E4.0 man mountain biking: medium-dark skin tone</v>
      </c>
      <c r="C2550" t="str">
        <f t="shared" si="237"/>
        <v xml:space="preserve">1F6B5 1F3FE 200D 2642 </v>
      </c>
      <c r="D2550">
        <f t="shared" si="238"/>
        <v>22</v>
      </c>
      <c r="E2550" t="str">
        <f t="shared" si="234"/>
        <v xml:space="preserve"> 🚵🏾‍♂ E4.0 man mountain biking: medium-dark skin tone</v>
      </c>
      <c r="F2550" t="b">
        <f t="shared" si="239"/>
        <v>1</v>
      </c>
      <c r="G2550" t="str">
        <f t="shared" si="235"/>
        <v>1F6B5</v>
      </c>
      <c r="I2550">
        <f>HEX2DEC(Table1[[#This Row],[utf8]])</f>
        <v>128693</v>
      </c>
      <c r="J2550" t="str">
        <f>_xlfn.UNICHAR(HEX2DEC(Table1[[#This Row],[utf8]]))</f>
        <v>🚵</v>
      </c>
      <c r="K2550" s="3" t="str" cm="1">
        <f t="array" ref="K2550">"Case "&amp;wRandomLetter()&amp;wRandomLetter()&amp;I2550&amp;":    UniConst = ChrW(" &amp; I2550 &amp;")"</f>
        <v>Case BZ128693:    UniConst = ChrW(128693)</v>
      </c>
    </row>
    <row r="2551" spans="1:11" hidden="1">
      <c r="A2551" t="s">
        <v>2378</v>
      </c>
      <c r="B2551" t="str">
        <f t="shared" si="236"/>
        <v>1F6B5 1F3FE 200D 2642 FE0F ; fully-qualified # 🚵🏾‍♂️ E4.0 man mountain biking: medium-dark skin tone</v>
      </c>
      <c r="C2551" t="str">
        <f t="shared" si="237"/>
        <v xml:space="preserve">1F6B5 1F3FE 200D 2642 FE0F </v>
      </c>
      <c r="D2551">
        <f t="shared" si="238"/>
        <v>27</v>
      </c>
      <c r="E2551" t="str">
        <f t="shared" si="234"/>
        <v xml:space="preserve"> 🚵🏾‍♂️ E4.0 man mountain biking: medium-dark skin tone</v>
      </c>
      <c r="F2551" t="b">
        <f t="shared" si="239"/>
        <v>1</v>
      </c>
      <c r="G2551" t="str">
        <f t="shared" si="235"/>
        <v>1F6B5</v>
      </c>
      <c r="I2551">
        <f>HEX2DEC(Table1[[#This Row],[utf8]])</f>
        <v>128693</v>
      </c>
      <c r="J2551" t="str">
        <f>_xlfn.UNICHAR(HEX2DEC(Table1[[#This Row],[utf8]]))</f>
        <v>🚵</v>
      </c>
      <c r="K2551" s="3" t="str" cm="1">
        <f t="array" ref="K2551">"Case "&amp;wRandomLetter()&amp;wRandomLetter()&amp;I2551&amp;":    UniConst = ChrW(" &amp; I2551 &amp;")"</f>
        <v>Case OR128693:    UniConst = ChrW(128693)</v>
      </c>
    </row>
    <row r="2552" spans="1:11" hidden="1">
      <c r="A2552" t="s">
        <v>2369</v>
      </c>
      <c r="B2552" t="str">
        <f t="shared" si="236"/>
        <v>1F6B5 1F3FF ; fully-qualified # 🚵🏿 E1.0 person mountain biking: dark skin tone</v>
      </c>
      <c r="C2552" t="str">
        <f t="shared" si="237"/>
        <v xml:space="preserve">1F6B5 1F3FF </v>
      </c>
      <c r="D2552">
        <f t="shared" si="238"/>
        <v>12</v>
      </c>
      <c r="E2552" t="str">
        <f t="shared" si="234"/>
        <v xml:space="preserve"> 🚵🏿 E1.0 person mountain biking: dark skin tone</v>
      </c>
      <c r="F2552" t="b">
        <f t="shared" si="239"/>
        <v>1</v>
      </c>
      <c r="G2552" t="str">
        <f t="shared" si="235"/>
        <v>1F6B5</v>
      </c>
      <c r="I2552">
        <f>HEX2DEC(Table1[[#This Row],[utf8]])</f>
        <v>128693</v>
      </c>
      <c r="J2552" t="str">
        <f>_xlfn.UNICHAR(HEX2DEC(Table1[[#This Row],[utf8]]))</f>
        <v>🚵</v>
      </c>
      <c r="K2552" s="3" t="str" cm="1">
        <f t="array" ref="K2552">"Case "&amp;wRandomLetter()&amp;wRandomLetter()&amp;I2552&amp;":    UniConst = ChrW(" &amp; I2552 &amp;")"</f>
        <v>Case ra128693:    UniConst = ChrW(128693)</v>
      </c>
    </row>
    <row r="2553" spans="1:11" hidden="1">
      <c r="A2553" t="s">
        <v>2393</v>
      </c>
      <c r="B2553" t="str">
        <f t="shared" si="236"/>
        <v>1F6B5 1F3FF 200D 2640 ; minimally-qualified # 🚵🏿‍♀ E4.0 woman mountain biking: dark skin tone</v>
      </c>
      <c r="C2553" t="str">
        <f t="shared" si="237"/>
        <v xml:space="preserve">1F6B5 1F3FF 200D 2640 </v>
      </c>
      <c r="D2553">
        <f t="shared" si="238"/>
        <v>22</v>
      </c>
      <c r="E2553" t="str">
        <f t="shared" si="234"/>
        <v xml:space="preserve"> 🚵🏿‍♀ E4.0 woman mountain biking: dark skin tone</v>
      </c>
      <c r="F2553" t="b">
        <f t="shared" si="239"/>
        <v>1</v>
      </c>
      <c r="G2553" t="str">
        <f t="shared" si="235"/>
        <v>1F6B5</v>
      </c>
      <c r="I2553">
        <f>HEX2DEC(Table1[[#This Row],[utf8]])</f>
        <v>128693</v>
      </c>
      <c r="J2553" t="str">
        <f>_xlfn.UNICHAR(HEX2DEC(Table1[[#This Row],[utf8]]))</f>
        <v>🚵</v>
      </c>
      <c r="K2553" s="3" t="str" cm="1">
        <f t="array" ref="K2553">"Case "&amp;wRandomLetter()&amp;wRandomLetter()&amp;I2553&amp;":    UniConst = ChrW(" &amp; I2553 &amp;")"</f>
        <v>Case Pz128693:    UniConst = ChrW(128693)</v>
      </c>
    </row>
    <row r="2554" spans="1:11" hidden="1">
      <c r="A2554" t="s">
        <v>2392</v>
      </c>
      <c r="B2554" t="str">
        <f t="shared" si="236"/>
        <v>1F6B5 1F3FF 200D 2640 FE0F ; fully-qualified # 🚵🏿‍♀️ E4.0 woman mountain biking: dark skin tone</v>
      </c>
      <c r="C2554" t="str">
        <f t="shared" si="237"/>
        <v xml:space="preserve">1F6B5 1F3FF 200D 2640 FE0F </v>
      </c>
      <c r="D2554">
        <f t="shared" si="238"/>
        <v>27</v>
      </c>
      <c r="E2554" t="str">
        <f t="shared" si="234"/>
        <v xml:space="preserve"> 🚵🏿‍♀️ E4.0 woman mountain biking: dark skin tone</v>
      </c>
      <c r="F2554" t="b">
        <f t="shared" si="239"/>
        <v>1</v>
      </c>
      <c r="G2554" t="str">
        <f t="shared" si="235"/>
        <v>1F6B5</v>
      </c>
      <c r="I2554">
        <f>HEX2DEC(Table1[[#This Row],[utf8]])</f>
        <v>128693</v>
      </c>
      <c r="J2554" t="str">
        <f>_xlfn.UNICHAR(HEX2DEC(Table1[[#This Row],[utf8]]))</f>
        <v>🚵</v>
      </c>
      <c r="K2554" s="3" t="str" cm="1">
        <f t="array" ref="K2554">"Case "&amp;wRandomLetter()&amp;wRandomLetter()&amp;I2554&amp;":    UniConst = ChrW(" &amp; I2554 &amp;")"</f>
        <v>Case Cr128693:    UniConst = ChrW(128693)</v>
      </c>
    </row>
    <row r="2555" spans="1:11" hidden="1">
      <c r="A2555" t="s">
        <v>2381</v>
      </c>
      <c r="B2555" t="str">
        <f t="shared" si="236"/>
        <v>1F6B5 1F3FF 200D 2642 ; minimally-qualified # 🚵🏿‍♂ E4.0 man mountain biking: dark skin tone</v>
      </c>
      <c r="C2555" t="str">
        <f t="shared" si="237"/>
        <v xml:space="preserve">1F6B5 1F3FF 200D 2642 </v>
      </c>
      <c r="D2555">
        <f t="shared" si="238"/>
        <v>22</v>
      </c>
      <c r="E2555" t="str">
        <f t="shared" si="234"/>
        <v xml:space="preserve"> 🚵🏿‍♂ E4.0 man mountain biking: dark skin tone</v>
      </c>
      <c r="F2555" t="b">
        <f t="shared" si="239"/>
        <v>1</v>
      </c>
      <c r="G2555" t="str">
        <f t="shared" si="235"/>
        <v>1F6B5</v>
      </c>
      <c r="I2555">
        <f>HEX2DEC(Table1[[#This Row],[utf8]])</f>
        <v>128693</v>
      </c>
      <c r="J2555" t="str">
        <f>_xlfn.UNICHAR(HEX2DEC(Table1[[#This Row],[utf8]]))</f>
        <v>🚵</v>
      </c>
      <c r="K2555" s="3" t="str" cm="1">
        <f t="array" ref="K2555">"Case "&amp;wRandomLetter()&amp;wRandomLetter()&amp;I2555&amp;":    UniConst = ChrW(" &amp; I2555 &amp;")"</f>
        <v>Case Bj128693:    UniConst = ChrW(128693)</v>
      </c>
    </row>
    <row r="2556" spans="1:11" hidden="1">
      <c r="A2556" t="s">
        <v>2380</v>
      </c>
      <c r="B2556" t="str">
        <f t="shared" si="236"/>
        <v>1F6B5 1F3FF 200D 2642 FE0F ; fully-qualified # 🚵🏿‍♂️ E4.0 man mountain biking: dark skin tone</v>
      </c>
      <c r="C2556" t="str">
        <f t="shared" si="237"/>
        <v xml:space="preserve">1F6B5 1F3FF 200D 2642 FE0F </v>
      </c>
      <c r="D2556">
        <f t="shared" si="238"/>
        <v>27</v>
      </c>
      <c r="E2556" t="str">
        <f t="shared" si="234"/>
        <v xml:space="preserve"> 🚵🏿‍♂️ E4.0 man mountain biking: dark skin tone</v>
      </c>
      <c r="F2556" t="b">
        <f t="shared" si="239"/>
        <v>1</v>
      </c>
      <c r="G2556" t="str">
        <f t="shared" si="235"/>
        <v>1F6B5</v>
      </c>
      <c r="I2556">
        <f>HEX2DEC(Table1[[#This Row],[utf8]])</f>
        <v>128693</v>
      </c>
      <c r="J2556" t="str">
        <f>_xlfn.UNICHAR(HEX2DEC(Table1[[#This Row],[utf8]]))</f>
        <v>🚵</v>
      </c>
      <c r="K2556" s="3" t="str" cm="1">
        <f t="array" ref="K2556">"Case "&amp;wRandomLetter()&amp;wRandomLetter()&amp;I2556&amp;":    UniConst = ChrW(" &amp; I2556 &amp;")"</f>
        <v>Case qS128693:    UniConst = ChrW(128693)</v>
      </c>
    </row>
    <row r="2557" spans="1:11" hidden="1">
      <c r="A2557" t="s">
        <v>2383</v>
      </c>
      <c r="B2557" t="str">
        <f t="shared" si="236"/>
        <v>1F6B5 200D 2640 ; minimally-qualified # 🚵‍♀ E4.0 woman mountain biking</v>
      </c>
      <c r="C2557" t="str">
        <f t="shared" si="237"/>
        <v xml:space="preserve">1F6B5 200D 2640 </v>
      </c>
      <c r="D2557">
        <f t="shared" si="238"/>
        <v>16</v>
      </c>
      <c r="E2557" t="str">
        <f t="shared" si="234"/>
        <v xml:space="preserve"> 🚵‍♀ E4.0 woman mountain biking</v>
      </c>
      <c r="F2557" t="b">
        <f t="shared" si="239"/>
        <v>1</v>
      </c>
      <c r="G2557" t="str">
        <f t="shared" si="235"/>
        <v>1F6B5</v>
      </c>
      <c r="I2557">
        <f>HEX2DEC(Table1[[#This Row],[utf8]])</f>
        <v>128693</v>
      </c>
      <c r="J2557" t="str">
        <f>_xlfn.UNICHAR(HEX2DEC(Table1[[#This Row],[utf8]]))</f>
        <v>🚵</v>
      </c>
      <c r="K2557" s="3" t="str" cm="1">
        <f t="array" ref="K2557">"Case "&amp;wRandomLetter()&amp;wRandomLetter()&amp;I2557&amp;":    UniConst = ChrW(" &amp; I2557 &amp;")"</f>
        <v>Case Li128693:    UniConst = ChrW(128693)</v>
      </c>
    </row>
    <row r="2558" spans="1:11" hidden="1">
      <c r="A2558" t="s">
        <v>2382</v>
      </c>
      <c r="B2558" t="str">
        <f t="shared" si="236"/>
        <v>1F6B5 200D 2640 FE0F ; fully-qualified # 🚵‍♀️ E4.0 woman mountain biking</v>
      </c>
      <c r="C2558" t="str">
        <f t="shared" si="237"/>
        <v xml:space="preserve">1F6B5 200D 2640 FE0F </v>
      </c>
      <c r="D2558">
        <f t="shared" si="238"/>
        <v>21</v>
      </c>
      <c r="E2558" t="str">
        <f t="shared" si="234"/>
        <v xml:space="preserve"> 🚵‍♀️ E4.0 woman mountain biking</v>
      </c>
      <c r="F2558" t="b">
        <f t="shared" si="239"/>
        <v>1</v>
      </c>
      <c r="G2558" t="str">
        <f t="shared" si="235"/>
        <v>1F6B5</v>
      </c>
      <c r="I2558">
        <f>HEX2DEC(Table1[[#This Row],[utf8]])</f>
        <v>128693</v>
      </c>
      <c r="J2558" t="str">
        <f>_xlfn.UNICHAR(HEX2DEC(Table1[[#This Row],[utf8]]))</f>
        <v>🚵</v>
      </c>
      <c r="K2558" s="3" t="str" cm="1">
        <f t="array" ref="K2558">"Case "&amp;wRandomLetter()&amp;wRandomLetter()&amp;I2558&amp;":    UniConst = ChrW(" &amp; I2558 &amp;")"</f>
        <v>Case zY128693:    UniConst = ChrW(128693)</v>
      </c>
    </row>
    <row r="2559" spans="1:11" hidden="1">
      <c r="A2559" t="s">
        <v>2371</v>
      </c>
      <c r="B2559" t="str">
        <f t="shared" si="236"/>
        <v>1F6B5 200D 2642 ; minimally-qualified # 🚵‍♂ E4.0 man mountain biking</v>
      </c>
      <c r="C2559" t="str">
        <f t="shared" si="237"/>
        <v xml:space="preserve">1F6B5 200D 2642 </v>
      </c>
      <c r="D2559">
        <f t="shared" si="238"/>
        <v>16</v>
      </c>
      <c r="E2559" t="str">
        <f t="shared" si="234"/>
        <v xml:space="preserve"> 🚵‍♂ E4.0 man mountain biking</v>
      </c>
      <c r="F2559" t="b">
        <f t="shared" si="239"/>
        <v>1</v>
      </c>
      <c r="G2559" t="str">
        <f t="shared" si="235"/>
        <v>1F6B5</v>
      </c>
      <c r="I2559">
        <f>HEX2DEC(Table1[[#This Row],[utf8]])</f>
        <v>128693</v>
      </c>
      <c r="J2559" t="str">
        <f>_xlfn.UNICHAR(HEX2DEC(Table1[[#This Row],[utf8]]))</f>
        <v>🚵</v>
      </c>
      <c r="K2559" s="3" t="str" cm="1">
        <f t="array" ref="K2559">"Case "&amp;wRandomLetter()&amp;wRandomLetter()&amp;I2559&amp;":    UniConst = ChrW(" &amp; I2559 &amp;")"</f>
        <v>Case Xu128693:    UniConst = ChrW(128693)</v>
      </c>
    </row>
    <row r="2560" spans="1:11" hidden="1">
      <c r="A2560" t="s">
        <v>2370</v>
      </c>
      <c r="B2560" t="str">
        <f t="shared" si="236"/>
        <v>1F6B5 200D 2642 FE0F ; fully-qualified # 🚵‍♂️ E4.0 man mountain biking</v>
      </c>
      <c r="C2560" t="str">
        <f t="shared" si="237"/>
        <v xml:space="preserve">1F6B5 200D 2642 FE0F </v>
      </c>
      <c r="D2560">
        <f t="shared" si="238"/>
        <v>21</v>
      </c>
      <c r="E2560" t="str">
        <f t="shared" si="234"/>
        <v xml:space="preserve"> 🚵‍♂️ E4.0 man mountain biking</v>
      </c>
      <c r="F2560" t="b">
        <f t="shared" si="239"/>
        <v>1</v>
      </c>
      <c r="G2560" t="str">
        <f t="shared" si="235"/>
        <v>1F6B5</v>
      </c>
      <c r="I2560">
        <f>HEX2DEC(Table1[[#This Row],[utf8]])</f>
        <v>128693</v>
      </c>
      <c r="J2560" t="str">
        <f>_xlfn.UNICHAR(HEX2DEC(Table1[[#This Row],[utf8]]))</f>
        <v>🚵</v>
      </c>
      <c r="K2560" s="3" t="str" cm="1">
        <f t="array" ref="K2560">"Case "&amp;wRandomLetter()&amp;wRandomLetter()&amp;I2560&amp;":    UniConst = ChrW(" &amp; I2560 &amp;")"</f>
        <v>Case PS128693:    UniConst = ChrW(128693)</v>
      </c>
    </row>
    <row r="2561" spans="1:11" hidden="1">
      <c r="A2561" t="s">
        <v>1865</v>
      </c>
      <c r="B2561" t="str">
        <f t="shared" si="236"/>
        <v>1F6B6 ; fully-qualified # 🚶 E0.6 person walking</v>
      </c>
      <c r="C2561" t="str">
        <f t="shared" si="237"/>
        <v xml:space="preserve">1F6B6 </v>
      </c>
      <c r="D2561">
        <f t="shared" si="238"/>
        <v>6</v>
      </c>
      <c r="E2561" t="str">
        <f t="shared" si="234"/>
        <v xml:space="preserve"> 🚶 E0.6 person walking</v>
      </c>
      <c r="F2561" t="b">
        <f t="shared" si="239"/>
        <v>1</v>
      </c>
      <c r="G2561" t="str">
        <f t="shared" si="235"/>
        <v>1F6B6</v>
      </c>
      <c r="I2561">
        <f>HEX2DEC(Table1[[#This Row],[utf8]])</f>
        <v>128694</v>
      </c>
      <c r="J2561" t="str">
        <f>_xlfn.UNICHAR(HEX2DEC(Table1[[#This Row],[utf8]]))</f>
        <v>🚶</v>
      </c>
      <c r="K2561" s="3" t="str" cm="1">
        <f t="array" ref="K2561">"Case "&amp;wRandomLetter()&amp;wRandomLetter()&amp;I2561&amp;":    UniConst = ChrW(" &amp; I2561 &amp;")"</f>
        <v>Case so128694:    UniConst = ChrW(128694)</v>
      </c>
    </row>
    <row r="2562" spans="1:11" hidden="1">
      <c r="A2562" t="s">
        <v>1866</v>
      </c>
      <c r="B2562" t="str">
        <f t="shared" si="236"/>
        <v>1F6B6 1F3FB ; fully-qualified # 🚶🏻 E1.0 person walking: light skin tone</v>
      </c>
      <c r="C2562" t="str">
        <f t="shared" si="237"/>
        <v xml:space="preserve">1F6B6 1F3FB </v>
      </c>
      <c r="D2562">
        <f t="shared" si="238"/>
        <v>12</v>
      </c>
      <c r="E2562" t="str">
        <f t="shared" ref="E2562:E2625" si="240">MID(A2562,FIND("#",A2562)+1,256)</f>
        <v xml:space="preserve"> 🚶🏻 E1.0 person walking: light skin tone</v>
      </c>
      <c r="F2562" t="b">
        <f t="shared" si="239"/>
        <v>1</v>
      </c>
      <c r="G2562" t="str">
        <f t="shared" ref="G2562:G2625" si="241">LEFT(C2562,(FIND(" ",C2562,1)-1))</f>
        <v>1F6B6</v>
      </c>
      <c r="I2562">
        <f>HEX2DEC(Table1[[#This Row],[utf8]])</f>
        <v>128694</v>
      </c>
      <c r="J2562" t="str">
        <f>_xlfn.UNICHAR(HEX2DEC(Table1[[#This Row],[utf8]]))</f>
        <v>🚶</v>
      </c>
      <c r="K2562" s="3" t="str" cm="1">
        <f t="array" ref="K2562">"Case "&amp;wRandomLetter()&amp;wRandomLetter()&amp;I2562&amp;":    UniConst = ChrW(" &amp; I2562 &amp;")"</f>
        <v>Case uQ128694:    UniConst = ChrW(128694)</v>
      </c>
    </row>
    <row r="2563" spans="1:11" hidden="1">
      <c r="A2563" t="s">
        <v>1886</v>
      </c>
      <c r="B2563" t="str">
        <f t="shared" ref="B2563:B2626" si="242">TRIM(A2563)</f>
        <v>1F6B6 1F3FB 200D 2640 ; minimally-qualified # 🚶🏻‍♀ E4.0 woman walking: light skin tone</v>
      </c>
      <c r="C2563" t="str">
        <f t="shared" ref="C2563:C2626" si="243">LEFT(B2563,(FIND(";",B2563,1)-1))</f>
        <v xml:space="preserve">1F6B6 1F3FB 200D 2640 </v>
      </c>
      <c r="D2563">
        <f t="shared" ref="D2563:D2626" si="244">LEN(C2563)</f>
        <v>22</v>
      </c>
      <c r="E2563" t="str">
        <f t="shared" si="240"/>
        <v xml:space="preserve"> 🚶🏻‍♀ E4.0 woman walking: light skin tone</v>
      </c>
      <c r="F2563" t="b">
        <f t="shared" ref="F2563:F2626" si="245">IF(LEFT(C2563,2)="1F",TRUE,FALSE)</f>
        <v>1</v>
      </c>
      <c r="G2563" t="str">
        <f t="shared" si="241"/>
        <v>1F6B6</v>
      </c>
      <c r="I2563">
        <f>HEX2DEC(Table1[[#This Row],[utf8]])</f>
        <v>128694</v>
      </c>
      <c r="J2563" t="str">
        <f>_xlfn.UNICHAR(HEX2DEC(Table1[[#This Row],[utf8]]))</f>
        <v>🚶</v>
      </c>
      <c r="K2563" s="3" t="str" cm="1">
        <f t="array" ref="K2563">"Case "&amp;wRandomLetter()&amp;wRandomLetter()&amp;I2563&amp;":    UniConst = ChrW(" &amp; I2563 &amp;")"</f>
        <v>Case uI128694:    UniConst = ChrW(128694)</v>
      </c>
    </row>
    <row r="2564" spans="1:11" hidden="1">
      <c r="A2564" t="s">
        <v>1885</v>
      </c>
      <c r="B2564" t="str">
        <f t="shared" si="242"/>
        <v>1F6B6 1F3FB 200D 2640 FE0F ; fully-qualified # 🚶🏻‍♀️ E4.0 woman walking: light skin tone</v>
      </c>
      <c r="C2564" t="str">
        <f t="shared" si="243"/>
        <v xml:space="preserve">1F6B6 1F3FB 200D 2640 FE0F </v>
      </c>
      <c r="D2564">
        <f t="shared" si="244"/>
        <v>27</v>
      </c>
      <c r="E2564" t="str">
        <f t="shared" si="240"/>
        <v xml:space="preserve"> 🚶🏻‍♀️ E4.0 woman walking: light skin tone</v>
      </c>
      <c r="F2564" t="b">
        <f t="shared" si="245"/>
        <v>1</v>
      </c>
      <c r="G2564" t="str">
        <f t="shared" si="241"/>
        <v>1F6B6</v>
      </c>
      <c r="I2564">
        <f>HEX2DEC(Table1[[#This Row],[utf8]])</f>
        <v>128694</v>
      </c>
      <c r="J2564" t="str">
        <f>_xlfn.UNICHAR(HEX2DEC(Table1[[#This Row],[utf8]]))</f>
        <v>🚶</v>
      </c>
      <c r="K2564" s="3" t="str" cm="1">
        <f t="array" ref="K2564">"Case "&amp;wRandomLetter()&amp;wRandomLetter()&amp;I2564&amp;":    UniConst = ChrW(" &amp; I2564 &amp;")"</f>
        <v>Case iK128694:    UniConst = ChrW(128694)</v>
      </c>
    </row>
    <row r="2565" spans="1:11" hidden="1">
      <c r="A2565" t="s">
        <v>1874</v>
      </c>
      <c r="B2565" t="str">
        <f t="shared" si="242"/>
        <v>1F6B6 1F3FB 200D 2642 ; minimally-qualified # 🚶🏻‍♂ E4.0 man walking: light skin tone</v>
      </c>
      <c r="C2565" t="str">
        <f t="shared" si="243"/>
        <v xml:space="preserve">1F6B6 1F3FB 200D 2642 </v>
      </c>
      <c r="D2565">
        <f t="shared" si="244"/>
        <v>22</v>
      </c>
      <c r="E2565" t="str">
        <f t="shared" si="240"/>
        <v xml:space="preserve"> 🚶🏻‍♂ E4.0 man walking: light skin tone</v>
      </c>
      <c r="F2565" t="b">
        <f t="shared" si="245"/>
        <v>1</v>
      </c>
      <c r="G2565" t="str">
        <f t="shared" si="241"/>
        <v>1F6B6</v>
      </c>
      <c r="I2565">
        <f>HEX2DEC(Table1[[#This Row],[utf8]])</f>
        <v>128694</v>
      </c>
      <c r="J2565" t="str">
        <f>_xlfn.UNICHAR(HEX2DEC(Table1[[#This Row],[utf8]]))</f>
        <v>🚶</v>
      </c>
      <c r="K2565" s="3" t="str" cm="1">
        <f t="array" ref="K2565">"Case "&amp;wRandomLetter()&amp;wRandomLetter()&amp;I2565&amp;":    UniConst = ChrW(" &amp; I2565 &amp;")"</f>
        <v>Case co128694:    UniConst = ChrW(128694)</v>
      </c>
    </row>
    <row r="2566" spans="1:11" hidden="1">
      <c r="A2566" t="s">
        <v>1873</v>
      </c>
      <c r="B2566" t="str">
        <f t="shared" si="242"/>
        <v>1F6B6 1F3FB 200D 2642 FE0F ; fully-qualified # 🚶🏻‍♂️ E4.0 man walking: light skin tone</v>
      </c>
      <c r="C2566" t="str">
        <f t="shared" si="243"/>
        <v xml:space="preserve">1F6B6 1F3FB 200D 2642 FE0F </v>
      </c>
      <c r="D2566">
        <f t="shared" si="244"/>
        <v>27</v>
      </c>
      <c r="E2566" t="str">
        <f t="shared" si="240"/>
        <v xml:space="preserve"> 🚶🏻‍♂️ E4.0 man walking: light skin tone</v>
      </c>
      <c r="F2566" t="b">
        <f t="shared" si="245"/>
        <v>1</v>
      </c>
      <c r="G2566" t="str">
        <f t="shared" si="241"/>
        <v>1F6B6</v>
      </c>
      <c r="I2566">
        <f>HEX2DEC(Table1[[#This Row],[utf8]])</f>
        <v>128694</v>
      </c>
      <c r="J2566" t="str">
        <f>_xlfn.UNICHAR(HEX2DEC(Table1[[#This Row],[utf8]]))</f>
        <v>🚶</v>
      </c>
      <c r="K2566" s="3" t="str" cm="1">
        <f t="array" ref="K2566">"Case "&amp;wRandomLetter()&amp;wRandomLetter()&amp;I2566&amp;":    UniConst = ChrW(" &amp; I2566 &amp;")"</f>
        <v>Case YW128694:    UniConst = ChrW(128694)</v>
      </c>
    </row>
    <row r="2567" spans="1:11" hidden="1">
      <c r="A2567" t="s">
        <v>1867</v>
      </c>
      <c r="B2567" t="str">
        <f t="shared" si="242"/>
        <v>1F6B6 1F3FC ; fully-qualified # 🚶🏼 E1.0 person walking: medium-light skin tone</v>
      </c>
      <c r="C2567" t="str">
        <f t="shared" si="243"/>
        <v xml:space="preserve">1F6B6 1F3FC </v>
      </c>
      <c r="D2567">
        <f t="shared" si="244"/>
        <v>12</v>
      </c>
      <c r="E2567" t="str">
        <f t="shared" si="240"/>
        <v xml:space="preserve"> 🚶🏼 E1.0 person walking: medium-light skin tone</v>
      </c>
      <c r="F2567" t="b">
        <f t="shared" si="245"/>
        <v>1</v>
      </c>
      <c r="G2567" t="str">
        <f t="shared" si="241"/>
        <v>1F6B6</v>
      </c>
      <c r="I2567">
        <f>HEX2DEC(Table1[[#This Row],[utf8]])</f>
        <v>128694</v>
      </c>
      <c r="J2567" t="str">
        <f>_xlfn.UNICHAR(HEX2DEC(Table1[[#This Row],[utf8]]))</f>
        <v>🚶</v>
      </c>
      <c r="K2567" s="3" t="str" cm="1">
        <f t="array" ref="K2567">"Case "&amp;wRandomLetter()&amp;wRandomLetter()&amp;I2567&amp;":    UniConst = ChrW(" &amp; I2567 &amp;")"</f>
        <v>Case WH128694:    UniConst = ChrW(128694)</v>
      </c>
    </row>
    <row r="2568" spans="1:11" hidden="1">
      <c r="A2568" t="s">
        <v>1888</v>
      </c>
      <c r="B2568" t="str">
        <f t="shared" si="242"/>
        <v>1F6B6 1F3FC 200D 2640 ; minimally-qualified # 🚶🏼‍♀ E4.0 woman walking: medium-light skin tone</v>
      </c>
      <c r="C2568" t="str">
        <f t="shared" si="243"/>
        <v xml:space="preserve">1F6B6 1F3FC 200D 2640 </v>
      </c>
      <c r="D2568">
        <f t="shared" si="244"/>
        <v>22</v>
      </c>
      <c r="E2568" t="str">
        <f t="shared" si="240"/>
        <v xml:space="preserve"> 🚶🏼‍♀ E4.0 woman walking: medium-light skin tone</v>
      </c>
      <c r="F2568" t="b">
        <f t="shared" si="245"/>
        <v>1</v>
      </c>
      <c r="G2568" t="str">
        <f t="shared" si="241"/>
        <v>1F6B6</v>
      </c>
      <c r="I2568">
        <f>HEX2DEC(Table1[[#This Row],[utf8]])</f>
        <v>128694</v>
      </c>
      <c r="J2568" t="str">
        <f>_xlfn.UNICHAR(HEX2DEC(Table1[[#This Row],[utf8]]))</f>
        <v>🚶</v>
      </c>
      <c r="K2568" s="3" t="str" cm="1">
        <f t="array" ref="K2568">"Case "&amp;wRandomLetter()&amp;wRandomLetter()&amp;I2568&amp;":    UniConst = ChrW(" &amp; I2568 &amp;")"</f>
        <v>Case as128694:    UniConst = ChrW(128694)</v>
      </c>
    </row>
    <row r="2569" spans="1:11" hidden="1">
      <c r="A2569" t="s">
        <v>1887</v>
      </c>
      <c r="B2569" t="str">
        <f t="shared" si="242"/>
        <v>1F6B6 1F3FC 200D 2640 FE0F ; fully-qualified # 🚶🏼‍♀️ E4.0 woman walking: medium-light skin tone</v>
      </c>
      <c r="C2569" t="str">
        <f t="shared" si="243"/>
        <v xml:space="preserve">1F6B6 1F3FC 200D 2640 FE0F </v>
      </c>
      <c r="D2569">
        <f t="shared" si="244"/>
        <v>27</v>
      </c>
      <c r="E2569" t="str">
        <f t="shared" si="240"/>
        <v xml:space="preserve"> 🚶🏼‍♀️ E4.0 woman walking: medium-light skin tone</v>
      </c>
      <c r="F2569" t="b">
        <f t="shared" si="245"/>
        <v>1</v>
      </c>
      <c r="G2569" t="str">
        <f t="shared" si="241"/>
        <v>1F6B6</v>
      </c>
      <c r="I2569">
        <f>HEX2DEC(Table1[[#This Row],[utf8]])</f>
        <v>128694</v>
      </c>
      <c r="J2569" t="str">
        <f>_xlfn.UNICHAR(HEX2DEC(Table1[[#This Row],[utf8]]))</f>
        <v>🚶</v>
      </c>
      <c r="K2569" s="3" t="str" cm="1">
        <f t="array" ref="K2569">"Case "&amp;wRandomLetter()&amp;wRandomLetter()&amp;I2569&amp;":    UniConst = ChrW(" &amp; I2569 &amp;")"</f>
        <v>Case Ya128694:    UniConst = ChrW(128694)</v>
      </c>
    </row>
    <row r="2570" spans="1:11" hidden="1">
      <c r="A2570" t="s">
        <v>1876</v>
      </c>
      <c r="B2570" t="str">
        <f t="shared" si="242"/>
        <v>1F6B6 1F3FC 200D 2642 ; minimally-qualified # 🚶🏼‍♂ E4.0 man walking: medium-light skin tone</v>
      </c>
      <c r="C2570" t="str">
        <f t="shared" si="243"/>
        <v xml:space="preserve">1F6B6 1F3FC 200D 2642 </v>
      </c>
      <c r="D2570">
        <f t="shared" si="244"/>
        <v>22</v>
      </c>
      <c r="E2570" t="str">
        <f t="shared" si="240"/>
        <v xml:space="preserve"> 🚶🏼‍♂ E4.0 man walking: medium-light skin tone</v>
      </c>
      <c r="F2570" t="b">
        <f t="shared" si="245"/>
        <v>1</v>
      </c>
      <c r="G2570" t="str">
        <f t="shared" si="241"/>
        <v>1F6B6</v>
      </c>
      <c r="I2570">
        <f>HEX2DEC(Table1[[#This Row],[utf8]])</f>
        <v>128694</v>
      </c>
      <c r="J2570" t="str">
        <f>_xlfn.UNICHAR(HEX2DEC(Table1[[#This Row],[utf8]]))</f>
        <v>🚶</v>
      </c>
      <c r="K2570" s="3" t="str" cm="1">
        <f t="array" ref="K2570">"Case "&amp;wRandomLetter()&amp;wRandomLetter()&amp;I2570&amp;":    UniConst = ChrW(" &amp; I2570 &amp;")"</f>
        <v>Case GK128694:    UniConst = ChrW(128694)</v>
      </c>
    </row>
    <row r="2571" spans="1:11" hidden="1">
      <c r="A2571" t="s">
        <v>1875</v>
      </c>
      <c r="B2571" t="str">
        <f t="shared" si="242"/>
        <v>1F6B6 1F3FC 200D 2642 FE0F ; fully-qualified # 🚶🏼‍♂️ E4.0 man walking: medium-light skin tone</v>
      </c>
      <c r="C2571" t="str">
        <f t="shared" si="243"/>
        <v xml:space="preserve">1F6B6 1F3FC 200D 2642 FE0F </v>
      </c>
      <c r="D2571">
        <f t="shared" si="244"/>
        <v>27</v>
      </c>
      <c r="E2571" t="str">
        <f t="shared" si="240"/>
        <v xml:space="preserve"> 🚶🏼‍♂️ E4.0 man walking: medium-light skin tone</v>
      </c>
      <c r="F2571" t="b">
        <f t="shared" si="245"/>
        <v>1</v>
      </c>
      <c r="G2571" t="str">
        <f t="shared" si="241"/>
        <v>1F6B6</v>
      </c>
      <c r="I2571">
        <f>HEX2DEC(Table1[[#This Row],[utf8]])</f>
        <v>128694</v>
      </c>
      <c r="J2571" t="str">
        <f>_xlfn.UNICHAR(HEX2DEC(Table1[[#This Row],[utf8]]))</f>
        <v>🚶</v>
      </c>
      <c r="K2571" s="3" t="str" cm="1">
        <f t="array" ref="K2571">"Case "&amp;wRandomLetter()&amp;wRandomLetter()&amp;I2571&amp;":    UniConst = ChrW(" &amp; I2571 &amp;")"</f>
        <v>Case Cr128694:    UniConst = ChrW(128694)</v>
      </c>
    </row>
    <row r="2572" spans="1:11" hidden="1">
      <c r="A2572" t="s">
        <v>1868</v>
      </c>
      <c r="B2572" t="str">
        <f t="shared" si="242"/>
        <v>1F6B6 1F3FD ; fully-qualified # 🚶🏽 E1.0 person walking: medium skin tone</v>
      </c>
      <c r="C2572" t="str">
        <f t="shared" si="243"/>
        <v xml:space="preserve">1F6B6 1F3FD </v>
      </c>
      <c r="D2572">
        <f t="shared" si="244"/>
        <v>12</v>
      </c>
      <c r="E2572" t="str">
        <f t="shared" si="240"/>
        <v xml:space="preserve"> 🚶🏽 E1.0 person walking: medium skin tone</v>
      </c>
      <c r="F2572" t="b">
        <f t="shared" si="245"/>
        <v>1</v>
      </c>
      <c r="G2572" t="str">
        <f t="shared" si="241"/>
        <v>1F6B6</v>
      </c>
      <c r="I2572">
        <f>HEX2DEC(Table1[[#This Row],[utf8]])</f>
        <v>128694</v>
      </c>
      <c r="J2572" t="str">
        <f>_xlfn.UNICHAR(HEX2DEC(Table1[[#This Row],[utf8]]))</f>
        <v>🚶</v>
      </c>
      <c r="K2572" s="3" t="str" cm="1">
        <f t="array" ref="K2572">"Case "&amp;wRandomLetter()&amp;wRandomLetter()&amp;I2572&amp;":    UniConst = ChrW(" &amp; I2572 &amp;")"</f>
        <v>Case wS128694:    UniConst = ChrW(128694)</v>
      </c>
    </row>
    <row r="2573" spans="1:11" hidden="1">
      <c r="A2573" t="s">
        <v>1890</v>
      </c>
      <c r="B2573" t="str">
        <f t="shared" si="242"/>
        <v>1F6B6 1F3FD 200D 2640 ; minimally-qualified # 🚶🏽‍♀ E4.0 woman walking: medium skin tone</v>
      </c>
      <c r="C2573" t="str">
        <f t="shared" si="243"/>
        <v xml:space="preserve">1F6B6 1F3FD 200D 2640 </v>
      </c>
      <c r="D2573">
        <f t="shared" si="244"/>
        <v>22</v>
      </c>
      <c r="E2573" t="str">
        <f t="shared" si="240"/>
        <v xml:space="preserve"> 🚶🏽‍♀ E4.0 woman walking: medium skin tone</v>
      </c>
      <c r="F2573" t="b">
        <f t="shared" si="245"/>
        <v>1</v>
      </c>
      <c r="G2573" t="str">
        <f t="shared" si="241"/>
        <v>1F6B6</v>
      </c>
      <c r="I2573">
        <f>HEX2DEC(Table1[[#This Row],[utf8]])</f>
        <v>128694</v>
      </c>
      <c r="J2573" t="str">
        <f>_xlfn.UNICHAR(HEX2DEC(Table1[[#This Row],[utf8]]))</f>
        <v>🚶</v>
      </c>
      <c r="K2573" s="3" t="str" cm="1">
        <f t="array" ref="K2573">"Case "&amp;wRandomLetter()&amp;wRandomLetter()&amp;I2573&amp;":    UniConst = ChrW(" &amp; I2573 &amp;")"</f>
        <v>Case Gi128694:    UniConst = ChrW(128694)</v>
      </c>
    </row>
    <row r="2574" spans="1:11" hidden="1">
      <c r="A2574" t="s">
        <v>1889</v>
      </c>
      <c r="B2574" t="str">
        <f t="shared" si="242"/>
        <v>1F6B6 1F3FD 200D 2640 FE0F ; fully-qualified # 🚶🏽‍♀️ E4.0 woman walking: medium skin tone</v>
      </c>
      <c r="C2574" t="str">
        <f t="shared" si="243"/>
        <v xml:space="preserve">1F6B6 1F3FD 200D 2640 FE0F </v>
      </c>
      <c r="D2574">
        <f t="shared" si="244"/>
        <v>27</v>
      </c>
      <c r="E2574" t="str">
        <f t="shared" si="240"/>
        <v xml:space="preserve"> 🚶🏽‍♀️ E4.0 woman walking: medium skin tone</v>
      </c>
      <c r="F2574" t="b">
        <f t="shared" si="245"/>
        <v>1</v>
      </c>
      <c r="G2574" t="str">
        <f t="shared" si="241"/>
        <v>1F6B6</v>
      </c>
      <c r="I2574">
        <f>HEX2DEC(Table1[[#This Row],[utf8]])</f>
        <v>128694</v>
      </c>
      <c r="J2574" t="str">
        <f>_xlfn.UNICHAR(HEX2DEC(Table1[[#This Row],[utf8]]))</f>
        <v>🚶</v>
      </c>
      <c r="K2574" s="3" t="str" cm="1">
        <f t="array" ref="K2574">"Case "&amp;wRandomLetter()&amp;wRandomLetter()&amp;I2574&amp;":    UniConst = ChrW(" &amp; I2574 &amp;")"</f>
        <v>Case AM128694:    UniConst = ChrW(128694)</v>
      </c>
    </row>
    <row r="2575" spans="1:11" hidden="1">
      <c r="A2575" t="s">
        <v>1878</v>
      </c>
      <c r="B2575" t="str">
        <f t="shared" si="242"/>
        <v>1F6B6 1F3FD 200D 2642 ; minimally-qualified # 🚶🏽‍♂ E4.0 man walking: medium skin tone</v>
      </c>
      <c r="C2575" t="str">
        <f t="shared" si="243"/>
        <v xml:space="preserve">1F6B6 1F3FD 200D 2642 </v>
      </c>
      <c r="D2575">
        <f t="shared" si="244"/>
        <v>22</v>
      </c>
      <c r="E2575" t="str">
        <f t="shared" si="240"/>
        <v xml:space="preserve"> 🚶🏽‍♂ E4.0 man walking: medium skin tone</v>
      </c>
      <c r="F2575" t="b">
        <f t="shared" si="245"/>
        <v>1</v>
      </c>
      <c r="G2575" t="str">
        <f t="shared" si="241"/>
        <v>1F6B6</v>
      </c>
      <c r="I2575">
        <f>HEX2DEC(Table1[[#This Row],[utf8]])</f>
        <v>128694</v>
      </c>
      <c r="J2575" t="str">
        <f>_xlfn.UNICHAR(HEX2DEC(Table1[[#This Row],[utf8]]))</f>
        <v>🚶</v>
      </c>
      <c r="K2575" s="3" t="str" cm="1">
        <f t="array" ref="K2575">"Case "&amp;wRandomLetter()&amp;wRandomLetter()&amp;I2575&amp;":    UniConst = ChrW(" &amp; I2575 &amp;")"</f>
        <v>Case oV128694:    UniConst = ChrW(128694)</v>
      </c>
    </row>
    <row r="2576" spans="1:11" hidden="1">
      <c r="A2576" t="s">
        <v>1877</v>
      </c>
      <c r="B2576" t="str">
        <f t="shared" si="242"/>
        <v>1F6B6 1F3FD 200D 2642 FE0F ; fully-qualified # 🚶🏽‍♂️ E4.0 man walking: medium skin tone</v>
      </c>
      <c r="C2576" t="str">
        <f t="shared" si="243"/>
        <v xml:space="preserve">1F6B6 1F3FD 200D 2642 FE0F </v>
      </c>
      <c r="D2576">
        <f t="shared" si="244"/>
        <v>27</v>
      </c>
      <c r="E2576" t="str">
        <f t="shared" si="240"/>
        <v xml:space="preserve"> 🚶🏽‍♂️ E4.0 man walking: medium skin tone</v>
      </c>
      <c r="F2576" t="b">
        <f t="shared" si="245"/>
        <v>1</v>
      </c>
      <c r="G2576" t="str">
        <f t="shared" si="241"/>
        <v>1F6B6</v>
      </c>
      <c r="I2576">
        <f>HEX2DEC(Table1[[#This Row],[utf8]])</f>
        <v>128694</v>
      </c>
      <c r="J2576" t="str">
        <f>_xlfn.UNICHAR(HEX2DEC(Table1[[#This Row],[utf8]]))</f>
        <v>🚶</v>
      </c>
      <c r="K2576" s="3" t="str" cm="1">
        <f t="array" ref="K2576">"Case "&amp;wRandomLetter()&amp;wRandomLetter()&amp;I2576&amp;":    UniConst = ChrW(" &amp; I2576 &amp;")"</f>
        <v>Case ww128694:    UniConst = ChrW(128694)</v>
      </c>
    </row>
    <row r="2577" spans="1:11" hidden="1">
      <c r="A2577" t="s">
        <v>1869</v>
      </c>
      <c r="B2577" t="str">
        <f t="shared" si="242"/>
        <v>1F6B6 1F3FE ; fully-qualified # 🚶🏾 E1.0 person walking: medium-dark skin tone</v>
      </c>
      <c r="C2577" t="str">
        <f t="shared" si="243"/>
        <v xml:space="preserve">1F6B6 1F3FE </v>
      </c>
      <c r="D2577">
        <f t="shared" si="244"/>
        <v>12</v>
      </c>
      <c r="E2577" t="str">
        <f t="shared" si="240"/>
        <v xml:space="preserve"> 🚶🏾 E1.0 person walking: medium-dark skin tone</v>
      </c>
      <c r="F2577" t="b">
        <f t="shared" si="245"/>
        <v>1</v>
      </c>
      <c r="G2577" t="str">
        <f t="shared" si="241"/>
        <v>1F6B6</v>
      </c>
      <c r="I2577">
        <f>HEX2DEC(Table1[[#This Row],[utf8]])</f>
        <v>128694</v>
      </c>
      <c r="J2577" t="str">
        <f>_xlfn.UNICHAR(HEX2DEC(Table1[[#This Row],[utf8]]))</f>
        <v>🚶</v>
      </c>
      <c r="K2577" s="3" t="str" cm="1">
        <f t="array" ref="K2577">"Case "&amp;wRandomLetter()&amp;wRandomLetter()&amp;I2577&amp;":    UniConst = ChrW(" &amp; I2577 &amp;")"</f>
        <v>Case xx128694:    UniConst = ChrW(128694)</v>
      </c>
    </row>
    <row r="2578" spans="1:11" hidden="1">
      <c r="A2578" t="s">
        <v>1892</v>
      </c>
      <c r="B2578" t="str">
        <f t="shared" si="242"/>
        <v>1F6B6 1F3FE 200D 2640 ; minimally-qualified # 🚶🏾‍♀ E4.0 woman walking: medium-dark skin tone</v>
      </c>
      <c r="C2578" t="str">
        <f t="shared" si="243"/>
        <v xml:space="preserve">1F6B6 1F3FE 200D 2640 </v>
      </c>
      <c r="D2578">
        <f t="shared" si="244"/>
        <v>22</v>
      </c>
      <c r="E2578" t="str">
        <f t="shared" si="240"/>
        <v xml:space="preserve"> 🚶🏾‍♀ E4.0 woman walking: medium-dark skin tone</v>
      </c>
      <c r="F2578" t="b">
        <f t="shared" si="245"/>
        <v>1</v>
      </c>
      <c r="G2578" t="str">
        <f t="shared" si="241"/>
        <v>1F6B6</v>
      </c>
      <c r="I2578">
        <f>HEX2DEC(Table1[[#This Row],[utf8]])</f>
        <v>128694</v>
      </c>
      <c r="J2578" t="str">
        <f>_xlfn.UNICHAR(HEX2DEC(Table1[[#This Row],[utf8]]))</f>
        <v>🚶</v>
      </c>
      <c r="K2578" s="3" t="str" cm="1">
        <f t="array" ref="K2578">"Case "&amp;wRandomLetter()&amp;wRandomLetter()&amp;I2578&amp;":    UniConst = ChrW(" &amp; I2578 &amp;")"</f>
        <v>Case HB128694:    UniConst = ChrW(128694)</v>
      </c>
    </row>
    <row r="2579" spans="1:11" hidden="1">
      <c r="A2579" t="s">
        <v>1891</v>
      </c>
      <c r="B2579" t="str">
        <f t="shared" si="242"/>
        <v>1F6B6 1F3FE 200D 2640 FE0F ; fully-qualified # 🚶🏾‍♀️ E4.0 woman walking: medium-dark skin tone</v>
      </c>
      <c r="C2579" t="str">
        <f t="shared" si="243"/>
        <v xml:space="preserve">1F6B6 1F3FE 200D 2640 FE0F </v>
      </c>
      <c r="D2579">
        <f t="shared" si="244"/>
        <v>27</v>
      </c>
      <c r="E2579" t="str">
        <f t="shared" si="240"/>
        <v xml:space="preserve"> 🚶🏾‍♀️ E4.0 woman walking: medium-dark skin tone</v>
      </c>
      <c r="F2579" t="b">
        <f t="shared" si="245"/>
        <v>1</v>
      </c>
      <c r="G2579" t="str">
        <f t="shared" si="241"/>
        <v>1F6B6</v>
      </c>
      <c r="I2579">
        <f>HEX2DEC(Table1[[#This Row],[utf8]])</f>
        <v>128694</v>
      </c>
      <c r="J2579" t="str">
        <f>_xlfn.UNICHAR(HEX2DEC(Table1[[#This Row],[utf8]]))</f>
        <v>🚶</v>
      </c>
      <c r="K2579" s="3" t="str" cm="1">
        <f t="array" ref="K2579">"Case "&amp;wRandomLetter()&amp;wRandomLetter()&amp;I2579&amp;":    UniConst = ChrW(" &amp; I2579 &amp;")"</f>
        <v>Case zm128694:    UniConst = ChrW(128694)</v>
      </c>
    </row>
    <row r="2580" spans="1:11" hidden="1">
      <c r="A2580" t="s">
        <v>1880</v>
      </c>
      <c r="B2580" t="str">
        <f t="shared" si="242"/>
        <v>1F6B6 1F3FE 200D 2642 ; minimally-qualified # 🚶🏾‍♂ E4.0 man walking: medium-dark skin tone</v>
      </c>
      <c r="C2580" t="str">
        <f t="shared" si="243"/>
        <v xml:space="preserve">1F6B6 1F3FE 200D 2642 </v>
      </c>
      <c r="D2580">
        <f t="shared" si="244"/>
        <v>22</v>
      </c>
      <c r="E2580" t="str">
        <f t="shared" si="240"/>
        <v xml:space="preserve"> 🚶🏾‍♂ E4.0 man walking: medium-dark skin tone</v>
      </c>
      <c r="F2580" t="b">
        <f t="shared" si="245"/>
        <v>1</v>
      </c>
      <c r="G2580" t="str">
        <f t="shared" si="241"/>
        <v>1F6B6</v>
      </c>
      <c r="I2580">
        <f>HEX2DEC(Table1[[#This Row],[utf8]])</f>
        <v>128694</v>
      </c>
      <c r="J2580" t="str">
        <f>_xlfn.UNICHAR(HEX2DEC(Table1[[#This Row],[utf8]]))</f>
        <v>🚶</v>
      </c>
      <c r="K2580" s="3" t="str" cm="1">
        <f t="array" ref="K2580">"Case "&amp;wRandomLetter()&amp;wRandomLetter()&amp;I2580&amp;":    UniConst = ChrW(" &amp; I2580 &amp;")"</f>
        <v>Case BS128694:    UniConst = ChrW(128694)</v>
      </c>
    </row>
    <row r="2581" spans="1:11" hidden="1">
      <c r="A2581" t="s">
        <v>1879</v>
      </c>
      <c r="B2581" t="str">
        <f t="shared" si="242"/>
        <v>1F6B6 1F3FE 200D 2642 FE0F ; fully-qualified # 🚶🏾‍♂️ E4.0 man walking: medium-dark skin tone</v>
      </c>
      <c r="C2581" t="str">
        <f t="shared" si="243"/>
        <v xml:space="preserve">1F6B6 1F3FE 200D 2642 FE0F </v>
      </c>
      <c r="D2581">
        <f t="shared" si="244"/>
        <v>27</v>
      </c>
      <c r="E2581" t="str">
        <f t="shared" si="240"/>
        <v xml:space="preserve"> 🚶🏾‍♂️ E4.0 man walking: medium-dark skin tone</v>
      </c>
      <c r="F2581" t="b">
        <f t="shared" si="245"/>
        <v>1</v>
      </c>
      <c r="G2581" t="str">
        <f t="shared" si="241"/>
        <v>1F6B6</v>
      </c>
      <c r="I2581">
        <f>HEX2DEC(Table1[[#This Row],[utf8]])</f>
        <v>128694</v>
      </c>
      <c r="J2581" t="str">
        <f>_xlfn.UNICHAR(HEX2DEC(Table1[[#This Row],[utf8]]))</f>
        <v>🚶</v>
      </c>
      <c r="K2581" s="3" t="str" cm="1">
        <f t="array" ref="K2581">"Case "&amp;wRandomLetter()&amp;wRandomLetter()&amp;I2581&amp;":    UniConst = ChrW(" &amp; I2581 &amp;")"</f>
        <v>Case gb128694:    UniConst = ChrW(128694)</v>
      </c>
    </row>
    <row r="2582" spans="1:11" hidden="1">
      <c r="A2582" t="s">
        <v>1870</v>
      </c>
      <c r="B2582" t="str">
        <f t="shared" si="242"/>
        <v>1F6B6 1F3FF ; fully-qualified # 🚶🏿 E1.0 person walking: dark skin tone</v>
      </c>
      <c r="C2582" t="str">
        <f t="shared" si="243"/>
        <v xml:space="preserve">1F6B6 1F3FF </v>
      </c>
      <c r="D2582">
        <f t="shared" si="244"/>
        <v>12</v>
      </c>
      <c r="E2582" t="str">
        <f t="shared" si="240"/>
        <v xml:space="preserve"> 🚶🏿 E1.0 person walking: dark skin tone</v>
      </c>
      <c r="F2582" t="b">
        <f t="shared" si="245"/>
        <v>1</v>
      </c>
      <c r="G2582" t="str">
        <f t="shared" si="241"/>
        <v>1F6B6</v>
      </c>
      <c r="I2582">
        <f>HEX2DEC(Table1[[#This Row],[utf8]])</f>
        <v>128694</v>
      </c>
      <c r="J2582" t="str">
        <f>_xlfn.UNICHAR(HEX2DEC(Table1[[#This Row],[utf8]]))</f>
        <v>🚶</v>
      </c>
      <c r="K2582" s="3" t="str" cm="1">
        <f t="array" ref="K2582">"Case "&amp;wRandomLetter()&amp;wRandomLetter()&amp;I2582&amp;":    UniConst = ChrW(" &amp; I2582 &amp;")"</f>
        <v>Case pD128694:    UniConst = ChrW(128694)</v>
      </c>
    </row>
    <row r="2583" spans="1:11" hidden="1">
      <c r="A2583" t="s">
        <v>1894</v>
      </c>
      <c r="B2583" t="str">
        <f t="shared" si="242"/>
        <v>1F6B6 1F3FF 200D 2640 ; minimally-qualified # 🚶🏿‍♀ E4.0 woman walking: dark skin tone</v>
      </c>
      <c r="C2583" t="str">
        <f t="shared" si="243"/>
        <v xml:space="preserve">1F6B6 1F3FF 200D 2640 </v>
      </c>
      <c r="D2583">
        <f t="shared" si="244"/>
        <v>22</v>
      </c>
      <c r="E2583" t="str">
        <f t="shared" si="240"/>
        <v xml:space="preserve"> 🚶🏿‍♀ E4.0 woman walking: dark skin tone</v>
      </c>
      <c r="F2583" t="b">
        <f t="shared" si="245"/>
        <v>1</v>
      </c>
      <c r="G2583" t="str">
        <f t="shared" si="241"/>
        <v>1F6B6</v>
      </c>
      <c r="I2583">
        <f>HEX2DEC(Table1[[#This Row],[utf8]])</f>
        <v>128694</v>
      </c>
      <c r="J2583" t="str">
        <f>_xlfn.UNICHAR(HEX2DEC(Table1[[#This Row],[utf8]]))</f>
        <v>🚶</v>
      </c>
      <c r="K2583" s="3" t="str" cm="1">
        <f t="array" ref="K2583">"Case "&amp;wRandomLetter()&amp;wRandomLetter()&amp;I2583&amp;":    UniConst = ChrW(" &amp; I2583 &amp;")"</f>
        <v>Case mc128694:    UniConst = ChrW(128694)</v>
      </c>
    </row>
    <row r="2584" spans="1:11" hidden="1">
      <c r="A2584" t="s">
        <v>1893</v>
      </c>
      <c r="B2584" t="str">
        <f t="shared" si="242"/>
        <v>1F6B6 1F3FF 200D 2640 FE0F ; fully-qualified # 🚶🏿‍♀️ E4.0 woman walking: dark skin tone</v>
      </c>
      <c r="C2584" t="str">
        <f t="shared" si="243"/>
        <v xml:space="preserve">1F6B6 1F3FF 200D 2640 FE0F </v>
      </c>
      <c r="D2584">
        <f t="shared" si="244"/>
        <v>27</v>
      </c>
      <c r="E2584" t="str">
        <f t="shared" si="240"/>
        <v xml:space="preserve"> 🚶🏿‍♀️ E4.0 woman walking: dark skin tone</v>
      </c>
      <c r="F2584" t="b">
        <f t="shared" si="245"/>
        <v>1</v>
      </c>
      <c r="G2584" t="str">
        <f t="shared" si="241"/>
        <v>1F6B6</v>
      </c>
      <c r="I2584">
        <f>HEX2DEC(Table1[[#This Row],[utf8]])</f>
        <v>128694</v>
      </c>
      <c r="J2584" t="str">
        <f>_xlfn.UNICHAR(HEX2DEC(Table1[[#This Row],[utf8]]))</f>
        <v>🚶</v>
      </c>
      <c r="K2584" s="3" t="str" cm="1">
        <f t="array" ref="K2584">"Case "&amp;wRandomLetter()&amp;wRandomLetter()&amp;I2584&amp;":    UniConst = ChrW(" &amp; I2584 &amp;")"</f>
        <v>Case Ib128694:    UniConst = ChrW(128694)</v>
      </c>
    </row>
    <row r="2585" spans="1:11" hidden="1">
      <c r="A2585" t="s">
        <v>1882</v>
      </c>
      <c r="B2585" t="str">
        <f t="shared" si="242"/>
        <v>1F6B6 1F3FF 200D 2642 ; minimally-qualified # 🚶🏿‍♂ E4.0 man walking: dark skin tone</v>
      </c>
      <c r="C2585" t="str">
        <f t="shared" si="243"/>
        <v xml:space="preserve">1F6B6 1F3FF 200D 2642 </v>
      </c>
      <c r="D2585">
        <f t="shared" si="244"/>
        <v>22</v>
      </c>
      <c r="E2585" t="str">
        <f t="shared" si="240"/>
        <v xml:space="preserve"> 🚶🏿‍♂ E4.0 man walking: dark skin tone</v>
      </c>
      <c r="F2585" t="b">
        <f t="shared" si="245"/>
        <v>1</v>
      </c>
      <c r="G2585" t="str">
        <f t="shared" si="241"/>
        <v>1F6B6</v>
      </c>
      <c r="I2585">
        <f>HEX2DEC(Table1[[#This Row],[utf8]])</f>
        <v>128694</v>
      </c>
      <c r="J2585" t="str">
        <f>_xlfn.UNICHAR(HEX2DEC(Table1[[#This Row],[utf8]]))</f>
        <v>🚶</v>
      </c>
      <c r="K2585" s="3" t="str" cm="1">
        <f t="array" ref="K2585">"Case "&amp;wRandomLetter()&amp;wRandomLetter()&amp;I2585&amp;":    UniConst = ChrW(" &amp; I2585 &amp;")"</f>
        <v>Case sI128694:    UniConst = ChrW(128694)</v>
      </c>
    </row>
    <row r="2586" spans="1:11" hidden="1">
      <c r="A2586" t="s">
        <v>1881</v>
      </c>
      <c r="B2586" t="str">
        <f t="shared" si="242"/>
        <v>1F6B6 1F3FF 200D 2642 FE0F ; fully-qualified # 🚶🏿‍♂️ E4.0 man walking: dark skin tone</v>
      </c>
      <c r="C2586" t="str">
        <f t="shared" si="243"/>
        <v xml:space="preserve">1F6B6 1F3FF 200D 2642 FE0F </v>
      </c>
      <c r="D2586">
        <f t="shared" si="244"/>
        <v>27</v>
      </c>
      <c r="E2586" t="str">
        <f t="shared" si="240"/>
        <v xml:space="preserve"> 🚶🏿‍♂️ E4.0 man walking: dark skin tone</v>
      </c>
      <c r="F2586" t="b">
        <f t="shared" si="245"/>
        <v>1</v>
      </c>
      <c r="G2586" t="str">
        <f t="shared" si="241"/>
        <v>1F6B6</v>
      </c>
      <c r="I2586">
        <f>HEX2DEC(Table1[[#This Row],[utf8]])</f>
        <v>128694</v>
      </c>
      <c r="J2586" t="str">
        <f>_xlfn.UNICHAR(HEX2DEC(Table1[[#This Row],[utf8]]))</f>
        <v>🚶</v>
      </c>
      <c r="K2586" s="3" t="str" cm="1">
        <f t="array" ref="K2586">"Case "&amp;wRandomLetter()&amp;wRandomLetter()&amp;I2586&amp;":    UniConst = ChrW(" &amp; I2586 &amp;")"</f>
        <v>Case FQ128694:    UniConst = ChrW(128694)</v>
      </c>
    </row>
    <row r="2587" spans="1:11" hidden="1">
      <c r="A2587" t="s">
        <v>1884</v>
      </c>
      <c r="B2587" t="str">
        <f t="shared" si="242"/>
        <v>1F6B6 200D 2640 ; minimally-qualified # 🚶‍♀ E4.0 woman walking</v>
      </c>
      <c r="C2587" t="str">
        <f t="shared" si="243"/>
        <v xml:space="preserve">1F6B6 200D 2640 </v>
      </c>
      <c r="D2587">
        <f t="shared" si="244"/>
        <v>16</v>
      </c>
      <c r="E2587" t="str">
        <f t="shared" si="240"/>
        <v xml:space="preserve"> 🚶‍♀ E4.0 woman walking</v>
      </c>
      <c r="F2587" t="b">
        <f t="shared" si="245"/>
        <v>1</v>
      </c>
      <c r="G2587" t="str">
        <f t="shared" si="241"/>
        <v>1F6B6</v>
      </c>
      <c r="I2587">
        <f>HEX2DEC(Table1[[#This Row],[utf8]])</f>
        <v>128694</v>
      </c>
      <c r="J2587" t="str">
        <f>_xlfn.UNICHAR(HEX2DEC(Table1[[#This Row],[utf8]]))</f>
        <v>🚶</v>
      </c>
      <c r="K2587" s="3" t="str" cm="1">
        <f t="array" ref="K2587">"Case "&amp;wRandomLetter()&amp;wRandomLetter()&amp;I2587&amp;":    UniConst = ChrW(" &amp; I2587 &amp;")"</f>
        <v>Case XC128694:    UniConst = ChrW(128694)</v>
      </c>
    </row>
    <row r="2588" spans="1:11" hidden="1">
      <c r="A2588" t="s">
        <v>1883</v>
      </c>
      <c r="B2588" t="str">
        <f t="shared" si="242"/>
        <v>1F6B6 200D 2640 FE0F ; fully-qualified # 🚶‍♀️ E4.0 woman walking</v>
      </c>
      <c r="C2588" t="str">
        <f t="shared" si="243"/>
        <v xml:space="preserve">1F6B6 200D 2640 FE0F </v>
      </c>
      <c r="D2588">
        <f t="shared" si="244"/>
        <v>21</v>
      </c>
      <c r="E2588" t="str">
        <f t="shared" si="240"/>
        <v xml:space="preserve"> 🚶‍♀️ E4.0 woman walking</v>
      </c>
      <c r="F2588" t="b">
        <f t="shared" si="245"/>
        <v>1</v>
      </c>
      <c r="G2588" t="str">
        <f t="shared" si="241"/>
        <v>1F6B6</v>
      </c>
      <c r="I2588">
        <f>HEX2DEC(Table1[[#This Row],[utf8]])</f>
        <v>128694</v>
      </c>
      <c r="J2588" t="str">
        <f>_xlfn.UNICHAR(HEX2DEC(Table1[[#This Row],[utf8]]))</f>
        <v>🚶</v>
      </c>
      <c r="K2588" s="3" t="str" cm="1">
        <f t="array" ref="K2588">"Case "&amp;wRandomLetter()&amp;wRandomLetter()&amp;I2588&amp;":    UniConst = ChrW(" &amp; I2588 &amp;")"</f>
        <v>Case kX128694:    UniConst = ChrW(128694)</v>
      </c>
    </row>
    <row r="2589" spans="1:11" hidden="1">
      <c r="A2589" t="s">
        <v>1872</v>
      </c>
      <c r="B2589" t="str">
        <f t="shared" si="242"/>
        <v>1F6B6 200D 2642 ; minimally-qualified # 🚶‍♂ E4.0 man walking</v>
      </c>
      <c r="C2589" t="str">
        <f t="shared" si="243"/>
        <v xml:space="preserve">1F6B6 200D 2642 </v>
      </c>
      <c r="D2589">
        <f t="shared" si="244"/>
        <v>16</v>
      </c>
      <c r="E2589" t="str">
        <f t="shared" si="240"/>
        <v xml:space="preserve"> 🚶‍♂ E4.0 man walking</v>
      </c>
      <c r="F2589" t="b">
        <f t="shared" si="245"/>
        <v>1</v>
      </c>
      <c r="G2589" t="str">
        <f t="shared" si="241"/>
        <v>1F6B6</v>
      </c>
      <c r="I2589">
        <f>HEX2DEC(Table1[[#This Row],[utf8]])</f>
        <v>128694</v>
      </c>
      <c r="J2589" t="str">
        <f>_xlfn.UNICHAR(HEX2DEC(Table1[[#This Row],[utf8]]))</f>
        <v>🚶</v>
      </c>
      <c r="K2589" s="3" t="str" cm="1">
        <f t="array" ref="K2589">"Case "&amp;wRandomLetter()&amp;wRandomLetter()&amp;I2589&amp;":    UniConst = ChrW(" &amp; I2589 &amp;")"</f>
        <v>Case Xh128694:    UniConst = ChrW(128694)</v>
      </c>
    </row>
    <row r="2590" spans="1:11" hidden="1">
      <c r="A2590" t="s">
        <v>1871</v>
      </c>
      <c r="B2590" t="str">
        <f t="shared" si="242"/>
        <v>1F6B6 200D 2642 FE0F ; fully-qualified # 🚶‍♂️ E4.0 man walking</v>
      </c>
      <c r="C2590" t="str">
        <f t="shared" si="243"/>
        <v xml:space="preserve">1F6B6 200D 2642 FE0F </v>
      </c>
      <c r="D2590">
        <f t="shared" si="244"/>
        <v>21</v>
      </c>
      <c r="E2590" t="str">
        <f t="shared" si="240"/>
        <v xml:space="preserve"> 🚶‍♂️ E4.0 man walking</v>
      </c>
      <c r="F2590" t="b">
        <f t="shared" si="245"/>
        <v>1</v>
      </c>
      <c r="G2590" t="str">
        <f t="shared" si="241"/>
        <v>1F6B6</v>
      </c>
      <c r="I2590">
        <f>HEX2DEC(Table1[[#This Row],[utf8]])</f>
        <v>128694</v>
      </c>
      <c r="J2590" t="str">
        <f>_xlfn.UNICHAR(HEX2DEC(Table1[[#This Row],[utf8]]))</f>
        <v>🚶</v>
      </c>
      <c r="K2590" s="3" t="str" cm="1">
        <f t="array" ref="K2590">"Case "&amp;wRandomLetter()&amp;wRandomLetter()&amp;I2590&amp;":    UniConst = ChrW(" &amp; I2590 &amp;")"</f>
        <v>Case IE128694:    UniConst = ChrW(128694)</v>
      </c>
    </row>
    <row r="2591" spans="1:11" hidden="1">
      <c r="A2591" t="s">
        <v>4146</v>
      </c>
      <c r="B2591" t="str">
        <f t="shared" si="242"/>
        <v>1F6B7 ; fully-qualified # 🚷 E1.0 no pedestrians</v>
      </c>
      <c r="C2591" t="str">
        <f t="shared" si="243"/>
        <v xml:space="preserve">1F6B7 </v>
      </c>
      <c r="D2591">
        <f t="shared" si="244"/>
        <v>6</v>
      </c>
      <c r="E2591" t="str">
        <f t="shared" si="240"/>
        <v xml:space="preserve"> 🚷 E1.0 no pedestrians</v>
      </c>
      <c r="F2591" t="b">
        <f t="shared" si="245"/>
        <v>1</v>
      </c>
      <c r="G2591" t="str">
        <f t="shared" si="241"/>
        <v>1F6B7</v>
      </c>
      <c r="I2591">
        <f>HEX2DEC(Table1[[#This Row],[utf8]])</f>
        <v>128695</v>
      </c>
      <c r="J2591" t="str">
        <f>_xlfn.UNICHAR(HEX2DEC(Table1[[#This Row],[utf8]]))</f>
        <v>🚷</v>
      </c>
      <c r="K2591" s="3" t="str" cm="1">
        <f t="array" ref="K2591">"Case "&amp;wRandomLetter()&amp;wRandomLetter()&amp;I2591&amp;":    UniConst = ChrW(" &amp; I2591 &amp;")"</f>
        <v>Case Hu128695:    UniConst = ChrW(128695)</v>
      </c>
    </row>
    <row r="2592" spans="1:11" hidden="1">
      <c r="A2592" t="s">
        <v>4139</v>
      </c>
      <c r="B2592" t="str">
        <f t="shared" si="242"/>
        <v>1F6B8 ; fully-qualified # 🚸 E1.0 children crossing</v>
      </c>
      <c r="C2592" t="str">
        <f t="shared" si="243"/>
        <v xml:space="preserve">1F6B8 </v>
      </c>
      <c r="D2592">
        <f t="shared" si="244"/>
        <v>6</v>
      </c>
      <c r="E2592" t="str">
        <f t="shared" si="240"/>
        <v xml:space="preserve"> 🚸 E1.0 children crossing</v>
      </c>
      <c r="F2592" t="b">
        <f t="shared" si="245"/>
        <v>1</v>
      </c>
      <c r="G2592" t="str">
        <f t="shared" si="241"/>
        <v>1F6B8</v>
      </c>
      <c r="I2592">
        <f>HEX2DEC(Table1[[#This Row],[utf8]])</f>
        <v>128696</v>
      </c>
      <c r="J2592" t="str">
        <f>_xlfn.UNICHAR(HEX2DEC(Table1[[#This Row],[utf8]]))</f>
        <v>🚸</v>
      </c>
      <c r="K2592" s="3" t="str" cm="1">
        <f t="array" ref="K2592">"Case "&amp;wRandomLetter()&amp;wRandomLetter()&amp;I2592&amp;":    UniConst = ChrW(" &amp; I2592 &amp;")"</f>
        <v>Case KC128696:    UniConst = ChrW(128696)</v>
      </c>
    </row>
    <row r="2593" spans="1:11" hidden="1">
      <c r="A2593" t="s">
        <v>4127</v>
      </c>
      <c r="B2593" t="str">
        <f t="shared" si="242"/>
        <v>1F6B9 ; fully-qualified # 🚹 E0.6 men’s room</v>
      </c>
      <c r="C2593" t="str">
        <f t="shared" si="243"/>
        <v xml:space="preserve">1F6B9 </v>
      </c>
      <c r="D2593">
        <f t="shared" si="244"/>
        <v>6</v>
      </c>
      <c r="E2593" t="str">
        <f t="shared" si="240"/>
        <v xml:space="preserve"> 🚹 E0.6 men’s room</v>
      </c>
      <c r="F2593" t="b">
        <f t="shared" si="245"/>
        <v>1</v>
      </c>
      <c r="G2593" t="str">
        <f t="shared" si="241"/>
        <v>1F6B9</v>
      </c>
      <c r="I2593">
        <f>HEX2DEC(Table1[[#This Row],[utf8]])</f>
        <v>128697</v>
      </c>
      <c r="J2593" t="str">
        <f>_xlfn.UNICHAR(HEX2DEC(Table1[[#This Row],[utf8]]))</f>
        <v>🚹</v>
      </c>
      <c r="K2593" s="3" t="str" cm="1">
        <f t="array" ref="K2593">"Case "&amp;wRandomLetter()&amp;wRandomLetter()&amp;I2593&amp;":    UniConst = ChrW(" &amp; I2593 &amp;")"</f>
        <v>Case vA128697:    UniConst = ChrW(128697)</v>
      </c>
    </row>
    <row r="2594" spans="1:11" hidden="1">
      <c r="A2594" t="s">
        <v>4128</v>
      </c>
      <c r="B2594" t="str">
        <f t="shared" si="242"/>
        <v>1F6BA ; fully-qualified # 🚺 E0.6 women’s room</v>
      </c>
      <c r="C2594" t="str">
        <f t="shared" si="243"/>
        <v xml:space="preserve">1F6BA </v>
      </c>
      <c r="D2594">
        <f t="shared" si="244"/>
        <v>6</v>
      </c>
      <c r="E2594" t="str">
        <f t="shared" si="240"/>
        <v xml:space="preserve"> 🚺 E0.6 women’s room</v>
      </c>
      <c r="F2594" t="b">
        <f t="shared" si="245"/>
        <v>1</v>
      </c>
      <c r="G2594" t="str">
        <f t="shared" si="241"/>
        <v>1F6BA</v>
      </c>
      <c r="I2594">
        <f>HEX2DEC(Table1[[#This Row],[utf8]])</f>
        <v>128698</v>
      </c>
      <c r="J2594" t="str">
        <f>_xlfn.UNICHAR(HEX2DEC(Table1[[#This Row],[utf8]]))</f>
        <v>🚺</v>
      </c>
      <c r="K2594" s="3" t="str" cm="1">
        <f t="array" ref="K2594">"Case "&amp;wRandomLetter()&amp;wRandomLetter()&amp;I2594&amp;":    UniConst = ChrW(" &amp; I2594 &amp;")"</f>
        <v>Case Is128698:    UniConst = ChrW(128698)</v>
      </c>
    </row>
    <row r="2595" spans="1:11" hidden="1">
      <c r="A2595" t="s">
        <v>4129</v>
      </c>
      <c r="B2595" t="str">
        <f t="shared" si="242"/>
        <v>1F6BB ; fully-qualified # 🚻 E0.6 restroom</v>
      </c>
      <c r="C2595" t="str">
        <f t="shared" si="243"/>
        <v xml:space="preserve">1F6BB </v>
      </c>
      <c r="D2595">
        <f t="shared" si="244"/>
        <v>6</v>
      </c>
      <c r="E2595" t="str">
        <f t="shared" si="240"/>
        <v xml:space="preserve"> 🚻 E0.6 restroom</v>
      </c>
      <c r="F2595" t="b">
        <f t="shared" si="245"/>
        <v>1</v>
      </c>
      <c r="G2595" t="str">
        <f t="shared" si="241"/>
        <v>1F6BB</v>
      </c>
      <c r="I2595">
        <f>HEX2DEC(Table1[[#This Row],[utf8]])</f>
        <v>128699</v>
      </c>
      <c r="J2595" t="str">
        <f>_xlfn.UNICHAR(HEX2DEC(Table1[[#This Row],[utf8]]))</f>
        <v>🚻</v>
      </c>
      <c r="K2595" s="3" t="str" cm="1">
        <f t="array" ref="K2595">"Case "&amp;wRandomLetter()&amp;wRandomLetter()&amp;I2595&amp;":    UniConst = ChrW(" &amp; I2595 &amp;")"</f>
        <v>Case kU128699:    UniConst = ChrW(128699)</v>
      </c>
    </row>
    <row r="2596" spans="1:11" hidden="1">
      <c r="A2596" t="s">
        <v>4130</v>
      </c>
      <c r="B2596" t="str">
        <f t="shared" si="242"/>
        <v>1F6BC ; fully-qualified # 🚼 E0.6 baby symbol</v>
      </c>
      <c r="C2596" t="str">
        <f t="shared" si="243"/>
        <v xml:space="preserve">1F6BC </v>
      </c>
      <c r="D2596">
        <f t="shared" si="244"/>
        <v>6</v>
      </c>
      <c r="E2596" t="str">
        <f t="shared" si="240"/>
        <v xml:space="preserve"> 🚼 E0.6 baby symbol</v>
      </c>
      <c r="F2596" t="b">
        <f t="shared" si="245"/>
        <v>1</v>
      </c>
      <c r="G2596" t="str">
        <f t="shared" si="241"/>
        <v>1F6BC</v>
      </c>
      <c r="I2596">
        <f>HEX2DEC(Table1[[#This Row],[utf8]])</f>
        <v>128700</v>
      </c>
      <c r="J2596" t="str">
        <f>_xlfn.UNICHAR(HEX2DEC(Table1[[#This Row],[utf8]]))</f>
        <v>🚼</v>
      </c>
      <c r="K2596" s="3" t="str" cm="1">
        <f t="array" ref="K2596">"Case "&amp;wRandomLetter()&amp;wRandomLetter()&amp;I2596&amp;":    UniConst = ChrW(" &amp; I2596 &amp;")"</f>
        <v>Case Tk128700:    UniConst = ChrW(128700)</v>
      </c>
    </row>
    <row r="2597" spans="1:11" hidden="1">
      <c r="A2597" t="s">
        <v>4093</v>
      </c>
      <c r="B2597" t="str">
        <f t="shared" si="242"/>
        <v>1F6BD ; fully-qualified # 🚽 E0.6 toilet</v>
      </c>
      <c r="C2597" t="str">
        <f t="shared" si="243"/>
        <v xml:space="preserve">1F6BD </v>
      </c>
      <c r="D2597">
        <f t="shared" si="244"/>
        <v>6</v>
      </c>
      <c r="E2597" t="str">
        <f t="shared" si="240"/>
        <v xml:space="preserve"> 🚽 E0.6 toilet</v>
      </c>
      <c r="F2597" t="b">
        <f t="shared" si="245"/>
        <v>1</v>
      </c>
      <c r="G2597" t="str">
        <f t="shared" si="241"/>
        <v>1F6BD</v>
      </c>
      <c r="I2597">
        <f>HEX2DEC(Table1[[#This Row],[utf8]])</f>
        <v>128701</v>
      </c>
      <c r="J2597" t="str">
        <f>_xlfn.UNICHAR(HEX2DEC(Table1[[#This Row],[utf8]]))</f>
        <v>🚽</v>
      </c>
      <c r="K2597" s="3" t="str" cm="1">
        <f t="array" ref="K2597">"Case "&amp;wRandomLetter()&amp;wRandomLetter()&amp;I2597&amp;":    UniConst = ChrW(" &amp; I2597 &amp;")"</f>
        <v>Case Bg128701:    UniConst = ChrW(128701)</v>
      </c>
    </row>
    <row r="2598" spans="1:11" hidden="1">
      <c r="A2598" t="s">
        <v>4131</v>
      </c>
      <c r="B2598" t="str">
        <f t="shared" si="242"/>
        <v>1F6BE ; fully-qualified # 🚾 E0.6 water closet</v>
      </c>
      <c r="C2598" t="str">
        <f t="shared" si="243"/>
        <v xml:space="preserve">1F6BE </v>
      </c>
      <c r="D2598">
        <f t="shared" si="244"/>
        <v>6</v>
      </c>
      <c r="E2598" t="str">
        <f t="shared" si="240"/>
        <v xml:space="preserve"> 🚾 E0.6 water closet</v>
      </c>
      <c r="F2598" t="b">
        <f t="shared" si="245"/>
        <v>1</v>
      </c>
      <c r="G2598" t="str">
        <f t="shared" si="241"/>
        <v>1F6BE</v>
      </c>
      <c r="I2598">
        <f>HEX2DEC(Table1[[#This Row],[utf8]])</f>
        <v>128702</v>
      </c>
      <c r="J2598" t="str">
        <f>_xlfn.UNICHAR(HEX2DEC(Table1[[#This Row],[utf8]]))</f>
        <v>🚾</v>
      </c>
      <c r="K2598" s="3" t="str" cm="1">
        <f t="array" ref="K2598">"Case "&amp;wRandomLetter()&amp;wRandomLetter()&amp;I2598&amp;":    UniConst = ChrW(" &amp; I2598 &amp;")"</f>
        <v>Case Xc128702:    UniConst = ChrW(128702)</v>
      </c>
    </row>
    <row r="2599" spans="1:11" hidden="1">
      <c r="A2599" t="s">
        <v>4095</v>
      </c>
      <c r="B2599" t="str">
        <f t="shared" si="242"/>
        <v>1F6BF ; fully-qualified # 🚿 E1.0 shower</v>
      </c>
      <c r="C2599" t="str">
        <f t="shared" si="243"/>
        <v xml:space="preserve">1F6BF </v>
      </c>
      <c r="D2599">
        <f t="shared" si="244"/>
        <v>6</v>
      </c>
      <c r="E2599" t="str">
        <f t="shared" si="240"/>
        <v xml:space="preserve"> 🚿 E1.0 shower</v>
      </c>
      <c r="F2599" t="b">
        <f t="shared" si="245"/>
        <v>1</v>
      </c>
      <c r="G2599" t="str">
        <f t="shared" si="241"/>
        <v>1F6BF</v>
      </c>
      <c r="I2599">
        <f>HEX2DEC(Table1[[#This Row],[utf8]])</f>
        <v>128703</v>
      </c>
      <c r="J2599" t="str">
        <f>_xlfn.UNICHAR(HEX2DEC(Table1[[#This Row],[utf8]]))</f>
        <v>🚿</v>
      </c>
      <c r="K2599" s="3" t="str" cm="1">
        <f t="array" ref="K2599">"Case "&amp;wRandomLetter()&amp;wRandomLetter()&amp;I2599&amp;":    UniConst = ChrW(" &amp; I2599 &amp;")"</f>
        <v>Case Gi128703:    UniConst = ChrW(128703)</v>
      </c>
    </row>
    <row r="2600" spans="1:11" hidden="1">
      <c r="A2600" t="s">
        <v>2550</v>
      </c>
      <c r="B2600" t="str">
        <f t="shared" si="242"/>
        <v>1F6C0 ; fully-qualified # 🛀 E0.6 person taking bath</v>
      </c>
      <c r="C2600" t="str">
        <f t="shared" si="243"/>
        <v xml:space="preserve">1F6C0 </v>
      </c>
      <c r="D2600">
        <f t="shared" si="244"/>
        <v>6</v>
      </c>
      <c r="E2600" t="str">
        <f t="shared" si="240"/>
        <v xml:space="preserve"> 🛀 E0.6 person taking bath</v>
      </c>
      <c r="F2600" t="b">
        <f t="shared" si="245"/>
        <v>1</v>
      </c>
      <c r="G2600" t="str">
        <f t="shared" si="241"/>
        <v>1F6C0</v>
      </c>
      <c r="I2600">
        <f>HEX2DEC(Table1[[#This Row],[utf8]])</f>
        <v>128704</v>
      </c>
      <c r="J2600" t="str">
        <f>_xlfn.UNICHAR(HEX2DEC(Table1[[#This Row],[utf8]]))</f>
        <v>🛀</v>
      </c>
      <c r="K2600" s="3" t="str" cm="1">
        <f t="array" ref="K2600">"Case "&amp;wRandomLetter()&amp;wRandomLetter()&amp;I2600&amp;":    UniConst = ChrW(" &amp; I2600 &amp;")"</f>
        <v>Case YA128704:    UniConst = ChrW(128704)</v>
      </c>
    </row>
    <row r="2601" spans="1:11" hidden="1">
      <c r="A2601" t="s">
        <v>2551</v>
      </c>
      <c r="B2601" t="str">
        <f t="shared" si="242"/>
        <v>1F6C0 1F3FB ; fully-qualified # 🛀🏻 E1.0 person taking bath: light skin tone</v>
      </c>
      <c r="C2601" t="str">
        <f t="shared" si="243"/>
        <v xml:space="preserve">1F6C0 1F3FB </v>
      </c>
      <c r="D2601">
        <f t="shared" si="244"/>
        <v>12</v>
      </c>
      <c r="E2601" t="str">
        <f t="shared" si="240"/>
        <v xml:space="preserve"> 🛀🏻 E1.0 person taking bath: light skin tone</v>
      </c>
      <c r="F2601" t="b">
        <f t="shared" si="245"/>
        <v>1</v>
      </c>
      <c r="G2601" t="str">
        <f t="shared" si="241"/>
        <v>1F6C0</v>
      </c>
      <c r="I2601">
        <f>HEX2DEC(Table1[[#This Row],[utf8]])</f>
        <v>128704</v>
      </c>
      <c r="J2601" t="str">
        <f>_xlfn.UNICHAR(HEX2DEC(Table1[[#This Row],[utf8]]))</f>
        <v>🛀</v>
      </c>
      <c r="K2601" s="3" t="str" cm="1">
        <f t="array" ref="K2601">"Case "&amp;wRandomLetter()&amp;wRandomLetter()&amp;I2601&amp;":    UniConst = ChrW(" &amp; I2601 &amp;")"</f>
        <v>Case EW128704:    UniConst = ChrW(128704)</v>
      </c>
    </row>
    <row r="2602" spans="1:11" hidden="1">
      <c r="A2602" t="s">
        <v>2552</v>
      </c>
      <c r="B2602" t="str">
        <f t="shared" si="242"/>
        <v>1F6C0 1F3FC ; fully-qualified # 🛀🏼 E1.0 person taking bath: medium-light skin tone</v>
      </c>
      <c r="C2602" t="str">
        <f t="shared" si="243"/>
        <v xml:space="preserve">1F6C0 1F3FC </v>
      </c>
      <c r="D2602">
        <f t="shared" si="244"/>
        <v>12</v>
      </c>
      <c r="E2602" t="str">
        <f t="shared" si="240"/>
        <v xml:space="preserve"> 🛀🏼 E1.0 person taking bath: medium-light skin tone</v>
      </c>
      <c r="F2602" t="b">
        <f t="shared" si="245"/>
        <v>1</v>
      </c>
      <c r="G2602" t="str">
        <f t="shared" si="241"/>
        <v>1F6C0</v>
      </c>
      <c r="I2602">
        <f>HEX2DEC(Table1[[#This Row],[utf8]])</f>
        <v>128704</v>
      </c>
      <c r="J2602" t="str">
        <f>_xlfn.UNICHAR(HEX2DEC(Table1[[#This Row],[utf8]]))</f>
        <v>🛀</v>
      </c>
      <c r="K2602" s="3" t="str" cm="1">
        <f t="array" ref="K2602">"Case "&amp;wRandomLetter()&amp;wRandomLetter()&amp;I2602&amp;":    UniConst = ChrW(" &amp; I2602 &amp;")"</f>
        <v>Case RJ128704:    UniConst = ChrW(128704)</v>
      </c>
    </row>
    <row r="2603" spans="1:11" hidden="1">
      <c r="A2603" t="s">
        <v>2553</v>
      </c>
      <c r="B2603" t="str">
        <f t="shared" si="242"/>
        <v>1F6C0 1F3FD ; fully-qualified # 🛀🏽 E1.0 person taking bath: medium skin tone</v>
      </c>
      <c r="C2603" t="str">
        <f t="shared" si="243"/>
        <v xml:space="preserve">1F6C0 1F3FD </v>
      </c>
      <c r="D2603">
        <f t="shared" si="244"/>
        <v>12</v>
      </c>
      <c r="E2603" t="str">
        <f t="shared" si="240"/>
        <v xml:space="preserve"> 🛀🏽 E1.0 person taking bath: medium skin tone</v>
      </c>
      <c r="F2603" t="b">
        <f t="shared" si="245"/>
        <v>1</v>
      </c>
      <c r="G2603" t="str">
        <f t="shared" si="241"/>
        <v>1F6C0</v>
      </c>
      <c r="I2603">
        <f>HEX2DEC(Table1[[#This Row],[utf8]])</f>
        <v>128704</v>
      </c>
      <c r="J2603" t="str">
        <f>_xlfn.UNICHAR(HEX2DEC(Table1[[#This Row],[utf8]]))</f>
        <v>🛀</v>
      </c>
      <c r="K2603" s="3" t="str" cm="1">
        <f t="array" ref="K2603">"Case "&amp;wRandomLetter()&amp;wRandomLetter()&amp;I2603&amp;":    UniConst = ChrW(" &amp; I2603 &amp;")"</f>
        <v>Case dj128704:    UniConst = ChrW(128704)</v>
      </c>
    </row>
    <row r="2604" spans="1:11" hidden="1">
      <c r="A2604" t="s">
        <v>2554</v>
      </c>
      <c r="B2604" t="str">
        <f t="shared" si="242"/>
        <v>1F6C0 1F3FE ; fully-qualified # 🛀🏾 E1.0 person taking bath: medium-dark skin tone</v>
      </c>
      <c r="C2604" t="str">
        <f t="shared" si="243"/>
        <v xml:space="preserve">1F6C0 1F3FE </v>
      </c>
      <c r="D2604">
        <f t="shared" si="244"/>
        <v>12</v>
      </c>
      <c r="E2604" t="str">
        <f t="shared" si="240"/>
        <v xml:space="preserve"> 🛀🏾 E1.0 person taking bath: medium-dark skin tone</v>
      </c>
      <c r="F2604" t="b">
        <f t="shared" si="245"/>
        <v>1</v>
      </c>
      <c r="G2604" t="str">
        <f t="shared" si="241"/>
        <v>1F6C0</v>
      </c>
      <c r="I2604">
        <f>HEX2DEC(Table1[[#This Row],[utf8]])</f>
        <v>128704</v>
      </c>
      <c r="J2604" t="str">
        <f>_xlfn.UNICHAR(HEX2DEC(Table1[[#This Row],[utf8]]))</f>
        <v>🛀</v>
      </c>
      <c r="K2604" s="3" t="str" cm="1">
        <f t="array" ref="K2604">"Case "&amp;wRandomLetter()&amp;wRandomLetter()&amp;I2604&amp;":    UniConst = ChrW(" &amp; I2604 &amp;")"</f>
        <v>Case RZ128704:    UniConst = ChrW(128704)</v>
      </c>
    </row>
    <row r="2605" spans="1:11" hidden="1">
      <c r="A2605" t="s">
        <v>2555</v>
      </c>
      <c r="B2605" t="str">
        <f t="shared" si="242"/>
        <v>1F6C0 1F3FF ; fully-qualified # 🛀🏿 E1.0 person taking bath: dark skin tone</v>
      </c>
      <c r="C2605" t="str">
        <f t="shared" si="243"/>
        <v xml:space="preserve">1F6C0 1F3FF </v>
      </c>
      <c r="D2605">
        <f t="shared" si="244"/>
        <v>12</v>
      </c>
      <c r="E2605" t="str">
        <f t="shared" si="240"/>
        <v xml:space="preserve"> 🛀🏿 E1.0 person taking bath: dark skin tone</v>
      </c>
      <c r="F2605" t="b">
        <f t="shared" si="245"/>
        <v>1</v>
      </c>
      <c r="G2605" t="str">
        <f t="shared" si="241"/>
        <v>1F6C0</v>
      </c>
      <c r="I2605">
        <f>HEX2DEC(Table1[[#This Row],[utf8]])</f>
        <v>128704</v>
      </c>
      <c r="J2605" t="str">
        <f>_xlfn.UNICHAR(HEX2DEC(Table1[[#This Row],[utf8]]))</f>
        <v>🛀</v>
      </c>
      <c r="K2605" s="3" t="str" cm="1">
        <f t="array" ref="K2605">"Case "&amp;wRandomLetter()&amp;wRandomLetter()&amp;I2605&amp;":    UniConst = ChrW(" &amp; I2605 &amp;")"</f>
        <v>Case hQ128704:    UniConst = ChrW(128704)</v>
      </c>
    </row>
    <row r="2606" spans="1:11" hidden="1">
      <c r="A2606" t="s">
        <v>4096</v>
      </c>
      <c r="B2606" t="str">
        <f t="shared" si="242"/>
        <v>1F6C1 ; fully-qualified # 🛁 E1.0 bathtub</v>
      </c>
      <c r="C2606" t="str">
        <f t="shared" si="243"/>
        <v xml:space="preserve">1F6C1 </v>
      </c>
      <c r="D2606">
        <f t="shared" si="244"/>
        <v>6</v>
      </c>
      <c r="E2606" t="str">
        <f t="shared" si="240"/>
        <v xml:space="preserve"> 🛁 E1.0 bathtub</v>
      </c>
      <c r="F2606" t="b">
        <f t="shared" si="245"/>
        <v>1</v>
      </c>
      <c r="G2606" t="str">
        <f t="shared" si="241"/>
        <v>1F6C1</v>
      </c>
      <c r="I2606">
        <f>HEX2DEC(Table1[[#This Row],[utf8]])</f>
        <v>128705</v>
      </c>
      <c r="J2606" t="str">
        <f>_xlfn.UNICHAR(HEX2DEC(Table1[[#This Row],[utf8]]))</f>
        <v>🛁</v>
      </c>
      <c r="K2606" s="3" t="str" cm="1">
        <f t="array" ref="K2606">"Case "&amp;wRandomLetter()&amp;wRandomLetter()&amp;I2606&amp;":    UniConst = ChrW(" &amp; I2606 &amp;")"</f>
        <v>Case yU128705:    UniConst = ChrW(128705)</v>
      </c>
    </row>
    <row r="2607" spans="1:11" hidden="1">
      <c r="A2607" t="s">
        <v>4132</v>
      </c>
      <c r="B2607" t="str">
        <f t="shared" si="242"/>
        <v>1F6C2 ; fully-qualified # 🛂 E1.0 passport control</v>
      </c>
      <c r="C2607" t="str">
        <f t="shared" si="243"/>
        <v xml:space="preserve">1F6C2 </v>
      </c>
      <c r="D2607">
        <f t="shared" si="244"/>
        <v>6</v>
      </c>
      <c r="E2607" t="str">
        <f t="shared" si="240"/>
        <v xml:space="preserve"> 🛂 E1.0 passport control</v>
      </c>
      <c r="F2607" t="b">
        <f t="shared" si="245"/>
        <v>1</v>
      </c>
      <c r="G2607" t="str">
        <f t="shared" si="241"/>
        <v>1F6C2</v>
      </c>
      <c r="I2607">
        <f>HEX2DEC(Table1[[#This Row],[utf8]])</f>
        <v>128706</v>
      </c>
      <c r="J2607" t="str">
        <f>_xlfn.UNICHAR(HEX2DEC(Table1[[#This Row],[utf8]]))</f>
        <v>🛂</v>
      </c>
      <c r="K2607" s="3" t="str" cm="1">
        <f t="array" ref="K2607">"Case "&amp;wRandomLetter()&amp;wRandomLetter()&amp;I2607&amp;":    UniConst = ChrW(" &amp; I2607 &amp;")"</f>
        <v>Case bb128706:    UniConst = ChrW(128706)</v>
      </c>
    </row>
    <row r="2608" spans="1:11" hidden="1">
      <c r="A2608" t="s">
        <v>4133</v>
      </c>
      <c r="B2608" t="str">
        <f t="shared" si="242"/>
        <v>1F6C3 ; fully-qualified # 🛃 E1.0 customs</v>
      </c>
      <c r="C2608" t="str">
        <f t="shared" si="243"/>
        <v xml:space="preserve">1F6C3 </v>
      </c>
      <c r="D2608">
        <f t="shared" si="244"/>
        <v>6</v>
      </c>
      <c r="E2608" t="str">
        <f t="shared" si="240"/>
        <v xml:space="preserve"> 🛃 E1.0 customs</v>
      </c>
      <c r="F2608" t="b">
        <f t="shared" si="245"/>
        <v>1</v>
      </c>
      <c r="G2608" t="str">
        <f t="shared" si="241"/>
        <v>1F6C3</v>
      </c>
      <c r="I2608">
        <f>HEX2DEC(Table1[[#This Row],[utf8]])</f>
        <v>128707</v>
      </c>
      <c r="J2608" t="str">
        <f>_xlfn.UNICHAR(HEX2DEC(Table1[[#This Row],[utf8]]))</f>
        <v>🛃</v>
      </c>
      <c r="K2608" s="3" t="str" cm="1">
        <f t="array" ref="K2608">"Case "&amp;wRandomLetter()&amp;wRandomLetter()&amp;I2608&amp;":    UniConst = ChrW(" &amp; I2608 &amp;")"</f>
        <v>Case Es128707:    UniConst = ChrW(128707)</v>
      </c>
    </row>
    <row r="2609" spans="1:11" hidden="1">
      <c r="A2609" t="s">
        <v>4134</v>
      </c>
      <c r="B2609" t="str">
        <f t="shared" si="242"/>
        <v>1F6C4 ; fully-qualified # 🛄 E1.0 baggage claim</v>
      </c>
      <c r="C2609" t="str">
        <f t="shared" si="243"/>
        <v xml:space="preserve">1F6C4 </v>
      </c>
      <c r="D2609">
        <f t="shared" si="244"/>
        <v>6</v>
      </c>
      <c r="E2609" t="str">
        <f t="shared" si="240"/>
        <v xml:space="preserve"> 🛄 E1.0 baggage claim</v>
      </c>
      <c r="F2609" t="b">
        <f t="shared" si="245"/>
        <v>1</v>
      </c>
      <c r="G2609" t="str">
        <f t="shared" si="241"/>
        <v>1F6C4</v>
      </c>
      <c r="I2609">
        <f>HEX2DEC(Table1[[#This Row],[utf8]])</f>
        <v>128708</v>
      </c>
      <c r="J2609" t="str">
        <f>_xlfn.UNICHAR(HEX2DEC(Table1[[#This Row],[utf8]]))</f>
        <v>🛄</v>
      </c>
      <c r="K2609" s="3" t="str" cm="1">
        <f t="array" ref="K2609">"Case "&amp;wRandomLetter()&amp;wRandomLetter()&amp;I2609&amp;":    UniConst = ChrW(" &amp; I2609 &amp;")"</f>
        <v>Case jm128708:    UniConst = ChrW(128708)</v>
      </c>
    </row>
    <row r="2610" spans="1:11" hidden="1">
      <c r="A2610" t="s">
        <v>4135</v>
      </c>
      <c r="B2610" t="str">
        <f t="shared" si="242"/>
        <v>1F6C5 ; fully-qualified # 🛅 E1.0 left luggage</v>
      </c>
      <c r="C2610" t="str">
        <f t="shared" si="243"/>
        <v xml:space="preserve">1F6C5 </v>
      </c>
      <c r="D2610">
        <f t="shared" si="244"/>
        <v>6</v>
      </c>
      <c r="E2610" t="str">
        <f t="shared" si="240"/>
        <v xml:space="preserve"> 🛅 E1.0 left luggage</v>
      </c>
      <c r="F2610" t="b">
        <f t="shared" si="245"/>
        <v>1</v>
      </c>
      <c r="G2610" t="str">
        <f t="shared" si="241"/>
        <v>1F6C5</v>
      </c>
      <c r="I2610">
        <f>HEX2DEC(Table1[[#This Row],[utf8]])</f>
        <v>128709</v>
      </c>
      <c r="J2610" t="str">
        <f>_xlfn.UNICHAR(HEX2DEC(Table1[[#This Row],[utf8]]))</f>
        <v>🛅</v>
      </c>
      <c r="K2610" s="3" t="str" cm="1">
        <f t="array" ref="K2610">"Case "&amp;wRandomLetter()&amp;wRandomLetter()&amp;I2610&amp;":    UniConst = ChrW(" &amp; I2610 &amp;")"</f>
        <v>Case MN128709:    UniConst = ChrW(128709)</v>
      </c>
    </row>
    <row r="2611" spans="1:11" hidden="1">
      <c r="A2611" t="s">
        <v>4091</v>
      </c>
      <c r="B2611" t="str">
        <f t="shared" si="242"/>
        <v>1F6CB ; unqualified # 🛋 E0.7 couch and lamp</v>
      </c>
      <c r="C2611" t="str">
        <f t="shared" si="243"/>
        <v xml:space="preserve">1F6CB </v>
      </c>
      <c r="D2611">
        <f t="shared" si="244"/>
        <v>6</v>
      </c>
      <c r="E2611" t="str">
        <f t="shared" si="240"/>
        <v xml:space="preserve"> 🛋 E0.7 couch and lamp</v>
      </c>
      <c r="F2611" t="b">
        <f t="shared" si="245"/>
        <v>1</v>
      </c>
      <c r="G2611" t="str">
        <f t="shared" si="241"/>
        <v>1F6CB</v>
      </c>
      <c r="I2611">
        <f>HEX2DEC(Table1[[#This Row],[utf8]])</f>
        <v>128715</v>
      </c>
      <c r="J2611" t="str">
        <f>_xlfn.UNICHAR(HEX2DEC(Table1[[#This Row],[utf8]]))</f>
        <v>🛋</v>
      </c>
      <c r="K2611" s="3" t="str" cm="1">
        <f t="array" ref="K2611">"Case "&amp;wRandomLetter()&amp;wRandomLetter()&amp;I2611&amp;":    UniConst = ChrW(" &amp; I2611 &amp;")"</f>
        <v>Case vz128715:    UniConst = ChrW(128715)</v>
      </c>
    </row>
    <row r="2612" spans="1:11" hidden="1">
      <c r="A2612" t="s">
        <v>4090</v>
      </c>
      <c r="B2612" t="str">
        <f t="shared" si="242"/>
        <v>1F6CB FE0F ; fully-qualified # 🛋️ E0.7 couch and lamp</v>
      </c>
      <c r="C2612" t="str">
        <f t="shared" si="243"/>
        <v xml:space="preserve">1F6CB FE0F </v>
      </c>
      <c r="D2612">
        <f t="shared" si="244"/>
        <v>11</v>
      </c>
      <c r="E2612" t="str">
        <f t="shared" si="240"/>
        <v xml:space="preserve"> 🛋️ E0.7 couch and lamp</v>
      </c>
      <c r="F2612" t="b">
        <f t="shared" si="245"/>
        <v>1</v>
      </c>
      <c r="G2612" t="str">
        <f t="shared" si="241"/>
        <v>1F6CB</v>
      </c>
      <c r="I2612">
        <f>HEX2DEC(Table1[[#This Row],[utf8]])</f>
        <v>128715</v>
      </c>
      <c r="J2612" t="str">
        <f>_xlfn.UNICHAR(HEX2DEC(Table1[[#This Row],[utf8]]))</f>
        <v>🛋</v>
      </c>
      <c r="K2612" s="3" t="str" cm="1">
        <f t="array" ref="K2612">"Case "&amp;wRandomLetter()&amp;wRandomLetter()&amp;I2612&amp;":    UniConst = ChrW(" &amp; I2612 &amp;")"</f>
        <v>Case VA128715:    UniConst = ChrW(128715)</v>
      </c>
    </row>
    <row r="2613" spans="1:11" hidden="1">
      <c r="A2613" t="s">
        <v>2556</v>
      </c>
      <c r="B2613" t="str">
        <f t="shared" si="242"/>
        <v>1F6CC ; fully-qualified # 🛌 E1.0 person in bed</v>
      </c>
      <c r="C2613" t="str">
        <f t="shared" si="243"/>
        <v xml:space="preserve">1F6CC </v>
      </c>
      <c r="D2613">
        <f t="shared" si="244"/>
        <v>6</v>
      </c>
      <c r="E2613" t="str">
        <f t="shared" si="240"/>
        <v xml:space="preserve"> 🛌 E1.0 person in bed</v>
      </c>
      <c r="F2613" t="b">
        <f t="shared" si="245"/>
        <v>1</v>
      </c>
      <c r="G2613" t="str">
        <f t="shared" si="241"/>
        <v>1F6CC</v>
      </c>
      <c r="I2613">
        <f>HEX2DEC(Table1[[#This Row],[utf8]])</f>
        <v>128716</v>
      </c>
      <c r="J2613" t="str">
        <f>_xlfn.UNICHAR(HEX2DEC(Table1[[#This Row],[utf8]]))</f>
        <v>🛌</v>
      </c>
      <c r="K2613" s="3" t="str" cm="1">
        <f t="array" ref="K2613">"Case "&amp;wRandomLetter()&amp;wRandomLetter()&amp;I2613&amp;":    UniConst = ChrW(" &amp; I2613 &amp;")"</f>
        <v>Case WJ128716:    UniConst = ChrW(128716)</v>
      </c>
    </row>
    <row r="2614" spans="1:11" hidden="1">
      <c r="A2614" t="s">
        <v>2557</v>
      </c>
      <c r="B2614" t="str">
        <f t="shared" si="242"/>
        <v>1F6CC 1F3FB ; fully-qualified # 🛌🏻 E4.0 person in bed: light skin tone</v>
      </c>
      <c r="C2614" t="str">
        <f t="shared" si="243"/>
        <v xml:space="preserve">1F6CC 1F3FB </v>
      </c>
      <c r="D2614">
        <f t="shared" si="244"/>
        <v>12</v>
      </c>
      <c r="E2614" t="str">
        <f t="shared" si="240"/>
        <v xml:space="preserve"> 🛌🏻 E4.0 person in bed: light skin tone</v>
      </c>
      <c r="F2614" t="b">
        <f t="shared" si="245"/>
        <v>1</v>
      </c>
      <c r="G2614" t="str">
        <f t="shared" si="241"/>
        <v>1F6CC</v>
      </c>
      <c r="I2614">
        <f>HEX2DEC(Table1[[#This Row],[utf8]])</f>
        <v>128716</v>
      </c>
      <c r="J2614" t="str">
        <f>_xlfn.UNICHAR(HEX2DEC(Table1[[#This Row],[utf8]]))</f>
        <v>🛌</v>
      </c>
      <c r="K2614" s="3" t="str" cm="1">
        <f t="array" ref="K2614">"Case "&amp;wRandomLetter()&amp;wRandomLetter()&amp;I2614&amp;":    UniConst = ChrW(" &amp; I2614 &amp;")"</f>
        <v>Case xU128716:    UniConst = ChrW(128716)</v>
      </c>
    </row>
    <row r="2615" spans="1:11" hidden="1">
      <c r="A2615" t="s">
        <v>2558</v>
      </c>
      <c r="B2615" t="str">
        <f t="shared" si="242"/>
        <v>1F6CC 1F3FC ; fully-qualified # 🛌🏼 E4.0 person in bed: medium-light skin tone</v>
      </c>
      <c r="C2615" t="str">
        <f t="shared" si="243"/>
        <v xml:space="preserve">1F6CC 1F3FC </v>
      </c>
      <c r="D2615">
        <f t="shared" si="244"/>
        <v>12</v>
      </c>
      <c r="E2615" t="str">
        <f t="shared" si="240"/>
        <v xml:space="preserve"> 🛌🏼 E4.0 person in bed: medium-light skin tone</v>
      </c>
      <c r="F2615" t="b">
        <f t="shared" si="245"/>
        <v>1</v>
      </c>
      <c r="G2615" t="str">
        <f t="shared" si="241"/>
        <v>1F6CC</v>
      </c>
      <c r="I2615">
        <f>HEX2DEC(Table1[[#This Row],[utf8]])</f>
        <v>128716</v>
      </c>
      <c r="J2615" t="str">
        <f>_xlfn.UNICHAR(HEX2DEC(Table1[[#This Row],[utf8]]))</f>
        <v>🛌</v>
      </c>
      <c r="K2615" s="3" t="str" cm="1">
        <f t="array" ref="K2615">"Case "&amp;wRandomLetter()&amp;wRandomLetter()&amp;I2615&amp;":    UniConst = ChrW(" &amp; I2615 &amp;")"</f>
        <v>Case xW128716:    UniConst = ChrW(128716)</v>
      </c>
    </row>
    <row r="2616" spans="1:11" hidden="1">
      <c r="A2616" t="s">
        <v>2559</v>
      </c>
      <c r="B2616" t="str">
        <f t="shared" si="242"/>
        <v>1F6CC 1F3FD ; fully-qualified # 🛌🏽 E4.0 person in bed: medium skin tone</v>
      </c>
      <c r="C2616" t="str">
        <f t="shared" si="243"/>
        <v xml:space="preserve">1F6CC 1F3FD </v>
      </c>
      <c r="D2616">
        <f t="shared" si="244"/>
        <v>12</v>
      </c>
      <c r="E2616" t="str">
        <f t="shared" si="240"/>
        <v xml:space="preserve"> 🛌🏽 E4.0 person in bed: medium skin tone</v>
      </c>
      <c r="F2616" t="b">
        <f t="shared" si="245"/>
        <v>1</v>
      </c>
      <c r="G2616" t="str">
        <f t="shared" si="241"/>
        <v>1F6CC</v>
      </c>
      <c r="I2616">
        <f>HEX2DEC(Table1[[#This Row],[utf8]])</f>
        <v>128716</v>
      </c>
      <c r="J2616" t="str">
        <f>_xlfn.UNICHAR(HEX2DEC(Table1[[#This Row],[utf8]]))</f>
        <v>🛌</v>
      </c>
      <c r="K2616" s="3" t="str" cm="1">
        <f t="array" ref="K2616">"Case "&amp;wRandomLetter()&amp;wRandomLetter()&amp;I2616&amp;":    UniConst = ChrW(" &amp; I2616 &amp;")"</f>
        <v>Case IV128716:    UniConst = ChrW(128716)</v>
      </c>
    </row>
    <row r="2617" spans="1:11" hidden="1">
      <c r="A2617" t="s">
        <v>2560</v>
      </c>
      <c r="B2617" t="str">
        <f t="shared" si="242"/>
        <v>1F6CC 1F3FE ; fully-qualified # 🛌🏾 E4.0 person in bed: medium-dark skin tone</v>
      </c>
      <c r="C2617" t="str">
        <f t="shared" si="243"/>
        <v xml:space="preserve">1F6CC 1F3FE </v>
      </c>
      <c r="D2617">
        <f t="shared" si="244"/>
        <v>12</v>
      </c>
      <c r="E2617" t="str">
        <f t="shared" si="240"/>
        <v xml:space="preserve"> 🛌🏾 E4.0 person in bed: medium-dark skin tone</v>
      </c>
      <c r="F2617" t="b">
        <f t="shared" si="245"/>
        <v>1</v>
      </c>
      <c r="G2617" t="str">
        <f t="shared" si="241"/>
        <v>1F6CC</v>
      </c>
      <c r="I2617">
        <f>HEX2DEC(Table1[[#This Row],[utf8]])</f>
        <v>128716</v>
      </c>
      <c r="J2617" t="str">
        <f>_xlfn.UNICHAR(HEX2DEC(Table1[[#This Row],[utf8]]))</f>
        <v>🛌</v>
      </c>
      <c r="K2617" s="3" t="str" cm="1">
        <f t="array" ref="K2617">"Case "&amp;wRandomLetter()&amp;wRandomLetter()&amp;I2617&amp;":    UniConst = ChrW(" &amp; I2617 &amp;")"</f>
        <v>Case Yc128716:    UniConst = ChrW(128716)</v>
      </c>
    </row>
    <row r="2618" spans="1:11" hidden="1">
      <c r="A2618" t="s">
        <v>2561</v>
      </c>
      <c r="B2618" t="str">
        <f t="shared" si="242"/>
        <v>1F6CC 1F3FF ; fully-qualified # 🛌🏿 E4.0 person in bed: dark skin tone</v>
      </c>
      <c r="C2618" t="str">
        <f t="shared" si="243"/>
        <v xml:space="preserve">1F6CC 1F3FF </v>
      </c>
      <c r="D2618">
        <f t="shared" si="244"/>
        <v>12</v>
      </c>
      <c r="E2618" t="str">
        <f t="shared" si="240"/>
        <v xml:space="preserve"> 🛌🏿 E4.0 person in bed: dark skin tone</v>
      </c>
      <c r="F2618" t="b">
        <f t="shared" si="245"/>
        <v>1</v>
      </c>
      <c r="G2618" t="str">
        <f t="shared" si="241"/>
        <v>1F6CC</v>
      </c>
      <c r="I2618">
        <f>HEX2DEC(Table1[[#This Row],[utf8]])</f>
        <v>128716</v>
      </c>
      <c r="J2618" t="str">
        <f>_xlfn.UNICHAR(HEX2DEC(Table1[[#This Row],[utf8]]))</f>
        <v>🛌</v>
      </c>
      <c r="K2618" s="3" t="str" cm="1">
        <f t="array" ref="K2618">"Case "&amp;wRandomLetter()&amp;wRandomLetter()&amp;I2618&amp;":    UniConst = ChrW(" &amp; I2618 &amp;")"</f>
        <v>Case UD128716:    UniConst = ChrW(128716)</v>
      </c>
    </row>
    <row r="2619" spans="1:11" hidden="1">
      <c r="A2619" t="s">
        <v>3828</v>
      </c>
      <c r="B2619" t="str">
        <f t="shared" si="242"/>
        <v>1F6CD ; unqualified # 🛍 E0.7 shopping bags</v>
      </c>
      <c r="C2619" t="str">
        <f t="shared" si="243"/>
        <v xml:space="preserve">1F6CD </v>
      </c>
      <c r="D2619">
        <f t="shared" si="244"/>
        <v>6</v>
      </c>
      <c r="E2619" t="str">
        <f t="shared" si="240"/>
        <v xml:space="preserve"> 🛍 E0.7 shopping bags</v>
      </c>
      <c r="F2619" t="b">
        <f t="shared" si="245"/>
        <v>1</v>
      </c>
      <c r="G2619" t="str">
        <f t="shared" si="241"/>
        <v>1F6CD</v>
      </c>
      <c r="I2619">
        <f>HEX2DEC(Table1[[#This Row],[utf8]])</f>
        <v>128717</v>
      </c>
      <c r="J2619" t="str">
        <f>_xlfn.UNICHAR(HEX2DEC(Table1[[#This Row],[utf8]]))</f>
        <v>🛍</v>
      </c>
      <c r="K2619" s="3" t="str" cm="1">
        <f t="array" ref="K2619">"Case "&amp;wRandomLetter()&amp;wRandomLetter()&amp;I2619&amp;":    UniConst = ChrW(" &amp; I2619 &amp;")"</f>
        <v>Case mO128717:    UniConst = ChrW(128717)</v>
      </c>
    </row>
    <row r="2620" spans="1:11" hidden="1">
      <c r="A2620" t="s">
        <v>3827</v>
      </c>
      <c r="B2620" t="str">
        <f t="shared" si="242"/>
        <v>1F6CD FE0F ; fully-qualified # 🛍️ E0.7 shopping bags</v>
      </c>
      <c r="C2620" t="str">
        <f t="shared" si="243"/>
        <v xml:space="preserve">1F6CD FE0F </v>
      </c>
      <c r="D2620">
        <f t="shared" si="244"/>
        <v>11</v>
      </c>
      <c r="E2620" t="str">
        <f t="shared" si="240"/>
        <v xml:space="preserve"> 🛍️ E0.7 shopping bags</v>
      </c>
      <c r="F2620" t="b">
        <f t="shared" si="245"/>
        <v>1</v>
      </c>
      <c r="G2620" t="str">
        <f t="shared" si="241"/>
        <v>1F6CD</v>
      </c>
      <c r="I2620">
        <f>HEX2DEC(Table1[[#This Row],[utf8]])</f>
        <v>128717</v>
      </c>
      <c r="J2620" t="str">
        <f>_xlfn.UNICHAR(HEX2DEC(Table1[[#This Row],[utf8]]))</f>
        <v>🛍</v>
      </c>
      <c r="K2620" s="3" t="str" cm="1">
        <f t="array" ref="K2620">"Case "&amp;wRandomLetter()&amp;wRandomLetter()&amp;I2620&amp;":    UniConst = ChrW(" &amp; I2620 &amp;")"</f>
        <v>Case vD128717:    UniConst = ChrW(128717)</v>
      </c>
    </row>
    <row r="2621" spans="1:11" hidden="1">
      <c r="A2621" t="s">
        <v>3593</v>
      </c>
      <c r="B2621" t="str">
        <f t="shared" si="242"/>
        <v>1F6CE ; unqualified # 🛎 E0.7 bellhop bell</v>
      </c>
      <c r="C2621" t="str">
        <f t="shared" si="243"/>
        <v xml:space="preserve">1F6CE </v>
      </c>
      <c r="D2621">
        <f t="shared" si="244"/>
        <v>6</v>
      </c>
      <c r="E2621" t="str">
        <f t="shared" si="240"/>
        <v xml:space="preserve"> 🛎 E0.7 bellhop bell</v>
      </c>
      <c r="F2621" t="b">
        <f t="shared" si="245"/>
        <v>1</v>
      </c>
      <c r="G2621" t="str">
        <f t="shared" si="241"/>
        <v>1F6CE</v>
      </c>
      <c r="I2621">
        <f>HEX2DEC(Table1[[#This Row],[utf8]])</f>
        <v>128718</v>
      </c>
      <c r="J2621" t="str">
        <f>_xlfn.UNICHAR(HEX2DEC(Table1[[#This Row],[utf8]]))</f>
        <v>🛎</v>
      </c>
      <c r="K2621" s="3" t="str" cm="1">
        <f t="array" ref="K2621">"Case "&amp;wRandomLetter()&amp;wRandomLetter()&amp;I2621&amp;":    UniConst = ChrW(" &amp; I2621 &amp;")"</f>
        <v>Case mO128718:    UniConst = ChrW(128718)</v>
      </c>
    </row>
    <row r="2622" spans="1:11" hidden="1">
      <c r="A2622" t="s">
        <v>3592</v>
      </c>
      <c r="B2622" t="str">
        <f t="shared" si="242"/>
        <v>1F6CE FE0F ; fully-qualified # 🛎️ E0.7 bellhop bell</v>
      </c>
      <c r="C2622" t="str">
        <f t="shared" si="243"/>
        <v xml:space="preserve">1F6CE FE0F </v>
      </c>
      <c r="D2622">
        <f t="shared" si="244"/>
        <v>11</v>
      </c>
      <c r="E2622" t="str">
        <f t="shared" si="240"/>
        <v xml:space="preserve"> 🛎️ E0.7 bellhop bell</v>
      </c>
      <c r="F2622" t="b">
        <f t="shared" si="245"/>
        <v>1</v>
      </c>
      <c r="G2622" t="str">
        <f t="shared" si="241"/>
        <v>1F6CE</v>
      </c>
      <c r="I2622">
        <f>HEX2DEC(Table1[[#This Row],[utf8]])</f>
        <v>128718</v>
      </c>
      <c r="J2622" t="str">
        <f>_xlfn.UNICHAR(HEX2DEC(Table1[[#This Row],[utf8]]))</f>
        <v>🛎</v>
      </c>
      <c r="K2622" s="3" t="str" cm="1">
        <f t="array" ref="K2622">"Case "&amp;wRandomLetter()&amp;wRandomLetter()&amp;I2622&amp;":    UniConst = ChrW(" &amp; I2622 &amp;")"</f>
        <v>Case YS128718:    UniConst = ChrW(128718)</v>
      </c>
    </row>
    <row r="2623" spans="1:11" hidden="1">
      <c r="A2623" t="s">
        <v>4089</v>
      </c>
      <c r="B2623" t="str">
        <f t="shared" si="242"/>
        <v>1F6CF ; unqualified # 🛏 E0.7 bed</v>
      </c>
      <c r="C2623" t="str">
        <f t="shared" si="243"/>
        <v xml:space="preserve">1F6CF </v>
      </c>
      <c r="D2623">
        <f t="shared" si="244"/>
        <v>6</v>
      </c>
      <c r="E2623" t="str">
        <f t="shared" si="240"/>
        <v xml:space="preserve"> 🛏 E0.7 bed</v>
      </c>
      <c r="F2623" t="b">
        <f t="shared" si="245"/>
        <v>1</v>
      </c>
      <c r="G2623" t="str">
        <f t="shared" si="241"/>
        <v>1F6CF</v>
      </c>
      <c r="I2623">
        <f>HEX2DEC(Table1[[#This Row],[utf8]])</f>
        <v>128719</v>
      </c>
      <c r="J2623" t="str">
        <f>_xlfn.UNICHAR(HEX2DEC(Table1[[#This Row],[utf8]]))</f>
        <v>🛏</v>
      </c>
      <c r="K2623" s="3" t="str" cm="1">
        <f t="array" ref="K2623">"Case "&amp;wRandomLetter()&amp;wRandomLetter()&amp;I2623&amp;":    UniConst = ChrW(" &amp; I2623 &amp;")"</f>
        <v>Case wP128719:    UniConst = ChrW(128719)</v>
      </c>
    </row>
    <row r="2624" spans="1:11" hidden="1">
      <c r="A2624" t="s">
        <v>4088</v>
      </c>
      <c r="B2624" t="str">
        <f t="shared" si="242"/>
        <v>1F6CF FE0F ; fully-qualified # 🛏️ E0.7 bed</v>
      </c>
      <c r="C2624" t="str">
        <f t="shared" si="243"/>
        <v xml:space="preserve">1F6CF FE0F </v>
      </c>
      <c r="D2624">
        <f t="shared" si="244"/>
        <v>11</v>
      </c>
      <c r="E2624" t="str">
        <f t="shared" si="240"/>
        <v xml:space="preserve"> 🛏️ E0.7 bed</v>
      </c>
      <c r="F2624" t="b">
        <f t="shared" si="245"/>
        <v>1</v>
      </c>
      <c r="G2624" t="str">
        <f t="shared" si="241"/>
        <v>1F6CF</v>
      </c>
      <c r="I2624">
        <f>HEX2DEC(Table1[[#This Row],[utf8]])</f>
        <v>128719</v>
      </c>
      <c r="J2624" t="str">
        <f>_xlfn.UNICHAR(HEX2DEC(Table1[[#This Row],[utf8]]))</f>
        <v>🛏</v>
      </c>
      <c r="K2624" s="3" t="str" cm="1">
        <f t="array" ref="K2624">"Case "&amp;wRandomLetter()&amp;wRandomLetter()&amp;I2624&amp;":    UniConst = ChrW(" &amp; I2624 &amp;")"</f>
        <v>Case Pm128719:    UniConst = ChrW(128719)</v>
      </c>
    </row>
    <row r="2625" spans="1:11" hidden="1">
      <c r="A2625" t="s">
        <v>4190</v>
      </c>
      <c r="B2625" t="str">
        <f t="shared" si="242"/>
        <v>1F6D0 ; fully-qualified # 🛐 E1.0 place of worship</v>
      </c>
      <c r="C2625" t="str">
        <f t="shared" si="243"/>
        <v xml:space="preserve">1F6D0 </v>
      </c>
      <c r="D2625">
        <f t="shared" si="244"/>
        <v>6</v>
      </c>
      <c r="E2625" t="str">
        <f t="shared" si="240"/>
        <v xml:space="preserve"> 🛐 E1.0 place of worship</v>
      </c>
      <c r="F2625" t="b">
        <f t="shared" si="245"/>
        <v>1</v>
      </c>
      <c r="G2625" t="str">
        <f t="shared" si="241"/>
        <v>1F6D0</v>
      </c>
      <c r="I2625">
        <f>HEX2DEC(Table1[[#This Row],[utf8]])</f>
        <v>128720</v>
      </c>
      <c r="J2625" t="str">
        <f>_xlfn.UNICHAR(HEX2DEC(Table1[[#This Row],[utf8]]))</f>
        <v>🛐</v>
      </c>
      <c r="K2625" s="3" t="str" cm="1">
        <f t="array" ref="K2625">"Case "&amp;wRandomLetter()&amp;wRandomLetter()&amp;I2625&amp;":    UniConst = ChrW(" &amp; I2625 &amp;")"</f>
        <v>Case jI128720:    UniConst = ChrW(128720)</v>
      </c>
    </row>
    <row r="2626" spans="1:11" hidden="1">
      <c r="A2626" t="s">
        <v>3560</v>
      </c>
      <c r="B2626" t="str">
        <f t="shared" si="242"/>
        <v>1F6D1 ; fully-qualified # 🛑 E3.0 stop sign</v>
      </c>
      <c r="C2626" t="str">
        <f t="shared" si="243"/>
        <v xml:space="preserve">1F6D1 </v>
      </c>
      <c r="D2626">
        <f t="shared" si="244"/>
        <v>6</v>
      </c>
      <c r="E2626" t="str">
        <f t="shared" ref="E2626:E2689" si="246">MID(A2626,FIND("#",A2626)+1,256)</f>
        <v xml:space="preserve"> 🛑 E3.0 stop sign</v>
      </c>
      <c r="F2626" t="b">
        <f t="shared" si="245"/>
        <v>1</v>
      </c>
      <c r="G2626" t="str">
        <f t="shared" ref="G2626:G2689" si="247">LEFT(C2626,(FIND(" ",C2626,1)-1))</f>
        <v>1F6D1</v>
      </c>
      <c r="I2626">
        <f>HEX2DEC(Table1[[#This Row],[utf8]])</f>
        <v>128721</v>
      </c>
      <c r="J2626" t="str">
        <f>_xlfn.UNICHAR(HEX2DEC(Table1[[#This Row],[utf8]]))</f>
        <v>🛑</v>
      </c>
      <c r="K2626" s="3" t="str" cm="1">
        <f t="array" ref="K2626">"Case "&amp;wRandomLetter()&amp;wRandomLetter()&amp;I2626&amp;":    UniConst = ChrW(" &amp; I2626 &amp;")"</f>
        <v>Case Yc128721:    UniConst = ChrW(128721)</v>
      </c>
    </row>
    <row r="2627" spans="1:11" hidden="1">
      <c r="A2627" t="s">
        <v>4109</v>
      </c>
      <c r="B2627" t="str">
        <f t="shared" ref="B2627:B2690" si="248">TRIM(A2627)</f>
        <v>1F6D2 ; fully-qualified # 🛒 E3.0 shopping cart</v>
      </c>
      <c r="C2627" t="str">
        <f t="shared" ref="C2627:C2690" si="249">LEFT(B2627,(FIND(";",B2627,1)-1))</f>
        <v xml:space="preserve">1F6D2 </v>
      </c>
      <c r="D2627">
        <f t="shared" ref="D2627:D2690" si="250">LEN(C2627)</f>
        <v>6</v>
      </c>
      <c r="E2627" t="str">
        <f t="shared" si="246"/>
        <v xml:space="preserve"> 🛒 E3.0 shopping cart</v>
      </c>
      <c r="F2627" t="b">
        <f t="shared" ref="F2627:F2690" si="251">IF(LEFT(C2627,2)="1F",TRUE,FALSE)</f>
        <v>1</v>
      </c>
      <c r="G2627" t="str">
        <f t="shared" si="247"/>
        <v>1F6D2</v>
      </c>
      <c r="I2627">
        <f>HEX2DEC(Table1[[#This Row],[utf8]])</f>
        <v>128722</v>
      </c>
      <c r="J2627" t="str">
        <f>_xlfn.UNICHAR(HEX2DEC(Table1[[#This Row],[utf8]]))</f>
        <v>🛒</v>
      </c>
      <c r="K2627" s="3" t="str" cm="1">
        <f t="array" ref="K2627">"Case "&amp;wRandomLetter()&amp;wRandomLetter()&amp;I2627&amp;":    UniConst = ChrW(" &amp; I2627 &amp;")"</f>
        <v>Case VY128722:    UniConst = ChrW(128722)</v>
      </c>
    </row>
    <row r="2628" spans="1:11" hidden="1">
      <c r="A2628" t="s">
        <v>3483</v>
      </c>
      <c r="B2628" t="str">
        <f t="shared" si="248"/>
        <v>1F6D5 ; fully-qualified # 🛕 E12.0 hindu temple</v>
      </c>
      <c r="C2628" t="str">
        <f t="shared" si="249"/>
        <v xml:space="preserve">1F6D5 </v>
      </c>
      <c r="D2628">
        <f t="shared" si="250"/>
        <v>6</v>
      </c>
      <c r="E2628" t="str">
        <f t="shared" si="246"/>
        <v xml:space="preserve"> 🛕 E12.0 hindu temple</v>
      </c>
      <c r="F2628" t="b">
        <f t="shared" si="251"/>
        <v>1</v>
      </c>
      <c r="G2628" t="str">
        <f t="shared" si="247"/>
        <v>1F6D5</v>
      </c>
      <c r="I2628">
        <f>HEX2DEC(Table1[[#This Row],[utf8]])</f>
        <v>128725</v>
      </c>
      <c r="J2628" t="str">
        <f>_xlfn.UNICHAR(HEX2DEC(Table1[[#This Row],[utf8]]))</f>
        <v>🛕</v>
      </c>
      <c r="K2628" s="3" t="str" cm="1">
        <f t="array" ref="K2628">"Case "&amp;wRandomLetter()&amp;wRandomLetter()&amp;I2628&amp;":    UniConst = ChrW(" &amp; I2628 &amp;")"</f>
        <v>Case vB128725:    UniConst = ChrW(128725)</v>
      </c>
    </row>
    <row r="2629" spans="1:11" hidden="1">
      <c r="A2629" t="s">
        <v>3457</v>
      </c>
      <c r="B2629" t="str">
        <f t="shared" si="248"/>
        <v>1F6D6 ; fully-qualified # 🛖 E13.0 hut</v>
      </c>
      <c r="C2629" t="str">
        <f t="shared" si="249"/>
        <v xml:space="preserve">1F6D6 </v>
      </c>
      <c r="D2629">
        <f t="shared" si="250"/>
        <v>6</v>
      </c>
      <c r="E2629" t="str">
        <f t="shared" si="246"/>
        <v xml:space="preserve"> 🛖 E13.0 hut</v>
      </c>
      <c r="F2629" t="b">
        <f t="shared" si="251"/>
        <v>1</v>
      </c>
      <c r="G2629" t="str">
        <f t="shared" si="247"/>
        <v>1F6D6</v>
      </c>
      <c r="I2629">
        <f>HEX2DEC(Table1[[#This Row],[utf8]])</f>
        <v>128726</v>
      </c>
      <c r="J2629" t="str">
        <f>_xlfn.UNICHAR(HEX2DEC(Table1[[#This Row],[utf8]]))</f>
        <v>🛖</v>
      </c>
      <c r="K2629" s="3" t="str" cm="1">
        <f t="array" ref="K2629">"Case "&amp;wRandomLetter()&amp;wRandomLetter()&amp;I2629&amp;":    UniConst = ChrW(" &amp; I2629 &amp;")"</f>
        <v>Case zH128726:    UniConst = ChrW(128726)</v>
      </c>
    </row>
    <row r="2630" spans="1:11" hidden="1">
      <c r="A2630" t="s">
        <v>4085</v>
      </c>
      <c r="B2630" t="str">
        <f t="shared" si="248"/>
        <v>1F6D7 ; fully-qualified # 🛗 E13.0 elevator</v>
      </c>
      <c r="C2630" t="str">
        <f t="shared" si="249"/>
        <v xml:space="preserve">1F6D7 </v>
      </c>
      <c r="D2630">
        <f t="shared" si="250"/>
        <v>6</v>
      </c>
      <c r="E2630" t="str">
        <f t="shared" si="246"/>
        <v xml:space="preserve"> 🛗 E13.0 elevator</v>
      </c>
      <c r="F2630" t="b">
        <f t="shared" si="251"/>
        <v>1</v>
      </c>
      <c r="G2630" t="str">
        <f t="shared" si="247"/>
        <v>1F6D7</v>
      </c>
      <c r="I2630">
        <f>HEX2DEC(Table1[[#This Row],[utf8]])</f>
        <v>128727</v>
      </c>
      <c r="J2630" t="str">
        <f>_xlfn.UNICHAR(HEX2DEC(Table1[[#This Row],[utf8]]))</f>
        <v>🛗</v>
      </c>
      <c r="K2630" s="3" t="str" cm="1">
        <f t="array" ref="K2630">"Case "&amp;wRandomLetter()&amp;wRandomLetter()&amp;I2630&amp;":    UniConst = ChrW(" &amp; I2630 &amp;")"</f>
        <v>Case TO128727:    UniConst = ChrW(128727)</v>
      </c>
    </row>
    <row r="2631" spans="1:11" hidden="1">
      <c r="A2631" t="s">
        <v>4040</v>
      </c>
      <c r="B2631" t="str">
        <f t="shared" si="248"/>
        <v>1F6E0 ; unqualified # 🛠 E0.7 hammer and wrench</v>
      </c>
      <c r="C2631" t="str">
        <f t="shared" si="249"/>
        <v xml:space="preserve">1F6E0 </v>
      </c>
      <c r="D2631">
        <f t="shared" si="250"/>
        <v>6</v>
      </c>
      <c r="E2631" t="str">
        <f t="shared" si="246"/>
        <v xml:space="preserve"> 🛠 E0.7 hammer and wrench</v>
      </c>
      <c r="F2631" t="b">
        <f t="shared" si="251"/>
        <v>1</v>
      </c>
      <c r="G2631" t="str">
        <f t="shared" si="247"/>
        <v>1F6E0</v>
      </c>
      <c r="I2631">
        <f>HEX2DEC(Table1[[#This Row],[utf8]])</f>
        <v>128736</v>
      </c>
      <c r="J2631" t="str">
        <f>_xlfn.UNICHAR(HEX2DEC(Table1[[#This Row],[utf8]]))</f>
        <v>🛠</v>
      </c>
      <c r="K2631" s="3" t="str" cm="1">
        <f t="array" ref="K2631">"Case "&amp;wRandomLetter()&amp;wRandomLetter()&amp;I2631&amp;":    UniConst = ChrW(" &amp; I2631 &amp;")"</f>
        <v>Case Qv128736:    UniConst = ChrW(128736)</v>
      </c>
    </row>
    <row r="2632" spans="1:11" hidden="1">
      <c r="A2632" t="s">
        <v>4039</v>
      </c>
      <c r="B2632" t="str">
        <f t="shared" si="248"/>
        <v>1F6E0 FE0F ; fully-qualified # 🛠️ E0.7 hammer and wrench</v>
      </c>
      <c r="C2632" t="str">
        <f t="shared" si="249"/>
        <v xml:space="preserve">1F6E0 FE0F </v>
      </c>
      <c r="D2632">
        <f t="shared" si="250"/>
        <v>11</v>
      </c>
      <c r="E2632" t="str">
        <f t="shared" si="246"/>
        <v xml:space="preserve"> 🛠️ E0.7 hammer and wrench</v>
      </c>
      <c r="F2632" t="b">
        <f t="shared" si="251"/>
        <v>1</v>
      </c>
      <c r="G2632" t="str">
        <f t="shared" si="247"/>
        <v>1F6E0</v>
      </c>
      <c r="I2632">
        <f>HEX2DEC(Table1[[#This Row],[utf8]])</f>
        <v>128736</v>
      </c>
      <c r="J2632" t="str">
        <f>_xlfn.UNICHAR(HEX2DEC(Table1[[#This Row],[utf8]]))</f>
        <v>🛠</v>
      </c>
      <c r="K2632" s="3" t="str" cm="1">
        <f t="array" ref="K2632">"Case "&amp;wRandomLetter()&amp;wRandomLetter()&amp;I2632&amp;":    UniConst = ChrW(" &amp; I2632 &amp;")"</f>
        <v>Case VK128736:    UniConst = ChrW(128736)</v>
      </c>
    </row>
    <row r="2633" spans="1:11" hidden="1">
      <c r="A2633" t="s">
        <v>4049</v>
      </c>
      <c r="B2633" t="str">
        <f t="shared" si="248"/>
        <v>1F6E1 ; unqualified # 🛡 E0.7 shield</v>
      </c>
      <c r="C2633" t="str">
        <f t="shared" si="249"/>
        <v xml:space="preserve">1F6E1 </v>
      </c>
      <c r="D2633">
        <f t="shared" si="250"/>
        <v>6</v>
      </c>
      <c r="E2633" t="str">
        <f t="shared" si="246"/>
        <v xml:space="preserve"> 🛡 E0.7 shield</v>
      </c>
      <c r="F2633" t="b">
        <f t="shared" si="251"/>
        <v>1</v>
      </c>
      <c r="G2633" t="str">
        <f t="shared" si="247"/>
        <v>1F6E1</v>
      </c>
      <c r="I2633">
        <f>HEX2DEC(Table1[[#This Row],[utf8]])</f>
        <v>128737</v>
      </c>
      <c r="J2633" t="str">
        <f>_xlfn.UNICHAR(HEX2DEC(Table1[[#This Row],[utf8]]))</f>
        <v>🛡</v>
      </c>
      <c r="K2633" s="3" t="str" cm="1">
        <f t="array" ref="K2633">"Case "&amp;wRandomLetter()&amp;wRandomLetter()&amp;I2633&amp;":    UniConst = ChrW(" &amp; I2633 &amp;")"</f>
        <v>Case mO128737:    UniConst = ChrW(128737)</v>
      </c>
    </row>
    <row r="2634" spans="1:11" hidden="1">
      <c r="A2634" t="s">
        <v>4048</v>
      </c>
      <c r="B2634" t="str">
        <f t="shared" si="248"/>
        <v>1F6E1 FE0F ; fully-qualified # 🛡️ E0.7 shield</v>
      </c>
      <c r="C2634" t="str">
        <f t="shared" si="249"/>
        <v xml:space="preserve">1F6E1 FE0F </v>
      </c>
      <c r="D2634">
        <f t="shared" si="250"/>
        <v>11</v>
      </c>
      <c r="E2634" t="str">
        <f t="shared" si="246"/>
        <v xml:space="preserve"> 🛡️ E0.7 shield</v>
      </c>
      <c r="F2634" t="b">
        <f t="shared" si="251"/>
        <v>1</v>
      </c>
      <c r="G2634" t="str">
        <f t="shared" si="247"/>
        <v>1F6E1</v>
      </c>
      <c r="I2634">
        <f>HEX2DEC(Table1[[#This Row],[utf8]])</f>
        <v>128737</v>
      </c>
      <c r="J2634" t="str">
        <f>_xlfn.UNICHAR(HEX2DEC(Table1[[#This Row],[utf8]]))</f>
        <v>🛡</v>
      </c>
      <c r="K2634" s="3" t="str" cm="1">
        <f t="array" ref="K2634">"Case "&amp;wRandomLetter()&amp;wRandomLetter()&amp;I2634&amp;":    UniConst = ChrW(" &amp; I2634 &amp;")"</f>
        <v>Case Rw128737:    UniConst = ChrW(128737)</v>
      </c>
    </row>
    <row r="2635" spans="1:11" hidden="1">
      <c r="A2635" t="s">
        <v>3555</v>
      </c>
      <c r="B2635" t="str">
        <f t="shared" si="248"/>
        <v>1F6E2 ; unqualified # 🛢 E0.7 oil drum</v>
      </c>
      <c r="C2635" t="str">
        <f t="shared" si="249"/>
        <v xml:space="preserve">1F6E2 </v>
      </c>
      <c r="D2635">
        <f t="shared" si="250"/>
        <v>6</v>
      </c>
      <c r="E2635" t="str">
        <f t="shared" si="246"/>
        <v xml:space="preserve"> 🛢 E0.7 oil drum</v>
      </c>
      <c r="F2635" t="b">
        <f t="shared" si="251"/>
        <v>1</v>
      </c>
      <c r="G2635" t="str">
        <f t="shared" si="247"/>
        <v>1F6E2</v>
      </c>
      <c r="I2635">
        <f>HEX2DEC(Table1[[#This Row],[utf8]])</f>
        <v>128738</v>
      </c>
      <c r="J2635" t="str">
        <f>_xlfn.UNICHAR(HEX2DEC(Table1[[#This Row],[utf8]]))</f>
        <v>🛢</v>
      </c>
      <c r="K2635" s="3" t="str" cm="1">
        <f t="array" ref="K2635">"Case "&amp;wRandomLetter()&amp;wRandomLetter()&amp;I2635&amp;":    UniConst = ChrW(" &amp; I2635 &amp;")"</f>
        <v>Case cT128738:    UniConst = ChrW(128738)</v>
      </c>
    </row>
    <row r="2636" spans="1:11" hidden="1">
      <c r="A2636" t="s">
        <v>3554</v>
      </c>
      <c r="B2636" t="str">
        <f t="shared" si="248"/>
        <v>1F6E2 FE0F ; fully-qualified # 🛢️ E0.7 oil drum</v>
      </c>
      <c r="C2636" t="str">
        <f t="shared" si="249"/>
        <v xml:space="preserve">1F6E2 FE0F </v>
      </c>
      <c r="D2636">
        <f t="shared" si="250"/>
        <v>11</v>
      </c>
      <c r="E2636" t="str">
        <f t="shared" si="246"/>
        <v xml:space="preserve"> 🛢️ E0.7 oil drum</v>
      </c>
      <c r="F2636" t="b">
        <f t="shared" si="251"/>
        <v>1</v>
      </c>
      <c r="G2636" t="str">
        <f t="shared" si="247"/>
        <v>1F6E2</v>
      </c>
      <c r="I2636">
        <f>HEX2DEC(Table1[[#This Row],[utf8]])</f>
        <v>128738</v>
      </c>
      <c r="J2636" t="str">
        <f>_xlfn.UNICHAR(HEX2DEC(Table1[[#This Row],[utf8]]))</f>
        <v>🛢</v>
      </c>
      <c r="K2636" s="3" t="str" cm="1">
        <f t="array" ref="K2636">"Case "&amp;wRandomLetter()&amp;wRandomLetter()&amp;I2636&amp;":    UniConst = ChrW(" &amp; I2636 &amp;")"</f>
        <v>Case Ro128738:    UniConst = ChrW(128738)</v>
      </c>
    </row>
    <row r="2637" spans="1:11" hidden="1">
      <c r="A2637" t="s">
        <v>3551</v>
      </c>
      <c r="B2637" t="str">
        <f t="shared" si="248"/>
        <v>1F6E3 ; unqualified # 🛣 E0.7 motorway</v>
      </c>
      <c r="C2637" t="str">
        <f t="shared" si="249"/>
        <v xml:space="preserve">1F6E3 </v>
      </c>
      <c r="D2637">
        <f t="shared" si="250"/>
        <v>6</v>
      </c>
      <c r="E2637" t="str">
        <f t="shared" si="246"/>
        <v xml:space="preserve"> 🛣 E0.7 motorway</v>
      </c>
      <c r="F2637" t="b">
        <f t="shared" si="251"/>
        <v>1</v>
      </c>
      <c r="G2637" t="str">
        <f t="shared" si="247"/>
        <v>1F6E3</v>
      </c>
      <c r="I2637">
        <f>HEX2DEC(Table1[[#This Row],[utf8]])</f>
        <v>128739</v>
      </c>
      <c r="J2637" t="str">
        <f>_xlfn.UNICHAR(HEX2DEC(Table1[[#This Row],[utf8]]))</f>
        <v>🛣</v>
      </c>
      <c r="K2637" s="3" t="str" cm="1">
        <f t="array" ref="K2637">"Case "&amp;wRandomLetter()&amp;wRandomLetter()&amp;I2637&amp;":    UniConst = ChrW(" &amp; I2637 &amp;")"</f>
        <v>Case bG128739:    UniConst = ChrW(128739)</v>
      </c>
    </row>
    <row r="2638" spans="1:11" hidden="1">
      <c r="A2638" t="s">
        <v>3550</v>
      </c>
      <c r="B2638" t="str">
        <f t="shared" si="248"/>
        <v>1F6E3 FE0F ; fully-qualified # 🛣️ E0.7 motorway</v>
      </c>
      <c r="C2638" t="str">
        <f t="shared" si="249"/>
        <v xml:space="preserve">1F6E3 FE0F </v>
      </c>
      <c r="D2638">
        <f t="shared" si="250"/>
        <v>11</v>
      </c>
      <c r="E2638" t="str">
        <f t="shared" si="246"/>
        <v xml:space="preserve"> 🛣️ E0.7 motorway</v>
      </c>
      <c r="F2638" t="b">
        <f t="shared" si="251"/>
        <v>1</v>
      </c>
      <c r="G2638" t="str">
        <f t="shared" si="247"/>
        <v>1F6E3</v>
      </c>
      <c r="I2638">
        <f>HEX2DEC(Table1[[#This Row],[utf8]])</f>
        <v>128739</v>
      </c>
      <c r="J2638" t="str">
        <f>_xlfn.UNICHAR(HEX2DEC(Table1[[#This Row],[utf8]]))</f>
        <v>🛣</v>
      </c>
      <c r="K2638" s="3" t="str" cm="1">
        <f t="array" ref="K2638">"Case "&amp;wRandomLetter()&amp;wRandomLetter()&amp;I2638&amp;":    UniConst = ChrW(" &amp; I2638 &amp;")"</f>
        <v>Case fH128739:    UniConst = ChrW(128739)</v>
      </c>
    </row>
    <row r="2639" spans="1:11" hidden="1">
      <c r="A2639" t="s">
        <v>3553</v>
      </c>
      <c r="B2639" t="str">
        <f t="shared" si="248"/>
        <v>1F6E4 ; unqualified # 🛤 E0.7 railway track</v>
      </c>
      <c r="C2639" t="str">
        <f t="shared" si="249"/>
        <v xml:space="preserve">1F6E4 </v>
      </c>
      <c r="D2639">
        <f t="shared" si="250"/>
        <v>6</v>
      </c>
      <c r="E2639" t="str">
        <f t="shared" si="246"/>
        <v xml:space="preserve"> 🛤 E0.7 railway track</v>
      </c>
      <c r="F2639" t="b">
        <f t="shared" si="251"/>
        <v>1</v>
      </c>
      <c r="G2639" t="str">
        <f t="shared" si="247"/>
        <v>1F6E4</v>
      </c>
      <c r="I2639">
        <f>HEX2DEC(Table1[[#This Row],[utf8]])</f>
        <v>128740</v>
      </c>
      <c r="J2639" t="str">
        <f>_xlfn.UNICHAR(HEX2DEC(Table1[[#This Row],[utf8]]))</f>
        <v>🛤</v>
      </c>
      <c r="K2639" s="3" t="str" cm="1">
        <f t="array" ref="K2639">"Case "&amp;wRandomLetter()&amp;wRandomLetter()&amp;I2639&amp;":    UniConst = ChrW(" &amp; I2639 &amp;")"</f>
        <v>Case uo128740:    UniConst = ChrW(128740)</v>
      </c>
    </row>
    <row r="2640" spans="1:11" hidden="1">
      <c r="A2640" t="s">
        <v>3552</v>
      </c>
      <c r="B2640" t="str">
        <f t="shared" si="248"/>
        <v>1F6E4 FE0F ; fully-qualified # 🛤️ E0.7 railway track</v>
      </c>
      <c r="C2640" t="str">
        <f t="shared" si="249"/>
        <v xml:space="preserve">1F6E4 FE0F </v>
      </c>
      <c r="D2640">
        <f t="shared" si="250"/>
        <v>11</v>
      </c>
      <c r="E2640" t="str">
        <f t="shared" si="246"/>
        <v xml:space="preserve"> 🛤️ E0.7 railway track</v>
      </c>
      <c r="F2640" t="b">
        <f t="shared" si="251"/>
        <v>1</v>
      </c>
      <c r="G2640" t="str">
        <f t="shared" si="247"/>
        <v>1F6E4</v>
      </c>
      <c r="I2640">
        <f>HEX2DEC(Table1[[#This Row],[utf8]])</f>
        <v>128740</v>
      </c>
      <c r="J2640" t="str">
        <f>_xlfn.UNICHAR(HEX2DEC(Table1[[#This Row],[utf8]]))</f>
        <v>🛤</v>
      </c>
      <c r="K2640" s="3" t="str" cm="1">
        <f t="array" ref="K2640">"Case "&amp;wRandomLetter()&amp;wRandomLetter()&amp;I2640&amp;":    UniConst = ChrW(" &amp; I2640 &amp;")"</f>
        <v>Case zW128740:    UniConst = ChrW(128740)</v>
      </c>
    </row>
    <row r="2641" spans="1:11" hidden="1">
      <c r="A2641" t="s">
        <v>3572</v>
      </c>
      <c r="B2641" t="str">
        <f t="shared" si="248"/>
        <v>1F6E5 ; unqualified # 🛥 E0.7 motor boat</v>
      </c>
      <c r="C2641" t="str">
        <f t="shared" si="249"/>
        <v xml:space="preserve">1F6E5 </v>
      </c>
      <c r="D2641">
        <f t="shared" si="250"/>
        <v>6</v>
      </c>
      <c r="E2641" t="str">
        <f t="shared" si="246"/>
        <v xml:space="preserve"> 🛥 E0.7 motor boat</v>
      </c>
      <c r="F2641" t="b">
        <f t="shared" si="251"/>
        <v>1</v>
      </c>
      <c r="G2641" t="str">
        <f t="shared" si="247"/>
        <v>1F6E5</v>
      </c>
      <c r="I2641">
        <f>HEX2DEC(Table1[[#This Row],[utf8]])</f>
        <v>128741</v>
      </c>
      <c r="J2641" t="str">
        <f>_xlfn.UNICHAR(HEX2DEC(Table1[[#This Row],[utf8]]))</f>
        <v>🛥</v>
      </c>
      <c r="K2641" s="3" t="str" cm="1">
        <f t="array" ref="K2641">"Case "&amp;wRandomLetter()&amp;wRandomLetter()&amp;I2641&amp;":    UniConst = ChrW(" &amp; I2641 &amp;")"</f>
        <v>Case Nb128741:    UniConst = ChrW(128741)</v>
      </c>
    </row>
    <row r="2642" spans="1:11" hidden="1">
      <c r="A2642" t="s">
        <v>3571</v>
      </c>
      <c r="B2642" t="str">
        <f t="shared" si="248"/>
        <v>1F6E5 FE0F ; fully-qualified # 🛥️ E0.7 motor boat</v>
      </c>
      <c r="C2642" t="str">
        <f t="shared" si="249"/>
        <v xml:space="preserve">1F6E5 FE0F </v>
      </c>
      <c r="D2642">
        <f t="shared" si="250"/>
        <v>11</v>
      </c>
      <c r="E2642" t="str">
        <f t="shared" si="246"/>
        <v xml:space="preserve"> 🛥️ E0.7 motor boat</v>
      </c>
      <c r="F2642" t="b">
        <f t="shared" si="251"/>
        <v>1</v>
      </c>
      <c r="G2642" t="str">
        <f t="shared" si="247"/>
        <v>1F6E5</v>
      </c>
      <c r="I2642">
        <f>HEX2DEC(Table1[[#This Row],[utf8]])</f>
        <v>128741</v>
      </c>
      <c r="J2642" t="str">
        <f>_xlfn.UNICHAR(HEX2DEC(Table1[[#This Row],[utf8]]))</f>
        <v>🛥</v>
      </c>
      <c r="K2642" s="3" t="str" cm="1">
        <f t="array" ref="K2642">"Case "&amp;wRandomLetter()&amp;wRandomLetter()&amp;I2642&amp;":    UniConst = ChrW(" &amp; I2642 &amp;")"</f>
        <v>Case Iq128741:    UniConst = ChrW(128741)</v>
      </c>
    </row>
    <row r="2643" spans="1:11" hidden="1">
      <c r="A2643" t="s">
        <v>3578</v>
      </c>
      <c r="B2643" t="str">
        <f t="shared" si="248"/>
        <v>1F6E9 ; unqualified # 🛩 E0.7 small airplane</v>
      </c>
      <c r="C2643" t="str">
        <f t="shared" si="249"/>
        <v xml:space="preserve">1F6E9 </v>
      </c>
      <c r="D2643">
        <f t="shared" si="250"/>
        <v>6</v>
      </c>
      <c r="E2643" t="str">
        <f t="shared" si="246"/>
        <v xml:space="preserve"> 🛩 E0.7 small airplane</v>
      </c>
      <c r="F2643" t="b">
        <f t="shared" si="251"/>
        <v>1</v>
      </c>
      <c r="G2643" t="str">
        <f t="shared" si="247"/>
        <v>1F6E9</v>
      </c>
      <c r="I2643">
        <f>HEX2DEC(Table1[[#This Row],[utf8]])</f>
        <v>128745</v>
      </c>
      <c r="J2643" t="str">
        <f>_xlfn.UNICHAR(HEX2DEC(Table1[[#This Row],[utf8]]))</f>
        <v>🛩</v>
      </c>
      <c r="K2643" s="3" t="str" cm="1">
        <f t="array" ref="K2643">"Case "&amp;wRandomLetter()&amp;wRandomLetter()&amp;I2643&amp;":    UniConst = ChrW(" &amp; I2643 &amp;")"</f>
        <v>Case af128745:    UniConst = ChrW(128745)</v>
      </c>
    </row>
    <row r="2644" spans="1:11" hidden="1">
      <c r="A2644" t="s">
        <v>3577</v>
      </c>
      <c r="B2644" t="str">
        <f t="shared" si="248"/>
        <v>1F6E9 FE0F ; fully-qualified # 🛩️ E0.7 small airplane</v>
      </c>
      <c r="C2644" t="str">
        <f t="shared" si="249"/>
        <v xml:space="preserve">1F6E9 FE0F </v>
      </c>
      <c r="D2644">
        <f t="shared" si="250"/>
        <v>11</v>
      </c>
      <c r="E2644" t="str">
        <f t="shared" si="246"/>
        <v xml:space="preserve"> 🛩️ E0.7 small airplane</v>
      </c>
      <c r="F2644" t="b">
        <f t="shared" si="251"/>
        <v>1</v>
      </c>
      <c r="G2644" t="str">
        <f t="shared" si="247"/>
        <v>1F6E9</v>
      </c>
      <c r="I2644">
        <f>HEX2DEC(Table1[[#This Row],[utf8]])</f>
        <v>128745</v>
      </c>
      <c r="J2644" t="str">
        <f>_xlfn.UNICHAR(HEX2DEC(Table1[[#This Row],[utf8]]))</f>
        <v>🛩</v>
      </c>
      <c r="K2644" s="3" t="str" cm="1">
        <f t="array" ref="K2644">"Case "&amp;wRandomLetter()&amp;wRandomLetter()&amp;I2644&amp;":    UniConst = ChrW(" &amp; I2644 &amp;")"</f>
        <v>Case Re128745:    UniConst = ChrW(128745)</v>
      </c>
    </row>
    <row r="2645" spans="1:11" hidden="1">
      <c r="A2645" t="s">
        <v>3579</v>
      </c>
      <c r="B2645" t="str">
        <f t="shared" si="248"/>
        <v>1F6EB ; fully-qualified # 🛫 E1.0 airplane departure</v>
      </c>
      <c r="C2645" t="str">
        <f t="shared" si="249"/>
        <v xml:space="preserve">1F6EB </v>
      </c>
      <c r="D2645">
        <f t="shared" si="250"/>
        <v>6</v>
      </c>
      <c r="E2645" t="str">
        <f t="shared" si="246"/>
        <v xml:space="preserve"> 🛫 E1.0 airplane departure</v>
      </c>
      <c r="F2645" t="b">
        <f t="shared" si="251"/>
        <v>1</v>
      </c>
      <c r="G2645" t="str">
        <f t="shared" si="247"/>
        <v>1F6EB</v>
      </c>
      <c r="I2645">
        <f>HEX2DEC(Table1[[#This Row],[utf8]])</f>
        <v>128747</v>
      </c>
      <c r="J2645" t="str">
        <f>_xlfn.UNICHAR(HEX2DEC(Table1[[#This Row],[utf8]]))</f>
        <v>🛫</v>
      </c>
      <c r="K2645" s="3" t="str" cm="1">
        <f t="array" ref="K2645">"Case "&amp;wRandomLetter()&amp;wRandomLetter()&amp;I2645&amp;":    UniConst = ChrW(" &amp; I2645 &amp;")"</f>
        <v>Case ba128747:    UniConst = ChrW(128747)</v>
      </c>
    </row>
    <row r="2646" spans="1:11" hidden="1">
      <c r="A2646" t="s">
        <v>3580</v>
      </c>
      <c r="B2646" t="str">
        <f t="shared" si="248"/>
        <v>1F6EC ; fully-qualified # 🛬 E1.0 airplane arrival</v>
      </c>
      <c r="C2646" t="str">
        <f t="shared" si="249"/>
        <v xml:space="preserve">1F6EC </v>
      </c>
      <c r="D2646">
        <f t="shared" si="250"/>
        <v>6</v>
      </c>
      <c r="E2646" t="str">
        <f t="shared" si="246"/>
        <v xml:space="preserve"> 🛬 E1.0 airplane arrival</v>
      </c>
      <c r="F2646" t="b">
        <f t="shared" si="251"/>
        <v>1</v>
      </c>
      <c r="G2646" t="str">
        <f t="shared" si="247"/>
        <v>1F6EC</v>
      </c>
      <c r="I2646">
        <f>HEX2DEC(Table1[[#This Row],[utf8]])</f>
        <v>128748</v>
      </c>
      <c r="J2646" t="str">
        <f>_xlfn.UNICHAR(HEX2DEC(Table1[[#This Row],[utf8]]))</f>
        <v>🛬</v>
      </c>
      <c r="K2646" s="3" t="str" cm="1">
        <f t="array" ref="K2646">"Case "&amp;wRandomLetter()&amp;wRandomLetter()&amp;I2646&amp;":    UniConst = ChrW(" &amp; I2646 &amp;")"</f>
        <v>Case zD128748:    UniConst = ChrW(128748)</v>
      </c>
    </row>
    <row r="2647" spans="1:11" hidden="1">
      <c r="A2647" t="s">
        <v>3588</v>
      </c>
      <c r="B2647" t="str">
        <f t="shared" si="248"/>
        <v>1F6F0 ; unqualified # 🛰 E0.7 satellite</v>
      </c>
      <c r="C2647" t="str">
        <f t="shared" si="249"/>
        <v xml:space="preserve">1F6F0 </v>
      </c>
      <c r="D2647">
        <f t="shared" si="250"/>
        <v>6</v>
      </c>
      <c r="E2647" t="str">
        <f t="shared" si="246"/>
        <v xml:space="preserve"> 🛰 E0.7 satellite</v>
      </c>
      <c r="F2647" t="b">
        <f t="shared" si="251"/>
        <v>1</v>
      </c>
      <c r="G2647" t="str">
        <f t="shared" si="247"/>
        <v>1F6F0</v>
      </c>
      <c r="I2647">
        <f>HEX2DEC(Table1[[#This Row],[utf8]])</f>
        <v>128752</v>
      </c>
      <c r="J2647" t="str">
        <f>_xlfn.UNICHAR(HEX2DEC(Table1[[#This Row],[utf8]]))</f>
        <v>🛰</v>
      </c>
      <c r="K2647" s="3" t="str" cm="1">
        <f t="array" ref="K2647">"Case "&amp;wRandomLetter()&amp;wRandomLetter()&amp;I2647&amp;":    UniConst = ChrW(" &amp; I2647 &amp;")"</f>
        <v>Case KP128752:    UniConst = ChrW(128752)</v>
      </c>
    </row>
    <row r="2648" spans="1:11" hidden="1">
      <c r="A2648" t="s">
        <v>3587</v>
      </c>
      <c r="B2648" t="str">
        <f t="shared" si="248"/>
        <v>1F6F0 FE0F ; fully-qualified # 🛰️ E0.7 satellite</v>
      </c>
      <c r="C2648" t="str">
        <f t="shared" si="249"/>
        <v xml:space="preserve">1F6F0 FE0F </v>
      </c>
      <c r="D2648">
        <f t="shared" si="250"/>
        <v>11</v>
      </c>
      <c r="E2648" t="str">
        <f t="shared" si="246"/>
        <v xml:space="preserve"> 🛰️ E0.7 satellite</v>
      </c>
      <c r="F2648" t="b">
        <f t="shared" si="251"/>
        <v>1</v>
      </c>
      <c r="G2648" t="str">
        <f t="shared" si="247"/>
        <v>1F6F0</v>
      </c>
      <c r="I2648">
        <f>HEX2DEC(Table1[[#This Row],[utf8]])</f>
        <v>128752</v>
      </c>
      <c r="J2648" t="str">
        <f>_xlfn.UNICHAR(HEX2DEC(Table1[[#This Row],[utf8]]))</f>
        <v>🛰</v>
      </c>
      <c r="K2648" s="3" t="str" cm="1">
        <f t="array" ref="K2648">"Case "&amp;wRandomLetter()&amp;wRandomLetter()&amp;I2648&amp;":    UniConst = ChrW(" &amp; I2648 &amp;")"</f>
        <v>Case GK128752:    UniConst = ChrW(128752)</v>
      </c>
    </row>
    <row r="2649" spans="1:11" hidden="1">
      <c r="A2649" t="s">
        <v>3568</v>
      </c>
      <c r="B2649" t="str">
        <f t="shared" si="248"/>
        <v>1F6F3 ; unqualified # 🛳 E0.7 passenger ship</v>
      </c>
      <c r="C2649" t="str">
        <f t="shared" si="249"/>
        <v xml:space="preserve">1F6F3 </v>
      </c>
      <c r="D2649">
        <f t="shared" si="250"/>
        <v>6</v>
      </c>
      <c r="E2649" t="str">
        <f t="shared" si="246"/>
        <v xml:space="preserve"> 🛳 E0.7 passenger ship</v>
      </c>
      <c r="F2649" t="b">
        <f t="shared" si="251"/>
        <v>1</v>
      </c>
      <c r="G2649" t="str">
        <f t="shared" si="247"/>
        <v>1F6F3</v>
      </c>
      <c r="I2649">
        <f>HEX2DEC(Table1[[#This Row],[utf8]])</f>
        <v>128755</v>
      </c>
      <c r="J2649" t="str">
        <f>_xlfn.UNICHAR(HEX2DEC(Table1[[#This Row],[utf8]]))</f>
        <v>🛳</v>
      </c>
      <c r="K2649" s="3" t="str" cm="1">
        <f t="array" ref="K2649">"Case "&amp;wRandomLetter()&amp;wRandomLetter()&amp;I2649&amp;":    UniConst = ChrW(" &amp; I2649 &amp;")"</f>
        <v>Case vD128755:    UniConst = ChrW(128755)</v>
      </c>
    </row>
    <row r="2650" spans="1:11" hidden="1">
      <c r="A2650" t="s">
        <v>3567</v>
      </c>
      <c r="B2650" t="str">
        <f t="shared" si="248"/>
        <v>1F6F3 FE0F ; fully-qualified # 🛳️ E0.7 passenger ship</v>
      </c>
      <c r="C2650" t="str">
        <f t="shared" si="249"/>
        <v xml:space="preserve">1F6F3 FE0F </v>
      </c>
      <c r="D2650">
        <f t="shared" si="250"/>
        <v>11</v>
      </c>
      <c r="E2650" t="str">
        <f t="shared" si="246"/>
        <v xml:space="preserve"> 🛳️ E0.7 passenger ship</v>
      </c>
      <c r="F2650" t="b">
        <f t="shared" si="251"/>
        <v>1</v>
      </c>
      <c r="G2650" t="str">
        <f t="shared" si="247"/>
        <v>1F6F3</v>
      </c>
      <c r="I2650">
        <f>HEX2DEC(Table1[[#This Row],[utf8]])</f>
        <v>128755</v>
      </c>
      <c r="J2650" t="str">
        <f>_xlfn.UNICHAR(HEX2DEC(Table1[[#This Row],[utf8]]))</f>
        <v>🛳</v>
      </c>
      <c r="K2650" s="3" t="str" cm="1">
        <f t="array" ref="K2650">"Case "&amp;wRandomLetter()&amp;wRandomLetter()&amp;I2650&amp;":    UniConst = ChrW(" &amp; I2650 &amp;")"</f>
        <v>Case Iq128755:    UniConst = ChrW(128755)</v>
      </c>
    </row>
    <row r="2651" spans="1:11" hidden="1">
      <c r="A2651" t="s">
        <v>3546</v>
      </c>
      <c r="B2651" t="str">
        <f t="shared" si="248"/>
        <v>1F6F4 ; fully-qualified # 🛴 E3.0 kick scooter</v>
      </c>
      <c r="C2651" t="str">
        <f t="shared" si="249"/>
        <v xml:space="preserve">1F6F4 </v>
      </c>
      <c r="D2651">
        <f t="shared" si="250"/>
        <v>6</v>
      </c>
      <c r="E2651" t="str">
        <f t="shared" si="246"/>
        <v xml:space="preserve"> 🛴 E3.0 kick scooter</v>
      </c>
      <c r="F2651" t="b">
        <f t="shared" si="251"/>
        <v>1</v>
      </c>
      <c r="G2651" t="str">
        <f t="shared" si="247"/>
        <v>1F6F4</v>
      </c>
      <c r="I2651">
        <f>HEX2DEC(Table1[[#This Row],[utf8]])</f>
        <v>128756</v>
      </c>
      <c r="J2651" t="str">
        <f>_xlfn.UNICHAR(HEX2DEC(Table1[[#This Row],[utf8]]))</f>
        <v>🛴</v>
      </c>
      <c r="K2651" s="3" t="str" cm="1">
        <f t="array" ref="K2651">"Case "&amp;wRandomLetter()&amp;wRandomLetter()&amp;I2651&amp;":    UniConst = ChrW(" &amp; I2651 &amp;")"</f>
        <v>Case kd128756:    UniConst = ChrW(128756)</v>
      </c>
    </row>
    <row r="2652" spans="1:11" hidden="1">
      <c r="A2652" t="s">
        <v>3541</v>
      </c>
      <c r="B2652" t="str">
        <f t="shared" si="248"/>
        <v>1F6F5 ; fully-qualified # 🛵 E3.0 motor scooter</v>
      </c>
      <c r="C2652" t="str">
        <f t="shared" si="249"/>
        <v xml:space="preserve">1F6F5 </v>
      </c>
      <c r="D2652">
        <f t="shared" si="250"/>
        <v>6</v>
      </c>
      <c r="E2652" t="str">
        <f t="shared" si="246"/>
        <v xml:space="preserve"> 🛵 E3.0 motor scooter</v>
      </c>
      <c r="F2652" t="b">
        <f t="shared" si="251"/>
        <v>1</v>
      </c>
      <c r="G2652" t="str">
        <f t="shared" si="247"/>
        <v>1F6F5</v>
      </c>
      <c r="I2652">
        <f>HEX2DEC(Table1[[#This Row],[utf8]])</f>
        <v>128757</v>
      </c>
      <c r="J2652" t="str">
        <f>_xlfn.UNICHAR(HEX2DEC(Table1[[#This Row],[utf8]]))</f>
        <v>🛵</v>
      </c>
      <c r="K2652" s="3" t="str" cm="1">
        <f t="array" ref="K2652">"Case "&amp;wRandomLetter()&amp;wRandomLetter()&amp;I2652&amp;":    UniConst = ChrW(" &amp; I2652 &amp;")"</f>
        <v>Case uQ128757:    UniConst = ChrW(128757)</v>
      </c>
    </row>
    <row r="2653" spans="1:11" hidden="1">
      <c r="A2653" t="s">
        <v>3565</v>
      </c>
      <c r="B2653" t="str">
        <f t="shared" si="248"/>
        <v>1F6F6 ; fully-qualified # 🛶 E3.0 canoe</v>
      </c>
      <c r="C2653" t="str">
        <f t="shared" si="249"/>
        <v xml:space="preserve">1F6F6 </v>
      </c>
      <c r="D2653">
        <f t="shared" si="250"/>
        <v>6</v>
      </c>
      <c r="E2653" t="str">
        <f t="shared" si="246"/>
        <v xml:space="preserve"> 🛶 E3.0 canoe</v>
      </c>
      <c r="F2653" t="b">
        <f t="shared" si="251"/>
        <v>1</v>
      </c>
      <c r="G2653" t="str">
        <f t="shared" si="247"/>
        <v>1F6F6</v>
      </c>
      <c r="I2653">
        <f>HEX2DEC(Table1[[#This Row],[utf8]])</f>
        <v>128758</v>
      </c>
      <c r="J2653" t="str">
        <f>_xlfn.UNICHAR(HEX2DEC(Table1[[#This Row],[utf8]]))</f>
        <v>🛶</v>
      </c>
      <c r="K2653" s="3" t="str" cm="1">
        <f t="array" ref="K2653">"Case "&amp;wRandomLetter()&amp;wRandomLetter()&amp;I2653&amp;":    UniConst = ChrW(" &amp; I2653 &amp;")"</f>
        <v>Case FA128758:    UniConst = ChrW(128758)</v>
      </c>
    </row>
    <row r="2654" spans="1:11" hidden="1">
      <c r="A2654" t="s">
        <v>3758</v>
      </c>
      <c r="B2654" t="str">
        <f t="shared" si="248"/>
        <v>1F6F7 ; fully-qualified # 🛷 E5.0 sled</v>
      </c>
      <c r="C2654" t="str">
        <f t="shared" si="249"/>
        <v xml:space="preserve">1F6F7 </v>
      </c>
      <c r="D2654">
        <f t="shared" si="250"/>
        <v>6</v>
      </c>
      <c r="E2654" t="str">
        <f t="shared" si="246"/>
        <v xml:space="preserve"> 🛷 E5.0 sled</v>
      </c>
      <c r="F2654" t="b">
        <f t="shared" si="251"/>
        <v>1</v>
      </c>
      <c r="G2654" t="str">
        <f t="shared" si="247"/>
        <v>1F6F7</v>
      </c>
      <c r="I2654">
        <f>HEX2DEC(Table1[[#This Row],[utf8]])</f>
        <v>128759</v>
      </c>
      <c r="J2654" t="str">
        <f>_xlfn.UNICHAR(HEX2DEC(Table1[[#This Row],[utf8]]))</f>
        <v>🛷</v>
      </c>
      <c r="K2654" s="3" t="str" cm="1">
        <f t="array" ref="K2654">"Case "&amp;wRandomLetter()&amp;wRandomLetter()&amp;I2654&amp;":    UniConst = ChrW(" &amp; I2654 &amp;")"</f>
        <v>Case FQ128759:    UniConst = ChrW(128759)</v>
      </c>
    </row>
    <row r="2655" spans="1:11" hidden="1">
      <c r="A2655" t="s">
        <v>3590</v>
      </c>
      <c r="B2655" t="str">
        <f t="shared" si="248"/>
        <v>1F6F8 ; fully-qualified # 🛸 E5.0 flying saucer</v>
      </c>
      <c r="C2655" t="str">
        <f t="shared" si="249"/>
        <v xml:space="preserve">1F6F8 </v>
      </c>
      <c r="D2655">
        <f t="shared" si="250"/>
        <v>6</v>
      </c>
      <c r="E2655" t="str">
        <f t="shared" si="246"/>
        <v xml:space="preserve"> 🛸 E5.0 flying saucer</v>
      </c>
      <c r="F2655" t="b">
        <f t="shared" si="251"/>
        <v>1</v>
      </c>
      <c r="G2655" t="str">
        <f t="shared" si="247"/>
        <v>1F6F8</v>
      </c>
      <c r="I2655">
        <f>HEX2DEC(Table1[[#This Row],[utf8]])</f>
        <v>128760</v>
      </c>
      <c r="J2655" t="str">
        <f>_xlfn.UNICHAR(HEX2DEC(Table1[[#This Row],[utf8]]))</f>
        <v>🛸</v>
      </c>
      <c r="K2655" s="3" t="str" cm="1">
        <f t="array" ref="K2655">"Case "&amp;wRandomLetter()&amp;wRandomLetter()&amp;I2655&amp;":    UniConst = ChrW(" &amp; I2655 &amp;")"</f>
        <v>Case FA128760:    UniConst = ChrW(128760)</v>
      </c>
    </row>
    <row r="2656" spans="1:11" hidden="1">
      <c r="A2656" t="s">
        <v>3547</v>
      </c>
      <c r="B2656" t="str">
        <f t="shared" si="248"/>
        <v>1F6F9 ; fully-qualified # 🛹 E11.0 skateboard</v>
      </c>
      <c r="C2656" t="str">
        <f t="shared" si="249"/>
        <v xml:space="preserve">1F6F9 </v>
      </c>
      <c r="D2656">
        <f t="shared" si="250"/>
        <v>6</v>
      </c>
      <c r="E2656" t="str">
        <f t="shared" si="246"/>
        <v xml:space="preserve"> 🛹 E11.0 skateboard</v>
      </c>
      <c r="F2656" t="b">
        <f t="shared" si="251"/>
        <v>1</v>
      </c>
      <c r="G2656" t="str">
        <f t="shared" si="247"/>
        <v>1F6F9</v>
      </c>
      <c r="I2656">
        <f>HEX2DEC(Table1[[#This Row],[utf8]])</f>
        <v>128761</v>
      </c>
      <c r="J2656" t="str">
        <f>_xlfn.UNICHAR(HEX2DEC(Table1[[#This Row],[utf8]]))</f>
        <v>🛹</v>
      </c>
      <c r="K2656" s="3" t="str" cm="1">
        <f t="array" ref="K2656">"Case "&amp;wRandomLetter()&amp;wRandomLetter()&amp;I2656&amp;":    UniConst = ChrW(" &amp; I2656 &amp;")"</f>
        <v>Case AE128761:    UniConst = ChrW(128761)</v>
      </c>
    </row>
    <row r="2657" spans="1:11" hidden="1">
      <c r="A2657" t="s">
        <v>3544</v>
      </c>
      <c r="B2657" t="str">
        <f t="shared" si="248"/>
        <v>1F6FA ; fully-qualified # 🛺 E12.0 auto rickshaw</v>
      </c>
      <c r="C2657" t="str">
        <f t="shared" si="249"/>
        <v xml:space="preserve">1F6FA </v>
      </c>
      <c r="D2657">
        <f t="shared" si="250"/>
        <v>6</v>
      </c>
      <c r="E2657" t="str">
        <f t="shared" si="246"/>
        <v xml:space="preserve"> 🛺 E12.0 auto rickshaw</v>
      </c>
      <c r="F2657" t="b">
        <f t="shared" si="251"/>
        <v>1</v>
      </c>
      <c r="G2657" t="str">
        <f t="shared" si="247"/>
        <v>1F6FA</v>
      </c>
      <c r="I2657">
        <f>HEX2DEC(Table1[[#This Row],[utf8]])</f>
        <v>128762</v>
      </c>
      <c r="J2657" t="str">
        <f>_xlfn.UNICHAR(HEX2DEC(Table1[[#This Row],[utf8]]))</f>
        <v>🛺</v>
      </c>
      <c r="K2657" s="3" t="str" cm="1">
        <f t="array" ref="K2657">"Case "&amp;wRandomLetter()&amp;wRandomLetter()&amp;I2657&amp;":    UniConst = ChrW(" &amp; I2657 &amp;")"</f>
        <v>Case SC128762:    UniConst = ChrW(128762)</v>
      </c>
    </row>
    <row r="2658" spans="1:11" hidden="1">
      <c r="A2658" t="s">
        <v>3533</v>
      </c>
      <c r="B2658" t="str">
        <f t="shared" si="248"/>
        <v>1F6FB ; fully-qualified # 🛻 E13.0 pickup truck</v>
      </c>
      <c r="C2658" t="str">
        <f t="shared" si="249"/>
        <v xml:space="preserve">1F6FB </v>
      </c>
      <c r="D2658">
        <f t="shared" si="250"/>
        <v>6</v>
      </c>
      <c r="E2658" t="str">
        <f t="shared" si="246"/>
        <v xml:space="preserve"> 🛻 E13.0 pickup truck</v>
      </c>
      <c r="F2658" t="b">
        <f t="shared" si="251"/>
        <v>1</v>
      </c>
      <c r="G2658" t="str">
        <f t="shared" si="247"/>
        <v>1F6FB</v>
      </c>
      <c r="I2658">
        <f>HEX2DEC(Table1[[#This Row],[utf8]])</f>
        <v>128763</v>
      </c>
      <c r="J2658" t="str">
        <f>_xlfn.UNICHAR(HEX2DEC(Table1[[#This Row],[utf8]]))</f>
        <v>🛻</v>
      </c>
      <c r="K2658" s="3" t="str" cm="1">
        <f t="array" ref="K2658">"Case "&amp;wRandomLetter()&amp;wRandomLetter()&amp;I2658&amp;":    UniConst = ChrW(" &amp; I2658 &amp;")"</f>
        <v>Case zJ128763:    UniConst = ChrW(128763)</v>
      </c>
    </row>
    <row r="2659" spans="1:11" hidden="1">
      <c r="A2659" t="s">
        <v>3548</v>
      </c>
      <c r="B2659" t="str">
        <f t="shared" si="248"/>
        <v>1F6FC ; fully-qualified # 🛼 E13.0 roller skate</v>
      </c>
      <c r="C2659" t="str">
        <f t="shared" si="249"/>
        <v xml:space="preserve">1F6FC </v>
      </c>
      <c r="D2659">
        <f t="shared" si="250"/>
        <v>6</v>
      </c>
      <c r="E2659" t="str">
        <f t="shared" si="246"/>
        <v xml:space="preserve"> 🛼 E13.0 roller skate</v>
      </c>
      <c r="F2659" t="b">
        <f t="shared" si="251"/>
        <v>1</v>
      </c>
      <c r="G2659" t="str">
        <f t="shared" si="247"/>
        <v>1F6FC</v>
      </c>
      <c r="I2659">
        <f>HEX2DEC(Table1[[#This Row],[utf8]])</f>
        <v>128764</v>
      </c>
      <c r="J2659" t="str">
        <f>_xlfn.UNICHAR(HEX2DEC(Table1[[#This Row],[utf8]]))</f>
        <v>🛼</v>
      </c>
      <c r="K2659" s="3" t="str" cm="1">
        <f t="array" ref="K2659">"Case "&amp;wRandomLetter()&amp;wRandomLetter()&amp;I2659&amp;":    UniConst = ChrW(" &amp; I2659 &amp;")"</f>
        <v>Case Jf128764:    UniConst = ChrW(128764)</v>
      </c>
    </row>
    <row r="2660" spans="1:11" hidden="1">
      <c r="A2660" t="s">
        <v>4400</v>
      </c>
      <c r="B2660" t="str">
        <f t="shared" si="248"/>
        <v>1F7E0 ; fully-qualified # 🟠 E12.0 orange circle</v>
      </c>
      <c r="C2660" t="str">
        <f t="shared" si="249"/>
        <v xml:space="preserve">1F7E0 </v>
      </c>
      <c r="D2660">
        <f t="shared" si="250"/>
        <v>6</v>
      </c>
      <c r="E2660" t="str">
        <f t="shared" si="246"/>
        <v xml:space="preserve"> 🟠 E12.0 orange circle</v>
      </c>
      <c r="F2660" t="b">
        <f t="shared" si="251"/>
        <v>1</v>
      </c>
      <c r="G2660" t="str">
        <f t="shared" si="247"/>
        <v>1F7E0</v>
      </c>
      <c r="I2660">
        <f>HEX2DEC(Table1[[#This Row],[utf8]])</f>
        <v>128992</v>
      </c>
      <c r="J2660" t="str">
        <f>_xlfn.UNICHAR(HEX2DEC(Table1[[#This Row],[utf8]]))</f>
        <v>🟠</v>
      </c>
      <c r="K2660" s="3" t="str" cm="1">
        <f t="array" ref="K2660">"Case "&amp;wRandomLetter()&amp;wRandomLetter()&amp;I2660&amp;":    UniConst = ChrW(" &amp; I2660 &amp;")"</f>
        <v>Case zp128992:    UniConst = ChrW(128992)</v>
      </c>
    </row>
    <row r="2661" spans="1:11" hidden="1">
      <c r="A2661" t="s">
        <v>4401</v>
      </c>
      <c r="B2661" t="str">
        <f t="shared" si="248"/>
        <v>1F7E1 ; fully-qualified # 🟡 E12.0 yellow circle</v>
      </c>
      <c r="C2661" t="str">
        <f t="shared" si="249"/>
        <v xml:space="preserve">1F7E1 </v>
      </c>
      <c r="D2661">
        <f t="shared" si="250"/>
        <v>6</v>
      </c>
      <c r="E2661" t="str">
        <f t="shared" si="246"/>
        <v xml:space="preserve"> 🟡 E12.0 yellow circle</v>
      </c>
      <c r="F2661" t="b">
        <f t="shared" si="251"/>
        <v>1</v>
      </c>
      <c r="G2661" t="str">
        <f t="shared" si="247"/>
        <v>1F7E1</v>
      </c>
      <c r="I2661">
        <f>HEX2DEC(Table1[[#This Row],[utf8]])</f>
        <v>128993</v>
      </c>
      <c r="J2661" t="str">
        <f>_xlfn.UNICHAR(HEX2DEC(Table1[[#This Row],[utf8]]))</f>
        <v>🟡</v>
      </c>
      <c r="K2661" s="3" t="str" cm="1">
        <f t="array" ref="K2661">"Case "&amp;wRandomLetter()&amp;wRandomLetter()&amp;I2661&amp;":    UniConst = ChrW(" &amp; I2661 &amp;")"</f>
        <v>Case pc128993:    UniConst = ChrW(128993)</v>
      </c>
    </row>
    <row r="2662" spans="1:11" hidden="1">
      <c r="A2662" t="s">
        <v>4402</v>
      </c>
      <c r="B2662" t="str">
        <f t="shared" si="248"/>
        <v>1F7E2 ; fully-qualified # 🟢 E12.0 green circle</v>
      </c>
      <c r="C2662" t="str">
        <f t="shared" si="249"/>
        <v xml:space="preserve">1F7E2 </v>
      </c>
      <c r="D2662">
        <f t="shared" si="250"/>
        <v>6</v>
      </c>
      <c r="E2662" t="str">
        <f t="shared" si="246"/>
        <v xml:space="preserve"> 🟢 E12.0 green circle</v>
      </c>
      <c r="F2662" t="b">
        <f t="shared" si="251"/>
        <v>1</v>
      </c>
      <c r="G2662" t="str">
        <f t="shared" si="247"/>
        <v>1F7E2</v>
      </c>
      <c r="I2662">
        <f>HEX2DEC(Table1[[#This Row],[utf8]])</f>
        <v>128994</v>
      </c>
      <c r="J2662" t="str">
        <f>_xlfn.UNICHAR(HEX2DEC(Table1[[#This Row],[utf8]]))</f>
        <v>🟢</v>
      </c>
      <c r="K2662" s="3" t="str" cm="1">
        <f t="array" ref="K2662">"Case "&amp;wRandomLetter()&amp;wRandomLetter()&amp;I2662&amp;":    UniConst = ChrW(" &amp; I2662 &amp;")"</f>
        <v>Case Or128994:    UniConst = ChrW(128994)</v>
      </c>
    </row>
    <row r="2663" spans="1:11" hidden="1">
      <c r="A2663" t="s">
        <v>4404</v>
      </c>
      <c r="B2663" t="str">
        <f t="shared" si="248"/>
        <v>1F7E3 ; fully-qualified # 🟣 E12.0 purple circle</v>
      </c>
      <c r="C2663" t="str">
        <f t="shared" si="249"/>
        <v xml:space="preserve">1F7E3 </v>
      </c>
      <c r="D2663">
        <f t="shared" si="250"/>
        <v>6</v>
      </c>
      <c r="E2663" t="str">
        <f t="shared" si="246"/>
        <v xml:space="preserve"> 🟣 E12.0 purple circle</v>
      </c>
      <c r="F2663" t="b">
        <f t="shared" si="251"/>
        <v>1</v>
      </c>
      <c r="G2663" t="str">
        <f t="shared" si="247"/>
        <v>1F7E3</v>
      </c>
      <c r="I2663">
        <f>HEX2DEC(Table1[[#This Row],[utf8]])</f>
        <v>128995</v>
      </c>
      <c r="J2663" t="str">
        <f>_xlfn.UNICHAR(HEX2DEC(Table1[[#This Row],[utf8]]))</f>
        <v>🟣</v>
      </c>
      <c r="K2663" s="3" t="str" cm="1">
        <f t="array" ref="K2663">"Case "&amp;wRandomLetter()&amp;wRandomLetter()&amp;I2663&amp;":    UniConst = ChrW(" &amp; I2663 &amp;")"</f>
        <v>Case oW128995:    UniConst = ChrW(128995)</v>
      </c>
    </row>
    <row r="2664" spans="1:11" hidden="1">
      <c r="A2664" t="s">
        <v>4405</v>
      </c>
      <c r="B2664" t="str">
        <f t="shared" si="248"/>
        <v>1F7E4 ; fully-qualified # 🟤 E12.0 brown circle</v>
      </c>
      <c r="C2664" t="str">
        <f t="shared" si="249"/>
        <v xml:space="preserve">1F7E4 </v>
      </c>
      <c r="D2664">
        <f t="shared" si="250"/>
        <v>6</v>
      </c>
      <c r="E2664" t="str">
        <f t="shared" si="246"/>
        <v xml:space="preserve"> 🟤 E12.0 brown circle</v>
      </c>
      <c r="F2664" t="b">
        <f t="shared" si="251"/>
        <v>1</v>
      </c>
      <c r="G2664" t="str">
        <f t="shared" si="247"/>
        <v>1F7E4</v>
      </c>
      <c r="I2664">
        <f>HEX2DEC(Table1[[#This Row],[utf8]])</f>
        <v>128996</v>
      </c>
      <c r="J2664" t="str">
        <f>_xlfn.UNICHAR(HEX2DEC(Table1[[#This Row],[utf8]]))</f>
        <v>🟤</v>
      </c>
      <c r="K2664" s="3" t="str" cm="1">
        <f t="array" ref="K2664">"Case "&amp;wRandomLetter()&amp;wRandomLetter()&amp;I2664&amp;":    UniConst = ChrW(" &amp; I2664 &amp;")"</f>
        <v>Case Sd128996:    UniConst = ChrW(128996)</v>
      </c>
    </row>
    <row r="2665" spans="1:11" hidden="1">
      <c r="A2665" t="s">
        <v>4408</v>
      </c>
      <c r="B2665" t="str">
        <f t="shared" si="248"/>
        <v>1F7E5 ; fully-qualified # 🟥 E12.0 red square</v>
      </c>
      <c r="C2665" t="str">
        <f t="shared" si="249"/>
        <v xml:space="preserve">1F7E5 </v>
      </c>
      <c r="D2665">
        <f t="shared" si="250"/>
        <v>6</v>
      </c>
      <c r="E2665" t="str">
        <f t="shared" si="246"/>
        <v xml:space="preserve"> 🟥 E12.0 red square</v>
      </c>
      <c r="F2665" t="b">
        <f t="shared" si="251"/>
        <v>1</v>
      </c>
      <c r="G2665" t="str">
        <f t="shared" si="247"/>
        <v>1F7E5</v>
      </c>
      <c r="I2665">
        <f>HEX2DEC(Table1[[#This Row],[utf8]])</f>
        <v>128997</v>
      </c>
      <c r="J2665" t="str">
        <f>_xlfn.UNICHAR(HEX2DEC(Table1[[#This Row],[utf8]]))</f>
        <v>🟥</v>
      </c>
      <c r="K2665" s="3" t="str" cm="1">
        <f t="array" ref="K2665">"Case "&amp;wRandomLetter()&amp;wRandomLetter()&amp;I2665&amp;":    UniConst = ChrW(" &amp; I2665 &amp;")"</f>
        <v>Case cR128997:    UniConst = ChrW(128997)</v>
      </c>
    </row>
    <row r="2666" spans="1:11" hidden="1">
      <c r="A2666" t="s">
        <v>4412</v>
      </c>
      <c r="B2666" t="str">
        <f t="shared" si="248"/>
        <v>1F7E6 ; fully-qualified # 🟦 E12.0 blue square</v>
      </c>
      <c r="C2666" t="str">
        <f t="shared" si="249"/>
        <v xml:space="preserve">1F7E6 </v>
      </c>
      <c r="D2666">
        <f t="shared" si="250"/>
        <v>6</v>
      </c>
      <c r="E2666" t="str">
        <f t="shared" si="246"/>
        <v xml:space="preserve"> 🟦 E12.0 blue square</v>
      </c>
      <c r="F2666" t="b">
        <f t="shared" si="251"/>
        <v>1</v>
      </c>
      <c r="G2666" t="str">
        <f t="shared" si="247"/>
        <v>1F7E6</v>
      </c>
      <c r="I2666">
        <f>HEX2DEC(Table1[[#This Row],[utf8]])</f>
        <v>128998</v>
      </c>
      <c r="J2666" t="str">
        <f>_xlfn.UNICHAR(HEX2DEC(Table1[[#This Row],[utf8]]))</f>
        <v>🟦</v>
      </c>
      <c r="K2666" s="3" t="str" cm="1">
        <f t="array" ref="K2666">"Case "&amp;wRandomLetter()&amp;wRandomLetter()&amp;I2666&amp;":    UniConst = ChrW(" &amp; I2666 &amp;")"</f>
        <v>Case Km128998:    UniConst = ChrW(128998)</v>
      </c>
    </row>
    <row r="2667" spans="1:11" hidden="1">
      <c r="A2667" t="s">
        <v>4409</v>
      </c>
      <c r="B2667" t="str">
        <f t="shared" si="248"/>
        <v>1F7E7 ; fully-qualified # 🟧 E12.0 orange square</v>
      </c>
      <c r="C2667" t="str">
        <f t="shared" si="249"/>
        <v xml:space="preserve">1F7E7 </v>
      </c>
      <c r="D2667">
        <f t="shared" si="250"/>
        <v>6</v>
      </c>
      <c r="E2667" t="str">
        <f t="shared" si="246"/>
        <v xml:space="preserve"> 🟧 E12.0 orange square</v>
      </c>
      <c r="F2667" t="b">
        <f t="shared" si="251"/>
        <v>1</v>
      </c>
      <c r="G2667" t="str">
        <f t="shared" si="247"/>
        <v>1F7E7</v>
      </c>
      <c r="I2667">
        <f>HEX2DEC(Table1[[#This Row],[utf8]])</f>
        <v>128999</v>
      </c>
      <c r="J2667" t="str">
        <f>_xlfn.UNICHAR(HEX2DEC(Table1[[#This Row],[utf8]]))</f>
        <v>🟧</v>
      </c>
      <c r="K2667" s="3" t="str" cm="1">
        <f t="array" ref="K2667">"Case "&amp;wRandomLetter()&amp;wRandomLetter()&amp;I2667&amp;":    UniConst = ChrW(" &amp; I2667 &amp;")"</f>
        <v>Case iZ128999:    UniConst = ChrW(128999)</v>
      </c>
    </row>
    <row r="2668" spans="1:11" hidden="1">
      <c r="A2668" t="s">
        <v>4410</v>
      </c>
      <c r="B2668" t="str">
        <f t="shared" si="248"/>
        <v>1F7E8 ; fully-qualified # 🟨 E12.0 yellow square</v>
      </c>
      <c r="C2668" t="str">
        <f t="shared" si="249"/>
        <v xml:space="preserve">1F7E8 </v>
      </c>
      <c r="D2668">
        <f t="shared" si="250"/>
        <v>6</v>
      </c>
      <c r="E2668" t="str">
        <f t="shared" si="246"/>
        <v xml:space="preserve"> 🟨 E12.0 yellow square</v>
      </c>
      <c r="F2668" t="b">
        <f t="shared" si="251"/>
        <v>1</v>
      </c>
      <c r="G2668" t="str">
        <f t="shared" si="247"/>
        <v>1F7E8</v>
      </c>
      <c r="I2668">
        <f>HEX2DEC(Table1[[#This Row],[utf8]])</f>
        <v>129000</v>
      </c>
      <c r="J2668" t="str">
        <f>_xlfn.UNICHAR(HEX2DEC(Table1[[#This Row],[utf8]]))</f>
        <v>🟨</v>
      </c>
      <c r="K2668" s="3" t="str" cm="1">
        <f t="array" ref="K2668">"Case "&amp;wRandomLetter()&amp;wRandomLetter()&amp;I2668&amp;":    UniConst = ChrW(" &amp; I2668 &amp;")"</f>
        <v>Case Wq129000:    UniConst = ChrW(129000)</v>
      </c>
    </row>
    <row r="2669" spans="1:11" hidden="1">
      <c r="A2669" t="s">
        <v>4411</v>
      </c>
      <c r="B2669" t="str">
        <f t="shared" si="248"/>
        <v>1F7E9 ; fully-qualified # 🟩 E12.0 green square</v>
      </c>
      <c r="C2669" t="str">
        <f t="shared" si="249"/>
        <v xml:space="preserve">1F7E9 </v>
      </c>
      <c r="D2669">
        <f t="shared" si="250"/>
        <v>6</v>
      </c>
      <c r="E2669" t="str">
        <f t="shared" si="246"/>
        <v xml:space="preserve"> 🟩 E12.0 green square</v>
      </c>
      <c r="F2669" t="b">
        <f t="shared" si="251"/>
        <v>1</v>
      </c>
      <c r="G2669" t="str">
        <f t="shared" si="247"/>
        <v>1F7E9</v>
      </c>
      <c r="I2669">
        <f>HEX2DEC(Table1[[#This Row],[utf8]])</f>
        <v>129001</v>
      </c>
      <c r="J2669" t="str">
        <f>_xlfn.UNICHAR(HEX2DEC(Table1[[#This Row],[utf8]]))</f>
        <v>🟩</v>
      </c>
      <c r="K2669" s="3" t="str" cm="1">
        <f t="array" ref="K2669">"Case "&amp;wRandomLetter()&amp;wRandomLetter()&amp;I2669&amp;":    UniConst = ChrW(" &amp; I2669 &amp;")"</f>
        <v>Case yr129001:    UniConst = ChrW(129001)</v>
      </c>
    </row>
    <row r="2670" spans="1:11" hidden="1">
      <c r="A2670" t="s">
        <v>4413</v>
      </c>
      <c r="B2670" t="str">
        <f t="shared" si="248"/>
        <v>1F7EA ; fully-qualified # 🟪 E12.0 purple square</v>
      </c>
      <c r="C2670" t="str">
        <f t="shared" si="249"/>
        <v xml:space="preserve">1F7EA </v>
      </c>
      <c r="D2670">
        <f t="shared" si="250"/>
        <v>6</v>
      </c>
      <c r="E2670" t="str">
        <f t="shared" si="246"/>
        <v xml:space="preserve"> 🟪 E12.0 purple square</v>
      </c>
      <c r="F2670" t="b">
        <f t="shared" si="251"/>
        <v>1</v>
      </c>
      <c r="G2670" t="str">
        <f t="shared" si="247"/>
        <v>1F7EA</v>
      </c>
      <c r="I2670">
        <f>HEX2DEC(Table1[[#This Row],[utf8]])</f>
        <v>129002</v>
      </c>
      <c r="J2670" t="str">
        <f>_xlfn.UNICHAR(HEX2DEC(Table1[[#This Row],[utf8]]))</f>
        <v>🟪</v>
      </c>
      <c r="K2670" s="3" t="str" cm="1">
        <f t="array" ref="K2670">"Case "&amp;wRandomLetter()&amp;wRandomLetter()&amp;I2670&amp;":    UniConst = ChrW(" &amp; I2670 &amp;")"</f>
        <v>Case EF129002:    UniConst = ChrW(129002)</v>
      </c>
    </row>
    <row r="2671" spans="1:11" hidden="1">
      <c r="A2671" t="s">
        <v>4414</v>
      </c>
      <c r="B2671" t="str">
        <f t="shared" si="248"/>
        <v>1F7EB ; fully-qualified # 🟫 E12.0 brown square</v>
      </c>
      <c r="C2671" t="str">
        <f t="shared" si="249"/>
        <v xml:space="preserve">1F7EB </v>
      </c>
      <c r="D2671">
        <f t="shared" si="250"/>
        <v>6</v>
      </c>
      <c r="E2671" t="str">
        <f t="shared" si="246"/>
        <v xml:space="preserve"> 🟫 E12.0 brown square</v>
      </c>
      <c r="F2671" t="b">
        <f t="shared" si="251"/>
        <v>1</v>
      </c>
      <c r="G2671" t="str">
        <f t="shared" si="247"/>
        <v>1F7EB</v>
      </c>
      <c r="I2671">
        <f>HEX2DEC(Table1[[#This Row],[utf8]])</f>
        <v>129003</v>
      </c>
      <c r="J2671" t="str">
        <f>_xlfn.UNICHAR(HEX2DEC(Table1[[#This Row],[utf8]]))</f>
        <v>🟫</v>
      </c>
      <c r="K2671" s="3" t="str" cm="1">
        <f t="array" ref="K2671">"Case "&amp;wRandomLetter()&amp;wRandomLetter()&amp;I2671&amp;":    UniConst = ChrW(" &amp; I2671 &amp;")"</f>
        <v>Case Lv129003:    UniConst = ChrW(129003)</v>
      </c>
    </row>
    <row r="2672" spans="1:11" hidden="1">
      <c r="A2672" t="s">
        <v>228</v>
      </c>
      <c r="B2672" t="str">
        <f t="shared" si="248"/>
        <v>1F90C ; fully-qualified # 🤌 E13.0 pinched fingers</v>
      </c>
      <c r="C2672" t="str">
        <f t="shared" si="249"/>
        <v xml:space="preserve">1F90C </v>
      </c>
      <c r="D2672">
        <f t="shared" si="250"/>
        <v>6</v>
      </c>
      <c r="E2672" t="str">
        <f t="shared" si="246"/>
        <v xml:space="preserve"> 🤌 E13.0 pinched fingers</v>
      </c>
      <c r="F2672" t="b">
        <f t="shared" si="251"/>
        <v>1</v>
      </c>
      <c r="G2672" t="str">
        <f t="shared" si="247"/>
        <v>1F90C</v>
      </c>
      <c r="I2672">
        <f>HEX2DEC(Table1[[#This Row],[utf8]])</f>
        <v>129292</v>
      </c>
      <c r="J2672" t="str">
        <f>_xlfn.UNICHAR(HEX2DEC(Table1[[#This Row],[utf8]]))</f>
        <v>🤌</v>
      </c>
      <c r="K2672" s="3" t="str" cm="1">
        <f t="array" ref="K2672">"Case "&amp;wRandomLetter()&amp;wRandomLetter()&amp;I2672&amp;":    UniConst = ChrW(" &amp; I2672 &amp;")"</f>
        <v>Case Gg129292:    UniConst = ChrW(129292)</v>
      </c>
    </row>
    <row r="2673" spans="1:11" hidden="1">
      <c r="A2673" t="s">
        <v>229</v>
      </c>
      <c r="B2673" t="str">
        <f t="shared" si="248"/>
        <v>1F90C 1F3FB ; fully-qualified # 🤌🏻 E13.0 pinched fingers: light skin tone</v>
      </c>
      <c r="C2673" t="str">
        <f t="shared" si="249"/>
        <v xml:space="preserve">1F90C 1F3FB </v>
      </c>
      <c r="D2673">
        <f t="shared" si="250"/>
        <v>12</v>
      </c>
      <c r="E2673" t="str">
        <f t="shared" si="246"/>
        <v xml:space="preserve"> 🤌🏻 E13.0 pinched fingers: light skin tone</v>
      </c>
      <c r="F2673" t="b">
        <f t="shared" si="251"/>
        <v>1</v>
      </c>
      <c r="G2673" t="str">
        <f t="shared" si="247"/>
        <v>1F90C</v>
      </c>
      <c r="I2673">
        <f>HEX2DEC(Table1[[#This Row],[utf8]])</f>
        <v>129292</v>
      </c>
      <c r="J2673" t="str">
        <f>_xlfn.UNICHAR(HEX2DEC(Table1[[#This Row],[utf8]]))</f>
        <v>🤌</v>
      </c>
      <c r="K2673" s="3" t="str" cm="1">
        <f t="array" ref="K2673">"Case "&amp;wRandomLetter()&amp;wRandomLetter()&amp;I2673&amp;":    UniConst = ChrW(" &amp; I2673 &amp;")"</f>
        <v>Case Pi129292:    UniConst = ChrW(129292)</v>
      </c>
    </row>
    <row r="2674" spans="1:11" hidden="1">
      <c r="A2674" t="s">
        <v>230</v>
      </c>
      <c r="B2674" t="str">
        <f t="shared" si="248"/>
        <v>1F90C 1F3FC ; fully-qualified # 🤌🏼 E13.0 pinched fingers: medium-light skin tone</v>
      </c>
      <c r="C2674" t="str">
        <f t="shared" si="249"/>
        <v xml:space="preserve">1F90C 1F3FC </v>
      </c>
      <c r="D2674">
        <f t="shared" si="250"/>
        <v>12</v>
      </c>
      <c r="E2674" t="str">
        <f t="shared" si="246"/>
        <v xml:space="preserve"> 🤌🏼 E13.0 pinched fingers: medium-light skin tone</v>
      </c>
      <c r="F2674" t="b">
        <f t="shared" si="251"/>
        <v>1</v>
      </c>
      <c r="G2674" t="str">
        <f t="shared" si="247"/>
        <v>1F90C</v>
      </c>
      <c r="I2674">
        <f>HEX2DEC(Table1[[#This Row],[utf8]])</f>
        <v>129292</v>
      </c>
      <c r="J2674" t="str">
        <f>_xlfn.UNICHAR(HEX2DEC(Table1[[#This Row],[utf8]]))</f>
        <v>🤌</v>
      </c>
      <c r="K2674" s="3" t="str" cm="1">
        <f t="array" ref="K2674">"Case "&amp;wRandomLetter()&amp;wRandomLetter()&amp;I2674&amp;":    UniConst = ChrW(" &amp; I2674 &amp;")"</f>
        <v>Case ye129292:    UniConst = ChrW(129292)</v>
      </c>
    </row>
    <row r="2675" spans="1:11" hidden="1">
      <c r="A2675" t="s">
        <v>231</v>
      </c>
      <c r="B2675" t="str">
        <f t="shared" si="248"/>
        <v>1F90C 1F3FD ; fully-qualified # 🤌🏽 E13.0 pinched fingers: medium skin tone</v>
      </c>
      <c r="C2675" t="str">
        <f t="shared" si="249"/>
        <v xml:space="preserve">1F90C 1F3FD </v>
      </c>
      <c r="D2675">
        <f t="shared" si="250"/>
        <v>12</v>
      </c>
      <c r="E2675" t="str">
        <f t="shared" si="246"/>
        <v xml:space="preserve"> 🤌🏽 E13.0 pinched fingers: medium skin tone</v>
      </c>
      <c r="F2675" t="b">
        <f t="shared" si="251"/>
        <v>1</v>
      </c>
      <c r="G2675" t="str">
        <f t="shared" si="247"/>
        <v>1F90C</v>
      </c>
      <c r="I2675">
        <f>HEX2DEC(Table1[[#This Row],[utf8]])</f>
        <v>129292</v>
      </c>
      <c r="J2675" t="str">
        <f>_xlfn.UNICHAR(HEX2DEC(Table1[[#This Row],[utf8]]))</f>
        <v>🤌</v>
      </c>
      <c r="K2675" s="3" t="str" cm="1">
        <f t="array" ref="K2675">"Case "&amp;wRandomLetter()&amp;wRandomLetter()&amp;I2675&amp;":    UniConst = ChrW(" &amp; I2675 &amp;")"</f>
        <v>Case Bd129292:    UniConst = ChrW(129292)</v>
      </c>
    </row>
    <row r="2676" spans="1:11" hidden="1">
      <c r="A2676" t="s">
        <v>232</v>
      </c>
      <c r="B2676" t="str">
        <f t="shared" si="248"/>
        <v>1F90C 1F3FE ; fully-qualified # 🤌🏾 E13.0 pinched fingers: medium-dark skin tone</v>
      </c>
      <c r="C2676" t="str">
        <f t="shared" si="249"/>
        <v xml:space="preserve">1F90C 1F3FE </v>
      </c>
      <c r="D2676">
        <f t="shared" si="250"/>
        <v>12</v>
      </c>
      <c r="E2676" t="str">
        <f t="shared" si="246"/>
        <v xml:space="preserve"> 🤌🏾 E13.0 pinched fingers: medium-dark skin tone</v>
      </c>
      <c r="F2676" t="b">
        <f t="shared" si="251"/>
        <v>1</v>
      </c>
      <c r="G2676" t="str">
        <f t="shared" si="247"/>
        <v>1F90C</v>
      </c>
      <c r="I2676">
        <f>HEX2DEC(Table1[[#This Row],[utf8]])</f>
        <v>129292</v>
      </c>
      <c r="J2676" t="str">
        <f>_xlfn.UNICHAR(HEX2DEC(Table1[[#This Row],[utf8]]))</f>
        <v>🤌</v>
      </c>
      <c r="K2676" s="3" t="str" cm="1">
        <f t="array" ref="K2676">"Case "&amp;wRandomLetter()&amp;wRandomLetter()&amp;I2676&amp;":    UniConst = ChrW(" &amp; I2676 &amp;")"</f>
        <v>Case bd129292:    UniConst = ChrW(129292)</v>
      </c>
    </row>
    <row r="2677" spans="1:11" hidden="1">
      <c r="A2677" t="s">
        <v>233</v>
      </c>
      <c r="B2677" t="str">
        <f t="shared" si="248"/>
        <v>1F90C 1F3FF ; fully-qualified # 🤌🏿 E13.0 pinched fingers: dark skin tone</v>
      </c>
      <c r="C2677" t="str">
        <f t="shared" si="249"/>
        <v xml:space="preserve">1F90C 1F3FF </v>
      </c>
      <c r="D2677">
        <f t="shared" si="250"/>
        <v>12</v>
      </c>
      <c r="E2677" t="str">
        <f t="shared" si="246"/>
        <v xml:space="preserve"> 🤌🏿 E13.0 pinched fingers: dark skin tone</v>
      </c>
      <c r="F2677" t="b">
        <f t="shared" si="251"/>
        <v>1</v>
      </c>
      <c r="G2677" t="str">
        <f t="shared" si="247"/>
        <v>1F90C</v>
      </c>
      <c r="I2677">
        <f>HEX2DEC(Table1[[#This Row],[utf8]])</f>
        <v>129292</v>
      </c>
      <c r="J2677" t="str">
        <f>_xlfn.UNICHAR(HEX2DEC(Table1[[#This Row],[utf8]]))</f>
        <v>🤌</v>
      </c>
      <c r="K2677" s="3" t="str" cm="1">
        <f t="array" ref="K2677">"Case "&amp;wRandomLetter()&amp;wRandomLetter()&amp;I2677&amp;":    UniConst = ChrW(" &amp; I2677 &amp;")"</f>
        <v>Case tw129292:    UniConst = ChrW(129292)</v>
      </c>
    </row>
    <row r="2678" spans="1:11" hidden="1">
      <c r="A2678" t="s">
        <v>165</v>
      </c>
      <c r="B2678" t="str">
        <f t="shared" si="248"/>
        <v>1F90D ; fully-qualified # 🤍 E12.0 white heart</v>
      </c>
      <c r="C2678" t="str">
        <f t="shared" si="249"/>
        <v xml:space="preserve">1F90D </v>
      </c>
      <c r="D2678">
        <f t="shared" si="250"/>
        <v>6</v>
      </c>
      <c r="E2678" t="str">
        <f t="shared" si="246"/>
        <v xml:space="preserve"> 🤍 E12.0 white heart</v>
      </c>
      <c r="F2678" t="b">
        <f t="shared" si="251"/>
        <v>1</v>
      </c>
      <c r="G2678" t="str">
        <f t="shared" si="247"/>
        <v>1F90D</v>
      </c>
      <c r="I2678">
        <f>HEX2DEC(Table1[[#This Row],[utf8]])</f>
        <v>129293</v>
      </c>
      <c r="J2678" t="str">
        <f>_xlfn.UNICHAR(HEX2DEC(Table1[[#This Row],[utf8]]))</f>
        <v>🤍</v>
      </c>
      <c r="K2678" s="3" t="str" cm="1">
        <f t="array" ref="K2678">"Case "&amp;wRandomLetter()&amp;wRandomLetter()&amp;I2678&amp;":    UniConst = ChrW(" &amp; I2678 &amp;")"</f>
        <v>Case sO129293:    UniConst = ChrW(129293)</v>
      </c>
    </row>
    <row r="2679" spans="1:11" hidden="1">
      <c r="A2679" t="s">
        <v>163</v>
      </c>
      <c r="B2679" t="str">
        <f t="shared" si="248"/>
        <v>1F90E ; fully-qualified # 🤎 E12.0 brown heart</v>
      </c>
      <c r="C2679" t="str">
        <f t="shared" si="249"/>
        <v xml:space="preserve">1F90E </v>
      </c>
      <c r="D2679">
        <f t="shared" si="250"/>
        <v>6</v>
      </c>
      <c r="E2679" t="str">
        <f t="shared" si="246"/>
        <v xml:space="preserve"> 🤎 E12.0 brown heart</v>
      </c>
      <c r="F2679" t="b">
        <f t="shared" si="251"/>
        <v>1</v>
      </c>
      <c r="G2679" t="str">
        <f t="shared" si="247"/>
        <v>1F90E</v>
      </c>
      <c r="I2679">
        <f>HEX2DEC(Table1[[#This Row],[utf8]])</f>
        <v>129294</v>
      </c>
      <c r="J2679" t="str">
        <f>_xlfn.UNICHAR(HEX2DEC(Table1[[#This Row],[utf8]]))</f>
        <v>🤎</v>
      </c>
      <c r="K2679" s="3" t="str" cm="1">
        <f t="array" ref="K2679">"Case "&amp;wRandomLetter()&amp;wRandomLetter()&amp;I2679&amp;":    UniConst = ChrW(" &amp; I2679 &amp;")"</f>
        <v>Case UL129294:    UniConst = ChrW(129294)</v>
      </c>
    </row>
    <row r="2680" spans="1:11" hidden="1">
      <c r="A2680" t="s">
        <v>234</v>
      </c>
      <c r="B2680" t="str">
        <f t="shared" si="248"/>
        <v>1F90F ; fully-qualified # 🤏 E12.0 pinching hand</v>
      </c>
      <c r="C2680" t="str">
        <f t="shared" si="249"/>
        <v xml:space="preserve">1F90F </v>
      </c>
      <c r="D2680">
        <f t="shared" si="250"/>
        <v>6</v>
      </c>
      <c r="E2680" t="str">
        <f t="shared" si="246"/>
        <v xml:space="preserve"> 🤏 E12.0 pinching hand</v>
      </c>
      <c r="F2680" t="b">
        <f t="shared" si="251"/>
        <v>1</v>
      </c>
      <c r="G2680" t="str">
        <f t="shared" si="247"/>
        <v>1F90F</v>
      </c>
      <c r="I2680">
        <f>HEX2DEC(Table1[[#This Row],[utf8]])</f>
        <v>129295</v>
      </c>
      <c r="J2680" t="str">
        <f>_xlfn.UNICHAR(HEX2DEC(Table1[[#This Row],[utf8]]))</f>
        <v>🤏</v>
      </c>
      <c r="K2680" s="3" t="str" cm="1">
        <f t="array" ref="K2680">"Case "&amp;wRandomLetter()&amp;wRandomLetter()&amp;I2680&amp;":    UniConst = ChrW(" &amp; I2680 &amp;")"</f>
        <v>Case CX129295:    UniConst = ChrW(129295)</v>
      </c>
    </row>
    <row r="2681" spans="1:11" hidden="1">
      <c r="A2681" t="s">
        <v>235</v>
      </c>
      <c r="B2681" t="str">
        <f t="shared" si="248"/>
        <v>1F90F 1F3FB ; fully-qualified # 🤏🏻 E12.0 pinching hand: light skin tone</v>
      </c>
      <c r="C2681" t="str">
        <f t="shared" si="249"/>
        <v xml:space="preserve">1F90F 1F3FB </v>
      </c>
      <c r="D2681">
        <f t="shared" si="250"/>
        <v>12</v>
      </c>
      <c r="E2681" t="str">
        <f t="shared" si="246"/>
        <v xml:space="preserve"> 🤏🏻 E12.0 pinching hand: light skin tone</v>
      </c>
      <c r="F2681" t="b">
        <f t="shared" si="251"/>
        <v>1</v>
      </c>
      <c r="G2681" t="str">
        <f t="shared" si="247"/>
        <v>1F90F</v>
      </c>
      <c r="I2681">
        <f>HEX2DEC(Table1[[#This Row],[utf8]])</f>
        <v>129295</v>
      </c>
      <c r="J2681" t="str">
        <f>_xlfn.UNICHAR(HEX2DEC(Table1[[#This Row],[utf8]]))</f>
        <v>🤏</v>
      </c>
      <c r="K2681" s="3" t="str" cm="1">
        <f t="array" ref="K2681">"Case "&amp;wRandomLetter()&amp;wRandomLetter()&amp;I2681&amp;":    UniConst = ChrW(" &amp; I2681 &amp;")"</f>
        <v>Case XE129295:    UniConst = ChrW(129295)</v>
      </c>
    </row>
    <row r="2682" spans="1:11" hidden="1">
      <c r="A2682" t="s">
        <v>236</v>
      </c>
      <c r="B2682" t="str">
        <f t="shared" si="248"/>
        <v>1F90F 1F3FC ; fully-qualified # 🤏🏼 E12.0 pinching hand: medium-light skin tone</v>
      </c>
      <c r="C2682" t="str">
        <f t="shared" si="249"/>
        <v xml:space="preserve">1F90F 1F3FC </v>
      </c>
      <c r="D2682">
        <f t="shared" si="250"/>
        <v>12</v>
      </c>
      <c r="E2682" t="str">
        <f t="shared" si="246"/>
        <v xml:space="preserve"> 🤏🏼 E12.0 pinching hand: medium-light skin tone</v>
      </c>
      <c r="F2682" t="b">
        <f t="shared" si="251"/>
        <v>1</v>
      </c>
      <c r="G2682" t="str">
        <f t="shared" si="247"/>
        <v>1F90F</v>
      </c>
      <c r="I2682">
        <f>HEX2DEC(Table1[[#This Row],[utf8]])</f>
        <v>129295</v>
      </c>
      <c r="J2682" t="str">
        <f>_xlfn.UNICHAR(HEX2DEC(Table1[[#This Row],[utf8]]))</f>
        <v>🤏</v>
      </c>
      <c r="K2682" s="3" t="str" cm="1">
        <f t="array" ref="K2682">"Case "&amp;wRandomLetter()&amp;wRandomLetter()&amp;I2682&amp;":    UniConst = ChrW(" &amp; I2682 &amp;")"</f>
        <v>Case Dw129295:    UniConst = ChrW(129295)</v>
      </c>
    </row>
    <row r="2683" spans="1:11" hidden="1">
      <c r="A2683" t="s">
        <v>237</v>
      </c>
      <c r="B2683" t="str">
        <f t="shared" si="248"/>
        <v>1F90F 1F3FD ; fully-qualified # 🤏🏽 E12.0 pinching hand: medium skin tone</v>
      </c>
      <c r="C2683" t="str">
        <f t="shared" si="249"/>
        <v xml:space="preserve">1F90F 1F3FD </v>
      </c>
      <c r="D2683">
        <f t="shared" si="250"/>
        <v>12</v>
      </c>
      <c r="E2683" t="str">
        <f t="shared" si="246"/>
        <v xml:space="preserve"> 🤏🏽 E12.0 pinching hand: medium skin tone</v>
      </c>
      <c r="F2683" t="b">
        <f t="shared" si="251"/>
        <v>1</v>
      </c>
      <c r="G2683" t="str">
        <f t="shared" si="247"/>
        <v>1F90F</v>
      </c>
      <c r="I2683">
        <f>HEX2DEC(Table1[[#This Row],[utf8]])</f>
        <v>129295</v>
      </c>
      <c r="J2683" t="str">
        <f>_xlfn.UNICHAR(HEX2DEC(Table1[[#This Row],[utf8]]))</f>
        <v>🤏</v>
      </c>
      <c r="K2683" s="3" t="str" cm="1">
        <f t="array" ref="K2683">"Case "&amp;wRandomLetter()&amp;wRandomLetter()&amp;I2683&amp;":    UniConst = ChrW(" &amp; I2683 &amp;")"</f>
        <v>Case zb129295:    UniConst = ChrW(129295)</v>
      </c>
    </row>
    <row r="2684" spans="1:11" hidden="1">
      <c r="A2684" t="s">
        <v>238</v>
      </c>
      <c r="B2684" t="str">
        <f t="shared" si="248"/>
        <v>1F90F 1F3FE ; fully-qualified # 🤏🏾 E12.0 pinching hand: medium-dark skin tone</v>
      </c>
      <c r="C2684" t="str">
        <f t="shared" si="249"/>
        <v xml:space="preserve">1F90F 1F3FE </v>
      </c>
      <c r="D2684">
        <f t="shared" si="250"/>
        <v>12</v>
      </c>
      <c r="E2684" t="str">
        <f t="shared" si="246"/>
        <v xml:space="preserve"> 🤏🏾 E12.0 pinching hand: medium-dark skin tone</v>
      </c>
      <c r="F2684" t="b">
        <f t="shared" si="251"/>
        <v>1</v>
      </c>
      <c r="G2684" t="str">
        <f t="shared" si="247"/>
        <v>1F90F</v>
      </c>
      <c r="I2684">
        <f>HEX2DEC(Table1[[#This Row],[utf8]])</f>
        <v>129295</v>
      </c>
      <c r="J2684" t="str">
        <f>_xlfn.UNICHAR(HEX2DEC(Table1[[#This Row],[utf8]]))</f>
        <v>🤏</v>
      </c>
      <c r="K2684" s="3" t="str" cm="1">
        <f t="array" ref="K2684">"Case "&amp;wRandomLetter()&amp;wRandomLetter()&amp;I2684&amp;":    UniConst = ChrW(" &amp; I2684 &amp;")"</f>
        <v>Case lA129295:    UniConst = ChrW(129295)</v>
      </c>
    </row>
    <row r="2685" spans="1:11" hidden="1">
      <c r="A2685" t="s">
        <v>239</v>
      </c>
      <c r="B2685" t="str">
        <f t="shared" si="248"/>
        <v>1F90F 1F3FF ; fully-qualified # 🤏🏿 E12.0 pinching hand: dark skin tone</v>
      </c>
      <c r="C2685" t="str">
        <f t="shared" si="249"/>
        <v xml:space="preserve">1F90F 1F3FF </v>
      </c>
      <c r="D2685">
        <f t="shared" si="250"/>
        <v>12</v>
      </c>
      <c r="E2685" t="str">
        <f t="shared" si="246"/>
        <v xml:space="preserve"> 🤏🏿 E12.0 pinching hand: dark skin tone</v>
      </c>
      <c r="F2685" t="b">
        <f t="shared" si="251"/>
        <v>1</v>
      </c>
      <c r="G2685" t="str">
        <f t="shared" si="247"/>
        <v>1F90F</v>
      </c>
      <c r="I2685">
        <f>HEX2DEC(Table1[[#This Row],[utf8]])</f>
        <v>129295</v>
      </c>
      <c r="J2685" t="str">
        <f>_xlfn.UNICHAR(HEX2DEC(Table1[[#This Row],[utf8]]))</f>
        <v>🤏</v>
      </c>
      <c r="K2685" s="3" t="str" cm="1">
        <f t="array" ref="K2685">"Case "&amp;wRandomLetter()&amp;wRandomLetter()&amp;I2685&amp;":    UniConst = ChrW(" &amp; I2685 &amp;")"</f>
        <v>Case XU129295:    UniConst = ChrW(129295)</v>
      </c>
    </row>
    <row r="2686" spans="1:11" hidden="1">
      <c r="A2686" t="s">
        <v>39</v>
      </c>
      <c r="B2686" t="str">
        <f t="shared" si="248"/>
        <v>1F910 ; fully-qualified # 🤐 E1.0 zipper-mouth face</v>
      </c>
      <c r="C2686" t="str">
        <f t="shared" si="249"/>
        <v xml:space="preserve">1F910 </v>
      </c>
      <c r="D2686">
        <f t="shared" si="250"/>
        <v>6</v>
      </c>
      <c r="E2686" t="str">
        <f t="shared" si="246"/>
        <v xml:space="preserve"> 🤐 E1.0 zipper-mouth face</v>
      </c>
      <c r="F2686" t="b">
        <f t="shared" si="251"/>
        <v>1</v>
      </c>
      <c r="G2686" t="str">
        <f t="shared" si="247"/>
        <v>1F910</v>
      </c>
      <c r="I2686">
        <f>HEX2DEC(Table1[[#This Row],[utf8]])</f>
        <v>129296</v>
      </c>
      <c r="J2686" t="str">
        <f>_xlfn.UNICHAR(HEX2DEC(Table1[[#This Row],[utf8]]))</f>
        <v>🤐</v>
      </c>
      <c r="K2686" s="3" t="str" cm="1">
        <f t="array" ref="K2686">"Case "&amp;wRandomLetter()&amp;wRandomLetter()&amp;I2686&amp;":    UniConst = ChrW(" &amp; I2686 &amp;")"</f>
        <v>Case cE129296:    UniConst = ChrW(129296)</v>
      </c>
    </row>
    <row r="2687" spans="1:11" hidden="1">
      <c r="A2687" t="s">
        <v>32</v>
      </c>
      <c r="B2687" t="str">
        <f t="shared" si="248"/>
        <v>1F911 ; fully-qualified # 🤑 E1.0 money-mouth face</v>
      </c>
      <c r="C2687" t="str">
        <f t="shared" si="249"/>
        <v xml:space="preserve">1F911 </v>
      </c>
      <c r="D2687">
        <f t="shared" si="250"/>
        <v>6</v>
      </c>
      <c r="E2687" t="str">
        <f t="shared" si="246"/>
        <v xml:space="preserve"> 🤑 E1.0 money-mouth face</v>
      </c>
      <c r="F2687" t="b">
        <f t="shared" si="251"/>
        <v>1</v>
      </c>
      <c r="G2687" t="str">
        <f t="shared" si="247"/>
        <v>1F911</v>
      </c>
      <c r="I2687">
        <f>HEX2DEC(Table1[[#This Row],[utf8]])</f>
        <v>129297</v>
      </c>
      <c r="J2687" t="str">
        <f>_xlfn.UNICHAR(HEX2DEC(Table1[[#This Row],[utf8]]))</f>
        <v>🤑</v>
      </c>
      <c r="K2687" s="3" t="str" cm="1">
        <f t="array" ref="K2687">"Case "&amp;wRandomLetter()&amp;wRandomLetter()&amp;I2687&amp;":    UniConst = ChrW(" &amp; I2687 &amp;")"</f>
        <v>Case xu129297:    UniConst = ChrW(129297)</v>
      </c>
    </row>
    <row r="2688" spans="1:11" hidden="1">
      <c r="A2688" t="s">
        <v>60</v>
      </c>
      <c r="B2688" t="str">
        <f t="shared" si="248"/>
        <v>1F912 ; fully-qualified # 🤒 E1.0 face with thermometer</v>
      </c>
      <c r="C2688" t="str">
        <f t="shared" si="249"/>
        <v xml:space="preserve">1F912 </v>
      </c>
      <c r="D2688">
        <f t="shared" si="250"/>
        <v>6</v>
      </c>
      <c r="E2688" t="str">
        <f t="shared" si="246"/>
        <v xml:space="preserve"> 🤒 E1.0 face with thermometer</v>
      </c>
      <c r="F2688" t="b">
        <f t="shared" si="251"/>
        <v>1</v>
      </c>
      <c r="G2688" t="str">
        <f t="shared" si="247"/>
        <v>1F912</v>
      </c>
      <c r="I2688">
        <f>HEX2DEC(Table1[[#This Row],[utf8]])</f>
        <v>129298</v>
      </c>
      <c r="J2688" t="str">
        <f>_xlfn.UNICHAR(HEX2DEC(Table1[[#This Row],[utf8]]))</f>
        <v>🤒</v>
      </c>
      <c r="K2688" s="3" t="str" cm="1">
        <f t="array" ref="K2688">"Case "&amp;wRandomLetter()&amp;wRandomLetter()&amp;I2688&amp;":    UniConst = ChrW(" &amp; I2688 &amp;")"</f>
        <v>Case Dp129298:    UniConst = ChrW(129298)</v>
      </c>
    </row>
    <row r="2689" spans="1:11" hidden="1">
      <c r="A2689" t="s">
        <v>77</v>
      </c>
      <c r="B2689" t="str">
        <f t="shared" si="248"/>
        <v>1F913 ; fully-qualified # 🤓 E1.0 nerd face</v>
      </c>
      <c r="C2689" t="str">
        <f t="shared" si="249"/>
        <v xml:space="preserve">1F913 </v>
      </c>
      <c r="D2689">
        <f t="shared" si="250"/>
        <v>6</v>
      </c>
      <c r="E2689" t="str">
        <f t="shared" si="246"/>
        <v xml:space="preserve"> 🤓 E1.0 nerd face</v>
      </c>
      <c r="F2689" t="b">
        <f t="shared" si="251"/>
        <v>1</v>
      </c>
      <c r="G2689" t="str">
        <f t="shared" si="247"/>
        <v>1F913</v>
      </c>
      <c r="I2689">
        <f>HEX2DEC(Table1[[#This Row],[utf8]])</f>
        <v>129299</v>
      </c>
      <c r="J2689" t="str">
        <f>_xlfn.UNICHAR(HEX2DEC(Table1[[#This Row],[utf8]]))</f>
        <v>🤓</v>
      </c>
      <c r="K2689" s="3" t="str" cm="1">
        <f t="array" ref="K2689">"Case "&amp;wRandomLetter()&amp;wRandomLetter()&amp;I2689&amp;":    UniConst = ChrW(" &amp; I2689 &amp;")"</f>
        <v>Case Al129299:    UniConst = ChrW(129299)</v>
      </c>
    </row>
    <row r="2690" spans="1:11" hidden="1">
      <c r="A2690" t="s">
        <v>37</v>
      </c>
      <c r="B2690" t="str">
        <f t="shared" si="248"/>
        <v>1F914 ; fully-qualified # 🤔 E1.0 thinking face</v>
      </c>
      <c r="C2690" t="str">
        <f t="shared" si="249"/>
        <v xml:space="preserve">1F914 </v>
      </c>
      <c r="D2690">
        <f t="shared" si="250"/>
        <v>6</v>
      </c>
      <c r="E2690" t="str">
        <f t="shared" ref="E2690:E2753" si="252">MID(A2690,FIND("#",A2690)+1,256)</f>
        <v xml:space="preserve"> 🤔 E1.0 thinking face</v>
      </c>
      <c r="F2690" t="b">
        <f t="shared" si="251"/>
        <v>1</v>
      </c>
      <c r="G2690" t="str">
        <f t="shared" ref="G2690:G2753" si="253">LEFT(C2690,(FIND(" ",C2690,1)-1))</f>
        <v>1F914</v>
      </c>
      <c r="I2690">
        <f>HEX2DEC(Table1[[#This Row],[utf8]])</f>
        <v>129300</v>
      </c>
      <c r="J2690" t="str">
        <f>_xlfn.UNICHAR(HEX2DEC(Table1[[#This Row],[utf8]]))</f>
        <v>🤔</v>
      </c>
      <c r="K2690" s="3" t="str" cm="1">
        <f t="array" ref="K2690">"Case "&amp;wRandomLetter()&amp;wRandomLetter()&amp;I2690&amp;":    UniConst = ChrW(" &amp; I2690 &amp;")"</f>
        <v>Case LZ129300:    UniConst = ChrW(129300)</v>
      </c>
    </row>
    <row r="2691" spans="1:11" hidden="1">
      <c r="A2691" t="s">
        <v>61</v>
      </c>
      <c r="B2691" t="str">
        <f t="shared" ref="B2691:B2754" si="254">TRIM(A2691)</f>
        <v>1F915 ; fully-qualified # 🤕 E1.0 face with head-bandage</v>
      </c>
      <c r="C2691" t="str">
        <f t="shared" ref="C2691:C2754" si="255">LEFT(B2691,(FIND(";",B2691,1)-1))</f>
        <v xml:space="preserve">1F915 </v>
      </c>
      <c r="D2691">
        <f t="shared" ref="D2691:D2754" si="256">LEN(C2691)</f>
        <v>6</v>
      </c>
      <c r="E2691" t="str">
        <f t="shared" si="252"/>
        <v xml:space="preserve"> 🤕 E1.0 face with head-bandage</v>
      </c>
      <c r="F2691" t="b">
        <f t="shared" ref="F2691:F2754" si="257">IF(LEFT(C2691,2)="1F",TRUE,FALSE)</f>
        <v>1</v>
      </c>
      <c r="G2691" t="str">
        <f t="shared" si="253"/>
        <v>1F915</v>
      </c>
      <c r="I2691">
        <f>HEX2DEC(Table1[[#This Row],[utf8]])</f>
        <v>129301</v>
      </c>
      <c r="J2691" t="str">
        <f>_xlfn.UNICHAR(HEX2DEC(Table1[[#This Row],[utf8]]))</f>
        <v>🤕</v>
      </c>
      <c r="K2691" s="3" t="str" cm="1">
        <f t="array" ref="K2691">"Case "&amp;wRandomLetter()&amp;wRandomLetter()&amp;I2691&amp;":    UniConst = ChrW(" &amp; I2691 &amp;")"</f>
        <v>Case zp129301:    UniConst = ChrW(129301)</v>
      </c>
    </row>
    <row r="2692" spans="1:11" hidden="1">
      <c r="A2692" t="s">
        <v>123</v>
      </c>
      <c r="B2692" t="str">
        <f t="shared" si="254"/>
        <v>1F916 ; fully-qualified # 🤖 E1.0 robot</v>
      </c>
      <c r="C2692" t="str">
        <f t="shared" si="255"/>
        <v xml:space="preserve">1F916 </v>
      </c>
      <c r="D2692">
        <f t="shared" si="256"/>
        <v>6</v>
      </c>
      <c r="E2692" t="str">
        <f t="shared" si="252"/>
        <v xml:space="preserve"> 🤖 E1.0 robot</v>
      </c>
      <c r="F2692" t="b">
        <f t="shared" si="257"/>
        <v>1</v>
      </c>
      <c r="G2692" t="str">
        <f t="shared" si="253"/>
        <v>1F916</v>
      </c>
      <c r="I2692">
        <f>HEX2DEC(Table1[[#This Row],[utf8]])</f>
        <v>129302</v>
      </c>
      <c r="J2692" t="str">
        <f>_xlfn.UNICHAR(HEX2DEC(Table1[[#This Row],[utf8]]))</f>
        <v>🤖</v>
      </c>
      <c r="K2692" s="3" t="str" cm="1">
        <f t="array" ref="K2692">"Case "&amp;wRandomLetter()&amp;wRandomLetter()&amp;I2692&amp;":    UniConst = ChrW(" &amp; I2692 &amp;")"</f>
        <v>Case xv129302:    UniConst = ChrW(129302)</v>
      </c>
    </row>
    <row r="2693" spans="1:11" hidden="1">
      <c r="A2693" t="s">
        <v>34</v>
      </c>
      <c r="B2693" t="str">
        <f t="shared" si="254"/>
        <v>1F917 ; fully-qualified # 🤗 E1.0 hugging face</v>
      </c>
      <c r="C2693" t="str">
        <f t="shared" si="255"/>
        <v xml:space="preserve">1F917 </v>
      </c>
      <c r="D2693">
        <f t="shared" si="256"/>
        <v>6</v>
      </c>
      <c r="E2693" t="str">
        <f t="shared" si="252"/>
        <v xml:space="preserve"> 🤗 E1.0 hugging face</v>
      </c>
      <c r="F2693" t="b">
        <f t="shared" si="257"/>
        <v>1</v>
      </c>
      <c r="G2693" t="str">
        <f t="shared" si="253"/>
        <v>1F917</v>
      </c>
      <c r="I2693">
        <f>HEX2DEC(Table1[[#This Row],[utf8]])</f>
        <v>129303</v>
      </c>
      <c r="J2693" t="str">
        <f>_xlfn.UNICHAR(HEX2DEC(Table1[[#This Row],[utf8]]))</f>
        <v>🤗</v>
      </c>
      <c r="K2693" s="3" t="str" cm="1">
        <f t="array" ref="K2693">"Case "&amp;wRandomLetter()&amp;wRandomLetter()&amp;I2693&amp;":    UniConst = ChrW(" &amp; I2693 &amp;")"</f>
        <v>Case EP129303:    UniConst = ChrW(129303)</v>
      </c>
    </row>
    <row r="2694" spans="1:11" hidden="1">
      <c r="A2694" t="s">
        <v>259</v>
      </c>
      <c r="B2694" t="str">
        <f t="shared" si="254"/>
        <v>1F918 ; fully-qualified # 🤘 E1.0 sign of the horns</v>
      </c>
      <c r="C2694" t="str">
        <f t="shared" si="255"/>
        <v xml:space="preserve">1F918 </v>
      </c>
      <c r="D2694">
        <f t="shared" si="256"/>
        <v>6</v>
      </c>
      <c r="E2694" t="str">
        <f t="shared" si="252"/>
        <v xml:space="preserve"> 🤘 E1.0 sign of the horns</v>
      </c>
      <c r="F2694" t="b">
        <f t="shared" si="257"/>
        <v>1</v>
      </c>
      <c r="G2694" t="str">
        <f t="shared" si="253"/>
        <v>1F918</v>
      </c>
      <c r="I2694">
        <f>HEX2DEC(Table1[[#This Row],[utf8]])</f>
        <v>129304</v>
      </c>
      <c r="J2694" t="str">
        <f>_xlfn.UNICHAR(HEX2DEC(Table1[[#This Row],[utf8]]))</f>
        <v>🤘</v>
      </c>
      <c r="K2694" s="3" t="str" cm="1">
        <f t="array" ref="K2694">"Case "&amp;wRandomLetter()&amp;wRandomLetter()&amp;I2694&amp;":    UniConst = ChrW(" &amp; I2694 &amp;")"</f>
        <v>Case EF129304:    UniConst = ChrW(129304)</v>
      </c>
    </row>
    <row r="2695" spans="1:11" hidden="1">
      <c r="A2695" t="s">
        <v>260</v>
      </c>
      <c r="B2695" t="str">
        <f t="shared" si="254"/>
        <v>1F918 1F3FB ; fully-qualified # 🤘🏻 E1.0 sign of the horns: light skin tone</v>
      </c>
      <c r="C2695" t="str">
        <f t="shared" si="255"/>
        <v xml:space="preserve">1F918 1F3FB </v>
      </c>
      <c r="D2695">
        <f t="shared" si="256"/>
        <v>12</v>
      </c>
      <c r="E2695" t="str">
        <f t="shared" si="252"/>
        <v xml:space="preserve"> 🤘🏻 E1.0 sign of the horns: light skin tone</v>
      </c>
      <c r="F2695" t="b">
        <f t="shared" si="257"/>
        <v>1</v>
      </c>
      <c r="G2695" t="str">
        <f t="shared" si="253"/>
        <v>1F918</v>
      </c>
      <c r="I2695">
        <f>HEX2DEC(Table1[[#This Row],[utf8]])</f>
        <v>129304</v>
      </c>
      <c r="J2695" t="str">
        <f>_xlfn.UNICHAR(HEX2DEC(Table1[[#This Row],[utf8]]))</f>
        <v>🤘</v>
      </c>
      <c r="K2695" s="3" t="str" cm="1">
        <f t="array" ref="K2695">"Case "&amp;wRandomLetter()&amp;wRandomLetter()&amp;I2695&amp;":    UniConst = ChrW(" &amp; I2695 &amp;")"</f>
        <v>Case MI129304:    UniConst = ChrW(129304)</v>
      </c>
    </row>
    <row r="2696" spans="1:11" hidden="1">
      <c r="A2696" t="s">
        <v>261</v>
      </c>
      <c r="B2696" t="str">
        <f t="shared" si="254"/>
        <v>1F918 1F3FC ; fully-qualified # 🤘🏼 E1.0 sign of the horns: medium-light skin tone</v>
      </c>
      <c r="C2696" t="str">
        <f t="shared" si="255"/>
        <v xml:space="preserve">1F918 1F3FC </v>
      </c>
      <c r="D2696">
        <f t="shared" si="256"/>
        <v>12</v>
      </c>
      <c r="E2696" t="str">
        <f t="shared" si="252"/>
        <v xml:space="preserve"> 🤘🏼 E1.0 sign of the horns: medium-light skin tone</v>
      </c>
      <c r="F2696" t="b">
        <f t="shared" si="257"/>
        <v>1</v>
      </c>
      <c r="G2696" t="str">
        <f t="shared" si="253"/>
        <v>1F918</v>
      </c>
      <c r="I2696">
        <f>HEX2DEC(Table1[[#This Row],[utf8]])</f>
        <v>129304</v>
      </c>
      <c r="J2696" t="str">
        <f>_xlfn.UNICHAR(HEX2DEC(Table1[[#This Row],[utf8]]))</f>
        <v>🤘</v>
      </c>
      <c r="K2696" s="3" t="str" cm="1">
        <f t="array" ref="K2696">"Case "&amp;wRandomLetter()&amp;wRandomLetter()&amp;I2696&amp;":    UniConst = ChrW(" &amp; I2696 &amp;")"</f>
        <v>Case lA129304:    UniConst = ChrW(129304)</v>
      </c>
    </row>
    <row r="2697" spans="1:11" hidden="1">
      <c r="A2697" t="s">
        <v>262</v>
      </c>
      <c r="B2697" t="str">
        <f t="shared" si="254"/>
        <v>1F918 1F3FD ; fully-qualified # 🤘🏽 E1.0 sign of the horns: medium skin tone</v>
      </c>
      <c r="C2697" t="str">
        <f t="shared" si="255"/>
        <v xml:space="preserve">1F918 1F3FD </v>
      </c>
      <c r="D2697">
        <f t="shared" si="256"/>
        <v>12</v>
      </c>
      <c r="E2697" t="str">
        <f t="shared" si="252"/>
        <v xml:space="preserve"> 🤘🏽 E1.0 sign of the horns: medium skin tone</v>
      </c>
      <c r="F2697" t="b">
        <f t="shared" si="257"/>
        <v>1</v>
      </c>
      <c r="G2697" t="str">
        <f t="shared" si="253"/>
        <v>1F918</v>
      </c>
      <c r="I2697">
        <f>HEX2DEC(Table1[[#This Row],[utf8]])</f>
        <v>129304</v>
      </c>
      <c r="J2697" t="str">
        <f>_xlfn.UNICHAR(HEX2DEC(Table1[[#This Row],[utf8]]))</f>
        <v>🤘</v>
      </c>
      <c r="K2697" s="3" t="str" cm="1">
        <f t="array" ref="K2697">"Case "&amp;wRandomLetter()&amp;wRandomLetter()&amp;I2697&amp;":    UniConst = ChrW(" &amp; I2697 &amp;")"</f>
        <v>Case yg129304:    UniConst = ChrW(129304)</v>
      </c>
    </row>
    <row r="2698" spans="1:11" hidden="1">
      <c r="A2698" t="s">
        <v>263</v>
      </c>
      <c r="B2698" t="str">
        <f t="shared" si="254"/>
        <v>1F918 1F3FE ; fully-qualified # 🤘🏾 E1.0 sign of the horns: medium-dark skin tone</v>
      </c>
      <c r="C2698" t="str">
        <f t="shared" si="255"/>
        <v xml:space="preserve">1F918 1F3FE </v>
      </c>
      <c r="D2698">
        <f t="shared" si="256"/>
        <v>12</v>
      </c>
      <c r="E2698" t="str">
        <f t="shared" si="252"/>
        <v xml:space="preserve"> 🤘🏾 E1.0 sign of the horns: medium-dark skin tone</v>
      </c>
      <c r="F2698" t="b">
        <f t="shared" si="257"/>
        <v>1</v>
      </c>
      <c r="G2698" t="str">
        <f t="shared" si="253"/>
        <v>1F918</v>
      </c>
      <c r="I2698">
        <f>HEX2DEC(Table1[[#This Row],[utf8]])</f>
        <v>129304</v>
      </c>
      <c r="J2698" t="str">
        <f>_xlfn.UNICHAR(HEX2DEC(Table1[[#This Row],[utf8]]))</f>
        <v>🤘</v>
      </c>
      <c r="K2698" s="3" t="str" cm="1">
        <f t="array" ref="K2698">"Case "&amp;wRandomLetter()&amp;wRandomLetter()&amp;I2698&amp;":    UniConst = ChrW(" &amp; I2698 &amp;")"</f>
        <v>Case xv129304:    UniConst = ChrW(129304)</v>
      </c>
    </row>
    <row r="2699" spans="1:11" hidden="1">
      <c r="A2699" t="s">
        <v>264</v>
      </c>
      <c r="B2699" t="str">
        <f t="shared" si="254"/>
        <v>1F918 1F3FF ; fully-qualified # 🤘🏿 E1.0 sign of the horns: dark skin tone</v>
      </c>
      <c r="C2699" t="str">
        <f t="shared" si="255"/>
        <v xml:space="preserve">1F918 1F3FF </v>
      </c>
      <c r="D2699">
        <f t="shared" si="256"/>
        <v>12</v>
      </c>
      <c r="E2699" t="str">
        <f t="shared" si="252"/>
        <v xml:space="preserve"> 🤘🏿 E1.0 sign of the horns: dark skin tone</v>
      </c>
      <c r="F2699" t="b">
        <f t="shared" si="257"/>
        <v>1</v>
      </c>
      <c r="G2699" t="str">
        <f t="shared" si="253"/>
        <v>1F918</v>
      </c>
      <c r="I2699">
        <f>HEX2DEC(Table1[[#This Row],[utf8]])</f>
        <v>129304</v>
      </c>
      <c r="J2699" t="str">
        <f>_xlfn.UNICHAR(HEX2DEC(Table1[[#This Row],[utf8]]))</f>
        <v>🤘</v>
      </c>
      <c r="K2699" s="3" t="str" cm="1">
        <f t="array" ref="K2699">"Case "&amp;wRandomLetter()&amp;wRandomLetter()&amp;I2699&amp;":    UniConst = ChrW(" &amp; I2699 &amp;")"</f>
        <v>Case kg129304:    UniConst = ChrW(129304)</v>
      </c>
    </row>
    <row r="2700" spans="1:11" hidden="1">
      <c r="A2700" t="s">
        <v>265</v>
      </c>
      <c r="B2700" t="str">
        <f t="shared" si="254"/>
        <v>1F919 ; fully-qualified # 🤙 E3.0 call me hand</v>
      </c>
      <c r="C2700" t="str">
        <f t="shared" si="255"/>
        <v xml:space="preserve">1F919 </v>
      </c>
      <c r="D2700">
        <f t="shared" si="256"/>
        <v>6</v>
      </c>
      <c r="E2700" t="str">
        <f t="shared" si="252"/>
        <v xml:space="preserve"> 🤙 E3.0 call me hand</v>
      </c>
      <c r="F2700" t="b">
        <f t="shared" si="257"/>
        <v>1</v>
      </c>
      <c r="G2700" t="str">
        <f t="shared" si="253"/>
        <v>1F919</v>
      </c>
      <c r="I2700">
        <f>HEX2DEC(Table1[[#This Row],[utf8]])</f>
        <v>129305</v>
      </c>
      <c r="J2700" t="str">
        <f>_xlfn.UNICHAR(HEX2DEC(Table1[[#This Row],[utf8]]))</f>
        <v>🤙</v>
      </c>
      <c r="K2700" s="3" t="str" cm="1">
        <f t="array" ref="K2700">"Case "&amp;wRandomLetter()&amp;wRandomLetter()&amp;I2700&amp;":    UniConst = ChrW(" &amp; I2700 &amp;")"</f>
        <v>Case WH129305:    UniConst = ChrW(129305)</v>
      </c>
    </row>
    <row r="2701" spans="1:11" hidden="1">
      <c r="A2701" t="s">
        <v>266</v>
      </c>
      <c r="B2701" t="str">
        <f t="shared" si="254"/>
        <v>1F919 1F3FB ; fully-qualified # 🤙🏻 E3.0 call me hand: light skin tone</v>
      </c>
      <c r="C2701" t="str">
        <f t="shared" si="255"/>
        <v xml:space="preserve">1F919 1F3FB </v>
      </c>
      <c r="D2701">
        <f t="shared" si="256"/>
        <v>12</v>
      </c>
      <c r="E2701" t="str">
        <f t="shared" si="252"/>
        <v xml:space="preserve"> 🤙🏻 E3.0 call me hand: light skin tone</v>
      </c>
      <c r="F2701" t="b">
        <f t="shared" si="257"/>
        <v>1</v>
      </c>
      <c r="G2701" t="str">
        <f t="shared" si="253"/>
        <v>1F919</v>
      </c>
      <c r="I2701">
        <f>HEX2DEC(Table1[[#This Row],[utf8]])</f>
        <v>129305</v>
      </c>
      <c r="J2701" t="str">
        <f>_xlfn.UNICHAR(HEX2DEC(Table1[[#This Row],[utf8]]))</f>
        <v>🤙</v>
      </c>
      <c r="K2701" s="3" t="str" cm="1">
        <f t="array" ref="K2701">"Case "&amp;wRandomLetter()&amp;wRandomLetter()&amp;I2701&amp;":    UniConst = ChrW(" &amp; I2701 &amp;")"</f>
        <v>Case Wq129305:    UniConst = ChrW(129305)</v>
      </c>
    </row>
    <row r="2702" spans="1:11" hidden="1">
      <c r="A2702" t="s">
        <v>267</v>
      </c>
      <c r="B2702" t="str">
        <f t="shared" si="254"/>
        <v>1F919 1F3FC ; fully-qualified # 🤙🏼 E3.0 call me hand: medium-light skin tone</v>
      </c>
      <c r="C2702" t="str">
        <f t="shared" si="255"/>
        <v xml:space="preserve">1F919 1F3FC </v>
      </c>
      <c r="D2702">
        <f t="shared" si="256"/>
        <v>12</v>
      </c>
      <c r="E2702" t="str">
        <f t="shared" si="252"/>
        <v xml:space="preserve"> 🤙🏼 E3.0 call me hand: medium-light skin tone</v>
      </c>
      <c r="F2702" t="b">
        <f t="shared" si="257"/>
        <v>1</v>
      </c>
      <c r="G2702" t="str">
        <f t="shared" si="253"/>
        <v>1F919</v>
      </c>
      <c r="I2702">
        <f>HEX2DEC(Table1[[#This Row],[utf8]])</f>
        <v>129305</v>
      </c>
      <c r="J2702" t="str">
        <f>_xlfn.UNICHAR(HEX2DEC(Table1[[#This Row],[utf8]]))</f>
        <v>🤙</v>
      </c>
      <c r="K2702" s="3" t="str" cm="1">
        <f t="array" ref="K2702">"Case "&amp;wRandomLetter()&amp;wRandomLetter()&amp;I2702&amp;":    UniConst = ChrW(" &amp; I2702 &amp;")"</f>
        <v>Case dB129305:    UniConst = ChrW(129305)</v>
      </c>
    </row>
    <row r="2703" spans="1:11" hidden="1">
      <c r="A2703" t="s">
        <v>268</v>
      </c>
      <c r="B2703" t="str">
        <f t="shared" si="254"/>
        <v>1F919 1F3FD ; fully-qualified # 🤙🏽 E3.0 call me hand: medium skin tone</v>
      </c>
      <c r="C2703" t="str">
        <f t="shared" si="255"/>
        <v xml:space="preserve">1F919 1F3FD </v>
      </c>
      <c r="D2703">
        <f t="shared" si="256"/>
        <v>12</v>
      </c>
      <c r="E2703" t="str">
        <f t="shared" si="252"/>
        <v xml:space="preserve"> 🤙🏽 E3.0 call me hand: medium skin tone</v>
      </c>
      <c r="F2703" t="b">
        <f t="shared" si="257"/>
        <v>1</v>
      </c>
      <c r="G2703" t="str">
        <f t="shared" si="253"/>
        <v>1F919</v>
      </c>
      <c r="I2703">
        <f>HEX2DEC(Table1[[#This Row],[utf8]])</f>
        <v>129305</v>
      </c>
      <c r="J2703" t="str">
        <f>_xlfn.UNICHAR(HEX2DEC(Table1[[#This Row],[utf8]]))</f>
        <v>🤙</v>
      </c>
      <c r="K2703" s="3" t="str" cm="1">
        <f t="array" ref="K2703">"Case "&amp;wRandomLetter()&amp;wRandomLetter()&amp;I2703&amp;":    UniConst = ChrW(" &amp; I2703 &amp;")"</f>
        <v>Case KA129305:    UniConst = ChrW(129305)</v>
      </c>
    </row>
    <row r="2704" spans="1:11" hidden="1">
      <c r="A2704" t="s">
        <v>269</v>
      </c>
      <c r="B2704" t="str">
        <f t="shared" si="254"/>
        <v>1F919 1F3FE ; fully-qualified # 🤙🏾 E3.0 call me hand: medium-dark skin tone</v>
      </c>
      <c r="C2704" t="str">
        <f t="shared" si="255"/>
        <v xml:space="preserve">1F919 1F3FE </v>
      </c>
      <c r="D2704">
        <f t="shared" si="256"/>
        <v>12</v>
      </c>
      <c r="E2704" t="str">
        <f t="shared" si="252"/>
        <v xml:space="preserve"> 🤙🏾 E3.0 call me hand: medium-dark skin tone</v>
      </c>
      <c r="F2704" t="b">
        <f t="shared" si="257"/>
        <v>1</v>
      </c>
      <c r="G2704" t="str">
        <f t="shared" si="253"/>
        <v>1F919</v>
      </c>
      <c r="I2704">
        <f>HEX2DEC(Table1[[#This Row],[utf8]])</f>
        <v>129305</v>
      </c>
      <c r="J2704" t="str">
        <f>_xlfn.UNICHAR(HEX2DEC(Table1[[#This Row],[utf8]]))</f>
        <v>🤙</v>
      </c>
      <c r="K2704" s="3" t="str" cm="1">
        <f t="array" ref="K2704">"Case "&amp;wRandomLetter()&amp;wRandomLetter()&amp;I2704&amp;":    UniConst = ChrW(" &amp; I2704 &amp;")"</f>
        <v>Case Sd129305:    UniConst = ChrW(129305)</v>
      </c>
    </row>
    <row r="2705" spans="1:11" hidden="1">
      <c r="A2705" t="s">
        <v>270</v>
      </c>
      <c r="B2705" t="str">
        <f t="shared" si="254"/>
        <v>1F919 1F3FF ; fully-qualified # 🤙🏿 E3.0 call me hand: dark skin tone</v>
      </c>
      <c r="C2705" t="str">
        <f t="shared" si="255"/>
        <v xml:space="preserve">1F919 1F3FF </v>
      </c>
      <c r="D2705">
        <f t="shared" si="256"/>
        <v>12</v>
      </c>
      <c r="E2705" t="str">
        <f t="shared" si="252"/>
        <v xml:space="preserve"> 🤙🏿 E3.0 call me hand: dark skin tone</v>
      </c>
      <c r="F2705" t="b">
        <f t="shared" si="257"/>
        <v>1</v>
      </c>
      <c r="G2705" t="str">
        <f t="shared" si="253"/>
        <v>1F919</v>
      </c>
      <c r="I2705">
        <f>HEX2DEC(Table1[[#This Row],[utf8]])</f>
        <v>129305</v>
      </c>
      <c r="J2705" t="str">
        <f>_xlfn.UNICHAR(HEX2DEC(Table1[[#This Row],[utf8]]))</f>
        <v>🤙</v>
      </c>
      <c r="K2705" s="3" t="str" cm="1">
        <f t="array" ref="K2705">"Case "&amp;wRandomLetter()&amp;wRandomLetter()&amp;I2705&amp;":    UniConst = ChrW(" &amp; I2705 &amp;")"</f>
        <v>Case zY129305:    UniConst = ChrW(129305)</v>
      </c>
    </row>
    <row r="2706" spans="1:11" hidden="1">
      <c r="A2706" t="s">
        <v>196</v>
      </c>
      <c r="B2706" t="str">
        <f t="shared" si="254"/>
        <v>1F91A ; fully-qualified # 🤚 E3.0 raised back of hand</v>
      </c>
      <c r="C2706" t="str">
        <f t="shared" si="255"/>
        <v xml:space="preserve">1F91A </v>
      </c>
      <c r="D2706">
        <f t="shared" si="256"/>
        <v>6</v>
      </c>
      <c r="E2706" t="str">
        <f t="shared" si="252"/>
        <v xml:space="preserve"> 🤚 E3.0 raised back of hand</v>
      </c>
      <c r="F2706" t="b">
        <f t="shared" si="257"/>
        <v>1</v>
      </c>
      <c r="G2706" t="str">
        <f t="shared" si="253"/>
        <v>1F91A</v>
      </c>
      <c r="I2706">
        <f>HEX2DEC(Table1[[#This Row],[utf8]])</f>
        <v>129306</v>
      </c>
      <c r="J2706" t="str">
        <f>_xlfn.UNICHAR(HEX2DEC(Table1[[#This Row],[utf8]]))</f>
        <v>🤚</v>
      </c>
      <c r="K2706" s="3" t="str" cm="1">
        <f t="array" ref="K2706">"Case "&amp;wRandomLetter()&amp;wRandomLetter()&amp;I2706&amp;":    UniConst = ChrW(" &amp; I2706 &amp;")"</f>
        <v>Case YT129306:    UniConst = ChrW(129306)</v>
      </c>
    </row>
    <row r="2707" spans="1:11" hidden="1">
      <c r="A2707" t="s">
        <v>197</v>
      </c>
      <c r="B2707" t="str">
        <f t="shared" si="254"/>
        <v>1F91A 1F3FB ; fully-qualified # 🤚🏻 E3.0 raised back of hand: light skin tone</v>
      </c>
      <c r="C2707" t="str">
        <f t="shared" si="255"/>
        <v xml:space="preserve">1F91A 1F3FB </v>
      </c>
      <c r="D2707">
        <f t="shared" si="256"/>
        <v>12</v>
      </c>
      <c r="E2707" t="str">
        <f t="shared" si="252"/>
        <v xml:space="preserve"> 🤚🏻 E3.0 raised back of hand: light skin tone</v>
      </c>
      <c r="F2707" t="b">
        <f t="shared" si="257"/>
        <v>1</v>
      </c>
      <c r="G2707" t="str">
        <f t="shared" si="253"/>
        <v>1F91A</v>
      </c>
      <c r="I2707">
        <f>HEX2DEC(Table1[[#This Row],[utf8]])</f>
        <v>129306</v>
      </c>
      <c r="J2707" t="str">
        <f>_xlfn.UNICHAR(HEX2DEC(Table1[[#This Row],[utf8]]))</f>
        <v>🤚</v>
      </c>
      <c r="K2707" s="3" t="str" cm="1">
        <f t="array" ref="K2707">"Case "&amp;wRandomLetter()&amp;wRandomLetter()&amp;I2707&amp;":    UniConst = ChrW(" &amp; I2707 &amp;")"</f>
        <v>Case IY129306:    UniConst = ChrW(129306)</v>
      </c>
    </row>
    <row r="2708" spans="1:11" hidden="1">
      <c r="A2708" t="s">
        <v>198</v>
      </c>
      <c r="B2708" t="str">
        <f t="shared" si="254"/>
        <v>1F91A 1F3FC ; fully-qualified # 🤚🏼 E3.0 raised back of hand: medium-light skin tone</v>
      </c>
      <c r="C2708" t="str">
        <f t="shared" si="255"/>
        <v xml:space="preserve">1F91A 1F3FC </v>
      </c>
      <c r="D2708">
        <f t="shared" si="256"/>
        <v>12</v>
      </c>
      <c r="E2708" t="str">
        <f t="shared" si="252"/>
        <v xml:space="preserve"> 🤚🏼 E3.0 raised back of hand: medium-light skin tone</v>
      </c>
      <c r="F2708" t="b">
        <f t="shared" si="257"/>
        <v>1</v>
      </c>
      <c r="G2708" t="str">
        <f t="shared" si="253"/>
        <v>1F91A</v>
      </c>
      <c r="I2708">
        <f>HEX2DEC(Table1[[#This Row],[utf8]])</f>
        <v>129306</v>
      </c>
      <c r="J2708" t="str">
        <f>_xlfn.UNICHAR(HEX2DEC(Table1[[#This Row],[utf8]]))</f>
        <v>🤚</v>
      </c>
      <c r="K2708" s="3" t="str" cm="1">
        <f t="array" ref="K2708">"Case "&amp;wRandomLetter()&amp;wRandomLetter()&amp;I2708&amp;":    UniConst = ChrW(" &amp; I2708 &amp;")"</f>
        <v>Case kt129306:    UniConst = ChrW(129306)</v>
      </c>
    </row>
    <row r="2709" spans="1:11" hidden="1">
      <c r="A2709" t="s">
        <v>199</v>
      </c>
      <c r="B2709" t="str">
        <f t="shared" si="254"/>
        <v>1F91A 1F3FD ; fully-qualified # 🤚🏽 E3.0 raised back of hand: medium skin tone</v>
      </c>
      <c r="C2709" t="str">
        <f t="shared" si="255"/>
        <v xml:space="preserve">1F91A 1F3FD </v>
      </c>
      <c r="D2709">
        <f t="shared" si="256"/>
        <v>12</v>
      </c>
      <c r="E2709" t="str">
        <f t="shared" si="252"/>
        <v xml:space="preserve"> 🤚🏽 E3.0 raised back of hand: medium skin tone</v>
      </c>
      <c r="F2709" t="b">
        <f t="shared" si="257"/>
        <v>1</v>
      </c>
      <c r="G2709" t="str">
        <f t="shared" si="253"/>
        <v>1F91A</v>
      </c>
      <c r="I2709">
        <f>HEX2DEC(Table1[[#This Row],[utf8]])</f>
        <v>129306</v>
      </c>
      <c r="J2709" t="str">
        <f>_xlfn.UNICHAR(HEX2DEC(Table1[[#This Row],[utf8]]))</f>
        <v>🤚</v>
      </c>
      <c r="K2709" s="3" t="str" cm="1">
        <f t="array" ref="K2709">"Case "&amp;wRandomLetter()&amp;wRandomLetter()&amp;I2709&amp;":    UniConst = ChrW(" &amp; I2709 &amp;")"</f>
        <v>Case xY129306:    UniConst = ChrW(129306)</v>
      </c>
    </row>
    <row r="2710" spans="1:11" hidden="1">
      <c r="A2710" t="s">
        <v>200</v>
      </c>
      <c r="B2710" t="str">
        <f t="shared" si="254"/>
        <v>1F91A 1F3FE ; fully-qualified # 🤚🏾 E3.0 raised back of hand: medium-dark skin tone</v>
      </c>
      <c r="C2710" t="str">
        <f t="shared" si="255"/>
        <v xml:space="preserve">1F91A 1F3FE </v>
      </c>
      <c r="D2710">
        <f t="shared" si="256"/>
        <v>12</v>
      </c>
      <c r="E2710" t="str">
        <f t="shared" si="252"/>
        <v xml:space="preserve"> 🤚🏾 E3.0 raised back of hand: medium-dark skin tone</v>
      </c>
      <c r="F2710" t="b">
        <f t="shared" si="257"/>
        <v>1</v>
      </c>
      <c r="G2710" t="str">
        <f t="shared" si="253"/>
        <v>1F91A</v>
      </c>
      <c r="I2710">
        <f>HEX2DEC(Table1[[#This Row],[utf8]])</f>
        <v>129306</v>
      </c>
      <c r="J2710" t="str">
        <f>_xlfn.UNICHAR(HEX2DEC(Table1[[#This Row],[utf8]]))</f>
        <v>🤚</v>
      </c>
      <c r="K2710" s="3" t="str" cm="1">
        <f t="array" ref="K2710">"Case "&amp;wRandomLetter()&amp;wRandomLetter()&amp;I2710&amp;":    UniConst = ChrW(" &amp; I2710 &amp;")"</f>
        <v>Case hE129306:    UniConst = ChrW(129306)</v>
      </c>
    </row>
    <row r="2711" spans="1:11" hidden="1">
      <c r="A2711" t="s">
        <v>201</v>
      </c>
      <c r="B2711" t="str">
        <f t="shared" si="254"/>
        <v>1F91A 1F3FF ; fully-qualified # 🤚🏿 E3.0 raised back of hand: dark skin tone</v>
      </c>
      <c r="C2711" t="str">
        <f t="shared" si="255"/>
        <v xml:space="preserve">1F91A 1F3FF </v>
      </c>
      <c r="D2711">
        <f t="shared" si="256"/>
        <v>12</v>
      </c>
      <c r="E2711" t="str">
        <f t="shared" si="252"/>
        <v xml:space="preserve"> 🤚🏿 E3.0 raised back of hand: dark skin tone</v>
      </c>
      <c r="F2711" t="b">
        <f t="shared" si="257"/>
        <v>1</v>
      </c>
      <c r="G2711" t="str">
        <f t="shared" si="253"/>
        <v>1F91A</v>
      </c>
      <c r="I2711">
        <f>HEX2DEC(Table1[[#This Row],[utf8]])</f>
        <v>129306</v>
      </c>
      <c r="J2711" t="str">
        <f>_xlfn.UNICHAR(HEX2DEC(Table1[[#This Row],[utf8]]))</f>
        <v>🤚</v>
      </c>
      <c r="K2711" s="3" t="str" cm="1">
        <f t="array" ref="K2711">"Case "&amp;wRandomLetter()&amp;wRandomLetter()&amp;I2711&amp;":    UniConst = ChrW(" &amp; I2711 &amp;")"</f>
        <v>Case Re129306:    UniConst = ChrW(129306)</v>
      </c>
    </row>
    <row r="2712" spans="1:11" hidden="1">
      <c r="A2712" t="s">
        <v>334</v>
      </c>
      <c r="B2712" t="str">
        <f t="shared" si="254"/>
        <v>1F91B ; fully-qualified # 🤛 E3.0 left-facing fist</v>
      </c>
      <c r="C2712" t="str">
        <f t="shared" si="255"/>
        <v xml:space="preserve">1F91B </v>
      </c>
      <c r="D2712">
        <f t="shared" si="256"/>
        <v>6</v>
      </c>
      <c r="E2712" t="str">
        <f t="shared" si="252"/>
        <v xml:space="preserve"> 🤛 E3.0 left-facing fist</v>
      </c>
      <c r="F2712" t="b">
        <f t="shared" si="257"/>
        <v>1</v>
      </c>
      <c r="G2712" t="str">
        <f t="shared" si="253"/>
        <v>1F91B</v>
      </c>
      <c r="I2712">
        <f>HEX2DEC(Table1[[#This Row],[utf8]])</f>
        <v>129307</v>
      </c>
      <c r="J2712" t="str">
        <f>_xlfn.UNICHAR(HEX2DEC(Table1[[#This Row],[utf8]]))</f>
        <v>🤛</v>
      </c>
      <c r="K2712" s="3" t="str" cm="1">
        <f t="array" ref="K2712">"Case "&amp;wRandomLetter()&amp;wRandomLetter()&amp;I2712&amp;":    UniConst = ChrW(" &amp; I2712 &amp;")"</f>
        <v>Case Li129307:    UniConst = ChrW(129307)</v>
      </c>
    </row>
    <row r="2713" spans="1:11" hidden="1">
      <c r="A2713" t="s">
        <v>335</v>
      </c>
      <c r="B2713" t="str">
        <f t="shared" si="254"/>
        <v>1F91B 1F3FB ; fully-qualified # 🤛🏻 E3.0 left-facing fist: light skin tone</v>
      </c>
      <c r="C2713" t="str">
        <f t="shared" si="255"/>
        <v xml:space="preserve">1F91B 1F3FB </v>
      </c>
      <c r="D2713">
        <f t="shared" si="256"/>
        <v>12</v>
      </c>
      <c r="E2713" t="str">
        <f t="shared" si="252"/>
        <v xml:space="preserve"> 🤛🏻 E3.0 left-facing fist: light skin tone</v>
      </c>
      <c r="F2713" t="b">
        <f t="shared" si="257"/>
        <v>1</v>
      </c>
      <c r="G2713" t="str">
        <f t="shared" si="253"/>
        <v>1F91B</v>
      </c>
      <c r="I2713">
        <f>HEX2DEC(Table1[[#This Row],[utf8]])</f>
        <v>129307</v>
      </c>
      <c r="J2713" t="str">
        <f>_xlfn.UNICHAR(HEX2DEC(Table1[[#This Row],[utf8]]))</f>
        <v>🤛</v>
      </c>
      <c r="K2713" s="3" t="str" cm="1">
        <f t="array" ref="K2713">"Case "&amp;wRandomLetter()&amp;wRandomLetter()&amp;I2713&amp;":    UniConst = ChrW(" &amp; I2713 &amp;")"</f>
        <v>Case jg129307:    UniConst = ChrW(129307)</v>
      </c>
    </row>
    <row r="2714" spans="1:11" hidden="1">
      <c r="A2714" t="s">
        <v>336</v>
      </c>
      <c r="B2714" t="str">
        <f t="shared" si="254"/>
        <v>1F91B 1F3FC ; fully-qualified # 🤛🏼 E3.0 left-facing fist: medium-light skin tone</v>
      </c>
      <c r="C2714" t="str">
        <f t="shared" si="255"/>
        <v xml:space="preserve">1F91B 1F3FC </v>
      </c>
      <c r="D2714">
        <f t="shared" si="256"/>
        <v>12</v>
      </c>
      <c r="E2714" t="str">
        <f t="shared" si="252"/>
        <v xml:space="preserve"> 🤛🏼 E3.0 left-facing fist: medium-light skin tone</v>
      </c>
      <c r="F2714" t="b">
        <f t="shared" si="257"/>
        <v>1</v>
      </c>
      <c r="G2714" t="str">
        <f t="shared" si="253"/>
        <v>1F91B</v>
      </c>
      <c r="I2714">
        <f>HEX2DEC(Table1[[#This Row],[utf8]])</f>
        <v>129307</v>
      </c>
      <c r="J2714" t="str">
        <f>_xlfn.UNICHAR(HEX2DEC(Table1[[#This Row],[utf8]]))</f>
        <v>🤛</v>
      </c>
      <c r="K2714" s="3" t="str" cm="1">
        <f t="array" ref="K2714">"Case "&amp;wRandomLetter()&amp;wRandomLetter()&amp;I2714&amp;":    UniConst = ChrW(" &amp; I2714 &amp;")"</f>
        <v>Case iI129307:    UniConst = ChrW(129307)</v>
      </c>
    </row>
    <row r="2715" spans="1:11" hidden="1">
      <c r="A2715" t="s">
        <v>337</v>
      </c>
      <c r="B2715" t="str">
        <f t="shared" si="254"/>
        <v>1F91B 1F3FD ; fully-qualified # 🤛🏽 E3.0 left-facing fist: medium skin tone</v>
      </c>
      <c r="C2715" t="str">
        <f t="shared" si="255"/>
        <v xml:space="preserve">1F91B 1F3FD </v>
      </c>
      <c r="D2715">
        <f t="shared" si="256"/>
        <v>12</v>
      </c>
      <c r="E2715" t="str">
        <f t="shared" si="252"/>
        <v xml:space="preserve"> 🤛🏽 E3.0 left-facing fist: medium skin tone</v>
      </c>
      <c r="F2715" t="b">
        <f t="shared" si="257"/>
        <v>1</v>
      </c>
      <c r="G2715" t="str">
        <f t="shared" si="253"/>
        <v>1F91B</v>
      </c>
      <c r="I2715">
        <f>HEX2DEC(Table1[[#This Row],[utf8]])</f>
        <v>129307</v>
      </c>
      <c r="J2715" t="str">
        <f>_xlfn.UNICHAR(HEX2DEC(Table1[[#This Row],[utf8]]))</f>
        <v>🤛</v>
      </c>
      <c r="K2715" s="3" t="str" cm="1">
        <f t="array" ref="K2715">"Case "&amp;wRandomLetter()&amp;wRandomLetter()&amp;I2715&amp;":    UniConst = ChrW(" &amp; I2715 &amp;")"</f>
        <v>Case gA129307:    UniConst = ChrW(129307)</v>
      </c>
    </row>
    <row r="2716" spans="1:11" hidden="1">
      <c r="A2716" t="s">
        <v>338</v>
      </c>
      <c r="B2716" t="str">
        <f t="shared" si="254"/>
        <v>1F91B 1F3FE ; fully-qualified # 🤛🏾 E3.0 left-facing fist: medium-dark skin tone</v>
      </c>
      <c r="C2716" t="str">
        <f t="shared" si="255"/>
        <v xml:space="preserve">1F91B 1F3FE </v>
      </c>
      <c r="D2716">
        <f t="shared" si="256"/>
        <v>12</v>
      </c>
      <c r="E2716" t="str">
        <f t="shared" si="252"/>
        <v xml:space="preserve"> 🤛🏾 E3.0 left-facing fist: medium-dark skin tone</v>
      </c>
      <c r="F2716" t="b">
        <f t="shared" si="257"/>
        <v>1</v>
      </c>
      <c r="G2716" t="str">
        <f t="shared" si="253"/>
        <v>1F91B</v>
      </c>
      <c r="I2716">
        <f>HEX2DEC(Table1[[#This Row],[utf8]])</f>
        <v>129307</v>
      </c>
      <c r="J2716" t="str">
        <f>_xlfn.UNICHAR(HEX2DEC(Table1[[#This Row],[utf8]]))</f>
        <v>🤛</v>
      </c>
      <c r="K2716" s="3" t="str" cm="1">
        <f t="array" ref="K2716">"Case "&amp;wRandomLetter()&amp;wRandomLetter()&amp;I2716&amp;":    UniConst = ChrW(" &amp; I2716 &amp;")"</f>
        <v>Case Fy129307:    UniConst = ChrW(129307)</v>
      </c>
    </row>
    <row r="2717" spans="1:11" hidden="1">
      <c r="A2717" t="s">
        <v>339</v>
      </c>
      <c r="B2717" t="str">
        <f t="shared" si="254"/>
        <v>1F91B 1F3FF ; fully-qualified # 🤛🏿 E3.0 left-facing fist: dark skin tone</v>
      </c>
      <c r="C2717" t="str">
        <f t="shared" si="255"/>
        <v xml:space="preserve">1F91B 1F3FF </v>
      </c>
      <c r="D2717">
        <f t="shared" si="256"/>
        <v>12</v>
      </c>
      <c r="E2717" t="str">
        <f t="shared" si="252"/>
        <v xml:space="preserve"> 🤛🏿 E3.0 left-facing fist: dark skin tone</v>
      </c>
      <c r="F2717" t="b">
        <f t="shared" si="257"/>
        <v>1</v>
      </c>
      <c r="G2717" t="str">
        <f t="shared" si="253"/>
        <v>1F91B</v>
      </c>
      <c r="I2717">
        <f>HEX2DEC(Table1[[#This Row],[utf8]])</f>
        <v>129307</v>
      </c>
      <c r="J2717" t="str">
        <f>_xlfn.UNICHAR(HEX2DEC(Table1[[#This Row],[utf8]]))</f>
        <v>🤛</v>
      </c>
      <c r="K2717" s="3" t="str" cm="1">
        <f t="array" ref="K2717">"Case "&amp;wRandomLetter()&amp;wRandomLetter()&amp;I2717&amp;":    UniConst = ChrW(" &amp; I2717 &amp;")"</f>
        <v>Case ff129307:    UniConst = ChrW(129307)</v>
      </c>
    </row>
    <row r="2718" spans="1:11" hidden="1">
      <c r="A2718" t="s">
        <v>340</v>
      </c>
      <c r="B2718" t="str">
        <f t="shared" si="254"/>
        <v>1F91C ; fully-qualified # 🤜 E3.0 right-facing fist</v>
      </c>
      <c r="C2718" t="str">
        <f t="shared" si="255"/>
        <v xml:space="preserve">1F91C </v>
      </c>
      <c r="D2718">
        <f t="shared" si="256"/>
        <v>6</v>
      </c>
      <c r="E2718" t="str">
        <f t="shared" si="252"/>
        <v xml:space="preserve"> 🤜 E3.0 right-facing fist</v>
      </c>
      <c r="F2718" t="b">
        <f t="shared" si="257"/>
        <v>1</v>
      </c>
      <c r="G2718" t="str">
        <f t="shared" si="253"/>
        <v>1F91C</v>
      </c>
      <c r="I2718">
        <f>HEX2DEC(Table1[[#This Row],[utf8]])</f>
        <v>129308</v>
      </c>
      <c r="J2718" t="str">
        <f>_xlfn.UNICHAR(HEX2DEC(Table1[[#This Row],[utf8]]))</f>
        <v>🤜</v>
      </c>
      <c r="K2718" s="3" t="str" cm="1">
        <f t="array" ref="K2718">"Case "&amp;wRandomLetter()&amp;wRandomLetter()&amp;I2718&amp;":    UniConst = ChrW(" &amp; I2718 &amp;")"</f>
        <v>Case yt129308:    UniConst = ChrW(129308)</v>
      </c>
    </row>
    <row r="2719" spans="1:11" hidden="1">
      <c r="A2719" t="s">
        <v>341</v>
      </c>
      <c r="B2719" t="str">
        <f t="shared" si="254"/>
        <v>1F91C 1F3FB ; fully-qualified # 🤜🏻 E3.0 right-facing fist: light skin tone</v>
      </c>
      <c r="C2719" t="str">
        <f t="shared" si="255"/>
        <v xml:space="preserve">1F91C 1F3FB </v>
      </c>
      <c r="D2719">
        <f t="shared" si="256"/>
        <v>12</v>
      </c>
      <c r="E2719" t="str">
        <f t="shared" si="252"/>
        <v xml:space="preserve"> 🤜🏻 E3.0 right-facing fist: light skin tone</v>
      </c>
      <c r="F2719" t="b">
        <f t="shared" si="257"/>
        <v>1</v>
      </c>
      <c r="G2719" t="str">
        <f t="shared" si="253"/>
        <v>1F91C</v>
      </c>
      <c r="I2719">
        <f>HEX2DEC(Table1[[#This Row],[utf8]])</f>
        <v>129308</v>
      </c>
      <c r="J2719" t="str">
        <f>_xlfn.UNICHAR(HEX2DEC(Table1[[#This Row],[utf8]]))</f>
        <v>🤜</v>
      </c>
      <c r="K2719" s="3" t="str" cm="1">
        <f t="array" ref="K2719">"Case "&amp;wRandomLetter()&amp;wRandomLetter()&amp;I2719&amp;":    UniConst = ChrW(" &amp; I2719 &amp;")"</f>
        <v>Case GK129308:    UniConst = ChrW(129308)</v>
      </c>
    </row>
    <row r="2720" spans="1:11" hidden="1">
      <c r="A2720" t="s">
        <v>342</v>
      </c>
      <c r="B2720" t="str">
        <f t="shared" si="254"/>
        <v>1F91C 1F3FC ; fully-qualified # 🤜🏼 E3.0 right-facing fist: medium-light skin tone</v>
      </c>
      <c r="C2720" t="str">
        <f t="shared" si="255"/>
        <v xml:space="preserve">1F91C 1F3FC </v>
      </c>
      <c r="D2720">
        <f t="shared" si="256"/>
        <v>12</v>
      </c>
      <c r="E2720" t="str">
        <f t="shared" si="252"/>
        <v xml:space="preserve"> 🤜🏼 E3.0 right-facing fist: medium-light skin tone</v>
      </c>
      <c r="F2720" t="b">
        <f t="shared" si="257"/>
        <v>1</v>
      </c>
      <c r="G2720" t="str">
        <f t="shared" si="253"/>
        <v>1F91C</v>
      </c>
      <c r="I2720">
        <f>HEX2DEC(Table1[[#This Row],[utf8]])</f>
        <v>129308</v>
      </c>
      <c r="J2720" t="str">
        <f>_xlfn.UNICHAR(HEX2DEC(Table1[[#This Row],[utf8]]))</f>
        <v>🤜</v>
      </c>
      <c r="K2720" s="3" t="str" cm="1">
        <f t="array" ref="K2720">"Case "&amp;wRandomLetter()&amp;wRandomLetter()&amp;I2720&amp;":    UniConst = ChrW(" &amp; I2720 &amp;")"</f>
        <v>Case HZ129308:    UniConst = ChrW(129308)</v>
      </c>
    </row>
    <row r="2721" spans="1:11" hidden="1">
      <c r="A2721" t="s">
        <v>343</v>
      </c>
      <c r="B2721" t="str">
        <f t="shared" si="254"/>
        <v>1F91C 1F3FD ; fully-qualified # 🤜🏽 E3.0 right-facing fist: medium skin tone</v>
      </c>
      <c r="C2721" t="str">
        <f t="shared" si="255"/>
        <v xml:space="preserve">1F91C 1F3FD </v>
      </c>
      <c r="D2721">
        <f t="shared" si="256"/>
        <v>12</v>
      </c>
      <c r="E2721" t="str">
        <f t="shared" si="252"/>
        <v xml:space="preserve"> 🤜🏽 E3.0 right-facing fist: medium skin tone</v>
      </c>
      <c r="F2721" t="b">
        <f t="shared" si="257"/>
        <v>1</v>
      </c>
      <c r="G2721" t="str">
        <f t="shared" si="253"/>
        <v>1F91C</v>
      </c>
      <c r="I2721">
        <f>HEX2DEC(Table1[[#This Row],[utf8]])</f>
        <v>129308</v>
      </c>
      <c r="J2721" t="str">
        <f>_xlfn.UNICHAR(HEX2DEC(Table1[[#This Row],[utf8]]))</f>
        <v>🤜</v>
      </c>
      <c r="K2721" s="3" t="str" cm="1">
        <f t="array" ref="K2721">"Case "&amp;wRandomLetter()&amp;wRandomLetter()&amp;I2721&amp;":    UniConst = ChrW(" &amp; I2721 &amp;")"</f>
        <v>Case Sb129308:    UniConst = ChrW(129308)</v>
      </c>
    </row>
    <row r="2722" spans="1:11" hidden="1">
      <c r="A2722" t="s">
        <v>344</v>
      </c>
      <c r="B2722" t="str">
        <f t="shared" si="254"/>
        <v>1F91C 1F3FE ; fully-qualified # 🤜🏾 E3.0 right-facing fist: medium-dark skin tone</v>
      </c>
      <c r="C2722" t="str">
        <f t="shared" si="255"/>
        <v xml:space="preserve">1F91C 1F3FE </v>
      </c>
      <c r="D2722">
        <f t="shared" si="256"/>
        <v>12</v>
      </c>
      <c r="E2722" t="str">
        <f t="shared" si="252"/>
        <v xml:space="preserve"> 🤜🏾 E3.0 right-facing fist: medium-dark skin tone</v>
      </c>
      <c r="F2722" t="b">
        <f t="shared" si="257"/>
        <v>1</v>
      </c>
      <c r="G2722" t="str">
        <f t="shared" si="253"/>
        <v>1F91C</v>
      </c>
      <c r="I2722">
        <f>HEX2DEC(Table1[[#This Row],[utf8]])</f>
        <v>129308</v>
      </c>
      <c r="J2722" t="str">
        <f>_xlfn.UNICHAR(HEX2DEC(Table1[[#This Row],[utf8]]))</f>
        <v>🤜</v>
      </c>
      <c r="K2722" s="3" t="str" cm="1">
        <f t="array" ref="K2722">"Case "&amp;wRandomLetter()&amp;wRandomLetter()&amp;I2722&amp;":    UniConst = ChrW(" &amp; I2722 &amp;")"</f>
        <v>Case wP129308:    UniConst = ChrW(129308)</v>
      </c>
    </row>
    <row r="2723" spans="1:11" hidden="1">
      <c r="A2723" t="s">
        <v>345</v>
      </c>
      <c r="B2723" t="str">
        <f t="shared" si="254"/>
        <v>1F91C 1F3FF ; fully-qualified # 🤜🏿 E3.0 right-facing fist: dark skin tone</v>
      </c>
      <c r="C2723" t="str">
        <f t="shared" si="255"/>
        <v xml:space="preserve">1F91C 1F3FF </v>
      </c>
      <c r="D2723">
        <f t="shared" si="256"/>
        <v>12</v>
      </c>
      <c r="E2723" t="str">
        <f t="shared" si="252"/>
        <v xml:space="preserve"> 🤜🏿 E3.0 right-facing fist: dark skin tone</v>
      </c>
      <c r="F2723" t="b">
        <f t="shared" si="257"/>
        <v>1</v>
      </c>
      <c r="G2723" t="str">
        <f t="shared" si="253"/>
        <v>1F91C</v>
      </c>
      <c r="I2723">
        <f>HEX2DEC(Table1[[#This Row],[utf8]])</f>
        <v>129308</v>
      </c>
      <c r="J2723" t="str">
        <f>_xlfn.UNICHAR(HEX2DEC(Table1[[#This Row],[utf8]]))</f>
        <v>🤜</v>
      </c>
      <c r="K2723" s="3" t="str" cm="1">
        <f t="array" ref="K2723">"Case "&amp;wRandomLetter()&amp;wRandomLetter()&amp;I2723&amp;":    UniConst = ChrW(" &amp; I2723 &amp;")"</f>
        <v>Case Fy129308:    UniConst = ChrW(129308)</v>
      </c>
    </row>
    <row r="2724" spans="1:11" hidden="1">
      <c r="A2724" t="s">
        <v>371</v>
      </c>
      <c r="B2724" t="str">
        <f t="shared" si="254"/>
        <v>1F91D ; fully-qualified # 🤝 E3.0 handshake</v>
      </c>
      <c r="C2724" t="str">
        <f t="shared" si="255"/>
        <v xml:space="preserve">1F91D </v>
      </c>
      <c r="D2724">
        <f t="shared" si="256"/>
        <v>6</v>
      </c>
      <c r="E2724" t="str">
        <f t="shared" si="252"/>
        <v xml:space="preserve"> 🤝 E3.0 handshake</v>
      </c>
      <c r="F2724" t="b">
        <f t="shared" si="257"/>
        <v>1</v>
      </c>
      <c r="G2724" t="str">
        <f t="shared" si="253"/>
        <v>1F91D</v>
      </c>
      <c r="I2724">
        <f>HEX2DEC(Table1[[#This Row],[utf8]])</f>
        <v>129309</v>
      </c>
      <c r="J2724" t="str">
        <f>_xlfn.UNICHAR(HEX2DEC(Table1[[#This Row],[utf8]]))</f>
        <v>🤝</v>
      </c>
      <c r="K2724" s="3" t="str" cm="1">
        <f t="array" ref="K2724">"Case "&amp;wRandomLetter()&amp;wRandomLetter()&amp;I2724&amp;":    UniConst = ChrW(" &amp; I2724 &amp;")"</f>
        <v>Case Ui129309:    UniConst = ChrW(129309)</v>
      </c>
    </row>
    <row r="2725" spans="1:11" hidden="1">
      <c r="A2725" t="s">
        <v>247</v>
      </c>
      <c r="B2725" t="str">
        <f t="shared" si="254"/>
        <v>1F91E ; fully-qualified # 🤞 E3.0 crossed fingers</v>
      </c>
      <c r="C2725" t="str">
        <f t="shared" si="255"/>
        <v xml:space="preserve">1F91E </v>
      </c>
      <c r="D2725">
        <f t="shared" si="256"/>
        <v>6</v>
      </c>
      <c r="E2725" t="str">
        <f t="shared" si="252"/>
        <v xml:space="preserve"> 🤞 E3.0 crossed fingers</v>
      </c>
      <c r="F2725" t="b">
        <f t="shared" si="257"/>
        <v>1</v>
      </c>
      <c r="G2725" t="str">
        <f t="shared" si="253"/>
        <v>1F91E</v>
      </c>
      <c r="I2725">
        <f>HEX2DEC(Table1[[#This Row],[utf8]])</f>
        <v>129310</v>
      </c>
      <c r="J2725" t="str">
        <f>_xlfn.UNICHAR(HEX2DEC(Table1[[#This Row],[utf8]]))</f>
        <v>🤞</v>
      </c>
      <c r="K2725" s="3" t="str" cm="1">
        <f t="array" ref="K2725">"Case "&amp;wRandomLetter()&amp;wRandomLetter()&amp;I2725&amp;":    UniConst = ChrW(" &amp; I2725 &amp;")"</f>
        <v>Case VM129310:    UniConst = ChrW(129310)</v>
      </c>
    </row>
    <row r="2726" spans="1:11" hidden="1">
      <c r="A2726" t="s">
        <v>248</v>
      </c>
      <c r="B2726" t="str">
        <f t="shared" si="254"/>
        <v>1F91E 1F3FB ; fully-qualified # 🤞🏻 E3.0 crossed fingers: light skin tone</v>
      </c>
      <c r="C2726" t="str">
        <f t="shared" si="255"/>
        <v xml:space="preserve">1F91E 1F3FB </v>
      </c>
      <c r="D2726">
        <f t="shared" si="256"/>
        <v>12</v>
      </c>
      <c r="E2726" t="str">
        <f t="shared" si="252"/>
        <v xml:space="preserve"> 🤞🏻 E3.0 crossed fingers: light skin tone</v>
      </c>
      <c r="F2726" t="b">
        <f t="shared" si="257"/>
        <v>1</v>
      </c>
      <c r="G2726" t="str">
        <f t="shared" si="253"/>
        <v>1F91E</v>
      </c>
      <c r="I2726">
        <f>HEX2DEC(Table1[[#This Row],[utf8]])</f>
        <v>129310</v>
      </c>
      <c r="J2726" t="str">
        <f>_xlfn.UNICHAR(HEX2DEC(Table1[[#This Row],[utf8]]))</f>
        <v>🤞</v>
      </c>
      <c r="K2726" s="3" t="str" cm="1">
        <f t="array" ref="K2726">"Case "&amp;wRandomLetter()&amp;wRandomLetter()&amp;I2726&amp;":    UniConst = ChrW(" &amp; I2726 &amp;")"</f>
        <v>Case at129310:    UniConst = ChrW(129310)</v>
      </c>
    </row>
    <row r="2727" spans="1:11" hidden="1">
      <c r="A2727" t="s">
        <v>249</v>
      </c>
      <c r="B2727" t="str">
        <f t="shared" si="254"/>
        <v>1F91E 1F3FC ; fully-qualified # 🤞🏼 E3.0 crossed fingers: medium-light skin tone</v>
      </c>
      <c r="C2727" t="str">
        <f t="shared" si="255"/>
        <v xml:space="preserve">1F91E 1F3FC </v>
      </c>
      <c r="D2727">
        <f t="shared" si="256"/>
        <v>12</v>
      </c>
      <c r="E2727" t="str">
        <f t="shared" si="252"/>
        <v xml:space="preserve"> 🤞🏼 E3.0 crossed fingers: medium-light skin tone</v>
      </c>
      <c r="F2727" t="b">
        <f t="shared" si="257"/>
        <v>1</v>
      </c>
      <c r="G2727" t="str">
        <f t="shared" si="253"/>
        <v>1F91E</v>
      </c>
      <c r="I2727">
        <f>HEX2DEC(Table1[[#This Row],[utf8]])</f>
        <v>129310</v>
      </c>
      <c r="J2727" t="str">
        <f>_xlfn.UNICHAR(HEX2DEC(Table1[[#This Row],[utf8]]))</f>
        <v>🤞</v>
      </c>
      <c r="K2727" s="3" t="str" cm="1">
        <f t="array" ref="K2727">"Case "&amp;wRandomLetter()&amp;wRandomLetter()&amp;I2727&amp;":    UniConst = ChrW(" &amp; I2727 &amp;")"</f>
        <v>Case ET129310:    UniConst = ChrW(129310)</v>
      </c>
    </row>
    <row r="2728" spans="1:11" hidden="1">
      <c r="A2728" t="s">
        <v>250</v>
      </c>
      <c r="B2728" t="str">
        <f t="shared" si="254"/>
        <v>1F91E 1F3FD ; fully-qualified # 🤞🏽 E3.0 crossed fingers: medium skin tone</v>
      </c>
      <c r="C2728" t="str">
        <f t="shared" si="255"/>
        <v xml:space="preserve">1F91E 1F3FD </v>
      </c>
      <c r="D2728">
        <f t="shared" si="256"/>
        <v>12</v>
      </c>
      <c r="E2728" t="str">
        <f t="shared" si="252"/>
        <v xml:space="preserve"> 🤞🏽 E3.0 crossed fingers: medium skin tone</v>
      </c>
      <c r="F2728" t="b">
        <f t="shared" si="257"/>
        <v>1</v>
      </c>
      <c r="G2728" t="str">
        <f t="shared" si="253"/>
        <v>1F91E</v>
      </c>
      <c r="I2728">
        <f>HEX2DEC(Table1[[#This Row],[utf8]])</f>
        <v>129310</v>
      </c>
      <c r="J2728" t="str">
        <f>_xlfn.UNICHAR(HEX2DEC(Table1[[#This Row],[utf8]]))</f>
        <v>🤞</v>
      </c>
      <c r="K2728" s="3" t="str" cm="1">
        <f t="array" ref="K2728">"Case "&amp;wRandomLetter()&amp;wRandomLetter()&amp;I2728&amp;":    UniConst = ChrW(" &amp; I2728 &amp;")"</f>
        <v>Case pr129310:    UniConst = ChrW(129310)</v>
      </c>
    </row>
    <row r="2729" spans="1:11" hidden="1">
      <c r="A2729" t="s">
        <v>251</v>
      </c>
      <c r="B2729" t="str">
        <f t="shared" si="254"/>
        <v>1F91E 1F3FE ; fully-qualified # 🤞🏾 E3.0 crossed fingers: medium-dark skin tone</v>
      </c>
      <c r="C2729" t="str">
        <f t="shared" si="255"/>
        <v xml:space="preserve">1F91E 1F3FE </v>
      </c>
      <c r="D2729">
        <f t="shared" si="256"/>
        <v>12</v>
      </c>
      <c r="E2729" t="str">
        <f t="shared" si="252"/>
        <v xml:space="preserve"> 🤞🏾 E3.0 crossed fingers: medium-dark skin tone</v>
      </c>
      <c r="F2729" t="b">
        <f t="shared" si="257"/>
        <v>1</v>
      </c>
      <c r="G2729" t="str">
        <f t="shared" si="253"/>
        <v>1F91E</v>
      </c>
      <c r="I2729">
        <f>HEX2DEC(Table1[[#This Row],[utf8]])</f>
        <v>129310</v>
      </c>
      <c r="J2729" t="str">
        <f>_xlfn.UNICHAR(HEX2DEC(Table1[[#This Row],[utf8]]))</f>
        <v>🤞</v>
      </c>
      <c r="K2729" s="3" t="str" cm="1">
        <f t="array" ref="K2729">"Case "&amp;wRandomLetter()&amp;wRandomLetter()&amp;I2729&amp;":    UniConst = ChrW(" &amp; I2729 &amp;")"</f>
        <v>Case SE129310:    UniConst = ChrW(129310)</v>
      </c>
    </row>
    <row r="2730" spans="1:11" hidden="1">
      <c r="A2730" t="s">
        <v>252</v>
      </c>
      <c r="B2730" t="str">
        <f t="shared" si="254"/>
        <v>1F91E 1F3FF ; fully-qualified # 🤞🏿 E3.0 crossed fingers: dark skin tone</v>
      </c>
      <c r="C2730" t="str">
        <f t="shared" si="255"/>
        <v xml:space="preserve">1F91E 1F3FF </v>
      </c>
      <c r="D2730">
        <f t="shared" si="256"/>
        <v>12</v>
      </c>
      <c r="E2730" t="str">
        <f t="shared" si="252"/>
        <v xml:space="preserve"> 🤞🏿 E3.0 crossed fingers: dark skin tone</v>
      </c>
      <c r="F2730" t="b">
        <f t="shared" si="257"/>
        <v>1</v>
      </c>
      <c r="G2730" t="str">
        <f t="shared" si="253"/>
        <v>1F91E</v>
      </c>
      <c r="I2730">
        <f>HEX2DEC(Table1[[#This Row],[utf8]])</f>
        <v>129310</v>
      </c>
      <c r="J2730" t="str">
        <f>_xlfn.UNICHAR(HEX2DEC(Table1[[#This Row],[utf8]]))</f>
        <v>🤞</v>
      </c>
      <c r="K2730" s="3" t="str" cm="1">
        <f t="array" ref="K2730">"Case "&amp;wRandomLetter()&amp;wRandomLetter()&amp;I2730&amp;":    UniConst = ChrW(" &amp; I2730 &amp;")"</f>
        <v>Case Ta129310:    UniConst = ChrW(129310)</v>
      </c>
    </row>
    <row r="2731" spans="1:11" hidden="1">
      <c r="A2731" t="s">
        <v>253</v>
      </c>
      <c r="B2731" t="str">
        <f t="shared" si="254"/>
        <v>1F91F ; fully-qualified # 🤟 E5.0 love-you gesture</v>
      </c>
      <c r="C2731" t="str">
        <f t="shared" si="255"/>
        <v xml:space="preserve">1F91F </v>
      </c>
      <c r="D2731">
        <f t="shared" si="256"/>
        <v>6</v>
      </c>
      <c r="E2731" t="str">
        <f t="shared" si="252"/>
        <v xml:space="preserve"> 🤟 E5.0 love-you gesture</v>
      </c>
      <c r="F2731" t="b">
        <f t="shared" si="257"/>
        <v>1</v>
      </c>
      <c r="G2731" t="str">
        <f t="shared" si="253"/>
        <v>1F91F</v>
      </c>
      <c r="I2731">
        <f>HEX2DEC(Table1[[#This Row],[utf8]])</f>
        <v>129311</v>
      </c>
      <c r="J2731" t="str">
        <f>_xlfn.UNICHAR(HEX2DEC(Table1[[#This Row],[utf8]]))</f>
        <v>🤟</v>
      </c>
      <c r="K2731" s="3" t="str" cm="1">
        <f t="array" ref="K2731">"Case "&amp;wRandomLetter()&amp;wRandomLetter()&amp;I2731&amp;":    UniConst = ChrW(" &amp; I2731 &amp;")"</f>
        <v>Case Mx129311:    UniConst = ChrW(129311)</v>
      </c>
    </row>
    <row r="2732" spans="1:11" hidden="1">
      <c r="A2732" t="s">
        <v>254</v>
      </c>
      <c r="B2732" t="str">
        <f t="shared" si="254"/>
        <v>1F91F 1F3FB ; fully-qualified # 🤟🏻 E5.0 love-you gesture: light skin tone</v>
      </c>
      <c r="C2732" t="str">
        <f t="shared" si="255"/>
        <v xml:space="preserve">1F91F 1F3FB </v>
      </c>
      <c r="D2732">
        <f t="shared" si="256"/>
        <v>12</v>
      </c>
      <c r="E2732" t="str">
        <f t="shared" si="252"/>
        <v xml:space="preserve"> 🤟🏻 E5.0 love-you gesture: light skin tone</v>
      </c>
      <c r="F2732" t="b">
        <f t="shared" si="257"/>
        <v>1</v>
      </c>
      <c r="G2732" t="str">
        <f t="shared" si="253"/>
        <v>1F91F</v>
      </c>
      <c r="I2732">
        <f>HEX2DEC(Table1[[#This Row],[utf8]])</f>
        <v>129311</v>
      </c>
      <c r="J2732" t="str">
        <f>_xlfn.UNICHAR(HEX2DEC(Table1[[#This Row],[utf8]]))</f>
        <v>🤟</v>
      </c>
      <c r="K2732" s="3" t="str" cm="1">
        <f t="array" ref="K2732">"Case "&amp;wRandomLetter()&amp;wRandomLetter()&amp;I2732&amp;":    UniConst = ChrW(" &amp; I2732 &amp;")"</f>
        <v>Case YQ129311:    UniConst = ChrW(129311)</v>
      </c>
    </row>
    <row r="2733" spans="1:11" hidden="1">
      <c r="A2733" t="s">
        <v>255</v>
      </c>
      <c r="B2733" t="str">
        <f t="shared" si="254"/>
        <v>1F91F 1F3FC ; fully-qualified # 🤟🏼 E5.0 love-you gesture: medium-light skin tone</v>
      </c>
      <c r="C2733" t="str">
        <f t="shared" si="255"/>
        <v xml:space="preserve">1F91F 1F3FC </v>
      </c>
      <c r="D2733">
        <f t="shared" si="256"/>
        <v>12</v>
      </c>
      <c r="E2733" t="str">
        <f t="shared" si="252"/>
        <v xml:space="preserve"> 🤟🏼 E5.0 love-you gesture: medium-light skin tone</v>
      </c>
      <c r="F2733" t="b">
        <f t="shared" si="257"/>
        <v>1</v>
      </c>
      <c r="G2733" t="str">
        <f t="shared" si="253"/>
        <v>1F91F</v>
      </c>
      <c r="I2733">
        <f>HEX2DEC(Table1[[#This Row],[utf8]])</f>
        <v>129311</v>
      </c>
      <c r="J2733" t="str">
        <f>_xlfn.UNICHAR(HEX2DEC(Table1[[#This Row],[utf8]]))</f>
        <v>🤟</v>
      </c>
      <c r="K2733" s="3" t="str" cm="1">
        <f t="array" ref="K2733">"Case "&amp;wRandomLetter()&amp;wRandomLetter()&amp;I2733&amp;":    UniConst = ChrW(" &amp; I2733 &amp;")"</f>
        <v>Case vE129311:    UniConst = ChrW(129311)</v>
      </c>
    </row>
    <row r="2734" spans="1:11" hidden="1">
      <c r="A2734" t="s">
        <v>256</v>
      </c>
      <c r="B2734" t="str">
        <f t="shared" si="254"/>
        <v>1F91F 1F3FD ; fully-qualified # 🤟🏽 E5.0 love-you gesture: medium skin tone</v>
      </c>
      <c r="C2734" t="str">
        <f t="shared" si="255"/>
        <v xml:space="preserve">1F91F 1F3FD </v>
      </c>
      <c r="D2734">
        <f t="shared" si="256"/>
        <v>12</v>
      </c>
      <c r="E2734" t="str">
        <f t="shared" si="252"/>
        <v xml:space="preserve"> 🤟🏽 E5.0 love-you gesture: medium skin tone</v>
      </c>
      <c r="F2734" t="b">
        <f t="shared" si="257"/>
        <v>1</v>
      </c>
      <c r="G2734" t="str">
        <f t="shared" si="253"/>
        <v>1F91F</v>
      </c>
      <c r="I2734">
        <f>HEX2DEC(Table1[[#This Row],[utf8]])</f>
        <v>129311</v>
      </c>
      <c r="J2734" t="str">
        <f>_xlfn.UNICHAR(HEX2DEC(Table1[[#This Row],[utf8]]))</f>
        <v>🤟</v>
      </c>
      <c r="K2734" s="3" t="str" cm="1">
        <f t="array" ref="K2734">"Case "&amp;wRandomLetter()&amp;wRandomLetter()&amp;I2734&amp;":    UniConst = ChrW(" &amp; I2734 &amp;")"</f>
        <v>Case Wd129311:    UniConst = ChrW(129311)</v>
      </c>
    </row>
    <row r="2735" spans="1:11" hidden="1">
      <c r="A2735" t="s">
        <v>257</v>
      </c>
      <c r="B2735" t="str">
        <f t="shared" si="254"/>
        <v>1F91F 1F3FE ; fully-qualified # 🤟🏾 E5.0 love-you gesture: medium-dark skin tone</v>
      </c>
      <c r="C2735" t="str">
        <f t="shared" si="255"/>
        <v xml:space="preserve">1F91F 1F3FE </v>
      </c>
      <c r="D2735">
        <f t="shared" si="256"/>
        <v>12</v>
      </c>
      <c r="E2735" t="str">
        <f t="shared" si="252"/>
        <v xml:space="preserve"> 🤟🏾 E5.0 love-you gesture: medium-dark skin tone</v>
      </c>
      <c r="F2735" t="b">
        <f t="shared" si="257"/>
        <v>1</v>
      </c>
      <c r="G2735" t="str">
        <f t="shared" si="253"/>
        <v>1F91F</v>
      </c>
      <c r="I2735">
        <f>HEX2DEC(Table1[[#This Row],[utf8]])</f>
        <v>129311</v>
      </c>
      <c r="J2735" t="str">
        <f>_xlfn.UNICHAR(HEX2DEC(Table1[[#This Row],[utf8]]))</f>
        <v>🤟</v>
      </c>
      <c r="K2735" s="3" t="str" cm="1">
        <f t="array" ref="K2735">"Case "&amp;wRandomLetter()&amp;wRandomLetter()&amp;I2735&amp;":    UniConst = ChrW(" &amp; I2735 &amp;")"</f>
        <v>Case PL129311:    UniConst = ChrW(129311)</v>
      </c>
    </row>
    <row r="2736" spans="1:11" hidden="1">
      <c r="A2736" t="s">
        <v>258</v>
      </c>
      <c r="B2736" t="str">
        <f t="shared" si="254"/>
        <v>1F91F 1F3FF ; fully-qualified # 🤟🏿 E5.0 love-you gesture: dark skin tone</v>
      </c>
      <c r="C2736" t="str">
        <f t="shared" si="255"/>
        <v xml:space="preserve">1F91F 1F3FF </v>
      </c>
      <c r="D2736">
        <f t="shared" si="256"/>
        <v>12</v>
      </c>
      <c r="E2736" t="str">
        <f t="shared" si="252"/>
        <v xml:space="preserve"> 🤟🏿 E5.0 love-you gesture: dark skin tone</v>
      </c>
      <c r="F2736" t="b">
        <f t="shared" si="257"/>
        <v>1</v>
      </c>
      <c r="G2736" t="str">
        <f t="shared" si="253"/>
        <v>1F91F</v>
      </c>
      <c r="I2736">
        <f>HEX2DEC(Table1[[#This Row],[utf8]])</f>
        <v>129311</v>
      </c>
      <c r="J2736" t="str">
        <f>_xlfn.UNICHAR(HEX2DEC(Table1[[#This Row],[utf8]]))</f>
        <v>🤟</v>
      </c>
      <c r="K2736" s="3" t="str" cm="1">
        <f t="array" ref="K2736">"Case "&amp;wRandomLetter()&amp;wRandomLetter()&amp;I2736&amp;":    UniConst = ChrW(" &amp; I2736 &amp;")"</f>
        <v>Case Gh129311:    UniConst = ChrW(129311)</v>
      </c>
    </row>
    <row r="2737" spans="1:11" hidden="1">
      <c r="A2737" t="s">
        <v>72</v>
      </c>
      <c r="B2737" t="str">
        <f t="shared" si="254"/>
        <v>1F920 ; fully-qualified # 🤠 E3.0 cowboy hat face</v>
      </c>
      <c r="C2737" t="str">
        <f t="shared" si="255"/>
        <v xml:space="preserve">1F920 </v>
      </c>
      <c r="D2737">
        <f t="shared" si="256"/>
        <v>6</v>
      </c>
      <c r="E2737" t="str">
        <f t="shared" si="252"/>
        <v xml:space="preserve"> 🤠 E3.0 cowboy hat face</v>
      </c>
      <c r="F2737" t="b">
        <f t="shared" si="257"/>
        <v>1</v>
      </c>
      <c r="G2737" t="str">
        <f t="shared" si="253"/>
        <v>1F920</v>
      </c>
      <c r="I2737">
        <f>HEX2DEC(Table1[[#This Row],[utf8]])</f>
        <v>129312</v>
      </c>
      <c r="J2737" t="str">
        <f>_xlfn.UNICHAR(HEX2DEC(Table1[[#This Row],[utf8]]))</f>
        <v>🤠</v>
      </c>
      <c r="K2737" s="3" t="str" cm="1">
        <f t="array" ref="K2737">"Case "&amp;wRandomLetter()&amp;wRandomLetter()&amp;I2737&amp;":    UniConst = ChrW(" &amp; I2737 &amp;")"</f>
        <v>Case cm129312:    UniConst = ChrW(129312)</v>
      </c>
    </row>
    <row r="2738" spans="1:11" hidden="1">
      <c r="A2738" t="s">
        <v>117</v>
      </c>
      <c r="B2738" t="str">
        <f t="shared" si="254"/>
        <v>1F921 ; fully-qualified # 🤡 E3.0 clown face</v>
      </c>
      <c r="C2738" t="str">
        <f t="shared" si="255"/>
        <v xml:space="preserve">1F921 </v>
      </c>
      <c r="D2738">
        <f t="shared" si="256"/>
        <v>6</v>
      </c>
      <c r="E2738" t="str">
        <f t="shared" si="252"/>
        <v xml:space="preserve"> 🤡 E3.0 clown face</v>
      </c>
      <c r="F2738" t="b">
        <f t="shared" si="257"/>
        <v>1</v>
      </c>
      <c r="G2738" t="str">
        <f t="shared" si="253"/>
        <v>1F921</v>
      </c>
      <c r="I2738">
        <f>HEX2DEC(Table1[[#This Row],[utf8]])</f>
        <v>129313</v>
      </c>
      <c r="J2738" t="str">
        <f>_xlfn.UNICHAR(HEX2DEC(Table1[[#This Row],[utf8]]))</f>
        <v>🤡</v>
      </c>
      <c r="K2738" s="3" t="str" cm="1">
        <f t="array" ref="K2738">"Case "&amp;wRandomLetter()&amp;wRandomLetter()&amp;I2738&amp;":    UniConst = ChrW(" &amp; I2738 &amp;")"</f>
        <v>Case mO129313:    UniConst = ChrW(129313)</v>
      </c>
    </row>
    <row r="2739" spans="1:11" hidden="1">
      <c r="A2739" t="s">
        <v>62</v>
      </c>
      <c r="B2739" t="str">
        <f t="shared" si="254"/>
        <v>1F922 ; fully-qualified # 🤢 E3.0 nauseated face</v>
      </c>
      <c r="C2739" t="str">
        <f t="shared" si="255"/>
        <v xml:space="preserve">1F922 </v>
      </c>
      <c r="D2739">
        <f t="shared" si="256"/>
        <v>6</v>
      </c>
      <c r="E2739" t="str">
        <f t="shared" si="252"/>
        <v xml:space="preserve"> 🤢 E3.0 nauseated face</v>
      </c>
      <c r="F2739" t="b">
        <f t="shared" si="257"/>
        <v>1</v>
      </c>
      <c r="G2739" t="str">
        <f t="shared" si="253"/>
        <v>1F922</v>
      </c>
      <c r="I2739">
        <f>HEX2DEC(Table1[[#This Row],[utf8]])</f>
        <v>129314</v>
      </c>
      <c r="J2739" t="str">
        <f>_xlfn.UNICHAR(HEX2DEC(Table1[[#This Row],[utf8]]))</f>
        <v>🤢</v>
      </c>
      <c r="K2739" s="3" t="str" cm="1">
        <f t="array" ref="K2739">"Case "&amp;wRandomLetter()&amp;wRandomLetter()&amp;I2739&amp;":    UniConst = ChrW(" &amp; I2739 &amp;")"</f>
        <v>Case Ic129314:    UniConst = ChrW(129314)</v>
      </c>
    </row>
    <row r="2740" spans="1:11" hidden="1">
      <c r="A2740" t="s">
        <v>8</v>
      </c>
      <c r="B2740" t="str">
        <f t="shared" si="254"/>
        <v>1F923 ; fully-qualified # 🤣 E3.0 rolling on the floor laughing</v>
      </c>
      <c r="C2740" t="str">
        <f t="shared" si="255"/>
        <v xml:space="preserve">1F923 </v>
      </c>
      <c r="D2740">
        <f t="shared" si="256"/>
        <v>6</v>
      </c>
      <c r="E2740" t="str">
        <f t="shared" si="252"/>
        <v xml:space="preserve"> 🤣 E3.0 rolling on the floor laughing</v>
      </c>
      <c r="F2740" t="b">
        <f t="shared" si="257"/>
        <v>1</v>
      </c>
      <c r="G2740" t="str">
        <f t="shared" si="253"/>
        <v>1F923</v>
      </c>
      <c r="I2740">
        <f>HEX2DEC(Table1[[#This Row],[utf8]])</f>
        <v>129315</v>
      </c>
      <c r="J2740" t="str">
        <f>_xlfn.UNICHAR(HEX2DEC(Table1[[#This Row],[utf8]]))</f>
        <v>🤣</v>
      </c>
      <c r="K2740" s="3" t="str" cm="1">
        <f t="array" ref="K2740">"Case "&amp;wRandomLetter()&amp;wRandomLetter()&amp;I2740&amp;":    UniConst = ChrW(" &amp; I2740 &amp;")"</f>
        <v>Case yt129315:    UniConst = ChrW(129315)</v>
      </c>
    </row>
    <row r="2741" spans="1:11" hidden="1">
      <c r="A2741" t="s">
        <v>56</v>
      </c>
      <c r="B2741" t="str">
        <f t="shared" si="254"/>
        <v>1F924 ; fully-qualified # 🤤 E3.0 drooling face</v>
      </c>
      <c r="C2741" t="str">
        <f t="shared" si="255"/>
        <v xml:space="preserve">1F924 </v>
      </c>
      <c r="D2741">
        <f t="shared" si="256"/>
        <v>6</v>
      </c>
      <c r="E2741" t="str">
        <f t="shared" si="252"/>
        <v xml:space="preserve"> 🤤 E3.0 drooling face</v>
      </c>
      <c r="F2741" t="b">
        <f t="shared" si="257"/>
        <v>1</v>
      </c>
      <c r="G2741" t="str">
        <f t="shared" si="253"/>
        <v>1F924</v>
      </c>
      <c r="I2741">
        <f>HEX2DEC(Table1[[#This Row],[utf8]])</f>
        <v>129316</v>
      </c>
      <c r="J2741" t="str">
        <f>_xlfn.UNICHAR(HEX2DEC(Table1[[#This Row],[utf8]]))</f>
        <v>🤤</v>
      </c>
      <c r="K2741" s="3" t="str" cm="1">
        <f t="array" ref="K2741">"Case "&amp;wRandomLetter()&amp;wRandomLetter()&amp;I2741&amp;":    UniConst = ChrW(" &amp; I2741 &amp;")"</f>
        <v>Case Ma129316:    UniConst = ChrW(129316)</v>
      </c>
    </row>
    <row r="2742" spans="1:11" hidden="1">
      <c r="A2742" t="s">
        <v>51</v>
      </c>
      <c r="B2742" t="str">
        <f t="shared" si="254"/>
        <v>1F925 ; fully-qualified # 🤥 E3.0 lying face</v>
      </c>
      <c r="C2742" t="str">
        <f t="shared" si="255"/>
        <v xml:space="preserve">1F925 </v>
      </c>
      <c r="D2742">
        <f t="shared" si="256"/>
        <v>6</v>
      </c>
      <c r="E2742" t="str">
        <f t="shared" si="252"/>
        <v xml:space="preserve"> 🤥 E3.0 lying face</v>
      </c>
      <c r="F2742" t="b">
        <f t="shared" si="257"/>
        <v>1</v>
      </c>
      <c r="G2742" t="str">
        <f t="shared" si="253"/>
        <v>1F925</v>
      </c>
      <c r="I2742">
        <f>HEX2DEC(Table1[[#This Row],[utf8]])</f>
        <v>129317</v>
      </c>
      <c r="J2742" t="str">
        <f>_xlfn.UNICHAR(HEX2DEC(Table1[[#This Row],[utf8]]))</f>
        <v>🤥</v>
      </c>
      <c r="K2742" s="3" t="str" cm="1">
        <f t="array" ref="K2742">"Case "&amp;wRandomLetter()&amp;wRandomLetter()&amp;I2742&amp;":    UniConst = ChrW(" &amp; I2742 &amp;")"</f>
        <v>Case bd129317:    UniConst = ChrW(129317)</v>
      </c>
    </row>
    <row r="2743" spans="1:11" hidden="1">
      <c r="A2743" t="s">
        <v>881</v>
      </c>
      <c r="B2743" t="str">
        <f t="shared" si="254"/>
        <v>1F926 ; fully-qualified # 🤦 E3.0 person facepalming</v>
      </c>
      <c r="C2743" t="str">
        <f t="shared" si="255"/>
        <v xml:space="preserve">1F926 </v>
      </c>
      <c r="D2743">
        <f t="shared" si="256"/>
        <v>6</v>
      </c>
      <c r="E2743" t="str">
        <f t="shared" si="252"/>
        <v xml:space="preserve"> 🤦 E3.0 person facepalming</v>
      </c>
      <c r="F2743" t="b">
        <f t="shared" si="257"/>
        <v>1</v>
      </c>
      <c r="G2743" t="str">
        <f t="shared" si="253"/>
        <v>1F926</v>
      </c>
      <c r="I2743">
        <f>HEX2DEC(Table1[[#This Row],[utf8]])</f>
        <v>129318</v>
      </c>
      <c r="J2743" t="str">
        <f>_xlfn.UNICHAR(HEX2DEC(Table1[[#This Row],[utf8]]))</f>
        <v>🤦</v>
      </c>
      <c r="K2743" s="3" t="str" cm="1">
        <f t="array" ref="K2743">"Case "&amp;wRandomLetter()&amp;wRandomLetter()&amp;I2743&amp;":    UniConst = ChrW(" &amp; I2743 &amp;")"</f>
        <v>Case mN129318:    UniConst = ChrW(129318)</v>
      </c>
    </row>
    <row r="2744" spans="1:11" hidden="1">
      <c r="A2744" t="s">
        <v>882</v>
      </c>
      <c r="B2744" t="str">
        <f t="shared" si="254"/>
        <v>1F926 1F3FB ; fully-qualified # 🤦🏻 E3.0 person facepalming: light skin tone</v>
      </c>
      <c r="C2744" t="str">
        <f t="shared" si="255"/>
        <v xml:space="preserve">1F926 1F3FB </v>
      </c>
      <c r="D2744">
        <f t="shared" si="256"/>
        <v>12</v>
      </c>
      <c r="E2744" t="str">
        <f t="shared" si="252"/>
        <v xml:space="preserve"> 🤦🏻 E3.0 person facepalming: light skin tone</v>
      </c>
      <c r="F2744" t="b">
        <f t="shared" si="257"/>
        <v>1</v>
      </c>
      <c r="G2744" t="str">
        <f t="shared" si="253"/>
        <v>1F926</v>
      </c>
      <c r="I2744">
        <f>HEX2DEC(Table1[[#This Row],[utf8]])</f>
        <v>129318</v>
      </c>
      <c r="J2744" t="str">
        <f>_xlfn.UNICHAR(HEX2DEC(Table1[[#This Row],[utf8]]))</f>
        <v>🤦</v>
      </c>
      <c r="K2744" s="3" t="str" cm="1">
        <f t="array" ref="K2744">"Case "&amp;wRandomLetter()&amp;wRandomLetter()&amp;I2744&amp;":    UniConst = ChrW(" &amp; I2744 &amp;")"</f>
        <v>Case BC129318:    UniConst = ChrW(129318)</v>
      </c>
    </row>
    <row r="2745" spans="1:11" hidden="1">
      <c r="A2745" t="s">
        <v>902</v>
      </c>
      <c r="B2745" t="str">
        <f t="shared" si="254"/>
        <v>1F926 1F3FB 200D 2640 ; minimally-qualified # 🤦🏻‍♀ E4.0 woman facepalming: light skin tone</v>
      </c>
      <c r="C2745" t="str">
        <f t="shared" si="255"/>
        <v xml:space="preserve">1F926 1F3FB 200D 2640 </v>
      </c>
      <c r="D2745">
        <f t="shared" si="256"/>
        <v>22</v>
      </c>
      <c r="E2745" t="str">
        <f t="shared" si="252"/>
        <v xml:space="preserve"> 🤦🏻‍♀ E4.0 woman facepalming: light skin tone</v>
      </c>
      <c r="F2745" t="b">
        <f t="shared" si="257"/>
        <v>1</v>
      </c>
      <c r="G2745" t="str">
        <f t="shared" si="253"/>
        <v>1F926</v>
      </c>
      <c r="I2745">
        <f>HEX2DEC(Table1[[#This Row],[utf8]])</f>
        <v>129318</v>
      </c>
      <c r="J2745" t="str">
        <f>_xlfn.UNICHAR(HEX2DEC(Table1[[#This Row],[utf8]]))</f>
        <v>🤦</v>
      </c>
      <c r="K2745" s="3" t="str" cm="1">
        <f t="array" ref="K2745">"Case "&amp;wRandomLetter()&amp;wRandomLetter()&amp;I2745&amp;":    UniConst = ChrW(" &amp; I2745 &amp;")"</f>
        <v>Case GM129318:    UniConst = ChrW(129318)</v>
      </c>
    </row>
    <row r="2746" spans="1:11" hidden="1">
      <c r="A2746" t="s">
        <v>901</v>
      </c>
      <c r="B2746" t="str">
        <f t="shared" si="254"/>
        <v>1F926 1F3FB 200D 2640 FE0F ; fully-qualified # 🤦🏻‍♀️ E4.0 woman facepalming: light skin tone</v>
      </c>
      <c r="C2746" t="str">
        <f t="shared" si="255"/>
        <v xml:space="preserve">1F926 1F3FB 200D 2640 FE0F </v>
      </c>
      <c r="D2746">
        <f t="shared" si="256"/>
        <v>27</v>
      </c>
      <c r="E2746" t="str">
        <f t="shared" si="252"/>
        <v xml:space="preserve"> 🤦🏻‍♀️ E4.0 woman facepalming: light skin tone</v>
      </c>
      <c r="F2746" t="b">
        <f t="shared" si="257"/>
        <v>1</v>
      </c>
      <c r="G2746" t="str">
        <f t="shared" si="253"/>
        <v>1F926</v>
      </c>
      <c r="I2746">
        <f>HEX2DEC(Table1[[#This Row],[utf8]])</f>
        <v>129318</v>
      </c>
      <c r="J2746" t="str">
        <f>_xlfn.UNICHAR(HEX2DEC(Table1[[#This Row],[utf8]]))</f>
        <v>🤦</v>
      </c>
      <c r="K2746" s="3" t="str" cm="1">
        <f t="array" ref="K2746">"Case "&amp;wRandomLetter()&amp;wRandomLetter()&amp;I2746&amp;":    UniConst = ChrW(" &amp; I2746 &amp;")"</f>
        <v>Case wZ129318:    UniConst = ChrW(129318)</v>
      </c>
    </row>
    <row r="2747" spans="1:11" hidden="1">
      <c r="A2747" t="s">
        <v>890</v>
      </c>
      <c r="B2747" t="str">
        <f t="shared" si="254"/>
        <v>1F926 1F3FB 200D 2642 ; minimally-qualified # 🤦🏻‍♂ E4.0 man facepalming: light skin tone</v>
      </c>
      <c r="C2747" t="str">
        <f t="shared" si="255"/>
        <v xml:space="preserve">1F926 1F3FB 200D 2642 </v>
      </c>
      <c r="D2747">
        <f t="shared" si="256"/>
        <v>22</v>
      </c>
      <c r="E2747" t="str">
        <f t="shared" si="252"/>
        <v xml:space="preserve"> 🤦🏻‍♂ E4.0 man facepalming: light skin tone</v>
      </c>
      <c r="F2747" t="b">
        <f t="shared" si="257"/>
        <v>1</v>
      </c>
      <c r="G2747" t="str">
        <f t="shared" si="253"/>
        <v>1F926</v>
      </c>
      <c r="I2747">
        <f>HEX2DEC(Table1[[#This Row],[utf8]])</f>
        <v>129318</v>
      </c>
      <c r="J2747" t="str">
        <f>_xlfn.UNICHAR(HEX2DEC(Table1[[#This Row],[utf8]]))</f>
        <v>🤦</v>
      </c>
      <c r="K2747" s="3" t="str" cm="1">
        <f t="array" ref="K2747">"Case "&amp;wRandomLetter()&amp;wRandomLetter()&amp;I2747&amp;":    UniConst = ChrW(" &amp; I2747 &amp;")"</f>
        <v>Case Re129318:    UniConst = ChrW(129318)</v>
      </c>
    </row>
    <row r="2748" spans="1:11" hidden="1">
      <c r="A2748" t="s">
        <v>889</v>
      </c>
      <c r="B2748" t="str">
        <f t="shared" si="254"/>
        <v>1F926 1F3FB 200D 2642 FE0F ; fully-qualified # 🤦🏻‍♂️ E4.0 man facepalming: light skin tone</v>
      </c>
      <c r="C2748" t="str">
        <f t="shared" si="255"/>
        <v xml:space="preserve">1F926 1F3FB 200D 2642 FE0F </v>
      </c>
      <c r="D2748">
        <f t="shared" si="256"/>
        <v>27</v>
      </c>
      <c r="E2748" t="str">
        <f t="shared" si="252"/>
        <v xml:space="preserve"> 🤦🏻‍♂️ E4.0 man facepalming: light skin tone</v>
      </c>
      <c r="F2748" t="b">
        <f t="shared" si="257"/>
        <v>1</v>
      </c>
      <c r="G2748" t="str">
        <f t="shared" si="253"/>
        <v>1F926</v>
      </c>
      <c r="I2748">
        <f>HEX2DEC(Table1[[#This Row],[utf8]])</f>
        <v>129318</v>
      </c>
      <c r="J2748" t="str">
        <f>_xlfn.UNICHAR(HEX2DEC(Table1[[#This Row],[utf8]]))</f>
        <v>🤦</v>
      </c>
      <c r="K2748" s="3" t="str" cm="1">
        <f t="array" ref="K2748">"Case "&amp;wRandomLetter()&amp;wRandomLetter()&amp;I2748&amp;":    UniConst = ChrW(" &amp; I2748 &amp;")"</f>
        <v>Case Vt129318:    UniConst = ChrW(129318)</v>
      </c>
    </row>
    <row r="2749" spans="1:11" hidden="1">
      <c r="A2749" t="s">
        <v>883</v>
      </c>
      <c r="B2749" t="str">
        <f t="shared" si="254"/>
        <v>1F926 1F3FC ; fully-qualified # 🤦🏼 E3.0 person facepalming: medium-light skin tone</v>
      </c>
      <c r="C2749" t="str">
        <f t="shared" si="255"/>
        <v xml:space="preserve">1F926 1F3FC </v>
      </c>
      <c r="D2749">
        <f t="shared" si="256"/>
        <v>12</v>
      </c>
      <c r="E2749" t="str">
        <f t="shared" si="252"/>
        <v xml:space="preserve"> 🤦🏼 E3.0 person facepalming: medium-light skin tone</v>
      </c>
      <c r="F2749" t="b">
        <f t="shared" si="257"/>
        <v>1</v>
      </c>
      <c r="G2749" t="str">
        <f t="shared" si="253"/>
        <v>1F926</v>
      </c>
      <c r="I2749">
        <f>HEX2DEC(Table1[[#This Row],[utf8]])</f>
        <v>129318</v>
      </c>
      <c r="J2749" t="str">
        <f>_xlfn.UNICHAR(HEX2DEC(Table1[[#This Row],[utf8]]))</f>
        <v>🤦</v>
      </c>
      <c r="K2749" s="3" t="str" cm="1">
        <f t="array" ref="K2749">"Case "&amp;wRandomLetter()&amp;wRandomLetter()&amp;I2749&amp;":    UniConst = ChrW(" &amp; I2749 &amp;")"</f>
        <v>Case nK129318:    UniConst = ChrW(129318)</v>
      </c>
    </row>
    <row r="2750" spans="1:11" hidden="1">
      <c r="A2750" t="s">
        <v>904</v>
      </c>
      <c r="B2750" t="str">
        <f t="shared" si="254"/>
        <v>1F926 1F3FC 200D 2640 ; minimally-qualified # 🤦🏼‍♀ E4.0 woman facepalming: medium-light skin tone</v>
      </c>
      <c r="C2750" t="str">
        <f t="shared" si="255"/>
        <v xml:space="preserve">1F926 1F3FC 200D 2640 </v>
      </c>
      <c r="D2750">
        <f t="shared" si="256"/>
        <v>22</v>
      </c>
      <c r="E2750" t="str">
        <f t="shared" si="252"/>
        <v xml:space="preserve"> 🤦🏼‍♀ E4.0 woman facepalming: medium-light skin tone</v>
      </c>
      <c r="F2750" t="b">
        <f t="shared" si="257"/>
        <v>1</v>
      </c>
      <c r="G2750" t="str">
        <f t="shared" si="253"/>
        <v>1F926</v>
      </c>
      <c r="I2750">
        <f>HEX2DEC(Table1[[#This Row],[utf8]])</f>
        <v>129318</v>
      </c>
      <c r="J2750" t="str">
        <f>_xlfn.UNICHAR(HEX2DEC(Table1[[#This Row],[utf8]]))</f>
        <v>🤦</v>
      </c>
      <c r="K2750" s="3" t="str" cm="1">
        <f t="array" ref="K2750">"Case "&amp;wRandomLetter()&amp;wRandomLetter()&amp;I2750&amp;":    UniConst = ChrW(" &amp; I2750 &amp;")"</f>
        <v>Case YA129318:    UniConst = ChrW(129318)</v>
      </c>
    </row>
    <row r="2751" spans="1:11" hidden="1">
      <c r="A2751" t="s">
        <v>903</v>
      </c>
      <c r="B2751" t="str">
        <f t="shared" si="254"/>
        <v>1F926 1F3FC 200D 2640 FE0F ; fully-qualified # 🤦🏼‍♀️ E4.0 woman facepalming: medium-light skin tone</v>
      </c>
      <c r="C2751" t="str">
        <f t="shared" si="255"/>
        <v xml:space="preserve">1F926 1F3FC 200D 2640 FE0F </v>
      </c>
      <c r="D2751">
        <f t="shared" si="256"/>
        <v>27</v>
      </c>
      <c r="E2751" t="str">
        <f t="shared" si="252"/>
        <v xml:space="preserve"> 🤦🏼‍♀️ E4.0 woman facepalming: medium-light skin tone</v>
      </c>
      <c r="F2751" t="b">
        <f t="shared" si="257"/>
        <v>1</v>
      </c>
      <c r="G2751" t="str">
        <f t="shared" si="253"/>
        <v>1F926</v>
      </c>
      <c r="I2751">
        <f>HEX2DEC(Table1[[#This Row],[utf8]])</f>
        <v>129318</v>
      </c>
      <c r="J2751" t="str">
        <f>_xlfn.UNICHAR(HEX2DEC(Table1[[#This Row],[utf8]]))</f>
        <v>🤦</v>
      </c>
      <c r="K2751" s="3" t="str" cm="1">
        <f t="array" ref="K2751">"Case "&amp;wRandomLetter()&amp;wRandomLetter()&amp;I2751&amp;":    UniConst = ChrW(" &amp; I2751 &amp;")"</f>
        <v>Case Tz129318:    UniConst = ChrW(129318)</v>
      </c>
    </row>
    <row r="2752" spans="1:11" hidden="1">
      <c r="A2752" t="s">
        <v>892</v>
      </c>
      <c r="B2752" t="str">
        <f t="shared" si="254"/>
        <v>1F926 1F3FC 200D 2642 ; minimally-qualified # 🤦🏼‍♂ E4.0 man facepalming: medium-light skin tone</v>
      </c>
      <c r="C2752" t="str">
        <f t="shared" si="255"/>
        <v xml:space="preserve">1F926 1F3FC 200D 2642 </v>
      </c>
      <c r="D2752">
        <f t="shared" si="256"/>
        <v>22</v>
      </c>
      <c r="E2752" t="str">
        <f t="shared" si="252"/>
        <v xml:space="preserve"> 🤦🏼‍♂ E4.0 man facepalming: medium-light skin tone</v>
      </c>
      <c r="F2752" t="b">
        <f t="shared" si="257"/>
        <v>1</v>
      </c>
      <c r="G2752" t="str">
        <f t="shared" si="253"/>
        <v>1F926</v>
      </c>
      <c r="I2752">
        <f>HEX2DEC(Table1[[#This Row],[utf8]])</f>
        <v>129318</v>
      </c>
      <c r="J2752" t="str">
        <f>_xlfn.UNICHAR(HEX2DEC(Table1[[#This Row],[utf8]]))</f>
        <v>🤦</v>
      </c>
      <c r="K2752" s="3" t="str" cm="1">
        <f t="array" ref="K2752">"Case "&amp;wRandomLetter()&amp;wRandomLetter()&amp;I2752&amp;":    UniConst = ChrW(" &amp; I2752 &amp;")"</f>
        <v>Case KD129318:    UniConst = ChrW(129318)</v>
      </c>
    </row>
    <row r="2753" spans="1:11" hidden="1">
      <c r="A2753" t="s">
        <v>891</v>
      </c>
      <c r="B2753" t="str">
        <f t="shared" si="254"/>
        <v>1F926 1F3FC 200D 2642 FE0F ; fully-qualified # 🤦🏼‍♂️ E4.0 man facepalming: medium-light skin tone</v>
      </c>
      <c r="C2753" t="str">
        <f t="shared" si="255"/>
        <v xml:space="preserve">1F926 1F3FC 200D 2642 FE0F </v>
      </c>
      <c r="D2753">
        <f t="shared" si="256"/>
        <v>27</v>
      </c>
      <c r="E2753" t="str">
        <f t="shared" si="252"/>
        <v xml:space="preserve"> 🤦🏼‍♂️ E4.0 man facepalming: medium-light skin tone</v>
      </c>
      <c r="F2753" t="b">
        <f t="shared" si="257"/>
        <v>1</v>
      </c>
      <c r="G2753" t="str">
        <f t="shared" si="253"/>
        <v>1F926</v>
      </c>
      <c r="I2753">
        <f>HEX2DEC(Table1[[#This Row],[utf8]])</f>
        <v>129318</v>
      </c>
      <c r="J2753" t="str">
        <f>_xlfn.UNICHAR(HEX2DEC(Table1[[#This Row],[utf8]]))</f>
        <v>🤦</v>
      </c>
      <c r="K2753" s="3" t="str" cm="1">
        <f t="array" ref="K2753">"Case "&amp;wRandomLetter()&amp;wRandomLetter()&amp;I2753&amp;":    UniConst = ChrW(" &amp; I2753 &amp;")"</f>
        <v>Case TT129318:    UniConst = ChrW(129318)</v>
      </c>
    </row>
    <row r="2754" spans="1:11" hidden="1">
      <c r="A2754" t="s">
        <v>884</v>
      </c>
      <c r="B2754" t="str">
        <f t="shared" si="254"/>
        <v>1F926 1F3FD ; fully-qualified # 🤦🏽 E3.0 person facepalming: medium skin tone</v>
      </c>
      <c r="C2754" t="str">
        <f t="shared" si="255"/>
        <v xml:space="preserve">1F926 1F3FD </v>
      </c>
      <c r="D2754">
        <f t="shared" si="256"/>
        <v>12</v>
      </c>
      <c r="E2754" t="str">
        <f t="shared" ref="E2754:E2817" si="258">MID(A2754,FIND("#",A2754)+1,256)</f>
        <v xml:space="preserve"> 🤦🏽 E3.0 person facepalming: medium skin tone</v>
      </c>
      <c r="F2754" t="b">
        <f t="shared" si="257"/>
        <v>1</v>
      </c>
      <c r="G2754" t="str">
        <f t="shared" ref="G2754:G2817" si="259">LEFT(C2754,(FIND(" ",C2754,1)-1))</f>
        <v>1F926</v>
      </c>
      <c r="I2754">
        <f>HEX2DEC(Table1[[#This Row],[utf8]])</f>
        <v>129318</v>
      </c>
      <c r="J2754" t="str">
        <f>_xlfn.UNICHAR(HEX2DEC(Table1[[#This Row],[utf8]]))</f>
        <v>🤦</v>
      </c>
      <c r="K2754" s="3" t="str" cm="1">
        <f t="array" ref="K2754">"Case "&amp;wRandomLetter()&amp;wRandomLetter()&amp;I2754&amp;":    UniConst = ChrW(" &amp; I2754 &amp;")"</f>
        <v>Case rU129318:    UniConst = ChrW(129318)</v>
      </c>
    </row>
    <row r="2755" spans="1:11" hidden="1">
      <c r="A2755" t="s">
        <v>906</v>
      </c>
      <c r="B2755" t="str">
        <f t="shared" ref="B2755:B2818" si="260">TRIM(A2755)</f>
        <v>1F926 1F3FD 200D 2640 ; minimally-qualified # 🤦🏽‍♀ E4.0 woman facepalming: medium skin tone</v>
      </c>
      <c r="C2755" t="str">
        <f t="shared" ref="C2755:C2818" si="261">LEFT(B2755,(FIND(";",B2755,1)-1))</f>
        <v xml:space="preserve">1F926 1F3FD 200D 2640 </v>
      </c>
      <c r="D2755">
        <f t="shared" ref="D2755:D2818" si="262">LEN(C2755)</f>
        <v>22</v>
      </c>
      <c r="E2755" t="str">
        <f t="shared" si="258"/>
        <v xml:space="preserve"> 🤦🏽‍♀ E4.0 woman facepalming: medium skin tone</v>
      </c>
      <c r="F2755" t="b">
        <f t="shared" ref="F2755:F2818" si="263">IF(LEFT(C2755,2)="1F",TRUE,FALSE)</f>
        <v>1</v>
      </c>
      <c r="G2755" t="str">
        <f t="shared" si="259"/>
        <v>1F926</v>
      </c>
      <c r="I2755">
        <f>HEX2DEC(Table1[[#This Row],[utf8]])</f>
        <v>129318</v>
      </c>
      <c r="J2755" t="str">
        <f>_xlfn.UNICHAR(HEX2DEC(Table1[[#This Row],[utf8]]))</f>
        <v>🤦</v>
      </c>
      <c r="K2755" s="3" t="str" cm="1">
        <f t="array" ref="K2755">"Case "&amp;wRandomLetter()&amp;wRandomLetter()&amp;I2755&amp;":    UniConst = ChrW(" &amp; I2755 &amp;")"</f>
        <v>Case ar129318:    UniConst = ChrW(129318)</v>
      </c>
    </row>
    <row r="2756" spans="1:11" hidden="1">
      <c r="A2756" t="s">
        <v>905</v>
      </c>
      <c r="B2756" t="str">
        <f t="shared" si="260"/>
        <v>1F926 1F3FD 200D 2640 FE0F ; fully-qualified # 🤦🏽‍♀️ E4.0 woman facepalming: medium skin tone</v>
      </c>
      <c r="C2756" t="str">
        <f t="shared" si="261"/>
        <v xml:space="preserve">1F926 1F3FD 200D 2640 FE0F </v>
      </c>
      <c r="D2756">
        <f t="shared" si="262"/>
        <v>27</v>
      </c>
      <c r="E2756" t="str">
        <f t="shared" si="258"/>
        <v xml:space="preserve"> 🤦🏽‍♀️ E4.0 woman facepalming: medium skin tone</v>
      </c>
      <c r="F2756" t="b">
        <f t="shared" si="263"/>
        <v>1</v>
      </c>
      <c r="G2756" t="str">
        <f t="shared" si="259"/>
        <v>1F926</v>
      </c>
      <c r="I2756">
        <f>HEX2DEC(Table1[[#This Row],[utf8]])</f>
        <v>129318</v>
      </c>
      <c r="J2756" t="str">
        <f>_xlfn.UNICHAR(HEX2DEC(Table1[[#This Row],[utf8]]))</f>
        <v>🤦</v>
      </c>
      <c r="K2756" s="3" t="str" cm="1">
        <f t="array" ref="K2756">"Case "&amp;wRandomLetter()&amp;wRandomLetter()&amp;I2756&amp;":    UniConst = ChrW(" &amp; I2756 &amp;")"</f>
        <v>Case EQ129318:    UniConst = ChrW(129318)</v>
      </c>
    </row>
    <row r="2757" spans="1:11" hidden="1">
      <c r="A2757" t="s">
        <v>894</v>
      </c>
      <c r="B2757" t="str">
        <f t="shared" si="260"/>
        <v>1F926 1F3FD 200D 2642 ; minimally-qualified # 🤦🏽‍♂ E4.0 man facepalming: medium skin tone</v>
      </c>
      <c r="C2757" t="str">
        <f t="shared" si="261"/>
        <v xml:space="preserve">1F926 1F3FD 200D 2642 </v>
      </c>
      <c r="D2757">
        <f t="shared" si="262"/>
        <v>22</v>
      </c>
      <c r="E2757" t="str">
        <f t="shared" si="258"/>
        <v xml:space="preserve"> 🤦🏽‍♂ E4.0 man facepalming: medium skin tone</v>
      </c>
      <c r="F2757" t="b">
        <f t="shared" si="263"/>
        <v>1</v>
      </c>
      <c r="G2757" t="str">
        <f t="shared" si="259"/>
        <v>1F926</v>
      </c>
      <c r="I2757">
        <f>HEX2DEC(Table1[[#This Row],[utf8]])</f>
        <v>129318</v>
      </c>
      <c r="J2757" t="str">
        <f>_xlfn.UNICHAR(HEX2DEC(Table1[[#This Row],[utf8]]))</f>
        <v>🤦</v>
      </c>
      <c r="K2757" s="3" t="str" cm="1">
        <f t="array" ref="K2757">"Case "&amp;wRandomLetter()&amp;wRandomLetter()&amp;I2757&amp;":    UniConst = ChrW(" &amp; I2757 &amp;")"</f>
        <v>Case kW129318:    UniConst = ChrW(129318)</v>
      </c>
    </row>
    <row r="2758" spans="1:11" hidden="1">
      <c r="A2758" t="s">
        <v>893</v>
      </c>
      <c r="B2758" t="str">
        <f t="shared" si="260"/>
        <v>1F926 1F3FD 200D 2642 FE0F ; fully-qualified # 🤦🏽‍♂️ E4.0 man facepalming: medium skin tone</v>
      </c>
      <c r="C2758" t="str">
        <f t="shared" si="261"/>
        <v xml:space="preserve">1F926 1F3FD 200D 2642 FE0F </v>
      </c>
      <c r="D2758">
        <f t="shared" si="262"/>
        <v>27</v>
      </c>
      <c r="E2758" t="str">
        <f t="shared" si="258"/>
        <v xml:space="preserve"> 🤦🏽‍♂️ E4.0 man facepalming: medium skin tone</v>
      </c>
      <c r="F2758" t="b">
        <f t="shared" si="263"/>
        <v>1</v>
      </c>
      <c r="G2758" t="str">
        <f t="shared" si="259"/>
        <v>1F926</v>
      </c>
      <c r="I2758">
        <f>HEX2DEC(Table1[[#This Row],[utf8]])</f>
        <v>129318</v>
      </c>
      <c r="J2758" t="str">
        <f>_xlfn.UNICHAR(HEX2DEC(Table1[[#This Row],[utf8]]))</f>
        <v>🤦</v>
      </c>
      <c r="K2758" s="3" t="str" cm="1">
        <f t="array" ref="K2758">"Case "&amp;wRandomLetter()&amp;wRandomLetter()&amp;I2758&amp;":    UniConst = ChrW(" &amp; I2758 &amp;")"</f>
        <v>Case Cr129318:    UniConst = ChrW(129318)</v>
      </c>
    </row>
    <row r="2759" spans="1:11" hidden="1">
      <c r="A2759" t="s">
        <v>885</v>
      </c>
      <c r="B2759" t="str">
        <f t="shared" si="260"/>
        <v>1F926 1F3FE ; fully-qualified # 🤦🏾 E3.0 person facepalming: medium-dark skin tone</v>
      </c>
      <c r="C2759" t="str">
        <f t="shared" si="261"/>
        <v xml:space="preserve">1F926 1F3FE </v>
      </c>
      <c r="D2759">
        <f t="shared" si="262"/>
        <v>12</v>
      </c>
      <c r="E2759" t="str">
        <f t="shared" si="258"/>
        <v xml:space="preserve"> 🤦🏾 E3.0 person facepalming: medium-dark skin tone</v>
      </c>
      <c r="F2759" t="b">
        <f t="shared" si="263"/>
        <v>1</v>
      </c>
      <c r="G2759" t="str">
        <f t="shared" si="259"/>
        <v>1F926</v>
      </c>
      <c r="I2759">
        <f>HEX2DEC(Table1[[#This Row],[utf8]])</f>
        <v>129318</v>
      </c>
      <c r="J2759" t="str">
        <f>_xlfn.UNICHAR(HEX2DEC(Table1[[#This Row],[utf8]]))</f>
        <v>🤦</v>
      </c>
      <c r="K2759" s="3" t="str" cm="1">
        <f t="array" ref="K2759">"Case "&amp;wRandomLetter()&amp;wRandomLetter()&amp;I2759&amp;":    UniConst = ChrW(" &amp; I2759 &amp;")"</f>
        <v>Case ON129318:    UniConst = ChrW(129318)</v>
      </c>
    </row>
    <row r="2760" spans="1:11" hidden="1">
      <c r="A2760" t="s">
        <v>908</v>
      </c>
      <c r="B2760" t="str">
        <f t="shared" si="260"/>
        <v>1F926 1F3FE 200D 2640 ; minimally-qualified # 🤦🏾‍♀ E4.0 woman facepalming: medium-dark skin tone</v>
      </c>
      <c r="C2760" t="str">
        <f t="shared" si="261"/>
        <v xml:space="preserve">1F926 1F3FE 200D 2640 </v>
      </c>
      <c r="D2760">
        <f t="shared" si="262"/>
        <v>22</v>
      </c>
      <c r="E2760" t="str">
        <f t="shared" si="258"/>
        <v xml:space="preserve"> 🤦🏾‍♀ E4.0 woman facepalming: medium-dark skin tone</v>
      </c>
      <c r="F2760" t="b">
        <f t="shared" si="263"/>
        <v>1</v>
      </c>
      <c r="G2760" t="str">
        <f t="shared" si="259"/>
        <v>1F926</v>
      </c>
      <c r="I2760">
        <f>HEX2DEC(Table1[[#This Row],[utf8]])</f>
        <v>129318</v>
      </c>
      <c r="J2760" t="str">
        <f>_xlfn.UNICHAR(HEX2DEC(Table1[[#This Row],[utf8]]))</f>
        <v>🤦</v>
      </c>
      <c r="K2760" s="3" t="str" cm="1">
        <f t="array" ref="K2760">"Case "&amp;wRandomLetter()&amp;wRandomLetter()&amp;I2760&amp;":    UniConst = ChrW(" &amp; I2760 &amp;")"</f>
        <v>Case Ow129318:    UniConst = ChrW(129318)</v>
      </c>
    </row>
    <row r="2761" spans="1:11" hidden="1">
      <c r="A2761" t="s">
        <v>907</v>
      </c>
      <c r="B2761" t="str">
        <f t="shared" si="260"/>
        <v>1F926 1F3FE 200D 2640 FE0F ; fully-qualified # 🤦🏾‍♀️ E4.0 woman facepalming: medium-dark skin tone</v>
      </c>
      <c r="C2761" t="str">
        <f t="shared" si="261"/>
        <v xml:space="preserve">1F926 1F3FE 200D 2640 FE0F </v>
      </c>
      <c r="D2761">
        <f t="shared" si="262"/>
        <v>27</v>
      </c>
      <c r="E2761" t="str">
        <f t="shared" si="258"/>
        <v xml:space="preserve"> 🤦🏾‍♀️ E4.0 woman facepalming: medium-dark skin tone</v>
      </c>
      <c r="F2761" t="b">
        <f t="shared" si="263"/>
        <v>1</v>
      </c>
      <c r="G2761" t="str">
        <f t="shared" si="259"/>
        <v>1F926</v>
      </c>
      <c r="I2761">
        <f>HEX2DEC(Table1[[#This Row],[utf8]])</f>
        <v>129318</v>
      </c>
      <c r="J2761" t="str">
        <f>_xlfn.UNICHAR(HEX2DEC(Table1[[#This Row],[utf8]]))</f>
        <v>🤦</v>
      </c>
      <c r="K2761" s="3" t="str" cm="1">
        <f t="array" ref="K2761">"Case "&amp;wRandomLetter()&amp;wRandomLetter()&amp;I2761&amp;":    UniConst = ChrW(" &amp; I2761 &amp;")"</f>
        <v>Case hy129318:    UniConst = ChrW(129318)</v>
      </c>
    </row>
    <row r="2762" spans="1:11" hidden="1">
      <c r="A2762" t="s">
        <v>896</v>
      </c>
      <c r="B2762" t="str">
        <f t="shared" si="260"/>
        <v>1F926 1F3FE 200D 2642 ; minimally-qualified # 🤦🏾‍♂ E4.0 man facepalming: medium-dark skin tone</v>
      </c>
      <c r="C2762" t="str">
        <f t="shared" si="261"/>
        <v xml:space="preserve">1F926 1F3FE 200D 2642 </v>
      </c>
      <c r="D2762">
        <f t="shared" si="262"/>
        <v>22</v>
      </c>
      <c r="E2762" t="str">
        <f t="shared" si="258"/>
        <v xml:space="preserve"> 🤦🏾‍♂ E4.0 man facepalming: medium-dark skin tone</v>
      </c>
      <c r="F2762" t="b">
        <f t="shared" si="263"/>
        <v>1</v>
      </c>
      <c r="G2762" t="str">
        <f t="shared" si="259"/>
        <v>1F926</v>
      </c>
      <c r="I2762">
        <f>HEX2DEC(Table1[[#This Row],[utf8]])</f>
        <v>129318</v>
      </c>
      <c r="J2762" t="str">
        <f>_xlfn.UNICHAR(HEX2DEC(Table1[[#This Row],[utf8]]))</f>
        <v>🤦</v>
      </c>
      <c r="K2762" s="3" t="str" cm="1">
        <f t="array" ref="K2762">"Case "&amp;wRandomLetter()&amp;wRandomLetter()&amp;I2762&amp;":    UniConst = ChrW(" &amp; I2762 &amp;")"</f>
        <v>Case ye129318:    UniConst = ChrW(129318)</v>
      </c>
    </row>
    <row r="2763" spans="1:11" hidden="1">
      <c r="A2763" t="s">
        <v>895</v>
      </c>
      <c r="B2763" t="str">
        <f t="shared" si="260"/>
        <v>1F926 1F3FE 200D 2642 FE0F ; fully-qualified # 🤦🏾‍♂️ E4.0 man facepalming: medium-dark skin tone</v>
      </c>
      <c r="C2763" t="str">
        <f t="shared" si="261"/>
        <v xml:space="preserve">1F926 1F3FE 200D 2642 FE0F </v>
      </c>
      <c r="D2763">
        <f t="shared" si="262"/>
        <v>27</v>
      </c>
      <c r="E2763" t="str">
        <f t="shared" si="258"/>
        <v xml:space="preserve"> 🤦🏾‍♂️ E4.0 man facepalming: medium-dark skin tone</v>
      </c>
      <c r="F2763" t="b">
        <f t="shared" si="263"/>
        <v>1</v>
      </c>
      <c r="G2763" t="str">
        <f t="shared" si="259"/>
        <v>1F926</v>
      </c>
      <c r="I2763">
        <f>HEX2DEC(Table1[[#This Row],[utf8]])</f>
        <v>129318</v>
      </c>
      <c r="J2763" t="str">
        <f>_xlfn.UNICHAR(HEX2DEC(Table1[[#This Row],[utf8]]))</f>
        <v>🤦</v>
      </c>
      <c r="K2763" s="3" t="str" cm="1">
        <f t="array" ref="K2763">"Case "&amp;wRandomLetter()&amp;wRandomLetter()&amp;I2763&amp;":    UniConst = ChrW(" &amp; I2763 &amp;")"</f>
        <v>Case cT129318:    UniConst = ChrW(129318)</v>
      </c>
    </row>
    <row r="2764" spans="1:11" hidden="1">
      <c r="A2764" t="s">
        <v>886</v>
      </c>
      <c r="B2764" t="str">
        <f t="shared" si="260"/>
        <v>1F926 1F3FF ; fully-qualified # 🤦🏿 E3.0 person facepalming: dark skin tone</v>
      </c>
      <c r="C2764" t="str">
        <f t="shared" si="261"/>
        <v xml:space="preserve">1F926 1F3FF </v>
      </c>
      <c r="D2764">
        <f t="shared" si="262"/>
        <v>12</v>
      </c>
      <c r="E2764" t="str">
        <f t="shared" si="258"/>
        <v xml:space="preserve"> 🤦🏿 E3.0 person facepalming: dark skin tone</v>
      </c>
      <c r="F2764" t="b">
        <f t="shared" si="263"/>
        <v>1</v>
      </c>
      <c r="G2764" t="str">
        <f t="shared" si="259"/>
        <v>1F926</v>
      </c>
      <c r="I2764">
        <f>HEX2DEC(Table1[[#This Row],[utf8]])</f>
        <v>129318</v>
      </c>
      <c r="J2764" t="str">
        <f>_xlfn.UNICHAR(HEX2DEC(Table1[[#This Row],[utf8]]))</f>
        <v>🤦</v>
      </c>
      <c r="K2764" s="3" t="str" cm="1">
        <f t="array" ref="K2764">"Case "&amp;wRandomLetter()&amp;wRandomLetter()&amp;I2764&amp;":    UniConst = ChrW(" &amp; I2764 &amp;")"</f>
        <v>Case MV129318:    UniConst = ChrW(129318)</v>
      </c>
    </row>
    <row r="2765" spans="1:11" hidden="1">
      <c r="A2765" t="s">
        <v>910</v>
      </c>
      <c r="B2765" t="str">
        <f t="shared" si="260"/>
        <v>1F926 1F3FF 200D 2640 ; minimally-qualified # 🤦🏿‍♀ E4.0 woman facepalming: dark skin tone</v>
      </c>
      <c r="C2765" t="str">
        <f t="shared" si="261"/>
        <v xml:space="preserve">1F926 1F3FF 200D 2640 </v>
      </c>
      <c r="D2765">
        <f t="shared" si="262"/>
        <v>22</v>
      </c>
      <c r="E2765" t="str">
        <f t="shared" si="258"/>
        <v xml:space="preserve"> 🤦🏿‍♀ E4.0 woman facepalming: dark skin tone</v>
      </c>
      <c r="F2765" t="b">
        <f t="shared" si="263"/>
        <v>1</v>
      </c>
      <c r="G2765" t="str">
        <f t="shared" si="259"/>
        <v>1F926</v>
      </c>
      <c r="I2765">
        <f>HEX2DEC(Table1[[#This Row],[utf8]])</f>
        <v>129318</v>
      </c>
      <c r="J2765" t="str">
        <f>_xlfn.UNICHAR(HEX2DEC(Table1[[#This Row],[utf8]]))</f>
        <v>🤦</v>
      </c>
      <c r="K2765" s="3" t="str" cm="1">
        <f t="array" ref="K2765">"Case "&amp;wRandomLetter()&amp;wRandomLetter()&amp;I2765&amp;":    UniConst = ChrW(" &amp; I2765 &amp;")"</f>
        <v>Case kX129318:    UniConst = ChrW(129318)</v>
      </c>
    </row>
    <row r="2766" spans="1:11" hidden="1">
      <c r="A2766" t="s">
        <v>909</v>
      </c>
      <c r="B2766" t="str">
        <f t="shared" si="260"/>
        <v>1F926 1F3FF 200D 2640 FE0F ; fully-qualified # 🤦🏿‍♀️ E4.0 woman facepalming: dark skin tone</v>
      </c>
      <c r="C2766" t="str">
        <f t="shared" si="261"/>
        <v xml:space="preserve">1F926 1F3FF 200D 2640 FE0F </v>
      </c>
      <c r="D2766">
        <f t="shared" si="262"/>
        <v>27</v>
      </c>
      <c r="E2766" t="str">
        <f t="shared" si="258"/>
        <v xml:space="preserve"> 🤦🏿‍♀️ E4.0 woman facepalming: dark skin tone</v>
      </c>
      <c r="F2766" t="b">
        <f t="shared" si="263"/>
        <v>1</v>
      </c>
      <c r="G2766" t="str">
        <f t="shared" si="259"/>
        <v>1F926</v>
      </c>
      <c r="I2766">
        <f>HEX2DEC(Table1[[#This Row],[utf8]])</f>
        <v>129318</v>
      </c>
      <c r="J2766" t="str">
        <f>_xlfn.UNICHAR(HEX2DEC(Table1[[#This Row],[utf8]]))</f>
        <v>🤦</v>
      </c>
      <c r="K2766" s="3" t="str" cm="1">
        <f t="array" ref="K2766">"Case "&amp;wRandomLetter()&amp;wRandomLetter()&amp;I2766&amp;":    UniConst = ChrW(" &amp; I2766 &amp;")"</f>
        <v>Case bq129318:    UniConst = ChrW(129318)</v>
      </c>
    </row>
    <row r="2767" spans="1:11" hidden="1">
      <c r="A2767" t="s">
        <v>898</v>
      </c>
      <c r="B2767" t="str">
        <f t="shared" si="260"/>
        <v>1F926 1F3FF 200D 2642 ; minimally-qualified # 🤦🏿‍♂ E4.0 man facepalming: dark skin tone</v>
      </c>
      <c r="C2767" t="str">
        <f t="shared" si="261"/>
        <v xml:space="preserve">1F926 1F3FF 200D 2642 </v>
      </c>
      <c r="D2767">
        <f t="shared" si="262"/>
        <v>22</v>
      </c>
      <c r="E2767" t="str">
        <f t="shared" si="258"/>
        <v xml:space="preserve"> 🤦🏿‍♂ E4.0 man facepalming: dark skin tone</v>
      </c>
      <c r="F2767" t="b">
        <f t="shared" si="263"/>
        <v>1</v>
      </c>
      <c r="G2767" t="str">
        <f t="shared" si="259"/>
        <v>1F926</v>
      </c>
      <c r="I2767">
        <f>HEX2DEC(Table1[[#This Row],[utf8]])</f>
        <v>129318</v>
      </c>
      <c r="J2767" t="str">
        <f>_xlfn.UNICHAR(HEX2DEC(Table1[[#This Row],[utf8]]))</f>
        <v>🤦</v>
      </c>
      <c r="K2767" s="3" t="str" cm="1">
        <f t="array" ref="K2767">"Case "&amp;wRandomLetter()&amp;wRandomLetter()&amp;I2767&amp;":    UniConst = ChrW(" &amp; I2767 &amp;")"</f>
        <v>Case De129318:    UniConst = ChrW(129318)</v>
      </c>
    </row>
    <row r="2768" spans="1:11" hidden="1">
      <c r="A2768" t="s">
        <v>897</v>
      </c>
      <c r="B2768" t="str">
        <f t="shared" si="260"/>
        <v>1F926 1F3FF 200D 2642 FE0F ; fully-qualified # 🤦🏿‍♂️ E4.0 man facepalming: dark skin tone</v>
      </c>
      <c r="C2768" t="str">
        <f t="shared" si="261"/>
        <v xml:space="preserve">1F926 1F3FF 200D 2642 FE0F </v>
      </c>
      <c r="D2768">
        <f t="shared" si="262"/>
        <v>27</v>
      </c>
      <c r="E2768" t="str">
        <f t="shared" si="258"/>
        <v xml:space="preserve"> 🤦🏿‍♂️ E4.0 man facepalming: dark skin tone</v>
      </c>
      <c r="F2768" t="b">
        <f t="shared" si="263"/>
        <v>1</v>
      </c>
      <c r="G2768" t="str">
        <f t="shared" si="259"/>
        <v>1F926</v>
      </c>
      <c r="I2768">
        <f>HEX2DEC(Table1[[#This Row],[utf8]])</f>
        <v>129318</v>
      </c>
      <c r="J2768" t="str">
        <f>_xlfn.UNICHAR(HEX2DEC(Table1[[#This Row],[utf8]]))</f>
        <v>🤦</v>
      </c>
      <c r="K2768" s="3" t="str" cm="1">
        <f t="array" ref="K2768">"Case "&amp;wRandomLetter()&amp;wRandomLetter()&amp;I2768&amp;":    UniConst = ChrW(" &amp; I2768 &amp;")"</f>
        <v>Case OI129318:    UniConst = ChrW(129318)</v>
      </c>
    </row>
    <row r="2769" spans="1:11" hidden="1">
      <c r="A2769" t="s">
        <v>900</v>
      </c>
      <c r="B2769" t="str">
        <f t="shared" si="260"/>
        <v>1F926 200D 2640 ; minimally-qualified # 🤦‍♀ E4.0 woman facepalming</v>
      </c>
      <c r="C2769" t="str">
        <f t="shared" si="261"/>
        <v xml:space="preserve">1F926 200D 2640 </v>
      </c>
      <c r="D2769">
        <f t="shared" si="262"/>
        <v>16</v>
      </c>
      <c r="E2769" t="str">
        <f t="shared" si="258"/>
        <v xml:space="preserve"> 🤦‍♀ E4.0 woman facepalming</v>
      </c>
      <c r="F2769" t="b">
        <f t="shared" si="263"/>
        <v>1</v>
      </c>
      <c r="G2769" t="str">
        <f t="shared" si="259"/>
        <v>1F926</v>
      </c>
      <c r="I2769">
        <f>HEX2DEC(Table1[[#This Row],[utf8]])</f>
        <v>129318</v>
      </c>
      <c r="J2769" t="str">
        <f>_xlfn.UNICHAR(HEX2DEC(Table1[[#This Row],[utf8]]))</f>
        <v>🤦</v>
      </c>
      <c r="K2769" s="3" t="str" cm="1">
        <f t="array" ref="K2769">"Case "&amp;wRandomLetter()&amp;wRandomLetter()&amp;I2769&amp;":    UniConst = ChrW(" &amp; I2769 &amp;")"</f>
        <v>Case Xh129318:    UniConst = ChrW(129318)</v>
      </c>
    </row>
    <row r="2770" spans="1:11" hidden="1">
      <c r="A2770" t="s">
        <v>899</v>
      </c>
      <c r="B2770" t="str">
        <f t="shared" si="260"/>
        <v>1F926 200D 2640 FE0F ; fully-qualified # 🤦‍♀️ E4.0 woman facepalming</v>
      </c>
      <c r="C2770" t="str">
        <f t="shared" si="261"/>
        <v xml:space="preserve">1F926 200D 2640 FE0F </v>
      </c>
      <c r="D2770">
        <f t="shared" si="262"/>
        <v>21</v>
      </c>
      <c r="E2770" t="str">
        <f t="shared" si="258"/>
        <v xml:space="preserve"> 🤦‍♀️ E4.0 woman facepalming</v>
      </c>
      <c r="F2770" t="b">
        <f t="shared" si="263"/>
        <v>1</v>
      </c>
      <c r="G2770" t="str">
        <f t="shared" si="259"/>
        <v>1F926</v>
      </c>
      <c r="I2770">
        <f>HEX2DEC(Table1[[#This Row],[utf8]])</f>
        <v>129318</v>
      </c>
      <c r="J2770" t="str">
        <f>_xlfn.UNICHAR(HEX2DEC(Table1[[#This Row],[utf8]]))</f>
        <v>🤦</v>
      </c>
      <c r="K2770" s="3" t="str" cm="1">
        <f t="array" ref="K2770">"Case "&amp;wRandomLetter()&amp;wRandomLetter()&amp;I2770&amp;":    UniConst = ChrW(" &amp; I2770 &amp;")"</f>
        <v>Case gR129318:    UniConst = ChrW(129318)</v>
      </c>
    </row>
    <row r="2771" spans="1:11" hidden="1">
      <c r="A2771" t="s">
        <v>888</v>
      </c>
      <c r="B2771" t="str">
        <f t="shared" si="260"/>
        <v>1F926 200D 2642 ; minimally-qualified # 🤦‍♂ E4.0 man facepalming</v>
      </c>
      <c r="C2771" t="str">
        <f t="shared" si="261"/>
        <v xml:space="preserve">1F926 200D 2642 </v>
      </c>
      <c r="D2771">
        <f t="shared" si="262"/>
        <v>16</v>
      </c>
      <c r="E2771" t="str">
        <f t="shared" si="258"/>
        <v xml:space="preserve"> 🤦‍♂ E4.0 man facepalming</v>
      </c>
      <c r="F2771" t="b">
        <f t="shared" si="263"/>
        <v>1</v>
      </c>
      <c r="G2771" t="str">
        <f t="shared" si="259"/>
        <v>1F926</v>
      </c>
      <c r="I2771">
        <f>HEX2DEC(Table1[[#This Row],[utf8]])</f>
        <v>129318</v>
      </c>
      <c r="J2771" t="str">
        <f>_xlfn.UNICHAR(HEX2DEC(Table1[[#This Row],[utf8]]))</f>
        <v>🤦</v>
      </c>
      <c r="K2771" s="3" t="str" cm="1">
        <f t="array" ref="K2771">"Case "&amp;wRandomLetter()&amp;wRandomLetter()&amp;I2771&amp;":    UniConst = ChrW(" &amp; I2771 &amp;")"</f>
        <v>Case KA129318:    UniConst = ChrW(129318)</v>
      </c>
    </row>
    <row r="2772" spans="1:11" hidden="1">
      <c r="A2772" t="s">
        <v>887</v>
      </c>
      <c r="B2772" t="str">
        <f t="shared" si="260"/>
        <v>1F926 200D 2642 FE0F ; fully-qualified # 🤦‍♂️ E4.0 man facepalming</v>
      </c>
      <c r="C2772" t="str">
        <f t="shared" si="261"/>
        <v xml:space="preserve">1F926 200D 2642 FE0F </v>
      </c>
      <c r="D2772">
        <f t="shared" si="262"/>
        <v>21</v>
      </c>
      <c r="E2772" t="str">
        <f t="shared" si="258"/>
        <v xml:space="preserve"> 🤦‍♂️ E4.0 man facepalming</v>
      </c>
      <c r="F2772" t="b">
        <f t="shared" si="263"/>
        <v>1</v>
      </c>
      <c r="G2772" t="str">
        <f t="shared" si="259"/>
        <v>1F926</v>
      </c>
      <c r="I2772">
        <f>HEX2DEC(Table1[[#This Row],[utf8]])</f>
        <v>129318</v>
      </c>
      <c r="J2772" t="str">
        <f>_xlfn.UNICHAR(HEX2DEC(Table1[[#This Row],[utf8]]))</f>
        <v>🤦</v>
      </c>
      <c r="K2772" s="3" t="str" cm="1">
        <f t="array" ref="K2772">"Case "&amp;wRandomLetter()&amp;wRandomLetter()&amp;I2772&amp;":    UniConst = ChrW(" &amp; I2772 &amp;")"</f>
        <v>Case CM129318:    UniConst = ChrW(129318)</v>
      </c>
    </row>
    <row r="2773" spans="1:11" hidden="1">
      <c r="A2773" t="s">
        <v>64</v>
      </c>
      <c r="B2773" t="str">
        <f t="shared" si="260"/>
        <v>1F927 ; fully-qualified # 🤧 E3.0 sneezing face</v>
      </c>
      <c r="C2773" t="str">
        <f t="shared" si="261"/>
        <v xml:space="preserve">1F927 </v>
      </c>
      <c r="D2773">
        <f t="shared" si="262"/>
        <v>6</v>
      </c>
      <c r="E2773" t="str">
        <f t="shared" si="258"/>
        <v xml:space="preserve"> 🤧 E3.0 sneezing face</v>
      </c>
      <c r="F2773" t="b">
        <f t="shared" si="263"/>
        <v>1</v>
      </c>
      <c r="G2773" t="str">
        <f t="shared" si="259"/>
        <v>1F927</v>
      </c>
      <c r="I2773">
        <f>HEX2DEC(Table1[[#This Row],[utf8]])</f>
        <v>129319</v>
      </c>
      <c r="J2773" t="str">
        <f>_xlfn.UNICHAR(HEX2DEC(Table1[[#This Row],[utf8]]))</f>
        <v>🤧</v>
      </c>
      <c r="K2773" s="3" t="str" cm="1">
        <f t="array" ref="K2773">"Case "&amp;wRandomLetter()&amp;wRandomLetter()&amp;I2773&amp;":    UniConst = ChrW(" &amp; I2773 &amp;")"</f>
        <v>Case Oa129319:    UniConst = ChrW(129319)</v>
      </c>
    </row>
    <row r="2774" spans="1:11" hidden="1">
      <c r="A2774" t="s">
        <v>40</v>
      </c>
      <c r="B2774" t="str">
        <f t="shared" si="260"/>
        <v>1F928 ; fully-qualified # 🤨 E5.0 face with raised eyebrow</v>
      </c>
      <c r="C2774" t="str">
        <f t="shared" si="261"/>
        <v xml:space="preserve">1F928 </v>
      </c>
      <c r="D2774">
        <f t="shared" si="262"/>
        <v>6</v>
      </c>
      <c r="E2774" t="str">
        <f t="shared" si="258"/>
        <v xml:space="preserve"> 🤨 E5.0 face with raised eyebrow</v>
      </c>
      <c r="F2774" t="b">
        <f t="shared" si="263"/>
        <v>1</v>
      </c>
      <c r="G2774" t="str">
        <f t="shared" si="259"/>
        <v>1F928</v>
      </c>
      <c r="I2774">
        <f>HEX2DEC(Table1[[#This Row],[utf8]])</f>
        <v>129320</v>
      </c>
      <c r="J2774" t="str">
        <f>_xlfn.UNICHAR(HEX2DEC(Table1[[#This Row],[utf8]]))</f>
        <v>🤨</v>
      </c>
      <c r="K2774" s="3" t="str" cm="1">
        <f t="array" ref="K2774">"Case "&amp;wRandomLetter()&amp;wRandomLetter()&amp;I2774&amp;":    UniConst = ChrW(" &amp; I2774 &amp;")"</f>
        <v>Case SW129320:    UniConst = ChrW(129320)</v>
      </c>
    </row>
    <row r="2775" spans="1:11" hidden="1">
      <c r="A2775" t="s">
        <v>18</v>
      </c>
      <c r="B2775" t="str">
        <f t="shared" si="260"/>
        <v>1F929 ; fully-qualified # 🤩 E5.0 star-struck</v>
      </c>
      <c r="C2775" t="str">
        <f t="shared" si="261"/>
        <v xml:space="preserve">1F929 </v>
      </c>
      <c r="D2775">
        <f t="shared" si="262"/>
        <v>6</v>
      </c>
      <c r="E2775" t="str">
        <f t="shared" si="258"/>
        <v xml:space="preserve"> 🤩 E5.0 star-struck</v>
      </c>
      <c r="F2775" t="b">
        <f t="shared" si="263"/>
        <v>1</v>
      </c>
      <c r="G2775" t="str">
        <f t="shared" si="259"/>
        <v>1F929</v>
      </c>
      <c r="I2775">
        <f>HEX2DEC(Table1[[#This Row],[utf8]])</f>
        <v>129321</v>
      </c>
      <c r="J2775" t="str">
        <f>_xlfn.UNICHAR(HEX2DEC(Table1[[#This Row],[utf8]]))</f>
        <v>🤩</v>
      </c>
      <c r="K2775" s="3" t="str" cm="1">
        <f t="array" ref="K2775">"Case "&amp;wRandomLetter()&amp;wRandomLetter()&amp;I2775&amp;":    UniConst = ChrW(" &amp; I2775 &amp;")"</f>
        <v>Case gm129321:    UniConst = ChrW(129321)</v>
      </c>
    </row>
    <row r="2776" spans="1:11" hidden="1">
      <c r="A2776" t="s">
        <v>30</v>
      </c>
      <c r="B2776" t="str">
        <f t="shared" si="260"/>
        <v>1F92A ; fully-qualified # 🤪 E5.0 zany face</v>
      </c>
      <c r="C2776" t="str">
        <f t="shared" si="261"/>
        <v xml:space="preserve">1F92A </v>
      </c>
      <c r="D2776">
        <f t="shared" si="262"/>
        <v>6</v>
      </c>
      <c r="E2776" t="str">
        <f t="shared" si="258"/>
        <v xml:space="preserve"> 🤪 E5.0 zany face</v>
      </c>
      <c r="F2776" t="b">
        <f t="shared" si="263"/>
        <v>1</v>
      </c>
      <c r="G2776" t="str">
        <f t="shared" si="259"/>
        <v>1F92A</v>
      </c>
      <c r="I2776">
        <f>HEX2DEC(Table1[[#This Row],[utf8]])</f>
        <v>129322</v>
      </c>
      <c r="J2776" t="str">
        <f>_xlfn.UNICHAR(HEX2DEC(Table1[[#This Row],[utf8]]))</f>
        <v>🤪</v>
      </c>
      <c r="K2776" s="3" t="str" cm="1">
        <f t="array" ref="K2776">"Case "&amp;wRandomLetter()&amp;wRandomLetter()&amp;I2776&amp;":    UniConst = ChrW(" &amp; I2776 &amp;")"</f>
        <v>Case ej129322:    UniConst = ChrW(129322)</v>
      </c>
    </row>
    <row r="2777" spans="1:11" hidden="1">
      <c r="A2777" t="s">
        <v>36</v>
      </c>
      <c r="B2777" t="str">
        <f t="shared" si="260"/>
        <v>1F92B ; fully-qualified # 🤫 E5.0 shushing face</v>
      </c>
      <c r="C2777" t="str">
        <f t="shared" si="261"/>
        <v xml:space="preserve">1F92B </v>
      </c>
      <c r="D2777">
        <f t="shared" si="262"/>
        <v>6</v>
      </c>
      <c r="E2777" t="str">
        <f t="shared" si="258"/>
        <v xml:space="preserve"> 🤫 E5.0 shushing face</v>
      </c>
      <c r="F2777" t="b">
        <f t="shared" si="263"/>
        <v>1</v>
      </c>
      <c r="G2777" t="str">
        <f t="shared" si="259"/>
        <v>1F92B</v>
      </c>
      <c r="I2777">
        <f>HEX2DEC(Table1[[#This Row],[utf8]])</f>
        <v>129323</v>
      </c>
      <c r="J2777" t="str">
        <f>_xlfn.UNICHAR(HEX2DEC(Table1[[#This Row],[utf8]]))</f>
        <v>🤫</v>
      </c>
      <c r="K2777" s="3" t="str" cm="1">
        <f t="array" ref="K2777">"Case "&amp;wRandomLetter()&amp;wRandomLetter()&amp;I2777&amp;":    UniConst = ChrW(" &amp; I2777 &amp;")"</f>
        <v>Case GK129323:    UniConst = ChrW(129323)</v>
      </c>
    </row>
    <row r="2778" spans="1:11" hidden="1">
      <c r="A2778" t="s">
        <v>109</v>
      </c>
      <c r="B2778" t="str">
        <f t="shared" si="260"/>
        <v>1F92C ; fully-qualified # 🤬 E5.0 face with symbols on mouth</v>
      </c>
      <c r="C2778" t="str">
        <f t="shared" si="261"/>
        <v xml:space="preserve">1F92C </v>
      </c>
      <c r="D2778">
        <f t="shared" si="262"/>
        <v>6</v>
      </c>
      <c r="E2778" t="str">
        <f t="shared" si="258"/>
        <v xml:space="preserve"> 🤬 E5.0 face with symbols on mouth</v>
      </c>
      <c r="F2778" t="b">
        <f t="shared" si="263"/>
        <v>1</v>
      </c>
      <c r="G2778" t="str">
        <f t="shared" si="259"/>
        <v>1F92C</v>
      </c>
      <c r="I2778">
        <f>HEX2DEC(Table1[[#This Row],[utf8]])</f>
        <v>129324</v>
      </c>
      <c r="J2778" t="str">
        <f>_xlfn.UNICHAR(HEX2DEC(Table1[[#This Row],[utf8]]))</f>
        <v>🤬</v>
      </c>
      <c r="K2778" s="3" t="str" cm="1">
        <f t="array" ref="K2778">"Case "&amp;wRandomLetter()&amp;wRandomLetter()&amp;I2778&amp;":    UniConst = ChrW(" &amp; I2778 &amp;")"</f>
        <v>Case xZ129324:    UniConst = ChrW(129324)</v>
      </c>
    </row>
    <row r="2779" spans="1:11" hidden="1">
      <c r="A2779" t="s">
        <v>35</v>
      </c>
      <c r="B2779" t="str">
        <f t="shared" si="260"/>
        <v>1F92D ; fully-qualified # 🤭 E5.0 face with hand over mouth</v>
      </c>
      <c r="C2779" t="str">
        <f t="shared" si="261"/>
        <v xml:space="preserve">1F92D </v>
      </c>
      <c r="D2779">
        <f t="shared" si="262"/>
        <v>6</v>
      </c>
      <c r="E2779" t="str">
        <f t="shared" si="258"/>
        <v xml:space="preserve"> 🤭 E5.0 face with hand over mouth</v>
      </c>
      <c r="F2779" t="b">
        <f t="shared" si="263"/>
        <v>1</v>
      </c>
      <c r="G2779" t="str">
        <f t="shared" si="259"/>
        <v>1F92D</v>
      </c>
      <c r="I2779">
        <f>HEX2DEC(Table1[[#This Row],[utf8]])</f>
        <v>129325</v>
      </c>
      <c r="J2779" t="str">
        <f>_xlfn.UNICHAR(HEX2DEC(Table1[[#This Row],[utf8]]))</f>
        <v>🤭</v>
      </c>
      <c r="K2779" s="3" t="str" cm="1">
        <f t="array" ref="K2779">"Case "&amp;wRandomLetter()&amp;wRandomLetter()&amp;I2779&amp;":    UniConst = ChrW(" &amp; I2779 &amp;")"</f>
        <v>Case vF129325:    UniConst = ChrW(129325)</v>
      </c>
    </row>
    <row r="2780" spans="1:11" hidden="1">
      <c r="A2780" t="s">
        <v>63</v>
      </c>
      <c r="B2780" t="str">
        <f t="shared" si="260"/>
        <v>1F92E ; fully-qualified # 🤮 E5.0 face vomiting</v>
      </c>
      <c r="C2780" t="str">
        <f t="shared" si="261"/>
        <v xml:space="preserve">1F92E </v>
      </c>
      <c r="D2780">
        <f t="shared" si="262"/>
        <v>6</v>
      </c>
      <c r="E2780" t="str">
        <f t="shared" si="258"/>
        <v xml:space="preserve"> 🤮 E5.0 face vomiting</v>
      </c>
      <c r="F2780" t="b">
        <f t="shared" si="263"/>
        <v>1</v>
      </c>
      <c r="G2780" t="str">
        <f t="shared" si="259"/>
        <v>1F92E</v>
      </c>
      <c r="I2780">
        <f>HEX2DEC(Table1[[#This Row],[utf8]])</f>
        <v>129326</v>
      </c>
      <c r="J2780" t="str">
        <f>_xlfn.UNICHAR(HEX2DEC(Table1[[#This Row],[utf8]]))</f>
        <v>🤮</v>
      </c>
      <c r="K2780" s="3" t="str" cm="1">
        <f t="array" ref="K2780">"Case "&amp;wRandomLetter()&amp;wRandomLetter()&amp;I2780&amp;":    UniConst = ChrW(" &amp; I2780 &amp;")"</f>
        <v>Case Mx129326:    UniConst = ChrW(129326)</v>
      </c>
    </row>
    <row r="2781" spans="1:11" hidden="1">
      <c r="A2781" t="s">
        <v>70</v>
      </c>
      <c r="B2781" t="str">
        <f t="shared" si="260"/>
        <v>1F92F ; fully-qualified # 🤯 E5.0 exploding head</v>
      </c>
      <c r="C2781" t="str">
        <f t="shared" si="261"/>
        <v xml:space="preserve">1F92F </v>
      </c>
      <c r="D2781">
        <f t="shared" si="262"/>
        <v>6</v>
      </c>
      <c r="E2781" t="str">
        <f t="shared" si="258"/>
        <v xml:space="preserve"> 🤯 E5.0 exploding head</v>
      </c>
      <c r="F2781" t="b">
        <f t="shared" si="263"/>
        <v>1</v>
      </c>
      <c r="G2781" t="str">
        <f t="shared" si="259"/>
        <v>1F92F</v>
      </c>
      <c r="I2781">
        <f>HEX2DEC(Table1[[#This Row],[utf8]])</f>
        <v>129327</v>
      </c>
      <c r="J2781" t="str">
        <f>_xlfn.UNICHAR(HEX2DEC(Table1[[#This Row],[utf8]]))</f>
        <v>🤯</v>
      </c>
      <c r="K2781" s="3" t="str" cm="1">
        <f t="array" ref="K2781">"Case "&amp;wRandomLetter()&amp;wRandomLetter()&amp;I2781&amp;":    UniConst = ChrW(" &amp; I2781 &amp;")"</f>
        <v>Case nh129327:    UniConst = ChrW(129327)</v>
      </c>
    </row>
    <row r="2782" spans="1:11" hidden="1">
      <c r="A2782" t="s">
        <v>1529</v>
      </c>
      <c r="B2782" t="str">
        <f t="shared" si="260"/>
        <v>1F930 ; fully-qualified # 🤰 E3.0 pregnant woman</v>
      </c>
      <c r="C2782" t="str">
        <f t="shared" si="261"/>
        <v xml:space="preserve">1F930 </v>
      </c>
      <c r="D2782">
        <f t="shared" si="262"/>
        <v>6</v>
      </c>
      <c r="E2782" t="str">
        <f t="shared" si="258"/>
        <v xml:space="preserve"> 🤰 E3.0 pregnant woman</v>
      </c>
      <c r="F2782" t="b">
        <f t="shared" si="263"/>
        <v>1</v>
      </c>
      <c r="G2782" t="str">
        <f t="shared" si="259"/>
        <v>1F930</v>
      </c>
      <c r="I2782">
        <f>HEX2DEC(Table1[[#This Row],[utf8]])</f>
        <v>129328</v>
      </c>
      <c r="J2782" t="str">
        <f>_xlfn.UNICHAR(HEX2DEC(Table1[[#This Row],[utf8]]))</f>
        <v>🤰</v>
      </c>
      <c r="K2782" s="3" t="str" cm="1">
        <f t="array" ref="K2782">"Case "&amp;wRandomLetter()&amp;wRandomLetter()&amp;I2782&amp;":    UniConst = ChrW(" &amp; I2782 &amp;")"</f>
        <v>Case lb129328:    UniConst = ChrW(129328)</v>
      </c>
    </row>
    <row r="2783" spans="1:11" hidden="1">
      <c r="A2783" t="s">
        <v>1530</v>
      </c>
      <c r="B2783" t="str">
        <f t="shared" si="260"/>
        <v>1F930 1F3FB ; fully-qualified # 🤰🏻 E3.0 pregnant woman: light skin tone</v>
      </c>
      <c r="C2783" t="str">
        <f t="shared" si="261"/>
        <v xml:space="preserve">1F930 1F3FB </v>
      </c>
      <c r="D2783">
        <f t="shared" si="262"/>
        <v>12</v>
      </c>
      <c r="E2783" t="str">
        <f t="shared" si="258"/>
        <v xml:space="preserve"> 🤰🏻 E3.0 pregnant woman: light skin tone</v>
      </c>
      <c r="F2783" t="b">
        <f t="shared" si="263"/>
        <v>1</v>
      </c>
      <c r="G2783" t="str">
        <f t="shared" si="259"/>
        <v>1F930</v>
      </c>
      <c r="I2783">
        <f>HEX2DEC(Table1[[#This Row],[utf8]])</f>
        <v>129328</v>
      </c>
      <c r="J2783" t="str">
        <f>_xlfn.UNICHAR(HEX2DEC(Table1[[#This Row],[utf8]]))</f>
        <v>🤰</v>
      </c>
      <c r="K2783" s="3" t="str" cm="1">
        <f t="array" ref="K2783">"Case "&amp;wRandomLetter()&amp;wRandomLetter()&amp;I2783&amp;":    UniConst = ChrW(" &amp; I2783 &amp;")"</f>
        <v>Case He129328:    UniConst = ChrW(129328)</v>
      </c>
    </row>
    <row r="2784" spans="1:11" hidden="1">
      <c r="A2784" t="s">
        <v>1531</v>
      </c>
      <c r="B2784" t="str">
        <f t="shared" si="260"/>
        <v>1F930 1F3FC ; fully-qualified # 🤰🏼 E3.0 pregnant woman: medium-light skin tone</v>
      </c>
      <c r="C2784" t="str">
        <f t="shared" si="261"/>
        <v xml:space="preserve">1F930 1F3FC </v>
      </c>
      <c r="D2784">
        <f t="shared" si="262"/>
        <v>12</v>
      </c>
      <c r="E2784" t="str">
        <f t="shared" si="258"/>
        <v xml:space="preserve"> 🤰🏼 E3.0 pregnant woman: medium-light skin tone</v>
      </c>
      <c r="F2784" t="b">
        <f t="shared" si="263"/>
        <v>1</v>
      </c>
      <c r="G2784" t="str">
        <f t="shared" si="259"/>
        <v>1F930</v>
      </c>
      <c r="I2784">
        <f>HEX2DEC(Table1[[#This Row],[utf8]])</f>
        <v>129328</v>
      </c>
      <c r="J2784" t="str">
        <f>_xlfn.UNICHAR(HEX2DEC(Table1[[#This Row],[utf8]]))</f>
        <v>🤰</v>
      </c>
      <c r="K2784" s="3" t="str" cm="1">
        <f t="array" ref="K2784">"Case "&amp;wRandomLetter()&amp;wRandomLetter()&amp;I2784&amp;":    UniConst = ChrW(" &amp; I2784 &amp;")"</f>
        <v>Case FQ129328:    UniConst = ChrW(129328)</v>
      </c>
    </row>
    <row r="2785" spans="1:11" hidden="1">
      <c r="A2785" t="s">
        <v>1532</v>
      </c>
      <c r="B2785" t="str">
        <f t="shared" si="260"/>
        <v>1F930 1F3FD ; fully-qualified # 🤰🏽 E3.0 pregnant woman: medium skin tone</v>
      </c>
      <c r="C2785" t="str">
        <f t="shared" si="261"/>
        <v xml:space="preserve">1F930 1F3FD </v>
      </c>
      <c r="D2785">
        <f t="shared" si="262"/>
        <v>12</v>
      </c>
      <c r="E2785" t="str">
        <f t="shared" si="258"/>
        <v xml:space="preserve"> 🤰🏽 E3.0 pregnant woman: medium skin tone</v>
      </c>
      <c r="F2785" t="b">
        <f t="shared" si="263"/>
        <v>1</v>
      </c>
      <c r="G2785" t="str">
        <f t="shared" si="259"/>
        <v>1F930</v>
      </c>
      <c r="I2785">
        <f>HEX2DEC(Table1[[#This Row],[utf8]])</f>
        <v>129328</v>
      </c>
      <c r="J2785" t="str">
        <f>_xlfn.UNICHAR(HEX2DEC(Table1[[#This Row],[utf8]]))</f>
        <v>🤰</v>
      </c>
      <c r="K2785" s="3" t="str" cm="1">
        <f t="array" ref="K2785">"Case "&amp;wRandomLetter()&amp;wRandomLetter()&amp;I2785&amp;":    UniConst = ChrW(" &amp; I2785 &amp;")"</f>
        <v>Case PA129328:    UniConst = ChrW(129328)</v>
      </c>
    </row>
    <row r="2786" spans="1:11" hidden="1">
      <c r="A2786" t="s">
        <v>1533</v>
      </c>
      <c r="B2786" t="str">
        <f t="shared" si="260"/>
        <v>1F930 1F3FE ; fully-qualified # 🤰🏾 E3.0 pregnant woman: medium-dark skin tone</v>
      </c>
      <c r="C2786" t="str">
        <f t="shared" si="261"/>
        <v xml:space="preserve">1F930 1F3FE </v>
      </c>
      <c r="D2786">
        <f t="shared" si="262"/>
        <v>12</v>
      </c>
      <c r="E2786" t="str">
        <f t="shared" si="258"/>
        <v xml:space="preserve"> 🤰🏾 E3.0 pregnant woman: medium-dark skin tone</v>
      </c>
      <c r="F2786" t="b">
        <f t="shared" si="263"/>
        <v>1</v>
      </c>
      <c r="G2786" t="str">
        <f t="shared" si="259"/>
        <v>1F930</v>
      </c>
      <c r="I2786">
        <f>HEX2DEC(Table1[[#This Row],[utf8]])</f>
        <v>129328</v>
      </c>
      <c r="J2786" t="str">
        <f>_xlfn.UNICHAR(HEX2DEC(Table1[[#This Row],[utf8]]))</f>
        <v>🤰</v>
      </c>
      <c r="K2786" s="3" t="str" cm="1">
        <f t="array" ref="K2786">"Case "&amp;wRandomLetter()&amp;wRandomLetter()&amp;I2786&amp;":    UniConst = ChrW(" &amp; I2786 &amp;")"</f>
        <v>Case DK129328:    UniConst = ChrW(129328)</v>
      </c>
    </row>
    <row r="2787" spans="1:11" hidden="1">
      <c r="A2787" t="s">
        <v>1534</v>
      </c>
      <c r="B2787" t="str">
        <f t="shared" si="260"/>
        <v>1F930 1F3FF ; fully-qualified # 🤰🏿 E3.0 pregnant woman: dark skin tone</v>
      </c>
      <c r="C2787" t="str">
        <f t="shared" si="261"/>
        <v xml:space="preserve">1F930 1F3FF </v>
      </c>
      <c r="D2787">
        <f t="shared" si="262"/>
        <v>12</v>
      </c>
      <c r="E2787" t="str">
        <f t="shared" si="258"/>
        <v xml:space="preserve"> 🤰🏿 E3.0 pregnant woman: dark skin tone</v>
      </c>
      <c r="F2787" t="b">
        <f t="shared" si="263"/>
        <v>1</v>
      </c>
      <c r="G2787" t="str">
        <f t="shared" si="259"/>
        <v>1F930</v>
      </c>
      <c r="I2787">
        <f>HEX2DEC(Table1[[#This Row],[utf8]])</f>
        <v>129328</v>
      </c>
      <c r="J2787" t="str">
        <f>_xlfn.UNICHAR(HEX2DEC(Table1[[#This Row],[utf8]]))</f>
        <v>🤰</v>
      </c>
      <c r="K2787" s="3" t="str" cm="1">
        <f t="array" ref="K2787">"Case "&amp;wRandomLetter()&amp;wRandomLetter()&amp;I2787&amp;":    UniConst = ChrW(" &amp; I2787 &amp;")"</f>
        <v>Case SC129328:    UniConst = ChrW(129328)</v>
      </c>
    </row>
    <row r="2788" spans="1:11" hidden="1">
      <c r="A2788" t="s">
        <v>1535</v>
      </c>
      <c r="B2788" t="str">
        <f t="shared" si="260"/>
        <v>1F931 ; fully-qualified # 🤱 E5.0 breast-feeding</v>
      </c>
      <c r="C2788" t="str">
        <f t="shared" si="261"/>
        <v xml:space="preserve">1F931 </v>
      </c>
      <c r="D2788">
        <f t="shared" si="262"/>
        <v>6</v>
      </c>
      <c r="E2788" t="str">
        <f t="shared" si="258"/>
        <v xml:space="preserve"> 🤱 E5.0 breast-feeding</v>
      </c>
      <c r="F2788" t="b">
        <f t="shared" si="263"/>
        <v>1</v>
      </c>
      <c r="G2788" t="str">
        <f t="shared" si="259"/>
        <v>1F931</v>
      </c>
      <c r="I2788">
        <f>HEX2DEC(Table1[[#This Row],[utf8]])</f>
        <v>129329</v>
      </c>
      <c r="J2788" t="str">
        <f>_xlfn.UNICHAR(HEX2DEC(Table1[[#This Row],[utf8]]))</f>
        <v>🤱</v>
      </c>
      <c r="K2788" s="3" t="str" cm="1">
        <f t="array" ref="K2788">"Case "&amp;wRandomLetter()&amp;wRandomLetter()&amp;I2788&amp;":    UniConst = ChrW(" &amp; I2788 &amp;")"</f>
        <v>Case WH129329:    UniConst = ChrW(129329)</v>
      </c>
    </row>
    <row r="2789" spans="1:11" hidden="1">
      <c r="A2789" t="s">
        <v>1536</v>
      </c>
      <c r="B2789" t="str">
        <f t="shared" si="260"/>
        <v>1F931 1F3FB ; fully-qualified # 🤱🏻 E5.0 breast-feeding: light skin tone</v>
      </c>
      <c r="C2789" t="str">
        <f t="shared" si="261"/>
        <v xml:space="preserve">1F931 1F3FB </v>
      </c>
      <c r="D2789">
        <f t="shared" si="262"/>
        <v>12</v>
      </c>
      <c r="E2789" t="str">
        <f t="shared" si="258"/>
        <v xml:space="preserve"> 🤱🏻 E5.0 breast-feeding: light skin tone</v>
      </c>
      <c r="F2789" t="b">
        <f t="shared" si="263"/>
        <v>1</v>
      </c>
      <c r="G2789" t="str">
        <f t="shared" si="259"/>
        <v>1F931</v>
      </c>
      <c r="I2789">
        <f>HEX2DEC(Table1[[#This Row],[utf8]])</f>
        <v>129329</v>
      </c>
      <c r="J2789" t="str">
        <f>_xlfn.UNICHAR(HEX2DEC(Table1[[#This Row],[utf8]]))</f>
        <v>🤱</v>
      </c>
      <c r="K2789" s="3" t="str" cm="1">
        <f t="array" ref="K2789">"Case "&amp;wRandomLetter()&amp;wRandomLetter()&amp;I2789&amp;":    UniConst = ChrW(" &amp; I2789 &amp;")"</f>
        <v>Case iK129329:    UniConst = ChrW(129329)</v>
      </c>
    </row>
    <row r="2790" spans="1:11" hidden="1">
      <c r="A2790" t="s">
        <v>1537</v>
      </c>
      <c r="B2790" t="str">
        <f t="shared" si="260"/>
        <v>1F931 1F3FC ; fully-qualified # 🤱🏼 E5.0 breast-feeding: medium-light skin tone</v>
      </c>
      <c r="C2790" t="str">
        <f t="shared" si="261"/>
        <v xml:space="preserve">1F931 1F3FC </v>
      </c>
      <c r="D2790">
        <f t="shared" si="262"/>
        <v>12</v>
      </c>
      <c r="E2790" t="str">
        <f t="shared" si="258"/>
        <v xml:space="preserve"> 🤱🏼 E5.0 breast-feeding: medium-light skin tone</v>
      </c>
      <c r="F2790" t="b">
        <f t="shared" si="263"/>
        <v>1</v>
      </c>
      <c r="G2790" t="str">
        <f t="shared" si="259"/>
        <v>1F931</v>
      </c>
      <c r="I2790">
        <f>HEX2DEC(Table1[[#This Row],[utf8]])</f>
        <v>129329</v>
      </c>
      <c r="J2790" t="str">
        <f>_xlfn.UNICHAR(HEX2DEC(Table1[[#This Row],[utf8]]))</f>
        <v>🤱</v>
      </c>
      <c r="K2790" s="3" t="str" cm="1">
        <f t="array" ref="K2790">"Case "&amp;wRandomLetter()&amp;wRandomLetter()&amp;I2790&amp;":    UniConst = ChrW(" &amp; I2790 &amp;")"</f>
        <v>Case kJ129329:    UniConst = ChrW(129329)</v>
      </c>
    </row>
    <row r="2791" spans="1:11" hidden="1">
      <c r="A2791" t="s">
        <v>1538</v>
      </c>
      <c r="B2791" t="str">
        <f t="shared" si="260"/>
        <v>1F931 1F3FD ; fully-qualified # 🤱🏽 E5.0 breast-feeding: medium skin tone</v>
      </c>
      <c r="C2791" t="str">
        <f t="shared" si="261"/>
        <v xml:space="preserve">1F931 1F3FD </v>
      </c>
      <c r="D2791">
        <f t="shared" si="262"/>
        <v>12</v>
      </c>
      <c r="E2791" t="str">
        <f t="shared" si="258"/>
        <v xml:space="preserve"> 🤱🏽 E5.0 breast-feeding: medium skin tone</v>
      </c>
      <c r="F2791" t="b">
        <f t="shared" si="263"/>
        <v>1</v>
      </c>
      <c r="G2791" t="str">
        <f t="shared" si="259"/>
        <v>1F931</v>
      </c>
      <c r="I2791">
        <f>HEX2DEC(Table1[[#This Row],[utf8]])</f>
        <v>129329</v>
      </c>
      <c r="J2791" t="str">
        <f>_xlfn.UNICHAR(HEX2DEC(Table1[[#This Row],[utf8]]))</f>
        <v>🤱</v>
      </c>
      <c r="K2791" s="3" t="str" cm="1">
        <f t="array" ref="K2791">"Case "&amp;wRandomLetter()&amp;wRandomLetter()&amp;I2791&amp;":    UniConst = ChrW(" &amp; I2791 &amp;")"</f>
        <v>Case Re129329:    UniConst = ChrW(129329)</v>
      </c>
    </row>
    <row r="2792" spans="1:11" hidden="1">
      <c r="A2792" t="s">
        <v>1539</v>
      </c>
      <c r="B2792" t="str">
        <f t="shared" si="260"/>
        <v>1F931 1F3FE ; fully-qualified # 🤱🏾 E5.0 breast-feeding: medium-dark skin tone</v>
      </c>
      <c r="C2792" t="str">
        <f t="shared" si="261"/>
        <v xml:space="preserve">1F931 1F3FE </v>
      </c>
      <c r="D2792">
        <f t="shared" si="262"/>
        <v>12</v>
      </c>
      <c r="E2792" t="str">
        <f t="shared" si="258"/>
        <v xml:space="preserve"> 🤱🏾 E5.0 breast-feeding: medium-dark skin tone</v>
      </c>
      <c r="F2792" t="b">
        <f t="shared" si="263"/>
        <v>1</v>
      </c>
      <c r="G2792" t="str">
        <f t="shared" si="259"/>
        <v>1F931</v>
      </c>
      <c r="I2792">
        <f>HEX2DEC(Table1[[#This Row],[utf8]])</f>
        <v>129329</v>
      </c>
      <c r="J2792" t="str">
        <f>_xlfn.UNICHAR(HEX2DEC(Table1[[#This Row],[utf8]]))</f>
        <v>🤱</v>
      </c>
      <c r="K2792" s="3" t="str" cm="1">
        <f t="array" ref="K2792">"Case "&amp;wRandomLetter()&amp;wRandomLetter()&amp;I2792&amp;":    UniConst = ChrW(" &amp; I2792 &amp;")"</f>
        <v>Case OB129329:    UniConst = ChrW(129329)</v>
      </c>
    </row>
    <row r="2793" spans="1:11" hidden="1">
      <c r="A2793" t="s">
        <v>1540</v>
      </c>
      <c r="B2793" t="str">
        <f t="shared" si="260"/>
        <v>1F931 1F3FF ; fully-qualified # 🤱🏿 E5.0 breast-feeding: dark skin tone</v>
      </c>
      <c r="C2793" t="str">
        <f t="shared" si="261"/>
        <v xml:space="preserve">1F931 1F3FF </v>
      </c>
      <c r="D2793">
        <f t="shared" si="262"/>
        <v>12</v>
      </c>
      <c r="E2793" t="str">
        <f t="shared" si="258"/>
        <v xml:space="preserve"> 🤱🏿 E5.0 breast-feeding: dark skin tone</v>
      </c>
      <c r="F2793" t="b">
        <f t="shared" si="263"/>
        <v>1</v>
      </c>
      <c r="G2793" t="str">
        <f t="shared" si="259"/>
        <v>1F931</v>
      </c>
      <c r="I2793">
        <f>HEX2DEC(Table1[[#This Row],[utf8]])</f>
        <v>129329</v>
      </c>
      <c r="J2793" t="str">
        <f>_xlfn.UNICHAR(HEX2DEC(Table1[[#This Row],[utf8]]))</f>
        <v>🤱</v>
      </c>
      <c r="K2793" s="3" t="str" cm="1">
        <f t="array" ref="K2793">"Case "&amp;wRandomLetter()&amp;wRandomLetter()&amp;I2793&amp;":    UniConst = ChrW(" &amp; I2793 &amp;")"</f>
        <v>Case dB129329:    UniConst = ChrW(129329)</v>
      </c>
    </row>
    <row r="2794" spans="1:11" hidden="1">
      <c r="A2794" t="s">
        <v>365</v>
      </c>
      <c r="B2794" t="str">
        <f t="shared" si="260"/>
        <v>1F932 ; fully-qualified # 🤲 E5.0 palms up together</v>
      </c>
      <c r="C2794" t="str">
        <f t="shared" si="261"/>
        <v xml:space="preserve">1F932 </v>
      </c>
      <c r="D2794">
        <f t="shared" si="262"/>
        <v>6</v>
      </c>
      <c r="E2794" t="str">
        <f t="shared" si="258"/>
        <v xml:space="preserve"> 🤲 E5.0 palms up together</v>
      </c>
      <c r="F2794" t="b">
        <f t="shared" si="263"/>
        <v>1</v>
      </c>
      <c r="G2794" t="str">
        <f t="shared" si="259"/>
        <v>1F932</v>
      </c>
      <c r="I2794">
        <f>HEX2DEC(Table1[[#This Row],[utf8]])</f>
        <v>129330</v>
      </c>
      <c r="J2794" t="str">
        <f>_xlfn.UNICHAR(HEX2DEC(Table1[[#This Row],[utf8]]))</f>
        <v>🤲</v>
      </c>
      <c r="K2794" s="3" t="str" cm="1">
        <f t="array" ref="K2794">"Case "&amp;wRandomLetter()&amp;wRandomLetter()&amp;I2794&amp;":    UniConst = ChrW(" &amp; I2794 &amp;")"</f>
        <v>Case jZ129330:    UniConst = ChrW(129330)</v>
      </c>
    </row>
    <row r="2795" spans="1:11" hidden="1">
      <c r="A2795" t="s">
        <v>366</v>
      </c>
      <c r="B2795" t="str">
        <f t="shared" si="260"/>
        <v>1F932 1F3FB ; fully-qualified # 🤲🏻 E5.0 palms up together: light skin tone</v>
      </c>
      <c r="C2795" t="str">
        <f t="shared" si="261"/>
        <v xml:space="preserve">1F932 1F3FB </v>
      </c>
      <c r="D2795">
        <f t="shared" si="262"/>
        <v>12</v>
      </c>
      <c r="E2795" t="str">
        <f t="shared" si="258"/>
        <v xml:space="preserve"> 🤲🏻 E5.0 palms up together: light skin tone</v>
      </c>
      <c r="F2795" t="b">
        <f t="shared" si="263"/>
        <v>1</v>
      </c>
      <c r="G2795" t="str">
        <f t="shared" si="259"/>
        <v>1F932</v>
      </c>
      <c r="I2795">
        <f>HEX2DEC(Table1[[#This Row],[utf8]])</f>
        <v>129330</v>
      </c>
      <c r="J2795" t="str">
        <f>_xlfn.UNICHAR(HEX2DEC(Table1[[#This Row],[utf8]]))</f>
        <v>🤲</v>
      </c>
      <c r="K2795" s="3" t="str" cm="1">
        <f t="array" ref="K2795">"Case "&amp;wRandomLetter()&amp;wRandomLetter()&amp;I2795&amp;":    UniConst = ChrW(" &amp; I2795 &amp;")"</f>
        <v>Case YQ129330:    UniConst = ChrW(129330)</v>
      </c>
    </row>
    <row r="2796" spans="1:11" hidden="1">
      <c r="A2796" t="s">
        <v>367</v>
      </c>
      <c r="B2796" t="str">
        <f t="shared" si="260"/>
        <v>1F932 1F3FC ; fully-qualified # 🤲🏼 E5.0 palms up together: medium-light skin tone</v>
      </c>
      <c r="C2796" t="str">
        <f t="shared" si="261"/>
        <v xml:space="preserve">1F932 1F3FC </v>
      </c>
      <c r="D2796">
        <f t="shared" si="262"/>
        <v>12</v>
      </c>
      <c r="E2796" t="str">
        <f t="shared" si="258"/>
        <v xml:space="preserve"> 🤲🏼 E5.0 palms up together: medium-light skin tone</v>
      </c>
      <c r="F2796" t="b">
        <f t="shared" si="263"/>
        <v>1</v>
      </c>
      <c r="G2796" t="str">
        <f t="shared" si="259"/>
        <v>1F932</v>
      </c>
      <c r="I2796">
        <f>HEX2DEC(Table1[[#This Row],[utf8]])</f>
        <v>129330</v>
      </c>
      <c r="J2796" t="str">
        <f>_xlfn.UNICHAR(HEX2DEC(Table1[[#This Row],[utf8]]))</f>
        <v>🤲</v>
      </c>
      <c r="K2796" s="3" t="str" cm="1">
        <f t="array" ref="K2796">"Case "&amp;wRandomLetter()&amp;wRandomLetter()&amp;I2796&amp;":    UniConst = ChrW(" &amp; I2796 &amp;")"</f>
        <v>Case Ui129330:    UniConst = ChrW(129330)</v>
      </c>
    </row>
    <row r="2797" spans="1:11" hidden="1">
      <c r="A2797" t="s">
        <v>368</v>
      </c>
      <c r="B2797" t="str">
        <f t="shared" si="260"/>
        <v>1F932 1F3FD ; fully-qualified # 🤲🏽 E5.0 palms up together: medium skin tone</v>
      </c>
      <c r="C2797" t="str">
        <f t="shared" si="261"/>
        <v xml:space="preserve">1F932 1F3FD </v>
      </c>
      <c r="D2797">
        <f t="shared" si="262"/>
        <v>12</v>
      </c>
      <c r="E2797" t="str">
        <f t="shared" si="258"/>
        <v xml:space="preserve"> 🤲🏽 E5.0 palms up together: medium skin tone</v>
      </c>
      <c r="F2797" t="b">
        <f t="shared" si="263"/>
        <v>1</v>
      </c>
      <c r="G2797" t="str">
        <f t="shared" si="259"/>
        <v>1F932</v>
      </c>
      <c r="I2797">
        <f>HEX2DEC(Table1[[#This Row],[utf8]])</f>
        <v>129330</v>
      </c>
      <c r="J2797" t="str">
        <f>_xlfn.UNICHAR(HEX2DEC(Table1[[#This Row],[utf8]]))</f>
        <v>🤲</v>
      </c>
      <c r="K2797" s="3" t="str" cm="1">
        <f t="array" ref="K2797">"Case "&amp;wRandomLetter()&amp;wRandomLetter()&amp;I2797&amp;":    UniConst = ChrW(" &amp; I2797 &amp;")"</f>
        <v>Case qQ129330:    UniConst = ChrW(129330)</v>
      </c>
    </row>
    <row r="2798" spans="1:11" hidden="1">
      <c r="A2798" t="s">
        <v>369</v>
      </c>
      <c r="B2798" t="str">
        <f t="shared" si="260"/>
        <v>1F932 1F3FE ; fully-qualified # 🤲🏾 E5.0 palms up together: medium-dark skin tone</v>
      </c>
      <c r="C2798" t="str">
        <f t="shared" si="261"/>
        <v xml:space="preserve">1F932 1F3FE </v>
      </c>
      <c r="D2798">
        <f t="shared" si="262"/>
        <v>12</v>
      </c>
      <c r="E2798" t="str">
        <f t="shared" si="258"/>
        <v xml:space="preserve"> 🤲🏾 E5.0 palms up together: medium-dark skin tone</v>
      </c>
      <c r="F2798" t="b">
        <f t="shared" si="263"/>
        <v>1</v>
      </c>
      <c r="G2798" t="str">
        <f t="shared" si="259"/>
        <v>1F932</v>
      </c>
      <c r="I2798">
        <f>HEX2DEC(Table1[[#This Row],[utf8]])</f>
        <v>129330</v>
      </c>
      <c r="J2798" t="str">
        <f>_xlfn.UNICHAR(HEX2DEC(Table1[[#This Row],[utf8]]))</f>
        <v>🤲</v>
      </c>
      <c r="K2798" s="3" t="str" cm="1">
        <f t="array" ref="K2798">"Case "&amp;wRandomLetter()&amp;wRandomLetter()&amp;I2798&amp;":    UniConst = ChrW(" &amp; I2798 &amp;")"</f>
        <v>Case TA129330:    UniConst = ChrW(129330)</v>
      </c>
    </row>
    <row r="2799" spans="1:11" hidden="1">
      <c r="A2799" t="s">
        <v>370</v>
      </c>
      <c r="B2799" t="str">
        <f t="shared" si="260"/>
        <v>1F932 1F3FF ; fully-qualified # 🤲🏿 E5.0 palms up together: dark skin tone</v>
      </c>
      <c r="C2799" t="str">
        <f t="shared" si="261"/>
        <v xml:space="preserve">1F932 1F3FF </v>
      </c>
      <c r="D2799">
        <f t="shared" si="262"/>
        <v>12</v>
      </c>
      <c r="E2799" t="str">
        <f t="shared" si="258"/>
        <v xml:space="preserve"> 🤲🏿 E5.0 palms up together: dark skin tone</v>
      </c>
      <c r="F2799" t="b">
        <f t="shared" si="263"/>
        <v>1</v>
      </c>
      <c r="G2799" t="str">
        <f t="shared" si="259"/>
        <v>1F932</v>
      </c>
      <c r="I2799">
        <f>HEX2DEC(Table1[[#This Row],[utf8]])</f>
        <v>129330</v>
      </c>
      <c r="J2799" t="str">
        <f>_xlfn.UNICHAR(HEX2DEC(Table1[[#This Row],[utf8]]))</f>
        <v>🤲</v>
      </c>
      <c r="K2799" s="3" t="str" cm="1">
        <f t="array" ref="K2799">"Case "&amp;wRandomLetter()&amp;wRandomLetter()&amp;I2799&amp;":    UniConst = ChrW(" &amp; I2799 &amp;")"</f>
        <v>Case Hq129330:    UniConst = ChrW(129330)</v>
      </c>
    </row>
    <row r="2800" spans="1:11" hidden="1">
      <c r="A2800" t="s">
        <v>392</v>
      </c>
      <c r="B2800" t="str">
        <f t="shared" si="260"/>
        <v>1F933 ; fully-qualified # 🤳 E3.0 selfie</v>
      </c>
      <c r="C2800" t="str">
        <f t="shared" si="261"/>
        <v xml:space="preserve">1F933 </v>
      </c>
      <c r="D2800">
        <f t="shared" si="262"/>
        <v>6</v>
      </c>
      <c r="E2800" t="str">
        <f t="shared" si="258"/>
        <v xml:space="preserve"> 🤳 E3.0 selfie</v>
      </c>
      <c r="F2800" t="b">
        <f t="shared" si="263"/>
        <v>1</v>
      </c>
      <c r="G2800" t="str">
        <f t="shared" si="259"/>
        <v>1F933</v>
      </c>
      <c r="I2800">
        <f>HEX2DEC(Table1[[#This Row],[utf8]])</f>
        <v>129331</v>
      </c>
      <c r="J2800" t="str">
        <f>_xlfn.UNICHAR(HEX2DEC(Table1[[#This Row],[utf8]]))</f>
        <v>🤳</v>
      </c>
      <c r="K2800" s="3" t="str" cm="1">
        <f t="array" ref="K2800">"Case "&amp;wRandomLetter()&amp;wRandomLetter()&amp;I2800&amp;":    UniConst = ChrW(" &amp; I2800 &amp;")"</f>
        <v>Case UO129331:    UniConst = ChrW(129331)</v>
      </c>
    </row>
    <row r="2801" spans="1:11" hidden="1">
      <c r="A2801" t="s">
        <v>393</v>
      </c>
      <c r="B2801" t="str">
        <f t="shared" si="260"/>
        <v>1F933 1F3FB ; fully-qualified # 🤳🏻 E3.0 selfie: light skin tone</v>
      </c>
      <c r="C2801" t="str">
        <f t="shared" si="261"/>
        <v xml:space="preserve">1F933 1F3FB </v>
      </c>
      <c r="D2801">
        <f t="shared" si="262"/>
        <v>12</v>
      </c>
      <c r="E2801" t="str">
        <f t="shared" si="258"/>
        <v xml:space="preserve"> 🤳🏻 E3.0 selfie: light skin tone</v>
      </c>
      <c r="F2801" t="b">
        <f t="shared" si="263"/>
        <v>1</v>
      </c>
      <c r="G2801" t="str">
        <f t="shared" si="259"/>
        <v>1F933</v>
      </c>
      <c r="I2801">
        <f>HEX2DEC(Table1[[#This Row],[utf8]])</f>
        <v>129331</v>
      </c>
      <c r="J2801" t="str">
        <f>_xlfn.UNICHAR(HEX2DEC(Table1[[#This Row],[utf8]]))</f>
        <v>🤳</v>
      </c>
      <c r="K2801" s="3" t="str" cm="1">
        <f t="array" ref="K2801">"Case "&amp;wRandomLetter()&amp;wRandomLetter()&amp;I2801&amp;":    UniConst = ChrW(" &amp; I2801 &amp;")"</f>
        <v>Case yU129331:    UniConst = ChrW(129331)</v>
      </c>
    </row>
    <row r="2802" spans="1:11" hidden="1">
      <c r="A2802" t="s">
        <v>394</v>
      </c>
      <c r="B2802" t="str">
        <f t="shared" si="260"/>
        <v>1F933 1F3FC ; fully-qualified # 🤳🏼 E3.0 selfie: medium-light skin tone</v>
      </c>
      <c r="C2802" t="str">
        <f t="shared" si="261"/>
        <v xml:space="preserve">1F933 1F3FC </v>
      </c>
      <c r="D2802">
        <f t="shared" si="262"/>
        <v>12</v>
      </c>
      <c r="E2802" t="str">
        <f t="shared" si="258"/>
        <v xml:space="preserve"> 🤳🏼 E3.0 selfie: medium-light skin tone</v>
      </c>
      <c r="F2802" t="b">
        <f t="shared" si="263"/>
        <v>1</v>
      </c>
      <c r="G2802" t="str">
        <f t="shared" si="259"/>
        <v>1F933</v>
      </c>
      <c r="I2802">
        <f>HEX2DEC(Table1[[#This Row],[utf8]])</f>
        <v>129331</v>
      </c>
      <c r="J2802" t="str">
        <f>_xlfn.UNICHAR(HEX2DEC(Table1[[#This Row],[utf8]]))</f>
        <v>🤳</v>
      </c>
      <c r="K2802" s="3" t="str" cm="1">
        <f t="array" ref="K2802">"Case "&amp;wRandomLetter()&amp;wRandomLetter()&amp;I2802&amp;":    UniConst = ChrW(" &amp; I2802 &amp;")"</f>
        <v>Case kt129331:    UniConst = ChrW(129331)</v>
      </c>
    </row>
    <row r="2803" spans="1:11" hidden="1">
      <c r="A2803" t="s">
        <v>395</v>
      </c>
      <c r="B2803" t="str">
        <f t="shared" si="260"/>
        <v>1F933 1F3FD ; fully-qualified # 🤳🏽 E3.0 selfie: medium skin tone</v>
      </c>
      <c r="C2803" t="str">
        <f t="shared" si="261"/>
        <v xml:space="preserve">1F933 1F3FD </v>
      </c>
      <c r="D2803">
        <f t="shared" si="262"/>
        <v>12</v>
      </c>
      <c r="E2803" t="str">
        <f t="shared" si="258"/>
        <v xml:space="preserve"> 🤳🏽 E3.0 selfie: medium skin tone</v>
      </c>
      <c r="F2803" t="b">
        <f t="shared" si="263"/>
        <v>1</v>
      </c>
      <c r="G2803" t="str">
        <f t="shared" si="259"/>
        <v>1F933</v>
      </c>
      <c r="I2803">
        <f>HEX2DEC(Table1[[#This Row],[utf8]])</f>
        <v>129331</v>
      </c>
      <c r="J2803" t="str">
        <f>_xlfn.UNICHAR(HEX2DEC(Table1[[#This Row],[utf8]]))</f>
        <v>🤳</v>
      </c>
      <c r="K2803" s="3" t="str" cm="1">
        <f t="array" ref="K2803">"Case "&amp;wRandomLetter()&amp;wRandomLetter()&amp;I2803&amp;":    UniConst = ChrW(" &amp; I2803 &amp;")"</f>
        <v>Case lQ129331:    UniConst = ChrW(129331)</v>
      </c>
    </row>
    <row r="2804" spans="1:11" hidden="1">
      <c r="A2804" t="s">
        <v>396</v>
      </c>
      <c r="B2804" t="str">
        <f t="shared" si="260"/>
        <v>1F933 1F3FE ; fully-qualified # 🤳🏾 E3.0 selfie: medium-dark skin tone</v>
      </c>
      <c r="C2804" t="str">
        <f t="shared" si="261"/>
        <v xml:space="preserve">1F933 1F3FE </v>
      </c>
      <c r="D2804">
        <f t="shared" si="262"/>
        <v>12</v>
      </c>
      <c r="E2804" t="str">
        <f t="shared" si="258"/>
        <v xml:space="preserve"> 🤳🏾 E3.0 selfie: medium-dark skin tone</v>
      </c>
      <c r="F2804" t="b">
        <f t="shared" si="263"/>
        <v>1</v>
      </c>
      <c r="G2804" t="str">
        <f t="shared" si="259"/>
        <v>1F933</v>
      </c>
      <c r="I2804">
        <f>HEX2DEC(Table1[[#This Row],[utf8]])</f>
        <v>129331</v>
      </c>
      <c r="J2804" t="str">
        <f>_xlfn.UNICHAR(HEX2DEC(Table1[[#This Row],[utf8]]))</f>
        <v>🤳</v>
      </c>
      <c r="K2804" s="3" t="str" cm="1">
        <f t="array" ref="K2804">"Case "&amp;wRandomLetter()&amp;wRandomLetter()&amp;I2804&amp;":    UniConst = ChrW(" &amp; I2804 &amp;")"</f>
        <v>Case my129331:    UniConst = ChrW(129331)</v>
      </c>
    </row>
    <row r="2805" spans="1:11" hidden="1">
      <c r="A2805" t="s">
        <v>397</v>
      </c>
      <c r="B2805" t="str">
        <f t="shared" si="260"/>
        <v>1F933 1F3FF ; fully-qualified # 🤳🏿 E3.0 selfie: dark skin tone</v>
      </c>
      <c r="C2805" t="str">
        <f t="shared" si="261"/>
        <v xml:space="preserve">1F933 1F3FF </v>
      </c>
      <c r="D2805">
        <f t="shared" si="262"/>
        <v>12</v>
      </c>
      <c r="E2805" t="str">
        <f t="shared" si="258"/>
        <v xml:space="preserve"> 🤳🏿 E3.0 selfie: dark skin tone</v>
      </c>
      <c r="F2805" t="b">
        <f t="shared" si="263"/>
        <v>1</v>
      </c>
      <c r="G2805" t="str">
        <f t="shared" si="259"/>
        <v>1F933</v>
      </c>
      <c r="I2805">
        <f>HEX2DEC(Table1[[#This Row],[utf8]])</f>
        <v>129331</v>
      </c>
      <c r="J2805" t="str">
        <f>_xlfn.UNICHAR(HEX2DEC(Table1[[#This Row],[utf8]]))</f>
        <v>🤳</v>
      </c>
      <c r="K2805" s="3" t="str" cm="1">
        <f t="array" ref="K2805">"Case "&amp;wRandomLetter()&amp;wRandomLetter()&amp;I2805&amp;":    UniConst = ChrW(" &amp; I2805 &amp;")"</f>
        <v>Case aq129331:    UniConst = ChrW(129331)</v>
      </c>
    </row>
    <row r="2806" spans="1:11" hidden="1">
      <c r="A2806" t="s">
        <v>1415</v>
      </c>
      <c r="B2806" t="str">
        <f t="shared" si="260"/>
        <v>1F934 ; fully-qualified # 🤴 E3.0 prince</v>
      </c>
      <c r="C2806" t="str">
        <f t="shared" si="261"/>
        <v xml:space="preserve">1F934 </v>
      </c>
      <c r="D2806">
        <f t="shared" si="262"/>
        <v>6</v>
      </c>
      <c r="E2806" t="str">
        <f t="shared" si="258"/>
        <v xml:space="preserve"> 🤴 E3.0 prince</v>
      </c>
      <c r="F2806" t="b">
        <f t="shared" si="263"/>
        <v>1</v>
      </c>
      <c r="G2806" t="str">
        <f t="shared" si="259"/>
        <v>1F934</v>
      </c>
      <c r="I2806">
        <f>HEX2DEC(Table1[[#This Row],[utf8]])</f>
        <v>129332</v>
      </c>
      <c r="J2806" t="str">
        <f>_xlfn.UNICHAR(HEX2DEC(Table1[[#This Row],[utf8]]))</f>
        <v>🤴</v>
      </c>
      <c r="K2806" s="3" t="str" cm="1">
        <f t="array" ref="K2806">"Case "&amp;wRandomLetter()&amp;wRandomLetter()&amp;I2806&amp;":    UniConst = ChrW(" &amp; I2806 &amp;")"</f>
        <v>Case kt129332:    UniConst = ChrW(129332)</v>
      </c>
    </row>
    <row r="2807" spans="1:11" hidden="1">
      <c r="A2807" t="s">
        <v>1416</v>
      </c>
      <c r="B2807" t="str">
        <f t="shared" si="260"/>
        <v>1F934 1F3FB ; fully-qualified # 🤴🏻 E3.0 prince: light skin tone</v>
      </c>
      <c r="C2807" t="str">
        <f t="shared" si="261"/>
        <v xml:space="preserve">1F934 1F3FB </v>
      </c>
      <c r="D2807">
        <f t="shared" si="262"/>
        <v>12</v>
      </c>
      <c r="E2807" t="str">
        <f t="shared" si="258"/>
        <v xml:space="preserve"> 🤴🏻 E3.0 prince: light skin tone</v>
      </c>
      <c r="F2807" t="b">
        <f t="shared" si="263"/>
        <v>1</v>
      </c>
      <c r="G2807" t="str">
        <f t="shared" si="259"/>
        <v>1F934</v>
      </c>
      <c r="I2807">
        <f>HEX2DEC(Table1[[#This Row],[utf8]])</f>
        <v>129332</v>
      </c>
      <c r="J2807" t="str">
        <f>_xlfn.UNICHAR(HEX2DEC(Table1[[#This Row],[utf8]]))</f>
        <v>🤴</v>
      </c>
      <c r="K2807" s="3" t="str" cm="1">
        <f t="array" ref="K2807">"Case "&amp;wRandomLetter()&amp;wRandomLetter()&amp;I2807&amp;":    UniConst = ChrW(" &amp; I2807 &amp;")"</f>
        <v>Case mf129332:    UniConst = ChrW(129332)</v>
      </c>
    </row>
    <row r="2808" spans="1:11" hidden="1">
      <c r="A2808" t="s">
        <v>1417</v>
      </c>
      <c r="B2808" t="str">
        <f t="shared" si="260"/>
        <v>1F934 1F3FC ; fully-qualified # 🤴🏼 E3.0 prince: medium-light skin tone</v>
      </c>
      <c r="C2808" t="str">
        <f t="shared" si="261"/>
        <v xml:space="preserve">1F934 1F3FC </v>
      </c>
      <c r="D2808">
        <f t="shared" si="262"/>
        <v>12</v>
      </c>
      <c r="E2808" t="str">
        <f t="shared" si="258"/>
        <v xml:space="preserve"> 🤴🏼 E3.0 prince: medium-light skin tone</v>
      </c>
      <c r="F2808" t="b">
        <f t="shared" si="263"/>
        <v>1</v>
      </c>
      <c r="G2808" t="str">
        <f t="shared" si="259"/>
        <v>1F934</v>
      </c>
      <c r="I2808">
        <f>HEX2DEC(Table1[[#This Row],[utf8]])</f>
        <v>129332</v>
      </c>
      <c r="J2808" t="str">
        <f>_xlfn.UNICHAR(HEX2DEC(Table1[[#This Row],[utf8]]))</f>
        <v>🤴</v>
      </c>
      <c r="K2808" s="3" t="str" cm="1">
        <f t="array" ref="K2808">"Case "&amp;wRandomLetter()&amp;wRandomLetter()&amp;I2808&amp;":    UniConst = ChrW(" &amp; I2808 &amp;")"</f>
        <v>Case YQ129332:    UniConst = ChrW(129332)</v>
      </c>
    </row>
    <row r="2809" spans="1:11" hidden="1">
      <c r="A2809" t="s">
        <v>1418</v>
      </c>
      <c r="B2809" t="str">
        <f t="shared" si="260"/>
        <v>1F934 1F3FD ; fully-qualified # 🤴🏽 E3.0 prince: medium skin tone</v>
      </c>
      <c r="C2809" t="str">
        <f t="shared" si="261"/>
        <v xml:space="preserve">1F934 1F3FD </v>
      </c>
      <c r="D2809">
        <f t="shared" si="262"/>
        <v>12</v>
      </c>
      <c r="E2809" t="str">
        <f t="shared" si="258"/>
        <v xml:space="preserve"> 🤴🏽 E3.0 prince: medium skin tone</v>
      </c>
      <c r="F2809" t="b">
        <f t="shared" si="263"/>
        <v>1</v>
      </c>
      <c r="G2809" t="str">
        <f t="shared" si="259"/>
        <v>1F934</v>
      </c>
      <c r="I2809">
        <f>HEX2DEC(Table1[[#This Row],[utf8]])</f>
        <v>129332</v>
      </c>
      <c r="J2809" t="str">
        <f>_xlfn.UNICHAR(HEX2DEC(Table1[[#This Row],[utf8]]))</f>
        <v>🤴</v>
      </c>
      <c r="K2809" s="3" t="str" cm="1">
        <f t="array" ref="K2809">"Case "&amp;wRandomLetter()&amp;wRandomLetter()&amp;I2809&amp;":    UniConst = ChrW(" &amp; I2809 &amp;")"</f>
        <v>Case fg129332:    UniConst = ChrW(129332)</v>
      </c>
    </row>
    <row r="2810" spans="1:11" hidden="1">
      <c r="A2810" t="s">
        <v>1419</v>
      </c>
      <c r="B2810" t="str">
        <f t="shared" si="260"/>
        <v>1F934 1F3FE ; fully-qualified # 🤴🏾 E3.0 prince: medium-dark skin tone</v>
      </c>
      <c r="C2810" t="str">
        <f t="shared" si="261"/>
        <v xml:space="preserve">1F934 1F3FE </v>
      </c>
      <c r="D2810">
        <f t="shared" si="262"/>
        <v>12</v>
      </c>
      <c r="E2810" t="str">
        <f t="shared" si="258"/>
        <v xml:space="preserve"> 🤴🏾 E3.0 prince: medium-dark skin tone</v>
      </c>
      <c r="F2810" t="b">
        <f t="shared" si="263"/>
        <v>1</v>
      </c>
      <c r="G2810" t="str">
        <f t="shared" si="259"/>
        <v>1F934</v>
      </c>
      <c r="I2810">
        <f>HEX2DEC(Table1[[#This Row],[utf8]])</f>
        <v>129332</v>
      </c>
      <c r="J2810" t="str">
        <f>_xlfn.UNICHAR(HEX2DEC(Table1[[#This Row],[utf8]]))</f>
        <v>🤴</v>
      </c>
      <c r="K2810" s="3" t="str" cm="1">
        <f t="array" ref="K2810">"Case "&amp;wRandomLetter()&amp;wRandomLetter()&amp;I2810&amp;":    UniConst = ChrW(" &amp; I2810 &amp;")"</f>
        <v>Case Sd129332:    UniConst = ChrW(129332)</v>
      </c>
    </row>
    <row r="2811" spans="1:11" hidden="1">
      <c r="A2811" t="s">
        <v>1420</v>
      </c>
      <c r="B2811" t="str">
        <f t="shared" si="260"/>
        <v>1F934 1F3FF ; fully-qualified # 🤴🏿 E3.0 prince: dark skin tone</v>
      </c>
      <c r="C2811" t="str">
        <f t="shared" si="261"/>
        <v xml:space="preserve">1F934 1F3FF </v>
      </c>
      <c r="D2811">
        <f t="shared" si="262"/>
        <v>12</v>
      </c>
      <c r="E2811" t="str">
        <f t="shared" si="258"/>
        <v xml:space="preserve"> 🤴🏿 E3.0 prince: dark skin tone</v>
      </c>
      <c r="F2811" t="b">
        <f t="shared" si="263"/>
        <v>1</v>
      </c>
      <c r="G2811" t="str">
        <f t="shared" si="259"/>
        <v>1F934</v>
      </c>
      <c r="I2811">
        <f>HEX2DEC(Table1[[#This Row],[utf8]])</f>
        <v>129332</v>
      </c>
      <c r="J2811" t="str">
        <f>_xlfn.UNICHAR(HEX2DEC(Table1[[#This Row],[utf8]]))</f>
        <v>🤴</v>
      </c>
      <c r="K2811" s="3" t="str" cm="1">
        <f t="array" ref="K2811">"Case "&amp;wRandomLetter()&amp;wRandomLetter()&amp;I2811&amp;":    UniConst = ChrW(" &amp; I2811 &amp;")"</f>
        <v>Case ba129332:    UniConst = ChrW(129332)</v>
      </c>
    </row>
    <row r="2812" spans="1:11" hidden="1">
      <c r="A2812" t="s">
        <v>1469</v>
      </c>
      <c r="B2812" t="str">
        <f t="shared" si="260"/>
        <v>1F935 ; fully-qualified # 🤵 E3.0 person in tuxedo</v>
      </c>
      <c r="C2812" t="str">
        <f t="shared" si="261"/>
        <v xml:space="preserve">1F935 </v>
      </c>
      <c r="D2812">
        <f t="shared" si="262"/>
        <v>6</v>
      </c>
      <c r="E2812" t="str">
        <f t="shared" si="258"/>
        <v xml:space="preserve"> 🤵 E3.0 person in tuxedo</v>
      </c>
      <c r="F2812" t="b">
        <f t="shared" si="263"/>
        <v>1</v>
      </c>
      <c r="G2812" t="str">
        <f t="shared" si="259"/>
        <v>1F935</v>
      </c>
      <c r="I2812">
        <f>HEX2DEC(Table1[[#This Row],[utf8]])</f>
        <v>129333</v>
      </c>
      <c r="J2812" t="str">
        <f>_xlfn.UNICHAR(HEX2DEC(Table1[[#This Row],[utf8]]))</f>
        <v>🤵</v>
      </c>
      <c r="K2812" s="3" t="str" cm="1">
        <f t="array" ref="K2812">"Case "&amp;wRandomLetter()&amp;wRandomLetter()&amp;I2812&amp;":    UniConst = ChrW(" &amp; I2812 &amp;")"</f>
        <v>Case pC129333:    UniConst = ChrW(129333)</v>
      </c>
    </row>
    <row r="2813" spans="1:11" hidden="1">
      <c r="A2813" t="s">
        <v>1470</v>
      </c>
      <c r="B2813" t="str">
        <f t="shared" si="260"/>
        <v>1F935 1F3FB ; fully-qualified # 🤵🏻 E3.0 person in tuxedo: light skin tone</v>
      </c>
      <c r="C2813" t="str">
        <f t="shared" si="261"/>
        <v xml:space="preserve">1F935 1F3FB </v>
      </c>
      <c r="D2813">
        <f t="shared" si="262"/>
        <v>12</v>
      </c>
      <c r="E2813" t="str">
        <f t="shared" si="258"/>
        <v xml:space="preserve"> 🤵🏻 E3.0 person in tuxedo: light skin tone</v>
      </c>
      <c r="F2813" t="b">
        <f t="shared" si="263"/>
        <v>1</v>
      </c>
      <c r="G2813" t="str">
        <f t="shared" si="259"/>
        <v>1F935</v>
      </c>
      <c r="I2813">
        <f>HEX2DEC(Table1[[#This Row],[utf8]])</f>
        <v>129333</v>
      </c>
      <c r="J2813" t="str">
        <f>_xlfn.UNICHAR(HEX2DEC(Table1[[#This Row],[utf8]]))</f>
        <v>🤵</v>
      </c>
      <c r="K2813" s="3" t="str" cm="1">
        <f t="array" ref="K2813">"Case "&amp;wRandomLetter()&amp;wRandomLetter()&amp;I2813&amp;":    UniConst = ChrW(" &amp; I2813 &amp;")"</f>
        <v>Case yK129333:    UniConst = ChrW(129333)</v>
      </c>
    </row>
    <row r="2814" spans="1:11" hidden="1">
      <c r="A2814" t="s">
        <v>1490</v>
      </c>
      <c r="B2814" t="str">
        <f t="shared" si="260"/>
        <v>1F935 1F3FB 200D 2640 ; minimally-qualified # 🤵🏻‍♀ E13.0 woman in tuxedo: light skin tone</v>
      </c>
      <c r="C2814" t="str">
        <f t="shared" si="261"/>
        <v xml:space="preserve">1F935 1F3FB 200D 2640 </v>
      </c>
      <c r="D2814">
        <f t="shared" si="262"/>
        <v>22</v>
      </c>
      <c r="E2814" t="str">
        <f t="shared" si="258"/>
        <v xml:space="preserve"> 🤵🏻‍♀ E13.0 woman in tuxedo: light skin tone</v>
      </c>
      <c r="F2814" t="b">
        <f t="shared" si="263"/>
        <v>1</v>
      </c>
      <c r="G2814" t="str">
        <f t="shared" si="259"/>
        <v>1F935</v>
      </c>
      <c r="I2814">
        <f>HEX2DEC(Table1[[#This Row],[utf8]])</f>
        <v>129333</v>
      </c>
      <c r="J2814" t="str">
        <f>_xlfn.UNICHAR(HEX2DEC(Table1[[#This Row],[utf8]]))</f>
        <v>🤵</v>
      </c>
      <c r="K2814" s="3" t="str" cm="1">
        <f t="array" ref="K2814">"Case "&amp;wRandomLetter()&amp;wRandomLetter()&amp;I2814&amp;":    UniConst = ChrW(" &amp; I2814 &amp;")"</f>
        <v>Case Dr129333:    UniConst = ChrW(129333)</v>
      </c>
    </row>
    <row r="2815" spans="1:11" hidden="1">
      <c r="A2815" t="s">
        <v>1489</v>
      </c>
      <c r="B2815" t="str">
        <f t="shared" si="260"/>
        <v>1F935 1F3FB 200D 2640 FE0F ; fully-qualified # 🤵🏻‍♀️ E13.0 woman in tuxedo: light skin tone</v>
      </c>
      <c r="C2815" t="str">
        <f t="shared" si="261"/>
        <v xml:space="preserve">1F935 1F3FB 200D 2640 FE0F </v>
      </c>
      <c r="D2815">
        <f t="shared" si="262"/>
        <v>27</v>
      </c>
      <c r="E2815" t="str">
        <f t="shared" si="258"/>
        <v xml:space="preserve"> 🤵🏻‍♀️ E13.0 woman in tuxedo: light skin tone</v>
      </c>
      <c r="F2815" t="b">
        <f t="shared" si="263"/>
        <v>1</v>
      </c>
      <c r="G2815" t="str">
        <f t="shared" si="259"/>
        <v>1F935</v>
      </c>
      <c r="I2815">
        <f>HEX2DEC(Table1[[#This Row],[utf8]])</f>
        <v>129333</v>
      </c>
      <c r="J2815" t="str">
        <f>_xlfn.UNICHAR(HEX2DEC(Table1[[#This Row],[utf8]]))</f>
        <v>🤵</v>
      </c>
      <c r="K2815" s="3" t="str" cm="1">
        <f t="array" ref="K2815">"Case "&amp;wRandomLetter()&amp;wRandomLetter()&amp;I2815&amp;":    UniConst = ChrW(" &amp; I2815 &amp;")"</f>
        <v>Case nJ129333:    UniConst = ChrW(129333)</v>
      </c>
    </row>
    <row r="2816" spans="1:11" hidden="1">
      <c r="A2816" t="s">
        <v>1478</v>
      </c>
      <c r="B2816" t="str">
        <f t="shared" si="260"/>
        <v>1F935 1F3FB 200D 2642 ; minimally-qualified # 🤵🏻‍♂ E13.0 man in tuxedo: light skin tone</v>
      </c>
      <c r="C2816" t="str">
        <f t="shared" si="261"/>
        <v xml:space="preserve">1F935 1F3FB 200D 2642 </v>
      </c>
      <c r="D2816">
        <f t="shared" si="262"/>
        <v>22</v>
      </c>
      <c r="E2816" t="str">
        <f t="shared" si="258"/>
        <v xml:space="preserve"> 🤵🏻‍♂ E13.0 man in tuxedo: light skin tone</v>
      </c>
      <c r="F2816" t="b">
        <f t="shared" si="263"/>
        <v>1</v>
      </c>
      <c r="G2816" t="str">
        <f t="shared" si="259"/>
        <v>1F935</v>
      </c>
      <c r="I2816">
        <f>HEX2DEC(Table1[[#This Row],[utf8]])</f>
        <v>129333</v>
      </c>
      <c r="J2816" t="str">
        <f>_xlfn.UNICHAR(HEX2DEC(Table1[[#This Row],[utf8]]))</f>
        <v>🤵</v>
      </c>
      <c r="K2816" s="3" t="str" cm="1">
        <f t="array" ref="K2816">"Case "&amp;wRandomLetter()&amp;wRandomLetter()&amp;I2816&amp;":    UniConst = ChrW(" &amp; I2816 &amp;")"</f>
        <v>Case DI129333:    UniConst = ChrW(129333)</v>
      </c>
    </row>
    <row r="2817" spans="1:11" hidden="1">
      <c r="A2817" t="s">
        <v>1477</v>
      </c>
      <c r="B2817" t="str">
        <f t="shared" si="260"/>
        <v>1F935 1F3FB 200D 2642 FE0F ; fully-qualified # 🤵🏻‍♂️ E13.0 man in tuxedo: light skin tone</v>
      </c>
      <c r="C2817" t="str">
        <f t="shared" si="261"/>
        <v xml:space="preserve">1F935 1F3FB 200D 2642 FE0F </v>
      </c>
      <c r="D2817">
        <f t="shared" si="262"/>
        <v>27</v>
      </c>
      <c r="E2817" t="str">
        <f t="shared" si="258"/>
        <v xml:space="preserve"> 🤵🏻‍♂️ E13.0 man in tuxedo: light skin tone</v>
      </c>
      <c r="F2817" t="b">
        <f t="shared" si="263"/>
        <v>1</v>
      </c>
      <c r="G2817" t="str">
        <f t="shared" si="259"/>
        <v>1F935</v>
      </c>
      <c r="I2817">
        <f>HEX2DEC(Table1[[#This Row],[utf8]])</f>
        <v>129333</v>
      </c>
      <c r="J2817" t="str">
        <f>_xlfn.UNICHAR(HEX2DEC(Table1[[#This Row],[utf8]]))</f>
        <v>🤵</v>
      </c>
      <c r="K2817" s="3" t="str" cm="1">
        <f t="array" ref="K2817">"Case "&amp;wRandomLetter()&amp;wRandomLetter()&amp;I2817&amp;":    UniConst = ChrW(" &amp; I2817 &amp;")"</f>
        <v>Case Uk129333:    UniConst = ChrW(129333)</v>
      </c>
    </row>
    <row r="2818" spans="1:11" hidden="1">
      <c r="A2818" t="s">
        <v>1471</v>
      </c>
      <c r="B2818" t="str">
        <f t="shared" si="260"/>
        <v>1F935 1F3FC ; fully-qualified # 🤵🏼 E3.0 person in tuxedo: medium-light skin tone</v>
      </c>
      <c r="C2818" t="str">
        <f t="shared" si="261"/>
        <v xml:space="preserve">1F935 1F3FC </v>
      </c>
      <c r="D2818">
        <f t="shared" si="262"/>
        <v>12</v>
      </c>
      <c r="E2818" t="str">
        <f t="shared" ref="E2818:E2881" si="264">MID(A2818,FIND("#",A2818)+1,256)</f>
        <v xml:space="preserve"> 🤵🏼 E3.0 person in tuxedo: medium-light skin tone</v>
      </c>
      <c r="F2818" t="b">
        <f t="shared" si="263"/>
        <v>1</v>
      </c>
      <c r="G2818" t="str">
        <f t="shared" ref="G2818:G2881" si="265">LEFT(C2818,(FIND(" ",C2818,1)-1))</f>
        <v>1F935</v>
      </c>
      <c r="I2818">
        <f>HEX2DEC(Table1[[#This Row],[utf8]])</f>
        <v>129333</v>
      </c>
      <c r="J2818" t="str">
        <f>_xlfn.UNICHAR(HEX2DEC(Table1[[#This Row],[utf8]]))</f>
        <v>🤵</v>
      </c>
      <c r="K2818" s="3" t="str" cm="1">
        <f t="array" ref="K2818">"Case "&amp;wRandomLetter()&amp;wRandomLetter()&amp;I2818&amp;":    UniConst = ChrW(" &amp; I2818 &amp;")"</f>
        <v>Case rt129333:    UniConst = ChrW(129333)</v>
      </c>
    </row>
    <row r="2819" spans="1:11" hidden="1">
      <c r="A2819" t="s">
        <v>1492</v>
      </c>
      <c r="B2819" t="str">
        <f t="shared" ref="B2819:B2882" si="266">TRIM(A2819)</f>
        <v>1F935 1F3FC 200D 2640 ; minimally-qualified # 🤵🏼‍♀ E13.0 woman in tuxedo: medium-light skin tone</v>
      </c>
      <c r="C2819" t="str">
        <f t="shared" ref="C2819:C2882" si="267">LEFT(B2819,(FIND(";",B2819,1)-1))</f>
        <v xml:space="preserve">1F935 1F3FC 200D 2640 </v>
      </c>
      <c r="D2819">
        <f t="shared" ref="D2819:D2882" si="268">LEN(C2819)</f>
        <v>22</v>
      </c>
      <c r="E2819" t="str">
        <f t="shared" si="264"/>
        <v xml:space="preserve"> 🤵🏼‍♀ E13.0 woman in tuxedo: medium-light skin tone</v>
      </c>
      <c r="F2819" t="b">
        <f t="shared" ref="F2819:F2882" si="269">IF(LEFT(C2819,2)="1F",TRUE,FALSE)</f>
        <v>1</v>
      </c>
      <c r="G2819" t="str">
        <f t="shared" si="265"/>
        <v>1F935</v>
      </c>
      <c r="I2819">
        <f>HEX2DEC(Table1[[#This Row],[utf8]])</f>
        <v>129333</v>
      </c>
      <c r="J2819" t="str">
        <f>_xlfn.UNICHAR(HEX2DEC(Table1[[#This Row],[utf8]]))</f>
        <v>🤵</v>
      </c>
      <c r="K2819" s="3" t="str" cm="1">
        <f t="array" ref="K2819">"Case "&amp;wRandomLetter()&amp;wRandomLetter()&amp;I2819&amp;":    UniConst = ChrW(" &amp; I2819 &amp;")"</f>
        <v>Case XU129333:    UniConst = ChrW(129333)</v>
      </c>
    </row>
    <row r="2820" spans="1:11" hidden="1">
      <c r="A2820" t="s">
        <v>1491</v>
      </c>
      <c r="B2820" t="str">
        <f t="shared" si="266"/>
        <v>1F935 1F3FC 200D 2640 FE0F ; fully-qualified # 🤵🏼‍♀️ E13.0 woman in tuxedo: medium-light skin tone</v>
      </c>
      <c r="C2820" t="str">
        <f t="shared" si="267"/>
        <v xml:space="preserve">1F935 1F3FC 200D 2640 FE0F </v>
      </c>
      <c r="D2820">
        <f t="shared" si="268"/>
        <v>27</v>
      </c>
      <c r="E2820" t="str">
        <f t="shared" si="264"/>
        <v xml:space="preserve"> 🤵🏼‍♀️ E13.0 woman in tuxedo: medium-light skin tone</v>
      </c>
      <c r="F2820" t="b">
        <f t="shared" si="269"/>
        <v>1</v>
      </c>
      <c r="G2820" t="str">
        <f t="shared" si="265"/>
        <v>1F935</v>
      </c>
      <c r="I2820">
        <f>HEX2DEC(Table1[[#This Row],[utf8]])</f>
        <v>129333</v>
      </c>
      <c r="J2820" t="str">
        <f>_xlfn.UNICHAR(HEX2DEC(Table1[[#This Row],[utf8]]))</f>
        <v>🤵</v>
      </c>
      <c r="K2820" s="3" t="str" cm="1">
        <f t="array" ref="K2820">"Case "&amp;wRandomLetter()&amp;wRandomLetter()&amp;I2820&amp;":    UniConst = ChrW(" &amp; I2820 &amp;")"</f>
        <v>Case JT129333:    UniConst = ChrW(129333)</v>
      </c>
    </row>
    <row r="2821" spans="1:11" hidden="1">
      <c r="A2821" t="s">
        <v>1480</v>
      </c>
      <c r="B2821" t="str">
        <f t="shared" si="266"/>
        <v>1F935 1F3FC 200D 2642 ; minimally-qualified # 🤵🏼‍♂ E13.0 man in tuxedo: medium-light skin tone</v>
      </c>
      <c r="C2821" t="str">
        <f t="shared" si="267"/>
        <v xml:space="preserve">1F935 1F3FC 200D 2642 </v>
      </c>
      <c r="D2821">
        <f t="shared" si="268"/>
        <v>22</v>
      </c>
      <c r="E2821" t="str">
        <f t="shared" si="264"/>
        <v xml:space="preserve"> 🤵🏼‍♂ E13.0 man in tuxedo: medium-light skin tone</v>
      </c>
      <c r="F2821" t="b">
        <f t="shared" si="269"/>
        <v>1</v>
      </c>
      <c r="G2821" t="str">
        <f t="shared" si="265"/>
        <v>1F935</v>
      </c>
      <c r="I2821">
        <f>HEX2DEC(Table1[[#This Row],[utf8]])</f>
        <v>129333</v>
      </c>
      <c r="J2821" t="str">
        <f>_xlfn.UNICHAR(HEX2DEC(Table1[[#This Row],[utf8]]))</f>
        <v>🤵</v>
      </c>
      <c r="K2821" s="3" t="str" cm="1">
        <f t="array" ref="K2821">"Case "&amp;wRandomLetter()&amp;wRandomLetter()&amp;I2821&amp;":    UniConst = ChrW(" &amp; I2821 &amp;")"</f>
        <v>Case pD129333:    UniConst = ChrW(129333)</v>
      </c>
    </row>
    <row r="2822" spans="1:11" hidden="1">
      <c r="A2822" t="s">
        <v>1479</v>
      </c>
      <c r="B2822" t="str">
        <f t="shared" si="266"/>
        <v>1F935 1F3FC 200D 2642 FE0F ; fully-qualified # 🤵🏼‍♂️ E13.0 man in tuxedo: medium-light skin tone</v>
      </c>
      <c r="C2822" t="str">
        <f t="shared" si="267"/>
        <v xml:space="preserve">1F935 1F3FC 200D 2642 FE0F </v>
      </c>
      <c r="D2822">
        <f t="shared" si="268"/>
        <v>27</v>
      </c>
      <c r="E2822" t="str">
        <f t="shared" si="264"/>
        <v xml:space="preserve"> 🤵🏼‍♂️ E13.0 man in tuxedo: medium-light skin tone</v>
      </c>
      <c r="F2822" t="b">
        <f t="shared" si="269"/>
        <v>1</v>
      </c>
      <c r="G2822" t="str">
        <f t="shared" si="265"/>
        <v>1F935</v>
      </c>
      <c r="I2822">
        <f>HEX2DEC(Table1[[#This Row],[utf8]])</f>
        <v>129333</v>
      </c>
      <c r="J2822" t="str">
        <f>_xlfn.UNICHAR(HEX2DEC(Table1[[#This Row],[utf8]]))</f>
        <v>🤵</v>
      </c>
      <c r="K2822" s="3" t="str" cm="1">
        <f t="array" ref="K2822">"Case "&amp;wRandomLetter()&amp;wRandomLetter()&amp;I2822&amp;":    UniConst = ChrW(" &amp; I2822 &amp;")"</f>
        <v>Case qU129333:    UniConst = ChrW(129333)</v>
      </c>
    </row>
    <row r="2823" spans="1:11" hidden="1">
      <c r="A2823" t="s">
        <v>1472</v>
      </c>
      <c r="B2823" t="str">
        <f t="shared" si="266"/>
        <v>1F935 1F3FD ; fully-qualified # 🤵🏽 E3.0 person in tuxedo: medium skin tone</v>
      </c>
      <c r="C2823" t="str">
        <f t="shared" si="267"/>
        <v xml:space="preserve">1F935 1F3FD </v>
      </c>
      <c r="D2823">
        <f t="shared" si="268"/>
        <v>12</v>
      </c>
      <c r="E2823" t="str">
        <f t="shared" si="264"/>
        <v xml:space="preserve"> 🤵🏽 E3.0 person in tuxedo: medium skin tone</v>
      </c>
      <c r="F2823" t="b">
        <f t="shared" si="269"/>
        <v>1</v>
      </c>
      <c r="G2823" t="str">
        <f t="shared" si="265"/>
        <v>1F935</v>
      </c>
      <c r="I2823">
        <f>HEX2DEC(Table1[[#This Row],[utf8]])</f>
        <v>129333</v>
      </c>
      <c r="J2823" t="str">
        <f>_xlfn.UNICHAR(HEX2DEC(Table1[[#This Row],[utf8]]))</f>
        <v>🤵</v>
      </c>
      <c r="K2823" s="3" t="str" cm="1">
        <f t="array" ref="K2823">"Case "&amp;wRandomLetter()&amp;wRandomLetter()&amp;I2823&amp;":    UniConst = ChrW(" &amp; I2823 &amp;")"</f>
        <v>Case mO129333:    UniConst = ChrW(129333)</v>
      </c>
    </row>
    <row r="2824" spans="1:11" hidden="1">
      <c r="A2824" t="s">
        <v>1494</v>
      </c>
      <c r="B2824" t="str">
        <f t="shared" si="266"/>
        <v>1F935 1F3FD 200D 2640 ; minimally-qualified # 🤵🏽‍♀ E13.0 woman in tuxedo: medium skin tone</v>
      </c>
      <c r="C2824" t="str">
        <f t="shared" si="267"/>
        <v xml:space="preserve">1F935 1F3FD 200D 2640 </v>
      </c>
      <c r="D2824">
        <f t="shared" si="268"/>
        <v>22</v>
      </c>
      <c r="E2824" t="str">
        <f t="shared" si="264"/>
        <v xml:space="preserve"> 🤵🏽‍♀ E13.0 woman in tuxedo: medium skin tone</v>
      </c>
      <c r="F2824" t="b">
        <f t="shared" si="269"/>
        <v>1</v>
      </c>
      <c r="G2824" t="str">
        <f t="shared" si="265"/>
        <v>1F935</v>
      </c>
      <c r="I2824">
        <f>HEX2DEC(Table1[[#This Row],[utf8]])</f>
        <v>129333</v>
      </c>
      <c r="J2824" t="str">
        <f>_xlfn.UNICHAR(HEX2DEC(Table1[[#This Row],[utf8]]))</f>
        <v>🤵</v>
      </c>
      <c r="K2824" s="3" t="str" cm="1">
        <f t="array" ref="K2824">"Case "&amp;wRandomLetter()&amp;wRandomLetter()&amp;I2824&amp;":    UniConst = ChrW(" &amp; I2824 &amp;")"</f>
        <v>Case Ux129333:    UniConst = ChrW(129333)</v>
      </c>
    </row>
    <row r="2825" spans="1:11" hidden="1">
      <c r="A2825" t="s">
        <v>1493</v>
      </c>
      <c r="B2825" t="str">
        <f t="shared" si="266"/>
        <v>1F935 1F3FD 200D 2640 FE0F ; fully-qualified # 🤵🏽‍♀️ E13.0 woman in tuxedo: medium skin tone</v>
      </c>
      <c r="C2825" t="str">
        <f t="shared" si="267"/>
        <v xml:space="preserve">1F935 1F3FD 200D 2640 FE0F </v>
      </c>
      <c r="D2825">
        <f t="shared" si="268"/>
        <v>27</v>
      </c>
      <c r="E2825" t="str">
        <f t="shared" si="264"/>
        <v xml:space="preserve"> 🤵🏽‍♀️ E13.0 woman in tuxedo: medium skin tone</v>
      </c>
      <c r="F2825" t="b">
        <f t="shared" si="269"/>
        <v>1</v>
      </c>
      <c r="G2825" t="str">
        <f t="shared" si="265"/>
        <v>1F935</v>
      </c>
      <c r="I2825">
        <f>HEX2DEC(Table1[[#This Row],[utf8]])</f>
        <v>129333</v>
      </c>
      <c r="J2825" t="str">
        <f>_xlfn.UNICHAR(HEX2DEC(Table1[[#This Row],[utf8]]))</f>
        <v>🤵</v>
      </c>
      <c r="K2825" s="3" t="str" cm="1">
        <f t="array" ref="K2825">"Case "&amp;wRandomLetter()&amp;wRandomLetter()&amp;I2825&amp;":    UniConst = ChrW(" &amp; I2825 &amp;")"</f>
        <v>Case rO129333:    UniConst = ChrW(129333)</v>
      </c>
    </row>
    <row r="2826" spans="1:11" hidden="1">
      <c r="A2826" t="s">
        <v>1482</v>
      </c>
      <c r="B2826" t="str">
        <f t="shared" si="266"/>
        <v>1F935 1F3FD 200D 2642 ; minimally-qualified # 🤵🏽‍♂ E13.0 man in tuxedo: medium skin tone</v>
      </c>
      <c r="C2826" t="str">
        <f t="shared" si="267"/>
        <v xml:space="preserve">1F935 1F3FD 200D 2642 </v>
      </c>
      <c r="D2826">
        <f t="shared" si="268"/>
        <v>22</v>
      </c>
      <c r="E2826" t="str">
        <f t="shared" si="264"/>
        <v xml:space="preserve"> 🤵🏽‍♂ E13.0 man in tuxedo: medium skin tone</v>
      </c>
      <c r="F2826" t="b">
        <f t="shared" si="269"/>
        <v>1</v>
      </c>
      <c r="G2826" t="str">
        <f t="shared" si="265"/>
        <v>1F935</v>
      </c>
      <c r="I2826">
        <f>HEX2DEC(Table1[[#This Row],[utf8]])</f>
        <v>129333</v>
      </c>
      <c r="J2826" t="str">
        <f>_xlfn.UNICHAR(HEX2DEC(Table1[[#This Row],[utf8]]))</f>
        <v>🤵</v>
      </c>
      <c r="K2826" s="3" t="str" cm="1">
        <f t="array" ref="K2826">"Case "&amp;wRandomLetter()&amp;wRandomLetter()&amp;I2826&amp;":    UniConst = ChrW(" &amp; I2826 &amp;")"</f>
        <v>Case zC129333:    UniConst = ChrW(129333)</v>
      </c>
    </row>
    <row r="2827" spans="1:11" hidden="1">
      <c r="A2827" t="s">
        <v>1481</v>
      </c>
      <c r="B2827" t="str">
        <f t="shared" si="266"/>
        <v>1F935 1F3FD 200D 2642 FE0F ; fully-qualified # 🤵🏽‍♂️ E13.0 man in tuxedo: medium skin tone</v>
      </c>
      <c r="C2827" t="str">
        <f t="shared" si="267"/>
        <v xml:space="preserve">1F935 1F3FD 200D 2642 FE0F </v>
      </c>
      <c r="D2827">
        <f t="shared" si="268"/>
        <v>27</v>
      </c>
      <c r="E2827" t="str">
        <f t="shared" si="264"/>
        <v xml:space="preserve"> 🤵🏽‍♂️ E13.0 man in tuxedo: medium skin tone</v>
      </c>
      <c r="F2827" t="b">
        <f t="shared" si="269"/>
        <v>1</v>
      </c>
      <c r="G2827" t="str">
        <f t="shared" si="265"/>
        <v>1F935</v>
      </c>
      <c r="I2827">
        <f>HEX2DEC(Table1[[#This Row],[utf8]])</f>
        <v>129333</v>
      </c>
      <c r="J2827" t="str">
        <f>_xlfn.UNICHAR(HEX2DEC(Table1[[#This Row],[utf8]]))</f>
        <v>🤵</v>
      </c>
      <c r="K2827" s="3" t="str" cm="1">
        <f t="array" ref="K2827">"Case "&amp;wRandomLetter()&amp;wRandomLetter()&amp;I2827&amp;":    UniConst = ChrW(" &amp; I2827 &amp;")"</f>
        <v>Case Xh129333:    UniConst = ChrW(129333)</v>
      </c>
    </row>
    <row r="2828" spans="1:11" hidden="1">
      <c r="A2828" t="s">
        <v>1473</v>
      </c>
      <c r="B2828" t="str">
        <f t="shared" si="266"/>
        <v>1F935 1F3FE ; fully-qualified # 🤵🏾 E3.0 person in tuxedo: medium-dark skin tone</v>
      </c>
      <c r="C2828" t="str">
        <f t="shared" si="267"/>
        <v xml:space="preserve">1F935 1F3FE </v>
      </c>
      <c r="D2828">
        <f t="shared" si="268"/>
        <v>12</v>
      </c>
      <c r="E2828" t="str">
        <f t="shared" si="264"/>
        <v xml:space="preserve"> 🤵🏾 E3.0 person in tuxedo: medium-dark skin tone</v>
      </c>
      <c r="F2828" t="b">
        <f t="shared" si="269"/>
        <v>1</v>
      </c>
      <c r="G2828" t="str">
        <f t="shared" si="265"/>
        <v>1F935</v>
      </c>
      <c r="I2828">
        <f>HEX2DEC(Table1[[#This Row],[utf8]])</f>
        <v>129333</v>
      </c>
      <c r="J2828" t="str">
        <f>_xlfn.UNICHAR(HEX2DEC(Table1[[#This Row],[utf8]]))</f>
        <v>🤵</v>
      </c>
      <c r="K2828" s="3" t="str" cm="1">
        <f t="array" ref="K2828">"Case "&amp;wRandomLetter()&amp;wRandomLetter()&amp;I2828&amp;":    UniConst = ChrW(" &amp; I2828 &amp;")"</f>
        <v>Case SS129333:    UniConst = ChrW(129333)</v>
      </c>
    </row>
    <row r="2829" spans="1:11" hidden="1">
      <c r="A2829" t="s">
        <v>1496</v>
      </c>
      <c r="B2829" t="str">
        <f t="shared" si="266"/>
        <v>1F935 1F3FE 200D 2640 ; minimally-qualified # 🤵🏾‍♀ E13.0 woman in tuxedo: medium-dark skin tone</v>
      </c>
      <c r="C2829" t="str">
        <f t="shared" si="267"/>
        <v xml:space="preserve">1F935 1F3FE 200D 2640 </v>
      </c>
      <c r="D2829">
        <f t="shared" si="268"/>
        <v>22</v>
      </c>
      <c r="E2829" t="str">
        <f t="shared" si="264"/>
        <v xml:space="preserve"> 🤵🏾‍♀ E13.0 woman in tuxedo: medium-dark skin tone</v>
      </c>
      <c r="F2829" t="b">
        <f t="shared" si="269"/>
        <v>1</v>
      </c>
      <c r="G2829" t="str">
        <f t="shared" si="265"/>
        <v>1F935</v>
      </c>
      <c r="I2829">
        <f>HEX2DEC(Table1[[#This Row],[utf8]])</f>
        <v>129333</v>
      </c>
      <c r="J2829" t="str">
        <f>_xlfn.UNICHAR(HEX2DEC(Table1[[#This Row],[utf8]]))</f>
        <v>🤵</v>
      </c>
      <c r="K2829" s="3" t="str" cm="1">
        <f t="array" ref="K2829">"Case "&amp;wRandomLetter()&amp;wRandomLetter()&amp;I2829&amp;":    UniConst = ChrW(" &amp; I2829 &amp;")"</f>
        <v>Case ot129333:    UniConst = ChrW(129333)</v>
      </c>
    </row>
    <row r="2830" spans="1:11" hidden="1">
      <c r="A2830" t="s">
        <v>1495</v>
      </c>
      <c r="B2830" t="str">
        <f t="shared" si="266"/>
        <v>1F935 1F3FE 200D 2640 FE0F ; fully-qualified # 🤵🏾‍♀️ E13.0 woman in tuxedo: medium-dark skin tone</v>
      </c>
      <c r="C2830" t="str">
        <f t="shared" si="267"/>
        <v xml:space="preserve">1F935 1F3FE 200D 2640 FE0F </v>
      </c>
      <c r="D2830">
        <f t="shared" si="268"/>
        <v>27</v>
      </c>
      <c r="E2830" t="str">
        <f t="shared" si="264"/>
        <v xml:space="preserve"> 🤵🏾‍♀️ E13.0 woman in tuxedo: medium-dark skin tone</v>
      </c>
      <c r="F2830" t="b">
        <f t="shared" si="269"/>
        <v>1</v>
      </c>
      <c r="G2830" t="str">
        <f t="shared" si="265"/>
        <v>1F935</v>
      </c>
      <c r="I2830">
        <f>HEX2DEC(Table1[[#This Row],[utf8]])</f>
        <v>129333</v>
      </c>
      <c r="J2830" t="str">
        <f>_xlfn.UNICHAR(HEX2DEC(Table1[[#This Row],[utf8]]))</f>
        <v>🤵</v>
      </c>
      <c r="K2830" s="3" t="str" cm="1">
        <f t="array" ref="K2830">"Case "&amp;wRandomLetter()&amp;wRandomLetter()&amp;I2830&amp;":    UniConst = ChrW(" &amp; I2830 &amp;")"</f>
        <v>Case fr129333:    UniConst = ChrW(129333)</v>
      </c>
    </row>
    <row r="2831" spans="1:11" hidden="1">
      <c r="A2831" t="s">
        <v>1484</v>
      </c>
      <c r="B2831" t="str">
        <f t="shared" si="266"/>
        <v>1F935 1F3FE 200D 2642 ; minimally-qualified # 🤵🏾‍♂ E13.0 man in tuxedo: medium-dark skin tone</v>
      </c>
      <c r="C2831" t="str">
        <f t="shared" si="267"/>
        <v xml:space="preserve">1F935 1F3FE 200D 2642 </v>
      </c>
      <c r="D2831">
        <f t="shared" si="268"/>
        <v>22</v>
      </c>
      <c r="E2831" t="str">
        <f t="shared" si="264"/>
        <v xml:space="preserve"> 🤵🏾‍♂ E13.0 man in tuxedo: medium-dark skin tone</v>
      </c>
      <c r="F2831" t="b">
        <f t="shared" si="269"/>
        <v>1</v>
      </c>
      <c r="G2831" t="str">
        <f t="shared" si="265"/>
        <v>1F935</v>
      </c>
      <c r="I2831">
        <f>HEX2DEC(Table1[[#This Row],[utf8]])</f>
        <v>129333</v>
      </c>
      <c r="J2831" t="str">
        <f>_xlfn.UNICHAR(HEX2DEC(Table1[[#This Row],[utf8]]))</f>
        <v>🤵</v>
      </c>
      <c r="K2831" s="3" t="str" cm="1">
        <f t="array" ref="K2831">"Case "&amp;wRandomLetter()&amp;wRandomLetter()&amp;I2831&amp;":    UniConst = ChrW(" &amp; I2831 &amp;")"</f>
        <v>Case wM129333:    UniConst = ChrW(129333)</v>
      </c>
    </row>
    <row r="2832" spans="1:11" hidden="1">
      <c r="A2832" t="s">
        <v>1483</v>
      </c>
      <c r="B2832" t="str">
        <f t="shared" si="266"/>
        <v>1F935 1F3FE 200D 2642 FE0F ; fully-qualified # 🤵🏾‍♂️ E13.0 man in tuxedo: medium-dark skin tone</v>
      </c>
      <c r="C2832" t="str">
        <f t="shared" si="267"/>
        <v xml:space="preserve">1F935 1F3FE 200D 2642 FE0F </v>
      </c>
      <c r="D2832">
        <f t="shared" si="268"/>
        <v>27</v>
      </c>
      <c r="E2832" t="str">
        <f t="shared" si="264"/>
        <v xml:space="preserve"> 🤵🏾‍♂️ E13.0 man in tuxedo: medium-dark skin tone</v>
      </c>
      <c r="F2832" t="b">
        <f t="shared" si="269"/>
        <v>1</v>
      </c>
      <c r="G2832" t="str">
        <f t="shared" si="265"/>
        <v>1F935</v>
      </c>
      <c r="I2832">
        <f>HEX2DEC(Table1[[#This Row],[utf8]])</f>
        <v>129333</v>
      </c>
      <c r="J2832" t="str">
        <f>_xlfn.UNICHAR(HEX2DEC(Table1[[#This Row],[utf8]]))</f>
        <v>🤵</v>
      </c>
      <c r="K2832" s="3" t="str" cm="1">
        <f t="array" ref="K2832">"Case "&amp;wRandomLetter()&amp;wRandomLetter()&amp;I2832&amp;":    UniConst = ChrW(" &amp; I2832 &amp;")"</f>
        <v>Case qS129333:    UniConst = ChrW(129333)</v>
      </c>
    </row>
    <row r="2833" spans="1:11" hidden="1">
      <c r="A2833" t="s">
        <v>1474</v>
      </c>
      <c r="B2833" t="str">
        <f t="shared" si="266"/>
        <v>1F935 1F3FF ; fully-qualified # 🤵🏿 E3.0 person in tuxedo: dark skin tone</v>
      </c>
      <c r="C2833" t="str">
        <f t="shared" si="267"/>
        <v xml:space="preserve">1F935 1F3FF </v>
      </c>
      <c r="D2833">
        <f t="shared" si="268"/>
        <v>12</v>
      </c>
      <c r="E2833" t="str">
        <f t="shared" si="264"/>
        <v xml:space="preserve"> 🤵🏿 E3.0 person in tuxedo: dark skin tone</v>
      </c>
      <c r="F2833" t="b">
        <f t="shared" si="269"/>
        <v>1</v>
      </c>
      <c r="G2833" t="str">
        <f t="shared" si="265"/>
        <v>1F935</v>
      </c>
      <c r="I2833">
        <f>HEX2DEC(Table1[[#This Row],[utf8]])</f>
        <v>129333</v>
      </c>
      <c r="J2833" t="str">
        <f>_xlfn.UNICHAR(HEX2DEC(Table1[[#This Row],[utf8]]))</f>
        <v>🤵</v>
      </c>
      <c r="K2833" s="3" t="str" cm="1">
        <f t="array" ref="K2833">"Case "&amp;wRandomLetter()&amp;wRandomLetter()&amp;I2833&amp;":    UniConst = ChrW(" &amp; I2833 &amp;")"</f>
        <v>Case XU129333:    UniConst = ChrW(129333)</v>
      </c>
    </row>
    <row r="2834" spans="1:11" hidden="1">
      <c r="A2834" t="s">
        <v>1498</v>
      </c>
      <c r="B2834" t="str">
        <f t="shared" si="266"/>
        <v>1F935 1F3FF 200D 2640 ; minimally-qualified # 🤵🏿‍♀ E13.0 woman in tuxedo: dark skin tone</v>
      </c>
      <c r="C2834" t="str">
        <f t="shared" si="267"/>
        <v xml:space="preserve">1F935 1F3FF 200D 2640 </v>
      </c>
      <c r="D2834">
        <f t="shared" si="268"/>
        <v>22</v>
      </c>
      <c r="E2834" t="str">
        <f t="shared" si="264"/>
        <v xml:space="preserve"> 🤵🏿‍♀ E13.0 woman in tuxedo: dark skin tone</v>
      </c>
      <c r="F2834" t="b">
        <f t="shared" si="269"/>
        <v>1</v>
      </c>
      <c r="G2834" t="str">
        <f t="shared" si="265"/>
        <v>1F935</v>
      </c>
      <c r="I2834">
        <f>HEX2DEC(Table1[[#This Row],[utf8]])</f>
        <v>129333</v>
      </c>
      <c r="J2834" t="str">
        <f>_xlfn.UNICHAR(HEX2DEC(Table1[[#This Row],[utf8]]))</f>
        <v>🤵</v>
      </c>
      <c r="K2834" s="3" t="str" cm="1">
        <f t="array" ref="K2834">"Case "&amp;wRandomLetter()&amp;wRandomLetter()&amp;I2834&amp;":    UniConst = ChrW(" &amp; I2834 &amp;")"</f>
        <v>Case rl129333:    UniConst = ChrW(129333)</v>
      </c>
    </row>
    <row r="2835" spans="1:11" hidden="1">
      <c r="A2835" t="s">
        <v>1497</v>
      </c>
      <c r="B2835" t="str">
        <f t="shared" si="266"/>
        <v>1F935 1F3FF 200D 2640 FE0F ; fully-qualified # 🤵🏿‍♀️ E13.0 woman in tuxedo: dark skin tone</v>
      </c>
      <c r="C2835" t="str">
        <f t="shared" si="267"/>
        <v xml:space="preserve">1F935 1F3FF 200D 2640 FE0F </v>
      </c>
      <c r="D2835">
        <f t="shared" si="268"/>
        <v>27</v>
      </c>
      <c r="E2835" t="str">
        <f t="shared" si="264"/>
        <v xml:space="preserve"> 🤵🏿‍♀️ E13.0 woman in tuxedo: dark skin tone</v>
      </c>
      <c r="F2835" t="b">
        <f t="shared" si="269"/>
        <v>1</v>
      </c>
      <c r="G2835" t="str">
        <f t="shared" si="265"/>
        <v>1F935</v>
      </c>
      <c r="I2835">
        <f>HEX2DEC(Table1[[#This Row],[utf8]])</f>
        <v>129333</v>
      </c>
      <c r="J2835" t="str">
        <f>_xlfn.UNICHAR(HEX2DEC(Table1[[#This Row],[utf8]]))</f>
        <v>🤵</v>
      </c>
      <c r="K2835" s="3" t="str" cm="1">
        <f t="array" ref="K2835">"Case "&amp;wRandomLetter()&amp;wRandomLetter()&amp;I2835&amp;":    UniConst = ChrW(" &amp; I2835 &amp;")"</f>
        <v>Case KG129333:    UniConst = ChrW(129333)</v>
      </c>
    </row>
    <row r="2836" spans="1:11" hidden="1">
      <c r="A2836" t="s">
        <v>1486</v>
      </c>
      <c r="B2836" t="str">
        <f t="shared" si="266"/>
        <v>1F935 1F3FF 200D 2642 ; minimally-qualified # 🤵🏿‍♂ E13.0 man in tuxedo: dark skin tone</v>
      </c>
      <c r="C2836" t="str">
        <f t="shared" si="267"/>
        <v xml:space="preserve">1F935 1F3FF 200D 2642 </v>
      </c>
      <c r="D2836">
        <f t="shared" si="268"/>
        <v>22</v>
      </c>
      <c r="E2836" t="str">
        <f t="shared" si="264"/>
        <v xml:space="preserve"> 🤵🏿‍♂ E13.0 man in tuxedo: dark skin tone</v>
      </c>
      <c r="F2836" t="b">
        <f t="shared" si="269"/>
        <v>1</v>
      </c>
      <c r="G2836" t="str">
        <f t="shared" si="265"/>
        <v>1F935</v>
      </c>
      <c r="I2836">
        <f>HEX2DEC(Table1[[#This Row],[utf8]])</f>
        <v>129333</v>
      </c>
      <c r="J2836" t="str">
        <f>_xlfn.UNICHAR(HEX2DEC(Table1[[#This Row],[utf8]]))</f>
        <v>🤵</v>
      </c>
      <c r="K2836" s="3" t="str" cm="1">
        <f t="array" ref="K2836">"Case "&amp;wRandomLetter()&amp;wRandomLetter()&amp;I2836&amp;":    UniConst = ChrW(" &amp; I2836 &amp;")"</f>
        <v>Case Zn129333:    UniConst = ChrW(129333)</v>
      </c>
    </row>
    <row r="2837" spans="1:11" hidden="1">
      <c r="A2837" t="s">
        <v>1485</v>
      </c>
      <c r="B2837" t="str">
        <f t="shared" si="266"/>
        <v>1F935 1F3FF 200D 2642 FE0F ; fully-qualified # 🤵🏿‍♂️ E13.0 man in tuxedo: dark skin tone</v>
      </c>
      <c r="C2837" t="str">
        <f t="shared" si="267"/>
        <v xml:space="preserve">1F935 1F3FF 200D 2642 FE0F </v>
      </c>
      <c r="D2837">
        <f t="shared" si="268"/>
        <v>27</v>
      </c>
      <c r="E2837" t="str">
        <f t="shared" si="264"/>
        <v xml:space="preserve"> 🤵🏿‍♂️ E13.0 man in tuxedo: dark skin tone</v>
      </c>
      <c r="F2837" t="b">
        <f t="shared" si="269"/>
        <v>1</v>
      </c>
      <c r="G2837" t="str">
        <f t="shared" si="265"/>
        <v>1F935</v>
      </c>
      <c r="I2837">
        <f>HEX2DEC(Table1[[#This Row],[utf8]])</f>
        <v>129333</v>
      </c>
      <c r="J2837" t="str">
        <f>_xlfn.UNICHAR(HEX2DEC(Table1[[#This Row],[utf8]]))</f>
        <v>🤵</v>
      </c>
      <c r="K2837" s="3" t="str" cm="1">
        <f t="array" ref="K2837">"Case "&amp;wRandomLetter()&amp;wRandomLetter()&amp;I2837&amp;":    UniConst = ChrW(" &amp; I2837 &amp;")"</f>
        <v>Case nJ129333:    UniConst = ChrW(129333)</v>
      </c>
    </row>
    <row r="2838" spans="1:11" hidden="1">
      <c r="A2838" t="s">
        <v>1488</v>
      </c>
      <c r="B2838" t="str">
        <f t="shared" si="266"/>
        <v>1F935 200D 2640 ; minimally-qualified # 🤵‍♀ E13.0 woman in tuxedo</v>
      </c>
      <c r="C2838" t="str">
        <f t="shared" si="267"/>
        <v xml:space="preserve">1F935 200D 2640 </v>
      </c>
      <c r="D2838">
        <f t="shared" si="268"/>
        <v>16</v>
      </c>
      <c r="E2838" t="str">
        <f t="shared" si="264"/>
        <v xml:space="preserve"> 🤵‍♀ E13.0 woman in tuxedo</v>
      </c>
      <c r="F2838" t="b">
        <f t="shared" si="269"/>
        <v>1</v>
      </c>
      <c r="G2838" t="str">
        <f t="shared" si="265"/>
        <v>1F935</v>
      </c>
      <c r="I2838">
        <f>HEX2DEC(Table1[[#This Row],[utf8]])</f>
        <v>129333</v>
      </c>
      <c r="J2838" t="str">
        <f>_xlfn.UNICHAR(HEX2DEC(Table1[[#This Row],[utf8]]))</f>
        <v>🤵</v>
      </c>
      <c r="K2838" s="3" t="str" cm="1">
        <f t="array" ref="K2838">"Case "&amp;wRandomLetter()&amp;wRandomLetter()&amp;I2838&amp;":    UniConst = ChrW(" &amp; I2838 &amp;")"</f>
        <v>Case SL129333:    UniConst = ChrW(129333)</v>
      </c>
    </row>
    <row r="2839" spans="1:11" hidden="1">
      <c r="A2839" t="s">
        <v>1487</v>
      </c>
      <c r="B2839" t="str">
        <f t="shared" si="266"/>
        <v>1F935 200D 2640 FE0F ; fully-qualified # 🤵‍♀️ E13.0 woman in tuxedo</v>
      </c>
      <c r="C2839" t="str">
        <f t="shared" si="267"/>
        <v xml:space="preserve">1F935 200D 2640 FE0F </v>
      </c>
      <c r="D2839">
        <f t="shared" si="268"/>
        <v>21</v>
      </c>
      <c r="E2839" t="str">
        <f t="shared" si="264"/>
        <v xml:space="preserve"> 🤵‍♀️ E13.0 woman in tuxedo</v>
      </c>
      <c r="F2839" t="b">
        <f t="shared" si="269"/>
        <v>1</v>
      </c>
      <c r="G2839" t="str">
        <f t="shared" si="265"/>
        <v>1F935</v>
      </c>
      <c r="I2839">
        <f>HEX2DEC(Table1[[#This Row],[utf8]])</f>
        <v>129333</v>
      </c>
      <c r="J2839" t="str">
        <f>_xlfn.UNICHAR(HEX2DEC(Table1[[#This Row],[utf8]]))</f>
        <v>🤵</v>
      </c>
      <c r="K2839" s="3" t="str" cm="1">
        <f t="array" ref="K2839">"Case "&amp;wRandomLetter()&amp;wRandomLetter()&amp;I2839&amp;":    UniConst = ChrW(" &amp; I2839 &amp;")"</f>
        <v>Case Hd129333:    UniConst = ChrW(129333)</v>
      </c>
    </row>
    <row r="2840" spans="1:11" hidden="1">
      <c r="A2840" t="s">
        <v>1476</v>
      </c>
      <c r="B2840" t="str">
        <f t="shared" si="266"/>
        <v>1F935 200D 2642 ; minimally-qualified # 🤵‍♂ E13.0 man in tuxedo</v>
      </c>
      <c r="C2840" t="str">
        <f t="shared" si="267"/>
        <v xml:space="preserve">1F935 200D 2642 </v>
      </c>
      <c r="D2840">
        <f t="shared" si="268"/>
        <v>16</v>
      </c>
      <c r="E2840" t="str">
        <f t="shared" si="264"/>
        <v xml:space="preserve"> 🤵‍♂ E13.0 man in tuxedo</v>
      </c>
      <c r="F2840" t="b">
        <f t="shared" si="269"/>
        <v>1</v>
      </c>
      <c r="G2840" t="str">
        <f t="shared" si="265"/>
        <v>1F935</v>
      </c>
      <c r="I2840">
        <f>HEX2DEC(Table1[[#This Row],[utf8]])</f>
        <v>129333</v>
      </c>
      <c r="J2840" t="str">
        <f>_xlfn.UNICHAR(HEX2DEC(Table1[[#This Row],[utf8]]))</f>
        <v>🤵</v>
      </c>
      <c r="K2840" s="3" t="str" cm="1">
        <f t="array" ref="K2840">"Case "&amp;wRandomLetter()&amp;wRandomLetter()&amp;I2840&amp;":    UniConst = ChrW(" &amp; I2840 &amp;")"</f>
        <v>Case GK129333:    UniConst = ChrW(129333)</v>
      </c>
    </row>
    <row r="2841" spans="1:11" hidden="1">
      <c r="A2841" t="s">
        <v>1475</v>
      </c>
      <c r="B2841" t="str">
        <f t="shared" si="266"/>
        <v>1F935 200D 2642 FE0F ; fully-qualified # 🤵‍♂️ E13.0 man in tuxedo</v>
      </c>
      <c r="C2841" t="str">
        <f t="shared" si="267"/>
        <v xml:space="preserve">1F935 200D 2642 FE0F </v>
      </c>
      <c r="D2841">
        <f t="shared" si="268"/>
        <v>21</v>
      </c>
      <c r="E2841" t="str">
        <f t="shared" si="264"/>
        <v xml:space="preserve"> 🤵‍♂️ E13.0 man in tuxedo</v>
      </c>
      <c r="F2841" t="b">
        <f t="shared" si="269"/>
        <v>1</v>
      </c>
      <c r="G2841" t="str">
        <f t="shared" si="265"/>
        <v>1F935</v>
      </c>
      <c r="I2841">
        <f>HEX2DEC(Table1[[#This Row],[utf8]])</f>
        <v>129333</v>
      </c>
      <c r="J2841" t="str">
        <f>_xlfn.UNICHAR(HEX2DEC(Table1[[#This Row],[utf8]]))</f>
        <v>🤵</v>
      </c>
      <c r="K2841" s="3" t="str" cm="1">
        <f t="array" ref="K2841">"Case "&amp;wRandomLetter()&amp;wRandomLetter()&amp;I2841&amp;":    UniConst = ChrW(" &amp; I2841 &amp;")"</f>
        <v>Case Wq129333:    UniConst = ChrW(129333)</v>
      </c>
    </row>
    <row r="2842" spans="1:11" hidden="1">
      <c r="A2842" t="s">
        <v>1572</v>
      </c>
      <c r="B2842" t="str">
        <f t="shared" si="266"/>
        <v>1F936 ; fully-qualified # 🤶 E3.0 Mrs. Claus</v>
      </c>
      <c r="C2842" t="str">
        <f t="shared" si="267"/>
        <v xml:space="preserve">1F936 </v>
      </c>
      <c r="D2842">
        <f t="shared" si="268"/>
        <v>6</v>
      </c>
      <c r="E2842" t="str">
        <f t="shared" si="264"/>
        <v xml:space="preserve"> 🤶 E3.0 Mrs. Claus</v>
      </c>
      <c r="F2842" t="b">
        <f t="shared" si="269"/>
        <v>1</v>
      </c>
      <c r="G2842" t="str">
        <f t="shared" si="265"/>
        <v>1F936</v>
      </c>
      <c r="I2842">
        <f>HEX2DEC(Table1[[#This Row],[utf8]])</f>
        <v>129334</v>
      </c>
      <c r="J2842" t="str">
        <f>_xlfn.UNICHAR(HEX2DEC(Table1[[#This Row],[utf8]]))</f>
        <v>🤶</v>
      </c>
      <c r="K2842" s="3" t="str" cm="1">
        <f t="array" ref="K2842">"Case "&amp;wRandomLetter()&amp;wRandomLetter()&amp;I2842&amp;":    UniConst = ChrW(" &amp; I2842 &amp;")"</f>
        <v>Case JF129334:    UniConst = ChrW(129334)</v>
      </c>
    </row>
    <row r="2843" spans="1:11" hidden="1">
      <c r="A2843" t="s">
        <v>1573</v>
      </c>
      <c r="B2843" t="str">
        <f t="shared" si="266"/>
        <v>1F936 1F3FB ; fully-qualified # 🤶🏻 E3.0 Mrs. Claus: light skin tone</v>
      </c>
      <c r="C2843" t="str">
        <f t="shared" si="267"/>
        <v xml:space="preserve">1F936 1F3FB </v>
      </c>
      <c r="D2843">
        <f t="shared" si="268"/>
        <v>12</v>
      </c>
      <c r="E2843" t="str">
        <f t="shared" si="264"/>
        <v xml:space="preserve"> 🤶🏻 E3.0 Mrs. Claus: light skin tone</v>
      </c>
      <c r="F2843" t="b">
        <f t="shared" si="269"/>
        <v>1</v>
      </c>
      <c r="G2843" t="str">
        <f t="shared" si="265"/>
        <v>1F936</v>
      </c>
      <c r="I2843">
        <f>HEX2DEC(Table1[[#This Row],[utf8]])</f>
        <v>129334</v>
      </c>
      <c r="J2843" t="str">
        <f>_xlfn.UNICHAR(HEX2DEC(Table1[[#This Row],[utf8]]))</f>
        <v>🤶</v>
      </c>
      <c r="K2843" s="3" t="str" cm="1">
        <f t="array" ref="K2843">"Case "&amp;wRandomLetter()&amp;wRandomLetter()&amp;I2843&amp;":    UniConst = ChrW(" &amp; I2843 &amp;")"</f>
        <v>Case XE129334:    UniConst = ChrW(129334)</v>
      </c>
    </row>
    <row r="2844" spans="1:11" hidden="1">
      <c r="A2844" t="s">
        <v>1574</v>
      </c>
      <c r="B2844" t="str">
        <f t="shared" si="266"/>
        <v>1F936 1F3FC ; fully-qualified # 🤶🏼 E3.0 Mrs. Claus: medium-light skin tone</v>
      </c>
      <c r="C2844" t="str">
        <f t="shared" si="267"/>
        <v xml:space="preserve">1F936 1F3FC </v>
      </c>
      <c r="D2844">
        <f t="shared" si="268"/>
        <v>12</v>
      </c>
      <c r="E2844" t="str">
        <f t="shared" si="264"/>
        <v xml:space="preserve"> 🤶🏼 E3.0 Mrs. Claus: medium-light skin tone</v>
      </c>
      <c r="F2844" t="b">
        <f t="shared" si="269"/>
        <v>1</v>
      </c>
      <c r="G2844" t="str">
        <f t="shared" si="265"/>
        <v>1F936</v>
      </c>
      <c r="I2844">
        <f>HEX2DEC(Table1[[#This Row],[utf8]])</f>
        <v>129334</v>
      </c>
      <c r="J2844" t="str">
        <f>_xlfn.UNICHAR(HEX2DEC(Table1[[#This Row],[utf8]]))</f>
        <v>🤶</v>
      </c>
      <c r="K2844" s="3" t="str" cm="1">
        <f t="array" ref="K2844">"Case "&amp;wRandomLetter()&amp;wRandomLetter()&amp;I2844&amp;":    UniConst = ChrW(" &amp; I2844 &amp;")"</f>
        <v>Case yg129334:    UniConst = ChrW(129334)</v>
      </c>
    </row>
    <row r="2845" spans="1:11" hidden="1">
      <c r="A2845" t="s">
        <v>1575</v>
      </c>
      <c r="B2845" t="str">
        <f t="shared" si="266"/>
        <v>1F936 1F3FD ; fully-qualified # 🤶🏽 E3.0 Mrs. Claus: medium skin tone</v>
      </c>
      <c r="C2845" t="str">
        <f t="shared" si="267"/>
        <v xml:space="preserve">1F936 1F3FD </v>
      </c>
      <c r="D2845">
        <f t="shared" si="268"/>
        <v>12</v>
      </c>
      <c r="E2845" t="str">
        <f t="shared" si="264"/>
        <v xml:space="preserve"> 🤶🏽 E3.0 Mrs. Claus: medium skin tone</v>
      </c>
      <c r="F2845" t="b">
        <f t="shared" si="269"/>
        <v>1</v>
      </c>
      <c r="G2845" t="str">
        <f t="shared" si="265"/>
        <v>1F936</v>
      </c>
      <c r="I2845">
        <f>HEX2DEC(Table1[[#This Row],[utf8]])</f>
        <v>129334</v>
      </c>
      <c r="J2845" t="str">
        <f>_xlfn.UNICHAR(HEX2DEC(Table1[[#This Row],[utf8]]))</f>
        <v>🤶</v>
      </c>
      <c r="K2845" s="3" t="str" cm="1">
        <f t="array" ref="K2845">"Case "&amp;wRandomLetter()&amp;wRandomLetter()&amp;I2845&amp;":    UniConst = ChrW(" &amp; I2845 &amp;")"</f>
        <v>Case FQ129334:    UniConst = ChrW(129334)</v>
      </c>
    </row>
    <row r="2846" spans="1:11" hidden="1">
      <c r="A2846" t="s">
        <v>1576</v>
      </c>
      <c r="B2846" t="str">
        <f t="shared" si="266"/>
        <v>1F936 1F3FE ; fully-qualified # 🤶🏾 E3.0 Mrs. Claus: medium-dark skin tone</v>
      </c>
      <c r="C2846" t="str">
        <f t="shared" si="267"/>
        <v xml:space="preserve">1F936 1F3FE </v>
      </c>
      <c r="D2846">
        <f t="shared" si="268"/>
        <v>12</v>
      </c>
      <c r="E2846" t="str">
        <f t="shared" si="264"/>
        <v xml:space="preserve"> 🤶🏾 E3.0 Mrs. Claus: medium-dark skin tone</v>
      </c>
      <c r="F2846" t="b">
        <f t="shared" si="269"/>
        <v>1</v>
      </c>
      <c r="G2846" t="str">
        <f t="shared" si="265"/>
        <v>1F936</v>
      </c>
      <c r="I2846">
        <f>HEX2DEC(Table1[[#This Row],[utf8]])</f>
        <v>129334</v>
      </c>
      <c r="J2846" t="str">
        <f>_xlfn.UNICHAR(HEX2DEC(Table1[[#This Row],[utf8]]))</f>
        <v>🤶</v>
      </c>
      <c r="K2846" s="3" t="str" cm="1">
        <f t="array" ref="K2846">"Case "&amp;wRandomLetter()&amp;wRandomLetter()&amp;I2846&amp;":    UniConst = ChrW(" &amp; I2846 &amp;")"</f>
        <v>Case Kl129334:    UniConst = ChrW(129334)</v>
      </c>
    </row>
    <row r="2847" spans="1:11" hidden="1">
      <c r="A2847" t="s">
        <v>1577</v>
      </c>
      <c r="B2847" t="str">
        <f t="shared" si="266"/>
        <v>1F936 1F3FF ; fully-qualified # 🤶🏿 E3.0 Mrs. Claus: dark skin tone</v>
      </c>
      <c r="C2847" t="str">
        <f t="shared" si="267"/>
        <v xml:space="preserve">1F936 1F3FF </v>
      </c>
      <c r="D2847">
        <f t="shared" si="268"/>
        <v>12</v>
      </c>
      <c r="E2847" t="str">
        <f t="shared" si="264"/>
        <v xml:space="preserve"> 🤶🏿 E3.0 Mrs. Claus: dark skin tone</v>
      </c>
      <c r="F2847" t="b">
        <f t="shared" si="269"/>
        <v>1</v>
      </c>
      <c r="G2847" t="str">
        <f t="shared" si="265"/>
        <v>1F936</v>
      </c>
      <c r="I2847">
        <f>HEX2DEC(Table1[[#This Row],[utf8]])</f>
        <v>129334</v>
      </c>
      <c r="J2847" t="str">
        <f>_xlfn.UNICHAR(HEX2DEC(Table1[[#This Row],[utf8]]))</f>
        <v>🤶</v>
      </c>
      <c r="K2847" s="3" t="str" cm="1">
        <f t="array" ref="K2847">"Case "&amp;wRandomLetter()&amp;wRandomLetter()&amp;I2847&amp;":    UniConst = ChrW(" &amp; I2847 &amp;")"</f>
        <v>Case kb129334:    UniConst = ChrW(129334)</v>
      </c>
    </row>
    <row r="2848" spans="1:11" hidden="1">
      <c r="A2848" t="s">
        <v>911</v>
      </c>
      <c r="B2848" t="str">
        <f t="shared" si="266"/>
        <v>1F937 ; fully-qualified # 🤷 E3.0 person shrugging</v>
      </c>
      <c r="C2848" t="str">
        <f t="shared" si="267"/>
        <v xml:space="preserve">1F937 </v>
      </c>
      <c r="D2848">
        <f t="shared" si="268"/>
        <v>6</v>
      </c>
      <c r="E2848" t="str">
        <f t="shared" si="264"/>
        <v xml:space="preserve"> 🤷 E3.0 person shrugging</v>
      </c>
      <c r="F2848" t="b">
        <f t="shared" si="269"/>
        <v>1</v>
      </c>
      <c r="G2848" t="str">
        <f t="shared" si="265"/>
        <v>1F937</v>
      </c>
      <c r="I2848">
        <f>HEX2DEC(Table1[[#This Row],[utf8]])</f>
        <v>129335</v>
      </c>
      <c r="J2848" t="str">
        <f>_xlfn.UNICHAR(HEX2DEC(Table1[[#This Row],[utf8]]))</f>
        <v>🤷</v>
      </c>
      <c r="K2848" s="3" t="str" cm="1">
        <f t="array" ref="K2848">"Case "&amp;wRandomLetter()&amp;wRandomLetter()&amp;I2848&amp;":    UniConst = ChrW(" &amp; I2848 &amp;")"</f>
        <v>Case oj129335:    UniConst = ChrW(129335)</v>
      </c>
    </row>
    <row r="2849" spans="1:11" hidden="1">
      <c r="A2849" t="s">
        <v>912</v>
      </c>
      <c r="B2849" t="str">
        <f t="shared" si="266"/>
        <v>1F937 1F3FB ; fully-qualified # 🤷🏻 E3.0 person shrugging: light skin tone</v>
      </c>
      <c r="C2849" t="str">
        <f t="shared" si="267"/>
        <v xml:space="preserve">1F937 1F3FB </v>
      </c>
      <c r="D2849">
        <f t="shared" si="268"/>
        <v>12</v>
      </c>
      <c r="E2849" t="str">
        <f t="shared" si="264"/>
        <v xml:space="preserve"> 🤷🏻 E3.0 person shrugging: light skin tone</v>
      </c>
      <c r="F2849" t="b">
        <f t="shared" si="269"/>
        <v>1</v>
      </c>
      <c r="G2849" t="str">
        <f t="shared" si="265"/>
        <v>1F937</v>
      </c>
      <c r="I2849">
        <f>HEX2DEC(Table1[[#This Row],[utf8]])</f>
        <v>129335</v>
      </c>
      <c r="J2849" t="str">
        <f>_xlfn.UNICHAR(HEX2DEC(Table1[[#This Row],[utf8]]))</f>
        <v>🤷</v>
      </c>
      <c r="K2849" s="3" t="str" cm="1">
        <f t="array" ref="K2849">"Case "&amp;wRandomLetter()&amp;wRandomLetter()&amp;I2849&amp;":    UniConst = ChrW(" &amp; I2849 &amp;")"</f>
        <v>Case aM129335:    UniConst = ChrW(129335)</v>
      </c>
    </row>
    <row r="2850" spans="1:11" hidden="1">
      <c r="A2850" t="s">
        <v>932</v>
      </c>
      <c r="B2850" t="str">
        <f t="shared" si="266"/>
        <v>1F937 1F3FB 200D 2640 ; minimally-qualified # 🤷🏻‍♀ E4.0 woman shrugging: light skin tone</v>
      </c>
      <c r="C2850" t="str">
        <f t="shared" si="267"/>
        <v xml:space="preserve">1F937 1F3FB 200D 2640 </v>
      </c>
      <c r="D2850">
        <f t="shared" si="268"/>
        <v>22</v>
      </c>
      <c r="E2850" t="str">
        <f t="shared" si="264"/>
        <v xml:space="preserve"> 🤷🏻‍♀ E4.0 woman shrugging: light skin tone</v>
      </c>
      <c r="F2850" t="b">
        <f t="shared" si="269"/>
        <v>1</v>
      </c>
      <c r="G2850" t="str">
        <f t="shared" si="265"/>
        <v>1F937</v>
      </c>
      <c r="I2850">
        <f>HEX2DEC(Table1[[#This Row],[utf8]])</f>
        <v>129335</v>
      </c>
      <c r="J2850" t="str">
        <f>_xlfn.UNICHAR(HEX2DEC(Table1[[#This Row],[utf8]]))</f>
        <v>🤷</v>
      </c>
      <c r="K2850" s="3" t="str" cm="1">
        <f t="array" ref="K2850">"Case "&amp;wRandomLetter()&amp;wRandomLetter()&amp;I2850&amp;":    UniConst = ChrW(" &amp; I2850 &amp;")"</f>
        <v>Case ZO129335:    UniConst = ChrW(129335)</v>
      </c>
    </row>
    <row r="2851" spans="1:11" hidden="1">
      <c r="A2851" t="s">
        <v>931</v>
      </c>
      <c r="B2851" t="str">
        <f t="shared" si="266"/>
        <v>1F937 1F3FB 200D 2640 FE0F ; fully-qualified # 🤷🏻‍♀️ E4.0 woman shrugging: light skin tone</v>
      </c>
      <c r="C2851" t="str">
        <f t="shared" si="267"/>
        <v xml:space="preserve">1F937 1F3FB 200D 2640 FE0F </v>
      </c>
      <c r="D2851">
        <f t="shared" si="268"/>
        <v>27</v>
      </c>
      <c r="E2851" t="str">
        <f t="shared" si="264"/>
        <v xml:space="preserve"> 🤷🏻‍♀️ E4.0 woman shrugging: light skin tone</v>
      </c>
      <c r="F2851" t="b">
        <f t="shared" si="269"/>
        <v>1</v>
      </c>
      <c r="G2851" t="str">
        <f t="shared" si="265"/>
        <v>1F937</v>
      </c>
      <c r="I2851">
        <f>HEX2DEC(Table1[[#This Row],[utf8]])</f>
        <v>129335</v>
      </c>
      <c r="J2851" t="str">
        <f>_xlfn.UNICHAR(HEX2DEC(Table1[[#This Row],[utf8]]))</f>
        <v>🤷</v>
      </c>
      <c r="K2851" s="3" t="str" cm="1">
        <f t="array" ref="K2851">"Case "&amp;wRandomLetter()&amp;wRandomLetter()&amp;I2851&amp;":    UniConst = ChrW(" &amp; I2851 &amp;")"</f>
        <v>Case Dr129335:    UniConst = ChrW(129335)</v>
      </c>
    </row>
    <row r="2852" spans="1:11" hidden="1">
      <c r="A2852" t="s">
        <v>920</v>
      </c>
      <c r="B2852" t="str">
        <f t="shared" si="266"/>
        <v>1F937 1F3FB 200D 2642 ; minimally-qualified # 🤷🏻‍♂ E4.0 man shrugging: light skin tone</v>
      </c>
      <c r="C2852" t="str">
        <f t="shared" si="267"/>
        <v xml:space="preserve">1F937 1F3FB 200D 2642 </v>
      </c>
      <c r="D2852">
        <f t="shared" si="268"/>
        <v>22</v>
      </c>
      <c r="E2852" t="str">
        <f t="shared" si="264"/>
        <v xml:space="preserve"> 🤷🏻‍♂ E4.0 man shrugging: light skin tone</v>
      </c>
      <c r="F2852" t="b">
        <f t="shared" si="269"/>
        <v>1</v>
      </c>
      <c r="G2852" t="str">
        <f t="shared" si="265"/>
        <v>1F937</v>
      </c>
      <c r="I2852">
        <f>HEX2DEC(Table1[[#This Row],[utf8]])</f>
        <v>129335</v>
      </c>
      <c r="J2852" t="str">
        <f>_xlfn.UNICHAR(HEX2DEC(Table1[[#This Row],[utf8]]))</f>
        <v>🤷</v>
      </c>
      <c r="K2852" s="3" t="str" cm="1">
        <f t="array" ref="K2852">"Case "&amp;wRandomLetter()&amp;wRandomLetter()&amp;I2852&amp;":    UniConst = ChrW(" &amp; I2852 &amp;")"</f>
        <v>Case qQ129335:    UniConst = ChrW(129335)</v>
      </c>
    </row>
    <row r="2853" spans="1:11" hidden="1">
      <c r="A2853" t="s">
        <v>919</v>
      </c>
      <c r="B2853" t="str">
        <f t="shared" si="266"/>
        <v>1F937 1F3FB 200D 2642 FE0F ; fully-qualified # 🤷🏻‍♂️ E4.0 man shrugging: light skin tone</v>
      </c>
      <c r="C2853" t="str">
        <f t="shared" si="267"/>
        <v xml:space="preserve">1F937 1F3FB 200D 2642 FE0F </v>
      </c>
      <c r="D2853">
        <f t="shared" si="268"/>
        <v>27</v>
      </c>
      <c r="E2853" t="str">
        <f t="shared" si="264"/>
        <v xml:space="preserve"> 🤷🏻‍♂️ E4.0 man shrugging: light skin tone</v>
      </c>
      <c r="F2853" t="b">
        <f t="shared" si="269"/>
        <v>1</v>
      </c>
      <c r="G2853" t="str">
        <f t="shared" si="265"/>
        <v>1F937</v>
      </c>
      <c r="I2853">
        <f>HEX2DEC(Table1[[#This Row],[utf8]])</f>
        <v>129335</v>
      </c>
      <c r="J2853" t="str">
        <f>_xlfn.UNICHAR(HEX2DEC(Table1[[#This Row],[utf8]]))</f>
        <v>🤷</v>
      </c>
      <c r="K2853" s="3" t="str" cm="1">
        <f t="array" ref="K2853">"Case "&amp;wRandomLetter()&amp;wRandomLetter()&amp;I2853&amp;":    UniConst = ChrW(" &amp; I2853 &amp;")"</f>
        <v>Case tK129335:    UniConst = ChrW(129335)</v>
      </c>
    </row>
    <row r="2854" spans="1:11" hidden="1">
      <c r="A2854" t="s">
        <v>913</v>
      </c>
      <c r="B2854" t="str">
        <f t="shared" si="266"/>
        <v>1F937 1F3FC ; fully-qualified # 🤷🏼 E3.0 person shrugging: medium-light skin tone</v>
      </c>
      <c r="C2854" t="str">
        <f t="shared" si="267"/>
        <v xml:space="preserve">1F937 1F3FC </v>
      </c>
      <c r="D2854">
        <f t="shared" si="268"/>
        <v>12</v>
      </c>
      <c r="E2854" t="str">
        <f t="shared" si="264"/>
        <v xml:space="preserve"> 🤷🏼 E3.0 person shrugging: medium-light skin tone</v>
      </c>
      <c r="F2854" t="b">
        <f t="shared" si="269"/>
        <v>1</v>
      </c>
      <c r="G2854" t="str">
        <f t="shared" si="265"/>
        <v>1F937</v>
      </c>
      <c r="I2854">
        <f>HEX2DEC(Table1[[#This Row],[utf8]])</f>
        <v>129335</v>
      </c>
      <c r="J2854" t="str">
        <f>_xlfn.UNICHAR(HEX2DEC(Table1[[#This Row],[utf8]]))</f>
        <v>🤷</v>
      </c>
      <c r="K2854" s="3" t="str" cm="1">
        <f t="array" ref="K2854">"Case "&amp;wRandomLetter()&amp;wRandomLetter()&amp;I2854&amp;":    UniConst = ChrW(" &amp; I2854 &amp;")"</f>
        <v>Case RG129335:    UniConst = ChrW(129335)</v>
      </c>
    </row>
    <row r="2855" spans="1:11" hidden="1">
      <c r="A2855" t="s">
        <v>934</v>
      </c>
      <c r="B2855" t="str">
        <f t="shared" si="266"/>
        <v>1F937 1F3FC 200D 2640 ; minimally-qualified # 🤷🏼‍♀ E4.0 woman shrugging: medium-light skin tone</v>
      </c>
      <c r="C2855" t="str">
        <f t="shared" si="267"/>
        <v xml:space="preserve">1F937 1F3FC 200D 2640 </v>
      </c>
      <c r="D2855">
        <f t="shared" si="268"/>
        <v>22</v>
      </c>
      <c r="E2855" t="str">
        <f t="shared" si="264"/>
        <v xml:space="preserve"> 🤷🏼‍♀ E4.0 woman shrugging: medium-light skin tone</v>
      </c>
      <c r="F2855" t="b">
        <f t="shared" si="269"/>
        <v>1</v>
      </c>
      <c r="G2855" t="str">
        <f t="shared" si="265"/>
        <v>1F937</v>
      </c>
      <c r="I2855">
        <f>HEX2DEC(Table1[[#This Row],[utf8]])</f>
        <v>129335</v>
      </c>
      <c r="J2855" t="str">
        <f>_xlfn.UNICHAR(HEX2DEC(Table1[[#This Row],[utf8]]))</f>
        <v>🤷</v>
      </c>
      <c r="K2855" s="3" t="str" cm="1">
        <f t="array" ref="K2855">"Case "&amp;wRandomLetter()&amp;wRandomLetter()&amp;I2855&amp;":    UniConst = ChrW(" &amp; I2855 &amp;")"</f>
        <v>Case vF129335:    UniConst = ChrW(129335)</v>
      </c>
    </row>
    <row r="2856" spans="1:11" hidden="1">
      <c r="A2856" t="s">
        <v>933</v>
      </c>
      <c r="B2856" t="str">
        <f t="shared" si="266"/>
        <v>1F937 1F3FC 200D 2640 FE0F ; fully-qualified # 🤷🏼‍♀️ E4.0 woman shrugging: medium-light skin tone</v>
      </c>
      <c r="C2856" t="str">
        <f t="shared" si="267"/>
        <v xml:space="preserve">1F937 1F3FC 200D 2640 FE0F </v>
      </c>
      <c r="D2856">
        <f t="shared" si="268"/>
        <v>27</v>
      </c>
      <c r="E2856" t="str">
        <f t="shared" si="264"/>
        <v xml:space="preserve"> 🤷🏼‍♀️ E4.0 woman shrugging: medium-light skin tone</v>
      </c>
      <c r="F2856" t="b">
        <f t="shared" si="269"/>
        <v>1</v>
      </c>
      <c r="G2856" t="str">
        <f t="shared" si="265"/>
        <v>1F937</v>
      </c>
      <c r="I2856">
        <f>HEX2DEC(Table1[[#This Row],[utf8]])</f>
        <v>129335</v>
      </c>
      <c r="J2856" t="str">
        <f>_xlfn.UNICHAR(HEX2DEC(Table1[[#This Row],[utf8]]))</f>
        <v>🤷</v>
      </c>
      <c r="K2856" s="3" t="str" cm="1">
        <f t="array" ref="K2856">"Case "&amp;wRandomLetter()&amp;wRandomLetter()&amp;I2856&amp;":    UniConst = ChrW(" &amp; I2856 &amp;")"</f>
        <v>Case CX129335:    UniConst = ChrW(129335)</v>
      </c>
    </row>
    <row r="2857" spans="1:11" hidden="1">
      <c r="A2857" t="s">
        <v>922</v>
      </c>
      <c r="B2857" t="str">
        <f t="shared" si="266"/>
        <v>1F937 1F3FC 200D 2642 ; minimally-qualified # 🤷🏼‍♂ E4.0 man shrugging: medium-light skin tone</v>
      </c>
      <c r="C2857" t="str">
        <f t="shared" si="267"/>
        <v xml:space="preserve">1F937 1F3FC 200D 2642 </v>
      </c>
      <c r="D2857">
        <f t="shared" si="268"/>
        <v>22</v>
      </c>
      <c r="E2857" t="str">
        <f t="shared" si="264"/>
        <v xml:space="preserve"> 🤷🏼‍♂ E4.0 man shrugging: medium-light skin tone</v>
      </c>
      <c r="F2857" t="b">
        <f t="shared" si="269"/>
        <v>1</v>
      </c>
      <c r="G2857" t="str">
        <f t="shared" si="265"/>
        <v>1F937</v>
      </c>
      <c r="I2857">
        <f>HEX2DEC(Table1[[#This Row],[utf8]])</f>
        <v>129335</v>
      </c>
      <c r="J2857" t="str">
        <f>_xlfn.UNICHAR(HEX2DEC(Table1[[#This Row],[utf8]]))</f>
        <v>🤷</v>
      </c>
      <c r="K2857" s="3" t="str" cm="1">
        <f t="array" ref="K2857">"Case "&amp;wRandomLetter()&amp;wRandomLetter()&amp;I2857&amp;":    UniConst = ChrW(" &amp; I2857 &amp;")"</f>
        <v>Case HZ129335:    UniConst = ChrW(129335)</v>
      </c>
    </row>
    <row r="2858" spans="1:11" hidden="1">
      <c r="A2858" t="s">
        <v>921</v>
      </c>
      <c r="B2858" t="str">
        <f t="shared" si="266"/>
        <v>1F937 1F3FC 200D 2642 FE0F ; fully-qualified # 🤷🏼‍♂️ E4.0 man shrugging: medium-light skin tone</v>
      </c>
      <c r="C2858" t="str">
        <f t="shared" si="267"/>
        <v xml:space="preserve">1F937 1F3FC 200D 2642 FE0F </v>
      </c>
      <c r="D2858">
        <f t="shared" si="268"/>
        <v>27</v>
      </c>
      <c r="E2858" t="str">
        <f t="shared" si="264"/>
        <v xml:space="preserve"> 🤷🏼‍♂️ E4.0 man shrugging: medium-light skin tone</v>
      </c>
      <c r="F2858" t="b">
        <f t="shared" si="269"/>
        <v>1</v>
      </c>
      <c r="G2858" t="str">
        <f t="shared" si="265"/>
        <v>1F937</v>
      </c>
      <c r="I2858">
        <f>HEX2DEC(Table1[[#This Row],[utf8]])</f>
        <v>129335</v>
      </c>
      <c r="J2858" t="str">
        <f>_xlfn.UNICHAR(HEX2DEC(Table1[[#This Row],[utf8]]))</f>
        <v>🤷</v>
      </c>
      <c r="K2858" s="3" t="str" cm="1">
        <f t="array" ref="K2858">"Case "&amp;wRandomLetter()&amp;wRandomLetter()&amp;I2858&amp;":    UniConst = ChrW(" &amp; I2858 &amp;")"</f>
        <v>Case FD129335:    UniConst = ChrW(129335)</v>
      </c>
    </row>
    <row r="2859" spans="1:11" hidden="1">
      <c r="A2859" t="s">
        <v>914</v>
      </c>
      <c r="B2859" t="str">
        <f t="shared" si="266"/>
        <v>1F937 1F3FD ; fully-qualified # 🤷🏽 E3.0 person shrugging: medium skin tone</v>
      </c>
      <c r="C2859" t="str">
        <f t="shared" si="267"/>
        <v xml:space="preserve">1F937 1F3FD </v>
      </c>
      <c r="D2859">
        <f t="shared" si="268"/>
        <v>12</v>
      </c>
      <c r="E2859" t="str">
        <f t="shared" si="264"/>
        <v xml:space="preserve"> 🤷🏽 E3.0 person shrugging: medium skin tone</v>
      </c>
      <c r="F2859" t="b">
        <f t="shared" si="269"/>
        <v>1</v>
      </c>
      <c r="G2859" t="str">
        <f t="shared" si="265"/>
        <v>1F937</v>
      </c>
      <c r="I2859">
        <f>HEX2DEC(Table1[[#This Row],[utf8]])</f>
        <v>129335</v>
      </c>
      <c r="J2859" t="str">
        <f>_xlfn.UNICHAR(HEX2DEC(Table1[[#This Row],[utf8]]))</f>
        <v>🤷</v>
      </c>
      <c r="K2859" s="3" t="str" cm="1">
        <f t="array" ref="K2859">"Case "&amp;wRandomLetter()&amp;wRandomLetter()&amp;I2859&amp;":    UniConst = ChrW(" &amp; I2859 &amp;")"</f>
        <v>Case VZ129335:    UniConst = ChrW(129335)</v>
      </c>
    </row>
    <row r="2860" spans="1:11" hidden="1">
      <c r="A2860" t="s">
        <v>936</v>
      </c>
      <c r="B2860" t="str">
        <f t="shared" si="266"/>
        <v>1F937 1F3FD 200D 2640 ; minimally-qualified # 🤷🏽‍♀ E4.0 woman shrugging: medium skin tone</v>
      </c>
      <c r="C2860" t="str">
        <f t="shared" si="267"/>
        <v xml:space="preserve">1F937 1F3FD 200D 2640 </v>
      </c>
      <c r="D2860">
        <f t="shared" si="268"/>
        <v>22</v>
      </c>
      <c r="E2860" t="str">
        <f t="shared" si="264"/>
        <v xml:space="preserve"> 🤷🏽‍♀ E4.0 woman shrugging: medium skin tone</v>
      </c>
      <c r="F2860" t="b">
        <f t="shared" si="269"/>
        <v>1</v>
      </c>
      <c r="G2860" t="str">
        <f t="shared" si="265"/>
        <v>1F937</v>
      </c>
      <c r="I2860">
        <f>HEX2DEC(Table1[[#This Row],[utf8]])</f>
        <v>129335</v>
      </c>
      <c r="J2860" t="str">
        <f>_xlfn.UNICHAR(HEX2DEC(Table1[[#This Row],[utf8]]))</f>
        <v>🤷</v>
      </c>
      <c r="K2860" s="3" t="str" cm="1">
        <f t="array" ref="K2860">"Case "&amp;wRandomLetter()&amp;wRandomLetter()&amp;I2860&amp;":    UniConst = ChrW(" &amp; I2860 &amp;")"</f>
        <v>Case KZ129335:    UniConst = ChrW(129335)</v>
      </c>
    </row>
    <row r="2861" spans="1:11" hidden="1">
      <c r="A2861" t="s">
        <v>935</v>
      </c>
      <c r="B2861" t="str">
        <f t="shared" si="266"/>
        <v>1F937 1F3FD 200D 2640 FE0F ; fully-qualified # 🤷🏽‍♀️ E4.0 woman shrugging: medium skin tone</v>
      </c>
      <c r="C2861" t="str">
        <f t="shared" si="267"/>
        <v xml:space="preserve">1F937 1F3FD 200D 2640 FE0F </v>
      </c>
      <c r="D2861">
        <f t="shared" si="268"/>
        <v>27</v>
      </c>
      <c r="E2861" t="str">
        <f t="shared" si="264"/>
        <v xml:space="preserve"> 🤷🏽‍♀️ E4.0 woman shrugging: medium skin tone</v>
      </c>
      <c r="F2861" t="b">
        <f t="shared" si="269"/>
        <v>1</v>
      </c>
      <c r="G2861" t="str">
        <f t="shared" si="265"/>
        <v>1F937</v>
      </c>
      <c r="I2861">
        <f>HEX2DEC(Table1[[#This Row],[utf8]])</f>
        <v>129335</v>
      </c>
      <c r="J2861" t="str">
        <f>_xlfn.UNICHAR(HEX2DEC(Table1[[#This Row],[utf8]]))</f>
        <v>🤷</v>
      </c>
      <c r="K2861" s="3" t="str" cm="1">
        <f t="array" ref="K2861">"Case "&amp;wRandomLetter()&amp;wRandomLetter()&amp;I2861&amp;":    UniConst = ChrW(" &amp; I2861 &amp;")"</f>
        <v>Case hC129335:    UniConst = ChrW(129335)</v>
      </c>
    </row>
    <row r="2862" spans="1:11" hidden="1">
      <c r="A2862" t="s">
        <v>924</v>
      </c>
      <c r="B2862" t="str">
        <f t="shared" si="266"/>
        <v>1F937 1F3FD 200D 2642 ; minimally-qualified # 🤷🏽‍♂ E4.0 man shrugging: medium skin tone</v>
      </c>
      <c r="C2862" t="str">
        <f t="shared" si="267"/>
        <v xml:space="preserve">1F937 1F3FD 200D 2642 </v>
      </c>
      <c r="D2862">
        <f t="shared" si="268"/>
        <v>22</v>
      </c>
      <c r="E2862" t="str">
        <f t="shared" si="264"/>
        <v xml:space="preserve"> 🤷🏽‍♂ E4.0 man shrugging: medium skin tone</v>
      </c>
      <c r="F2862" t="b">
        <f t="shared" si="269"/>
        <v>1</v>
      </c>
      <c r="G2862" t="str">
        <f t="shared" si="265"/>
        <v>1F937</v>
      </c>
      <c r="I2862">
        <f>HEX2DEC(Table1[[#This Row],[utf8]])</f>
        <v>129335</v>
      </c>
      <c r="J2862" t="str">
        <f>_xlfn.UNICHAR(HEX2DEC(Table1[[#This Row],[utf8]]))</f>
        <v>🤷</v>
      </c>
      <c r="K2862" s="3" t="str" cm="1">
        <f t="array" ref="K2862">"Case "&amp;wRandomLetter()&amp;wRandomLetter()&amp;I2862&amp;":    UniConst = ChrW(" &amp; I2862 &amp;")"</f>
        <v>Case QK129335:    UniConst = ChrW(129335)</v>
      </c>
    </row>
    <row r="2863" spans="1:11" hidden="1">
      <c r="A2863" t="s">
        <v>923</v>
      </c>
      <c r="B2863" t="str">
        <f t="shared" si="266"/>
        <v>1F937 1F3FD 200D 2642 FE0F ; fully-qualified # 🤷🏽‍♂️ E4.0 man shrugging: medium skin tone</v>
      </c>
      <c r="C2863" t="str">
        <f t="shared" si="267"/>
        <v xml:space="preserve">1F937 1F3FD 200D 2642 FE0F </v>
      </c>
      <c r="D2863">
        <f t="shared" si="268"/>
        <v>27</v>
      </c>
      <c r="E2863" t="str">
        <f t="shared" si="264"/>
        <v xml:space="preserve"> 🤷🏽‍♂️ E4.0 man shrugging: medium skin tone</v>
      </c>
      <c r="F2863" t="b">
        <f t="shared" si="269"/>
        <v>1</v>
      </c>
      <c r="G2863" t="str">
        <f t="shared" si="265"/>
        <v>1F937</v>
      </c>
      <c r="I2863">
        <f>HEX2DEC(Table1[[#This Row],[utf8]])</f>
        <v>129335</v>
      </c>
      <c r="J2863" t="str">
        <f>_xlfn.UNICHAR(HEX2DEC(Table1[[#This Row],[utf8]]))</f>
        <v>🤷</v>
      </c>
      <c r="K2863" s="3" t="str" cm="1">
        <f t="array" ref="K2863">"Case "&amp;wRandomLetter()&amp;wRandomLetter()&amp;I2863&amp;":    UniConst = ChrW(" &amp; I2863 &amp;")"</f>
        <v>Case vP129335:    UniConst = ChrW(129335)</v>
      </c>
    </row>
    <row r="2864" spans="1:11" hidden="1">
      <c r="A2864" t="s">
        <v>915</v>
      </c>
      <c r="B2864" t="str">
        <f t="shared" si="266"/>
        <v>1F937 1F3FE ; fully-qualified # 🤷🏾 E3.0 person shrugging: medium-dark skin tone</v>
      </c>
      <c r="C2864" t="str">
        <f t="shared" si="267"/>
        <v xml:space="preserve">1F937 1F3FE </v>
      </c>
      <c r="D2864">
        <f t="shared" si="268"/>
        <v>12</v>
      </c>
      <c r="E2864" t="str">
        <f t="shared" si="264"/>
        <v xml:space="preserve"> 🤷🏾 E3.0 person shrugging: medium-dark skin tone</v>
      </c>
      <c r="F2864" t="b">
        <f t="shared" si="269"/>
        <v>1</v>
      </c>
      <c r="G2864" t="str">
        <f t="shared" si="265"/>
        <v>1F937</v>
      </c>
      <c r="I2864">
        <f>HEX2DEC(Table1[[#This Row],[utf8]])</f>
        <v>129335</v>
      </c>
      <c r="J2864" t="str">
        <f>_xlfn.UNICHAR(HEX2DEC(Table1[[#This Row],[utf8]]))</f>
        <v>🤷</v>
      </c>
      <c r="K2864" s="3" t="str" cm="1">
        <f t="array" ref="K2864">"Case "&amp;wRandomLetter()&amp;wRandomLetter()&amp;I2864&amp;":    UniConst = ChrW(" &amp; I2864 &amp;")"</f>
        <v>Case tI129335:    UniConst = ChrW(129335)</v>
      </c>
    </row>
    <row r="2865" spans="1:11" hidden="1">
      <c r="A2865" t="s">
        <v>938</v>
      </c>
      <c r="B2865" t="str">
        <f t="shared" si="266"/>
        <v>1F937 1F3FE 200D 2640 ; minimally-qualified # 🤷🏾‍♀ E4.0 woman shrugging: medium-dark skin tone</v>
      </c>
      <c r="C2865" t="str">
        <f t="shared" si="267"/>
        <v xml:space="preserve">1F937 1F3FE 200D 2640 </v>
      </c>
      <c r="D2865">
        <f t="shared" si="268"/>
        <v>22</v>
      </c>
      <c r="E2865" t="str">
        <f t="shared" si="264"/>
        <v xml:space="preserve"> 🤷🏾‍♀ E4.0 woman shrugging: medium-dark skin tone</v>
      </c>
      <c r="F2865" t="b">
        <f t="shared" si="269"/>
        <v>1</v>
      </c>
      <c r="G2865" t="str">
        <f t="shared" si="265"/>
        <v>1F937</v>
      </c>
      <c r="I2865">
        <f>HEX2DEC(Table1[[#This Row],[utf8]])</f>
        <v>129335</v>
      </c>
      <c r="J2865" t="str">
        <f>_xlfn.UNICHAR(HEX2DEC(Table1[[#This Row],[utf8]]))</f>
        <v>🤷</v>
      </c>
      <c r="K2865" s="3" t="str" cm="1">
        <f t="array" ref="K2865">"Case "&amp;wRandomLetter()&amp;wRandomLetter()&amp;I2865&amp;":    UniConst = ChrW(" &amp; I2865 &amp;")"</f>
        <v>Case Fi129335:    UniConst = ChrW(129335)</v>
      </c>
    </row>
    <row r="2866" spans="1:11" hidden="1">
      <c r="A2866" t="s">
        <v>937</v>
      </c>
      <c r="B2866" t="str">
        <f t="shared" si="266"/>
        <v>1F937 1F3FE 200D 2640 FE0F ; fully-qualified # 🤷🏾‍♀️ E4.0 woman shrugging: medium-dark skin tone</v>
      </c>
      <c r="C2866" t="str">
        <f t="shared" si="267"/>
        <v xml:space="preserve">1F937 1F3FE 200D 2640 FE0F </v>
      </c>
      <c r="D2866">
        <f t="shared" si="268"/>
        <v>27</v>
      </c>
      <c r="E2866" t="str">
        <f t="shared" si="264"/>
        <v xml:space="preserve"> 🤷🏾‍♀️ E4.0 woman shrugging: medium-dark skin tone</v>
      </c>
      <c r="F2866" t="b">
        <f t="shared" si="269"/>
        <v>1</v>
      </c>
      <c r="G2866" t="str">
        <f t="shared" si="265"/>
        <v>1F937</v>
      </c>
      <c r="I2866">
        <f>HEX2DEC(Table1[[#This Row],[utf8]])</f>
        <v>129335</v>
      </c>
      <c r="J2866" t="str">
        <f>_xlfn.UNICHAR(HEX2DEC(Table1[[#This Row],[utf8]]))</f>
        <v>🤷</v>
      </c>
      <c r="K2866" s="3" t="str" cm="1">
        <f t="array" ref="K2866">"Case "&amp;wRandomLetter()&amp;wRandomLetter()&amp;I2866&amp;":    UniConst = ChrW(" &amp; I2866 &amp;")"</f>
        <v>Case zY129335:    UniConst = ChrW(129335)</v>
      </c>
    </row>
    <row r="2867" spans="1:11" hidden="1">
      <c r="A2867" t="s">
        <v>926</v>
      </c>
      <c r="B2867" t="str">
        <f t="shared" si="266"/>
        <v>1F937 1F3FE 200D 2642 ; minimally-qualified # 🤷🏾‍♂ E4.0 man shrugging: medium-dark skin tone</v>
      </c>
      <c r="C2867" t="str">
        <f t="shared" si="267"/>
        <v xml:space="preserve">1F937 1F3FE 200D 2642 </v>
      </c>
      <c r="D2867">
        <f t="shared" si="268"/>
        <v>22</v>
      </c>
      <c r="E2867" t="str">
        <f t="shared" si="264"/>
        <v xml:space="preserve"> 🤷🏾‍♂ E4.0 man shrugging: medium-dark skin tone</v>
      </c>
      <c r="F2867" t="b">
        <f t="shared" si="269"/>
        <v>1</v>
      </c>
      <c r="G2867" t="str">
        <f t="shared" si="265"/>
        <v>1F937</v>
      </c>
      <c r="I2867">
        <f>HEX2DEC(Table1[[#This Row],[utf8]])</f>
        <v>129335</v>
      </c>
      <c r="J2867" t="str">
        <f>_xlfn.UNICHAR(HEX2DEC(Table1[[#This Row],[utf8]]))</f>
        <v>🤷</v>
      </c>
      <c r="K2867" s="3" t="str" cm="1">
        <f t="array" ref="K2867">"Case "&amp;wRandomLetter()&amp;wRandomLetter()&amp;I2867&amp;":    UniConst = ChrW(" &amp; I2867 &amp;")"</f>
        <v>Case Dp129335:    UniConst = ChrW(129335)</v>
      </c>
    </row>
    <row r="2868" spans="1:11" hidden="1">
      <c r="A2868" t="s">
        <v>925</v>
      </c>
      <c r="B2868" t="str">
        <f t="shared" si="266"/>
        <v>1F937 1F3FE 200D 2642 FE0F ; fully-qualified # 🤷🏾‍♂️ E4.0 man shrugging: medium-dark skin tone</v>
      </c>
      <c r="C2868" t="str">
        <f t="shared" si="267"/>
        <v xml:space="preserve">1F937 1F3FE 200D 2642 FE0F </v>
      </c>
      <c r="D2868">
        <f t="shared" si="268"/>
        <v>27</v>
      </c>
      <c r="E2868" t="str">
        <f t="shared" si="264"/>
        <v xml:space="preserve"> 🤷🏾‍♂️ E4.0 man shrugging: medium-dark skin tone</v>
      </c>
      <c r="F2868" t="b">
        <f t="shared" si="269"/>
        <v>1</v>
      </c>
      <c r="G2868" t="str">
        <f t="shared" si="265"/>
        <v>1F937</v>
      </c>
      <c r="I2868">
        <f>HEX2DEC(Table1[[#This Row],[utf8]])</f>
        <v>129335</v>
      </c>
      <c r="J2868" t="str">
        <f>_xlfn.UNICHAR(HEX2DEC(Table1[[#This Row],[utf8]]))</f>
        <v>🤷</v>
      </c>
      <c r="K2868" s="3" t="str" cm="1">
        <f t="array" ref="K2868">"Case "&amp;wRandomLetter()&amp;wRandomLetter()&amp;I2868&amp;":    UniConst = ChrW(" &amp; I2868 &amp;")"</f>
        <v>Case zr129335:    UniConst = ChrW(129335)</v>
      </c>
    </row>
    <row r="2869" spans="1:11" hidden="1">
      <c r="A2869" t="s">
        <v>916</v>
      </c>
      <c r="B2869" t="str">
        <f t="shared" si="266"/>
        <v>1F937 1F3FF ; fully-qualified # 🤷🏿 E3.0 person shrugging: dark skin tone</v>
      </c>
      <c r="C2869" t="str">
        <f t="shared" si="267"/>
        <v xml:space="preserve">1F937 1F3FF </v>
      </c>
      <c r="D2869">
        <f t="shared" si="268"/>
        <v>12</v>
      </c>
      <c r="E2869" t="str">
        <f t="shared" si="264"/>
        <v xml:space="preserve"> 🤷🏿 E3.0 person shrugging: dark skin tone</v>
      </c>
      <c r="F2869" t="b">
        <f t="shared" si="269"/>
        <v>1</v>
      </c>
      <c r="G2869" t="str">
        <f t="shared" si="265"/>
        <v>1F937</v>
      </c>
      <c r="I2869">
        <f>HEX2DEC(Table1[[#This Row],[utf8]])</f>
        <v>129335</v>
      </c>
      <c r="J2869" t="str">
        <f>_xlfn.UNICHAR(HEX2DEC(Table1[[#This Row],[utf8]]))</f>
        <v>🤷</v>
      </c>
      <c r="K2869" s="3" t="str" cm="1">
        <f t="array" ref="K2869">"Case "&amp;wRandomLetter()&amp;wRandomLetter()&amp;I2869&amp;":    UniConst = ChrW(" &amp; I2869 &amp;")"</f>
        <v>Case my129335:    UniConst = ChrW(129335)</v>
      </c>
    </row>
    <row r="2870" spans="1:11" hidden="1">
      <c r="A2870" t="s">
        <v>940</v>
      </c>
      <c r="B2870" t="str">
        <f t="shared" si="266"/>
        <v>1F937 1F3FF 200D 2640 ; minimally-qualified # 🤷🏿‍♀ E4.0 woman shrugging: dark skin tone</v>
      </c>
      <c r="C2870" t="str">
        <f t="shared" si="267"/>
        <v xml:space="preserve">1F937 1F3FF 200D 2640 </v>
      </c>
      <c r="D2870">
        <f t="shared" si="268"/>
        <v>22</v>
      </c>
      <c r="E2870" t="str">
        <f t="shared" si="264"/>
        <v xml:space="preserve"> 🤷🏿‍♀ E4.0 woman shrugging: dark skin tone</v>
      </c>
      <c r="F2870" t="b">
        <f t="shared" si="269"/>
        <v>1</v>
      </c>
      <c r="G2870" t="str">
        <f t="shared" si="265"/>
        <v>1F937</v>
      </c>
      <c r="I2870">
        <f>HEX2DEC(Table1[[#This Row],[utf8]])</f>
        <v>129335</v>
      </c>
      <c r="J2870" t="str">
        <f>_xlfn.UNICHAR(HEX2DEC(Table1[[#This Row],[utf8]]))</f>
        <v>🤷</v>
      </c>
      <c r="K2870" s="3" t="str" cm="1">
        <f t="array" ref="K2870">"Case "&amp;wRandomLetter()&amp;wRandomLetter()&amp;I2870&amp;":    UniConst = ChrW(" &amp; I2870 &amp;")"</f>
        <v>Case Zn129335:    UniConst = ChrW(129335)</v>
      </c>
    </row>
    <row r="2871" spans="1:11" hidden="1">
      <c r="A2871" t="s">
        <v>939</v>
      </c>
      <c r="B2871" t="str">
        <f t="shared" si="266"/>
        <v>1F937 1F3FF 200D 2640 FE0F ; fully-qualified # 🤷🏿‍♀️ E4.0 woman shrugging: dark skin tone</v>
      </c>
      <c r="C2871" t="str">
        <f t="shared" si="267"/>
        <v xml:space="preserve">1F937 1F3FF 200D 2640 FE0F </v>
      </c>
      <c r="D2871">
        <f t="shared" si="268"/>
        <v>27</v>
      </c>
      <c r="E2871" t="str">
        <f t="shared" si="264"/>
        <v xml:space="preserve"> 🤷🏿‍♀️ E4.0 woman shrugging: dark skin tone</v>
      </c>
      <c r="F2871" t="b">
        <f t="shared" si="269"/>
        <v>1</v>
      </c>
      <c r="G2871" t="str">
        <f t="shared" si="265"/>
        <v>1F937</v>
      </c>
      <c r="I2871">
        <f>HEX2DEC(Table1[[#This Row],[utf8]])</f>
        <v>129335</v>
      </c>
      <c r="J2871" t="str">
        <f>_xlfn.UNICHAR(HEX2DEC(Table1[[#This Row],[utf8]]))</f>
        <v>🤷</v>
      </c>
      <c r="K2871" s="3" t="str" cm="1">
        <f t="array" ref="K2871">"Case "&amp;wRandomLetter()&amp;wRandomLetter()&amp;I2871&amp;":    UniConst = ChrW(" &amp; I2871 &amp;")"</f>
        <v>Case Fy129335:    UniConst = ChrW(129335)</v>
      </c>
    </row>
    <row r="2872" spans="1:11" hidden="1">
      <c r="A2872" t="s">
        <v>928</v>
      </c>
      <c r="B2872" t="str">
        <f t="shared" si="266"/>
        <v>1F937 1F3FF 200D 2642 ; minimally-qualified # 🤷🏿‍♂ E4.0 man shrugging: dark skin tone</v>
      </c>
      <c r="C2872" t="str">
        <f t="shared" si="267"/>
        <v xml:space="preserve">1F937 1F3FF 200D 2642 </v>
      </c>
      <c r="D2872">
        <f t="shared" si="268"/>
        <v>22</v>
      </c>
      <c r="E2872" t="str">
        <f t="shared" si="264"/>
        <v xml:space="preserve"> 🤷🏿‍♂ E4.0 man shrugging: dark skin tone</v>
      </c>
      <c r="F2872" t="b">
        <f t="shared" si="269"/>
        <v>1</v>
      </c>
      <c r="G2872" t="str">
        <f t="shared" si="265"/>
        <v>1F937</v>
      </c>
      <c r="I2872">
        <f>HEX2DEC(Table1[[#This Row],[utf8]])</f>
        <v>129335</v>
      </c>
      <c r="J2872" t="str">
        <f>_xlfn.UNICHAR(HEX2DEC(Table1[[#This Row],[utf8]]))</f>
        <v>🤷</v>
      </c>
      <c r="K2872" s="3" t="str" cm="1">
        <f t="array" ref="K2872">"Case "&amp;wRandomLetter()&amp;wRandomLetter()&amp;I2872&amp;":    UniConst = ChrW(" &amp; I2872 &amp;")"</f>
        <v>Case TD129335:    UniConst = ChrW(129335)</v>
      </c>
    </row>
    <row r="2873" spans="1:11" hidden="1">
      <c r="A2873" t="s">
        <v>927</v>
      </c>
      <c r="B2873" t="str">
        <f t="shared" si="266"/>
        <v>1F937 1F3FF 200D 2642 FE0F ; fully-qualified # 🤷🏿‍♂️ E4.0 man shrugging: dark skin tone</v>
      </c>
      <c r="C2873" t="str">
        <f t="shared" si="267"/>
        <v xml:space="preserve">1F937 1F3FF 200D 2642 FE0F </v>
      </c>
      <c r="D2873">
        <f t="shared" si="268"/>
        <v>27</v>
      </c>
      <c r="E2873" t="str">
        <f t="shared" si="264"/>
        <v xml:space="preserve"> 🤷🏿‍♂️ E4.0 man shrugging: dark skin tone</v>
      </c>
      <c r="F2873" t="b">
        <f t="shared" si="269"/>
        <v>1</v>
      </c>
      <c r="G2873" t="str">
        <f t="shared" si="265"/>
        <v>1F937</v>
      </c>
      <c r="I2873">
        <f>HEX2DEC(Table1[[#This Row],[utf8]])</f>
        <v>129335</v>
      </c>
      <c r="J2873" t="str">
        <f>_xlfn.UNICHAR(HEX2DEC(Table1[[#This Row],[utf8]]))</f>
        <v>🤷</v>
      </c>
      <c r="K2873" s="3" t="str" cm="1">
        <f t="array" ref="K2873">"Case "&amp;wRandomLetter()&amp;wRandomLetter()&amp;I2873&amp;":    UniConst = ChrW(" &amp; I2873 &amp;")"</f>
        <v>Case zm129335:    UniConst = ChrW(129335)</v>
      </c>
    </row>
    <row r="2874" spans="1:11" hidden="1">
      <c r="A2874" t="s">
        <v>930</v>
      </c>
      <c r="B2874" t="str">
        <f t="shared" si="266"/>
        <v>1F937 200D 2640 ; minimally-qualified # 🤷‍♀ E4.0 woman shrugging</v>
      </c>
      <c r="C2874" t="str">
        <f t="shared" si="267"/>
        <v xml:space="preserve">1F937 200D 2640 </v>
      </c>
      <c r="D2874">
        <f t="shared" si="268"/>
        <v>16</v>
      </c>
      <c r="E2874" t="str">
        <f t="shared" si="264"/>
        <v xml:space="preserve"> 🤷‍♀ E4.0 woman shrugging</v>
      </c>
      <c r="F2874" t="b">
        <f t="shared" si="269"/>
        <v>1</v>
      </c>
      <c r="G2874" t="str">
        <f t="shared" si="265"/>
        <v>1F937</v>
      </c>
      <c r="I2874">
        <f>HEX2DEC(Table1[[#This Row],[utf8]])</f>
        <v>129335</v>
      </c>
      <c r="J2874" t="str">
        <f>_xlfn.UNICHAR(HEX2DEC(Table1[[#This Row],[utf8]]))</f>
        <v>🤷</v>
      </c>
      <c r="K2874" s="3" t="str" cm="1">
        <f t="array" ref="K2874">"Case "&amp;wRandomLetter()&amp;wRandomLetter()&amp;I2874&amp;":    UniConst = ChrW(" &amp; I2874 &amp;")"</f>
        <v>Case Yo129335:    UniConst = ChrW(129335)</v>
      </c>
    </row>
    <row r="2875" spans="1:11" hidden="1">
      <c r="A2875" t="s">
        <v>929</v>
      </c>
      <c r="B2875" t="str">
        <f t="shared" si="266"/>
        <v>1F937 200D 2640 FE0F ; fully-qualified # 🤷‍♀️ E4.0 woman shrugging</v>
      </c>
      <c r="C2875" t="str">
        <f t="shared" si="267"/>
        <v xml:space="preserve">1F937 200D 2640 FE0F </v>
      </c>
      <c r="D2875">
        <f t="shared" si="268"/>
        <v>21</v>
      </c>
      <c r="E2875" t="str">
        <f t="shared" si="264"/>
        <v xml:space="preserve"> 🤷‍♀️ E4.0 woman shrugging</v>
      </c>
      <c r="F2875" t="b">
        <f t="shared" si="269"/>
        <v>1</v>
      </c>
      <c r="G2875" t="str">
        <f t="shared" si="265"/>
        <v>1F937</v>
      </c>
      <c r="I2875">
        <f>HEX2DEC(Table1[[#This Row],[utf8]])</f>
        <v>129335</v>
      </c>
      <c r="J2875" t="str">
        <f>_xlfn.UNICHAR(HEX2DEC(Table1[[#This Row],[utf8]]))</f>
        <v>🤷</v>
      </c>
      <c r="K2875" s="3" t="str" cm="1">
        <f t="array" ref="K2875">"Case "&amp;wRandomLetter()&amp;wRandomLetter()&amp;I2875&amp;":    UniConst = ChrW(" &amp; I2875 &amp;")"</f>
        <v>Case En129335:    UniConst = ChrW(129335)</v>
      </c>
    </row>
    <row r="2876" spans="1:11" hidden="1">
      <c r="A2876" t="s">
        <v>918</v>
      </c>
      <c r="B2876" t="str">
        <f t="shared" si="266"/>
        <v>1F937 200D 2642 ; minimally-qualified # 🤷‍♂ E4.0 man shrugging</v>
      </c>
      <c r="C2876" t="str">
        <f t="shared" si="267"/>
        <v xml:space="preserve">1F937 200D 2642 </v>
      </c>
      <c r="D2876">
        <f t="shared" si="268"/>
        <v>16</v>
      </c>
      <c r="E2876" t="str">
        <f t="shared" si="264"/>
        <v xml:space="preserve"> 🤷‍♂ E4.0 man shrugging</v>
      </c>
      <c r="F2876" t="b">
        <f t="shared" si="269"/>
        <v>1</v>
      </c>
      <c r="G2876" t="str">
        <f t="shared" si="265"/>
        <v>1F937</v>
      </c>
      <c r="I2876">
        <f>HEX2DEC(Table1[[#This Row],[utf8]])</f>
        <v>129335</v>
      </c>
      <c r="J2876" t="str">
        <f>_xlfn.UNICHAR(HEX2DEC(Table1[[#This Row],[utf8]]))</f>
        <v>🤷</v>
      </c>
      <c r="K2876" s="3" t="str" cm="1">
        <f t="array" ref="K2876">"Case "&amp;wRandomLetter()&amp;wRandomLetter()&amp;I2876&amp;":    UniConst = ChrW(" &amp; I2876 &amp;")"</f>
        <v>Case mO129335:    UniConst = ChrW(129335)</v>
      </c>
    </row>
    <row r="2877" spans="1:11" hidden="1">
      <c r="A2877" t="s">
        <v>917</v>
      </c>
      <c r="B2877" t="str">
        <f t="shared" si="266"/>
        <v>1F937 200D 2642 FE0F ; fully-qualified # 🤷‍♂️ E4.0 man shrugging</v>
      </c>
      <c r="C2877" t="str">
        <f t="shared" si="267"/>
        <v xml:space="preserve">1F937 200D 2642 FE0F </v>
      </c>
      <c r="D2877">
        <f t="shared" si="268"/>
        <v>21</v>
      </c>
      <c r="E2877" t="str">
        <f t="shared" si="264"/>
        <v xml:space="preserve"> 🤷‍♂️ E4.0 man shrugging</v>
      </c>
      <c r="F2877" t="b">
        <f t="shared" si="269"/>
        <v>1</v>
      </c>
      <c r="G2877" t="str">
        <f t="shared" si="265"/>
        <v>1F937</v>
      </c>
      <c r="I2877">
        <f>HEX2DEC(Table1[[#This Row],[utf8]])</f>
        <v>129335</v>
      </c>
      <c r="J2877" t="str">
        <f>_xlfn.UNICHAR(HEX2DEC(Table1[[#This Row],[utf8]]))</f>
        <v>🤷</v>
      </c>
      <c r="K2877" s="3" t="str" cm="1">
        <f t="array" ref="K2877">"Case "&amp;wRandomLetter()&amp;wRandomLetter()&amp;I2877&amp;":    UniConst = ChrW(" &amp; I2877 &amp;")"</f>
        <v>Case jJ129335:    UniConst = ChrW(129335)</v>
      </c>
    </row>
    <row r="2878" spans="1:11" hidden="1">
      <c r="A2878" t="s">
        <v>2394</v>
      </c>
      <c r="B2878" t="str">
        <f t="shared" si="266"/>
        <v>1F938 ; fully-qualified # 🤸 E3.0 person cartwheeling</v>
      </c>
      <c r="C2878" t="str">
        <f t="shared" si="267"/>
        <v xml:space="preserve">1F938 </v>
      </c>
      <c r="D2878">
        <f t="shared" si="268"/>
        <v>6</v>
      </c>
      <c r="E2878" t="str">
        <f t="shared" si="264"/>
        <v xml:space="preserve"> 🤸 E3.0 person cartwheeling</v>
      </c>
      <c r="F2878" t="b">
        <f t="shared" si="269"/>
        <v>1</v>
      </c>
      <c r="G2878" t="str">
        <f t="shared" si="265"/>
        <v>1F938</v>
      </c>
      <c r="I2878">
        <f>HEX2DEC(Table1[[#This Row],[utf8]])</f>
        <v>129336</v>
      </c>
      <c r="J2878" t="str">
        <f>_xlfn.UNICHAR(HEX2DEC(Table1[[#This Row],[utf8]]))</f>
        <v>🤸</v>
      </c>
      <c r="K2878" s="3" t="str" cm="1">
        <f t="array" ref="K2878">"Case "&amp;wRandomLetter()&amp;wRandomLetter()&amp;I2878&amp;":    UniConst = ChrW(" &amp; I2878 &amp;")"</f>
        <v>Case GZ129336:    UniConst = ChrW(129336)</v>
      </c>
    </row>
    <row r="2879" spans="1:11" hidden="1">
      <c r="A2879" t="s">
        <v>2395</v>
      </c>
      <c r="B2879" t="str">
        <f t="shared" si="266"/>
        <v>1F938 1F3FB ; fully-qualified # 🤸🏻 E3.0 person cartwheeling: light skin tone</v>
      </c>
      <c r="C2879" t="str">
        <f t="shared" si="267"/>
        <v xml:space="preserve">1F938 1F3FB </v>
      </c>
      <c r="D2879">
        <f t="shared" si="268"/>
        <v>12</v>
      </c>
      <c r="E2879" t="str">
        <f t="shared" si="264"/>
        <v xml:space="preserve"> 🤸🏻 E3.0 person cartwheeling: light skin tone</v>
      </c>
      <c r="F2879" t="b">
        <f t="shared" si="269"/>
        <v>1</v>
      </c>
      <c r="G2879" t="str">
        <f t="shared" si="265"/>
        <v>1F938</v>
      </c>
      <c r="I2879">
        <f>HEX2DEC(Table1[[#This Row],[utf8]])</f>
        <v>129336</v>
      </c>
      <c r="J2879" t="str">
        <f>_xlfn.UNICHAR(HEX2DEC(Table1[[#This Row],[utf8]]))</f>
        <v>🤸</v>
      </c>
      <c r="K2879" s="3" t="str" cm="1">
        <f t="array" ref="K2879">"Case "&amp;wRandomLetter()&amp;wRandomLetter()&amp;I2879&amp;":    UniConst = ChrW(" &amp; I2879 &amp;")"</f>
        <v>Case Sb129336:    UniConst = ChrW(129336)</v>
      </c>
    </row>
    <row r="2880" spans="1:11" hidden="1">
      <c r="A2880" t="s">
        <v>2415</v>
      </c>
      <c r="B2880" t="str">
        <f t="shared" si="266"/>
        <v>1F938 1F3FB 200D 2640 ; minimally-qualified # 🤸🏻‍♀ E4.0 woman cartwheeling: light skin tone</v>
      </c>
      <c r="C2880" t="str">
        <f t="shared" si="267"/>
        <v xml:space="preserve">1F938 1F3FB 200D 2640 </v>
      </c>
      <c r="D2880">
        <f t="shared" si="268"/>
        <v>22</v>
      </c>
      <c r="E2880" t="str">
        <f t="shared" si="264"/>
        <v xml:space="preserve"> 🤸🏻‍♀ E4.0 woman cartwheeling: light skin tone</v>
      </c>
      <c r="F2880" t="b">
        <f t="shared" si="269"/>
        <v>1</v>
      </c>
      <c r="G2880" t="str">
        <f t="shared" si="265"/>
        <v>1F938</v>
      </c>
      <c r="I2880">
        <f>HEX2DEC(Table1[[#This Row],[utf8]])</f>
        <v>129336</v>
      </c>
      <c r="J2880" t="str">
        <f>_xlfn.UNICHAR(HEX2DEC(Table1[[#This Row],[utf8]]))</f>
        <v>🤸</v>
      </c>
      <c r="K2880" s="3" t="str" cm="1">
        <f t="array" ref="K2880">"Case "&amp;wRandomLetter()&amp;wRandomLetter()&amp;I2880&amp;":    UniConst = ChrW(" &amp; I2880 &amp;")"</f>
        <v>Case KM129336:    UniConst = ChrW(129336)</v>
      </c>
    </row>
    <row r="2881" spans="1:11" hidden="1">
      <c r="A2881" t="s">
        <v>2414</v>
      </c>
      <c r="B2881" t="str">
        <f t="shared" si="266"/>
        <v>1F938 1F3FB 200D 2640 FE0F ; fully-qualified # 🤸🏻‍♀️ E4.0 woman cartwheeling: light skin tone</v>
      </c>
      <c r="C2881" t="str">
        <f t="shared" si="267"/>
        <v xml:space="preserve">1F938 1F3FB 200D 2640 FE0F </v>
      </c>
      <c r="D2881">
        <f t="shared" si="268"/>
        <v>27</v>
      </c>
      <c r="E2881" t="str">
        <f t="shared" si="264"/>
        <v xml:space="preserve"> 🤸🏻‍♀️ E4.0 woman cartwheeling: light skin tone</v>
      </c>
      <c r="F2881" t="b">
        <f t="shared" si="269"/>
        <v>1</v>
      </c>
      <c r="G2881" t="str">
        <f t="shared" si="265"/>
        <v>1F938</v>
      </c>
      <c r="I2881">
        <f>HEX2DEC(Table1[[#This Row],[utf8]])</f>
        <v>129336</v>
      </c>
      <c r="J2881" t="str">
        <f>_xlfn.UNICHAR(HEX2DEC(Table1[[#This Row],[utf8]]))</f>
        <v>🤸</v>
      </c>
      <c r="K2881" s="3" t="str" cm="1">
        <f t="array" ref="K2881">"Case "&amp;wRandomLetter()&amp;wRandomLetter()&amp;I2881&amp;":    UniConst = ChrW(" &amp; I2881 &amp;")"</f>
        <v>Case vA129336:    UniConst = ChrW(129336)</v>
      </c>
    </row>
    <row r="2882" spans="1:11" hidden="1">
      <c r="A2882" t="s">
        <v>2403</v>
      </c>
      <c r="B2882" t="str">
        <f t="shared" si="266"/>
        <v>1F938 1F3FB 200D 2642 ; minimally-qualified # 🤸🏻‍♂ E4.0 man cartwheeling: light skin tone</v>
      </c>
      <c r="C2882" t="str">
        <f t="shared" si="267"/>
        <v xml:space="preserve">1F938 1F3FB 200D 2642 </v>
      </c>
      <c r="D2882">
        <f t="shared" si="268"/>
        <v>22</v>
      </c>
      <c r="E2882" t="str">
        <f t="shared" ref="E2882:E2945" si="270">MID(A2882,FIND("#",A2882)+1,256)</f>
        <v xml:space="preserve"> 🤸🏻‍♂ E4.0 man cartwheeling: light skin tone</v>
      </c>
      <c r="F2882" t="b">
        <f t="shared" si="269"/>
        <v>1</v>
      </c>
      <c r="G2882" t="str">
        <f t="shared" ref="G2882:G2945" si="271">LEFT(C2882,(FIND(" ",C2882,1)-1))</f>
        <v>1F938</v>
      </c>
      <c r="I2882">
        <f>HEX2DEC(Table1[[#This Row],[utf8]])</f>
        <v>129336</v>
      </c>
      <c r="J2882" t="str">
        <f>_xlfn.UNICHAR(HEX2DEC(Table1[[#This Row],[utf8]]))</f>
        <v>🤸</v>
      </c>
      <c r="K2882" s="3" t="str" cm="1">
        <f t="array" ref="K2882">"Case "&amp;wRandomLetter()&amp;wRandomLetter()&amp;I2882&amp;":    UniConst = ChrW(" &amp; I2882 &amp;")"</f>
        <v>Case YA129336:    UniConst = ChrW(129336)</v>
      </c>
    </row>
    <row r="2883" spans="1:11" hidden="1">
      <c r="A2883" t="s">
        <v>2402</v>
      </c>
      <c r="B2883" t="str">
        <f t="shared" ref="B2883:B2946" si="272">TRIM(A2883)</f>
        <v>1F938 1F3FB 200D 2642 FE0F ; fully-qualified # 🤸🏻‍♂️ E4.0 man cartwheeling: light skin tone</v>
      </c>
      <c r="C2883" t="str">
        <f t="shared" ref="C2883:C2946" si="273">LEFT(B2883,(FIND(";",B2883,1)-1))</f>
        <v xml:space="preserve">1F938 1F3FB 200D 2642 FE0F </v>
      </c>
      <c r="D2883">
        <f t="shared" ref="D2883:D2946" si="274">LEN(C2883)</f>
        <v>27</v>
      </c>
      <c r="E2883" t="str">
        <f t="shared" si="270"/>
        <v xml:space="preserve"> 🤸🏻‍♂️ E4.0 man cartwheeling: light skin tone</v>
      </c>
      <c r="F2883" t="b">
        <f t="shared" ref="F2883:F2946" si="275">IF(LEFT(C2883,2)="1F",TRUE,FALSE)</f>
        <v>1</v>
      </c>
      <c r="G2883" t="str">
        <f t="shared" si="271"/>
        <v>1F938</v>
      </c>
      <c r="I2883">
        <f>HEX2DEC(Table1[[#This Row],[utf8]])</f>
        <v>129336</v>
      </c>
      <c r="J2883" t="str">
        <f>_xlfn.UNICHAR(HEX2DEC(Table1[[#This Row],[utf8]]))</f>
        <v>🤸</v>
      </c>
      <c r="K2883" s="3" t="str" cm="1">
        <f t="array" ref="K2883">"Case "&amp;wRandomLetter()&amp;wRandomLetter()&amp;I2883&amp;":    UniConst = ChrW(" &amp; I2883 &amp;")"</f>
        <v>Case LJ129336:    UniConst = ChrW(129336)</v>
      </c>
    </row>
    <row r="2884" spans="1:11" hidden="1">
      <c r="A2884" t="s">
        <v>2396</v>
      </c>
      <c r="B2884" t="str">
        <f t="shared" si="272"/>
        <v>1F938 1F3FC ; fully-qualified # 🤸🏼 E3.0 person cartwheeling: medium-light skin tone</v>
      </c>
      <c r="C2884" t="str">
        <f t="shared" si="273"/>
        <v xml:space="preserve">1F938 1F3FC </v>
      </c>
      <c r="D2884">
        <f t="shared" si="274"/>
        <v>12</v>
      </c>
      <c r="E2884" t="str">
        <f t="shared" si="270"/>
        <v xml:space="preserve"> 🤸🏼 E3.0 person cartwheeling: medium-light skin tone</v>
      </c>
      <c r="F2884" t="b">
        <f t="shared" si="275"/>
        <v>1</v>
      </c>
      <c r="G2884" t="str">
        <f t="shared" si="271"/>
        <v>1F938</v>
      </c>
      <c r="I2884">
        <f>HEX2DEC(Table1[[#This Row],[utf8]])</f>
        <v>129336</v>
      </c>
      <c r="J2884" t="str">
        <f>_xlfn.UNICHAR(HEX2DEC(Table1[[#This Row],[utf8]]))</f>
        <v>🤸</v>
      </c>
      <c r="K2884" s="3" t="str" cm="1">
        <f t="array" ref="K2884">"Case "&amp;wRandomLetter()&amp;wRandomLetter()&amp;I2884&amp;":    UniConst = ChrW(" &amp; I2884 &amp;")"</f>
        <v>Case Es129336:    UniConst = ChrW(129336)</v>
      </c>
    </row>
    <row r="2885" spans="1:11" hidden="1">
      <c r="A2885" t="s">
        <v>2417</v>
      </c>
      <c r="B2885" t="str">
        <f t="shared" si="272"/>
        <v>1F938 1F3FC 200D 2640 ; minimally-qualified # 🤸🏼‍♀ E4.0 woman cartwheeling: medium-light skin tone</v>
      </c>
      <c r="C2885" t="str">
        <f t="shared" si="273"/>
        <v xml:space="preserve">1F938 1F3FC 200D 2640 </v>
      </c>
      <c r="D2885">
        <f t="shared" si="274"/>
        <v>22</v>
      </c>
      <c r="E2885" t="str">
        <f t="shared" si="270"/>
        <v xml:space="preserve"> 🤸🏼‍♀ E4.0 woman cartwheeling: medium-light skin tone</v>
      </c>
      <c r="F2885" t="b">
        <f t="shared" si="275"/>
        <v>1</v>
      </c>
      <c r="G2885" t="str">
        <f t="shared" si="271"/>
        <v>1F938</v>
      </c>
      <c r="I2885">
        <f>HEX2DEC(Table1[[#This Row],[utf8]])</f>
        <v>129336</v>
      </c>
      <c r="J2885" t="str">
        <f>_xlfn.UNICHAR(HEX2DEC(Table1[[#This Row],[utf8]]))</f>
        <v>🤸</v>
      </c>
      <c r="K2885" s="3" t="str" cm="1">
        <f t="array" ref="K2885">"Case "&amp;wRandomLetter()&amp;wRandomLetter()&amp;I2885&amp;":    UniConst = ChrW(" &amp; I2885 &amp;")"</f>
        <v>Case Du129336:    UniConst = ChrW(129336)</v>
      </c>
    </row>
    <row r="2886" spans="1:11" hidden="1">
      <c r="A2886" t="s">
        <v>2416</v>
      </c>
      <c r="B2886" t="str">
        <f t="shared" si="272"/>
        <v>1F938 1F3FC 200D 2640 FE0F ; fully-qualified # 🤸🏼‍♀️ E4.0 woman cartwheeling: medium-light skin tone</v>
      </c>
      <c r="C2886" t="str">
        <f t="shared" si="273"/>
        <v xml:space="preserve">1F938 1F3FC 200D 2640 FE0F </v>
      </c>
      <c r="D2886">
        <f t="shared" si="274"/>
        <v>27</v>
      </c>
      <c r="E2886" t="str">
        <f t="shared" si="270"/>
        <v xml:space="preserve"> 🤸🏼‍♀️ E4.0 woman cartwheeling: medium-light skin tone</v>
      </c>
      <c r="F2886" t="b">
        <f t="shared" si="275"/>
        <v>1</v>
      </c>
      <c r="G2886" t="str">
        <f t="shared" si="271"/>
        <v>1F938</v>
      </c>
      <c r="I2886">
        <f>HEX2DEC(Table1[[#This Row],[utf8]])</f>
        <v>129336</v>
      </c>
      <c r="J2886" t="str">
        <f>_xlfn.UNICHAR(HEX2DEC(Table1[[#This Row],[utf8]]))</f>
        <v>🤸</v>
      </c>
      <c r="K2886" s="3" t="str" cm="1">
        <f t="array" ref="K2886">"Case "&amp;wRandomLetter()&amp;wRandomLetter()&amp;I2886&amp;":    UniConst = ChrW(" &amp; I2886 &amp;")"</f>
        <v>Case Lz129336:    UniConst = ChrW(129336)</v>
      </c>
    </row>
    <row r="2887" spans="1:11" hidden="1">
      <c r="A2887" t="s">
        <v>2405</v>
      </c>
      <c r="B2887" t="str">
        <f t="shared" si="272"/>
        <v>1F938 1F3FC 200D 2642 ; minimally-qualified # 🤸🏼‍♂ E4.0 man cartwheeling: medium-light skin tone</v>
      </c>
      <c r="C2887" t="str">
        <f t="shared" si="273"/>
        <v xml:space="preserve">1F938 1F3FC 200D 2642 </v>
      </c>
      <c r="D2887">
        <f t="shared" si="274"/>
        <v>22</v>
      </c>
      <c r="E2887" t="str">
        <f t="shared" si="270"/>
        <v xml:space="preserve"> 🤸🏼‍♂ E4.0 man cartwheeling: medium-light skin tone</v>
      </c>
      <c r="F2887" t="b">
        <f t="shared" si="275"/>
        <v>1</v>
      </c>
      <c r="G2887" t="str">
        <f t="shared" si="271"/>
        <v>1F938</v>
      </c>
      <c r="I2887">
        <f>HEX2DEC(Table1[[#This Row],[utf8]])</f>
        <v>129336</v>
      </c>
      <c r="J2887" t="str">
        <f>_xlfn.UNICHAR(HEX2DEC(Table1[[#This Row],[utf8]]))</f>
        <v>🤸</v>
      </c>
      <c r="K2887" s="3" t="str" cm="1">
        <f t="array" ref="K2887">"Case "&amp;wRandomLetter()&amp;wRandomLetter()&amp;I2887&amp;":    UniConst = ChrW(" &amp; I2887 &amp;")"</f>
        <v>Case cj129336:    UniConst = ChrW(129336)</v>
      </c>
    </row>
    <row r="2888" spans="1:11" hidden="1">
      <c r="A2888" t="s">
        <v>2404</v>
      </c>
      <c r="B2888" t="str">
        <f t="shared" si="272"/>
        <v>1F938 1F3FC 200D 2642 FE0F ; fully-qualified # 🤸🏼‍♂️ E4.0 man cartwheeling: medium-light skin tone</v>
      </c>
      <c r="C2888" t="str">
        <f t="shared" si="273"/>
        <v xml:space="preserve">1F938 1F3FC 200D 2642 FE0F </v>
      </c>
      <c r="D2888">
        <f t="shared" si="274"/>
        <v>27</v>
      </c>
      <c r="E2888" t="str">
        <f t="shared" si="270"/>
        <v xml:space="preserve"> 🤸🏼‍♂️ E4.0 man cartwheeling: medium-light skin tone</v>
      </c>
      <c r="F2888" t="b">
        <f t="shared" si="275"/>
        <v>1</v>
      </c>
      <c r="G2888" t="str">
        <f t="shared" si="271"/>
        <v>1F938</v>
      </c>
      <c r="I2888">
        <f>HEX2DEC(Table1[[#This Row],[utf8]])</f>
        <v>129336</v>
      </c>
      <c r="J2888" t="str">
        <f>_xlfn.UNICHAR(HEX2DEC(Table1[[#This Row],[utf8]]))</f>
        <v>🤸</v>
      </c>
      <c r="K2888" s="3" t="str" cm="1">
        <f t="array" ref="K2888">"Case "&amp;wRandomLetter()&amp;wRandomLetter()&amp;I2888&amp;":    UniConst = ChrW(" &amp; I2888 &amp;")"</f>
        <v>Case Xh129336:    UniConst = ChrW(129336)</v>
      </c>
    </row>
    <row r="2889" spans="1:11" hidden="1">
      <c r="A2889" t="s">
        <v>2397</v>
      </c>
      <c r="B2889" t="str">
        <f t="shared" si="272"/>
        <v>1F938 1F3FD ; fully-qualified # 🤸🏽 E3.0 person cartwheeling: medium skin tone</v>
      </c>
      <c r="C2889" t="str">
        <f t="shared" si="273"/>
        <v xml:space="preserve">1F938 1F3FD </v>
      </c>
      <c r="D2889">
        <f t="shared" si="274"/>
        <v>12</v>
      </c>
      <c r="E2889" t="str">
        <f t="shared" si="270"/>
        <v xml:space="preserve"> 🤸🏽 E3.0 person cartwheeling: medium skin tone</v>
      </c>
      <c r="F2889" t="b">
        <f t="shared" si="275"/>
        <v>1</v>
      </c>
      <c r="G2889" t="str">
        <f t="shared" si="271"/>
        <v>1F938</v>
      </c>
      <c r="I2889">
        <f>HEX2DEC(Table1[[#This Row],[utf8]])</f>
        <v>129336</v>
      </c>
      <c r="J2889" t="str">
        <f>_xlfn.UNICHAR(HEX2DEC(Table1[[#This Row],[utf8]]))</f>
        <v>🤸</v>
      </c>
      <c r="K2889" s="3" t="str" cm="1">
        <f t="array" ref="K2889">"Case "&amp;wRandomLetter()&amp;wRandomLetter()&amp;I2889&amp;":    UniConst = ChrW(" &amp; I2889 &amp;")"</f>
        <v>Case He129336:    UniConst = ChrW(129336)</v>
      </c>
    </row>
    <row r="2890" spans="1:11" hidden="1">
      <c r="A2890" t="s">
        <v>2419</v>
      </c>
      <c r="B2890" t="str">
        <f t="shared" si="272"/>
        <v>1F938 1F3FD 200D 2640 ; minimally-qualified # 🤸🏽‍♀ E4.0 woman cartwheeling: medium skin tone</v>
      </c>
      <c r="C2890" t="str">
        <f t="shared" si="273"/>
        <v xml:space="preserve">1F938 1F3FD 200D 2640 </v>
      </c>
      <c r="D2890">
        <f t="shared" si="274"/>
        <v>22</v>
      </c>
      <c r="E2890" t="str">
        <f t="shared" si="270"/>
        <v xml:space="preserve"> 🤸🏽‍♀ E4.0 woman cartwheeling: medium skin tone</v>
      </c>
      <c r="F2890" t="b">
        <f t="shared" si="275"/>
        <v>1</v>
      </c>
      <c r="G2890" t="str">
        <f t="shared" si="271"/>
        <v>1F938</v>
      </c>
      <c r="I2890">
        <f>HEX2DEC(Table1[[#This Row],[utf8]])</f>
        <v>129336</v>
      </c>
      <c r="J2890" t="str">
        <f>_xlfn.UNICHAR(HEX2DEC(Table1[[#This Row],[utf8]]))</f>
        <v>🤸</v>
      </c>
      <c r="K2890" s="3" t="str" cm="1">
        <f t="array" ref="K2890">"Case "&amp;wRandomLetter()&amp;wRandomLetter()&amp;I2890&amp;":    UniConst = ChrW(" &amp; I2890 &amp;")"</f>
        <v>Case PA129336:    UniConst = ChrW(129336)</v>
      </c>
    </row>
    <row r="2891" spans="1:11" hidden="1">
      <c r="A2891" t="s">
        <v>2418</v>
      </c>
      <c r="B2891" t="str">
        <f t="shared" si="272"/>
        <v>1F938 1F3FD 200D 2640 FE0F ; fully-qualified # 🤸🏽‍♀️ E4.0 woman cartwheeling: medium skin tone</v>
      </c>
      <c r="C2891" t="str">
        <f t="shared" si="273"/>
        <v xml:space="preserve">1F938 1F3FD 200D 2640 FE0F </v>
      </c>
      <c r="D2891">
        <f t="shared" si="274"/>
        <v>27</v>
      </c>
      <c r="E2891" t="str">
        <f t="shared" si="270"/>
        <v xml:space="preserve"> 🤸🏽‍♀️ E4.0 woman cartwheeling: medium skin tone</v>
      </c>
      <c r="F2891" t="b">
        <f t="shared" si="275"/>
        <v>1</v>
      </c>
      <c r="G2891" t="str">
        <f t="shared" si="271"/>
        <v>1F938</v>
      </c>
      <c r="I2891">
        <f>HEX2DEC(Table1[[#This Row],[utf8]])</f>
        <v>129336</v>
      </c>
      <c r="J2891" t="str">
        <f>_xlfn.UNICHAR(HEX2DEC(Table1[[#This Row],[utf8]]))</f>
        <v>🤸</v>
      </c>
      <c r="K2891" s="3" t="str" cm="1">
        <f t="array" ref="K2891">"Case "&amp;wRandomLetter()&amp;wRandomLetter()&amp;I2891&amp;":    UniConst = ChrW(" &amp; I2891 &amp;")"</f>
        <v>Case UB129336:    UniConst = ChrW(129336)</v>
      </c>
    </row>
    <row r="2892" spans="1:11" hidden="1">
      <c r="A2892" t="s">
        <v>2407</v>
      </c>
      <c r="B2892" t="str">
        <f t="shared" si="272"/>
        <v>1F938 1F3FD 200D 2642 ; minimally-qualified # 🤸🏽‍♂ E4.0 man cartwheeling: medium skin tone</v>
      </c>
      <c r="C2892" t="str">
        <f t="shared" si="273"/>
        <v xml:space="preserve">1F938 1F3FD 200D 2642 </v>
      </c>
      <c r="D2892">
        <f t="shared" si="274"/>
        <v>22</v>
      </c>
      <c r="E2892" t="str">
        <f t="shared" si="270"/>
        <v xml:space="preserve"> 🤸🏽‍♂ E4.0 man cartwheeling: medium skin tone</v>
      </c>
      <c r="F2892" t="b">
        <f t="shared" si="275"/>
        <v>1</v>
      </c>
      <c r="G2892" t="str">
        <f t="shared" si="271"/>
        <v>1F938</v>
      </c>
      <c r="I2892">
        <f>HEX2DEC(Table1[[#This Row],[utf8]])</f>
        <v>129336</v>
      </c>
      <c r="J2892" t="str">
        <f>_xlfn.UNICHAR(HEX2DEC(Table1[[#This Row],[utf8]]))</f>
        <v>🤸</v>
      </c>
      <c r="K2892" s="3" t="str" cm="1">
        <f t="array" ref="K2892">"Case "&amp;wRandomLetter()&amp;wRandomLetter()&amp;I2892&amp;":    UniConst = ChrW(" &amp; I2892 &amp;")"</f>
        <v>Case ye129336:    UniConst = ChrW(129336)</v>
      </c>
    </row>
    <row r="2893" spans="1:11" hidden="1">
      <c r="A2893" t="s">
        <v>2406</v>
      </c>
      <c r="B2893" t="str">
        <f t="shared" si="272"/>
        <v>1F938 1F3FD 200D 2642 FE0F ; fully-qualified # 🤸🏽‍♂️ E4.0 man cartwheeling: medium skin tone</v>
      </c>
      <c r="C2893" t="str">
        <f t="shared" si="273"/>
        <v xml:space="preserve">1F938 1F3FD 200D 2642 FE0F </v>
      </c>
      <c r="D2893">
        <f t="shared" si="274"/>
        <v>27</v>
      </c>
      <c r="E2893" t="str">
        <f t="shared" si="270"/>
        <v xml:space="preserve"> 🤸🏽‍♂️ E4.0 man cartwheeling: medium skin tone</v>
      </c>
      <c r="F2893" t="b">
        <f t="shared" si="275"/>
        <v>1</v>
      </c>
      <c r="G2893" t="str">
        <f t="shared" si="271"/>
        <v>1F938</v>
      </c>
      <c r="I2893">
        <f>HEX2DEC(Table1[[#This Row],[utf8]])</f>
        <v>129336</v>
      </c>
      <c r="J2893" t="str">
        <f>_xlfn.UNICHAR(HEX2DEC(Table1[[#This Row],[utf8]]))</f>
        <v>🤸</v>
      </c>
      <c r="K2893" s="3" t="str" cm="1">
        <f t="array" ref="K2893">"Case "&amp;wRandomLetter()&amp;wRandomLetter()&amp;I2893&amp;":    UniConst = ChrW(" &amp; I2893 &amp;")"</f>
        <v>Case SX129336:    UniConst = ChrW(129336)</v>
      </c>
    </row>
    <row r="2894" spans="1:11" hidden="1">
      <c r="A2894" t="s">
        <v>2398</v>
      </c>
      <c r="B2894" t="str">
        <f t="shared" si="272"/>
        <v>1F938 1F3FE ; fully-qualified # 🤸🏾 E3.0 person cartwheeling: medium-dark skin tone</v>
      </c>
      <c r="C2894" t="str">
        <f t="shared" si="273"/>
        <v xml:space="preserve">1F938 1F3FE </v>
      </c>
      <c r="D2894">
        <f t="shared" si="274"/>
        <v>12</v>
      </c>
      <c r="E2894" t="str">
        <f t="shared" si="270"/>
        <v xml:space="preserve"> 🤸🏾 E3.0 person cartwheeling: medium-dark skin tone</v>
      </c>
      <c r="F2894" t="b">
        <f t="shared" si="275"/>
        <v>1</v>
      </c>
      <c r="G2894" t="str">
        <f t="shared" si="271"/>
        <v>1F938</v>
      </c>
      <c r="I2894">
        <f>HEX2DEC(Table1[[#This Row],[utf8]])</f>
        <v>129336</v>
      </c>
      <c r="J2894" t="str">
        <f>_xlfn.UNICHAR(HEX2DEC(Table1[[#This Row],[utf8]]))</f>
        <v>🤸</v>
      </c>
      <c r="K2894" s="3" t="str" cm="1">
        <f t="array" ref="K2894">"Case "&amp;wRandomLetter()&amp;wRandomLetter()&amp;I2894&amp;":    UniConst = ChrW(" &amp; I2894 &amp;")"</f>
        <v>Case xx129336:    UniConst = ChrW(129336)</v>
      </c>
    </row>
    <row r="2895" spans="1:11" hidden="1">
      <c r="A2895" t="s">
        <v>2421</v>
      </c>
      <c r="B2895" t="str">
        <f t="shared" si="272"/>
        <v>1F938 1F3FE 200D 2640 ; minimally-qualified # 🤸🏾‍♀ E4.0 woman cartwheeling: medium-dark skin tone</v>
      </c>
      <c r="C2895" t="str">
        <f t="shared" si="273"/>
        <v xml:space="preserve">1F938 1F3FE 200D 2640 </v>
      </c>
      <c r="D2895">
        <f t="shared" si="274"/>
        <v>22</v>
      </c>
      <c r="E2895" t="str">
        <f t="shared" si="270"/>
        <v xml:space="preserve"> 🤸🏾‍♀ E4.0 woman cartwheeling: medium-dark skin tone</v>
      </c>
      <c r="F2895" t="b">
        <f t="shared" si="275"/>
        <v>1</v>
      </c>
      <c r="G2895" t="str">
        <f t="shared" si="271"/>
        <v>1F938</v>
      </c>
      <c r="I2895">
        <f>HEX2DEC(Table1[[#This Row],[utf8]])</f>
        <v>129336</v>
      </c>
      <c r="J2895" t="str">
        <f>_xlfn.UNICHAR(HEX2DEC(Table1[[#This Row],[utf8]]))</f>
        <v>🤸</v>
      </c>
      <c r="K2895" s="3" t="str" cm="1">
        <f t="array" ref="K2895">"Case "&amp;wRandomLetter()&amp;wRandomLetter()&amp;I2895&amp;":    UniConst = ChrW(" &amp; I2895 &amp;")"</f>
        <v>Case Bw129336:    UniConst = ChrW(129336)</v>
      </c>
    </row>
    <row r="2896" spans="1:11" hidden="1">
      <c r="A2896" t="s">
        <v>2420</v>
      </c>
      <c r="B2896" t="str">
        <f t="shared" si="272"/>
        <v>1F938 1F3FE 200D 2640 FE0F ; fully-qualified # 🤸🏾‍♀️ E4.0 woman cartwheeling: medium-dark skin tone</v>
      </c>
      <c r="C2896" t="str">
        <f t="shared" si="273"/>
        <v xml:space="preserve">1F938 1F3FE 200D 2640 FE0F </v>
      </c>
      <c r="D2896">
        <f t="shared" si="274"/>
        <v>27</v>
      </c>
      <c r="E2896" t="str">
        <f t="shared" si="270"/>
        <v xml:space="preserve"> 🤸🏾‍♀️ E4.0 woman cartwheeling: medium-dark skin tone</v>
      </c>
      <c r="F2896" t="b">
        <f t="shared" si="275"/>
        <v>1</v>
      </c>
      <c r="G2896" t="str">
        <f t="shared" si="271"/>
        <v>1F938</v>
      </c>
      <c r="I2896">
        <f>HEX2DEC(Table1[[#This Row],[utf8]])</f>
        <v>129336</v>
      </c>
      <c r="J2896" t="str">
        <f>_xlfn.UNICHAR(HEX2DEC(Table1[[#This Row],[utf8]]))</f>
        <v>🤸</v>
      </c>
      <c r="K2896" s="3" t="str" cm="1">
        <f t="array" ref="K2896">"Case "&amp;wRandomLetter()&amp;wRandomLetter()&amp;I2896&amp;":    UniConst = ChrW(" &amp; I2896 &amp;")"</f>
        <v>Case PS129336:    UniConst = ChrW(129336)</v>
      </c>
    </row>
    <row r="2897" spans="1:11" hidden="1">
      <c r="A2897" t="s">
        <v>2409</v>
      </c>
      <c r="B2897" t="str">
        <f t="shared" si="272"/>
        <v>1F938 1F3FE 200D 2642 ; minimally-qualified # 🤸🏾‍♂ E4.0 man cartwheeling: medium-dark skin tone</v>
      </c>
      <c r="C2897" t="str">
        <f t="shared" si="273"/>
        <v xml:space="preserve">1F938 1F3FE 200D 2642 </v>
      </c>
      <c r="D2897">
        <f t="shared" si="274"/>
        <v>22</v>
      </c>
      <c r="E2897" t="str">
        <f t="shared" si="270"/>
        <v xml:space="preserve"> 🤸🏾‍♂ E4.0 man cartwheeling: medium-dark skin tone</v>
      </c>
      <c r="F2897" t="b">
        <f t="shared" si="275"/>
        <v>1</v>
      </c>
      <c r="G2897" t="str">
        <f t="shared" si="271"/>
        <v>1F938</v>
      </c>
      <c r="I2897">
        <f>HEX2DEC(Table1[[#This Row],[utf8]])</f>
        <v>129336</v>
      </c>
      <c r="J2897" t="str">
        <f>_xlfn.UNICHAR(HEX2DEC(Table1[[#This Row],[utf8]]))</f>
        <v>🤸</v>
      </c>
      <c r="K2897" s="3" t="str" cm="1">
        <f t="array" ref="K2897">"Case "&amp;wRandomLetter()&amp;wRandomLetter()&amp;I2897&amp;":    UniConst = ChrW(" &amp; I2897 &amp;")"</f>
        <v>Case rY129336:    UniConst = ChrW(129336)</v>
      </c>
    </row>
    <row r="2898" spans="1:11" hidden="1">
      <c r="A2898" t="s">
        <v>2408</v>
      </c>
      <c r="B2898" t="str">
        <f t="shared" si="272"/>
        <v>1F938 1F3FE 200D 2642 FE0F ; fully-qualified # 🤸🏾‍♂️ E4.0 man cartwheeling: medium-dark skin tone</v>
      </c>
      <c r="C2898" t="str">
        <f t="shared" si="273"/>
        <v xml:space="preserve">1F938 1F3FE 200D 2642 FE0F </v>
      </c>
      <c r="D2898">
        <f t="shared" si="274"/>
        <v>27</v>
      </c>
      <c r="E2898" t="str">
        <f t="shared" si="270"/>
        <v xml:space="preserve"> 🤸🏾‍♂️ E4.0 man cartwheeling: medium-dark skin tone</v>
      </c>
      <c r="F2898" t="b">
        <f t="shared" si="275"/>
        <v>1</v>
      </c>
      <c r="G2898" t="str">
        <f t="shared" si="271"/>
        <v>1F938</v>
      </c>
      <c r="I2898">
        <f>HEX2DEC(Table1[[#This Row],[utf8]])</f>
        <v>129336</v>
      </c>
      <c r="J2898" t="str">
        <f>_xlfn.UNICHAR(HEX2DEC(Table1[[#This Row],[utf8]]))</f>
        <v>🤸</v>
      </c>
      <c r="K2898" s="3" t="str" cm="1">
        <f t="array" ref="K2898">"Case "&amp;wRandomLetter()&amp;wRandomLetter()&amp;I2898&amp;":    UniConst = ChrW(" &amp; I2898 &amp;")"</f>
        <v>Case Gh129336:    UniConst = ChrW(129336)</v>
      </c>
    </row>
    <row r="2899" spans="1:11" hidden="1">
      <c r="A2899" t="s">
        <v>2399</v>
      </c>
      <c r="B2899" t="str">
        <f t="shared" si="272"/>
        <v>1F938 1F3FF ; fully-qualified # 🤸🏿 E3.0 person cartwheeling: dark skin tone</v>
      </c>
      <c r="C2899" t="str">
        <f t="shared" si="273"/>
        <v xml:space="preserve">1F938 1F3FF </v>
      </c>
      <c r="D2899">
        <f t="shared" si="274"/>
        <v>12</v>
      </c>
      <c r="E2899" t="str">
        <f t="shared" si="270"/>
        <v xml:space="preserve"> 🤸🏿 E3.0 person cartwheeling: dark skin tone</v>
      </c>
      <c r="F2899" t="b">
        <f t="shared" si="275"/>
        <v>1</v>
      </c>
      <c r="G2899" t="str">
        <f t="shared" si="271"/>
        <v>1F938</v>
      </c>
      <c r="I2899">
        <f>HEX2DEC(Table1[[#This Row],[utf8]])</f>
        <v>129336</v>
      </c>
      <c r="J2899" t="str">
        <f>_xlfn.UNICHAR(HEX2DEC(Table1[[#This Row],[utf8]]))</f>
        <v>🤸</v>
      </c>
      <c r="K2899" s="3" t="str" cm="1">
        <f t="array" ref="K2899">"Case "&amp;wRandomLetter()&amp;wRandomLetter()&amp;I2899&amp;":    UniConst = ChrW(" &amp; I2899 &amp;")"</f>
        <v>Case Ez129336:    UniConst = ChrW(129336)</v>
      </c>
    </row>
    <row r="2900" spans="1:11" hidden="1">
      <c r="A2900" t="s">
        <v>2423</v>
      </c>
      <c r="B2900" t="str">
        <f t="shared" si="272"/>
        <v>1F938 1F3FF 200D 2640 ; minimally-qualified # 🤸🏿‍♀ E4.0 woman cartwheeling: dark skin tone</v>
      </c>
      <c r="C2900" t="str">
        <f t="shared" si="273"/>
        <v xml:space="preserve">1F938 1F3FF 200D 2640 </v>
      </c>
      <c r="D2900">
        <f t="shared" si="274"/>
        <v>22</v>
      </c>
      <c r="E2900" t="str">
        <f t="shared" si="270"/>
        <v xml:space="preserve"> 🤸🏿‍♀ E4.0 woman cartwheeling: dark skin tone</v>
      </c>
      <c r="F2900" t="b">
        <f t="shared" si="275"/>
        <v>1</v>
      </c>
      <c r="G2900" t="str">
        <f t="shared" si="271"/>
        <v>1F938</v>
      </c>
      <c r="I2900">
        <f>HEX2DEC(Table1[[#This Row],[utf8]])</f>
        <v>129336</v>
      </c>
      <c r="J2900" t="str">
        <f>_xlfn.UNICHAR(HEX2DEC(Table1[[#This Row],[utf8]]))</f>
        <v>🤸</v>
      </c>
      <c r="K2900" s="3" t="str" cm="1">
        <f t="array" ref="K2900">"Case "&amp;wRandomLetter()&amp;wRandomLetter()&amp;I2900&amp;":    UniConst = ChrW(" &amp; I2900 &amp;")"</f>
        <v>Case kF129336:    UniConst = ChrW(129336)</v>
      </c>
    </row>
    <row r="2901" spans="1:11" hidden="1">
      <c r="A2901" t="s">
        <v>2422</v>
      </c>
      <c r="B2901" t="str">
        <f t="shared" si="272"/>
        <v>1F938 1F3FF 200D 2640 FE0F ; fully-qualified # 🤸🏿‍♀️ E4.0 woman cartwheeling: dark skin tone</v>
      </c>
      <c r="C2901" t="str">
        <f t="shared" si="273"/>
        <v xml:space="preserve">1F938 1F3FF 200D 2640 FE0F </v>
      </c>
      <c r="D2901">
        <f t="shared" si="274"/>
        <v>27</v>
      </c>
      <c r="E2901" t="str">
        <f t="shared" si="270"/>
        <v xml:space="preserve"> 🤸🏿‍♀️ E4.0 woman cartwheeling: dark skin tone</v>
      </c>
      <c r="F2901" t="b">
        <f t="shared" si="275"/>
        <v>1</v>
      </c>
      <c r="G2901" t="str">
        <f t="shared" si="271"/>
        <v>1F938</v>
      </c>
      <c r="I2901">
        <f>HEX2DEC(Table1[[#This Row],[utf8]])</f>
        <v>129336</v>
      </c>
      <c r="J2901" t="str">
        <f>_xlfn.UNICHAR(HEX2DEC(Table1[[#This Row],[utf8]]))</f>
        <v>🤸</v>
      </c>
      <c r="K2901" s="3" t="str" cm="1">
        <f t="array" ref="K2901">"Case "&amp;wRandomLetter()&amp;wRandomLetter()&amp;I2901&amp;":    UniConst = ChrW(" &amp; I2901 &amp;")"</f>
        <v>Case Qv129336:    UniConst = ChrW(129336)</v>
      </c>
    </row>
    <row r="2902" spans="1:11" hidden="1">
      <c r="A2902" t="s">
        <v>2411</v>
      </c>
      <c r="B2902" t="str">
        <f t="shared" si="272"/>
        <v>1F938 1F3FF 200D 2642 ; minimally-qualified # 🤸🏿‍♂ E4.0 man cartwheeling: dark skin tone</v>
      </c>
      <c r="C2902" t="str">
        <f t="shared" si="273"/>
        <v xml:space="preserve">1F938 1F3FF 200D 2642 </v>
      </c>
      <c r="D2902">
        <f t="shared" si="274"/>
        <v>22</v>
      </c>
      <c r="E2902" t="str">
        <f t="shared" si="270"/>
        <v xml:space="preserve"> 🤸🏿‍♂ E4.0 man cartwheeling: dark skin tone</v>
      </c>
      <c r="F2902" t="b">
        <f t="shared" si="275"/>
        <v>1</v>
      </c>
      <c r="G2902" t="str">
        <f t="shared" si="271"/>
        <v>1F938</v>
      </c>
      <c r="I2902">
        <f>HEX2DEC(Table1[[#This Row],[utf8]])</f>
        <v>129336</v>
      </c>
      <c r="J2902" t="str">
        <f>_xlfn.UNICHAR(HEX2DEC(Table1[[#This Row],[utf8]]))</f>
        <v>🤸</v>
      </c>
      <c r="K2902" s="3" t="str" cm="1">
        <f t="array" ref="K2902">"Case "&amp;wRandomLetter()&amp;wRandomLetter()&amp;I2902&amp;":    UniConst = ChrW(" &amp; I2902 &amp;")"</f>
        <v>Case cF129336:    UniConst = ChrW(129336)</v>
      </c>
    </row>
    <row r="2903" spans="1:11" hidden="1">
      <c r="A2903" t="s">
        <v>2410</v>
      </c>
      <c r="B2903" t="str">
        <f t="shared" si="272"/>
        <v>1F938 1F3FF 200D 2642 FE0F ; fully-qualified # 🤸🏿‍♂️ E4.0 man cartwheeling: dark skin tone</v>
      </c>
      <c r="C2903" t="str">
        <f t="shared" si="273"/>
        <v xml:space="preserve">1F938 1F3FF 200D 2642 FE0F </v>
      </c>
      <c r="D2903">
        <f t="shared" si="274"/>
        <v>27</v>
      </c>
      <c r="E2903" t="str">
        <f t="shared" si="270"/>
        <v xml:space="preserve"> 🤸🏿‍♂️ E4.0 man cartwheeling: dark skin tone</v>
      </c>
      <c r="F2903" t="b">
        <f t="shared" si="275"/>
        <v>1</v>
      </c>
      <c r="G2903" t="str">
        <f t="shared" si="271"/>
        <v>1F938</v>
      </c>
      <c r="I2903">
        <f>HEX2DEC(Table1[[#This Row],[utf8]])</f>
        <v>129336</v>
      </c>
      <c r="J2903" t="str">
        <f>_xlfn.UNICHAR(HEX2DEC(Table1[[#This Row],[utf8]]))</f>
        <v>🤸</v>
      </c>
      <c r="K2903" s="3" t="str" cm="1">
        <f t="array" ref="K2903">"Case "&amp;wRandomLetter()&amp;wRandomLetter()&amp;I2903&amp;":    UniConst = ChrW(" &amp; I2903 &amp;")"</f>
        <v>Case ar129336:    UniConst = ChrW(129336)</v>
      </c>
    </row>
    <row r="2904" spans="1:11" hidden="1">
      <c r="A2904" t="s">
        <v>2413</v>
      </c>
      <c r="B2904" t="str">
        <f t="shared" si="272"/>
        <v>1F938 200D 2640 ; minimally-qualified # 🤸‍♀ E4.0 woman cartwheeling</v>
      </c>
      <c r="C2904" t="str">
        <f t="shared" si="273"/>
        <v xml:space="preserve">1F938 200D 2640 </v>
      </c>
      <c r="D2904">
        <f t="shared" si="274"/>
        <v>16</v>
      </c>
      <c r="E2904" t="str">
        <f t="shared" si="270"/>
        <v xml:space="preserve"> 🤸‍♀ E4.0 woman cartwheeling</v>
      </c>
      <c r="F2904" t="b">
        <f t="shared" si="275"/>
        <v>1</v>
      </c>
      <c r="G2904" t="str">
        <f t="shared" si="271"/>
        <v>1F938</v>
      </c>
      <c r="I2904">
        <f>HEX2DEC(Table1[[#This Row],[utf8]])</f>
        <v>129336</v>
      </c>
      <c r="J2904" t="str">
        <f>_xlfn.UNICHAR(HEX2DEC(Table1[[#This Row],[utf8]]))</f>
        <v>🤸</v>
      </c>
      <c r="K2904" s="3" t="str" cm="1">
        <f t="array" ref="K2904">"Case "&amp;wRandomLetter()&amp;wRandomLetter()&amp;I2904&amp;":    UniConst = ChrW(" &amp; I2904 &amp;")"</f>
        <v>Case Dr129336:    UniConst = ChrW(129336)</v>
      </c>
    </row>
    <row r="2905" spans="1:11" hidden="1">
      <c r="A2905" t="s">
        <v>2412</v>
      </c>
      <c r="B2905" t="str">
        <f t="shared" si="272"/>
        <v>1F938 200D 2640 FE0F ; fully-qualified # 🤸‍♀️ E4.0 woman cartwheeling</v>
      </c>
      <c r="C2905" t="str">
        <f t="shared" si="273"/>
        <v xml:space="preserve">1F938 200D 2640 FE0F </v>
      </c>
      <c r="D2905">
        <f t="shared" si="274"/>
        <v>21</v>
      </c>
      <c r="E2905" t="str">
        <f t="shared" si="270"/>
        <v xml:space="preserve"> 🤸‍♀️ E4.0 woman cartwheeling</v>
      </c>
      <c r="F2905" t="b">
        <f t="shared" si="275"/>
        <v>1</v>
      </c>
      <c r="G2905" t="str">
        <f t="shared" si="271"/>
        <v>1F938</v>
      </c>
      <c r="I2905">
        <f>HEX2DEC(Table1[[#This Row],[utf8]])</f>
        <v>129336</v>
      </c>
      <c r="J2905" t="str">
        <f>_xlfn.UNICHAR(HEX2DEC(Table1[[#This Row],[utf8]]))</f>
        <v>🤸</v>
      </c>
      <c r="K2905" s="3" t="str" cm="1">
        <f t="array" ref="K2905">"Case "&amp;wRandomLetter()&amp;wRandomLetter()&amp;I2905&amp;":    UniConst = ChrW(" &amp; I2905 &amp;")"</f>
        <v>Case oH129336:    UniConst = ChrW(129336)</v>
      </c>
    </row>
    <row r="2906" spans="1:11" hidden="1">
      <c r="A2906" t="s">
        <v>2401</v>
      </c>
      <c r="B2906" t="str">
        <f t="shared" si="272"/>
        <v>1F938 200D 2642 ; minimally-qualified # 🤸‍♂ E4.0 man cartwheeling</v>
      </c>
      <c r="C2906" t="str">
        <f t="shared" si="273"/>
        <v xml:space="preserve">1F938 200D 2642 </v>
      </c>
      <c r="D2906">
        <f t="shared" si="274"/>
        <v>16</v>
      </c>
      <c r="E2906" t="str">
        <f t="shared" si="270"/>
        <v xml:space="preserve"> 🤸‍♂ E4.0 man cartwheeling</v>
      </c>
      <c r="F2906" t="b">
        <f t="shared" si="275"/>
        <v>1</v>
      </c>
      <c r="G2906" t="str">
        <f t="shared" si="271"/>
        <v>1F938</v>
      </c>
      <c r="I2906">
        <f>HEX2DEC(Table1[[#This Row],[utf8]])</f>
        <v>129336</v>
      </c>
      <c r="J2906" t="str">
        <f>_xlfn.UNICHAR(HEX2DEC(Table1[[#This Row],[utf8]]))</f>
        <v>🤸</v>
      </c>
      <c r="K2906" s="3" t="str" cm="1">
        <f t="array" ref="K2906">"Case "&amp;wRandomLetter()&amp;wRandomLetter()&amp;I2906&amp;":    UniConst = ChrW(" &amp; I2906 &amp;")"</f>
        <v>Case dB129336:    UniConst = ChrW(129336)</v>
      </c>
    </row>
    <row r="2907" spans="1:11" hidden="1">
      <c r="A2907" t="s">
        <v>2400</v>
      </c>
      <c r="B2907" t="str">
        <f t="shared" si="272"/>
        <v>1F938 200D 2642 FE0F ; fully-qualified # 🤸‍♂️ E4.0 man cartwheeling</v>
      </c>
      <c r="C2907" t="str">
        <f t="shared" si="273"/>
        <v xml:space="preserve">1F938 200D 2642 FE0F </v>
      </c>
      <c r="D2907">
        <f t="shared" si="274"/>
        <v>21</v>
      </c>
      <c r="E2907" t="str">
        <f t="shared" si="270"/>
        <v xml:space="preserve"> 🤸‍♂️ E4.0 man cartwheeling</v>
      </c>
      <c r="F2907" t="b">
        <f t="shared" si="275"/>
        <v>1</v>
      </c>
      <c r="G2907" t="str">
        <f t="shared" si="271"/>
        <v>1F938</v>
      </c>
      <c r="I2907">
        <f>HEX2DEC(Table1[[#This Row],[utf8]])</f>
        <v>129336</v>
      </c>
      <c r="J2907" t="str">
        <f>_xlfn.UNICHAR(HEX2DEC(Table1[[#This Row],[utf8]]))</f>
        <v>🤸</v>
      </c>
      <c r="K2907" s="3" t="str" cm="1">
        <f t="array" ref="K2907">"Case "&amp;wRandomLetter()&amp;wRandomLetter()&amp;I2907&amp;":    UniConst = ChrW(" &amp; I2907 &amp;")"</f>
        <v>Case hl129336:    UniConst = ChrW(129336)</v>
      </c>
    </row>
    <row r="2908" spans="1:11" hidden="1">
      <c r="A2908" t="s">
        <v>2489</v>
      </c>
      <c r="B2908" t="str">
        <f t="shared" si="272"/>
        <v>1F939 ; fully-qualified # 🤹 E3.0 person juggling</v>
      </c>
      <c r="C2908" t="str">
        <f t="shared" si="273"/>
        <v xml:space="preserve">1F939 </v>
      </c>
      <c r="D2908">
        <f t="shared" si="274"/>
        <v>6</v>
      </c>
      <c r="E2908" t="str">
        <f t="shared" si="270"/>
        <v xml:space="preserve"> 🤹 E3.0 person juggling</v>
      </c>
      <c r="F2908" t="b">
        <f t="shared" si="275"/>
        <v>1</v>
      </c>
      <c r="G2908" t="str">
        <f t="shared" si="271"/>
        <v>1F939</v>
      </c>
      <c r="I2908">
        <f>HEX2DEC(Table1[[#This Row],[utf8]])</f>
        <v>129337</v>
      </c>
      <c r="J2908" t="str">
        <f>_xlfn.UNICHAR(HEX2DEC(Table1[[#This Row],[utf8]]))</f>
        <v>🤹</v>
      </c>
      <c r="K2908" s="3" t="str" cm="1">
        <f t="array" ref="K2908">"Case "&amp;wRandomLetter()&amp;wRandomLetter()&amp;I2908&amp;":    UniConst = ChrW(" &amp; I2908 &amp;")"</f>
        <v>Case jI129337:    UniConst = ChrW(129337)</v>
      </c>
    </row>
    <row r="2909" spans="1:11" hidden="1">
      <c r="A2909" t="s">
        <v>2490</v>
      </c>
      <c r="B2909" t="str">
        <f t="shared" si="272"/>
        <v>1F939 1F3FB ; fully-qualified # 🤹🏻 E3.0 person juggling: light skin tone</v>
      </c>
      <c r="C2909" t="str">
        <f t="shared" si="273"/>
        <v xml:space="preserve">1F939 1F3FB </v>
      </c>
      <c r="D2909">
        <f t="shared" si="274"/>
        <v>12</v>
      </c>
      <c r="E2909" t="str">
        <f t="shared" si="270"/>
        <v xml:space="preserve"> 🤹🏻 E3.0 person juggling: light skin tone</v>
      </c>
      <c r="F2909" t="b">
        <f t="shared" si="275"/>
        <v>1</v>
      </c>
      <c r="G2909" t="str">
        <f t="shared" si="271"/>
        <v>1F939</v>
      </c>
      <c r="I2909">
        <f>HEX2DEC(Table1[[#This Row],[utf8]])</f>
        <v>129337</v>
      </c>
      <c r="J2909" t="str">
        <f>_xlfn.UNICHAR(HEX2DEC(Table1[[#This Row],[utf8]]))</f>
        <v>🤹</v>
      </c>
      <c r="K2909" s="3" t="str" cm="1">
        <f t="array" ref="K2909">"Case "&amp;wRandomLetter()&amp;wRandomLetter()&amp;I2909&amp;":    UniConst = ChrW(" &amp; I2909 &amp;")"</f>
        <v>Case BS129337:    UniConst = ChrW(129337)</v>
      </c>
    </row>
    <row r="2910" spans="1:11" hidden="1">
      <c r="A2910" t="s">
        <v>2510</v>
      </c>
      <c r="B2910" t="str">
        <f t="shared" si="272"/>
        <v>1F939 1F3FB 200D 2640 ; minimally-qualified # 🤹🏻‍♀ E4.0 woman juggling: light skin tone</v>
      </c>
      <c r="C2910" t="str">
        <f t="shared" si="273"/>
        <v xml:space="preserve">1F939 1F3FB 200D 2640 </v>
      </c>
      <c r="D2910">
        <f t="shared" si="274"/>
        <v>22</v>
      </c>
      <c r="E2910" t="str">
        <f t="shared" si="270"/>
        <v xml:space="preserve"> 🤹🏻‍♀ E4.0 woman juggling: light skin tone</v>
      </c>
      <c r="F2910" t="b">
        <f t="shared" si="275"/>
        <v>1</v>
      </c>
      <c r="G2910" t="str">
        <f t="shared" si="271"/>
        <v>1F939</v>
      </c>
      <c r="I2910">
        <f>HEX2DEC(Table1[[#This Row],[utf8]])</f>
        <v>129337</v>
      </c>
      <c r="J2910" t="str">
        <f>_xlfn.UNICHAR(HEX2DEC(Table1[[#This Row],[utf8]]))</f>
        <v>🤹</v>
      </c>
      <c r="K2910" s="3" t="str" cm="1">
        <f t="array" ref="K2910">"Case "&amp;wRandomLetter()&amp;wRandomLetter()&amp;I2910&amp;":    UniConst = ChrW(" &amp; I2910 &amp;")"</f>
        <v>Case Km129337:    UniConst = ChrW(129337)</v>
      </c>
    </row>
    <row r="2911" spans="1:11" hidden="1">
      <c r="A2911" t="s">
        <v>2509</v>
      </c>
      <c r="B2911" t="str">
        <f t="shared" si="272"/>
        <v>1F939 1F3FB 200D 2640 FE0F ; fully-qualified # 🤹🏻‍♀️ E4.0 woman juggling: light skin tone</v>
      </c>
      <c r="C2911" t="str">
        <f t="shared" si="273"/>
        <v xml:space="preserve">1F939 1F3FB 200D 2640 FE0F </v>
      </c>
      <c r="D2911">
        <f t="shared" si="274"/>
        <v>27</v>
      </c>
      <c r="E2911" t="str">
        <f t="shared" si="270"/>
        <v xml:space="preserve"> 🤹🏻‍♀️ E4.0 woman juggling: light skin tone</v>
      </c>
      <c r="F2911" t="b">
        <f t="shared" si="275"/>
        <v>1</v>
      </c>
      <c r="G2911" t="str">
        <f t="shared" si="271"/>
        <v>1F939</v>
      </c>
      <c r="I2911">
        <f>HEX2DEC(Table1[[#This Row],[utf8]])</f>
        <v>129337</v>
      </c>
      <c r="J2911" t="str">
        <f>_xlfn.UNICHAR(HEX2DEC(Table1[[#This Row],[utf8]]))</f>
        <v>🤹</v>
      </c>
      <c r="K2911" s="3" t="str" cm="1">
        <f t="array" ref="K2911">"Case "&amp;wRandomLetter()&amp;wRandomLetter()&amp;I2911&amp;":    UniConst = ChrW(" &amp; I2911 &amp;")"</f>
        <v>Case Qi129337:    UniConst = ChrW(129337)</v>
      </c>
    </row>
    <row r="2912" spans="1:11" hidden="1">
      <c r="A2912" t="s">
        <v>2498</v>
      </c>
      <c r="B2912" t="str">
        <f t="shared" si="272"/>
        <v>1F939 1F3FB 200D 2642 ; minimally-qualified # 🤹🏻‍♂ E4.0 man juggling: light skin tone</v>
      </c>
      <c r="C2912" t="str">
        <f t="shared" si="273"/>
        <v xml:space="preserve">1F939 1F3FB 200D 2642 </v>
      </c>
      <c r="D2912">
        <f t="shared" si="274"/>
        <v>22</v>
      </c>
      <c r="E2912" t="str">
        <f t="shared" si="270"/>
        <v xml:space="preserve"> 🤹🏻‍♂ E4.0 man juggling: light skin tone</v>
      </c>
      <c r="F2912" t="b">
        <f t="shared" si="275"/>
        <v>1</v>
      </c>
      <c r="G2912" t="str">
        <f t="shared" si="271"/>
        <v>1F939</v>
      </c>
      <c r="I2912">
        <f>HEX2DEC(Table1[[#This Row],[utf8]])</f>
        <v>129337</v>
      </c>
      <c r="J2912" t="str">
        <f>_xlfn.UNICHAR(HEX2DEC(Table1[[#This Row],[utf8]]))</f>
        <v>🤹</v>
      </c>
      <c r="K2912" s="3" t="str" cm="1">
        <f t="array" ref="K2912">"Case "&amp;wRandomLetter()&amp;wRandomLetter()&amp;I2912&amp;":    UniConst = ChrW(" &amp; I2912 &amp;")"</f>
        <v>Case Fz129337:    UniConst = ChrW(129337)</v>
      </c>
    </row>
    <row r="2913" spans="1:11" hidden="1">
      <c r="A2913" t="s">
        <v>2497</v>
      </c>
      <c r="B2913" t="str">
        <f t="shared" si="272"/>
        <v>1F939 1F3FB 200D 2642 FE0F ; fully-qualified # 🤹🏻‍♂️ E4.0 man juggling: light skin tone</v>
      </c>
      <c r="C2913" t="str">
        <f t="shared" si="273"/>
        <v xml:space="preserve">1F939 1F3FB 200D 2642 FE0F </v>
      </c>
      <c r="D2913">
        <f t="shared" si="274"/>
        <v>27</v>
      </c>
      <c r="E2913" t="str">
        <f t="shared" si="270"/>
        <v xml:space="preserve"> 🤹🏻‍♂️ E4.0 man juggling: light skin tone</v>
      </c>
      <c r="F2913" t="b">
        <f t="shared" si="275"/>
        <v>1</v>
      </c>
      <c r="G2913" t="str">
        <f t="shared" si="271"/>
        <v>1F939</v>
      </c>
      <c r="I2913">
        <f>HEX2DEC(Table1[[#This Row],[utf8]])</f>
        <v>129337</v>
      </c>
      <c r="J2913" t="str">
        <f>_xlfn.UNICHAR(HEX2DEC(Table1[[#This Row],[utf8]]))</f>
        <v>🤹</v>
      </c>
      <c r="K2913" s="3" t="str" cm="1">
        <f t="array" ref="K2913">"Case "&amp;wRandomLetter()&amp;wRandomLetter()&amp;I2913&amp;":    UniConst = ChrW(" &amp; I2913 &amp;")"</f>
        <v>Case Gg129337:    UniConst = ChrW(129337)</v>
      </c>
    </row>
    <row r="2914" spans="1:11" hidden="1">
      <c r="A2914" t="s">
        <v>2491</v>
      </c>
      <c r="B2914" t="str">
        <f t="shared" si="272"/>
        <v>1F939 1F3FC ; fully-qualified # 🤹🏼 E3.0 person juggling: medium-light skin tone</v>
      </c>
      <c r="C2914" t="str">
        <f t="shared" si="273"/>
        <v xml:space="preserve">1F939 1F3FC </v>
      </c>
      <c r="D2914">
        <f t="shared" si="274"/>
        <v>12</v>
      </c>
      <c r="E2914" t="str">
        <f t="shared" si="270"/>
        <v xml:space="preserve"> 🤹🏼 E3.0 person juggling: medium-light skin tone</v>
      </c>
      <c r="F2914" t="b">
        <f t="shared" si="275"/>
        <v>1</v>
      </c>
      <c r="G2914" t="str">
        <f t="shared" si="271"/>
        <v>1F939</v>
      </c>
      <c r="I2914">
        <f>HEX2DEC(Table1[[#This Row],[utf8]])</f>
        <v>129337</v>
      </c>
      <c r="J2914" t="str">
        <f>_xlfn.UNICHAR(HEX2DEC(Table1[[#This Row],[utf8]]))</f>
        <v>🤹</v>
      </c>
      <c r="K2914" s="3" t="str" cm="1">
        <f t="array" ref="K2914">"Case "&amp;wRandomLetter()&amp;wRandomLetter()&amp;I2914&amp;":    UniConst = ChrW(" &amp; I2914 &amp;")"</f>
        <v>Case rT129337:    UniConst = ChrW(129337)</v>
      </c>
    </row>
    <row r="2915" spans="1:11" hidden="1">
      <c r="A2915" t="s">
        <v>2512</v>
      </c>
      <c r="B2915" t="str">
        <f t="shared" si="272"/>
        <v>1F939 1F3FC 200D 2640 ; minimally-qualified # 🤹🏼‍♀ E4.0 woman juggling: medium-light skin tone</v>
      </c>
      <c r="C2915" t="str">
        <f t="shared" si="273"/>
        <v xml:space="preserve">1F939 1F3FC 200D 2640 </v>
      </c>
      <c r="D2915">
        <f t="shared" si="274"/>
        <v>22</v>
      </c>
      <c r="E2915" t="str">
        <f t="shared" si="270"/>
        <v xml:space="preserve"> 🤹🏼‍♀ E4.0 woman juggling: medium-light skin tone</v>
      </c>
      <c r="F2915" t="b">
        <f t="shared" si="275"/>
        <v>1</v>
      </c>
      <c r="G2915" t="str">
        <f t="shared" si="271"/>
        <v>1F939</v>
      </c>
      <c r="I2915">
        <f>HEX2DEC(Table1[[#This Row],[utf8]])</f>
        <v>129337</v>
      </c>
      <c r="J2915" t="str">
        <f>_xlfn.UNICHAR(HEX2DEC(Table1[[#This Row],[utf8]]))</f>
        <v>🤹</v>
      </c>
      <c r="K2915" s="3" t="str" cm="1">
        <f t="array" ref="K2915">"Case "&amp;wRandomLetter()&amp;wRandomLetter()&amp;I2915&amp;":    UniConst = ChrW(" &amp; I2915 &amp;")"</f>
        <v>Case Dp129337:    UniConst = ChrW(129337)</v>
      </c>
    </row>
    <row r="2916" spans="1:11" hidden="1">
      <c r="A2916" t="s">
        <v>2511</v>
      </c>
      <c r="B2916" t="str">
        <f t="shared" si="272"/>
        <v>1F939 1F3FC 200D 2640 FE0F ; fully-qualified # 🤹🏼‍♀️ E4.0 woman juggling: medium-light skin tone</v>
      </c>
      <c r="C2916" t="str">
        <f t="shared" si="273"/>
        <v xml:space="preserve">1F939 1F3FC 200D 2640 FE0F </v>
      </c>
      <c r="D2916">
        <f t="shared" si="274"/>
        <v>27</v>
      </c>
      <c r="E2916" t="str">
        <f t="shared" si="270"/>
        <v xml:space="preserve"> 🤹🏼‍♀️ E4.0 woman juggling: medium-light skin tone</v>
      </c>
      <c r="F2916" t="b">
        <f t="shared" si="275"/>
        <v>1</v>
      </c>
      <c r="G2916" t="str">
        <f t="shared" si="271"/>
        <v>1F939</v>
      </c>
      <c r="I2916">
        <f>HEX2DEC(Table1[[#This Row],[utf8]])</f>
        <v>129337</v>
      </c>
      <c r="J2916" t="str">
        <f>_xlfn.UNICHAR(HEX2DEC(Table1[[#This Row],[utf8]]))</f>
        <v>🤹</v>
      </c>
      <c r="K2916" s="3" t="str" cm="1">
        <f t="array" ref="K2916">"Case "&amp;wRandomLetter()&amp;wRandomLetter()&amp;I2916&amp;":    UniConst = ChrW(" &amp; I2916 &amp;")"</f>
        <v>Case gP129337:    UniConst = ChrW(129337)</v>
      </c>
    </row>
    <row r="2917" spans="1:11" hidden="1">
      <c r="A2917" t="s">
        <v>2500</v>
      </c>
      <c r="B2917" t="str">
        <f t="shared" si="272"/>
        <v>1F939 1F3FC 200D 2642 ; minimally-qualified # 🤹🏼‍♂ E4.0 man juggling: medium-light skin tone</v>
      </c>
      <c r="C2917" t="str">
        <f t="shared" si="273"/>
        <v xml:space="preserve">1F939 1F3FC 200D 2642 </v>
      </c>
      <c r="D2917">
        <f t="shared" si="274"/>
        <v>22</v>
      </c>
      <c r="E2917" t="str">
        <f t="shared" si="270"/>
        <v xml:space="preserve"> 🤹🏼‍♂ E4.0 man juggling: medium-light skin tone</v>
      </c>
      <c r="F2917" t="b">
        <f t="shared" si="275"/>
        <v>1</v>
      </c>
      <c r="G2917" t="str">
        <f t="shared" si="271"/>
        <v>1F939</v>
      </c>
      <c r="I2917">
        <f>HEX2DEC(Table1[[#This Row],[utf8]])</f>
        <v>129337</v>
      </c>
      <c r="J2917" t="str">
        <f>_xlfn.UNICHAR(HEX2DEC(Table1[[#This Row],[utf8]]))</f>
        <v>🤹</v>
      </c>
      <c r="K2917" s="3" t="str" cm="1">
        <f t="array" ref="K2917">"Case "&amp;wRandomLetter()&amp;wRandomLetter()&amp;I2917&amp;":    UniConst = ChrW(" &amp; I2917 &amp;")"</f>
        <v>Case PQ129337:    UniConst = ChrW(129337)</v>
      </c>
    </row>
    <row r="2918" spans="1:11" hidden="1">
      <c r="A2918" t="s">
        <v>2499</v>
      </c>
      <c r="B2918" t="str">
        <f t="shared" si="272"/>
        <v>1F939 1F3FC 200D 2642 FE0F ; fully-qualified # 🤹🏼‍♂️ E4.0 man juggling: medium-light skin tone</v>
      </c>
      <c r="C2918" t="str">
        <f t="shared" si="273"/>
        <v xml:space="preserve">1F939 1F3FC 200D 2642 FE0F </v>
      </c>
      <c r="D2918">
        <f t="shared" si="274"/>
        <v>27</v>
      </c>
      <c r="E2918" t="str">
        <f t="shared" si="270"/>
        <v xml:space="preserve"> 🤹🏼‍♂️ E4.0 man juggling: medium-light skin tone</v>
      </c>
      <c r="F2918" t="b">
        <f t="shared" si="275"/>
        <v>1</v>
      </c>
      <c r="G2918" t="str">
        <f t="shared" si="271"/>
        <v>1F939</v>
      </c>
      <c r="I2918">
        <f>HEX2DEC(Table1[[#This Row],[utf8]])</f>
        <v>129337</v>
      </c>
      <c r="J2918" t="str">
        <f>_xlfn.UNICHAR(HEX2DEC(Table1[[#This Row],[utf8]]))</f>
        <v>🤹</v>
      </c>
      <c r="K2918" s="3" t="str" cm="1">
        <f t="array" ref="K2918">"Case "&amp;wRandomLetter()&amp;wRandomLetter()&amp;I2918&amp;":    UniConst = ChrW(" &amp; I2918 &amp;")"</f>
        <v>Case VZ129337:    UniConst = ChrW(129337)</v>
      </c>
    </row>
    <row r="2919" spans="1:11" hidden="1">
      <c r="A2919" t="s">
        <v>2492</v>
      </c>
      <c r="B2919" t="str">
        <f t="shared" si="272"/>
        <v>1F939 1F3FD ; fully-qualified # 🤹🏽 E3.0 person juggling: medium skin tone</v>
      </c>
      <c r="C2919" t="str">
        <f t="shared" si="273"/>
        <v xml:space="preserve">1F939 1F3FD </v>
      </c>
      <c r="D2919">
        <f t="shared" si="274"/>
        <v>12</v>
      </c>
      <c r="E2919" t="str">
        <f t="shared" si="270"/>
        <v xml:space="preserve"> 🤹🏽 E3.0 person juggling: medium skin tone</v>
      </c>
      <c r="F2919" t="b">
        <f t="shared" si="275"/>
        <v>1</v>
      </c>
      <c r="G2919" t="str">
        <f t="shared" si="271"/>
        <v>1F939</v>
      </c>
      <c r="I2919">
        <f>HEX2DEC(Table1[[#This Row],[utf8]])</f>
        <v>129337</v>
      </c>
      <c r="J2919" t="str">
        <f>_xlfn.UNICHAR(HEX2DEC(Table1[[#This Row],[utf8]]))</f>
        <v>🤹</v>
      </c>
      <c r="K2919" s="3" t="str" cm="1">
        <f t="array" ref="K2919">"Case "&amp;wRandomLetter()&amp;wRandomLetter()&amp;I2919&amp;":    UniConst = ChrW(" &amp; I2919 &amp;")"</f>
        <v>Case qD129337:    UniConst = ChrW(129337)</v>
      </c>
    </row>
    <row r="2920" spans="1:11" hidden="1">
      <c r="A2920" t="s">
        <v>2514</v>
      </c>
      <c r="B2920" t="str">
        <f t="shared" si="272"/>
        <v>1F939 1F3FD 200D 2640 ; minimally-qualified # 🤹🏽‍♀ E4.0 woman juggling: medium skin tone</v>
      </c>
      <c r="C2920" t="str">
        <f t="shared" si="273"/>
        <v xml:space="preserve">1F939 1F3FD 200D 2640 </v>
      </c>
      <c r="D2920">
        <f t="shared" si="274"/>
        <v>22</v>
      </c>
      <c r="E2920" t="str">
        <f t="shared" si="270"/>
        <v xml:space="preserve"> 🤹🏽‍♀ E4.0 woman juggling: medium skin tone</v>
      </c>
      <c r="F2920" t="b">
        <f t="shared" si="275"/>
        <v>1</v>
      </c>
      <c r="G2920" t="str">
        <f t="shared" si="271"/>
        <v>1F939</v>
      </c>
      <c r="I2920">
        <f>HEX2DEC(Table1[[#This Row],[utf8]])</f>
        <v>129337</v>
      </c>
      <c r="J2920" t="str">
        <f>_xlfn.UNICHAR(HEX2DEC(Table1[[#This Row],[utf8]]))</f>
        <v>🤹</v>
      </c>
      <c r="K2920" s="3" t="str" cm="1">
        <f t="array" ref="K2920">"Case "&amp;wRandomLetter()&amp;wRandomLetter()&amp;I2920&amp;":    UniConst = ChrW(" &amp; I2920 &amp;")"</f>
        <v>Case vT129337:    UniConst = ChrW(129337)</v>
      </c>
    </row>
    <row r="2921" spans="1:11" hidden="1">
      <c r="A2921" t="s">
        <v>2513</v>
      </c>
      <c r="B2921" t="str">
        <f t="shared" si="272"/>
        <v>1F939 1F3FD 200D 2640 FE0F ; fully-qualified # 🤹🏽‍♀️ E4.0 woman juggling: medium skin tone</v>
      </c>
      <c r="C2921" t="str">
        <f t="shared" si="273"/>
        <v xml:space="preserve">1F939 1F3FD 200D 2640 FE0F </v>
      </c>
      <c r="D2921">
        <f t="shared" si="274"/>
        <v>27</v>
      </c>
      <c r="E2921" t="str">
        <f t="shared" si="270"/>
        <v xml:space="preserve"> 🤹🏽‍♀️ E4.0 woman juggling: medium skin tone</v>
      </c>
      <c r="F2921" t="b">
        <f t="shared" si="275"/>
        <v>1</v>
      </c>
      <c r="G2921" t="str">
        <f t="shared" si="271"/>
        <v>1F939</v>
      </c>
      <c r="I2921">
        <f>HEX2DEC(Table1[[#This Row],[utf8]])</f>
        <v>129337</v>
      </c>
      <c r="J2921" t="str">
        <f>_xlfn.UNICHAR(HEX2DEC(Table1[[#This Row],[utf8]]))</f>
        <v>🤹</v>
      </c>
      <c r="K2921" s="3" t="str" cm="1">
        <f t="array" ref="K2921">"Case "&amp;wRandomLetter()&amp;wRandomLetter()&amp;I2921&amp;":    UniConst = ChrW(" &amp; I2921 &amp;")"</f>
        <v>Case dA129337:    UniConst = ChrW(129337)</v>
      </c>
    </row>
    <row r="2922" spans="1:11" hidden="1">
      <c r="A2922" t="s">
        <v>2502</v>
      </c>
      <c r="B2922" t="str">
        <f t="shared" si="272"/>
        <v>1F939 1F3FD 200D 2642 ; minimally-qualified # 🤹🏽‍♂ E4.0 man juggling: medium skin tone</v>
      </c>
      <c r="C2922" t="str">
        <f t="shared" si="273"/>
        <v xml:space="preserve">1F939 1F3FD 200D 2642 </v>
      </c>
      <c r="D2922">
        <f t="shared" si="274"/>
        <v>22</v>
      </c>
      <c r="E2922" t="str">
        <f t="shared" si="270"/>
        <v xml:space="preserve"> 🤹🏽‍♂ E4.0 man juggling: medium skin tone</v>
      </c>
      <c r="F2922" t="b">
        <f t="shared" si="275"/>
        <v>1</v>
      </c>
      <c r="G2922" t="str">
        <f t="shared" si="271"/>
        <v>1F939</v>
      </c>
      <c r="I2922">
        <f>HEX2DEC(Table1[[#This Row],[utf8]])</f>
        <v>129337</v>
      </c>
      <c r="J2922" t="str">
        <f>_xlfn.UNICHAR(HEX2DEC(Table1[[#This Row],[utf8]]))</f>
        <v>🤹</v>
      </c>
      <c r="K2922" s="3" t="str" cm="1">
        <f t="array" ref="K2922">"Case "&amp;wRandomLetter()&amp;wRandomLetter()&amp;I2922&amp;":    UniConst = ChrW(" &amp; I2922 &amp;")"</f>
        <v>Case ex129337:    UniConst = ChrW(129337)</v>
      </c>
    </row>
    <row r="2923" spans="1:11" hidden="1">
      <c r="A2923" t="s">
        <v>2501</v>
      </c>
      <c r="B2923" t="str">
        <f t="shared" si="272"/>
        <v>1F939 1F3FD 200D 2642 FE0F ; fully-qualified # 🤹🏽‍♂️ E4.0 man juggling: medium skin tone</v>
      </c>
      <c r="C2923" t="str">
        <f t="shared" si="273"/>
        <v xml:space="preserve">1F939 1F3FD 200D 2642 FE0F </v>
      </c>
      <c r="D2923">
        <f t="shared" si="274"/>
        <v>27</v>
      </c>
      <c r="E2923" t="str">
        <f t="shared" si="270"/>
        <v xml:space="preserve"> 🤹🏽‍♂️ E4.0 man juggling: medium skin tone</v>
      </c>
      <c r="F2923" t="b">
        <f t="shared" si="275"/>
        <v>1</v>
      </c>
      <c r="G2923" t="str">
        <f t="shared" si="271"/>
        <v>1F939</v>
      </c>
      <c r="I2923">
        <f>HEX2DEC(Table1[[#This Row],[utf8]])</f>
        <v>129337</v>
      </c>
      <c r="J2923" t="str">
        <f>_xlfn.UNICHAR(HEX2DEC(Table1[[#This Row],[utf8]]))</f>
        <v>🤹</v>
      </c>
      <c r="K2923" s="3" t="str" cm="1">
        <f t="array" ref="K2923">"Case "&amp;wRandomLetter()&amp;wRandomLetter()&amp;I2923&amp;":    UniConst = ChrW(" &amp; I2923 &amp;")"</f>
        <v>Case gR129337:    UniConst = ChrW(129337)</v>
      </c>
    </row>
    <row r="2924" spans="1:11" hidden="1">
      <c r="A2924" t="s">
        <v>2493</v>
      </c>
      <c r="B2924" t="str">
        <f t="shared" si="272"/>
        <v>1F939 1F3FE ; fully-qualified # 🤹🏾 E3.0 person juggling: medium-dark skin tone</v>
      </c>
      <c r="C2924" t="str">
        <f t="shared" si="273"/>
        <v xml:space="preserve">1F939 1F3FE </v>
      </c>
      <c r="D2924">
        <f t="shared" si="274"/>
        <v>12</v>
      </c>
      <c r="E2924" t="str">
        <f t="shared" si="270"/>
        <v xml:space="preserve"> 🤹🏾 E3.0 person juggling: medium-dark skin tone</v>
      </c>
      <c r="F2924" t="b">
        <f t="shared" si="275"/>
        <v>1</v>
      </c>
      <c r="G2924" t="str">
        <f t="shared" si="271"/>
        <v>1F939</v>
      </c>
      <c r="I2924">
        <f>HEX2DEC(Table1[[#This Row],[utf8]])</f>
        <v>129337</v>
      </c>
      <c r="J2924" t="str">
        <f>_xlfn.UNICHAR(HEX2DEC(Table1[[#This Row],[utf8]]))</f>
        <v>🤹</v>
      </c>
      <c r="K2924" s="3" t="str" cm="1">
        <f t="array" ref="K2924">"Case "&amp;wRandomLetter()&amp;wRandomLetter()&amp;I2924&amp;":    UniConst = ChrW(" &amp; I2924 &amp;")"</f>
        <v>Case MJ129337:    UniConst = ChrW(129337)</v>
      </c>
    </row>
    <row r="2925" spans="1:11" hidden="1">
      <c r="A2925" t="s">
        <v>2516</v>
      </c>
      <c r="B2925" t="str">
        <f t="shared" si="272"/>
        <v>1F939 1F3FE 200D 2640 ; minimally-qualified # 🤹🏾‍♀ E4.0 woman juggling: medium-dark skin tone</v>
      </c>
      <c r="C2925" t="str">
        <f t="shared" si="273"/>
        <v xml:space="preserve">1F939 1F3FE 200D 2640 </v>
      </c>
      <c r="D2925">
        <f t="shared" si="274"/>
        <v>22</v>
      </c>
      <c r="E2925" t="str">
        <f t="shared" si="270"/>
        <v xml:space="preserve"> 🤹🏾‍♀ E4.0 woman juggling: medium-dark skin tone</v>
      </c>
      <c r="F2925" t="b">
        <f t="shared" si="275"/>
        <v>1</v>
      </c>
      <c r="G2925" t="str">
        <f t="shared" si="271"/>
        <v>1F939</v>
      </c>
      <c r="I2925">
        <f>HEX2DEC(Table1[[#This Row],[utf8]])</f>
        <v>129337</v>
      </c>
      <c r="J2925" t="str">
        <f>_xlfn.UNICHAR(HEX2DEC(Table1[[#This Row],[utf8]]))</f>
        <v>🤹</v>
      </c>
      <c r="K2925" s="3" t="str" cm="1">
        <f t="array" ref="K2925">"Case "&amp;wRandomLetter()&amp;wRandomLetter()&amp;I2925&amp;":    UniConst = ChrW(" &amp; I2925 &amp;")"</f>
        <v>Case xu129337:    UniConst = ChrW(129337)</v>
      </c>
    </row>
    <row r="2926" spans="1:11" hidden="1">
      <c r="A2926" t="s">
        <v>2515</v>
      </c>
      <c r="B2926" t="str">
        <f t="shared" si="272"/>
        <v>1F939 1F3FE 200D 2640 FE0F ; fully-qualified # 🤹🏾‍♀️ E4.0 woman juggling: medium-dark skin tone</v>
      </c>
      <c r="C2926" t="str">
        <f t="shared" si="273"/>
        <v xml:space="preserve">1F939 1F3FE 200D 2640 FE0F </v>
      </c>
      <c r="D2926">
        <f t="shared" si="274"/>
        <v>27</v>
      </c>
      <c r="E2926" t="str">
        <f t="shared" si="270"/>
        <v xml:space="preserve"> 🤹🏾‍♀️ E4.0 woman juggling: medium-dark skin tone</v>
      </c>
      <c r="F2926" t="b">
        <f t="shared" si="275"/>
        <v>1</v>
      </c>
      <c r="G2926" t="str">
        <f t="shared" si="271"/>
        <v>1F939</v>
      </c>
      <c r="I2926">
        <f>HEX2DEC(Table1[[#This Row],[utf8]])</f>
        <v>129337</v>
      </c>
      <c r="J2926" t="str">
        <f>_xlfn.UNICHAR(HEX2DEC(Table1[[#This Row],[utf8]]))</f>
        <v>🤹</v>
      </c>
      <c r="K2926" s="3" t="str" cm="1">
        <f t="array" ref="K2926">"Case "&amp;wRandomLetter()&amp;wRandomLetter()&amp;I2926&amp;":    UniConst = ChrW(" &amp; I2926 &amp;")"</f>
        <v>Case yF129337:    UniConst = ChrW(129337)</v>
      </c>
    </row>
    <row r="2927" spans="1:11" hidden="1">
      <c r="A2927" t="s">
        <v>2504</v>
      </c>
      <c r="B2927" t="str">
        <f t="shared" si="272"/>
        <v>1F939 1F3FE 200D 2642 ; minimally-qualified # 🤹🏾‍♂ E4.0 man juggling: medium-dark skin tone</v>
      </c>
      <c r="C2927" t="str">
        <f t="shared" si="273"/>
        <v xml:space="preserve">1F939 1F3FE 200D 2642 </v>
      </c>
      <c r="D2927">
        <f t="shared" si="274"/>
        <v>22</v>
      </c>
      <c r="E2927" t="str">
        <f t="shared" si="270"/>
        <v xml:space="preserve"> 🤹🏾‍♂ E4.0 man juggling: medium-dark skin tone</v>
      </c>
      <c r="F2927" t="b">
        <f t="shared" si="275"/>
        <v>1</v>
      </c>
      <c r="G2927" t="str">
        <f t="shared" si="271"/>
        <v>1F939</v>
      </c>
      <c r="I2927">
        <f>HEX2DEC(Table1[[#This Row],[utf8]])</f>
        <v>129337</v>
      </c>
      <c r="J2927" t="str">
        <f>_xlfn.UNICHAR(HEX2DEC(Table1[[#This Row],[utf8]]))</f>
        <v>🤹</v>
      </c>
      <c r="K2927" s="3" t="str" cm="1">
        <f t="array" ref="K2927">"Case "&amp;wRandomLetter()&amp;wRandomLetter()&amp;I2927&amp;":    UniConst = ChrW(" &amp; I2927 &amp;")"</f>
        <v>Case oI129337:    UniConst = ChrW(129337)</v>
      </c>
    </row>
    <row r="2928" spans="1:11" hidden="1">
      <c r="A2928" t="s">
        <v>2503</v>
      </c>
      <c r="B2928" t="str">
        <f t="shared" si="272"/>
        <v>1F939 1F3FE 200D 2642 FE0F ; fully-qualified # 🤹🏾‍♂️ E4.0 man juggling: medium-dark skin tone</v>
      </c>
      <c r="C2928" t="str">
        <f t="shared" si="273"/>
        <v xml:space="preserve">1F939 1F3FE 200D 2642 FE0F </v>
      </c>
      <c r="D2928">
        <f t="shared" si="274"/>
        <v>27</v>
      </c>
      <c r="E2928" t="str">
        <f t="shared" si="270"/>
        <v xml:space="preserve"> 🤹🏾‍♂️ E4.0 man juggling: medium-dark skin tone</v>
      </c>
      <c r="F2928" t="b">
        <f t="shared" si="275"/>
        <v>1</v>
      </c>
      <c r="G2928" t="str">
        <f t="shared" si="271"/>
        <v>1F939</v>
      </c>
      <c r="I2928">
        <f>HEX2DEC(Table1[[#This Row],[utf8]])</f>
        <v>129337</v>
      </c>
      <c r="J2928" t="str">
        <f>_xlfn.UNICHAR(HEX2DEC(Table1[[#This Row],[utf8]]))</f>
        <v>🤹</v>
      </c>
      <c r="K2928" s="3" t="str" cm="1">
        <f t="array" ref="K2928">"Case "&amp;wRandomLetter()&amp;wRandomLetter()&amp;I2928&amp;":    UniConst = ChrW(" &amp; I2928 &amp;")"</f>
        <v>Case yL129337:    UniConst = ChrW(129337)</v>
      </c>
    </row>
    <row r="2929" spans="1:11" hidden="1">
      <c r="A2929" t="s">
        <v>2494</v>
      </c>
      <c r="B2929" t="str">
        <f t="shared" si="272"/>
        <v>1F939 1F3FF ; fully-qualified # 🤹🏿 E3.0 person juggling: dark skin tone</v>
      </c>
      <c r="C2929" t="str">
        <f t="shared" si="273"/>
        <v xml:space="preserve">1F939 1F3FF </v>
      </c>
      <c r="D2929">
        <f t="shared" si="274"/>
        <v>12</v>
      </c>
      <c r="E2929" t="str">
        <f t="shared" si="270"/>
        <v xml:space="preserve"> 🤹🏿 E3.0 person juggling: dark skin tone</v>
      </c>
      <c r="F2929" t="b">
        <f t="shared" si="275"/>
        <v>1</v>
      </c>
      <c r="G2929" t="str">
        <f t="shared" si="271"/>
        <v>1F939</v>
      </c>
      <c r="I2929">
        <f>HEX2DEC(Table1[[#This Row],[utf8]])</f>
        <v>129337</v>
      </c>
      <c r="J2929" t="str">
        <f>_xlfn.UNICHAR(HEX2DEC(Table1[[#This Row],[utf8]]))</f>
        <v>🤹</v>
      </c>
      <c r="K2929" s="3" t="str" cm="1">
        <f t="array" ref="K2929">"Case "&amp;wRandomLetter()&amp;wRandomLetter()&amp;I2929&amp;":    UniConst = ChrW(" &amp; I2929 &amp;")"</f>
        <v>Case Nu129337:    UniConst = ChrW(129337)</v>
      </c>
    </row>
    <row r="2930" spans="1:11" hidden="1">
      <c r="A2930" t="s">
        <v>2518</v>
      </c>
      <c r="B2930" t="str">
        <f t="shared" si="272"/>
        <v>1F939 1F3FF 200D 2640 ; minimally-qualified # 🤹🏿‍♀ E4.0 woman juggling: dark skin tone</v>
      </c>
      <c r="C2930" t="str">
        <f t="shared" si="273"/>
        <v xml:space="preserve">1F939 1F3FF 200D 2640 </v>
      </c>
      <c r="D2930">
        <f t="shared" si="274"/>
        <v>22</v>
      </c>
      <c r="E2930" t="str">
        <f t="shared" si="270"/>
        <v xml:space="preserve"> 🤹🏿‍♀ E4.0 woman juggling: dark skin tone</v>
      </c>
      <c r="F2930" t="b">
        <f t="shared" si="275"/>
        <v>1</v>
      </c>
      <c r="G2930" t="str">
        <f t="shared" si="271"/>
        <v>1F939</v>
      </c>
      <c r="I2930">
        <f>HEX2DEC(Table1[[#This Row],[utf8]])</f>
        <v>129337</v>
      </c>
      <c r="J2930" t="str">
        <f>_xlfn.UNICHAR(HEX2DEC(Table1[[#This Row],[utf8]]))</f>
        <v>🤹</v>
      </c>
      <c r="K2930" s="3" t="str" cm="1">
        <f t="array" ref="K2930">"Case "&amp;wRandomLetter()&amp;wRandomLetter()&amp;I2930&amp;":    UniConst = ChrW(" &amp; I2930 &amp;")"</f>
        <v>Case my129337:    UniConst = ChrW(129337)</v>
      </c>
    </row>
    <row r="2931" spans="1:11" hidden="1">
      <c r="A2931" t="s">
        <v>2517</v>
      </c>
      <c r="B2931" t="str">
        <f t="shared" si="272"/>
        <v>1F939 1F3FF 200D 2640 FE0F ; fully-qualified # 🤹🏿‍♀️ E4.0 woman juggling: dark skin tone</v>
      </c>
      <c r="C2931" t="str">
        <f t="shared" si="273"/>
        <v xml:space="preserve">1F939 1F3FF 200D 2640 FE0F </v>
      </c>
      <c r="D2931">
        <f t="shared" si="274"/>
        <v>27</v>
      </c>
      <c r="E2931" t="str">
        <f t="shared" si="270"/>
        <v xml:space="preserve"> 🤹🏿‍♀️ E4.0 woman juggling: dark skin tone</v>
      </c>
      <c r="F2931" t="b">
        <f t="shared" si="275"/>
        <v>1</v>
      </c>
      <c r="G2931" t="str">
        <f t="shared" si="271"/>
        <v>1F939</v>
      </c>
      <c r="I2931">
        <f>HEX2DEC(Table1[[#This Row],[utf8]])</f>
        <v>129337</v>
      </c>
      <c r="J2931" t="str">
        <f>_xlfn.UNICHAR(HEX2DEC(Table1[[#This Row],[utf8]]))</f>
        <v>🤹</v>
      </c>
      <c r="K2931" s="3" t="str" cm="1">
        <f t="array" ref="K2931">"Case "&amp;wRandomLetter()&amp;wRandomLetter()&amp;I2931&amp;":    UniConst = ChrW(" &amp; I2931 &amp;")"</f>
        <v>Case tT129337:    UniConst = ChrW(129337)</v>
      </c>
    </row>
    <row r="2932" spans="1:11" hidden="1">
      <c r="A2932" t="s">
        <v>2506</v>
      </c>
      <c r="B2932" t="str">
        <f t="shared" si="272"/>
        <v>1F939 1F3FF 200D 2642 ; minimally-qualified # 🤹🏿‍♂ E4.0 man juggling: dark skin tone</v>
      </c>
      <c r="C2932" t="str">
        <f t="shared" si="273"/>
        <v xml:space="preserve">1F939 1F3FF 200D 2642 </v>
      </c>
      <c r="D2932">
        <f t="shared" si="274"/>
        <v>22</v>
      </c>
      <c r="E2932" t="str">
        <f t="shared" si="270"/>
        <v xml:space="preserve"> 🤹🏿‍♂ E4.0 man juggling: dark skin tone</v>
      </c>
      <c r="F2932" t="b">
        <f t="shared" si="275"/>
        <v>1</v>
      </c>
      <c r="G2932" t="str">
        <f t="shared" si="271"/>
        <v>1F939</v>
      </c>
      <c r="I2932">
        <f>HEX2DEC(Table1[[#This Row],[utf8]])</f>
        <v>129337</v>
      </c>
      <c r="J2932" t="str">
        <f>_xlfn.UNICHAR(HEX2DEC(Table1[[#This Row],[utf8]]))</f>
        <v>🤹</v>
      </c>
      <c r="K2932" s="3" t="str" cm="1">
        <f t="array" ref="K2932">"Case "&amp;wRandomLetter()&amp;wRandomLetter()&amp;I2932&amp;":    UniConst = ChrW(" &amp; I2932 &amp;")"</f>
        <v>Case WH129337:    UniConst = ChrW(129337)</v>
      </c>
    </row>
    <row r="2933" spans="1:11" hidden="1">
      <c r="A2933" t="s">
        <v>2505</v>
      </c>
      <c r="B2933" t="str">
        <f t="shared" si="272"/>
        <v>1F939 1F3FF 200D 2642 FE0F ; fully-qualified # 🤹🏿‍♂️ E4.0 man juggling: dark skin tone</v>
      </c>
      <c r="C2933" t="str">
        <f t="shared" si="273"/>
        <v xml:space="preserve">1F939 1F3FF 200D 2642 FE0F </v>
      </c>
      <c r="D2933">
        <f t="shared" si="274"/>
        <v>27</v>
      </c>
      <c r="E2933" t="str">
        <f t="shared" si="270"/>
        <v xml:space="preserve"> 🤹🏿‍♂️ E4.0 man juggling: dark skin tone</v>
      </c>
      <c r="F2933" t="b">
        <f t="shared" si="275"/>
        <v>1</v>
      </c>
      <c r="G2933" t="str">
        <f t="shared" si="271"/>
        <v>1F939</v>
      </c>
      <c r="I2933">
        <f>HEX2DEC(Table1[[#This Row],[utf8]])</f>
        <v>129337</v>
      </c>
      <c r="J2933" t="str">
        <f>_xlfn.UNICHAR(HEX2DEC(Table1[[#This Row],[utf8]]))</f>
        <v>🤹</v>
      </c>
      <c r="K2933" s="3" t="str" cm="1">
        <f t="array" ref="K2933">"Case "&amp;wRandomLetter()&amp;wRandomLetter()&amp;I2933&amp;":    UniConst = ChrW(" &amp; I2933 &amp;")"</f>
        <v>Case Lz129337:    UniConst = ChrW(129337)</v>
      </c>
    </row>
    <row r="2934" spans="1:11" hidden="1">
      <c r="A2934" t="s">
        <v>2508</v>
      </c>
      <c r="B2934" t="str">
        <f t="shared" si="272"/>
        <v>1F939 200D 2640 ; minimally-qualified # 🤹‍♀ E4.0 woman juggling</v>
      </c>
      <c r="C2934" t="str">
        <f t="shared" si="273"/>
        <v xml:space="preserve">1F939 200D 2640 </v>
      </c>
      <c r="D2934">
        <f t="shared" si="274"/>
        <v>16</v>
      </c>
      <c r="E2934" t="str">
        <f t="shared" si="270"/>
        <v xml:space="preserve"> 🤹‍♀ E4.0 woman juggling</v>
      </c>
      <c r="F2934" t="b">
        <f t="shared" si="275"/>
        <v>1</v>
      </c>
      <c r="G2934" t="str">
        <f t="shared" si="271"/>
        <v>1F939</v>
      </c>
      <c r="I2934">
        <f>HEX2DEC(Table1[[#This Row],[utf8]])</f>
        <v>129337</v>
      </c>
      <c r="J2934" t="str">
        <f>_xlfn.UNICHAR(HEX2DEC(Table1[[#This Row],[utf8]]))</f>
        <v>🤹</v>
      </c>
      <c r="K2934" s="3" t="str" cm="1">
        <f t="array" ref="K2934">"Case "&amp;wRandomLetter()&amp;wRandomLetter()&amp;I2934&amp;":    UniConst = ChrW(" &amp; I2934 &amp;")"</f>
        <v>Case uE129337:    UniConst = ChrW(129337)</v>
      </c>
    </row>
    <row r="2935" spans="1:11" hidden="1">
      <c r="A2935" t="s">
        <v>2507</v>
      </c>
      <c r="B2935" t="str">
        <f t="shared" si="272"/>
        <v>1F939 200D 2640 FE0F ; fully-qualified # 🤹‍♀️ E4.0 woman juggling</v>
      </c>
      <c r="C2935" t="str">
        <f t="shared" si="273"/>
        <v xml:space="preserve">1F939 200D 2640 FE0F </v>
      </c>
      <c r="D2935">
        <f t="shared" si="274"/>
        <v>21</v>
      </c>
      <c r="E2935" t="str">
        <f t="shared" si="270"/>
        <v xml:space="preserve"> 🤹‍♀️ E4.0 woman juggling</v>
      </c>
      <c r="F2935" t="b">
        <f t="shared" si="275"/>
        <v>1</v>
      </c>
      <c r="G2935" t="str">
        <f t="shared" si="271"/>
        <v>1F939</v>
      </c>
      <c r="I2935">
        <f>HEX2DEC(Table1[[#This Row],[utf8]])</f>
        <v>129337</v>
      </c>
      <c r="J2935" t="str">
        <f>_xlfn.UNICHAR(HEX2DEC(Table1[[#This Row],[utf8]]))</f>
        <v>🤹</v>
      </c>
      <c r="K2935" s="3" t="str" cm="1">
        <f t="array" ref="K2935">"Case "&amp;wRandomLetter()&amp;wRandomLetter()&amp;I2935&amp;":    UniConst = ChrW(" &amp; I2935 &amp;")"</f>
        <v>Case Gh129337:    UniConst = ChrW(129337)</v>
      </c>
    </row>
    <row r="2936" spans="1:11" hidden="1">
      <c r="A2936" t="s">
        <v>2496</v>
      </c>
      <c r="B2936" t="str">
        <f t="shared" si="272"/>
        <v>1F939 200D 2642 ; minimally-qualified # 🤹‍♂ E4.0 man juggling</v>
      </c>
      <c r="C2936" t="str">
        <f t="shared" si="273"/>
        <v xml:space="preserve">1F939 200D 2642 </v>
      </c>
      <c r="D2936">
        <f t="shared" si="274"/>
        <v>16</v>
      </c>
      <c r="E2936" t="str">
        <f t="shared" si="270"/>
        <v xml:space="preserve"> 🤹‍♂ E4.0 man juggling</v>
      </c>
      <c r="F2936" t="b">
        <f t="shared" si="275"/>
        <v>1</v>
      </c>
      <c r="G2936" t="str">
        <f t="shared" si="271"/>
        <v>1F939</v>
      </c>
      <c r="I2936">
        <f>HEX2DEC(Table1[[#This Row],[utf8]])</f>
        <v>129337</v>
      </c>
      <c r="J2936" t="str">
        <f>_xlfn.UNICHAR(HEX2DEC(Table1[[#This Row],[utf8]]))</f>
        <v>🤹</v>
      </c>
      <c r="K2936" s="3" t="str" cm="1">
        <f t="array" ref="K2936">"Case "&amp;wRandomLetter()&amp;wRandomLetter()&amp;I2936&amp;":    UniConst = ChrW(" &amp; I2936 &amp;")"</f>
        <v>Case oX129337:    UniConst = ChrW(129337)</v>
      </c>
    </row>
    <row r="2937" spans="1:11" hidden="1">
      <c r="A2937" t="s">
        <v>2495</v>
      </c>
      <c r="B2937" t="str">
        <f t="shared" si="272"/>
        <v>1F939 200D 2642 FE0F ; fully-qualified # 🤹‍♂️ E4.0 man juggling</v>
      </c>
      <c r="C2937" t="str">
        <f t="shared" si="273"/>
        <v xml:space="preserve">1F939 200D 2642 FE0F </v>
      </c>
      <c r="D2937">
        <f t="shared" si="274"/>
        <v>21</v>
      </c>
      <c r="E2937" t="str">
        <f t="shared" si="270"/>
        <v xml:space="preserve"> 🤹‍♂️ E4.0 man juggling</v>
      </c>
      <c r="F2937" t="b">
        <f t="shared" si="275"/>
        <v>1</v>
      </c>
      <c r="G2937" t="str">
        <f t="shared" si="271"/>
        <v>1F939</v>
      </c>
      <c r="I2937">
        <f>HEX2DEC(Table1[[#This Row],[utf8]])</f>
        <v>129337</v>
      </c>
      <c r="J2937" t="str">
        <f>_xlfn.UNICHAR(HEX2DEC(Table1[[#This Row],[utf8]]))</f>
        <v>🤹</v>
      </c>
      <c r="K2937" s="3" t="str" cm="1">
        <f t="array" ref="K2937">"Case "&amp;wRandomLetter()&amp;wRandomLetter()&amp;I2937&amp;":    UniConst = ChrW(" &amp; I2937 &amp;")"</f>
        <v>Case Ss129337:    UniConst = ChrW(129337)</v>
      </c>
    </row>
    <row r="2938" spans="1:11" hidden="1">
      <c r="A2938" t="s">
        <v>2124</v>
      </c>
      <c r="B2938" t="str">
        <f t="shared" si="272"/>
        <v>1F93A ; fully-qualified # 🤺 E3.0 person fencing</v>
      </c>
      <c r="C2938" t="str">
        <f t="shared" si="273"/>
        <v xml:space="preserve">1F93A </v>
      </c>
      <c r="D2938">
        <f t="shared" si="274"/>
        <v>6</v>
      </c>
      <c r="E2938" t="str">
        <f t="shared" si="270"/>
        <v xml:space="preserve"> 🤺 E3.0 person fencing</v>
      </c>
      <c r="F2938" t="b">
        <f t="shared" si="275"/>
        <v>1</v>
      </c>
      <c r="G2938" t="str">
        <f t="shared" si="271"/>
        <v>1F93A</v>
      </c>
      <c r="I2938">
        <f>HEX2DEC(Table1[[#This Row],[utf8]])</f>
        <v>129338</v>
      </c>
      <c r="J2938" t="str">
        <f>_xlfn.UNICHAR(HEX2DEC(Table1[[#This Row],[utf8]]))</f>
        <v>🤺</v>
      </c>
      <c r="K2938" s="3" t="str" cm="1">
        <f t="array" ref="K2938">"Case "&amp;wRandomLetter()&amp;wRandomLetter()&amp;I2938&amp;":    UniConst = ChrW(" &amp; I2938 &amp;")"</f>
        <v>Case fv129338:    UniConst = ChrW(129338)</v>
      </c>
    </row>
    <row r="2939" spans="1:11" hidden="1">
      <c r="A2939" t="s">
        <v>2424</v>
      </c>
      <c r="B2939" t="str">
        <f t="shared" si="272"/>
        <v>1F93C ; fully-qualified # 🤼 E3.0 people wrestling</v>
      </c>
      <c r="C2939" t="str">
        <f t="shared" si="273"/>
        <v xml:space="preserve">1F93C </v>
      </c>
      <c r="D2939">
        <f t="shared" si="274"/>
        <v>6</v>
      </c>
      <c r="E2939" t="str">
        <f t="shared" si="270"/>
        <v xml:space="preserve"> 🤼 E3.0 people wrestling</v>
      </c>
      <c r="F2939" t="b">
        <f t="shared" si="275"/>
        <v>1</v>
      </c>
      <c r="G2939" t="str">
        <f t="shared" si="271"/>
        <v>1F93C</v>
      </c>
      <c r="I2939">
        <f>HEX2DEC(Table1[[#This Row],[utf8]])</f>
        <v>129340</v>
      </c>
      <c r="J2939" t="str">
        <f>_xlfn.UNICHAR(HEX2DEC(Table1[[#This Row],[utf8]]))</f>
        <v>🤼</v>
      </c>
      <c r="K2939" s="3" t="str" cm="1">
        <f t="array" ref="K2939">"Case "&amp;wRandomLetter()&amp;wRandomLetter()&amp;I2939&amp;":    UniConst = ChrW(" &amp; I2939 &amp;")"</f>
        <v>Case pT129340:    UniConst = ChrW(129340)</v>
      </c>
    </row>
    <row r="2940" spans="1:11" hidden="1">
      <c r="A2940" t="s">
        <v>2428</v>
      </c>
      <c r="B2940" t="str">
        <f t="shared" si="272"/>
        <v>1F93C 200D 2640 ; minimally-qualified # 🤼‍♀ E4.0 women wrestling</v>
      </c>
      <c r="C2940" t="str">
        <f t="shared" si="273"/>
        <v xml:space="preserve">1F93C 200D 2640 </v>
      </c>
      <c r="D2940">
        <f t="shared" si="274"/>
        <v>16</v>
      </c>
      <c r="E2940" t="str">
        <f t="shared" si="270"/>
        <v xml:space="preserve"> 🤼‍♀ E4.0 women wrestling</v>
      </c>
      <c r="F2940" t="b">
        <f t="shared" si="275"/>
        <v>1</v>
      </c>
      <c r="G2940" t="str">
        <f t="shared" si="271"/>
        <v>1F93C</v>
      </c>
      <c r="I2940">
        <f>HEX2DEC(Table1[[#This Row],[utf8]])</f>
        <v>129340</v>
      </c>
      <c r="J2940" t="str">
        <f>_xlfn.UNICHAR(HEX2DEC(Table1[[#This Row],[utf8]]))</f>
        <v>🤼</v>
      </c>
      <c r="K2940" s="3" t="str" cm="1">
        <f t="array" ref="K2940">"Case "&amp;wRandomLetter()&amp;wRandomLetter()&amp;I2940&amp;":    UniConst = ChrW(" &amp; I2940 &amp;")"</f>
        <v>Case yv129340:    UniConst = ChrW(129340)</v>
      </c>
    </row>
    <row r="2941" spans="1:11" hidden="1">
      <c r="A2941" t="s">
        <v>2427</v>
      </c>
      <c r="B2941" t="str">
        <f t="shared" si="272"/>
        <v>1F93C 200D 2640 FE0F ; fully-qualified # 🤼‍♀️ E4.0 women wrestling</v>
      </c>
      <c r="C2941" t="str">
        <f t="shared" si="273"/>
        <v xml:space="preserve">1F93C 200D 2640 FE0F </v>
      </c>
      <c r="D2941">
        <f t="shared" si="274"/>
        <v>21</v>
      </c>
      <c r="E2941" t="str">
        <f t="shared" si="270"/>
        <v xml:space="preserve"> 🤼‍♀️ E4.0 women wrestling</v>
      </c>
      <c r="F2941" t="b">
        <f t="shared" si="275"/>
        <v>1</v>
      </c>
      <c r="G2941" t="str">
        <f t="shared" si="271"/>
        <v>1F93C</v>
      </c>
      <c r="I2941">
        <f>HEX2DEC(Table1[[#This Row],[utf8]])</f>
        <v>129340</v>
      </c>
      <c r="J2941" t="str">
        <f>_xlfn.UNICHAR(HEX2DEC(Table1[[#This Row],[utf8]]))</f>
        <v>🤼</v>
      </c>
      <c r="K2941" s="3" t="str" cm="1">
        <f t="array" ref="K2941">"Case "&amp;wRandomLetter()&amp;wRandomLetter()&amp;I2941&amp;":    UniConst = ChrW(" &amp; I2941 &amp;")"</f>
        <v>Case gt129340:    UniConst = ChrW(129340)</v>
      </c>
    </row>
    <row r="2942" spans="1:11" hidden="1">
      <c r="A2942" t="s">
        <v>2426</v>
      </c>
      <c r="B2942" t="str">
        <f t="shared" si="272"/>
        <v>1F93C 200D 2642 ; minimally-qualified # 🤼‍♂ E4.0 men wrestling</v>
      </c>
      <c r="C2942" t="str">
        <f t="shared" si="273"/>
        <v xml:space="preserve">1F93C 200D 2642 </v>
      </c>
      <c r="D2942">
        <f t="shared" si="274"/>
        <v>16</v>
      </c>
      <c r="E2942" t="str">
        <f t="shared" si="270"/>
        <v xml:space="preserve"> 🤼‍♂ E4.0 men wrestling</v>
      </c>
      <c r="F2942" t="b">
        <f t="shared" si="275"/>
        <v>1</v>
      </c>
      <c r="G2942" t="str">
        <f t="shared" si="271"/>
        <v>1F93C</v>
      </c>
      <c r="I2942">
        <f>HEX2DEC(Table1[[#This Row],[utf8]])</f>
        <v>129340</v>
      </c>
      <c r="J2942" t="str">
        <f>_xlfn.UNICHAR(HEX2DEC(Table1[[#This Row],[utf8]]))</f>
        <v>🤼</v>
      </c>
      <c r="K2942" s="3" t="str" cm="1">
        <f t="array" ref="K2942">"Case "&amp;wRandomLetter()&amp;wRandomLetter()&amp;I2942&amp;":    UniConst = ChrW(" &amp; I2942 &amp;")"</f>
        <v>Case cm129340:    UniConst = ChrW(129340)</v>
      </c>
    </row>
    <row r="2943" spans="1:11" hidden="1">
      <c r="A2943" t="s">
        <v>2425</v>
      </c>
      <c r="B2943" t="str">
        <f t="shared" si="272"/>
        <v>1F93C 200D 2642 FE0F ; fully-qualified # 🤼‍♂️ E4.0 men wrestling</v>
      </c>
      <c r="C2943" t="str">
        <f t="shared" si="273"/>
        <v xml:space="preserve">1F93C 200D 2642 FE0F </v>
      </c>
      <c r="D2943">
        <f t="shared" si="274"/>
        <v>21</v>
      </c>
      <c r="E2943" t="str">
        <f t="shared" si="270"/>
        <v xml:space="preserve"> 🤼‍♂️ E4.0 men wrestling</v>
      </c>
      <c r="F2943" t="b">
        <f t="shared" si="275"/>
        <v>1</v>
      </c>
      <c r="G2943" t="str">
        <f t="shared" si="271"/>
        <v>1F93C</v>
      </c>
      <c r="I2943">
        <f>HEX2DEC(Table1[[#This Row],[utf8]])</f>
        <v>129340</v>
      </c>
      <c r="J2943" t="str">
        <f>_xlfn.UNICHAR(HEX2DEC(Table1[[#This Row],[utf8]]))</f>
        <v>🤼</v>
      </c>
      <c r="K2943" s="3" t="str" cm="1">
        <f t="array" ref="K2943">"Case "&amp;wRandomLetter()&amp;wRandomLetter()&amp;I2943&amp;":    UniConst = ChrW(" &amp; I2943 &amp;")"</f>
        <v>Case Bw129340:    UniConst = ChrW(129340)</v>
      </c>
    </row>
    <row r="2944" spans="1:11" hidden="1">
      <c r="A2944" t="s">
        <v>2429</v>
      </c>
      <c r="B2944" t="str">
        <f t="shared" si="272"/>
        <v>1F93D ; fully-qualified # 🤽 E3.0 person playing water polo</v>
      </c>
      <c r="C2944" t="str">
        <f t="shared" si="273"/>
        <v xml:space="preserve">1F93D </v>
      </c>
      <c r="D2944">
        <f t="shared" si="274"/>
        <v>6</v>
      </c>
      <c r="E2944" t="str">
        <f t="shared" si="270"/>
        <v xml:space="preserve"> 🤽 E3.0 person playing water polo</v>
      </c>
      <c r="F2944" t="b">
        <f t="shared" si="275"/>
        <v>1</v>
      </c>
      <c r="G2944" t="str">
        <f t="shared" si="271"/>
        <v>1F93D</v>
      </c>
      <c r="I2944">
        <f>HEX2DEC(Table1[[#This Row],[utf8]])</f>
        <v>129341</v>
      </c>
      <c r="J2944" t="str">
        <f>_xlfn.UNICHAR(HEX2DEC(Table1[[#This Row],[utf8]]))</f>
        <v>🤽</v>
      </c>
      <c r="K2944" s="3" t="str" cm="1">
        <f t="array" ref="K2944">"Case "&amp;wRandomLetter()&amp;wRandomLetter()&amp;I2944&amp;":    UniConst = ChrW(" &amp; I2944 &amp;")"</f>
        <v>Case md129341:    UniConst = ChrW(129341)</v>
      </c>
    </row>
    <row r="2945" spans="1:11" hidden="1">
      <c r="A2945" t="s">
        <v>2430</v>
      </c>
      <c r="B2945" t="str">
        <f t="shared" si="272"/>
        <v>1F93D 1F3FB ; fully-qualified # 🤽🏻 E3.0 person playing water polo: light skin tone</v>
      </c>
      <c r="C2945" t="str">
        <f t="shared" si="273"/>
        <v xml:space="preserve">1F93D 1F3FB </v>
      </c>
      <c r="D2945">
        <f t="shared" si="274"/>
        <v>12</v>
      </c>
      <c r="E2945" t="str">
        <f t="shared" si="270"/>
        <v xml:space="preserve"> 🤽🏻 E3.0 person playing water polo: light skin tone</v>
      </c>
      <c r="F2945" t="b">
        <f t="shared" si="275"/>
        <v>1</v>
      </c>
      <c r="G2945" t="str">
        <f t="shared" si="271"/>
        <v>1F93D</v>
      </c>
      <c r="I2945">
        <f>HEX2DEC(Table1[[#This Row],[utf8]])</f>
        <v>129341</v>
      </c>
      <c r="J2945" t="str">
        <f>_xlfn.UNICHAR(HEX2DEC(Table1[[#This Row],[utf8]]))</f>
        <v>🤽</v>
      </c>
      <c r="K2945" s="3" t="str" cm="1">
        <f t="array" ref="K2945">"Case "&amp;wRandomLetter()&amp;wRandomLetter()&amp;I2945&amp;":    UniConst = ChrW(" &amp; I2945 &amp;")"</f>
        <v>Case Yl129341:    UniConst = ChrW(129341)</v>
      </c>
    </row>
    <row r="2946" spans="1:11" hidden="1">
      <c r="A2946" t="s">
        <v>2450</v>
      </c>
      <c r="B2946" t="str">
        <f t="shared" si="272"/>
        <v>1F93D 1F3FB 200D 2640 ; minimally-qualified # 🤽🏻‍♀ E4.0 woman playing water polo: light skin tone</v>
      </c>
      <c r="C2946" t="str">
        <f t="shared" si="273"/>
        <v xml:space="preserve">1F93D 1F3FB 200D 2640 </v>
      </c>
      <c r="D2946">
        <f t="shared" si="274"/>
        <v>22</v>
      </c>
      <c r="E2946" t="str">
        <f t="shared" ref="E2946:E3009" si="276">MID(A2946,FIND("#",A2946)+1,256)</f>
        <v xml:space="preserve"> 🤽🏻‍♀ E4.0 woman playing water polo: light skin tone</v>
      </c>
      <c r="F2946" t="b">
        <f t="shared" si="275"/>
        <v>1</v>
      </c>
      <c r="G2946" t="str">
        <f t="shared" ref="G2946:G3009" si="277">LEFT(C2946,(FIND(" ",C2946,1)-1))</f>
        <v>1F93D</v>
      </c>
      <c r="I2946">
        <f>HEX2DEC(Table1[[#This Row],[utf8]])</f>
        <v>129341</v>
      </c>
      <c r="J2946" t="str">
        <f>_xlfn.UNICHAR(HEX2DEC(Table1[[#This Row],[utf8]]))</f>
        <v>🤽</v>
      </c>
      <c r="K2946" s="3" t="str" cm="1">
        <f t="array" ref="K2946">"Case "&amp;wRandomLetter()&amp;wRandomLetter()&amp;I2946&amp;":    UniConst = ChrW(" &amp; I2946 &amp;")"</f>
        <v>Case PS129341:    UniConst = ChrW(129341)</v>
      </c>
    </row>
    <row r="2947" spans="1:11" hidden="1">
      <c r="A2947" t="s">
        <v>2449</v>
      </c>
      <c r="B2947" t="str">
        <f t="shared" ref="B2947:B3010" si="278">TRIM(A2947)</f>
        <v>1F93D 1F3FB 200D 2640 FE0F ; fully-qualified # 🤽🏻‍♀️ E4.0 woman playing water polo: light skin tone</v>
      </c>
      <c r="C2947" t="str">
        <f t="shared" ref="C2947:C3010" si="279">LEFT(B2947,(FIND(";",B2947,1)-1))</f>
        <v xml:space="preserve">1F93D 1F3FB 200D 2640 FE0F </v>
      </c>
      <c r="D2947">
        <f t="shared" ref="D2947:D3010" si="280">LEN(C2947)</f>
        <v>27</v>
      </c>
      <c r="E2947" t="str">
        <f t="shared" si="276"/>
        <v xml:space="preserve"> 🤽🏻‍♀️ E4.0 woman playing water polo: light skin tone</v>
      </c>
      <c r="F2947" t="b">
        <f t="shared" ref="F2947:F3010" si="281">IF(LEFT(C2947,2)="1F",TRUE,FALSE)</f>
        <v>1</v>
      </c>
      <c r="G2947" t="str">
        <f t="shared" si="277"/>
        <v>1F93D</v>
      </c>
      <c r="I2947">
        <f>HEX2DEC(Table1[[#This Row],[utf8]])</f>
        <v>129341</v>
      </c>
      <c r="J2947" t="str">
        <f>_xlfn.UNICHAR(HEX2DEC(Table1[[#This Row],[utf8]]))</f>
        <v>🤽</v>
      </c>
      <c r="K2947" s="3" t="str" cm="1">
        <f t="array" ref="K2947">"Case "&amp;wRandomLetter()&amp;wRandomLetter()&amp;I2947&amp;":    UniConst = ChrW(" &amp; I2947 &amp;")"</f>
        <v>Case vm129341:    UniConst = ChrW(129341)</v>
      </c>
    </row>
    <row r="2948" spans="1:11" hidden="1">
      <c r="A2948" t="s">
        <v>2438</v>
      </c>
      <c r="B2948" t="str">
        <f t="shared" si="278"/>
        <v>1F93D 1F3FB 200D 2642 ; minimally-qualified # 🤽🏻‍♂ E4.0 man playing water polo: light skin tone</v>
      </c>
      <c r="C2948" t="str">
        <f t="shared" si="279"/>
        <v xml:space="preserve">1F93D 1F3FB 200D 2642 </v>
      </c>
      <c r="D2948">
        <f t="shared" si="280"/>
        <v>22</v>
      </c>
      <c r="E2948" t="str">
        <f t="shared" si="276"/>
        <v xml:space="preserve"> 🤽🏻‍♂ E4.0 man playing water polo: light skin tone</v>
      </c>
      <c r="F2948" t="b">
        <f t="shared" si="281"/>
        <v>1</v>
      </c>
      <c r="G2948" t="str">
        <f t="shared" si="277"/>
        <v>1F93D</v>
      </c>
      <c r="I2948">
        <f>HEX2DEC(Table1[[#This Row],[utf8]])</f>
        <v>129341</v>
      </c>
      <c r="J2948" t="str">
        <f>_xlfn.UNICHAR(HEX2DEC(Table1[[#This Row],[utf8]]))</f>
        <v>🤽</v>
      </c>
      <c r="K2948" s="3" t="str" cm="1">
        <f t="array" ref="K2948">"Case "&amp;wRandomLetter()&amp;wRandomLetter()&amp;I2948&amp;":    UniConst = ChrW(" &amp; I2948 &amp;")"</f>
        <v>Case JF129341:    UniConst = ChrW(129341)</v>
      </c>
    </row>
    <row r="2949" spans="1:11" hidden="1">
      <c r="A2949" t="s">
        <v>2437</v>
      </c>
      <c r="B2949" t="str">
        <f t="shared" si="278"/>
        <v>1F93D 1F3FB 200D 2642 FE0F ; fully-qualified # 🤽🏻‍♂️ E4.0 man playing water polo: light skin tone</v>
      </c>
      <c r="C2949" t="str">
        <f t="shared" si="279"/>
        <v xml:space="preserve">1F93D 1F3FB 200D 2642 FE0F </v>
      </c>
      <c r="D2949">
        <f t="shared" si="280"/>
        <v>27</v>
      </c>
      <c r="E2949" t="str">
        <f t="shared" si="276"/>
        <v xml:space="preserve"> 🤽🏻‍♂️ E4.0 man playing water polo: light skin tone</v>
      </c>
      <c r="F2949" t="b">
        <f t="shared" si="281"/>
        <v>1</v>
      </c>
      <c r="G2949" t="str">
        <f t="shared" si="277"/>
        <v>1F93D</v>
      </c>
      <c r="I2949">
        <f>HEX2DEC(Table1[[#This Row],[utf8]])</f>
        <v>129341</v>
      </c>
      <c r="J2949" t="str">
        <f>_xlfn.UNICHAR(HEX2DEC(Table1[[#This Row],[utf8]]))</f>
        <v>🤽</v>
      </c>
      <c r="K2949" s="3" t="str" cm="1">
        <f t="array" ref="K2949">"Case "&amp;wRandomLetter()&amp;wRandomLetter()&amp;I2949&amp;":    UniConst = ChrW(" &amp; I2949 &amp;")"</f>
        <v>Case xP129341:    UniConst = ChrW(129341)</v>
      </c>
    </row>
    <row r="2950" spans="1:11" hidden="1">
      <c r="A2950" t="s">
        <v>2431</v>
      </c>
      <c r="B2950" t="str">
        <f t="shared" si="278"/>
        <v>1F93D 1F3FC ; fully-qualified # 🤽🏼 E3.0 person playing water polo: medium-light skin tone</v>
      </c>
      <c r="C2950" t="str">
        <f t="shared" si="279"/>
        <v xml:space="preserve">1F93D 1F3FC </v>
      </c>
      <c r="D2950">
        <f t="shared" si="280"/>
        <v>12</v>
      </c>
      <c r="E2950" t="str">
        <f t="shared" si="276"/>
        <v xml:space="preserve"> 🤽🏼 E3.0 person playing water polo: medium-light skin tone</v>
      </c>
      <c r="F2950" t="b">
        <f t="shared" si="281"/>
        <v>1</v>
      </c>
      <c r="G2950" t="str">
        <f t="shared" si="277"/>
        <v>1F93D</v>
      </c>
      <c r="I2950">
        <f>HEX2DEC(Table1[[#This Row],[utf8]])</f>
        <v>129341</v>
      </c>
      <c r="J2950" t="str">
        <f>_xlfn.UNICHAR(HEX2DEC(Table1[[#This Row],[utf8]]))</f>
        <v>🤽</v>
      </c>
      <c r="K2950" s="3" t="str" cm="1">
        <f t="array" ref="K2950">"Case "&amp;wRandomLetter()&amp;wRandomLetter()&amp;I2950&amp;":    UniConst = ChrW(" &amp; I2950 &amp;")"</f>
        <v>Case EQ129341:    UniConst = ChrW(129341)</v>
      </c>
    </row>
    <row r="2951" spans="1:11" hidden="1">
      <c r="A2951" t="s">
        <v>2452</v>
      </c>
      <c r="B2951" t="str">
        <f t="shared" si="278"/>
        <v>1F93D 1F3FC 200D 2640 ; minimally-qualified # 🤽🏼‍♀ E4.0 woman playing water polo: medium-light skin tone</v>
      </c>
      <c r="C2951" t="str">
        <f t="shared" si="279"/>
        <v xml:space="preserve">1F93D 1F3FC 200D 2640 </v>
      </c>
      <c r="D2951">
        <f t="shared" si="280"/>
        <v>22</v>
      </c>
      <c r="E2951" t="str">
        <f t="shared" si="276"/>
        <v xml:space="preserve"> 🤽🏼‍♀ E4.0 woman playing water polo: medium-light skin tone</v>
      </c>
      <c r="F2951" t="b">
        <f t="shared" si="281"/>
        <v>1</v>
      </c>
      <c r="G2951" t="str">
        <f t="shared" si="277"/>
        <v>1F93D</v>
      </c>
      <c r="I2951">
        <f>HEX2DEC(Table1[[#This Row],[utf8]])</f>
        <v>129341</v>
      </c>
      <c r="J2951" t="str">
        <f>_xlfn.UNICHAR(HEX2DEC(Table1[[#This Row],[utf8]]))</f>
        <v>🤽</v>
      </c>
      <c r="K2951" s="3" t="str" cm="1">
        <f t="array" ref="K2951">"Case "&amp;wRandomLetter()&amp;wRandomLetter()&amp;I2951&amp;":    UniConst = ChrW(" &amp; I2951 &amp;")"</f>
        <v>Case Nc129341:    UniConst = ChrW(129341)</v>
      </c>
    </row>
    <row r="2952" spans="1:11" hidden="1">
      <c r="A2952" t="s">
        <v>2451</v>
      </c>
      <c r="B2952" t="str">
        <f t="shared" si="278"/>
        <v>1F93D 1F3FC 200D 2640 FE0F ; fully-qualified # 🤽🏼‍♀️ E4.0 woman playing water polo: medium-light skin tone</v>
      </c>
      <c r="C2952" t="str">
        <f t="shared" si="279"/>
        <v xml:space="preserve">1F93D 1F3FC 200D 2640 FE0F </v>
      </c>
      <c r="D2952">
        <f t="shared" si="280"/>
        <v>27</v>
      </c>
      <c r="E2952" t="str">
        <f t="shared" si="276"/>
        <v xml:space="preserve"> 🤽🏼‍♀️ E4.0 woman playing water polo: medium-light skin tone</v>
      </c>
      <c r="F2952" t="b">
        <f t="shared" si="281"/>
        <v>1</v>
      </c>
      <c r="G2952" t="str">
        <f t="shared" si="277"/>
        <v>1F93D</v>
      </c>
      <c r="I2952">
        <f>HEX2DEC(Table1[[#This Row],[utf8]])</f>
        <v>129341</v>
      </c>
      <c r="J2952" t="str">
        <f>_xlfn.UNICHAR(HEX2DEC(Table1[[#This Row],[utf8]]))</f>
        <v>🤽</v>
      </c>
      <c r="K2952" s="3" t="str" cm="1">
        <f t="array" ref="K2952">"Case "&amp;wRandomLetter()&amp;wRandomLetter()&amp;I2952&amp;":    UniConst = ChrW(" &amp; I2952 &amp;")"</f>
        <v>Case XH129341:    UniConst = ChrW(129341)</v>
      </c>
    </row>
    <row r="2953" spans="1:11" hidden="1">
      <c r="A2953" t="s">
        <v>2440</v>
      </c>
      <c r="B2953" t="str">
        <f t="shared" si="278"/>
        <v>1F93D 1F3FC 200D 2642 ; minimally-qualified # 🤽🏼‍♂ E4.0 man playing water polo: medium-light skin tone</v>
      </c>
      <c r="C2953" t="str">
        <f t="shared" si="279"/>
        <v xml:space="preserve">1F93D 1F3FC 200D 2642 </v>
      </c>
      <c r="D2953">
        <f t="shared" si="280"/>
        <v>22</v>
      </c>
      <c r="E2953" t="str">
        <f t="shared" si="276"/>
        <v xml:space="preserve"> 🤽🏼‍♂ E4.0 man playing water polo: medium-light skin tone</v>
      </c>
      <c r="F2953" t="b">
        <f t="shared" si="281"/>
        <v>1</v>
      </c>
      <c r="G2953" t="str">
        <f t="shared" si="277"/>
        <v>1F93D</v>
      </c>
      <c r="I2953">
        <f>HEX2DEC(Table1[[#This Row],[utf8]])</f>
        <v>129341</v>
      </c>
      <c r="J2953" t="str">
        <f>_xlfn.UNICHAR(HEX2DEC(Table1[[#This Row],[utf8]]))</f>
        <v>🤽</v>
      </c>
      <c r="K2953" s="3" t="str" cm="1">
        <f t="array" ref="K2953">"Case "&amp;wRandomLetter()&amp;wRandomLetter()&amp;I2953&amp;":    UniConst = ChrW(" &amp; I2953 &amp;")"</f>
        <v>Case CK129341:    UniConst = ChrW(129341)</v>
      </c>
    </row>
    <row r="2954" spans="1:11" hidden="1">
      <c r="A2954" t="s">
        <v>2439</v>
      </c>
      <c r="B2954" t="str">
        <f t="shared" si="278"/>
        <v>1F93D 1F3FC 200D 2642 FE0F ; fully-qualified # 🤽🏼‍♂️ E4.0 man playing water polo: medium-light skin tone</v>
      </c>
      <c r="C2954" t="str">
        <f t="shared" si="279"/>
        <v xml:space="preserve">1F93D 1F3FC 200D 2642 FE0F </v>
      </c>
      <c r="D2954">
        <f t="shared" si="280"/>
        <v>27</v>
      </c>
      <c r="E2954" t="str">
        <f t="shared" si="276"/>
        <v xml:space="preserve"> 🤽🏼‍♂️ E4.0 man playing water polo: medium-light skin tone</v>
      </c>
      <c r="F2954" t="b">
        <f t="shared" si="281"/>
        <v>1</v>
      </c>
      <c r="G2954" t="str">
        <f t="shared" si="277"/>
        <v>1F93D</v>
      </c>
      <c r="I2954">
        <f>HEX2DEC(Table1[[#This Row],[utf8]])</f>
        <v>129341</v>
      </c>
      <c r="J2954" t="str">
        <f>_xlfn.UNICHAR(HEX2DEC(Table1[[#This Row],[utf8]]))</f>
        <v>🤽</v>
      </c>
      <c r="K2954" s="3" t="str" cm="1">
        <f t="array" ref="K2954">"Case "&amp;wRandomLetter()&amp;wRandomLetter()&amp;I2954&amp;":    UniConst = ChrW(" &amp; I2954 &amp;")"</f>
        <v>Case VA129341:    UniConst = ChrW(129341)</v>
      </c>
    </row>
    <row r="2955" spans="1:11" hidden="1">
      <c r="A2955" t="s">
        <v>2432</v>
      </c>
      <c r="B2955" t="str">
        <f t="shared" si="278"/>
        <v>1F93D 1F3FD ; fully-qualified # 🤽🏽 E3.0 person playing water polo: medium skin tone</v>
      </c>
      <c r="C2955" t="str">
        <f t="shared" si="279"/>
        <v xml:space="preserve">1F93D 1F3FD </v>
      </c>
      <c r="D2955">
        <f t="shared" si="280"/>
        <v>12</v>
      </c>
      <c r="E2955" t="str">
        <f t="shared" si="276"/>
        <v xml:space="preserve"> 🤽🏽 E3.0 person playing water polo: medium skin tone</v>
      </c>
      <c r="F2955" t="b">
        <f t="shared" si="281"/>
        <v>1</v>
      </c>
      <c r="G2955" t="str">
        <f t="shared" si="277"/>
        <v>1F93D</v>
      </c>
      <c r="I2955">
        <f>HEX2DEC(Table1[[#This Row],[utf8]])</f>
        <v>129341</v>
      </c>
      <c r="J2955" t="str">
        <f>_xlfn.UNICHAR(HEX2DEC(Table1[[#This Row],[utf8]]))</f>
        <v>🤽</v>
      </c>
      <c r="K2955" s="3" t="str" cm="1">
        <f t="array" ref="K2955">"Case "&amp;wRandomLetter()&amp;wRandomLetter()&amp;I2955&amp;":    UniConst = ChrW(" &amp; I2955 &amp;")"</f>
        <v>Case tK129341:    UniConst = ChrW(129341)</v>
      </c>
    </row>
    <row r="2956" spans="1:11" hidden="1">
      <c r="A2956" t="s">
        <v>2454</v>
      </c>
      <c r="B2956" t="str">
        <f t="shared" si="278"/>
        <v>1F93D 1F3FD 200D 2640 ; minimally-qualified # 🤽🏽‍♀ E4.0 woman playing water polo: medium skin tone</v>
      </c>
      <c r="C2956" t="str">
        <f t="shared" si="279"/>
        <v xml:space="preserve">1F93D 1F3FD 200D 2640 </v>
      </c>
      <c r="D2956">
        <f t="shared" si="280"/>
        <v>22</v>
      </c>
      <c r="E2956" t="str">
        <f t="shared" si="276"/>
        <v xml:space="preserve"> 🤽🏽‍♀ E4.0 woman playing water polo: medium skin tone</v>
      </c>
      <c r="F2956" t="b">
        <f t="shared" si="281"/>
        <v>1</v>
      </c>
      <c r="G2956" t="str">
        <f t="shared" si="277"/>
        <v>1F93D</v>
      </c>
      <c r="I2956">
        <f>HEX2DEC(Table1[[#This Row],[utf8]])</f>
        <v>129341</v>
      </c>
      <c r="J2956" t="str">
        <f>_xlfn.UNICHAR(HEX2DEC(Table1[[#This Row],[utf8]]))</f>
        <v>🤽</v>
      </c>
      <c r="K2956" s="3" t="str" cm="1">
        <f t="array" ref="K2956">"Case "&amp;wRandomLetter()&amp;wRandomLetter()&amp;I2956&amp;":    UniConst = ChrW(" &amp; I2956 &amp;")"</f>
        <v>Case mp129341:    UniConst = ChrW(129341)</v>
      </c>
    </row>
    <row r="2957" spans="1:11" hidden="1">
      <c r="A2957" t="s">
        <v>2453</v>
      </c>
      <c r="B2957" t="str">
        <f t="shared" si="278"/>
        <v>1F93D 1F3FD 200D 2640 FE0F ; fully-qualified # 🤽🏽‍♀️ E4.0 woman playing water polo: medium skin tone</v>
      </c>
      <c r="C2957" t="str">
        <f t="shared" si="279"/>
        <v xml:space="preserve">1F93D 1F3FD 200D 2640 FE0F </v>
      </c>
      <c r="D2957">
        <f t="shared" si="280"/>
        <v>27</v>
      </c>
      <c r="E2957" t="str">
        <f t="shared" si="276"/>
        <v xml:space="preserve"> 🤽🏽‍♀️ E4.0 woman playing water polo: medium skin tone</v>
      </c>
      <c r="F2957" t="b">
        <f t="shared" si="281"/>
        <v>1</v>
      </c>
      <c r="G2957" t="str">
        <f t="shared" si="277"/>
        <v>1F93D</v>
      </c>
      <c r="I2957">
        <f>HEX2DEC(Table1[[#This Row],[utf8]])</f>
        <v>129341</v>
      </c>
      <c r="J2957" t="str">
        <f>_xlfn.UNICHAR(HEX2DEC(Table1[[#This Row],[utf8]]))</f>
        <v>🤽</v>
      </c>
      <c r="K2957" s="3" t="str" cm="1">
        <f t="array" ref="K2957">"Case "&amp;wRandomLetter()&amp;wRandomLetter()&amp;I2957&amp;":    UniConst = ChrW(" &amp; I2957 &amp;")"</f>
        <v>Case sJ129341:    UniConst = ChrW(129341)</v>
      </c>
    </row>
    <row r="2958" spans="1:11" hidden="1">
      <c r="A2958" t="s">
        <v>2442</v>
      </c>
      <c r="B2958" t="str">
        <f t="shared" si="278"/>
        <v>1F93D 1F3FD 200D 2642 ; minimally-qualified # 🤽🏽‍♂ E4.0 man playing water polo: medium skin tone</v>
      </c>
      <c r="C2958" t="str">
        <f t="shared" si="279"/>
        <v xml:space="preserve">1F93D 1F3FD 200D 2642 </v>
      </c>
      <c r="D2958">
        <f t="shared" si="280"/>
        <v>22</v>
      </c>
      <c r="E2958" t="str">
        <f t="shared" si="276"/>
        <v xml:space="preserve"> 🤽🏽‍♂ E4.0 man playing water polo: medium skin tone</v>
      </c>
      <c r="F2958" t="b">
        <f t="shared" si="281"/>
        <v>1</v>
      </c>
      <c r="G2958" t="str">
        <f t="shared" si="277"/>
        <v>1F93D</v>
      </c>
      <c r="I2958">
        <f>HEX2DEC(Table1[[#This Row],[utf8]])</f>
        <v>129341</v>
      </c>
      <c r="J2958" t="str">
        <f>_xlfn.UNICHAR(HEX2DEC(Table1[[#This Row],[utf8]]))</f>
        <v>🤽</v>
      </c>
      <c r="K2958" s="3" t="str" cm="1">
        <f t="array" ref="K2958">"Case "&amp;wRandomLetter()&amp;wRandomLetter()&amp;I2958&amp;":    UniConst = ChrW(" &amp; I2958 &amp;")"</f>
        <v>Case yV129341:    UniConst = ChrW(129341)</v>
      </c>
    </row>
    <row r="2959" spans="1:11" hidden="1">
      <c r="A2959" t="s">
        <v>2441</v>
      </c>
      <c r="B2959" t="str">
        <f t="shared" si="278"/>
        <v>1F93D 1F3FD 200D 2642 FE0F ; fully-qualified # 🤽🏽‍♂️ E4.0 man playing water polo: medium skin tone</v>
      </c>
      <c r="C2959" t="str">
        <f t="shared" si="279"/>
        <v xml:space="preserve">1F93D 1F3FD 200D 2642 FE0F </v>
      </c>
      <c r="D2959">
        <f t="shared" si="280"/>
        <v>27</v>
      </c>
      <c r="E2959" t="str">
        <f t="shared" si="276"/>
        <v xml:space="preserve"> 🤽🏽‍♂️ E4.0 man playing water polo: medium skin tone</v>
      </c>
      <c r="F2959" t="b">
        <f t="shared" si="281"/>
        <v>1</v>
      </c>
      <c r="G2959" t="str">
        <f t="shared" si="277"/>
        <v>1F93D</v>
      </c>
      <c r="I2959">
        <f>HEX2DEC(Table1[[#This Row],[utf8]])</f>
        <v>129341</v>
      </c>
      <c r="J2959" t="str">
        <f>_xlfn.UNICHAR(HEX2DEC(Table1[[#This Row],[utf8]]))</f>
        <v>🤽</v>
      </c>
      <c r="K2959" s="3" t="str" cm="1">
        <f t="array" ref="K2959">"Case "&amp;wRandomLetter()&amp;wRandomLetter()&amp;I2959&amp;":    UniConst = ChrW(" &amp; I2959 &amp;")"</f>
        <v>Case QN129341:    UniConst = ChrW(129341)</v>
      </c>
    </row>
    <row r="2960" spans="1:11" hidden="1">
      <c r="A2960" t="s">
        <v>2433</v>
      </c>
      <c r="B2960" t="str">
        <f t="shared" si="278"/>
        <v>1F93D 1F3FE ; fully-qualified # 🤽🏾 E3.0 person playing water polo: medium-dark skin tone</v>
      </c>
      <c r="C2960" t="str">
        <f t="shared" si="279"/>
        <v xml:space="preserve">1F93D 1F3FE </v>
      </c>
      <c r="D2960">
        <f t="shared" si="280"/>
        <v>12</v>
      </c>
      <c r="E2960" t="str">
        <f t="shared" si="276"/>
        <v xml:space="preserve"> 🤽🏾 E3.0 person playing water polo: medium-dark skin tone</v>
      </c>
      <c r="F2960" t="b">
        <f t="shared" si="281"/>
        <v>1</v>
      </c>
      <c r="G2960" t="str">
        <f t="shared" si="277"/>
        <v>1F93D</v>
      </c>
      <c r="I2960">
        <f>HEX2DEC(Table1[[#This Row],[utf8]])</f>
        <v>129341</v>
      </c>
      <c r="J2960" t="str">
        <f>_xlfn.UNICHAR(HEX2DEC(Table1[[#This Row],[utf8]]))</f>
        <v>🤽</v>
      </c>
      <c r="K2960" s="3" t="str" cm="1">
        <f t="array" ref="K2960">"Case "&amp;wRandomLetter()&amp;wRandomLetter()&amp;I2960&amp;":    UniConst = ChrW(" &amp; I2960 &amp;")"</f>
        <v>Case Rw129341:    UniConst = ChrW(129341)</v>
      </c>
    </row>
    <row r="2961" spans="1:11" hidden="1">
      <c r="A2961" t="s">
        <v>2456</v>
      </c>
      <c r="B2961" t="str">
        <f t="shared" si="278"/>
        <v>1F93D 1F3FE 200D 2640 ; minimally-qualified # 🤽🏾‍♀ E4.0 woman playing water polo: medium-dark skin tone</v>
      </c>
      <c r="C2961" t="str">
        <f t="shared" si="279"/>
        <v xml:space="preserve">1F93D 1F3FE 200D 2640 </v>
      </c>
      <c r="D2961">
        <f t="shared" si="280"/>
        <v>22</v>
      </c>
      <c r="E2961" t="str">
        <f t="shared" si="276"/>
        <v xml:space="preserve"> 🤽🏾‍♀ E4.0 woman playing water polo: medium-dark skin tone</v>
      </c>
      <c r="F2961" t="b">
        <f t="shared" si="281"/>
        <v>1</v>
      </c>
      <c r="G2961" t="str">
        <f t="shared" si="277"/>
        <v>1F93D</v>
      </c>
      <c r="I2961">
        <f>HEX2DEC(Table1[[#This Row],[utf8]])</f>
        <v>129341</v>
      </c>
      <c r="J2961" t="str">
        <f>_xlfn.UNICHAR(HEX2DEC(Table1[[#This Row],[utf8]]))</f>
        <v>🤽</v>
      </c>
      <c r="K2961" s="3" t="str" cm="1">
        <f t="array" ref="K2961">"Case "&amp;wRandomLetter()&amp;wRandomLetter()&amp;I2961&amp;":    UniConst = ChrW(" &amp; I2961 &amp;")"</f>
        <v>Case Xu129341:    UniConst = ChrW(129341)</v>
      </c>
    </row>
    <row r="2962" spans="1:11" hidden="1">
      <c r="A2962" t="s">
        <v>2455</v>
      </c>
      <c r="B2962" t="str">
        <f t="shared" si="278"/>
        <v>1F93D 1F3FE 200D 2640 FE0F ; fully-qualified # 🤽🏾‍♀️ E4.0 woman playing water polo: medium-dark skin tone</v>
      </c>
      <c r="C2962" t="str">
        <f t="shared" si="279"/>
        <v xml:space="preserve">1F93D 1F3FE 200D 2640 FE0F </v>
      </c>
      <c r="D2962">
        <f t="shared" si="280"/>
        <v>27</v>
      </c>
      <c r="E2962" t="str">
        <f t="shared" si="276"/>
        <v xml:space="preserve"> 🤽🏾‍♀️ E4.0 woman playing water polo: medium-dark skin tone</v>
      </c>
      <c r="F2962" t="b">
        <f t="shared" si="281"/>
        <v>1</v>
      </c>
      <c r="G2962" t="str">
        <f t="shared" si="277"/>
        <v>1F93D</v>
      </c>
      <c r="I2962">
        <f>HEX2DEC(Table1[[#This Row],[utf8]])</f>
        <v>129341</v>
      </c>
      <c r="J2962" t="str">
        <f>_xlfn.UNICHAR(HEX2DEC(Table1[[#This Row],[utf8]]))</f>
        <v>🤽</v>
      </c>
      <c r="K2962" s="3" t="str" cm="1">
        <f t="array" ref="K2962">"Case "&amp;wRandomLetter()&amp;wRandomLetter()&amp;I2962&amp;":    UniConst = ChrW(" &amp; I2962 &amp;")"</f>
        <v>Case Bi129341:    UniConst = ChrW(129341)</v>
      </c>
    </row>
    <row r="2963" spans="1:11" hidden="1">
      <c r="A2963" t="s">
        <v>2444</v>
      </c>
      <c r="B2963" t="str">
        <f t="shared" si="278"/>
        <v>1F93D 1F3FE 200D 2642 ; minimally-qualified # 🤽🏾‍♂ E4.0 man playing water polo: medium-dark skin tone</v>
      </c>
      <c r="C2963" t="str">
        <f t="shared" si="279"/>
        <v xml:space="preserve">1F93D 1F3FE 200D 2642 </v>
      </c>
      <c r="D2963">
        <f t="shared" si="280"/>
        <v>22</v>
      </c>
      <c r="E2963" t="str">
        <f t="shared" si="276"/>
        <v xml:space="preserve"> 🤽🏾‍♂ E4.0 man playing water polo: medium-dark skin tone</v>
      </c>
      <c r="F2963" t="b">
        <f t="shared" si="281"/>
        <v>1</v>
      </c>
      <c r="G2963" t="str">
        <f t="shared" si="277"/>
        <v>1F93D</v>
      </c>
      <c r="I2963">
        <f>HEX2DEC(Table1[[#This Row],[utf8]])</f>
        <v>129341</v>
      </c>
      <c r="J2963" t="str">
        <f>_xlfn.UNICHAR(HEX2DEC(Table1[[#This Row],[utf8]]))</f>
        <v>🤽</v>
      </c>
      <c r="K2963" s="3" t="str" cm="1">
        <f t="array" ref="K2963">"Case "&amp;wRandomLetter()&amp;wRandomLetter()&amp;I2963&amp;":    UniConst = ChrW(" &amp; I2963 &amp;")"</f>
        <v>Case aJ129341:    UniConst = ChrW(129341)</v>
      </c>
    </row>
    <row r="2964" spans="1:11" hidden="1">
      <c r="A2964" t="s">
        <v>2443</v>
      </c>
      <c r="B2964" t="str">
        <f t="shared" si="278"/>
        <v>1F93D 1F3FE 200D 2642 FE0F ; fully-qualified # 🤽🏾‍♂️ E4.0 man playing water polo: medium-dark skin tone</v>
      </c>
      <c r="C2964" t="str">
        <f t="shared" si="279"/>
        <v xml:space="preserve">1F93D 1F3FE 200D 2642 FE0F </v>
      </c>
      <c r="D2964">
        <f t="shared" si="280"/>
        <v>27</v>
      </c>
      <c r="E2964" t="str">
        <f t="shared" si="276"/>
        <v xml:space="preserve"> 🤽🏾‍♂️ E4.0 man playing water polo: medium-dark skin tone</v>
      </c>
      <c r="F2964" t="b">
        <f t="shared" si="281"/>
        <v>1</v>
      </c>
      <c r="G2964" t="str">
        <f t="shared" si="277"/>
        <v>1F93D</v>
      </c>
      <c r="I2964">
        <f>HEX2DEC(Table1[[#This Row],[utf8]])</f>
        <v>129341</v>
      </c>
      <c r="J2964" t="str">
        <f>_xlfn.UNICHAR(HEX2DEC(Table1[[#This Row],[utf8]]))</f>
        <v>🤽</v>
      </c>
      <c r="K2964" s="3" t="str" cm="1">
        <f t="array" ref="K2964">"Case "&amp;wRandomLetter()&amp;wRandomLetter()&amp;I2964&amp;":    UniConst = ChrW(" &amp; I2964 &amp;")"</f>
        <v>Case oI129341:    UniConst = ChrW(129341)</v>
      </c>
    </row>
    <row r="2965" spans="1:11" hidden="1">
      <c r="A2965" t="s">
        <v>2434</v>
      </c>
      <c r="B2965" t="str">
        <f t="shared" si="278"/>
        <v>1F93D 1F3FF ; fully-qualified # 🤽🏿 E3.0 person playing water polo: dark skin tone</v>
      </c>
      <c r="C2965" t="str">
        <f t="shared" si="279"/>
        <v xml:space="preserve">1F93D 1F3FF </v>
      </c>
      <c r="D2965">
        <f t="shared" si="280"/>
        <v>12</v>
      </c>
      <c r="E2965" t="str">
        <f t="shared" si="276"/>
        <v xml:space="preserve"> 🤽🏿 E3.0 person playing water polo: dark skin tone</v>
      </c>
      <c r="F2965" t="b">
        <f t="shared" si="281"/>
        <v>1</v>
      </c>
      <c r="G2965" t="str">
        <f t="shared" si="277"/>
        <v>1F93D</v>
      </c>
      <c r="I2965">
        <f>HEX2DEC(Table1[[#This Row],[utf8]])</f>
        <v>129341</v>
      </c>
      <c r="J2965" t="str">
        <f>_xlfn.UNICHAR(HEX2DEC(Table1[[#This Row],[utf8]]))</f>
        <v>🤽</v>
      </c>
      <c r="K2965" s="3" t="str" cm="1">
        <f t="array" ref="K2965">"Case "&amp;wRandomLetter()&amp;wRandomLetter()&amp;I2965&amp;":    UniConst = ChrW(" &amp; I2965 &amp;")"</f>
        <v>Case AU129341:    UniConst = ChrW(129341)</v>
      </c>
    </row>
    <row r="2966" spans="1:11" hidden="1">
      <c r="A2966" t="s">
        <v>2458</v>
      </c>
      <c r="B2966" t="str">
        <f t="shared" si="278"/>
        <v>1F93D 1F3FF 200D 2640 ; minimally-qualified # 🤽🏿‍♀ E4.0 woman playing water polo: dark skin tone</v>
      </c>
      <c r="C2966" t="str">
        <f t="shared" si="279"/>
        <v xml:space="preserve">1F93D 1F3FF 200D 2640 </v>
      </c>
      <c r="D2966">
        <f t="shared" si="280"/>
        <v>22</v>
      </c>
      <c r="E2966" t="str">
        <f t="shared" si="276"/>
        <v xml:space="preserve"> 🤽🏿‍♀ E4.0 woman playing water polo: dark skin tone</v>
      </c>
      <c r="F2966" t="b">
        <f t="shared" si="281"/>
        <v>1</v>
      </c>
      <c r="G2966" t="str">
        <f t="shared" si="277"/>
        <v>1F93D</v>
      </c>
      <c r="I2966">
        <f>HEX2DEC(Table1[[#This Row],[utf8]])</f>
        <v>129341</v>
      </c>
      <c r="J2966" t="str">
        <f>_xlfn.UNICHAR(HEX2DEC(Table1[[#This Row],[utf8]]))</f>
        <v>🤽</v>
      </c>
      <c r="K2966" s="3" t="str" cm="1">
        <f t="array" ref="K2966">"Case "&amp;wRandomLetter()&amp;wRandomLetter()&amp;I2966&amp;":    UniConst = ChrW(" &amp; I2966 &amp;")"</f>
        <v>Case kS129341:    UniConst = ChrW(129341)</v>
      </c>
    </row>
    <row r="2967" spans="1:11" hidden="1">
      <c r="A2967" t="s">
        <v>2457</v>
      </c>
      <c r="B2967" t="str">
        <f t="shared" si="278"/>
        <v>1F93D 1F3FF 200D 2640 FE0F ; fully-qualified # 🤽🏿‍♀️ E4.0 woman playing water polo: dark skin tone</v>
      </c>
      <c r="C2967" t="str">
        <f t="shared" si="279"/>
        <v xml:space="preserve">1F93D 1F3FF 200D 2640 FE0F </v>
      </c>
      <c r="D2967">
        <f t="shared" si="280"/>
        <v>27</v>
      </c>
      <c r="E2967" t="str">
        <f t="shared" si="276"/>
        <v xml:space="preserve"> 🤽🏿‍♀️ E4.0 woman playing water polo: dark skin tone</v>
      </c>
      <c r="F2967" t="b">
        <f t="shared" si="281"/>
        <v>1</v>
      </c>
      <c r="G2967" t="str">
        <f t="shared" si="277"/>
        <v>1F93D</v>
      </c>
      <c r="I2967">
        <f>HEX2DEC(Table1[[#This Row],[utf8]])</f>
        <v>129341</v>
      </c>
      <c r="J2967" t="str">
        <f>_xlfn.UNICHAR(HEX2DEC(Table1[[#This Row],[utf8]]))</f>
        <v>🤽</v>
      </c>
      <c r="K2967" s="3" t="str" cm="1">
        <f t="array" ref="K2967">"Case "&amp;wRandomLetter()&amp;wRandomLetter()&amp;I2967&amp;":    UniConst = ChrW(" &amp; I2967 &amp;")"</f>
        <v>Case Hy129341:    UniConst = ChrW(129341)</v>
      </c>
    </row>
    <row r="2968" spans="1:11" hidden="1">
      <c r="A2968" t="s">
        <v>2446</v>
      </c>
      <c r="B2968" t="str">
        <f t="shared" si="278"/>
        <v>1F93D 1F3FF 200D 2642 ; minimally-qualified # 🤽🏿‍♂ E4.0 man playing water polo: dark skin tone</v>
      </c>
      <c r="C2968" t="str">
        <f t="shared" si="279"/>
        <v xml:space="preserve">1F93D 1F3FF 200D 2642 </v>
      </c>
      <c r="D2968">
        <f t="shared" si="280"/>
        <v>22</v>
      </c>
      <c r="E2968" t="str">
        <f t="shared" si="276"/>
        <v xml:space="preserve"> 🤽🏿‍♂ E4.0 man playing water polo: dark skin tone</v>
      </c>
      <c r="F2968" t="b">
        <f t="shared" si="281"/>
        <v>1</v>
      </c>
      <c r="G2968" t="str">
        <f t="shared" si="277"/>
        <v>1F93D</v>
      </c>
      <c r="I2968">
        <f>HEX2DEC(Table1[[#This Row],[utf8]])</f>
        <v>129341</v>
      </c>
      <c r="J2968" t="str">
        <f>_xlfn.UNICHAR(HEX2DEC(Table1[[#This Row],[utf8]]))</f>
        <v>🤽</v>
      </c>
      <c r="K2968" s="3" t="str" cm="1">
        <f t="array" ref="K2968">"Case "&amp;wRandomLetter()&amp;wRandomLetter()&amp;I2968&amp;":    UniConst = ChrW(" &amp; I2968 &amp;")"</f>
        <v>Case UM129341:    UniConst = ChrW(129341)</v>
      </c>
    </row>
    <row r="2969" spans="1:11" hidden="1">
      <c r="A2969" t="s">
        <v>2445</v>
      </c>
      <c r="B2969" t="str">
        <f t="shared" si="278"/>
        <v>1F93D 1F3FF 200D 2642 FE0F ; fully-qualified # 🤽🏿‍♂️ E4.0 man playing water polo: dark skin tone</v>
      </c>
      <c r="C2969" t="str">
        <f t="shared" si="279"/>
        <v xml:space="preserve">1F93D 1F3FF 200D 2642 FE0F </v>
      </c>
      <c r="D2969">
        <f t="shared" si="280"/>
        <v>27</v>
      </c>
      <c r="E2969" t="str">
        <f t="shared" si="276"/>
        <v xml:space="preserve"> 🤽🏿‍♂️ E4.0 man playing water polo: dark skin tone</v>
      </c>
      <c r="F2969" t="b">
        <f t="shared" si="281"/>
        <v>1</v>
      </c>
      <c r="G2969" t="str">
        <f t="shared" si="277"/>
        <v>1F93D</v>
      </c>
      <c r="I2969">
        <f>HEX2DEC(Table1[[#This Row],[utf8]])</f>
        <v>129341</v>
      </c>
      <c r="J2969" t="str">
        <f>_xlfn.UNICHAR(HEX2DEC(Table1[[#This Row],[utf8]]))</f>
        <v>🤽</v>
      </c>
      <c r="K2969" s="3" t="str" cm="1">
        <f t="array" ref="K2969">"Case "&amp;wRandomLetter()&amp;wRandomLetter()&amp;I2969&amp;":    UniConst = ChrW(" &amp; I2969 &amp;")"</f>
        <v>Case Jm129341:    UniConst = ChrW(129341)</v>
      </c>
    </row>
    <row r="2970" spans="1:11" hidden="1">
      <c r="A2970" t="s">
        <v>2448</v>
      </c>
      <c r="B2970" t="str">
        <f t="shared" si="278"/>
        <v>1F93D 200D 2640 ; minimally-qualified # 🤽‍♀ E4.0 woman playing water polo</v>
      </c>
      <c r="C2970" t="str">
        <f t="shared" si="279"/>
        <v xml:space="preserve">1F93D 200D 2640 </v>
      </c>
      <c r="D2970">
        <f t="shared" si="280"/>
        <v>16</v>
      </c>
      <c r="E2970" t="str">
        <f t="shared" si="276"/>
        <v xml:space="preserve"> 🤽‍♀ E4.0 woman playing water polo</v>
      </c>
      <c r="F2970" t="b">
        <f t="shared" si="281"/>
        <v>1</v>
      </c>
      <c r="G2970" t="str">
        <f t="shared" si="277"/>
        <v>1F93D</v>
      </c>
      <c r="I2970">
        <f>HEX2DEC(Table1[[#This Row],[utf8]])</f>
        <v>129341</v>
      </c>
      <c r="J2970" t="str">
        <f>_xlfn.UNICHAR(HEX2DEC(Table1[[#This Row],[utf8]]))</f>
        <v>🤽</v>
      </c>
      <c r="K2970" s="3" t="str" cm="1">
        <f t="array" ref="K2970">"Case "&amp;wRandomLetter()&amp;wRandomLetter()&amp;I2970&amp;":    UniConst = ChrW(" &amp; I2970 &amp;")"</f>
        <v>Case kp129341:    UniConst = ChrW(129341)</v>
      </c>
    </row>
    <row r="2971" spans="1:11" hidden="1">
      <c r="A2971" t="s">
        <v>2447</v>
      </c>
      <c r="B2971" t="str">
        <f t="shared" si="278"/>
        <v>1F93D 200D 2640 FE0F ; fully-qualified # 🤽‍♀️ E4.0 woman playing water polo</v>
      </c>
      <c r="C2971" t="str">
        <f t="shared" si="279"/>
        <v xml:space="preserve">1F93D 200D 2640 FE0F </v>
      </c>
      <c r="D2971">
        <f t="shared" si="280"/>
        <v>21</v>
      </c>
      <c r="E2971" t="str">
        <f t="shared" si="276"/>
        <v xml:space="preserve"> 🤽‍♀️ E4.0 woman playing water polo</v>
      </c>
      <c r="F2971" t="b">
        <f t="shared" si="281"/>
        <v>1</v>
      </c>
      <c r="G2971" t="str">
        <f t="shared" si="277"/>
        <v>1F93D</v>
      </c>
      <c r="I2971">
        <f>HEX2DEC(Table1[[#This Row],[utf8]])</f>
        <v>129341</v>
      </c>
      <c r="J2971" t="str">
        <f>_xlfn.UNICHAR(HEX2DEC(Table1[[#This Row],[utf8]]))</f>
        <v>🤽</v>
      </c>
      <c r="K2971" s="3" t="str" cm="1">
        <f t="array" ref="K2971">"Case "&amp;wRandomLetter()&amp;wRandomLetter()&amp;I2971&amp;":    UniConst = ChrW(" &amp; I2971 &amp;")"</f>
        <v>Case aM129341:    UniConst = ChrW(129341)</v>
      </c>
    </row>
    <row r="2972" spans="1:11" hidden="1">
      <c r="A2972" t="s">
        <v>2436</v>
      </c>
      <c r="B2972" t="str">
        <f t="shared" si="278"/>
        <v>1F93D 200D 2642 ; minimally-qualified # 🤽‍♂ E4.0 man playing water polo</v>
      </c>
      <c r="C2972" t="str">
        <f t="shared" si="279"/>
        <v xml:space="preserve">1F93D 200D 2642 </v>
      </c>
      <c r="D2972">
        <f t="shared" si="280"/>
        <v>16</v>
      </c>
      <c r="E2972" t="str">
        <f t="shared" si="276"/>
        <v xml:space="preserve"> 🤽‍♂ E4.0 man playing water polo</v>
      </c>
      <c r="F2972" t="b">
        <f t="shared" si="281"/>
        <v>1</v>
      </c>
      <c r="G2972" t="str">
        <f t="shared" si="277"/>
        <v>1F93D</v>
      </c>
      <c r="I2972">
        <f>HEX2DEC(Table1[[#This Row],[utf8]])</f>
        <v>129341</v>
      </c>
      <c r="J2972" t="str">
        <f>_xlfn.UNICHAR(HEX2DEC(Table1[[#This Row],[utf8]]))</f>
        <v>🤽</v>
      </c>
      <c r="K2972" s="3" t="str" cm="1">
        <f t="array" ref="K2972">"Case "&amp;wRandomLetter()&amp;wRandomLetter()&amp;I2972&amp;":    UniConst = ChrW(" &amp; I2972 &amp;")"</f>
        <v>Case yw129341:    UniConst = ChrW(129341)</v>
      </c>
    </row>
    <row r="2973" spans="1:11" hidden="1">
      <c r="A2973" t="s">
        <v>2435</v>
      </c>
      <c r="B2973" t="str">
        <f t="shared" si="278"/>
        <v>1F93D 200D 2642 FE0F ; fully-qualified # 🤽‍♂️ E4.0 man playing water polo</v>
      </c>
      <c r="C2973" t="str">
        <f t="shared" si="279"/>
        <v xml:space="preserve">1F93D 200D 2642 FE0F </v>
      </c>
      <c r="D2973">
        <f t="shared" si="280"/>
        <v>21</v>
      </c>
      <c r="E2973" t="str">
        <f t="shared" si="276"/>
        <v xml:space="preserve"> 🤽‍♂️ E4.0 man playing water polo</v>
      </c>
      <c r="F2973" t="b">
        <f t="shared" si="281"/>
        <v>1</v>
      </c>
      <c r="G2973" t="str">
        <f t="shared" si="277"/>
        <v>1F93D</v>
      </c>
      <c r="I2973">
        <f>HEX2DEC(Table1[[#This Row],[utf8]])</f>
        <v>129341</v>
      </c>
      <c r="J2973" t="str">
        <f>_xlfn.UNICHAR(HEX2DEC(Table1[[#This Row],[utf8]]))</f>
        <v>🤽</v>
      </c>
      <c r="K2973" s="3" t="str" cm="1">
        <f t="array" ref="K2973">"Case "&amp;wRandomLetter()&amp;wRandomLetter()&amp;I2973&amp;":    UniConst = ChrW(" &amp; I2973 &amp;")"</f>
        <v>Case JF129341:    UniConst = ChrW(129341)</v>
      </c>
    </row>
    <row r="2974" spans="1:11" hidden="1">
      <c r="A2974" t="s">
        <v>2459</v>
      </c>
      <c r="B2974" t="str">
        <f t="shared" si="278"/>
        <v>1F93E ; fully-qualified # 🤾 E3.0 person playing handball</v>
      </c>
      <c r="C2974" t="str">
        <f t="shared" si="279"/>
        <v xml:space="preserve">1F93E </v>
      </c>
      <c r="D2974">
        <f t="shared" si="280"/>
        <v>6</v>
      </c>
      <c r="E2974" t="str">
        <f t="shared" si="276"/>
        <v xml:space="preserve"> 🤾 E3.0 person playing handball</v>
      </c>
      <c r="F2974" t="b">
        <f t="shared" si="281"/>
        <v>1</v>
      </c>
      <c r="G2974" t="str">
        <f t="shared" si="277"/>
        <v>1F93E</v>
      </c>
      <c r="I2974">
        <f>HEX2DEC(Table1[[#This Row],[utf8]])</f>
        <v>129342</v>
      </c>
      <c r="J2974" t="str">
        <f>_xlfn.UNICHAR(HEX2DEC(Table1[[#This Row],[utf8]]))</f>
        <v>🤾</v>
      </c>
      <c r="K2974" s="3" t="str" cm="1">
        <f t="array" ref="K2974">"Case "&amp;wRandomLetter()&amp;wRandomLetter()&amp;I2974&amp;":    UniConst = ChrW(" &amp; I2974 &amp;")"</f>
        <v>Case sw129342:    UniConst = ChrW(129342)</v>
      </c>
    </row>
    <row r="2975" spans="1:11" hidden="1">
      <c r="A2975" t="s">
        <v>2460</v>
      </c>
      <c r="B2975" t="str">
        <f t="shared" si="278"/>
        <v>1F93E 1F3FB ; fully-qualified # 🤾🏻 E3.0 person playing handball: light skin tone</v>
      </c>
      <c r="C2975" t="str">
        <f t="shared" si="279"/>
        <v xml:space="preserve">1F93E 1F3FB </v>
      </c>
      <c r="D2975">
        <f t="shared" si="280"/>
        <v>12</v>
      </c>
      <c r="E2975" t="str">
        <f t="shared" si="276"/>
        <v xml:space="preserve"> 🤾🏻 E3.0 person playing handball: light skin tone</v>
      </c>
      <c r="F2975" t="b">
        <f t="shared" si="281"/>
        <v>1</v>
      </c>
      <c r="G2975" t="str">
        <f t="shared" si="277"/>
        <v>1F93E</v>
      </c>
      <c r="I2975">
        <f>HEX2DEC(Table1[[#This Row],[utf8]])</f>
        <v>129342</v>
      </c>
      <c r="J2975" t="str">
        <f>_xlfn.UNICHAR(HEX2DEC(Table1[[#This Row],[utf8]]))</f>
        <v>🤾</v>
      </c>
      <c r="K2975" s="3" t="str" cm="1">
        <f t="array" ref="K2975">"Case "&amp;wRandomLetter()&amp;wRandomLetter()&amp;I2975&amp;":    UniConst = ChrW(" &amp; I2975 &amp;")"</f>
        <v>Case Gz129342:    UniConst = ChrW(129342)</v>
      </c>
    </row>
    <row r="2976" spans="1:11" hidden="1">
      <c r="A2976" t="s">
        <v>2480</v>
      </c>
      <c r="B2976" t="str">
        <f t="shared" si="278"/>
        <v>1F93E 1F3FB 200D 2640 ; minimally-qualified # 🤾🏻‍♀ E4.0 woman playing handball: light skin tone</v>
      </c>
      <c r="C2976" t="str">
        <f t="shared" si="279"/>
        <v xml:space="preserve">1F93E 1F3FB 200D 2640 </v>
      </c>
      <c r="D2976">
        <f t="shared" si="280"/>
        <v>22</v>
      </c>
      <c r="E2976" t="str">
        <f t="shared" si="276"/>
        <v xml:space="preserve"> 🤾🏻‍♀ E4.0 woman playing handball: light skin tone</v>
      </c>
      <c r="F2976" t="b">
        <f t="shared" si="281"/>
        <v>1</v>
      </c>
      <c r="G2976" t="str">
        <f t="shared" si="277"/>
        <v>1F93E</v>
      </c>
      <c r="I2976">
        <f>HEX2DEC(Table1[[#This Row],[utf8]])</f>
        <v>129342</v>
      </c>
      <c r="J2976" t="str">
        <f>_xlfn.UNICHAR(HEX2DEC(Table1[[#This Row],[utf8]]))</f>
        <v>🤾</v>
      </c>
      <c r="K2976" s="3" t="str" cm="1">
        <f t="array" ref="K2976">"Case "&amp;wRandomLetter()&amp;wRandomLetter()&amp;I2976&amp;":    UniConst = ChrW(" &amp; I2976 &amp;")"</f>
        <v>Case kz129342:    UniConst = ChrW(129342)</v>
      </c>
    </row>
    <row r="2977" spans="1:11" hidden="1">
      <c r="A2977" t="s">
        <v>2479</v>
      </c>
      <c r="B2977" t="str">
        <f t="shared" si="278"/>
        <v>1F93E 1F3FB 200D 2640 FE0F ; fully-qualified # 🤾🏻‍♀️ E4.0 woman playing handball: light skin tone</v>
      </c>
      <c r="C2977" t="str">
        <f t="shared" si="279"/>
        <v xml:space="preserve">1F93E 1F3FB 200D 2640 FE0F </v>
      </c>
      <c r="D2977">
        <f t="shared" si="280"/>
        <v>27</v>
      </c>
      <c r="E2977" t="str">
        <f t="shared" si="276"/>
        <v xml:space="preserve"> 🤾🏻‍♀️ E4.0 woman playing handball: light skin tone</v>
      </c>
      <c r="F2977" t="b">
        <f t="shared" si="281"/>
        <v>1</v>
      </c>
      <c r="G2977" t="str">
        <f t="shared" si="277"/>
        <v>1F93E</v>
      </c>
      <c r="I2977">
        <f>HEX2DEC(Table1[[#This Row],[utf8]])</f>
        <v>129342</v>
      </c>
      <c r="J2977" t="str">
        <f>_xlfn.UNICHAR(HEX2DEC(Table1[[#This Row],[utf8]]))</f>
        <v>🤾</v>
      </c>
      <c r="K2977" s="3" t="str" cm="1">
        <f t="array" ref="K2977">"Case "&amp;wRandomLetter()&amp;wRandomLetter()&amp;I2977&amp;":    UniConst = ChrW(" &amp; I2977 &amp;")"</f>
        <v>Case pD129342:    UniConst = ChrW(129342)</v>
      </c>
    </row>
    <row r="2978" spans="1:11" hidden="1">
      <c r="A2978" t="s">
        <v>2468</v>
      </c>
      <c r="B2978" t="str">
        <f t="shared" si="278"/>
        <v>1F93E 1F3FB 200D 2642 ; minimally-qualified # 🤾🏻‍♂ E4.0 man playing handball: light skin tone</v>
      </c>
      <c r="C2978" t="str">
        <f t="shared" si="279"/>
        <v xml:space="preserve">1F93E 1F3FB 200D 2642 </v>
      </c>
      <c r="D2978">
        <f t="shared" si="280"/>
        <v>22</v>
      </c>
      <c r="E2978" t="str">
        <f t="shared" si="276"/>
        <v xml:space="preserve"> 🤾🏻‍♂ E4.0 man playing handball: light skin tone</v>
      </c>
      <c r="F2978" t="b">
        <f t="shared" si="281"/>
        <v>1</v>
      </c>
      <c r="G2978" t="str">
        <f t="shared" si="277"/>
        <v>1F93E</v>
      </c>
      <c r="I2978">
        <f>HEX2DEC(Table1[[#This Row],[utf8]])</f>
        <v>129342</v>
      </c>
      <c r="J2978" t="str">
        <f>_xlfn.UNICHAR(HEX2DEC(Table1[[#This Row],[utf8]]))</f>
        <v>🤾</v>
      </c>
      <c r="K2978" s="3" t="str" cm="1">
        <f t="array" ref="K2978">"Case "&amp;wRandomLetter()&amp;wRandomLetter()&amp;I2978&amp;":    UniConst = ChrW(" &amp; I2978 &amp;")"</f>
        <v>Case kd129342:    UniConst = ChrW(129342)</v>
      </c>
    </row>
    <row r="2979" spans="1:11" hidden="1">
      <c r="A2979" t="s">
        <v>2467</v>
      </c>
      <c r="B2979" t="str">
        <f t="shared" si="278"/>
        <v>1F93E 1F3FB 200D 2642 FE0F ; fully-qualified # 🤾🏻‍♂️ E4.0 man playing handball: light skin tone</v>
      </c>
      <c r="C2979" t="str">
        <f t="shared" si="279"/>
        <v xml:space="preserve">1F93E 1F3FB 200D 2642 FE0F </v>
      </c>
      <c r="D2979">
        <f t="shared" si="280"/>
        <v>27</v>
      </c>
      <c r="E2979" t="str">
        <f t="shared" si="276"/>
        <v xml:space="preserve"> 🤾🏻‍♂️ E4.0 man playing handball: light skin tone</v>
      </c>
      <c r="F2979" t="b">
        <f t="shared" si="281"/>
        <v>1</v>
      </c>
      <c r="G2979" t="str">
        <f t="shared" si="277"/>
        <v>1F93E</v>
      </c>
      <c r="I2979">
        <f>HEX2DEC(Table1[[#This Row],[utf8]])</f>
        <v>129342</v>
      </c>
      <c r="J2979" t="str">
        <f>_xlfn.UNICHAR(HEX2DEC(Table1[[#This Row],[utf8]]))</f>
        <v>🤾</v>
      </c>
      <c r="K2979" s="3" t="str" cm="1">
        <f t="array" ref="K2979">"Case "&amp;wRandomLetter()&amp;wRandomLetter()&amp;I2979&amp;":    UniConst = ChrW(" &amp; I2979 &amp;")"</f>
        <v>Case vT129342:    UniConst = ChrW(129342)</v>
      </c>
    </row>
    <row r="2980" spans="1:11" hidden="1">
      <c r="A2980" t="s">
        <v>2461</v>
      </c>
      <c r="B2980" t="str">
        <f t="shared" si="278"/>
        <v>1F93E 1F3FC ; fully-qualified # 🤾🏼 E3.0 person playing handball: medium-light skin tone</v>
      </c>
      <c r="C2980" t="str">
        <f t="shared" si="279"/>
        <v xml:space="preserve">1F93E 1F3FC </v>
      </c>
      <c r="D2980">
        <f t="shared" si="280"/>
        <v>12</v>
      </c>
      <c r="E2980" t="str">
        <f t="shared" si="276"/>
        <v xml:space="preserve"> 🤾🏼 E3.0 person playing handball: medium-light skin tone</v>
      </c>
      <c r="F2980" t="b">
        <f t="shared" si="281"/>
        <v>1</v>
      </c>
      <c r="G2980" t="str">
        <f t="shared" si="277"/>
        <v>1F93E</v>
      </c>
      <c r="I2980">
        <f>HEX2DEC(Table1[[#This Row],[utf8]])</f>
        <v>129342</v>
      </c>
      <c r="J2980" t="str">
        <f>_xlfn.UNICHAR(HEX2DEC(Table1[[#This Row],[utf8]]))</f>
        <v>🤾</v>
      </c>
      <c r="K2980" s="3" t="str" cm="1">
        <f t="array" ref="K2980">"Case "&amp;wRandomLetter()&amp;wRandomLetter()&amp;I2980&amp;":    UniConst = ChrW(" &amp; I2980 &amp;")"</f>
        <v>Case zC129342:    UniConst = ChrW(129342)</v>
      </c>
    </row>
    <row r="2981" spans="1:11" hidden="1">
      <c r="A2981" t="s">
        <v>2482</v>
      </c>
      <c r="B2981" t="str">
        <f t="shared" si="278"/>
        <v>1F93E 1F3FC 200D 2640 ; minimally-qualified # 🤾🏼‍♀ E4.0 woman playing handball: medium-light skin tone</v>
      </c>
      <c r="C2981" t="str">
        <f t="shared" si="279"/>
        <v xml:space="preserve">1F93E 1F3FC 200D 2640 </v>
      </c>
      <c r="D2981">
        <f t="shared" si="280"/>
        <v>22</v>
      </c>
      <c r="E2981" t="str">
        <f t="shared" si="276"/>
        <v xml:space="preserve"> 🤾🏼‍♀ E4.0 woman playing handball: medium-light skin tone</v>
      </c>
      <c r="F2981" t="b">
        <f t="shared" si="281"/>
        <v>1</v>
      </c>
      <c r="G2981" t="str">
        <f t="shared" si="277"/>
        <v>1F93E</v>
      </c>
      <c r="I2981">
        <f>HEX2DEC(Table1[[#This Row],[utf8]])</f>
        <v>129342</v>
      </c>
      <c r="J2981" t="str">
        <f>_xlfn.UNICHAR(HEX2DEC(Table1[[#This Row],[utf8]]))</f>
        <v>🤾</v>
      </c>
      <c r="K2981" s="3" t="str" cm="1">
        <f t="array" ref="K2981">"Case "&amp;wRandomLetter()&amp;wRandomLetter()&amp;I2981&amp;":    UniConst = ChrW(" &amp; I2981 &amp;")"</f>
        <v>Case pT129342:    UniConst = ChrW(129342)</v>
      </c>
    </row>
    <row r="2982" spans="1:11" hidden="1">
      <c r="A2982" t="s">
        <v>2481</v>
      </c>
      <c r="B2982" t="str">
        <f t="shared" si="278"/>
        <v>1F93E 1F3FC 200D 2640 FE0F ; fully-qualified # 🤾🏼‍♀️ E4.0 woman playing handball: medium-light skin tone</v>
      </c>
      <c r="C2982" t="str">
        <f t="shared" si="279"/>
        <v xml:space="preserve">1F93E 1F3FC 200D 2640 FE0F </v>
      </c>
      <c r="D2982">
        <f t="shared" si="280"/>
        <v>27</v>
      </c>
      <c r="E2982" t="str">
        <f t="shared" si="276"/>
        <v xml:space="preserve"> 🤾🏼‍♀️ E4.0 woman playing handball: medium-light skin tone</v>
      </c>
      <c r="F2982" t="b">
        <f t="shared" si="281"/>
        <v>1</v>
      </c>
      <c r="G2982" t="str">
        <f t="shared" si="277"/>
        <v>1F93E</v>
      </c>
      <c r="I2982">
        <f>HEX2DEC(Table1[[#This Row],[utf8]])</f>
        <v>129342</v>
      </c>
      <c r="J2982" t="str">
        <f>_xlfn.UNICHAR(HEX2DEC(Table1[[#This Row],[utf8]]))</f>
        <v>🤾</v>
      </c>
      <c r="K2982" s="3" t="str" cm="1">
        <f t="array" ref="K2982">"Case "&amp;wRandomLetter()&amp;wRandomLetter()&amp;I2982&amp;":    UniConst = ChrW(" &amp; I2982 &amp;")"</f>
        <v>Case ej129342:    UniConst = ChrW(129342)</v>
      </c>
    </row>
    <row r="2983" spans="1:11" hidden="1">
      <c r="A2983" t="s">
        <v>2470</v>
      </c>
      <c r="B2983" t="str">
        <f t="shared" si="278"/>
        <v>1F93E 1F3FC 200D 2642 ; minimally-qualified # 🤾🏼‍♂ E4.0 man playing handball: medium-light skin tone</v>
      </c>
      <c r="C2983" t="str">
        <f t="shared" si="279"/>
        <v xml:space="preserve">1F93E 1F3FC 200D 2642 </v>
      </c>
      <c r="D2983">
        <f t="shared" si="280"/>
        <v>22</v>
      </c>
      <c r="E2983" t="str">
        <f t="shared" si="276"/>
        <v xml:space="preserve"> 🤾🏼‍♂ E4.0 man playing handball: medium-light skin tone</v>
      </c>
      <c r="F2983" t="b">
        <f t="shared" si="281"/>
        <v>1</v>
      </c>
      <c r="G2983" t="str">
        <f t="shared" si="277"/>
        <v>1F93E</v>
      </c>
      <c r="I2983">
        <f>HEX2DEC(Table1[[#This Row],[utf8]])</f>
        <v>129342</v>
      </c>
      <c r="J2983" t="str">
        <f>_xlfn.UNICHAR(HEX2DEC(Table1[[#This Row],[utf8]]))</f>
        <v>🤾</v>
      </c>
      <c r="K2983" s="3" t="str" cm="1">
        <f t="array" ref="K2983">"Case "&amp;wRandomLetter()&amp;wRandomLetter()&amp;I2983&amp;":    UniConst = ChrW(" &amp; I2983 &amp;")"</f>
        <v>Case uc129342:    UniConst = ChrW(129342)</v>
      </c>
    </row>
    <row r="2984" spans="1:11" hidden="1">
      <c r="A2984" t="s">
        <v>2469</v>
      </c>
      <c r="B2984" t="str">
        <f t="shared" si="278"/>
        <v>1F93E 1F3FC 200D 2642 FE0F ; fully-qualified # 🤾🏼‍♂️ E4.0 man playing handball: medium-light skin tone</v>
      </c>
      <c r="C2984" t="str">
        <f t="shared" si="279"/>
        <v xml:space="preserve">1F93E 1F3FC 200D 2642 FE0F </v>
      </c>
      <c r="D2984">
        <f t="shared" si="280"/>
        <v>27</v>
      </c>
      <c r="E2984" t="str">
        <f t="shared" si="276"/>
        <v xml:space="preserve"> 🤾🏼‍♂️ E4.0 man playing handball: medium-light skin tone</v>
      </c>
      <c r="F2984" t="b">
        <f t="shared" si="281"/>
        <v>1</v>
      </c>
      <c r="G2984" t="str">
        <f t="shared" si="277"/>
        <v>1F93E</v>
      </c>
      <c r="I2984">
        <f>HEX2DEC(Table1[[#This Row],[utf8]])</f>
        <v>129342</v>
      </c>
      <c r="J2984" t="str">
        <f>_xlfn.UNICHAR(HEX2DEC(Table1[[#This Row],[utf8]]))</f>
        <v>🤾</v>
      </c>
      <c r="K2984" s="3" t="str" cm="1">
        <f t="array" ref="K2984">"Case "&amp;wRandomLetter()&amp;wRandomLetter()&amp;I2984&amp;":    UniConst = ChrW(" &amp; I2984 &amp;")"</f>
        <v>Case ic129342:    UniConst = ChrW(129342)</v>
      </c>
    </row>
    <row r="2985" spans="1:11" hidden="1">
      <c r="A2985" t="s">
        <v>2462</v>
      </c>
      <c r="B2985" t="str">
        <f t="shared" si="278"/>
        <v>1F93E 1F3FD ; fully-qualified # 🤾🏽 E3.0 person playing handball: medium skin tone</v>
      </c>
      <c r="C2985" t="str">
        <f t="shared" si="279"/>
        <v xml:space="preserve">1F93E 1F3FD </v>
      </c>
      <c r="D2985">
        <f t="shared" si="280"/>
        <v>12</v>
      </c>
      <c r="E2985" t="str">
        <f t="shared" si="276"/>
        <v xml:space="preserve"> 🤾🏽 E3.0 person playing handball: medium skin tone</v>
      </c>
      <c r="F2985" t="b">
        <f t="shared" si="281"/>
        <v>1</v>
      </c>
      <c r="G2985" t="str">
        <f t="shared" si="277"/>
        <v>1F93E</v>
      </c>
      <c r="I2985">
        <f>HEX2DEC(Table1[[#This Row],[utf8]])</f>
        <v>129342</v>
      </c>
      <c r="J2985" t="str">
        <f>_xlfn.UNICHAR(HEX2DEC(Table1[[#This Row],[utf8]]))</f>
        <v>🤾</v>
      </c>
      <c r="K2985" s="3" t="str" cm="1">
        <f t="array" ref="K2985">"Case "&amp;wRandomLetter()&amp;wRandomLetter()&amp;I2985&amp;":    UniConst = ChrW(" &amp; I2985 &amp;")"</f>
        <v>Case sO129342:    UniConst = ChrW(129342)</v>
      </c>
    </row>
    <row r="2986" spans="1:11" hidden="1">
      <c r="A2986" t="s">
        <v>2484</v>
      </c>
      <c r="B2986" t="str">
        <f t="shared" si="278"/>
        <v>1F93E 1F3FD 200D 2640 ; minimally-qualified # 🤾🏽‍♀ E4.0 woman playing handball: medium skin tone</v>
      </c>
      <c r="C2986" t="str">
        <f t="shared" si="279"/>
        <v xml:space="preserve">1F93E 1F3FD 200D 2640 </v>
      </c>
      <c r="D2986">
        <f t="shared" si="280"/>
        <v>22</v>
      </c>
      <c r="E2986" t="str">
        <f t="shared" si="276"/>
        <v xml:space="preserve"> 🤾🏽‍♀ E4.0 woman playing handball: medium skin tone</v>
      </c>
      <c r="F2986" t="b">
        <f t="shared" si="281"/>
        <v>1</v>
      </c>
      <c r="G2986" t="str">
        <f t="shared" si="277"/>
        <v>1F93E</v>
      </c>
      <c r="I2986">
        <f>HEX2DEC(Table1[[#This Row],[utf8]])</f>
        <v>129342</v>
      </c>
      <c r="J2986" t="str">
        <f>_xlfn.UNICHAR(HEX2DEC(Table1[[#This Row],[utf8]]))</f>
        <v>🤾</v>
      </c>
      <c r="K2986" s="3" t="str" cm="1">
        <f t="array" ref="K2986">"Case "&amp;wRandomLetter()&amp;wRandomLetter()&amp;I2986&amp;":    UniConst = ChrW(" &amp; I2986 &amp;")"</f>
        <v>Case Wa129342:    UniConst = ChrW(129342)</v>
      </c>
    </row>
    <row r="2987" spans="1:11" hidden="1">
      <c r="A2987" t="s">
        <v>2483</v>
      </c>
      <c r="B2987" t="str">
        <f t="shared" si="278"/>
        <v>1F93E 1F3FD 200D 2640 FE0F ; fully-qualified # 🤾🏽‍♀️ E4.0 woman playing handball: medium skin tone</v>
      </c>
      <c r="C2987" t="str">
        <f t="shared" si="279"/>
        <v xml:space="preserve">1F93E 1F3FD 200D 2640 FE0F </v>
      </c>
      <c r="D2987">
        <f t="shared" si="280"/>
        <v>27</v>
      </c>
      <c r="E2987" t="str">
        <f t="shared" si="276"/>
        <v xml:space="preserve"> 🤾🏽‍♀️ E4.0 woman playing handball: medium skin tone</v>
      </c>
      <c r="F2987" t="b">
        <f t="shared" si="281"/>
        <v>1</v>
      </c>
      <c r="G2987" t="str">
        <f t="shared" si="277"/>
        <v>1F93E</v>
      </c>
      <c r="I2987">
        <f>HEX2DEC(Table1[[#This Row],[utf8]])</f>
        <v>129342</v>
      </c>
      <c r="J2987" t="str">
        <f>_xlfn.UNICHAR(HEX2DEC(Table1[[#This Row],[utf8]]))</f>
        <v>🤾</v>
      </c>
      <c r="K2987" s="3" t="str" cm="1">
        <f t="array" ref="K2987">"Case "&amp;wRandomLetter()&amp;wRandomLetter()&amp;I2987&amp;":    UniConst = ChrW(" &amp; I2987 &amp;")"</f>
        <v>Case fg129342:    UniConst = ChrW(129342)</v>
      </c>
    </row>
    <row r="2988" spans="1:11" hidden="1">
      <c r="A2988" t="s">
        <v>2472</v>
      </c>
      <c r="B2988" t="str">
        <f t="shared" si="278"/>
        <v>1F93E 1F3FD 200D 2642 ; minimally-qualified # 🤾🏽‍♂ E4.0 man playing handball: medium skin tone</v>
      </c>
      <c r="C2988" t="str">
        <f t="shared" si="279"/>
        <v xml:space="preserve">1F93E 1F3FD 200D 2642 </v>
      </c>
      <c r="D2988">
        <f t="shared" si="280"/>
        <v>22</v>
      </c>
      <c r="E2988" t="str">
        <f t="shared" si="276"/>
        <v xml:space="preserve"> 🤾🏽‍♂ E4.0 man playing handball: medium skin tone</v>
      </c>
      <c r="F2988" t="b">
        <f t="shared" si="281"/>
        <v>1</v>
      </c>
      <c r="G2988" t="str">
        <f t="shared" si="277"/>
        <v>1F93E</v>
      </c>
      <c r="I2988">
        <f>HEX2DEC(Table1[[#This Row],[utf8]])</f>
        <v>129342</v>
      </c>
      <c r="J2988" t="str">
        <f>_xlfn.UNICHAR(HEX2DEC(Table1[[#This Row],[utf8]]))</f>
        <v>🤾</v>
      </c>
      <c r="K2988" s="3" t="str" cm="1">
        <f t="array" ref="K2988">"Case "&amp;wRandomLetter()&amp;wRandomLetter()&amp;I2988&amp;":    UniConst = ChrW(" &amp; I2988 &amp;")"</f>
        <v>Case Jj129342:    UniConst = ChrW(129342)</v>
      </c>
    </row>
    <row r="2989" spans="1:11" hidden="1">
      <c r="A2989" t="s">
        <v>2471</v>
      </c>
      <c r="B2989" t="str">
        <f t="shared" si="278"/>
        <v>1F93E 1F3FD 200D 2642 FE0F ; fully-qualified # 🤾🏽‍♂️ E4.0 man playing handball: medium skin tone</v>
      </c>
      <c r="C2989" t="str">
        <f t="shared" si="279"/>
        <v xml:space="preserve">1F93E 1F3FD 200D 2642 FE0F </v>
      </c>
      <c r="D2989">
        <f t="shared" si="280"/>
        <v>27</v>
      </c>
      <c r="E2989" t="str">
        <f t="shared" si="276"/>
        <v xml:space="preserve"> 🤾🏽‍♂️ E4.0 man playing handball: medium skin tone</v>
      </c>
      <c r="F2989" t="b">
        <f t="shared" si="281"/>
        <v>1</v>
      </c>
      <c r="G2989" t="str">
        <f t="shared" si="277"/>
        <v>1F93E</v>
      </c>
      <c r="I2989">
        <f>HEX2DEC(Table1[[#This Row],[utf8]])</f>
        <v>129342</v>
      </c>
      <c r="J2989" t="str">
        <f>_xlfn.UNICHAR(HEX2DEC(Table1[[#This Row],[utf8]]))</f>
        <v>🤾</v>
      </c>
      <c r="K2989" s="3" t="str" cm="1">
        <f t="array" ref="K2989">"Case "&amp;wRandomLetter()&amp;wRandomLetter()&amp;I2989&amp;":    UniConst = ChrW(" &amp; I2989 &amp;")"</f>
        <v>Case GS129342:    UniConst = ChrW(129342)</v>
      </c>
    </row>
    <row r="2990" spans="1:11" hidden="1">
      <c r="A2990" t="s">
        <v>2463</v>
      </c>
      <c r="B2990" t="str">
        <f t="shared" si="278"/>
        <v>1F93E 1F3FE ; fully-qualified # 🤾🏾 E3.0 person playing handball: medium-dark skin tone</v>
      </c>
      <c r="C2990" t="str">
        <f t="shared" si="279"/>
        <v xml:space="preserve">1F93E 1F3FE </v>
      </c>
      <c r="D2990">
        <f t="shared" si="280"/>
        <v>12</v>
      </c>
      <c r="E2990" t="str">
        <f t="shared" si="276"/>
        <v xml:space="preserve"> 🤾🏾 E3.0 person playing handball: medium-dark skin tone</v>
      </c>
      <c r="F2990" t="b">
        <f t="shared" si="281"/>
        <v>1</v>
      </c>
      <c r="G2990" t="str">
        <f t="shared" si="277"/>
        <v>1F93E</v>
      </c>
      <c r="I2990">
        <f>HEX2DEC(Table1[[#This Row],[utf8]])</f>
        <v>129342</v>
      </c>
      <c r="J2990" t="str">
        <f>_xlfn.UNICHAR(HEX2DEC(Table1[[#This Row],[utf8]]))</f>
        <v>🤾</v>
      </c>
      <c r="K2990" s="3" t="str" cm="1">
        <f t="array" ref="K2990">"Case "&amp;wRandomLetter()&amp;wRandomLetter()&amp;I2990&amp;":    UniConst = ChrW(" &amp; I2990 &amp;")"</f>
        <v>Case uo129342:    UniConst = ChrW(129342)</v>
      </c>
    </row>
    <row r="2991" spans="1:11" hidden="1">
      <c r="A2991" t="s">
        <v>2486</v>
      </c>
      <c r="B2991" t="str">
        <f t="shared" si="278"/>
        <v>1F93E 1F3FE 200D 2640 ; minimally-qualified # 🤾🏾‍♀ E4.0 woman playing handball: medium-dark skin tone</v>
      </c>
      <c r="C2991" t="str">
        <f t="shared" si="279"/>
        <v xml:space="preserve">1F93E 1F3FE 200D 2640 </v>
      </c>
      <c r="D2991">
        <f t="shared" si="280"/>
        <v>22</v>
      </c>
      <c r="E2991" t="str">
        <f t="shared" si="276"/>
        <v xml:space="preserve"> 🤾🏾‍♀ E4.0 woman playing handball: medium-dark skin tone</v>
      </c>
      <c r="F2991" t="b">
        <f t="shared" si="281"/>
        <v>1</v>
      </c>
      <c r="G2991" t="str">
        <f t="shared" si="277"/>
        <v>1F93E</v>
      </c>
      <c r="I2991">
        <f>HEX2DEC(Table1[[#This Row],[utf8]])</f>
        <v>129342</v>
      </c>
      <c r="J2991" t="str">
        <f>_xlfn.UNICHAR(HEX2DEC(Table1[[#This Row],[utf8]]))</f>
        <v>🤾</v>
      </c>
      <c r="K2991" s="3" t="str" cm="1">
        <f t="array" ref="K2991">"Case "&amp;wRandomLetter()&amp;wRandomLetter()&amp;I2991&amp;":    UniConst = ChrW(" &amp; I2991 &amp;")"</f>
        <v>Case zW129342:    UniConst = ChrW(129342)</v>
      </c>
    </row>
    <row r="2992" spans="1:11" hidden="1">
      <c r="A2992" t="s">
        <v>2485</v>
      </c>
      <c r="B2992" t="str">
        <f t="shared" si="278"/>
        <v>1F93E 1F3FE 200D 2640 FE0F ; fully-qualified # 🤾🏾‍♀️ E4.0 woman playing handball: medium-dark skin tone</v>
      </c>
      <c r="C2992" t="str">
        <f t="shared" si="279"/>
        <v xml:space="preserve">1F93E 1F3FE 200D 2640 FE0F </v>
      </c>
      <c r="D2992">
        <f t="shared" si="280"/>
        <v>27</v>
      </c>
      <c r="E2992" t="str">
        <f t="shared" si="276"/>
        <v xml:space="preserve"> 🤾🏾‍♀️ E4.0 woman playing handball: medium-dark skin tone</v>
      </c>
      <c r="F2992" t="b">
        <f t="shared" si="281"/>
        <v>1</v>
      </c>
      <c r="G2992" t="str">
        <f t="shared" si="277"/>
        <v>1F93E</v>
      </c>
      <c r="I2992">
        <f>HEX2DEC(Table1[[#This Row],[utf8]])</f>
        <v>129342</v>
      </c>
      <c r="J2992" t="str">
        <f>_xlfn.UNICHAR(HEX2DEC(Table1[[#This Row],[utf8]]))</f>
        <v>🤾</v>
      </c>
      <c r="K2992" s="3" t="str" cm="1">
        <f t="array" ref="K2992">"Case "&amp;wRandomLetter()&amp;wRandomLetter()&amp;I2992&amp;":    UniConst = ChrW(" &amp; I2992 &amp;")"</f>
        <v>Case vF129342:    UniConst = ChrW(129342)</v>
      </c>
    </row>
    <row r="2993" spans="1:11" hidden="1">
      <c r="A2993" t="s">
        <v>2474</v>
      </c>
      <c r="B2993" t="str">
        <f t="shared" si="278"/>
        <v>1F93E 1F3FE 200D 2642 ; minimally-qualified # 🤾🏾‍♂ E4.0 man playing handball: medium-dark skin tone</v>
      </c>
      <c r="C2993" t="str">
        <f t="shared" si="279"/>
        <v xml:space="preserve">1F93E 1F3FE 200D 2642 </v>
      </c>
      <c r="D2993">
        <f t="shared" si="280"/>
        <v>22</v>
      </c>
      <c r="E2993" t="str">
        <f t="shared" si="276"/>
        <v xml:space="preserve"> 🤾🏾‍♂ E4.0 man playing handball: medium-dark skin tone</v>
      </c>
      <c r="F2993" t="b">
        <f t="shared" si="281"/>
        <v>1</v>
      </c>
      <c r="G2993" t="str">
        <f t="shared" si="277"/>
        <v>1F93E</v>
      </c>
      <c r="I2993">
        <f>HEX2DEC(Table1[[#This Row],[utf8]])</f>
        <v>129342</v>
      </c>
      <c r="J2993" t="str">
        <f>_xlfn.UNICHAR(HEX2DEC(Table1[[#This Row],[utf8]]))</f>
        <v>🤾</v>
      </c>
      <c r="K2993" s="3" t="str" cm="1">
        <f t="array" ref="K2993">"Case "&amp;wRandomLetter()&amp;wRandomLetter()&amp;I2993&amp;":    UniConst = ChrW(" &amp; I2993 &amp;")"</f>
        <v>Case HI129342:    UniConst = ChrW(129342)</v>
      </c>
    </row>
    <row r="2994" spans="1:11" hidden="1">
      <c r="A2994" t="s">
        <v>2473</v>
      </c>
      <c r="B2994" t="str">
        <f t="shared" si="278"/>
        <v>1F93E 1F3FE 200D 2642 FE0F ; fully-qualified # 🤾🏾‍♂️ E4.0 man playing handball: medium-dark skin tone</v>
      </c>
      <c r="C2994" t="str">
        <f t="shared" si="279"/>
        <v xml:space="preserve">1F93E 1F3FE 200D 2642 FE0F </v>
      </c>
      <c r="D2994">
        <f t="shared" si="280"/>
        <v>27</v>
      </c>
      <c r="E2994" t="str">
        <f t="shared" si="276"/>
        <v xml:space="preserve"> 🤾🏾‍♂️ E4.0 man playing handball: medium-dark skin tone</v>
      </c>
      <c r="F2994" t="b">
        <f t="shared" si="281"/>
        <v>1</v>
      </c>
      <c r="G2994" t="str">
        <f t="shared" si="277"/>
        <v>1F93E</v>
      </c>
      <c r="I2994">
        <f>HEX2DEC(Table1[[#This Row],[utf8]])</f>
        <v>129342</v>
      </c>
      <c r="J2994" t="str">
        <f>_xlfn.UNICHAR(HEX2DEC(Table1[[#This Row],[utf8]]))</f>
        <v>🤾</v>
      </c>
      <c r="K2994" s="3" t="str" cm="1">
        <f t="array" ref="K2994">"Case "&amp;wRandomLetter()&amp;wRandomLetter()&amp;I2994&amp;":    UniConst = ChrW(" &amp; I2994 &amp;")"</f>
        <v>Case ew129342:    UniConst = ChrW(129342)</v>
      </c>
    </row>
    <row r="2995" spans="1:11" hidden="1">
      <c r="A2995" t="s">
        <v>2464</v>
      </c>
      <c r="B2995" t="str">
        <f t="shared" si="278"/>
        <v>1F93E 1F3FF ; fully-qualified # 🤾🏿 E3.0 person playing handball: dark skin tone</v>
      </c>
      <c r="C2995" t="str">
        <f t="shared" si="279"/>
        <v xml:space="preserve">1F93E 1F3FF </v>
      </c>
      <c r="D2995">
        <f t="shared" si="280"/>
        <v>12</v>
      </c>
      <c r="E2995" t="str">
        <f t="shared" si="276"/>
        <v xml:space="preserve"> 🤾🏿 E3.0 person playing handball: dark skin tone</v>
      </c>
      <c r="F2995" t="b">
        <f t="shared" si="281"/>
        <v>1</v>
      </c>
      <c r="G2995" t="str">
        <f t="shared" si="277"/>
        <v>1F93E</v>
      </c>
      <c r="I2995">
        <f>HEX2DEC(Table1[[#This Row],[utf8]])</f>
        <v>129342</v>
      </c>
      <c r="J2995" t="str">
        <f>_xlfn.UNICHAR(HEX2DEC(Table1[[#This Row],[utf8]]))</f>
        <v>🤾</v>
      </c>
      <c r="K2995" s="3" t="str" cm="1">
        <f t="array" ref="K2995">"Case "&amp;wRandomLetter()&amp;wRandomLetter()&amp;I2995&amp;":    UniConst = ChrW(" &amp; I2995 &amp;")"</f>
        <v>Case Oz129342:    UniConst = ChrW(129342)</v>
      </c>
    </row>
    <row r="2996" spans="1:11" hidden="1">
      <c r="A2996" t="s">
        <v>2488</v>
      </c>
      <c r="B2996" t="str">
        <f t="shared" si="278"/>
        <v>1F93E 1F3FF 200D 2640 ; minimally-qualified # 🤾🏿‍♀ E4.0 woman playing handball: dark skin tone</v>
      </c>
      <c r="C2996" t="str">
        <f t="shared" si="279"/>
        <v xml:space="preserve">1F93E 1F3FF 200D 2640 </v>
      </c>
      <c r="D2996">
        <f t="shared" si="280"/>
        <v>22</v>
      </c>
      <c r="E2996" t="str">
        <f t="shared" si="276"/>
        <v xml:space="preserve"> 🤾🏿‍♀ E4.0 woman playing handball: dark skin tone</v>
      </c>
      <c r="F2996" t="b">
        <f t="shared" si="281"/>
        <v>1</v>
      </c>
      <c r="G2996" t="str">
        <f t="shared" si="277"/>
        <v>1F93E</v>
      </c>
      <c r="I2996">
        <f>HEX2DEC(Table1[[#This Row],[utf8]])</f>
        <v>129342</v>
      </c>
      <c r="J2996" t="str">
        <f>_xlfn.UNICHAR(HEX2DEC(Table1[[#This Row],[utf8]]))</f>
        <v>🤾</v>
      </c>
      <c r="K2996" s="3" t="str" cm="1">
        <f t="array" ref="K2996">"Case "&amp;wRandomLetter()&amp;wRandomLetter()&amp;I2996&amp;":    UniConst = ChrW(" &amp; I2996 &amp;")"</f>
        <v>Case as129342:    UniConst = ChrW(129342)</v>
      </c>
    </row>
    <row r="2997" spans="1:11" hidden="1">
      <c r="A2997" t="s">
        <v>2487</v>
      </c>
      <c r="B2997" t="str">
        <f t="shared" si="278"/>
        <v>1F93E 1F3FF 200D 2640 FE0F ; fully-qualified # 🤾🏿‍♀️ E4.0 woman playing handball: dark skin tone</v>
      </c>
      <c r="C2997" t="str">
        <f t="shared" si="279"/>
        <v xml:space="preserve">1F93E 1F3FF 200D 2640 FE0F </v>
      </c>
      <c r="D2997">
        <f t="shared" si="280"/>
        <v>27</v>
      </c>
      <c r="E2997" t="str">
        <f t="shared" si="276"/>
        <v xml:space="preserve"> 🤾🏿‍♀️ E4.0 woman playing handball: dark skin tone</v>
      </c>
      <c r="F2997" t="b">
        <f t="shared" si="281"/>
        <v>1</v>
      </c>
      <c r="G2997" t="str">
        <f t="shared" si="277"/>
        <v>1F93E</v>
      </c>
      <c r="I2997">
        <f>HEX2DEC(Table1[[#This Row],[utf8]])</f>
        <v>129342</v>
      </c>
      <c r="J2997" t="str">
        <f>_xlfn.UNICHAR(HEX2DEC(Table1[[#This Row],[utf8]]))</f>
        <v>🤾</v>
      </c>
      <c r="K2997" s="3" t="str" cm="1">
        <f t="array" ref="K2997">"Case "&amp;wRandomLetter()&amp;wRandomLetter()&amp;I2997&amp;":    UniConst = ChrW(" &amp; I2997 &amp;")"</f>
        <v>Case Gg129342:    UniConst = ChrW(129342)</v>
      </c>
    </row>
    <row r="2998" spans="1:11" hidden="1">
      <c r="A2998" t="s">
        <v>2476</v>
      </c>
      <c r="B2998" t="str">
        <f t="shared" si="278"/>
        <v>1F93E 1F3FF 200D 2642 ; minimally-qualified # 🤾🏿‍♂ E4.0 man playing handball: dark skin tone</v>
      </c>
      <c r="C2998" t="str">
        <f t="shared" si="279"/>
        <v xml:space="preserve">1F93E 1F3FF 200D 2642 </v>
      </c>
      <c r="D2998">
        <f t="shared" si="280"/>
        <v>22</v>
      </c>
      <c r="E2998" t="str">
        <f t="shared" si="276"/>
        <v xml:space="preserve"> 🤾🏿‍♂ E4.0 man playing handball: dark skin tone</v>
      </c>
      <c r="F2998" t="b">
        <f t="shared" si="281"/>
        <v>1</v>
      </c>
      <c r="G2998" t="str">
        <f t="shared" si="277"/>
        <v>1F93E</v>
      </c>
      <c r="I2998">
        <f>HEX2DEC(Table1[[#This Row],[utf8]])</f>
        <v>129342</v>
      </c>
      <c r="J2998" t="str">
        <f>_xlfn.UNICHAR(HEX2DEC(Table1[[#This Row],[utf8]]))</f>
        <v>🤾</v>
      </c>
      <c r="K2998" s="3" t="str" cm="1">
        <f t="array" ref="K2998">"Case "&amp;wRandomLetter()&amp;wRandomLetter()&amp;I2998&amp;":    UniConst = ChrW(" &amp; I2998 &amp;")"</f>
        <v>Case NQ129342:    UniConst = ChrW(129342)</v>
      </c>
    </row>
    <row r="2999" spans="1:11" hidden="1">
      <c r="A2999" t="s">
        <v>2475</v>
      </c>
      <c r="B2999" t="str">
        <f t="shared" si="278"/>
        <v>1F93E 1F3FF 200D 2642 FE0F ; fully-qualified # 🤾🏿‍♂️ E4.0 man playing handball: dark skin tone</v>
      </c>
      <c r="C2999" t="str">
        <f t="shared" si="279"/>
        <v xml:space="preserve">1F93E 1F3FF 200D 2642 FE0F </v>
      </c>
      <c r="D2999">
        <f t="shared" si="280"/>
        <v>27</v>
      </c>
      <c r="E2999" t="str">
        <f t="shared" si="276"/>
        <v xml:space="preserve"> 🤾🏿‍♂️ E4.0 man playing handball: dark skin tone</v>
      </c>
      <c r="F2999" t="b">
        <f t="shared" si="281"/>
        <v>1</v>
      </c>
      <c r="G2999" t="str">
        <f t="shared" si="277"/>
        <v>1F93E</v>
      </c>
      <c r="I2999">
        <f>HEX2DEC(Table1[[#This Row],[utf8]])</f>
        <v>129342</v>
      </c>
      <c r="J2999" t="str">
        <f>_xlfn.UNICHAR(HEX2DEC(Table1[[#This Row],[utf8]]))</f>
        <v>🤾</v>
      </c>
      <c r="K2999" s="3" t="str" cm="1">
        <f t="array" ref="K2999">"Case "&amp;wRandomLetter()&amp;wRandomLetter()&amp;I2999&amp;":    UniConst = ChrW(" &amp; I2999 &amp;")"</f>
        <v>Case Un129342:    UniConst = ChrW(129342)</v>
      </c>
    </row>
    <row r="3000" spans="1:11" hidden="1">
      <c r="A3000" t="s">
        <v>2478</v>
      </c>
      <c r="B3000" t="str">
        <f t="shared" si="278"/>
        <v>1F93E 200D 2640 ; minimally-qualified # 🤾‍♀ E4.0 woman playing handball</v>
      </c>
      <c r="C3000" t="str">
        <f t="shared" si="279"/>
        <v xml:space="preserve">1F93E 200D 2640 </v>
      </c>
      <c r="D3000">
        <f t="shared" si="280"/>
        <v>16</v>
      </c>
      <c r="E3000" t="str">
        <f t="shared" si="276"/>
        <v xml:space="preserve"> 🤾‍♀ E4.0 woman playing handball</v>
      </c>
      <c r="F3000" t="b">
        <f t="shared" si="281"/>
        <v>1</v>
      </c>
      <c r="G3000" t="str">
        <f t="shared" si="277"/>
        <v>1F93E</v>
      </c>
      <c r="I3000">
        <f>HEX2DEC(Table1[[#This Row],[utf8]])</f>
        <v>129342</v>
      </c>
      <c r="J3000" t="str">
        <f>_xlfn.UNICHAR(HEX2DEC(Table1[[#This Row],[utf8]]))</f>
        <v>🤾</v>
      </c>
      <c r="K3000" s="3" t="str" cm="1">
        <f t="array" ref="K3000">"Case "&amp;wRandomLetter()&amp;wRandomLetter()&amp;I3000&amp;":    UniConst = ChrW(" &amp; I3000 &amp;")"</f>
        <v>Case Dr129342:    UniConst = ChrW(129342)</v>
      </c>
    </row>
    <row r="3001" spans="1:11" hidden="1">
      <c r="A3001" t="s">
        <v>2477</v>
      </c>
      <c r="B3001" t="str">
        <f t="shared" si="278"/>
        <v>1F93E 200D 2640 FE0F ; fully-qualified # 🤾‍♀️ E4.0 woman playing handball</v>
      </c>
      <c r="C3001" t="str">
        <f t="shared" si="279"/>
        <v xml:space="preserve">1F93E 200D 2640 FE0F </v>
      </c>
      <c r="D3001">
        <f t="shared" si="280"/>
        <v>21</v>
      </c>
      <c r="E3001" t="str">
        <f t="shared" si="276"/>
        <v xml:space="preserve"> 🤾‍♀️ E4.0 woman playing handball</v>
      </c>
      <c r="F3001" t="b">
        <f t="shared" si="281"/>
        <v>1</v>
      </c>
      <c r="G3001" t="str">
        <f t="shared" si="277"/>
        <v>1F93E</v>
      </c>
      <c r="I3001">
        <f>HEX2DEC(Table1[[#This Row],[utf8]])</f>
        <v>129342</v>
      </c>
      <c r="J3001" t="str">
        <f>_xlfn.UNICHAR(HEX2DEC(Table1[[#This Row],[utf8]]))</f>
        <v>🤾</v>
      </c>
      <c r="K3001" s="3" t="str" cm="1">
        <f t="array" ref="K3001">"Case "&amp;wRandomLetter()&amp;wRandomLetter()&amp;I3001&amp;":    UniConst = ChrW(" &amp; I3001 &amp;")"</f>
        <v>Case IR129342:    UniConst = ChrW(129342)</v>
      </c>
    </row>
    <row r="3002" spans="1:11" hidden="1">
      <c r="A3002" t="s">
        <v>2466</v>
      </c>
      <c r="B3002" t="str">
        <f t="shared" si="278"/>
        <v>1F93E 200D 2642 ; minimally-qualified # 🤾‍♂ E4.0 man playing handball</v>
      </c>
      <c r="C3002" t="str">
        <f t="shared" si="279"/>
        <v xml:space="preserve">1F93E 200D 2642 </v>
      </c>
      <c r="D3002">
        <f t="shared" si="280"/>
        <v>16</v>
      </c>
      <c r="E3002" t="str">
        <f t="shared" si="276"/>
        <v xml:space="preserve"> 🤾‍♂ E4.0 man playing handball</v>
      </c>
      <c r="F3002" t="b">
        <f t="shared" si="281"/>
        <v>1</v>
      </c>
      <c r="G3002" t="str">
        <f t="shared" si="277"/>
        <v>1F93E</v>
      </c>
      <c r="I3002">
        <f>HEX2DEC(Table1[[#This Row],[utf8]])</f>
        <v>129342</v>
      </c>
      <c r="J3002" t="str">
        <f>_xlfn.UNICHAR(HEX2DEC(Table1[[#This Row],[utf8]]))</f>
        <v>🤾</v>
      </c>
      <c r="K3002" s="3" t="str" cm="1">
        <f t="array" ref="K3002">"Case "&amp;wRandomLetter()&amp;wRandomLetter()&amp;I3002&amp;":    UniConst = ChrW(" &amp; I3002 &amp;")"</f>
        <v>Case bq129342:    UniConst = ChrW(129342)</v>
      </c>
    </row>
    <row r="3003" spans="1:11" hidden="1">
      <c r="A3003" t="s">
        <v>2465</v>
      </c>
      <c r="B3003" t="str">
        <f t="shared" si="278"/>
        <v>1F93E 200D 2642 FE0F ; fully-qualified # 🤾‍♂️ E4.0 man playing handball</v>
      </c>
      <c r="C3003" t="str">
        <f t="shared" si="279"/>
        <v xml:space="preserve">1F93E 200D 2642 FE0F </v>
      </c>
      <c r="D3003">
        <f t="shared" si="280"/>
        <v>21</v>
      </c>
      <c r="E3003" t="str">
        <f t="shared" si="276"/>
        <v xml:space="preserve"> 🤾‍♂️ E4.0 man playing handball</v>
      </c>
      <c r="F3003" t="b">
        <f t="shared" si="281"/>
        <v>1</v>
      </c>
      <c r="G3003" t="str">
        <f t="shared" si="277"/>
        <v>1F93E</v>
      </c>
      <c r="I3003">
        <f>HEX2DEC(Table1[[#This Row],[utf8]])</f>
        <v>129342</v>
      </c>
      <c r="J3003" t="str">
        <f>_xlfn.UNICHAR(HEX2DEC(Table1[[#This Row],[utf8]]))</f>
        <v>🤾</v>
      </c>
      <c r="K3003" s="3" t="str" cm="1">
        <f t="array" ref="K3003">"Case "&amp;wRandomLetter()&amp;wRandomLetter()&amp;I3003&amp;":    UniConst = ChrW(" &amp; I3003 &amp;")"</f>
        <v>Case xU129342:    UniConst = ChrW(129342)</v>
      </c>
    </row>
    <row r="3004" spans="1:11" hidden="1">
      <c r="A3004" t="s">
        <v>3755</v>
      </c>
      <c r="B3004" t="str">
        <f t="shared" si="278"/>
        <v>1F93F ; fully-qualified # 🤿 E12.0 diving mask</v>
      </c>
      <c r="C3004" t="str">
        <f t="shared" si="279"/>
        <v xml:space="preserve">1F93F </v>
      </c>
      <c r="D3004">
        <f t="shared" si="280"/>
        <v>6</v>
      </c>
      <c r="E3004" t="str">
        <f t="shared" si="276"/>
        <v xml:space="preserve"> 🤿 E12.0 diving mask</v>
      </c>
      <c r="F3004" t="b">
        <f t="shared" si="281"/>
        <v>1</v>
      </c>
      <c r="G3004" t="str">
        <f t="shared" si="277"/>
        <v>1F93F</v>
      </c>
      <c r="I3004">
        <f>HEX2DEC(Table1[[#This Row],[utf8]])</f>
        <v>129343</v>
      </c>
      <c r="J3004" t="str">
        <f>_xlfn.UNICHAR(HEX2DEC(Table1[[#This Row],[utf8]]))</f>
        <v>🤿</v>
      </c>
      <c r="K3004" s="3" t="str" cm="1">
        <f t="array" ref="K3004">"Case "&amp;wRandomLetter()&amp;wRandomLetter()&amp;I3004&amp;":    UniConst = ChrW(" &amp; I3004 &amp;")"</f>
        <v>Case Mv129343:    UniConst = ChrW(129343)</v>
      </c>
    </row>
    <row r="3005" spans="1:11" hidden="1">
      <c r="A3005" t="s">
        <v>3256</v>
      </c>
      <c r="B3005" t="str">
        <f t="shared" si="278"/>
        <v>1F940 ; fully-qualified # 🥀 E3.0 wilted flower</v>
      </c>
      <c r="C3005" t="str">
        <f t="shared" si="279"/>
        <v xml:space="preserve">1F940 </v>
      </c>
      <c r="D3005">
        <f t="shared" si="280"/>
        <v>6</v>
      </c>
      <c r="E3005" t="str">
        <f t="shared" si="276"/>
        <v xml:space="preserve"> 🥀 E3.0 wilted flower</v>
      </c>
      <c r="F3005" t="b">
        <f t="shared" si="281"/>
        <v>1</v>
      </c>
      <c r="G3005" t="str">
        <f t="shared" si="277"/>
        <v>1F940</v>
      </c>
      <c r="I3005">
        <f>HEX2DEC(Table1[[#This Row],[utf8]])</f>
        <v>129344</v>
      </c>
      <c r="J3005" t="str">
        <f>_xlfn.UNICHAR(HEX2DEC(Table1[[#This Row],[utf8]]))</f>
        <v>🥀</v>
      </c>
      <c r="K3005" s="3" t="str" cm="1">
        <f t="array" ref="K3005">"Case "&amp;wRandomLetter()&amp;wRandomLetter()&amp;I3005&amp;":    UniConst = ChrW(" &amp; I3005 &amp;")"</f>
        <v>Case Pw129344:    UniConst = ChrW(129344)</v>
      </c>
    </row>
    <row r="3006" spans="1:11" hidden="1">
      <c r="A3006" t="s">
        <v>3882</v>
      </c>
      <c r="B3006" t="str">
        <f t="shared" si="278"/>
        <v>1F941 ; fully-qualified # 🥁 E3.0 drum</v>
      </c>
      <c r="C3006" t="str">
        <f t="shared" si="279"/>
        <v xml:space="preserve">1F941 </v>
      </c>
      <c r="D3006">
        <f t="shared" si="280"/>
        <v>6</v>
      </c>
      <c r="E3006" t="str">
        <f t="shared" si="276"/>
        <v xml:space="preserve"> 🥁 E3.0 drum</v>
      </c>
      <c r="F3006" t="b">
        <f t="shared" si="281"/>
        <v>1</v>
      </c>
      <c r="G3006" t="str">
        <f t="shared" si="277"/>
        <v>1F941</v>
      </c>
      <c r="I3006">
        <f>HEX2DEC(Table1[[#This Row],[utf8]])</f>
        <v>129345</v>
      </c>
      <c r="J3006" t="str">
        <f>_xlfn.UNICHAR(HEX2DEC(Table1[[#This Row],[utf8]]))</f>
        <v>🥁</v>
      </c>
      <c r="K3006" s="3" t="str" cm="1">
        <f t="array" ref="K3006">"Case "&amp;wRandomLetter()&amp;wRandomLetter()&amp;I3006&amp;":    UniConst = ChrW(" &amp; I3006 &amp;")"</f>
        <v>Case VZ129345:    UniConst = ChrW(129345)</v>
      </c>
    </row>
    <row r="3007" spans="1:11" hidden="1">
      <c r="A3007" t="s">
        <v>3403</v>
      </c>
      <c r="B3007" t="str">
        <f t="shared" si="278"/>
        <v>1F942 ; fully-qualified # 🥂 E3.0 clinking glasses</v>
      </c>
      <c r="C3007" t="str">
        <f t="shared" si="279"/>
        <v xml:space="preserve">1F942 </v>
      </c>
      <c r="D3007">
        <f t="shared" si="280"/>
        <v>6</v>
      </c>
      <c r="E3007" t="str">
        <f t="shared" si="276"/>
        <v xml:space="preserve"> 🥂 E3.0 clinking glasses</v>
      </c>
      <c r="F3007" t="b">
        <f t="shared" si="281"/>
        <v>1</v>
      </c>
      <c r="G3007" t="str">
        <f t="shared" si="277"/>
        <v>1F942</v>
      </c>
      <c r="I3007">
        <f>HEX2DEC(Table1[[#This Row],[utf8]])</f>
        <v>129346</v>
      </c>
      <c r="J3007" t="str">
        <f>_xlfn.UNICHAR(HEX2DEC(Table1[[#This Row],[utf8]]))</f>
        <v>🥂</v>
      </c>
      <c r="K3007" s="3" t="str" cm="1">
        <f t="array" ref="K3007">"Case "&amp;wRandomLetter()&amp;wRandomLetter()&amp;I3007&amp;":    UniConst = ChrW(" &amp; I3007 &amp;")"</f>
        <v>Case br129346:    UniConst = ChrW(129346)</v>
      </c>
    </row>
    <row r="3008" spans="1:11" hidden="1">
      <c r="A3008" t="s">
        <v>3404</v>
      </c>
      <c r="B3008" t="str">
        <f t="shared" si="278"/>
        <v>1F943 ; fully-qualified # 🥃 E3.0 tumbler glass</v>
      </c>
      <c r="C3008" t="str">
        <f t="shared" si="279"/>
        <v xml:space="preserve">1F943 </v>
      </c>
      <c r="D3008">
        <f t="shared" si="280"/>
        <v>6</v>
      </c>
      <c r="E3008" t="str">
        <f t="shared" si="276"/>
        <v xml:space="preserve"> 🥃 E3.0 tumbler glass</v>
      </c>
      <c r="F3008" t="b">
        <f t="shared" si="281"/>
        <v>1</v>
      </c>
      <c r="G3008" t="str">
        <f t="shared" si="277"/>
        <v>1F943</v>
      </c>
      <c r="I3008">
        <f>HEX2DEC(Table1[[#This Row],[utf8]])</f>
        <v>129347</v>
      </c>
      <c r="J3008" t="str">
        <f>_xlfn.UNICHAR(HEX2DEC(Table1[[#This Row],[utf8]]))</f>
        <v>🥃</v>
      </c>
      <c r="K3008" s="3" t="str" cm="1">
        <f t="array" ref="K3008">"Case "&amp;wRandomLetter()&amp;wRandomLetter()&amp;I3008&amp;":    UniConst = ChrW(" &amp; I3008 &amp;")"</f>
        <v>Case zt129347:    UniConst = ChrW(129347)</v>
      </c>
    </row>
    <row r="3009" spans="1:11" hidden="1">
      <c r="A3009" t="s">
        <v>3415</v>
      </c>
      <c r="B3009" t="str">
        <f t="shared" si="278"/>
        <v>1F944 ; fully-qualified # 🥄 E3.0 spoon</v>
      </c>
      <c r="C3009" t="str">
        <f t="shared" si="279"/>
        <v xml:space="preserve">1F944 </v>
      </c>
      <c r="D3009">
        <f t="shared" si="280"/>
        <v>6</v>
      </c>
      <c r="E3009" t="str">
        <f t="shared" si="276"/>
        <v xml:space="preserve"> 🥄 E3.0 spoon</v>
      </c>
      <c r="F3009" t="b">
        <f t="shared" si="281"/>
        <v>1</v>
      </c>
      <c r="G3009" t="str">
        <f t="shared" si="277"/>
        <v>1F944</v>
      </c>
      <c r="I3009">
        <f>HEX2DEC(Table1[[#This Row],[utf8]])</f>
        <v>129348</v>
      </c>
      <c r="J3009" t="str">
        <f>_xlfn.UNICHAR(HEX2DEC(Table1[[#This Row],[utf8]]))</f>
        <v>🥄</v>
      </c>
      <c r="K3009" s="3" t="str" cm="1">
        <f t="array" ref="K3009">"Case "&amp;wRandomLetter()&amp;wRandomLetter()&amp;I3009&amp;":    UniConst = ChrW(" &amp; I3009 &amp;")"</f>
        <v>Case vA129348:    UniConst = ChrW(129348)</v>
      </c>
    </row>
    <row r="3010" spans="1:11" hidden="1">
      <c r="A3010" t="s">
        <v>3750</v>
      </c>
      <c r="B3010" t="str">
        <f t="shared" si="278"/>
        <v>1F945 ; fully-qualified # 🥅 E3.0 goal net</v>
      </c>
      <c r="C3010" t="str">
        <f t="shared" si="279"/>
        <v xml:space="preserve">1F945 </v>
      </c>
      <c r="D3010">
        <f t="shared" si="280"/>
        <v>6</v>
      </c>
      <c r="E3010" t="str">
        <f t="shared" ref="E3010:E3073" si="282">MID(A3010,FIND("#",A3010)+1,256)</f>
        <v xml:space="preserve"> 🥅 E3.0 goal net</v>
      </c>
      <c r="F3010" t="b">
        <f t="shared" si="281"/>
        <v>1</v>
      </c>
      <c r="G3010" t="str">
        <f t="shared" ref="G3010:G3073" si="283">LEFT(C3010,(FIND(" ",C3010,1)-1))</f>
        <v>1F945</v>
      </c>
      <c r="I3010">
        <f>HEX2DEC(Table1[[#This Row],[utf8]])</f>
        <v>129349</v>
      </c>
      <c r="J3010" t="str">
        <f>_xlfn.UNICHAR(HEX2DEC(Table1[[#This Row],[utf8]]))</f>
        <v>🥅</v>
      </c>
      <c r="K3010" s="3" t="str" cm="1">
        <f t="array" ref="K3010">"Case "&amp;wRandomLetter()&amp;wRandomLetter()&amp;I3010&amp;":    UniConst = ChrW(" &amp; I3010 &amp;")"</f>
        <v>Case Gk129349:    UniConst = ChrW(129349)</v>
      </c>
    </row>
    <row r="3011" spans="1:11" hidden="1">
      <c r="A3011" t="s">
        <v>3728</v>
      </c>
      <c r="B3011" t="str">
        <f t="shared" ref="B3011:B3074" si="284">TRIM(A3011)</f>
        <v>1F947 ; fully-qualified # 🥇 E3.0 1st place medal</v>
      </c>
      <c r="C3011" t="str">
        <f t="shared" ref="C3011:C3074" si="285">LEFT(B3011,(FIND(";",B3011,1)-1))</f>
        <v xml:space="preserve">1F947 </v>
      </c>
      <c r="D3011">
        <f t="shared" ref="D3011:D3074" si="286">LEN(C3011)</f>
        <v>6</v>
      </c>
      <c r="E3011" t="str">
        <f t="shared" si="282"/>
        <v xml:space="preserve"> 🥇 E3.0 1st place medal</v>
      </c>
      <c r="F3011" t="b">
        <f t="shared" ref="F3011:F3074" si="287">IF(LEFT(C3011,2)="1F",TRUE,FALSE)</f>
        <v>1</v>
      </c>
      <c r="G3011" t="str">
        <f t="shared" si="283"/>
        <v>1F947</v>
      </c>
      <c r="I3011">
        <f>HEX2DEC(Table1[[#This Row],[utf8]])</f>
        <v>129351</v>
      </c>
      <c r="J3011" t="str">
        <f>_xlfn.UNICHAR(HEX2DEC(Table1[[#This Row],[utf8]]))</f>
        <v>🥇</v>
      </c>
      <c r="K3011" s="3" t="str" cm="1">
        <f t="array" ref="K3011">"Case "&amp;wRandomLetter()&amp;wRandomLetter()&amp;I3011&amp;":    UniConst = ChrW(" &amp; I3011 &amp;")"</f>
        <v>Case gR129351:    UniConst = ChrW(129351)</v>
      </c>
    </row>
    <row r="3012" spans="1:11" hidden="1">
      <c r="A3012" t="s">
        <v>3729</v>
      </c>
      <c r="B3012" t="str">
        <f t="shared" si="284"/>
        <v>1F948 ; fully-qualified # 🥈 E3.0 2nd place medal</v>
      </c>
      <c r="C3012" t="str">
        <f t="shared" si="285"/>
        <v xml:space="preserve">1F948 </v>
      </c>
      <c r="D3012">
        <f t="shared" si="286"/>
        <v>6</v>
      </c>
      <c r="E3012" t="str">
        <f t="shared" si="282"/>
        <v xml:space="preserve"> 🥈 E3.0 2nd place medal</v>
      </c>
      <c r="F3012" t="b">
        <f t="shared" si="287"/>
        <v>1</v>
      </c>
      <c r="G3012" t="str">
        <f t="shared" si="283"/>
        <v>1F948</v>
      </c>
      <c r="I3012">
        <f>HEX2DEC(Table1[[#This Row],[utf8]])</f>
        <v>129352</v>
      </c>
      <c r="J3012" t="str">
        <f>_xlfn.UNICHAR(HEX2DEC(Table1[[#This Row],[utf8]]))</f>
        <v>🥈</v>
      </c>
      <c r="K3012" s="3" t="str" cm="1">
        <f t="array" ref="K3012">"Case "&amp;wRandomLetter()&amp;wRandomLetter()&amp;I3012&amp;":    UniConst = ChrW(" &amp; I3012 &amp;")"</f>
        <v>Case IE129352:    UniConst = ChrW(129352)</v>
      </c>
    </row>
    <row r="3013" spans="1:11" hidden="1">
      <c r="A3013" t="s">
        <v>3730</v>
      </c>
      <c r="B3013" t="str">
        <f t="shared" si="284"/>
        <v>1F949 ; fully-qualified # 🥉 E3.0 3rd place medal</v>
      </c>
      <c r="C3013" t="str">
        <f t="shared" si="285"/>
        <v xml:space="preserve">1F949 </v>
      </c>
      <c r="D3013">
        <f t="shared" si="286"/>
        <v>6</v>
      </c>
      <c r="E3013" t="str">
        <f t="shared" si="282"/>
        <v xml:space="preserve"> 🥉 E3.0 3rd place medal</v>
      </c>
      <c r="F3013" t="b">
        <f t="shared" si="287"/>
        <v>1</v>
      </c>
      <c r="G3013" t="str">
        <f t="shared" si="283"/>
        <v>1F949</v>
      </c>
      <c r="I3013">
        <f>HEX2DEC(Table1[[#This Row],[utf8]])</f>
        <v>129353</v>
      </c>
      <c r="J3013" t="str">
        <f>_xlfn.UNICHAR(HEX2DEC(Table1[[#This Row],[utf8]]))</f>
        <v>🥉</v>
      </c>
      <c r="K3013" s="3" t="str" cm="1">
        <f t="array" ref="K3013">"Case "&amp;wRandomLetter()&amp;wRandomLetter()&amp;I3013&amp;":    UniConst = ChrW(" &amp; I3013 &amp;")"</f>
        <v>Case mp129353:    UniConst = ChrW(129353)</v>
      </c>
    </row>
    <row r="3014" spans="1:11" hidden="1">
      <c r="A3014" t="s">
        <v>3748</v>
      </c>
      <c r="B3014" t="str">
        <f t="shared" si="284"/>
        <v>1F94A ; fully-qualified # 🥊 E3.0 boxing glove</v>
      </c>
      <c r="C3014" t="str">
        <f t="shared" si="285"/>
        <v xml:space="preserve">1F94A </v>
      </c>
      <c r="D3014">
        <f t="shared" si="286"/>
        <v>6</v>
      </c>
      <c r="E3014" t="str">
        <f t="shared" si="282"/>
        <v xml:space="preserve"> 🥊 E3.0 boxing glove</v>
      </c>
      <c r="F3014" t="b">
        <f t="shared" si="287"/>
        <v>1</v>
      </c>
      <c r="G3014" t="str">
        <f t="shared" si="283"/>
        <v>1F94A</v>
      </c>
      <c r="I3014">
        <f>HEX2DEC(Table1[[#This Row],[utf8]])</f>
        <v>129354</v>
      </c>
      <c r="J3014" t="str">
        <f>_xlfn.UNICHAR(HEX2DEC(Table1[[#This Row],[utf8]]))</f>
        <v>🥊</v>
      </c>
      <c r="K3014" s="3" t="str" cm="1">
        <f t="array" ref="K3014">"Case "&amp;wRandomLetter()&amp;wRandomLetter()&amp;I3014&amp;":    UniConst = ChrW(" &amp; I3014 &amp;")"</f>
        <v>Case Yl129354:    UniConst = ChrW(129354)</v>
      </c>
    </row>
    <row r="3015" spans="1:11" hidden="1">
      <c r="A3015" t="s">
        <v>3749</v>
      </c>
      <c r="B3015" t="str">
        <f t="shared" si="284"/>
        <v>1F94B ; fully-qualified # 🥋 E3.0 martial arts uniform</v>
      </c>
      <c r="C3015" t="str">
        <f t="shared" si="285"/>
        <v xml:space="preserve">1F94B </v>
      </c>
      <c r="D3015">
        <f t="shared" si="286"/>
        <v>6</v>
      </c>
      <c r="E3015" t="str">
        <f t="shared" si="282"/>
        <v xml:space="preserve"> 🥋 E3.0 martial arts uniform</v>
      </c>
      <c r="F3015" t="b">
        <f t="shared" si="287"/>
        <v>1</v>
      </c>
      <c r="G3015" t="str">
        <f t="shared" si="283"/>
        <v>1F94B</v>
      </c>
      <c r="I3015">
        <f>HEX2DEC(Table1[[#This Row],[utf8]])</f>
        <v>129355</v>
      </c>
      <c r="J3015" t="str">
        <f>_xlfn.UNICHAR(HEX2DEC(Table1[[#This Row],[utf8]]))</f>
        <v>🥋</v>
      </c>
      <c r="K3015" s="3" t="str" cm="1">
        <f t="array" ref="K3015">"Case "&amp;wRandomLetter()&amp;wRandomLetter()&amp;I3015&amp;":    UniConst = ChrW(" &amp; I3015 &amp;")"</f>
        <v>Case Zn129355:    UniConst = ChrW(129355)</v>
      </c>
    </row>
    <row r="3016" spans="1:11" hidden="1">
      <c r="A3016" t="s">
        <v>3759</v>
      </c>
      <c r="B3016" t="str">
        <f t="shared" si="284"/>
        <v>1F94C ; fully-qualified # 🥌 E5.0 curling stone</v>
      </c>
      <c r="C3016" t="str">
        <f t="shared" si="285"/>
        <v xml:space="preserve">1F94C </v>
      </c>
      <c r="D3016">
        <f t="shared" si="286"/>
        <v>6</v>
      </c>
      <c r="E3016" t="str">
        <f t="shared" si="282"/>
        <v xml:space="preserve"> 🥌 E5.0 curling stone</v>
      </c>
      <c r="F3016" t="b">
        <f t="shared" si="287"/>
        <v>1</v>
      </c>
      <c r="G3016" t="str">
        <f t="shared" si="283"/>
        <v>1F94C</v>
      </c>
      <c r="I3016">
        <f>HEX2DEC(Table1[[#This Row],[utf8]])</f>
        <v>129356</v>
      </c>
      <c r="J3016" t="str">
        <f>_xlfn.UNICHAR(HEX2DEC(Table1[[#This Row],[utf8]]))</f>
        <v>🥌</v>
      </c>
      <c r="K3016" s="3" t="str" cm="1">
        <f t="array" ref="K3016">"Case "&amp;wRandomLetter()&amp;wRandomLetter()&amp;I3016&amp;":    UniConst = ChrW(" &amp; I3016 &amp;")"</f>
        <v>Case Dt129356:    UniConst = ChrW(129356)</v>
      </c>
    </row>
    <row r="3017" spans="1:11" hidden="1">
      <c r="A3017" t="s">
        <v>3745</v>
      </c>
      <c r="B3017" t="str">
        <f t="shared" si="284"/>
        <v>1F94D ; fully-qualified # 🥍 E11.0 lacrosse</v>
      </c>
      <c r="C3017" t="str">
        <f t="shared" si="285"/>
        <v xml:space="preserve">1F94D </v>
      </c>
      <c r="D3017">
        <f t="shared" si="286"/>
        <v>6</v>
      </c>
      <c r="E3017" t="str">
        <f t="shared" si="282"/>
        <v xml:space="preserve"> 🥍 E11.0 lacrosse</v>
      </c>
      <c r="F3017" t="b">
        <f t="shared" si="287"/>
        <v>1</v>
      </c>
      <c r="G3017" t="str">
        <f t="shared" si="283"/>
        <v>1F94D</v>
      </c>
      <c r="I3017">
        <f>HEX2DEC(Table1[[#This Row],[utf8]])</f>
        <v>129357</v>
      </c>
      <c r="J3017" t="str">
        <f>_xlfn.UNICHAR(HEX2DEC(Table1[[#This Row],[utf8]]))</f>
        <v>🥍</v>
      </c>
      <c r="K3017" s="3" t="str" cm="1">
        <f t="array" ref="K3017">"Case "&amp;wRandomLetter()&amp;wRandomLetter()&amp;I3017&amp;":    UniConst = ChrW(" &amp; I3017 &amp;")"</f>
        <v>Case tT129357:    UniConst = ChrW(129357)</v>
      </c>
    </row>
    <row r="3018" spans="1:11" hidden="1">
      <c r="A3018" t="s">
        <v>3734</v>
      </c>
      <c r="B3018" t="str">
        <f t="shared" si="284"/>
        <v>1F94E ; fully-qualified # 🥎 E11.0 softball</v>
      </c>
      <c r="C3018" t="str">
        <f t="shared" si="285"/>
        <v xml:space="preserve">1F94E </v>
      </c>
      <c r="D3018">
        <f t="shared" si="286"/>
        <v>6</v>
      </c>
      <c r="E3018" t="str">
        <f t="shared" si="282"/>
        <v xml:space="preserve"> 🥎 E11.0 softball</v>
      </c>
      <c r="F3018" t="b">
        <f t="shared" si="287"/>
        <v>1</v>
      </c>
      <c r="G3018" t="str">
        <f t="shared" si="283"/>
        <v>1F94E</v>
      </c>
      <c r="I3018">
        <f>HEX2DEC(Table1[[#This Row],[utf8]])</f>
        <v>129358</v>
      </c>
      <c r="J3018" t="str">
        <f>_xlfn.UNICHAR(HEX2DEC(Table1[[#This Row],[utf8]]))</f>
        <v>🥎</v>
      </c>
      <c r="K3018" s="3" t="str" cm="1">
        <f t="array" ref="K3018">"Case "&amp;wRandomLetter()&amp;wRandomLetter()&amp;I3018&amp;":    UniConst = ChrW(" &amp; I3018 &amp;")"</f>
        <v>Case NR129358:    UniConst = ChrW(129358)</v>
      </c>
    </row>
    <row r="3019" spans="1:11" hidden="1">
      <c r="A3019" t="s">
        <v>3740</v>
      </c>
      <c r="B3019" t="str">
        <f t="shared" si="284"/>
        <v>1F94F ; fully-qualified # 🥏 E11.0 flying disc</v>
      </c>
      <c r="C3019" t="str">
        <f t="shared" si="285"/>
        <v xml:space="preserve">1F94F </v>
      </c>
      <c r="D3019">
        <f t="shared" si="286"/>
        <v>6</v>
      </c>
      <c r="E3019" t="str">
        <f t="shared" si="282"/>
        <v xml:space="preserve"> 🥏 E11.0 flying disc</v>
      </c>
      <c r="F3019" t="b">
        <f t="shared" si="287"/>
        <v>1</v>
      </c>
      <c r="G3019" t="str">
        <f t="shared" si="283"/>
        <v>1F94F</v>
      </c>
      <c r="I3019">
        <f>HEX2DEC(Table1[[#This Row],[utf8]])</f>
        <v>129359</v>
      </c>
      <c r="J3019" t="str">
        <f>_xlfn.UNICHAR(HEX2DEC(Table1[[#This Row],[utf8]]))</f>
        <v>🥏</v>
      </c>
      <c r="K3019" s="3" t="str" cm="1">
        <f t="array" ref="K3019">"Case "&amp;wRandomLetter()&amp;wRandomLetter()&amp;I3019&amp;":    UniConst = ChrW(" &amp; I3019 &amp;")"</f>
        <v>Case iK129359:    UniConst = ChrW(129359)</v>
      </c>
    </row>
    <row r="3020" spans="1:11" hidden="1">
      <c r="A3020" t="s">
        <v>3318</v>
      </c>
      <c r="B3020" t="str">
        <f t="shared" si="284"/>
        <v>1F950 ; fully-qualified # 🥐 E3.0 croissant</v>
      </c>
      <c r="C3020" t="str">
        <f t="shared" si="285"/>
        <v xml:space="preserve">1F950 </v>
      </c>
      <c r="D3020">
        <f t="shared" si="286"/>
        <v>6</v>
      </c>
      <c r="E3020" t="str">
        <f t="shared" si="282"/>
        <v xml:space="preserve"> 🥐 E3.0 croissant</v>
      </c>
      <c r="F3020" t="b">
        <f t="shared" si="287"/>
        <v>1</v>
      </c>
      <c r="G3020" t="str">
        <f t="shared" si="283"/>
        <v>1F950</v>
      </c>
      <c r="I3020">
        <f>HEX2DEC(Table1[[#This Row],[utf8]])</f>
        <v>129360</v>
      </c>
      <c r="J3020" t="str">
        <f>_xlfn.UNICHAR(HEX2DEC(Table1[[#This Row],[utf8]]))</f>
        <v>🥐</v>
      </c>
      <c r="K3020" s="3" t="str" cm="1">
        <f t="array" ref="K3020">"Case "&amp;wRandomLetter()&amp;wRandomLetter()&amp;I3020&amp;":    UniConst = ChrW(" &amp; I3020 &amp;")"</f>
        <v>Case QN129360:    UniConst = ChrW(129360)</v>
      </c>
    </row>
    <row r="3021" spans="1:11" hidden="1">
      <c r="A3021" t="s">
        <v>3300</v>
      </c>
      <c r="B3021" t="str">
        <f t="shared" si="284"/>
        <v>1F951 ; fully-qualified # 🥑 E3.0 avocado</v>
      </c>
      <c r="C3021" t="str">
        <f t="shared" si="285"/>
        <v xml:space="preserve">1F951 </v>
      </c>
      <c r="D3021">
        <f t="shared" si="286"/>
        <v>6</v>
      </c>
      <c r="E3021" t="str">
        <f t="shared" si="282"/>
        <v xml:space="preserve"> 🥑 E3.0 avocado</v>
      </c>
      <c r="F3021" t="b">
        <f t="shared" si="287"/>
        <v>1</v>
      </c>
      <c r="G3021" t="str">
        <f t="shared" si="283"/>
        <v>1F951</v>
      </c>
      <c r="I3021">
        <f>HEX2DEC(Table1[[#This Row],[utf8]])</f>
        <v>129361</v>
      </c>
      <c r="J3021" t="str">
        <f>_xlfn.UNICHAR(HEX2DEC(Table1[[#This Row],[utf8]]))</f>
        <v>🥑</v>
      </c>
      <c r="K3021" s="3" t="str" cm="1">
        <f t="array" ref="K3021">"Case "&amp;wRandomLetter()&amp;wRandomLetter()&amp;I3021&amp;":    UniConst = ChrW(" &amp; I3021 &amp;")"</f>
        <v>Case DV129361:    UniConst = ChrW(129361)</v>
      </c>
    </row>
    <row r="3022" spans="1:11" hidden="1">
      <c r="A3022" t="s">
        <v>3308</v>
      </c>
      <c r="B3022" t="str">
        <f t="shared" si="284"/>
        <v>1F952 ; fully-qualified # 🥒 E3.0 cucumber</v>
      </c>
      <c r="C3022" t="str">
        <f t="shared" si="285"/>
        <v xml:space="preserve">1F952 </v>
      </c>
      <c r="D3022">
        <f t="shared" si="286"/>
        <v>6</v>
      </c>
      <c r="E3022" t="str">
        <f t="shared" si="282"/>
        <v xml:space="preserve"> 🥒 E3.0 cucumber</v>
      </c>
      <c r="F3022" t="b">
        <f t="shared" si="287"/>
        <v>1</v>
      </c>
      <c r="G3022" t="str">
        <f t="shared" si="283"/>
        <v>1F952</v>
      </c>
      <c r="I3022">
        <f>HEX2DEC(Table1[[#This Row],[utf8]])</f>
        <v>129362</v>
      </c>
      <c r="J3022" t="str">
        <f>_xlfn.UNICHAR(HEX2DEC(Table1[[#This Row],[utf8]]))</f>
        <v>🥒</v>
      </c>
      <c r="K3022" s="3" t="str" cm="1">
        <f t="array" ref="K3022">"Case "&amp;wRandomLetter()&amp;wRandomLetter()&amp;I3022&amp;":    UniConst = ChrW(" &amp; I3022 &amp;")"</f>
        <v>Case Nb129362:    UniConst = ChrW(129362)</v>
      </c>
    </row>
    <row r="3023" spans="1:11" hidden="1">
      <c r="A3023" t="s">
        <v>3329</v>
      </c>
      <c r="B3023" t="str">
        <f t="shared" si="284"/>
        <v>1F953 ; fully-qualified # 🥓 E3.0 bacon</v>
      </c>
      <c r="C3023" t="str">
        <f t="shared" si="285"/>
        <v xml:space="preserve">1F953 </v>
      </c>
      <c r="D3023">
        <f t="shared" si="286"/>
        <v>6</v>
      </c>
      <c r="E3023" t="str">
        <f t="shared" si="282"/>
        <v xml:space="preserve"> 🥓 E3.0 bacon</v>
      </c>
      <c r="F3023" t="b">
        <f t="shared" si="287"/>
        <v>1</v>
      </c>
      <c r="G3023" t="str">
        <f t="shared" si="283"/>
        <v>1F953</v>
      </c>
      <c r="I3023">
        <f>HEX2DEC(Table1[[#This Row],[utf8]])</f>
        <v>129363</v>
      </c>
      <c r="J3023" t="str">
        <f>_xlfn.UNICHAR(HEX2DEC(Table1[[#This Row],[utf8]]))</f>
        <v>🥓</v>
      </c>
      <c r="K3023" s="3" t="str" cm="1">
        <f t="array" ref="K3023">"Case "&amp;wRandomLetter()&amp;wRandomLetter()&amp;I3023&amp;":    UniConst = ChrW(" &amp; I3023 &amp;")"</f>
        <v>Case Ui129363:    UniConst = ChrW(129363)</v>
      </c>
    </row>
    <row r="3024" spans="1:11" hidden="1">
      <c r="A3024" t="s">
        <v>3302</v>
      </c>
      <c r="B3024" t="str">
        <f t="shared" si="284"/>
        <v>1F954 ; fully-qualified # 🥔 E3.0 potato</v>
      </c>
      <c r="C3024" t="str">
        <f t="shared" si="285"/>
        <v xml:space="preserve">1F954 </v>
      </c>
      <c r="D3024">
        <f t="shared" si="286"/>
        <v>6</v>
      </c>
      <c r="E3024" t="str">
        <f t="shared" si="282"/>
        <v xml:space="preserve"> 🥔 E3.0 potato</v>
      </c>
      <c r="F3024" t="b">
        <f t="shared" si="287"/>
        <v>1</v>
      </c>
      <c r="G3024" t="str">
        <f t="shared" si="283"/>
        <v>1F954</v>
      </c>
      <c r="I3024">
        <f>HEX2DEC(Table1[[#This Row],[utf8]])</f>
        <v>129364</v>
      </c>
      <c r="J3024" t="str">
        <f>_xlfn.UNICHAR(HEX2DEC(Table1[[#This Row],[utf8]]))</f>
        <v>🥔</v>
      </c>
      <c r="K3024" s="3" t="str" cm="1">
        <f t="array" ref="K3024">"Case "&amp;wRandomLetter()&amp;wRandomLetter()&amp;I3024&amp;":    UniConst = ChrW(" &amp; I3024 &amp;")"</f>
        <v>Case Mc129364:    UniConst = ChrW(129364)</v>
      </c>
    </row>
    <row r="3025" spans="1:11" hidden="1">
      <c r="A3025" t="s">
        <v>3303</v>
      </c>
      <c r="B3025" t="str">
        <f t="shared" si="284"/>
        <v>1F955 ; fully-qualified # 🥕 E3.0 carrot</v>
      </c>
      <c r="C3025" t="str">
        <f t="shared" si="285"/>
        <v xml:space="preserve">1F955 </v>
      </c>
      <c r="D3025">
        <f t="shared" si="286"/>
        <v>6</v>
      </c>
      <c r="E3025" t="str">
        <f t="shared" si="282"/>
        <v xml:space="preserve"> 🥕 E3.0 carrot</v>
      </c>
      <c r="F3025" t="b">
        <f t="shared" si="287"/>
        <v>1</v>
      </c>
      <c r="G3025" t="str">
        <f t="shared" si="283"/>
        <v>1F955</v>
      </c>
      <c r="I3025">
        <f>HEX2DEC(Table1[[#This Row],[utf8]])</f>
        <v>129365</v>
      </c>
      <c r="J3025" t="str">
        <f>_xlfn.UNICHAR(HEX2DEC(Table1[[#This Row],[utf8]]))</f>
        <v>🥕</v>
      </c>
      <c r="K3025" s="3" t="str" cm="1">
        <f t="array" ref="K3025">"Case "&amp;wRandomLetter()&amp;wRandomLetter()&amp;I3025&amp;":    UniConst = ChrW(" &amp; I3025 &amp;")"</f>
        <v>Case Al129365:    UniConst = ChrW(129365)</v>
      </c>
    </row>
    <row r="3026" spans="1:11" hidden="1">
      <c r="A3026" t="s">
        <v>3319</v>
      </c>
      <c r="B3026" t="str">
        <f t="shared" si="284"/>
        <v>1F956 ; fully-qualified # 🥖 E3.0 baguette bread</v>
      </c>
      <c r="C3026" t="str">
        <f t="shared" si="285"/>
        <v xml:space="preserve">1F956 </v>
      </c>
      <c r="D3026">
        <f t="shared" si="286"/>
        <v>6</v>
      </c>
      <c r="E3026" t="str">
        <f t="shared" si="282"/>
        <v xml:space="preserve"> 🥖 E3.0 baguette bread</v>
      </c>
      <c r="F3026" t="b">
        <f t="shared" si="287"/>
        <v>1</v>
      </c>
      <c r="G3026" t="str">
        <f t="shared" si="283"/>
        <v>1F956</v>
      </c>
      <c r="I3026">
        <f>HEX2DEC(Table1[[#This Row],[utf8]])</f>
        <v>129366</v>
      </c>
      <c r="J3026" t="str">
        <f>_xlfn.UNICHAR(HEX2DEC(Table1[[#This Row],[utf8]]))</f>
        <v>🥖</v>
      </c>
      <c r="K3026" s="3" t="str" cm="1">
        <f t="array" ref="K3026">"Case "&amp;wRandomLetter()&amp;wRandomLetter()&amp;I3026&amp;":    UniConst = ChrW(" &amp; I3026 &amp;")"</f>
        <v>Case UD129366:    UniConst = ChrW(129366)</v>
      </c>
    </row>
    <row r="3027" spans="1:11" hidden="1">
      <c r="A3027" t="s">
        <v>3346</v>
      </c>
      <c r="B3027" t="str">
        <f t="shared" si="284"/>
        <v>1F957 ; fully-qualified # 🥗 E3.0 green salad</v>
      </c>
      <c r="C3027" t="str">
        <f t="shared" si="285"/>
        <v xml:space="preserve">1F957 </v>
      </c>
      <c r="D3027">
        <f t="shared" si="286"/>
        <v>6</v>
      </c>
      <c r="E3027" t="str">
        <f t="shared" si="282"/>
        <v xml:space="preserve"> 🥗 E3.0 green salad</v>
      </c>
      <c r="F3027" t="b">
        <f t="shared" si="287"/>
        <v>1</v>
      </c>
      <c r="G3027" t="str">
        <f t="shared" si="283"/>
        <v>1F957</v>
      </c>
      <c r="I3027">
        <f>HEX2DEC(Table1[[#This Row],[utf8]])</f>
        <v>129367</v>
      </c>
      <c r="J3027" t="str">
        <f>_xlfn.UNICHAR(HEX2DEC(Table1[[#This Row],[utf8]]))</f>
        <v>🥗</v>
      </c>
      <c r="K3027" s="3" t="str" cm="1">
        <f t="array" ref="K3027">"Case "&amp;wRandomLetter()&amp;wRandomLetter()&amp;I3027&amp;":    UniConst = ChrW(" &amp; I3027 &amp;")"</f>
        <v>Case Re129367:    UniConst = ChrW(129367)</v>
      </c>
    </row>
    <row r="3028" spans="1:11" hidden="1">
      <c r="A3028" t="s">
        <v>3342</v>
      </c>
      <c r="B3028" t="str">
        <f t="shared" si="284"/>
        <v>1F958 ; fully-qualified # 🥘 E3.0 shallow pan of food</v>
      </c>
      <c r="C3028" t="str">
        <f t="shared" si="285"/>
        <v xml:space="preserve">1F958 </v>
      </c>
      <c r="D3028">
        <f t="shared" si="286"/>
        <v>6</v>
      </c>
      <c r="E3028" t="str">
        <f t="shared" si="282"/>
        <v xml:space="preserve"> 🥘 E3.0 shallow pan of food</v>
      </c>
      <c r="F3028" t="b">
        <f t="shared" si="287"/>
        <v>1</v>
      </c>
      <c r="G3028" t="str">
        <f t="shared" si="283"/>
        <v>1F958</v>
      </c>
      <c r="I3028">
        <f>HEX2DEC(Table1[[#This Row],[utf8]])</f>
        <v>129368</v>
      </c>
      <c r="J3028" t="str">
        <f>_xlfn.UNICHAR(HEX2DEC(Table1[[#This Row],[utf8]]))</f>
        <v>🥘</v>
      </c>
      <c r="K3028" s="3" t="str" cm="1">
        <f t="array" ref="K3028">"Case "&amp;wRandomLetter()&amp;wRandomLetter()&amp;I3028&amp;":    UniConst = ChrW(" &amp; I3028 &amp;")"</f>
        <v>Case AO129368:    UniConst = ChrW(129368)</v>
      </c>
    </row>
    <row r="3029" spans="1:11" hidden="1">
      <c r="A3029" t="s">
        <v>3338</v>
      </c>
      <c r="B3029" t="str">
        <f t="shared" si="284"/>
        <v>1F959 ; fully-qualified # 🥙 E3.0 stuffed flatbread</v>
      </c>
      <c r="C3029" t="str">
        <f t="shared" si="285"/>
        <v xml:space="preserve">1F959 </v>
      </c>
      <c r="D3029">
        <f t="shared" si="286"/>
        <v>6</v>
      </c>
      <c r="E3029" t="str">
        <f t="shared" si="282"/>
        <v xml:space="preserve"> 🥙 E3.0 stuffed flatbread</v>
      </c>
      <c r="F3029" t="b">
        <f t="shared" si="287"/>
        <v>1</v>
      </c>
      <c r="G3029" t="str">
        <f t="shared" si="283"/>
        <v>1F959</v>
      </c>
      <c r="I3029">
        <f>HEX2DEC(Table1[[#This Row],[utf8]])</f>
        <v>129369</v>
      </c>
      <c r="J3029" t="str">
        <f>_xlfn.UNICHAR(HEX2DEC(Table1[[#This Row],[utf8]]))</f>
        <v>🥙</v>
      </c>
      <c r="K3029" s="3" t="str" cm="1">
        <f t="array" ref="K3029">"Case "&amp;wRandomLetter()&amp;wRandomLetter()&amp;I3029&amp;":    UniConst = ChrW(" &amp; I3029 &amp;")"</f>
        <v>Case nz129369:    UniConst = ChrW(129369)</v>
      </c>
    </row>
    <row r="3030" spans="1:11" hidden="1">
      <c r="A3030" t="s">
        <v>3340</v>
      </c>
      <c r="B3030" t="str">
        <f t="shared" si="284"/>
        <v>1F95A ; fully-qualified # 🥚 E3.0 egg</v>
      </c>
      <c r="C3030" t="str">
        <f t="shared" si="285"/>
        <v xml:space="preserve">1F95A </v>
      </c>
      <c r="D3030">
        <f t="shared" si="286"/>
        <v>6</v>
      </c>
      <c r="E3030" t="str">
        <f t="shared" si="282"/>
        <v xml:space="preserve"> 🥚 E3.0 egg</v>
      </c>
      <c r="F3030" t="b">
        <f t="shared" si="287"/>
        <v>1</v>
      </c>
      <c r="G3030" t="str">
        <f t="shared" si="283"/>
        <v>1F95A</v>
      </c>
      <c r="I3030">
        <f>HEX2DEC(Table1[[#This Row],[utf8]])</f>
        <v>129370</v>
      </c>
      <c r="J3030" t="str">
        <f>_xlfn.UNICHAR(HEX2DEC(Table1[[#This Row],[utf8]]))</f>
        <v>🥚</v>
      </c>
      <c r="K3030" s="3" t="str" cm="1">
        <f t="array" ref="K3030">"Case "&amp;wRandomLetter()&amp;wRandomLetter()&amp;I3030&amp;":    UniConst = ChrW(" &amp; I3030 &amp;")"</f>
        <v>Case fc129370:    UniConst = ChrW(129370)</v>
      </c>
    </row>
    <row r="3031" spans="1:11" hidden="1">
      <c r="A3031" t="s">
        <v>3392</v>
      </c>
      <c r="B3031" t="str">
        <f t="shared" si="284"/>
        <v>1F95B ; fully-qualified # 🥛 E3.0 glass of milk</v>
      </c>
      <c r="C3031" t="str">
        <f t="shared" si="285"/>
        <v xml:space="preserve">1F95B </v>
      </c>
      <c r="D3031">
        <f t="shared" si="286"/>
        <v>6</v>
      </c>
      <c r="E3031" t="str">
        <f t="shared" si="282"/>
        <v xml:space="preserve"> 🥛 E3.0 glass of milk</v>
      </c>
      <c r="F3031" t="b">
        <f t="shared" si="287"/>
        <v>1</v>
      </c>
      <c r="G3031" t="str">
        <f t="shared" si="283"/>
        <v>1F95B</v>
      </c>
      <c r="I3031">
        <f>HEX2DEC(Table1[[#This Row],[utf8]])</f>
        <v>129371</v>
      </c>
      <c r="J3031" t="str">
        <f>_xlfn.UNICHAR(HEX2DEC(Table1[[#This Row],[utf8]]))</f>
        <v>🥛</v>
      </c>
      <c r="K3031" s="3" t="str" cm="1">
        <f t="array" ref="K3031">"Case "&amp;wRandomLetter()&amp;wRandomLetter()&amp;I3031&amp;":    UniConst = ChrW(" &amp; I3031 &amp;")"</f>
        <v>Case Ma129371:    UniConst = ChrW(129371)</v>
      </c>
    </row>
    <row r="3032" spans="1:11" hidden="1">
      <c r="A3032" t="s">
        <v>3314</v>
      </c>
      <c r="B3032" t="str">
        <f t="shared" si="284"/>
        <v>1F95C ; fully-qualified # 🥜 E3.0 peanuts</v>
      </c>
      <c r="C3032" t="str">
        <f t="shared" si="285"/>
        <v xml:space="preserve">1F95C </v>
      </c>
      <c r="D3032">
        <f t="shared" si="286"/>
        <v>6</v>
      </c>
      <c r="E3032" t="str">
        <f t="shared" si="282"/>
        <v xml:space="preserve"> 🥜 E3.0 peanuts</v>
      </c>
      <c r="F3032" t="b">
        <f t="shared" si="287"/>
        <v>1</v>
      </c>
      <c r="G3032" t="str">
        <f t="shared" si="283"/>
        <v>1F95C</v>
      </c>
      <c r="I3032">
        <f>HEX2DEC(Table1[[#This Row],[utf8]])</f>
        <v>129372</v>
      </c>
      <c r="J3032" t="str">
        <f>_xlfn.UNICHAR(HEX2DEC(Table1[[#This Row],[utf8]]))</f>
        <v>🥜</v>
      </c>
      <c r="K3032" s="3" t="str" cm="1">
        <f t="array" ref="K3032">"Case "&amp;wRandomLetter()&amp;wRandomLetter()&amp;I3032&amp;":    UniConst = ChrW(" &amp; I3032 &amp;")"</f>
        <v>Case vF129372:    UniConst = ChrW(129372)</v>
      </c>
    </row>
    <row r="3033" spans="1:11" hidden="1">
      <c r="A3033" t="s">
        <v>3295</v>
      </c>
      <c r="B3033" t="str">
        <f t="shared" si="284"/>
        <v>1F95D ; fully-qualified # 🥝 E3.0 kiwi fruit</v>
      </c>
      <c r="C3033" t="str">
        <f t="shared" si="285"/>
        <v xml:space="preserve">1F95D </v>
      </c>
      <c r="D3033">
        <f t="shared" si="286"/>
        <v>6</v>
      </c>
      <c r="E3033" t="str">
        <f t="shared" si="282"/>
        <v xml:space="preserve"> 🥝 E3.0 kiwi fruit</v>
      </c>
      <c r="F3033" t="b">
        <f t="shared" si="287"/>
        <v>1</v>
      </c>
      <c r="G3033" t="str">
        <f t="shared" si="283"/>
        <v>1F95D</v>
      </c>
      <c r="I3033">
        <f>HEX2DEC(Table1[[#This Row],[utf8]])</f>
        <v>129373</v>
      </c>
      <c r="J3033" t="str">
        <f>_xlfn.UNICHAR(HEX2DEC(Table1[[#This Row],[utf8]]))</f>
        <v>🥝</v>
      </c>
      <c r="K3033" s="3" t="str" cm="1">
        <f t="array" ref="K3033">"Case "&amp;wRandomLetter()&amp;wRandomLetter()&amp;I3033&amp;":    UniConst = ChrW(" &amp; I3033 &amp;")"</f>
        <v>Case Jm129373:    UniConst = ChrW(129373)</v>
      </c>
    </row>
    <row r="3034" spans="1:11" hidden="1">
      <c r="A3034" t="s">
        <v>3323</v>
      </c>
      <c r="B3034" t="str">
        <f t="shared" si="284"/>
        <v>1F95E ; fully-qualified # 🥞 E3.0 pancakes</v>
      </c>
      <c r="C3034" t="str">
        <f t="shared" si="285"/>
        <v xml:space="preserve">1F95E </v>
      </c>
      <c r="D3034">
        <f t="shared" si="286"/>
        <v>6</v>
      </c>
      <c r="E3034" t="str">
        <f t="shared" si="282"/>
        <v xml:space="preserve"> 🥞 E3.0 pancakes</v>
      </c>
      <c r="F3034" t="b">
        <f t="shared" si="287"/>
        <v>1</v>
      </c>
      <c r="G3034" t="str">
        <f t="shared" si="283"/>
        <v>1F95E</v>
      </c>
      <c r="I3034">
        <f>HEX2DEC(Table1[[#This Row],[utf8]])</f>
        <v>129374</v>
      </c>
      <c r="J3034" t="str">
        <f>_xlfn.UNICHAR(HEX2DEC(Table1[[#This Row],[utf8]]))</f>
        <v>🥞</v>
      </c>
      <c r="K3034" s="3" t="str" cm="1">
        <f t="array" ref="K3034">"Case "&amp;wRandomLetter()&amp;wRandomLetter()&amp;I3034&amp;":    UniConst = ChrW(" &amp; I3034 &amp;")"</f>
        <v>Case Kl129374:    UniConst = ChrW(129374)</v>
      </c>
    </row>
    <row r="3035" spans="1:11" hidden="1">
      <c r="A3035" t="s">
        <v>3366</v>
      </c>
      <c r="B3035" t="str">
        <f t="shared" si="284"/>
        <v>1F95F ; fully-qualified # 🥟 E5.0 dumpling</v>
      </c>
      <c r="C3035" t="str">
        <f t="shared" si="285"/>
        <v xml:space="preserve">1F95F </v>
      </c>
      <c r="D3035">
        <f t="shared" si="286"/>
        <v>6</v>
      </c>
      <c r="E3035" t="str">
        <f t="shared" si="282"/>
        <v xml:space="preserve"> 🥟 E5.0 dumpling</v>
      </c>
      <c r="F3035" t="b">
        <f t="shared" si="287"/>
        <v>1</v>
      </c>
      <c r="G3035" t="str">
        <f t="shared" si="283"/>
        <v>1F95F</v>
      </c>
      <c r="I3035">
        <f>HEX2DEC(Table1[[#This Row],[utf8]])</f>
        <v>129375</v>
      </c>
      <c r="J3035" t="str">
        <f>_xlfn.UNICHAR(HEX2DEC(Table1[[#This Row],[utf8]]))</f>
        <v>🥟</v>
      </c>
      <c r="K3035" s="3" t="str" cm="1">
        <f t="array" ref="K3035">"Case "&amp;wRandomLetter()&amp;wRandomLetter()&amp;I3035&amp;":    UniConst = ChrW(" &amp; I3035 &amp;")"</f>
        <v>Case UL129375:    UniConst = ChrW(129375)</v>
      </c>
    </row>
    <row r="3036" spans="1:11" hidden="1">
      <c r="A3036" t="s">
        <v>3367</v>
      </c>
      <c r="B3036" t="str">
        <f t="shared" si="284"/>
        <v>1F960 ; fully-qualified # 🥠 E5.0 fortune cookie</v>
      </c>
      <c r="C3036" t="str">
        <f t="shared" si="285"/>
        <v xml:space="preserve">1F960 </v>
      </c>
      <c r="D3036">
        <f t="shared" si="286"/>
        <v>6</v>
      </c>
      <c r="E3036" t="str">
        <f t="shared" si="282"/>
        <v xml:space="preserve"> 🥠 E5.0 fortune cookie</v>
      </c>
      <c r="F3036" t="b">
        <f t="shared" si="287"/>
        <v>1</v>
      </c>
      <c r="G3036" t="str">
        <f t="shared" si="283"/>
        <v>1F960</v>
      </c>
      <c r="I3036">
        <f>HEX2DEC(Table1[[#This Row],[utf8]])</f>
        <v>129376</v>
      </c>
      <c r="J3036" t="str">
        <f>_xlfn.UNICHAR(HEX2DEC(Table1[[#This Row],[utf8]]))</f>
        <v>🥠</v>
      </c>
      <c r="K3036" s="3" t="str" cm="1">
        <f t="array" ref="K3036">"Case "&amp;wRandomLetter()&amp;wRandomLetter()&amp;I3036&amp;":    UniConst = ChrW(" &amp; I3036 &amp;")"</f>
        <v>Case Zz129376:    UniConst = ChrW(129376)</v>
      </c>
    </row>
    <row r="3037" spans="1:11" hidden="1">
      <c r="A3037" t="s">
        <v>3368</v>
      </c>
      <c r="B3037" t="str">
        <f t="shared" si="284"/>
        <v>1F961 ; fully-qualified # 🥡 E5.0 takeout box</v>
      </c>
      <c r="C3037" t="str">
        <f t="shared" si="285"/>
        <v xml:space="preserve">1F961 </v>
      </c>
      <c r="D3037">
        <f t="shared" si="286"/>
        <v>6</v>
      </c>
      <c r="E3037" t="str">
        <f t="shared" si="282"/>
        <v xml:space="preserve"> 🥡 E5.0 takeout box</v>
      </c>
      <c r="F3037" t="b">
        <f t="shared" si="287"/>
        <v>1</v>
      </c>
      <c r="G3037" t="str">
        <f t="shared" si="283"/>
        <v>1F961</v>
      </c>
      <c r="I3037">
        <f>HEX2DEC(Table1[[#This Row],[utf8]])</f>
        <v>129377</v>
      </c>
      <c r="J3037" t="str">
        <f>_xlfn.UNICHAR(HEX2DEC(Table1[[#This Row],[utf8]]))</f>
        <v>🥡</v>
      </c>
      <c r="K3037" s="3" t="str" cm="1">
        <f t="array" ref="K3037">"Case "&amp;wRandomLetter()&amp;wRandomLetter()&amp;I3037&amp;":    UniConst = ChrW(" &amp; I3037 &amp;")"</f>
        <v>Case hC129377:    UniConst = ChrW(129377)</v>
      </c>
    </row>
    <row r="3038" spans="1:11" hidden="1">
      <c r="A3038" t="s">
        <v>3411</v>
      </c>
      <c r="B3038" t="str">
        <f t="shared" si="284"/>
        <v>1F962 ; fully-qualified # 🥢 E5.0 chopsticks</v>
      </c>
      <c r="C3038" t="str">
        <f t="shared" si="285"/>
        <v xml:space="preserve">1F962 </v>
      </c>
      <c r="D3038">
        <f t="shared" si="286"/>
        <v>6</v>
      </c>
      <c r="E3038" t="str">
        <f t="shared" si="282"/>
        <v xml:space="preserve"> 🥢 E5.0 chopsticks</v>
      </c>
      <c r="F3038" t="b">
        <f t="shared" si="287"/>
        <v>1</v>
      </c>
      <c r="G3038" t="str">
        <f t="shared" si="283"/>
        <v>1F962</v>
      </c>
      <c r="I3038">
        <f>HEX2DEC(Table1[[#This Row],[utf8]])</f>
        <v>129378</v>
      </c>
      <c r="J3038" t="str">
        <f>_xlfn.UNICHAR(HEX2DEC(Table1[[#This Row],[utf8]]))</f>
        <v>🥢</v>
      </c>
      <c r="K3038" s="3" t="str" cm="1">
        <f t="array" ref="K3038">"Case "&amp;wRandomLetter()&amp;wRandomLetter()&amp;I3038&amp;":    UniConst = ChrW(" &amp; I3038 &amp;")"</f>
        <v>Case sJ129378:    UniConst = ChrW(129378)</v>
      </c>
    </row>
    <row r="3039" spans="1:11" hidden="1">
      <c r="A3039" t="s">
        <v>3345</v>
      </c>
      <c r="B3039" t="str">
        <f t="shared" si="284"/>
        <v>1F963 ; fully-qualified # 🥣 E5.0 bowl with spoon</v>
      </c>
      <c r="C3039" t="str">
        <f t="shared" si="285"/>
        <v xml:space="preserve">1F963 </v>
      </c>
      <c r="D3039">
        <f t="shared" si="286"/>
        <v>6</v>
      </c>
      <c r="E3039" t="str">
        <f t="shared" si="282"/>
        <v xml:space="preserve"> 🥣 E5.0 bowl with spoon</v>
      </c>
      <c r="F3039" t="b">
        <f t="shared" si="287"/>
        <v>1</v>
      </c>
      <c r="G3039" t="str">
        <f t="shared" si="283"/>
        <v>1F963</v>
      </c>
      <c r="I3039">
        <f>HEX2DEC(Table1[[#This Row],[utf8]])</f>
        <v>129379</v>
      </c>
      <c r="J3039" t="str">
        <f>_xlfn.UNICHAR(HEX2DEC(Table1[[#This Row],[utf8]]))</f>
        <v>🥣</v>
      </c>
      <c r="K3039" s="3" t="str" cm="1">
        <f t="array" ref="K3039">"Case "&amp;wRandomLetter()&amp;wRandomLetter()&amp;I3039&amp;":    UniConst = ChrW(" &amp; I3039 &amp;")"</f>
        <v>Case CC129379:    UniConst = ChrW(129379)</v>
      </c>
    </row>
    <row r="3040" spans="1:11" hidden="1">
      <c r="A3040" t="s">
        <v>3405</v>
      </c>
      <c r="B3040" t="str">
        <f t="shared" si="284"/>
        <v>1F964 ; fully-qualified # 🥤 E5.0 cup with straw</v>
      </c>
      <c r="C3040" t="str">
        <f t="shared" si="285"/>
        <v xml:space="preserve">1F964 </v>
      </c>
      <c r="D3040">
        <f t="shared" si="286"/>
        <v>6</v>
      </c>
      <c r="E3040" t="str">
        <f t="shared" si="282"/>
        <v xml:space="preserve"> 🥤 E5.0 cup with straw</v>
      </c>
      <c r="F3040" t="b">
        <f t="shared" si="287"/>
        <v>1</v>
      </c>
      <c r="G3040" t="str">
        <f t="shared" si="283"/>
        <v>1F964</v>
      </c>
      <c r="I3040">
        <f>HEX2DEC(Table1[[#This Row],[utf8]])</f>
        <v>129380</v>
      </c>
      <c r="J3040" t="str">
        <f>_xlfn.UNICHAR(HEX2DEC(Table1[[#This Row],[utf8]]))</f>
        <v>🥤</v>
      </c>
      <c r="K3040" s="3" t="str" cm="1">
        <f t="array" ref="K3040">"Case "&amp;wRandomLetter()&amp;wRandomLetter()&amp;I3040&amp;":    UniConst = ChrW(" &amp; I3040 &amp;")"</f>
        <v>Case nO129380:    UniConst = ChrW(129380)</v>
      </c>
    </row>
    <row r="3041" spans="1:11" hidden="1">
      <c r="A3041" t="s">
        <v>3298</v>
      </c>
      <c r="B3041" t="str">
        <f t="shared" si="284"/>
        <v>1F965 ; fully-qualified # 🥥 E5.0 coconut</v>
      </c>
      <c r="C3041" t="str">
        <f t="shared" si="285"/>
        <v xml:space="preserve">1F965 </v>
      </c>
      <c r="D3041">
        <f t="shared" si="286"/>
        <v>6</v>
      </c>
      <c r="E3041" t="str">
        <f t="shared" si="282"/>
        <v xml:space="preserve"> 🥥 E5.0 coconut</v>
      </c>
      <c r="F3041" t="b">
        <f t="shared" si="287"/>
        <v>1</v>
      </c>
      <c r="G3041" t="str">
        <f t="shared" si="283"/>
        <v>1F965</v>
      </c>
      <c r="I3041">
        <f>HEX2DEC(Table1[[#This Row],[utf8]])</f>
        <v>129381</v>
      </c>
      <c r="J3041" t="str">
        <f>_xlfn.UNICHAR(HEX2DEC(Table1[[#This Row],[utf8]]))</f>
        <v>🥥</v>
      </c>
      <c r="K3041" s="3" t="str" cm="1">
        <f t="array" ref="K3041">"Case "&amp;wRandomLetter()&amp;wRandomLetter()&amp;I3041&amp;":    UniConst = ChrW(" &amp; I3041 &amp;")"</f>
        <v>Case qP129381:    UniConst = ChrW(129381)</v>
      </c>
    </row>
    <row r="3042" spans="1:11" hidden="1">
      <c r="A3042" t="s">
        <v>3310</v>
      </c>
      <c r="B3042" t="str">
        <f t="shared" si="284"/>
        <v>1F966 ; fully-qualified # 🥦 E5.0 broccoli</v>
      </c>
      <c r="C3042" t="str">
        <f t="shared" si="285"/>
        <v xml:space="preserve">1F966 </v>
      </c>
      <c r="D3042">
        <f t="shared" si="286"/>
        <v>6</v>
      </c>
      <c r="E3042" t="str">
        <f t="shared" si="282"/>
        <v xml:space="preserve"> 🥦 E5.0 broccoli</v>
      </c>
      <c r="F3042" t="b">
        <f t="shared" si="287"/>
        <v>1</v>
      </c>
      <c r="G3042" t="str">
        <f t="shared" si="283"/>
        <v>1F966</v>
      </c>
      <c r="I3042">
        <f>HEX2DEC(Table1[[#This Row],[utf8]])</f>
        <v>129382</v>
      </c>
      <c r="J3042" t="str">
        <f>_xlfn.UNICHAR(HEX2DEC(Table1[[#This Row],[utf8]]))</f>
        <v>🥦</v>
      </c>
      <c r="K3042" s="3" t="str" cm="1">
        <f t="array" ref="K3042">"Case "&amp;wRandomLetter()&amp;wRandomLetter()&amp;I3042&amp;":    UniConst = ChrW(" &amp; I3042 &amp;")"</f>
        <v>Case Pi129382:    UniConst = ChrW(129382)</v>
      </c>
    </row>
    <row r="3043" spans="1:11" hidden="1">
      <c r="A3043" t="s">
        <v>3384</v>
      </c>
      <c r="B3043" t="str">
        <f t="shared" si="284"/>
        <v>1F967 ; fully-qualified # 🥧 E5.0 pie</v>
      </c>
      <c r="C3043" t="str">
        <f t="shared" si="285"/>
        <v xml:space="preserve">1F967 </v>
      </c>
      <c r="D3043">
        <f t="shared" si="286"/>
        <v>6</v>
      </c>
      <c r="E3043" t="str">
        <f t="shared" si="282"/>
        <v xml:space="preserve"> 🥧 E5.0 pie</v>
      </c>
      <c r="F3043" t="b">
        <f t="shared" si="287"/>
        <v>1</v>
      </c>
      <c r="G3043" t="str">
        <f t="shared" si="283"/>
        <v>1F967</v>
      </c>
      <c r="I3043">
        <f>HEX2DEC(Table1[[#This Row],[utf8]])</f>
        <v>129383</v>
      </c>
      <c r="J3043" t="str">
        <f>_xlfn.UNICHAR(HEX2DEC(Table1[[#This Row],[utf8]]))</f>
        <v>🥧</v>
      </c>
      <c r="K3043" s="3" t="str" cm="1">
        <f t="array" ref="K3043">"Case "&amp;wRandomLetter()&amp;wRandomLetter()&amp;I3043&amp;":    UniConst = ChrW(" &amp; I3043 &amp;")"</f>
        <v>Case ye129383:    UniConst = ChrW(129383)</v>
      </c>
    </row>
    <row r="3044" spans="1:11" hidden="1">
      <c r="A3044" t="s">
        <v>3321</v>
      </c>
      <c r="B3044" t="str">
        <f t="shared" si="284"/>
        <v>1F968 ; fully-qualified # 🥨 E5.0 pretzel</v>
      </c>
      <c r="C3044" t="str">
        <f t="shared" si="285"/>
        <v xml:space="preserve">1F968 </v>
      </c>
      <c r="D3044">
        <f t="shared" si="286"/>
        <v>6</v>
      </c>
      <c r="E3044" t="str">
        <f t="shared" si="282"/>
        <v xml:space="preserve"> 🥨 E5.0 pretzel</v>
      </c>
      <c r="F3044" t="b">
        <f t="shared" si="287"/>
        <v>1</v>
      </c>
      <c r="G3044" t="str">
        <f t="shared" si="283"/>
        <v>1F968</v>
      </c>
      <c r="I3044">
        <f>HEX2DEC(Table1[[#This Row],[utf8]])</f>
        <v>129384</v>
      </c>
      <c r="J3044" t="str">
        <f>_xlfn.UNICHAR(HEX2DEC(Table1[[#This Row],[utf8]]))</f>
        <v>🥨</v>
      </c>
      <c r="K3044" s="3" t="str" cm="1">
        <f t="array" ref="K3044">"Case "&amp;wRandomLetter()&amp;wRandomLetter()&amp;I3044&amp;":    UniConst = ChrW(" &amp; I3044 &amp;")"</f>
        <v>Case pC129384:    UniConst = ChrW(129384)</v>
      </c>
    </row>
    <row r="3045" spans="1:11" hidden="1">
      <c r="A3045" t="s">
        <v>3328</v>
      </c>
      <c r="B3045" t="str">
        <f t="shared" si="284"/>
        <v>1F969 ; fully-qualified # 🥩 E5.0 cut of meat</v>
      </c>
      <c r="C3045" t="str">
        <f t="shared" si="285"/>
        <v xml:space="preserve">1F969 </v>
      </c>
      <c r="D3045">
        <f t="shared" si="286"/>
        <v>6</v>
      </c>
      <c r="E3045" t="str">
        <f t="shared" si="282"/>
        <v xml:space="preserve"> 🥩 E5.0 cut of meat</v>
      </c>
      <c r="F3045" t="b">
        <f t="shared" si="287"/>
        <v>1</v>
      </c>
      <c r="G3045" t="str">
        <f t="shared" si="283"/>
        <v>1F969</v>
      </c>
      <c r="I3045">
        <f>HEX2DEC(Table1[[#This Row],[utf8]])</f>
        <v>129385</v>
      </c>
      <c r="J3045" t="str">
        <f>_xlfn.UNICHAR(HEX2DEC(Table1[[#This Row],[utf8]]))</f>
        <v>🥩</v>
      </c>
      <c r="K3045" s="3" t="str" cm="1">
        <f t="array" ref="K3045">"Case "&amp;wRandomLetter()&amp;wRandomLetter()&amp;I3045&amp;":    UniConst = ChrW(" &amp; I3045 &amp;")"</f>
        <v>Case IE129385:    UniConst = ChrW(129385)</v>
      </c>
    </row>
    <row r="3046" spans="1:11" hidden="1">
      <c r="A3046" t="s">
        <v>3334</v>
      </c>
      <c r="B3046" t="str">
        <f t="shared" si="284"/>
        <v>1F96A ; fully-qualified # 🥪 E5.0 sandwich</v>
      </c>
      <c r="C3046" t="str">
        <f t="shared" si="285"/>
        <v xml:space="preserve">1F96A </v>
      </c>
      <c r="D3046">
        <f t="shared" si="286"/>
        <v>6</v>
      </c>
      <c r="E3046" t="str">
        <f t="shared" si="282"/>
        <v xml:space="preserve"> 🥪 E5.0 sandwich</v>
      </c>
      <c r="F3046" t="b">
        <f t="shared" si="287"/>
        <v>1</v>
      </c>
      <c r="G3046" t="str">
        <f t="shared" si="283"/>
        <v>1F96A</v>
      </c>
      <c r="I3046">
        <f>HEX2DEC(Table1[[#This Row],[utf8]])</f>
        <v>129386</v>
      </c>
      <c r="J3046" t="str">
        <f>_xlfn.UNICHAR(HEX2DEC(Table1[[#This Row],[utf8]]))</f>
        <v>🥪</v>
      </c>
      <c r="K3046" s="3" t="str" cm="1">
        <f t="array" ref="K3046">"Case "&amp;wRandomLetter()&amp;wRandomLetter()&amp;I3046&amp;":    UniConst = ChrW(" &amp; I3046 &amp;")"</f>
        <v>Case cT129386:    UniConst = ChrW(129386)</v>
      </c>
    </row>
    <row r="3047" spans="1:11" hidden="1">
      <c r="A3047" t="s">
        <v>3350</v>
      </c>
      <c r="B3047" t="str">
        <f t="shared" si="284"/>
        <v>1F96B ; fully-qualified # 🥫 E5.0 canned food</v>
      </c>
      <c r="C3047" t="str">
        <f t="shared" si="285"/>
        <v xml:space="preserve">1F96B </v>
      </c>
      <c r="D3047">
        <f t="shared" si="286"/>
        <v>6</v>
      </c>
      <c r="E3047" t="str">
        <f t="shared" si="282"/>
        <v xml:space="preserve"> 🥫 E5.0 canned food</v>
      </c>
      <c r="F3047" t="b">
        <f t="shared" si="287"/>
        <v>1</v>
      </c>
      <c r="G3047" t="str">
        <f t="shared" si="283"/>
        <v>1F96B</v>
      </c>
      <c r="I3047">
        <f>HEX2DEC(Table1[[#This Row],[utf8]])</f>
        <v>129387</v>
      </c>
      <c r="J3047" t="str">
        <f>_xlfn.UNICHAR(HEX2DEC(Table1[[#This Row],[utf8]]))</f>
        <v>🥫</v>
      </c>
      <c r="K3047" s="3" t="str" cm="1">
        <f t="array" ref="K3047">"Case "&amp;wRandomLetter()&amp;wRandomLetter()&amp;I3047&amp;":    UniConst = ChrW(" &amp; I3047 &amp;")"</f>
        <v>Case vB129387:    UniConst = ChrW(129387)</v>
      </c>
    </row>
    <row r="3048" spans="1:11" hidden="1">
      <c r="A3048" t="s">
        <v>3309</v>
      </c>
      <c r="B3048" t="str">
        <f t="shared" si="284"/>
        <v>1F96C ; fully-qualified # 🥬 E11.0 leafy green</v>
      </c>
      <c r="C3048" t="str">
        <f t="shared" si="285"/>
        <v xml:space="preserve">1F96C </v>
      </c>
      <c r="D3048">
        <f t="shared" si="286"/>
        <v>6</v>
      </c>
      <c r="E3048" t="str">
        <f t="shared" si="282"/>
        <v xml:space="preserve"> 🥬 E11.0 leafy green</v>
      </c>
      <c r="F3048" t="b">
        <f t="shared" si="287"/>
        <v>1</v>
      </c>
      <c r="G3048" t="str">
        <f t="shared" si="283"/>
        <v>1F96C</v>
      </c>
      <c r="I3048">
        <f>HEX2DEC(Table1[[#This Row],[utf8]])</f>
        <v>129388</v>
      </c>
      <c r="J3048" t="str">
        <f>_xlfn.UNICHAR(HEX2DEC(Table1[[#This Row],[utf8]]))</f>
        <v>🥬</v>
      </c>
      <c r="K3048" s="3" t="str" cm="1">
        <f t="array" ref="K3048">"Case "&amp;wRandomLetter()&amp;wRandomLetter()&amp;I3048&amp;":    UniConst = ChrW(" &amp; I3048 &amp;")"</f>
        <v>Case uW129388:    UniConst = ChrW(129388)</v>
      </c>
    </row>
    <row r="3049" spans="1:11" hidden="1">
      <c r="A3049" t="s">
        <v>3287</v>
      </c>
      <c r="B3049" t="str">
        <f t="shared" si="284"/>
        <v>1F96D ; fully-qualified # 🥭 E11.0 mango</v>
      </c>
      <c r="C3049" t="str">
        <f t="shared" si="285"/>
        <v xml:space="preserve">1F96D </v>
      </c>
      <c r="D3049">
        <f t="shared" si="286"/>
        <v>6</v>
      </c>
      <c r="E3049" t="str">
        <f t="shared" si="282"/>
        <v xml:space="preserve"> 🥭 E11.0 mango</v>
      </c>
      <c r="F3049" t="b">
        <f t="shared" si="287"/>
        <v>1</v>
      </c>
      <c r="G3049" t="str">
        <f t="shared" si="283"/>
        <v>1F96D</v>
      </c>
      <c r="I3049">
        <f>HEX2DEC(Table1[[#This Row],[utf8]])</f>
        <v>129389</v>
      </c>
      <c r="J3049" t="str">
        <f>_xlfn.UNICHAR(HEX2DEC(Table1[[#This Row],[utf8]]))</f>
        <v>🥭</v>
      </c>
      <c r="K3049" s="3" t="str" cm="1">
        <f t="array" ref="K3049">"Case "&amp;wRandomLetter()&amp;wRandomLetter()&amp;I3049&amp;":    UniConst = ChrW(" &amp; I3049 &amp;")"</f>
        <v>Case QD129389:    UniConst = ChrW(129389)</v>
      </c>
    </row>
    <row r="3050" spans="1:11" hidden="1">
      <c r="A3050" t="s">
        <v>3364</v>
      </c>
      <c r="B3050" t="str">
        <f t="shared" si="284"/>
        <v>1F96E ; fully-qualified # 🥮 E11.0 moon cake</v>
      </c>
      <c r="C3050" t="str">
        <f t="shared" si="285"/>
        <v xml:space="preserve">1F96E </v>
      </c>
      <c r="D3050">
        <f t="shared" si="286"/>
        <v>6</v>
      </c>
      <c r="E3050" t="str">
        <f t="shared" si="282"/>
        <v xml:space="preserve"> 🥮 E11.0 moon cake</v>
      </c>
      <c r="F3050" t="b">
        <f t="shared" si="287"/>
        <v>1</v>
      </c>
      <c r="G3050" t="str">
        <f t="shared" si="283"/>
        <v>1F96E</v>
      </c>
      <c r="I3050">
        <f>HEX2DEC(Table1[[#This Row],[utf8]])</f>
        <v>129390</v>
      </c>
      <c r="J3050" t="str">
        <f>_xlfn.UNICHAR(HEX2DEC(Table1[[#This Row],[utf8]]))</f>
        <v>🥮</v>
      </c>
      <c r="K3050" s="3" t="str" cm="1">
        <f t="array" ref="K3050">"Case "&amp;wRandomLetter()&amp;wRandomLetter()&amp;I3050&amp;":    UniConst = ChrW(" &amp; I3050 &amp;")"</f>
        <v>Case Wi129390:    UniConst = ChrW(129390)</v>
      </c>
    </row>
    <row r="3051" spans="1:11" hidden="1">
      <c r="A3051" t="s">
        <v>3322</v>
      </c>
      <c r="B3051" t="str">
        <f t="shared" si="284"/>
        <v>1F96F ; fully-qualified # 🥯 E11.0 bagel</v>
      </c>
      <c r="C3051" t="str">
        <f t="shared" si="285"/>
        <v xml:space="preserve">1F96F </v>
      </c>
      <c r="D3051">
        <f t="shared" si="286"/>
        <v>6</v>
      </c>
      <c r="E3051" t="str">
        <f t="shared" si="282"/>
        <v xml:space="preserve"> 🥯 E11.0 bagel</v>
      </c>
      <c r="F3051" t="b">
        <f t="shared" si="287"/>
        <v>1</v>
      </c>
      <c r="G3051" t="str">
        <f t="shared" si="283"/>
        <v>1F96F</v>
      </c>
      <c r="I3051">
        <f>HEX2DEC(Table1[[#This Row],[utf8]])</f>
        <v>129391</v>
      </c>
      <c r="J3051" t="str">
        <f>_xlfn.UNICHAR(HEX2DEC(Table1[[#This Row],[utf8]]))</f>
        <v>🥯</v>
      </c>
      <c r="K3051" s="3" t="str" cm="1">
        <f t="array" ref="K3051">"Case "&amp;wRandomLetter()&amp;wRandomLetter()&amp;I3051&amp;":    UniConst = ChrW(" &amp; I3051 &amp;")"</f>
        <v>Case ex129391:    UniConst = ChrW(129391)</v>
      </c>
    </row>
    <row r="3052" spans="1:11" hidden="1">
      <c r="A3052" t="s">
        <v>16</v>
      </c>
      <c r="B3052" t="str">
        <f t="shared" si="284"/>
        <v>1F970 ; fully-qualified # 🥰 E11.0 smiling face with hearts</v>
      </c>
      <c r="C3052" t="str">
        <f t="shared" si="285"/>
        <v xml:space="preserve">1F970 </v>
      </c>
      <c r="D3052">
        <f t="shared" si="286"/>
        <v>6</v>
      </c>
      <c r="E3052" t="str">
        <f t="shared" si="282"/>
        <v xml:space="preserve"> 🥰 E11.0 smiling face with hearts</v>
      </c>
      <c r="F3052" t="b">
        <f t="shared" si="287"/>
        <v>1</v>
      </c>
      <c r="G3052" t="str">
        <f t="shared" si="283"/>
        <v>1F970</v>
      </c>
      <c r="I3052">
        <f>HEX2DEC(Table1[[#This Row],[utf8]])</f>
        <v>129392</v>
      </c>
      <c r="J3052" t="str">
        <f>_xlfn.UNICHAR(HEX2DEC(Table1[[#This Row],[utf8]]))</f>
        <v>🥰</v>
      </c>
      <c r="K3052" s="3" t="str" cm="1">
        <f t="array" ref="K3052">"Case "&amp;wRandomLetter()&amp;wRandomLetter()&amp;I3052&amp;":    UniConst = ChrW(" &amp; I3052 &amp;")"</f>
        <v>Case ke129392:    UniConst = ChrW(129392)</v>
      </c>
    </row>
    <row r="3053" spans="1:11" hidden="1">
      <c r="A3053" t="s">
        <v>104</v>
      </c>
      <c r="B3053" t="str">
        <f t="shared" si="284"/>
        <v>1F971 ; fully-qualified # 🥱 E12.0 yawning face</v>
      </c>
      <c r="C3053" t="str">
        <f t="shared" si="285"/>
        <v xml:space="preserve">1F971 </v>
      </c>
      <c r="D3053">
        <f t="shared" si="286"/>
        <v>6</v>
      </c>
      <c r="E3053" t="str">
        <f t="shared" si="282"/>
        <v xml:space="preserve"> 🥱 E12.0 yawning face</v>
      </c>
      <c r="F3053" t="b">
        <f t="shared" si="287"/>
        <v>1</v>
      </c>
      <c r="G3053" t="str">
        <f t="shared" si="283"/>
        <v>1F971</v>
      </c>
      <c r="I3053">
        <f>HEX2DEC(Table1[[#This Row],[utf8]])</f>
        <v>129393</v>
      </c>
      <c r="J3053" t="str">
        <f>_xlfn.UNICHAR(HEX2DEC(Table1[[#This Row],[utf8]]))</f>
        <v>🥱</v>
      </c>
      <c r="K3053" s="3" t="str" cm="1">
        <f t="array" ref="K3053">"Case "&amp;wRandomLetter()&amp;wRandomLetter()&amp;I3053&amp;":    UniConst = ChrW(" &amp; I3053 &amp;")"</f>
        <v>Case ku129393:    UniConst = ChrW(129393)</v>
      </c>
    </row>
    <row r="3054" spans="1:11" hidden="1">
      <c r="A3054" t="s">
        <v>25</v>
      </c>
      <c r="B3054" t="str">
        <f t="shared" si="284"/>
        <v>1F972 ; fully-qualified # 🥲 E13.0 smiling face with tear</v>
      </c>
      <c r="C3054" t="str">
        <f t="shared" si="285"/>
        <v xml:space="preserve">1F972 </v>
      </c>
      <c r="D3054">
        <f t="shared" si="286"/>
        <v>6</v>
      </c>
      <c r="E3054" t="str">
        <f t="shared" si="282"/>
        <v xml:space="preserve"> 🥲 E13.0 smiling face with tear</v>
      </c>
      <c r="F3054" t="b">
        <f t="shared" si="287"/>
        <v>1</v>
      </c>
      <c r="G3054" t="str">
        <f t="shared" si="283"/>
        <v>1F972</v>
      </c>
      <c r="I3054">
        <f>HEX2DEC(Table1[[#This Row],[utf8]])</f>
        <v>129394</v>
      </c>
      <c r="J3054" t="str">
        <f>_xlfn.UNICHAR(HEX2DEC(Table1[[#This Row],[utf8]]))</f>
        <v>🥲</v>
      </c>
      <c r="K3054" s="3" t="str" cm="1">
        <f t="array" ref="K3054">"Case "&amp;wRandomLetter()&amp;wRandomLetter()&amp;I3054&amp;":    UniConst = ChrW(" &amp; I3054 &amp;")"</f>
        <v>Case rN129394:    UniConst = ChrW(129394)</v>
      </c>
    </row>
    <row r="3055" spans="1:11" hidden="1">
      <c r="A3055" t="s">
        <v>73</v>
      </c>
      <c r="B3055" t="str">
        <f t="shared" si="284"/>
        <v>1F973 ; fully-qualified # 🥳 E11.0 partying face</v>
      </c>
      <c r="C3055" t="str">
        <f t="shared" si="285"/>
        <v xml:space="preserve">1F973 </v>
      </c>
      <c r="D3055">
        <f t="shared" si="286"/>
        <v>6</v>
      </c>
      <c r="E3055" t="str">
        <f t="shared" si="282"/>
        <v xml:space="preserve"> 🥳 E11.0 partying face</v>
      </c>
      <c r="F3055" t="b">
        <f t="shared" si="287"/>
        <v>1</v>
      </c>
      <c r="G3055" t="str">
        <f t="shared" si="283"/>
        <v>1F973</v>
      </c>
      <c r="I3055">
        <f>HEX2DEC(Table1[[#This Row],[utf8]])</f>
        <v>129395</v>
      </c>
      <c r="J3055" t="str">
        <f>_xlfn.UNICHAR(HEX2DEC(Table1[[#This Row],[utf8]]))</f>
        <v>🥳</v>
      </c>
      <c r="K3055" s="3" t="str" cm="1">
        <f t="array" ref="K3055">"Case "&amp;wRandomLetter()&amp;wRandomLetter()&amp;I3055&amp;":    UniConst = ChrW(" &amp; I3055 &amp;")"</f>
        <v>Case yK129395:    UniConst = ChrW(129395)</v>
      </c>
    </row>
    <row r="3056" spans="1:11" hidden="1">
      <c r="A3056" t="s">
        <v>67</v>
      </c>
      <c r="B3056" t="str">
        <f t="shared" si="284"/>
        <v>1F974 ; fully-qualified # 🥴 E11.0 woozy face</v>
      </c>
      <c r="C3056" t="str">
        <f t="shared" si="285"/>
        <v xml:space="preserve">1F974 </v>
      </c>
      <c r="D3056">
        <f t="shared" si="286"/>
        <v>6</v>
      </c>
      <c r="E3056" t="str">
        <f t="shared" si="282"/>
        <v xml:space="preserve"> 🥴 E11.0 woozy face</v>
      </c>
      <c r="F3056" t="b">
        <f t="shared" si="287"/>
        <v>1</v>
      </c>
      <c r="G3056" t="str">
        <f t="shared" si="283"/>
        <v>1F974</v>
      </c>
      <c r="I3056">
        <f>HEX2DEC(Table1[[#This Row],[utf8]])</f>
        <v>129396</v>
      </c>
      <c r="J3056" t="str">
        <f>_xlfn.UNICHAR(HEX2DEC(Table1[[#This Row],[utf8]]))</f>
        <v>🥴</v>
      </c>
      <c r="K3056" s="3" t="str" cm="1">
        <f t="array" ref="K3056">"Case "&amp;wRandomLetter()&amp;wRandomLetter()&amp;I3056&amp;":    UniConst = ChrW(" &amp; I3056 &amp;")"</f>
        <v>Case hE129396:    UniConst = ChrW(129396)</v>
      </c>
    </row>
    <row r="3057" spans="1:11" hidden="1">
      <c r="A3057" t="s">
        <v>65</v>
      </c>
      <c r="B3057" t="str">
        <f t="shared" si="284"/>
        <v>1F975 ; fully-qualified # 🥵 E11.0 hot face</v>
      </c>
      <c r="C3057" t="str">
        <f t="shared" si="285"/>
        <v xml:space="preserve">1F975 </v>
      </c>
      <c r="D3057">
        <f t="shared" si="286"/>
        <v>6</v>
      </c>
      <c r="E3057" t="str">
        <f t="shared" si="282"/>
        <v xml:space="preserve"> 🥵 E11.0 hot face</v>
      </c>
      <c r="F3057" t="b">
        <f t="shared" si="287"/>
        <v>1</v>
      </c>
      <c r="G3057" t="str">
        <f t="shared" si="283"/>
        <v>1F975</v>
      </c>
      <c r="I3057">
        <f>HEX2DEC(Table1[[#This Row],[utf8]])</f>
        <v>129397</v>
      </c>
      <c r="J3057" t="str">
        <f>_xlfn.UNICHAR(HEX2DEC(Table1[[#This Row],[utf8]]))</f>
        <v>🥵</v>
      </c>
      <c r="K3057" s="3" t="str" cm="1">
        <f t="array" ref="K3057">"Case "&amp;wRandomLetter()&amp;wRandomLetter()&amp;I3057&amp;":    UniConst = ChrW(" &amp; I3057 &amp;")"</f>
        <v>Case rQ129397:    UniConst = ChrW(129397)</v>
      </c>
    </row>
    <row r="3058" spans="1:11" hidden="1">
      <c r="A3058" t="s">
        <v>66</v>
      </c>
      <c r="B3058" t="str">
        <f t="shared" si="284"/>
        <v>1F976 ; fully-qualified # 🥶 E11.0 cold face</v>
      </c>
      <c r="C3058" t="str">
        <f t="shared" si="285"/>
        <v xml:space="preserve">1F976 </v>
      </c>
      <c r="D3058">
        <f t="shared" si="286"/>
        <v>6</v>
      </c>
      <c r="E3058" t="str">
        <f t="shared" si="282"/>
        <v xml:space="preserve"> 🥶 E11.0 cold face</v>
      </c>
      <c r="F3058" t="b">
        <f t="shared" si="287"/>
        <v>1</v>
      </c>
      <c r="G3058" t="str">
        <f t="shared" si="283"/>
        <v>1F976</v>
      </c>
      <c r="I3058">
        <f>HEX2DEC(Table1[[#This Row],[utf8]])</f>
        <v>129398</v>
      </c>
      <c r="J3058" t="str">
        <f>_xlfn.UNICHAR(HEX2DEC(Table1[[#This Row],[utf8]]))</f>
        <v>🥶</v>
      </c>
      <c r="K3058" s="3" t="str" cm="1">
        <f t="array" ref="K3058">"Case "&amp;wRandomLetter()&amp;wRandomLetter()&amp;I3058&amp;":    UniConst = ChrW(" &amp; I3058 &amp;")"</f>
        <v>Case vD129398:    UniConst = ChrW(129398)</v>
      </c>
    </row>
    <row r="3059" spans="1:11" hidden="1">
      <c r="A3059" t="s">
        <v>1379</v>
      </c>
      <c r="B3059" t="str">
        <f t="shared" si="284"/>
        <v>1F977 ; fully-qualified # 🥷 E13.0 ninja</v>
      </c>
      <c r="C3059" t="str">
        <f t="shared" si="285"/>
        <v xml:space="preserve">1F977 </v>
      </c>
      <c r="D3059">
        <f t="shared" si="286"/>
        <v>6</v>
      </c>
      <c r="E3059" t="str">
        <f t="shared" si="282"/>
        <v xml:space="preserve"> 🥷 E13.0 ninja</v>
      </c>
      <c r="F3059" t="b">
        <f t="shared" si="287"/>
        <v>1</v>
      </c>
      <c r="G3059" t="str">
        <f t="shared" si="283"/>
        <v>1F977</v>
      </c>
      <c r="I3059">
        <f>HEX2DEC(Table1[[#This Row],[utf8]])</f>
        <v>129399</v>
      </c>
      <c r="J3059" t="str">
        <f>_xlfn.UNICHAR(HEX2DEC(Table1[[#This Row],[utf8]]))</f>
        <v>🥷</v>
      </c>
      <c r="K3059" s="3" t="str" cm="1">
        <f t="array" ref="K3059">"Case "&amp;wRandomLetter()&amp;wRandomLetter()&amp;I3059&amp;":    UniConst = ChrW(" &amp; I3059 &amp;")"</f>
        <v>Case lA129399:    UniConst = ChrW(129399)</v>
      </c>
    </row>
    <row r="3060" spans="1:11" hidden="1">
      <c r="A3060" t="s">
        <v>1380</v>
      </c>
      <c r="B3060" t="str">
        <f t="shared" si="284"/>
        <v>1F977 1F3FB ; fully-qualified # 🥷🏻 E13.0 ninja: light skin tone</v>
      </c>
      <c r="C3060" t="str">
        <f t="shared" si="285"/>
        <v xml:space="preserve">1F977 1F3FB </v>
      </c>
      <c r="D3060">
        <f t="shared" si="286"/>
        <v>12</v>
      </c>
      <c r="E3060" t="str">
        <f t="shared" si="282"/>
        <v xml:space="preserve"> 🥷🏻 E13.0 ninja: light skin tone</v>
      </c>
      <c r="F3060" t="b">
        <f t="shared" si="287"/>
        <v>1</v>
      </c>
      <c r="G3060" t="str">
        <f t="shared" si="283"/>
        <v>1F977</v>
      </c>
      <c r="I3060">
        <f>HEX2DEC(Table1[[#This Row],[utf8]])</f>
        <v>129399</v>
      </c>
      <c r="J3060" t="str">
        <f>_xlfn.UNICHAR(HEX2DEC(Table1[[#This Row],[utf8]]))</f>
        <v>🥷</v>
      </c>
      <c r="K3060" s="3" t="str" cm="1">
        <f t="array" ref="K3060">"Case "&amp;wRandomLetter()&amp;wRandomLetter()&amp;I3060&amp;":    UniConst = ChrW(" &amp; I3060 &amp;")"</f>
        <v>Case Tc129399:    UniConst = ChrW(129399)</v>
      </c>
    </row>
    <row r="3061" spans="1:11" hidden="1">
      <c r="A3061" t="s">
        <v>1381</v>
      </c>
      <c r="B3061" t="str">
        <f t="shared" si="284"/>
        <v>1F977 1F3FC ; fully-qualified # 🥷🏼 E13.0 ninja: medium-light skin tone</v>
      </c>
      <c r="C3061" t="str">
        <f t="shared" si="285"/>
        <v xml:space="preserve">1F977 1F3FC </v>
      </c>
      <c r="D3061">
        <f t="shared" si="286"/>
        <v>12</v>
      </c>
      <c r="E3061" t="str">
        <f t="shared" si="282"/>
        <v xml:space="preserve"> 🥷🏼 E13.0 ninja: medium-light skin tone</v>
      </c>
      <c r="F3061" t="b">
        <f t="shared" si="287"/>
        <v>1</v>
      </c>
      <c r="G3061" t="str">
        <f t="shared" si="283"/>
        <v>1F977</v>
      </c>
      <c r="I3061">
        <f>HEX2DEC(Table1[[#This Row],[utf8]])</f>
        <v>129399</v>
      </c>
      <c r="J3061" t="str">
        <f>_xlfn.UNICHAR(HEX2DEC(Table1[[#This Row],[utf8]]))</f>
        <v>🥷</v>
      </c>
      <c r="K3061" s="3" t="str" cm="1">
        <f t="array" ref="K3061">"Case "&amp;wRandomLetter()&amp;wRandomLetter()&amp;I3061&amp;":    UniConst = ChrW(" &amp; I3061 &amp;")"</f>
        <v>Case bG129399:    UniConst = ChrW(129399)</v>
      </c>
    </row>
    <row r="3062" spans="1:11" hidden="1">
      <c r="A3062" t="s">
        <v>1382</v>
      </c>
      <c r="B3062" t="str">
        <f t="shared" si="284"/>
        <v>1F977 1F3FD ; fully-qualified # 🥷🏽 E13.0 ninja: medium skin tone</v>
      </c>
      <c r="C3062" t="str">
        <f t="shared" si="285"/>
        <v xml:space="preserve">1F977 1F3FD </v>
      </c>
      <c r="D3062">
        <f t="shared" si="286"/>
        <v>12</v>
      </c>
      <c r="E3062" t="str">
        <f t="shared" si="282"/>
        <v xml:space="preserve"> 🥷🏽 E13.0 ninja: medium skin tone</v>
      </c>
      <c r="F3062" t="b">
        <f t="shared" si="287"/>
        <v>1</v>
      </c>
      <c r="G3062" t="str">
        <f t="shared" si="283"/>
        <v>1F977</v>
      </c>
      <c r="I3062">
        <f>HEX2DEC(Table1[[#This Row],[utf8]])</f>
        <v>129399</v>
      </c>
      <c r="J3062" t="str">
        <f>_xlfn.UNICHAR(HEX2DEC(Table1[[#This Row],[utf8]]))</f>
        <v>🥷</v>
      </c>
      <c r="K3062" s="3" t="str" cm="1">
        <f t="array" ref="K3062">"Case "&amp;wRandomLetter()&amp;wRandomLetter()&amp;I3062&amp;":    UniConst = ChrW(" &amp; I3062 &amp;")"</f>
        <v>Case kE129399:    UniConst = ChrW(129399)</v>
      </c>
    </row>
    <row r="3063" spans="1:11" hidden="1">
      <c r="A3063" t="s">
        <v>1383</v>
      </c>
      <c r="B3063" t="str">
        <f t="shared" si="284"/>
        <v>1F977 1F3FE ; fully-qualified # 🥷🏾 E13.0 ninja: medium-dark skin tone</v>
      </c>
      <c r="C3063" t="str">
        <f t="shared" si="285"/>
        <v xml:space="preserve">1F977 1F3FE </v>
      </c>
      <c r="D3063">
        <f t="shared" si="286"/>
        <v>12</v>
      </c>
      <c r="E3063" t="str">
        <f t="shared" si="282"/>
        <v xml:space="preserve"> 🥷🏾 E13.0 ninja: medium-dark skin tone</v>
      </c>
      <c r="F3063" t="b">
        <f t="shared" si="287"/>
        <v>1</v>
      </c>
      <c r="G3063" t="str">
        <f t="shared" si="283"/>
        <v>1F977</v>
      </c>
      <c r="I3063">
        <f>HEX2DEC(Table1[[#This Row],[utf8]])</f>
        <v>129399</v>
      </c>
      <c r="J3063" t="str">
        <f>_xlfn.UNICHAR(HEX2DEC(Table1[[#This Row],[utf8]]))</f>
        <v>🥷</v>
      </c>
      <c r="K3063" s="3" t="str" cm="1">
        <f t="array" ref="K3063">"Case "&amp;wRandomLetter()&amp;wRandomLetter()&amp;I3063&amp;":    UniConst = ChrW(" &amp; I3063 &amp;")"</f>
        <v>Case cN129399:    UniConst = ChrW(129399)</v>
      </c>
    </row>
    <row r="3064" spans="1:11" hidden="1">
      <c r="A3064" t="s">
        <v>1384</v>
      </c>
      <c r="B3064" t="str">
        <f t="shared" si="284"/>
        <v>1F977 1F3FF ; fully-qualified # 🥷🏿 E13.0 ninja: dark skin tone</v>
      </c>
      <c r="C3064" t="str">
        <f t="shared" si="285"/>
        <v xml:space="preserve">1F977 1F3FF </v>
      </c>
      <c r="D3064">
        <f t="shared" si="286"/>
        <v>12</v>
      </c>
      <c r="E3064" t="str">
        <f t="shared" si="282"/>
        <v xml:space="preserve"> 🥷🏿 E13.0 ninja: dark skin tone</v>
      </c>
      <c r="F3064" t="b">
        <f t="shared" si="287"/>
        <v>1</v>
      </c>
      <c r="G3064" t="str">
        <f t="shared" si="283"/>
        <v>1F977</v>
      </c>
      <c r="I3064">
        <f>HEX2DEC(Table1[[#This Row],[utf8]])</f>
        <v>129399</v>
      </c>
      <c r="J3064" t="str">
        <f>_xlfn.UNICHAR(HEX2DEC(Table1[[#This Row],[utf8]]))</f>
        <v>🥷</v>
      </c>
      <c r="K3064" s="3" t="str" cm="1">
        <f t="array" ref="K3064">"Case "&amp;wRandomLetter()&amp;wRandomLetter()&amp;I3064&amp;":    UniConst = ChrW(" &amp; I3064 &amp;")"</f>
        <v>Case Ui129399:    UniConst = ChrW(129399)</v>
      </c>
    </row>
    <row r="3065" spans="1:11" hidden="1">
      <c r="A3065" t="s">
        <v>74</v>
      </c>
      <c r="B3065" t="str">
        <f t="shared" si="284"/>
        <v>1F978 ; fully-qualified # 🥸 E13.0 disguised face</v>
      </c>
      <c r="C3065" t="str">
        <f t="shared" si="285"/>
        <v xml:space="preserve">1F978 </v>
      </c>
      <c r="D3065">
        <f t="shared" si="286"/>
        <v>6</v>
      </c>
      <c r="E3065" t="str">
        <f t="shared" si="282"/>
        <v xml:space="preserve"> 🥸 E13.0 disguised face</v>
      </c>
      <c r="F3065" t="b">
        <f t="shared" si="287"/>
        <v>1</v>
      </c>
      <c r="G3065" t="str">
        <f t="shared" si="283"/>
        <v>1F978</v>
      </c>
      <c r="I3065">
        <f>HEX2DEC(Table1[[#This Row],[utf8]])</f>
        <v>129400</v>
      </c>
      <c r="J3065" t="str">
        <f>_xlfn.UNICHAR(HEX2DEC(Table1[[#This Row],[utf8]]))</f>
        <v>🥸</v>
      </c>
      <c r="K3065" s="3" t="str" cm="1">
        <f t="array" ref="K3065">"Case "&amp;wRandomLetter()&amp;wRandomLetter()&amp;I3065&amp;":    UniConst = ChrW(" &amp; I3065 &amp;")"</f>
        <v>Case ba129400:    UniConst = ChrW(129400)</v>
      </c>
    </row>
    <row r="3066" spans="1:11" hidden="1">
      <c r="A3066" t="s">
        <v>89</v>
      </c>
      <c r="B3066" t="str">
        <f t="shared" si="284"/>
        <v>1F97A ; fully-qualified # 🥺 E11.0 pleading face</v>
      </c>
      <c r="C3066" t="str">
        <f t="shared" si="285"/>
        <v xml:space="preserve">1F97A </v>
      </c>
      <c r="D3066">
        <f t="shared" si="286"/>
        <v>6</v>
      </c>
      <c r="E3066" t="str">
        <f t="shared" si="282"/>
        <v xml:space="preserve"> 🥺 E11.0 pleading face</v>
      </c>
      <c r="F3066" t="b">
        <f t="shared" si="287"/>
        <v>1</v>
      </c>
      <c r="G3066" t="str">
        <f t="shared" si="283"/>
        <v>1F97A</v>
      </c>
      <c r="I3066">
        <f>HEX2DEC(Table1[[#This Row],[utf8]])</f>
        <v>129402</v>
      </c>
      <c r="J3066" t="str">
        <f>_xlfn.UNICHAR(HEX2DEC(Table1[[#This Row],[utf8]]))</f>
        <v>🥺</v>
      </c>
      <c r="K3066" s="3" t="str" cm="1">
        <f t="array" ref="K3066">"Case "&amp;wRandomLetter()&amp;wRandomLetter()&amp;I3066&amp;":    UniConst = ChrW(" &amp; I3066 &amp;")"</f>
        <v>Case Yz129402:    UniConst = ChrW(129402)</v>
      </c>
    </row>
    <row r="3067" spans="1:11" hidden="1">
      <c r="A3067" t="s">
        <v>3818</v>
      </c>
      <c r="B3067" t="str">
        <f t="shared" si="284"/>
        <v>1F97B ; fully-qualified # 🥻 E12.0 sari</v>
      </c>
      <c r="C3067" t="str">
        <f t="shared" si="285"/>
        <v xml:space="preserve">1F97B </v>
      </c>
      <c r="D3067">
        <f t="shared" si="286"/>
        <v>6</v>
      </c>
      <c r="E3067" t="str">
        <f t="shared" si="282"/>
        <v xml:space="preserve"> 🥻 E12.0 sari</v>
      </c>
      <c r="F3067" t="b">
        <f t="shared" si="287"/>
        <v>1</v>
      </c>
      <c r="G3067" t="str">
        <f t="shared" si="283"/>
        <v>1F97B</v>
      </c>
      <c r="I3067">
        <f>HEX2DEC(Table1[[#This Row],[utf8]])</f>
        <v>129403</v>
      </c>
      <c r="J3067" t="str">
        <f>_xlfn.UNICHAR(HEX2DEC(Table1[[#This Row],[utf8]]))</f>
        <v>🥻</v>
      </c>
      <c r="K3067" s="3" t="str" cm="1">
        <f t="array" ref="K3067">"Case "&amp;wRandomLetter()&amp;wRandomLetter()&amp;I3067&amp;":    UniConst = ChrW(" &amp; I3067 &amp;")"</f>
        <v>Case LL129403:    UniConst = ChrW(129403)</v>
      </c>
    </row>
    <row r="3068" spans="1:11" hidden="1">
      <c r="A3068" t="s">
        <v>3807</v>
      </c>
      <c r="B3068" t="str">
        <f t="shared" si="284"/>
        <v>1F97C ; fully-qualified # 🥼 E11.0 lab coat</v>
      </c>
      <c r="C3068" t="str">
        <f t="shared" si="285"/>
        <v xml:space="preserve">1F97C </v>
      </c>
      <c r="D3068">
        <f t="shared" si="286"/>
        <v>6</v>
      </c>
      <c r="E3068" t="str">
        <f t="shared" si="282"/>
        <v xml:space="preserve"> 🥼 E11.0 lab coat</v>
      </c>
      <c r="F3068" t="b">
        <f t="shared" si="287"/>
        <v>1</v>
      </c>
      <c r="G3068" t="str">
        <f t="shared" si="283"/>
        <v>1F97C</v>
      </c>
      <c r="I3068">
        <f>HEX2DEC(Table1[[#This Row],[utf8]])</f>
        <v>129404</v>
      </c>
      <c r="J3068" t="str">
        <f>_xlfn.UNICHAR(HEX2DEC(Table1[[#This Row],[utf8]]))</f>
        <v>🥼</v>
      </c>
      <c r="K3068" s="3" t="str" cm="1">
        <f t="array" ref="K3068">"Case "&amp;wRandomLetter()&amp;wRandomLetter()&amp;I3068&amp;":    UniConst = ChrW(" &amp; I3068 &amp;")"</f>
        <v>Case Ui129404:    UniConst = ChrW(129404)</v>
      </c>
    </row>
    <row r="3069" spans="1:11" hidden="1">
      <c r="A3069" t="s">
        <v>3806</v>
      </c>
      <c r="B3069" t="str">
        <f t="shared" si="284"/>
        <v>1F97D ; fully-qualified # 🥽 E11.0 goggles</v>
      </c>
      <c r="C3069" t="str">
        <f t="shared" si="285"/>
        <v xml:space="preserve">1F97D </v>
      </c>
      <c r="D3069">
        <f t="shared" si="286"/>
        <v>6</v>
      </c>
      <c r="E3069" t="str">
        <f t="shared" si="282"/>
        <v xml:space="preserve"> 🥽 E11.0 goggles</v>
      </c>
      <c r="F3069" t="b">
        <f t="shared" si="287"/>
        <v>1</v>
      </c>
      <c r="G3069" t="str">
        <f t="shared" si="283"/>
        <v>1F97D</v>
      </c>
      <c r="I3069">
        <f>HEX2DEC(Table1[[#This Row],[utf8]])</f>
        <v>129405</v>
      </c>
      <c r="J3069" t="str">
        <f>_xlfn.UNICHAR(HEX2DEC(Table1[[#This Row],[utf8]]))</f>
        <v>🥽</v>
      </c>
      <c r="K3069" s="3" t="str" cm="1">
        <f t="array" ref="K3069">"Case "&amp;wRandomLetter()&amp;wRandomLetter()&amp;I3069&amp;":    UniConst = ChrW(" &amp; I3069 &amp;")"</f>
        <v>Case oK129405:    UniConst = ChrW(129405)</v>
      </c>
    </row>
    <row r="3070" spans="1:11" hidden="1">
      <c r="A3070" t="s">
        <v>3833</v>
      </c>
      <c r="B3070" t="str">
        <f t="shared" si="284"/>
        <v>1F97E ; fully-qualified # 🥾 E11.0 hiking boot</v>
      </c>
      <c r="C3070" t="str">
        <f t="shared" si="285"/>
        <v xml:space="preserve">1F97E </v>
      </c>
      <c r="D3070">
        <f t="shared" si="286"/>
        <v>6</v>
      </c>
      <c r="E3070" t="str">
        <f t="shared" si="282"/>
        <v xml:space="preserve"> 🥾 E11.0 hiking boot</v>
      </c>
      <c r="F3070" t="b">
        <f t="shared" si="287"/>
        <v>1</v>
      </c>
      <c r="G3070" t="str">
        <f t="shared" si="283"/>
        <v>1F97E</v>
      </c>
      <c r="I3070">
        <f>HEX2DEC(Table1[[#This Row],[utf8]])</f>
        <v>129406</v>
      </c>
      <c r="J3070" t="str">
        <f>_xlfn.UNICHAR(HEX2DEC(Table1[[#This Row],[utf8]]))</f>
        <v>🥾</v>
      </c>
      <c r="K3070" s="3" t="str" cm="1">
        <f t="array" ref="K3070">"Case "&amp;wRandomLetter()&amp;wRandomLetter()&amp;I3070&amp;":    UniConst = ChrW(" &amp; I3070 &amp;")"</f>
        <v>Case Pn129406:    UniConst = ChrW(129406)</v>
      </c>
    </row>
    <row r="3071" spans="1:11" hidden="1">
      <c r="A3071" t="s">
        <v>3834</v>
      </c>
      <c r="B3071" t="str">
        <f t="shared" si="284"/>
        <v>1F97F ; fully-qualified # 🥿 E11.0 flat shoe</v>
      </c>
      <c r="C3071" t="str">
        <f t="shared" si="285"/>
        <v xml:space="preserve">1F97F </v>
      </c>
      <c r="D3071">
        <f t="shared" si="286"/>
        <v>6</v>
      </c>
      <c r="E3071" t="str">
        <f t="shared" si="282"/>
        <v xml:space="preserve"> 🥿 E11.0 flat shoe</v>
      </c>
      <c r="F3071" t="b">
        <f t="shared" si="287"/>
        <v>1</v>
      </c>
      <c r="G3071" t="str">
        <f t="shared" si="283"/>
        <v>1F97F</v>
      </c>
      <c r="I3071">
        <f>HEX2DEC(Table1[[#This Row],[utf8]])</f>
        <v>129407</v>
      </c>
      <c r="J3071" t="str">
        <f>_xlfn.UNICHAR(HEX2DEC(Table1[[#This Row],[utf8]]))</f>
        <v>🥿</v>
      </c>
      <c r="K3071" s="3" t="str" cm="1">
        <f t="array" ref="K3071">"Case "&amp;wRandomLetter()&amp;wRandomLetter()&amp;I3071&amp;":    UniConst = ChrW(" &amp; I3071 &amp;")"</f>
        <v>Case OF129407:    UniConst = ChrW(129407)</v>
      </c>
    </row>
    <row r="3072" spans="1:11" hidden="1">
      <c r="A3072" t="s">
        <v>3370</v>
      </c>
      <c r="B3072" t="str">
        <f t="shared" si="284"/>
        <v>1F980 ; fully-qualified # 🦀 E1.0 crab</v>
      </c>
      <c r="C3072" t="str">
        <f t="shared" si="285"/>
        <v xml:space="preserve">1F980 </v>
      </c>
      <c r="D3072">
        <f t="shared" si="286"/>
        <v>6</v>
      </c>
      <c r="E3072" t="str">
        <f t="shared" si="282"/>
        <v xml:space="preserve"> 🦀 E1.0 crab</v>
      </c>
      <c r="F3072" t="b">
        <f t="shared" si="287"/>
        <v>1</v>
      </c>
      <c r="G3072" t="str">
        <f t="shared" si="283"/>
        <v>1F980</v>
      </c>
      <c r="I3072">
        <f>HEX2DEC(Table1[[#This Row],[utf8]])</f>
        <v>129408</v>
      </c>
      <c r="J3072" t="str">
        <f>_xlfn.UNICHAR(HEX2DEC(Table1[[#This Row],[utf8]]))</f>
        <v>🦀</v>
      </c>
      <c r="K3072" s="3" t="str" cm="1">
        <f t="array" ref="K3072">"Case "&amp;wRandomLetter()&amp;wRandomLetter()&amp;I3072&amp;":    UniConst = ChrW(" &amp; I3072 &amp;")"</f>
        <v>Case bR129408:    UniConst = ChrW(129408)</v>
      </c>
    </row>
    <row r="3073" spans="1:11" hidden="1">
      <c r="A3073" t="s">
        <v>3137</v>
      </c>
      <c r="B3073" t="str">
        <f t="shared" si="284"/>
        <v>1F981 ; fully-qualified # 🦁 E1.0 lion</v>
      </c>
      <c r="C3073" t="str">
        <f t="shared" si="285"/>
        <v xml:space="preserve">1F981 </v>
      </c>
      <c r="D3073">
        <f t="shared" si="286"/>
        <v>6</v>
      </c>
      <c r="E3073" t="str">
        <f t="shared" si="282"/>
        <v xml:space="preserve"> 🦁 E1.0 lion</v>
      </c>
      <c r="F3073" t="b">
        <f t="shared" si="287"/>
        <v>1</v>
      </c>
      <c r="G3073" t="str">
        <f t="shared" si="283"/>
        <v>1F981</v>
      </c>
      <c r="I3073">
        <f>HEX2DEC(Table1[[#This Row],[utf8]])</f>
        <v>129409</v>
      </c>
      <c r="J3073" t="str">
        <f>_xlfn.UNICHAR(HEX2DEC(Table1[[#This Row],[utf8]]))</f>
        <v>🦁</v>
      </c>
      <c r="K3073" s="3" t="str" cm="1">
        <f t="array" ref="K3073">"Case "&amp;wRandomLetter()&amp;wRandomLetter()&amp;I3073&amp;":    UniConst = ChrW(" &amp; I3073 &amp;")"</f>
        <v>Case Gh129409:    UniConst = ChrW(129409)</v>
      </c>
    </row>
    <row r="3074" spans="1:11" hidden="1">
      <c r="A3074" t="s">
        <v>3244</v>
      </c>
      <c r="B3074" t="str">
        <f t="shared" si="284"/>
        <v>1F982 ; fully-qualified # 🦂 E1.0 scorpion</v>
      </c>
      <c r="C3074" t="str">
        <f t="shared" si="285"/>
        <v xml:space="preserve">1F982 </v>
      </c>
      <c r="D3074">
        <f t="shared" si="286"/>
        <v>6</v>
      </c>
      <c r="E3074" t="str">
        <f t="shared" ref="E3074:E3137" si="288">MID(A3074,FIND("#",A3074)+1,256)</f>
        <v xml:space="preserve"> 🦂 E1.0 scorpion</v>
      </c>
      <c r="F3074" t="b">
        <f t="shared" si="287"/>
        <v>1</v>
      </c>
      <c r="G3074" t="str">
        <f t="shared" ref="G3074:G3137" si="289">LEFT(C3074,(FIND(" ",C3074,1)-1))</f>
        <v>1F982</v>
      </c>
      <c r="I3074">
        <f>HEX2DEC(Table1[[#This Row],[utf8]])</f>
        <v>129410</v>
      </c>
      <c r="J3074" t="str">
        <f>_xlfn.UNICHAR(HEX2DEC(Table1[[#This Row],[utf8]]))</f>
        <v>🦂</v>
      </c>
      <c r="K3074" s="3" t="str" cm="1">
        <f t="array" ref="K3074">"Case "&amp;wRandomLetter()&amp;wRandomLetter()&amp;I3074&amp;":    UniConst = ChrW(" &amp; I3074 &amp;")"</f>
        <v>Case Dz129410:    UniConst = ChrW(129410)</v>
      </c>
    </row>
    <row r="3075" spans="1:11" hidden="1">
      <c r="A3075" t="s">
        <v>3189</v>
      </c>
      <c r="B3075" t="str">
        <f t="shared" ref="B3075:B3138" si="290">TRIM(A3075)</f>
        <v>1F983 ; fully-qualified # 🦃 E1.0 turkey</v>
      </c>
      <c r="C3075" t="str">
        <f t="shared" ref="C3075:C3138" si="291">LEFT(B3075,(FIND(";",B3075,1)-1))</f>
        <v xml:space="preserve">1F983 </v>
      </c>
      <c r="D3075">
        <f t="shared" ref="D3075:D3138" si="292">LEN(C3075)</f>
        <v>6</v>
      </c>
      <c r="E3075" t="str">
        <f t="shared" si="288"/>
        <v xml:space="preserve"> 🦃 E1.0 turkey</v>
      </c>
      <c r="F3075" t="b">
        <f t="shared" ref="F3075:F3138" si="293">IF(LEFT(C3075,2)="1F",TRUE,FALSE)</f>
        <v>1</v>
      </c>
      <c r="G3075" t="str">
        <f t="shared" si="289"/>
        <v>1F983</v>
      </c>
      <c r="I3075">
        <f>HEX2DEC(Table1[[#This Row],[utf8]])</f>
        <v>129411</v>
      </c>
      <c r="J3075" t="str">
        <f>_xlfn.UNICHAR(HEX2DEC(Table1[[#This Row],[utf8]]))</f>
        <v>🦃</v>
      </c>
      <c r="K3075" s="3" t="str" cm="1">
        <f t="array" ref="K3075">"Case "&amp;wRandomLetter()&amp;wRandomLetter()&amp;I3075&amp;":    UniConst = ChrW(" &amp; I3075 &amp;")"</f>
        <v>Case XC129411:    UniConst = ChrW(129411)</v>
      </c>
    </row>
    <row r="3076" spans="1:11" hidden="1">
      <c r="A3076" t="s">
        <v>3143</v>
      </c>
      <c r="B3076" t="str">
        <f t="shared" si="290"/>
        <v>1F984 ; fully-qualified # 🦄 E1.0 unicorn</v>
      </c>
      <c r="C3076" t="str">
        <f t="shared" si="291"/>
        <v xml:space="preserve">1F984 </v>
      </c>
      <c r="D3076">
        <f t="shared" si="292"/>
        <v>6</v>
      </c>
      <c r="E3076" t="str">
        <f t="shared" si="288"/>
        <v xml:space="preserve"> 🦄 E1.0 unicorn</v>
      </c>
      <c r="F3076" t="b">
        <f t="shared" si="293"/>
        <v>1</v>
      </c>
      <c r="G3076" t="str">
        <f t="shared" si="289"/>
        <v>1F984</v>
      </c>
      <c r="I3076">
        <f>HEX2DEC(Table1[[#This Row],[utf8]])</f>
        <v>129412</v>
      </c>
      <c r="J3076" t="str">
        <f>_xlfn.UNICHAR(HEX2DEC(Table1[[#This Row],[utf8]]))</f>
        <v>🦄</v>
      </c>
      <c r="K3076" s="3" t="str" cm="1">
        <f t="array" ref="K3076">"Case "&amp;wRandomLetter()&amp;wRandomLetter()&amp;I3076&amp;":    UniConst = ChrW(" &amp; I3076 &amp;")"</f>
        <v>Case FM129412:    UniConst = ChrW(129412)</v>
      </c>
    </row>
    <row r="3077" spans="1:11" hidden="1">
      <c r="A3077" t="s">
        <v>3199</v>
      </c>
      <c r="B3077" t="str">
        <f t="shared" si="290"/>
        <v>1F985 ; fully-qualified # 🦅 E3.0 eagle</v>
      </c>
      <c r="C3077" t="str">
        <f t="shared" si="291"/>
        <v xml:space="preserve">1F985 </v>
      </c>
      <c r="D3077">
        <f t="shared" si="292"/>
        <v>6</v>
      </c>
      <c r="E3077" t="str">
        <f t="shared" si="288"/>
        <v xml:space="preserve"> 🦅 E3.0 eagle</v>
      </c>
      <c r="F3077" t="b">
        <f t="shared" si="293"/>
        <v>1</v>
      </c>
      <c r="G3077" t="str">
        <f t="shared" si="289"/>
        <v>1F985</v>
      </c>
      <c r="I3077">
        <f>HEX2DEC(Table1[[#This Row],[utf8]])</f>
        <v>129413</v>
      </c>
      <c r="J3077" t="str">
        <f>_xlfn.UNICHAR(HEX2DEC(Table1[[#This Row],[utf8]]))</f>
        <v>🦅</v>
      </c>
      <c r="K3077" s="3" t="str" cm="1">
        <f t="array" ref="K3077">"Case "&amp;wRandomLetter()&amp;wRandomLetter()&amp;I3077&amp;":    UniConst = ChrW(" &amp; I3077 &amp;")"</f>
        <v>Case nl129413:    UniConst = ChrW(129413)</v>
      </c>
    </row>
    <row r="3078" spans="1:11" hidden="1">
      <c r="A3078" t="s">
        <v>3200</v>
      </c>
      <c r="B3078" t="str">
        <f t="shared" si="290"/>
        <v>1F986 ; fully-qualified # 🦆 E3.0 duck</v>
      </c>
      <c r="C3078" t="str">
        <f t="shared" si="291"/>
        <v xml:space="preserve">1F986 </v>
      </c>
      <c r="D3078">
        <f t="shared" si="292"/>
        <v>6</v>
      </c>
      <c r="E3078" t="str">
        <f t="shared" si="288"/>
        <v xml:space="preserve"> 🦆 E3.0 duck</v>
      </c>
      <c r="F3078" t="b">
        <f t="shared" si="293"/>
        <v>1</v>
      </c>
      <c r="G3078" t="str">
        <f t="shared" si="289"/>
        <v>1F986</v>
      </c>
      <c r="I3078">
        <f>HEX2DEC(Table1[[#This Row],[utf8]])</f>
        <v>129414</v>
      </c>
      <c r="J3078" t="str">
        <f>_xlfn.UNICHAR(HEX2DEC(Table1[[#This Row],[utf8]]))</f>
        <v>🦆</v>
      </c>
      <c r="K3078" s="3" t="str" cm="1">
        <f t="array" ref="K3078">"Case "&amp;wRandomLetter()&amp;wRandomLetter()&amp;I3078&amp;":    UniConst = ChrW(" &amp; I3078 &amp;")"</f>
        <v>Case oX129414:    UniConst = ChrW(129414)</v>
      </c>
    </row>
    <row r="3079" spans="1:11" hidden="1">
      <c r="A3079" t="s">
        <v>3176</v>
      </c>
      <c r="B3079" t="str">
        <f t="shared" si="290"/>
        <v>1F987 ; fully-qualified # 🦇 E3.0 bat</v>
      </c>
      <c r="C3079" t="str">
        <f t="shared" si="291"/>
        <v xml:space="preserve">1F987 </v>
      </c>
      <c r="D3079">
        <f t="shared" si="292"/>
        <v>6</v>
      </c>
      <c r="E3079" t="str">
        <f t="shared" si="288"/>
        <v xml:space="preserve"> 🦇 E3.0 bat</v>
      </c>
      <c r="F3079" t="b">
        <f t="shared" si="293"/>
        <v>1</v>
      </c>
      <c r="G3079" t="str">
        <f t="shared" si="289"/>
        <v>1F987</v>
      </c>
      <c r="I3079">
        <f>HEX2DEC(Table1[[#This Row],[utf8]])</f>
        <v>129415</v>
      </c>
      <c r="J3079" t="str">
        <f>_xlfn.UNICHAR(HEX2DEC(Table1[[#This Row],[utf8]]))</f>
        <v>🦇</v>
      </c>
      <c r="K3079" s="3" t="str" cm="1">
        <f t="array" ref="K3079">"Case "&amp;wRandomLetter()&amp;wRandomLetter()&amp;I3079&amp;":    UniConst = ChrW(" &amp; I3079 &amp;")"</f>
        <v>Case XF129415:    UniConst = ChrW(129415)</v>
      </c>
    </row>
    <row r="3080" spans="1:11" hidden="1">
      <c r="A3080" t="s">
        <v>3227</v>
      </c>
      <c r="B3080" t="str">
        <f t="shared" si="290"/>
        <v>1F988 ; fully-qualified # 🦈 E3.0 shark</v>
      </c>
      <c r="C3080" t="str">
        <f t="shared" si="291"/>
        <v xml:space="preserve">1F988 </v>
      </c>
      <c r="D3080">
        <f t="shared" si="292"/>
        <v>6</v>
      </c>
      <c r="E3080" t="str">
        <f t="shared" si="288"/>
        <v xml:space="preserve"> 🦈 E3.0 shark</v>
      </c>
      <c r="F3080" t="b">
        <f t="shared" si="293"/>
        <v>1</v>
      </c>
      <c r="G3080" t="str">
        <f t="shared" si="289"/>
        <v>1F988</v>
      </c>
      <c r="I3080">
        <f>HEX2DEC(Table1[[#This Row],[utf8]])</f>
        <v>129416</v>
      </c>
      <c r="J3080" t="str">
        <f>_xlfn.UNICHAR(HEX2DEC(Table1[[#This Row],[utf8]]))</f>
        <v>🦈</v>
      </c>
      <c r="K3080" s="3" t="str" cm="1">
        <f t="array" ref="K3080">"Case "&amp;wRandomLetter()&amp;wRandomLetter()&amp;I3080&amp;":    UniConst = ChrW(" &amp; I3080 &amp;")"</f>
        <v>Case Sf129416:    UniConst = ChrW(129416)</v>
      </c>
    </row>
    <row r="3081" spans="1:11" hidden="1">
      <c r="A3081" t="s">
        <v>3202</v>
      </c>
      <c r="B3081" t="str">
        <f t="shared" si="290"/>
        <v>1F989 ; fully-qualified # 🦉 E3.0 owl</v>
      </c>
      <c r="C3081" t="str">
        <f t="shared" si="291"/>
        <v xml:space="preserve">1F989 </v>
      </c>
      <c r="D3081">
        <f t="shared" si="292"/>
        <v>6</v>
      </c>
      <c r="E3081" t="str">
        <f t="shared" si="288"/>
        <v xml:space="preserve"> 🦉 E3.0 owl</v>
      </c>
      <c r="F3081" t="b">
        <f t="shared" si="293"/>
        <v>1</v>
      </c>
      <c r="G3081" t="str">
        <f t="shared" si="289"/>
        <v>1F989</v>
      </c>
      <c r="I3081">
        <f>HEX2DEC(Table1[[#This Row],[utf8]])</f>
        <v>129417</v>
      </c>
      <c r="J3081" t="str">
        <f>_xlfn.UNICHAR(HEX2DEC(Table1[[#This Row],[utf8]]))</f>
        <v>🦉</v>
      </c>
      <c r="K3081" s="3" t="str" cm="1">
        <f t="array" ref="K3081">"Case "&amp;wRandomLetter()&amp;wRandomLetter()&amp;I3081&amp;":    UniConst = ChrW(" &amp; I3081 &amp;")"</f>
        <v>Case IX129417:    UniConst = ChrW(129417)</v>
      </c>
    </row>
    <row r="3082" spans="1:11" hidden="1">
      <c r="A3082" t="s">
        <v>3132</v>
      </c>
      <c r="B3082" t="str">
        <f t="shared" si="290"/>
        <v>1F98A ; fully-qualified # 🦊 E3.0 fox</v>
      </c>
      <c r="C3082" t="str">
        <f t="shared" si="291"/>
        <v xml:space="preserve">1F98A </v>
      </c>
      <c r="D3082">
        <f t="shared" si="292"/>
        <v>6</v>
      </c>
      <c r="E3082" t="str">
        <f t="shared" si="288"/>
        <v xml:space="preserve"> 🦊 E3.0 fox</v>
      </c>
      <c r="F3082" t="b">
        <f t="shared" si="293"/>
        <v>1</v>
      </c>
      <c r="G3082" t="str">
        <f t="shared" si="289"/>
        <v>1F98A</v>
      </c>
      <c r="I3082">
        <f>HEX2DEC(Table1[[#This Row],[utf8]])</f>
        <v>129418</v>
      </c>
      <c r="J3082" t="str">
        <f>_xlfn.UNICHAR(HEX2DEC(Table1[[#This Row],[utf8]]))</f>
        <v>🦊</v>
      </c>
      <c r="K3082" s="3" t="str" cm="1">
        <f t="array" ref="K3082">"Case "&amp;wRandomLetter()&amp;wRandomLetter()&amp;I3082&amp;":    UniConst = ChrW(" &amp; I3082 &amp;")"</f>
        <v>Case hQ129418:    UniConst = ChrW(129418)</v>
      </c>
    </row>
    <row r="3083" spans="1:11" hidden="1">
      <c r="A3083" t="s">
        <v>3232</v>
      </c>
      <c r="B3083" t="str">
        <f t="shared" si="290"/>
        <v>1F98B ; fully-qualified # 🦋 E3.0 butterfly</v>
      </c>
      <c r="C3083" t="str">
        <f t="shared" si="291"/>
        <v xml:space="preserve">1F98B </v>
      </c>
      <c r="D3083">
        <f t="shared" si="292"/>
        <v>6</v>
      </c>
      <c r="E3083" t="str">
        <f t="shared" si="288"/>
        <v xml:space="preserve"> 🦋 E3.0 butterfly</v>
      </c>
      <c r="F3083" t="b">
        <f t="shared" si="293"/>
        <v>1</v>
      </c>
      <c r="G3083" t="str">
        <f t="shared" si="289"/>
        <v>1F98B</v>
      </c>
      <c r="I3083">
        <f>HEX2DEC(Table1[[#This Row],[utf8]])</f>
        <v>129419</v>
      </c>
      <c r="J3083" t="str">
        <f>_xlfn.UNICHAR(HEX2DEC(Table1[[#This Row],[utf8]]))</f>
        <v>🦋</v>
      </c>
      <c r="K3083" s="3" t="str" cm="1">
        <f t="array" ref="K3083">"Case "&amp;wRandomLetter()&amp;wRandomLetter()&amp;I3083&amp;":    UniConst = ChrW(" &amp; I3083 &amp;")"</f>
        <v>Case Ne129419:    UniConst = ChrW(129419)</v>
      </c>
    </row>
    <row r="3084" spans="1:11" hidden="1">
      <c r="A3084" t="s">
        <v>3145</v>
      </c>
      <c r="B3084" t="str">
        <f t="shared" si="290"/>
        <v>1F98C ; fully-qualified # 🦌 E3.0 deer</v>
      </c>
      <c r="C3084" t="str">
        <f t="shared" si="291"/>
        <v xml:space="preserve">1F98C </v>
      </c>
      <c r="D3084">
        <f t="shared" si="292"/>
        <v>6</v>
      </c>
      <c r="E3084" t="str">
        <f t="shared" si="288"/>
        <v xml:space="preserve"> 🦌 E3.0 deer</v>
      </c>
      <c r="F3084" t="b">
        <f t="shared" si="293"/>
        <v>1</v>
      </c>
      <c r="G3084" t="str">
        <f t="shared" si="289"/>
        <v>1F98C</v>
      </c>
      <c r="I3084">
        <f>HEX2DEC(Table1[[#This Row],[utf8]])</f>
        <v>129420</v>
      </c>
      <c r="J3084" t="str">
        <f>_xlfn.UNICHAR(HEX2DEC(Table1[[#This Row],[utf8]]))</f>
        <v>🦌</v>
      </c>
      <c r="K3084" s="3" t="str" cm="1">
        <f t="array" ref="K3084">"Case "&amp;wRandomLetter()&amp;wRandomLetter()&amp;I3084&amp;":    UniConst = ChrW(" &amp; I3084 &amp;")"</f>
        <v>Case iK129420:    UniConst = ChrW(129420)</v>
      </c>
    </row>
    <row r="3085" spans="1:11" hidden="1">
      <c r="A3085" t="s">
        <v>3124</v>
      </c>
      <c r="B3085" t="str">
        <f t="shared" si="290"/>
        <v>1F98D ; fully-qualified # 🦍 E3.0 gorilla</v>
      </c>
      <c r="C3085" t="str">
        <f t="shared" si="291"/>
        <v xml:space="preserve">1F98D </v>
      </c>
      <c r="D3085">
        <f t="shared" si="292"/>
        <v>6</v>
      </c>
      <c r="E3085" t="str">
        <f t="shared" si="288"/>
        <v xml:space="preserve"> 🦍 E3.0 gorilla</v>
      </c>
      <c r="F3085" t="b">
        <f t="shared" si="293"/>
        <v>1</v>
      </c>
      <c r="G3085" t="str">
        <f t="shared" si="289"/>
        <v>1F98D</v>
      </c>
      <c r="I3085">
        <f>HEX2DEC(Table1[[#This Row],[utf8]])</f>
        <v>129421</v>
      </c>
      <c r="J3085" t="str">
        <f>_xlfn.UNICHAR(HEX2DEC(Table1[[#This Row],[utf8]]))</f>
        <v>🦍</v>
      </c>
      <c r="K3085" s="3" t="str" cm="1">
        <f t="array" ref="K3085">"Case "&amp;wRandomLetter()&amp;wRandomLetter()&amp;I3085&amp;":    UniConst = ChrW(" &amp; I3085 &amp;")"</f>
        <v>Case ks129421:    UniConst = ChrW(129421)</v>
      </c>
    </row>
    <row r="3086" spans="1:11" hidden="1">
      <c r="A3086" t="s">
        <v>3213</v>
      </c>
      <c r="B3086" t="str">
        <f t="shared" si="290"/>
        <v>1F98E ; fully-qualified # 🦎 E3.0 lizard</v>
      </c>
      <c r="C3086" t="str">
        <f t="shared" si="291"/>
        <v xml:space="preserve">1F98E </v>
      </c>
      <c r="D3086">
        <f t="shared" si="292"/>
        <v>6</v>
      </c>
      <c r="E3086" t="str">
        <f t="shared" si="288"/>
        <v xml:space="preserve"> 🦎 E3.0 lizard</v>
      </c>
      <c r="F3086" t="b">
        <f t="shared" si="293"/>
        <v>1</v>
      </c>
      <c r="G3086" t="str">
        <f t="shared" si="289"/>
        <v>1F98E</v>
      </c>
      <c r="I3086">
        <f>HEX2DEC(Table1[[#This Row],[utf8]])</f>
        <v>129422</v>
      </c>
      <c r="J3086" t="str">
        <f>_xlfn.UNICHAR(HEX2DEC(Table1[[#This Row],[utf8]]))</f>
        <v>🦎</v>
      </c>
      <c r="K3086" s="3" t="str" cm="1">
        <f t="array" ref="K3086">"Case "&amp;wRandomLetter()&amp;wRandomLetter()&amp;I3086&amp;":    UniConst = ChrW(" &amp; I3086 &amp;")"</f>
        <v>Case mO129422:    UniConst = ChrW(129422)</v>
      </c>
    </row>
    <row r="3087" spans="1:11" hidden="1">
      <c r="A3087" t="s">
        <v>3164</v>
      </c>
      <c r="B3087" t="str">
        <f t="shared" si="290"/>
        <v>1F98F ; fully-qualified # 🦏 E3.0 rhinoceros</v>
      </c>
      <c r="C3087" t="str">
        <f t="shared" si="291"/>
        <v xml:space="preserve">1F98F </v>
      </c>
      <c r="D3087">
        <f t="shared" si="292"/>
        <v>6</v>
      </c>
      <c r="E3087" t="str">
        <f t="shared" si="288"/>
        <v xml:space="preserve"> 🦏 E3.0 rhinoceros</v>
      </c>
      <c r="F3087" t="b">
        <f t="shared" si="293"/>
        <v>1</v>
      </c>
      <c r="G3087" t="str">
        <f t="shared" si="289"/>
        <v>1F98F</v>
      </c>
      <c r="I3087">
        <f>HEX2DEC(Table1[[#This Row],[utf8]])</f>
        <v>129423</v>
      </c>
      <c r="J3087" t="str">
        <f>_xlfn.UNICHAR(HEX2DEC(Table1[[#This Row],[utf8]]))</f>
        <v>🦏</v>
      </c>
      <c r="K3087" s="3" t="str" cm="1">
        <f t="array" ref="K3087">"Case "&amp;wRandomLetter()&amp;wRandomLetter()&amp;I3087&amp;":    UniConst = ChrW(" &amp; I3087 &amp;")"</f>
        <v>Case YS129423:    UniConst = ChrW(129423)</v>
      </c>
    </row>
    <row r="3088" spans="1:11" hidden="1">
      <c r="A3088" t="s">
        <v>3372</v>
      </c>
      <c r="B3088" t="str">
        <f t="shared" si="290"/>
        <v>1F990 ; fully-qualified # 🦐 E3.0 shrimp</v>
      </c>
      <c r="C3088" t="str">
        <f t="shared" si="291"/>
        <v xml:space="preserve">1F990 </v>
      </c>
      <c r="D3088">
        <f t="shared" si="292"/>
        <v>6</v>
      </c>
      <c r="E3088" t="str">
        <f t="shared" si="288"/>
        <v xml:space="preserve"> 🦐 E3.0 shrimp</v>
      </c>
      <c r="F3088" t="b">
        <f t="shared" si="293"/>
        <v>1</v>
      </c>
      <c r="G3088" t="str">
        <f t="shared" si="289"/>
        <v>1F990</v>
      </c>
      <c r="I3088">
        <f>HEX2DEC(Table1[[#This Row],[utf8]])</f>
        <v>129424</v>
      </c>
      <c r="J3088" t="str">
        <f>_xlfn.UNICHAR(HEX2DEC(Table1[[#This Row],[utf8]]))</f>
        <v>🦐</v>
      </c>
      <c r="K3088" s="3" t="str" cm="1">
        <f t="array" ref="K3088">"Case "&amp;wRandomLetter()&amp;wRandomLetter()&amp;I3088&amp;":    UniConst = ChrW(" &amp; I3088 &amp;")"</f>
        <v>Case Wi129424:    UniConst = ChrW(129424)</v>
      </c>
    </row>
    <row r="3089" spans="1:11" hidden="1">
      <c r="A3089" t="s">
        <v>3373</v>
      </c>
      <c r="B3089" t="str">
        <f t="shared" si="290"/>
        <v>1F991 ; fully-qualified # 🦑 E3.0 squid</v>
      </c>
      <c r="C3089" t="str">
        <f t="shared" si="291"/>
        <v xml:space="preserve">1F991 </v>
      </c>
      <c r="D3089">
        <f t="shared" si="292"/>
        <v>6</v>
      </c>
      <c r="E3089" t="str">
        <f t="shared" si="288"/>
        <v xml:space="preserve"> 🦑 E3.0 squid</v>
      </c>
      <c r="F3089" t="b">
        <f t="shared" si="293"/>
        <v>1</v>
      </c>
      <c r="G3089" t="str">
        <f t="shared" si="289"/>
        <v>1F991</v>
      </c>
      <c r="I3089">
        <f>HEX2DEC(Table1[[#This Row],[utf8]])</f>
        <v>129425</v>
      </c>
      <c r="J3089" t="str">
        <f>_xlfn.UNICHAR(HEX2DEC(Table1[[#This Row],[utf8]]))</f>
        <v>🦑</v>
      </c>
      <c r="K3089" s="3" t="str" cm="1">
        <f t="array" ref="K3089">"Case "&amp;wRandomLetter()&amp;wRandomLetter()&amp;I3089&amp;":    UniConst = ChrW(" &amp; I3089 &amp;")"</f>
        <v>Case AF129425:    UniConst = ChrW(129425)</v>
      </c>
    </row>
    <row r="3090" spans="1:11" hidden="1">
      <c r="A3090" t="s">
        <v>3161</v>
      </c>
      <c r="B3090" t="str">
        <f t="shared" si="290"/>
        <v>1F992 ; fully-qualified # 🦒 E5.0 giraffe</v>
      </c>
      <c r="C3090" t="str">
        <f t="shared" si="291"/>
        <v xml:space="preserve">1F992 </v>
      </c>
      <c r="D3090">
        <f t="shared" si="292"/>
        <v>6</v>
      </c>
      <c r="E3090" t="str">
        <f t="shared" si="288"/>
        <v xml:space="preserve"> 🦒 E5.0 giraffe</v>
      </c>
      <c r="F3090" t="b">
        <f t="shared" si="293"/>
        <v>1</v>
      </c>
      <c r="G3090" t="str">
        <f t="shared" si="289"/>
        <v>1F992</v>
      </c>
      <c r="I3090">
        <f>HEX2DEC(Table1[[#This Row],[utf8]])</f>
        <v>129426</v>
      </c>
      <c r="J3090" t="str">
        <f>_xlfn.UNICHAR(HEX2DEC(Table1[[#This Row],[utf8]]))</f>
        <v>🦒</v>
      </c>
      <c r="K3090" s="3" t="str" cm="1">
        <f t="array" ref="K3090">"Case "&amp;wRandomLetter()&amp;wRandomLetter()&amp;I3090&amp;":    UniConst = ChrW(" &amp; I3090 &amp;")"</f>
        <v>Case fT129426:    UniConst = ChrW(129426)</v>
      </c>
    </row>
    <row r="3091" spans="1:11" hidden="1">
      <c r="A3091" t="s">
        <v>3144</v>
      </c>
      <c r="B3091" t="str">
        <f t="shared" si="290"/>
        <v>1F993 ; fully-qualified # 🦓 E5.0 zebra</v>
      </c>
      <c r="C3091" t="str">
        <f t="shared" si="291"/>
        <v xml:space="preserve">1F993 </v>
      </c>
      <c r="D3091">
        <f t="shared" si="292"/>
        <v>6</v>
      </c>
      <c r="E3091" t="str">
        <f t="shared" si="288"/>
        <v xml:space="preserve"> 🦓 E5.0 zebra</v>
      </c>
      <c r="F3091" t="b">
        <f t="shared" si="293"/>
        <v>1</v>
      </c>
      <c r="G3091" t="str">
        <f t="shared" si="289"/>
        <v>1F993</v>
      </c>
      <c r="I3091">
        <f>HEX2DEC(Table1[[#This Row],[utf8]])</f>
        <v>129427</v>
      </c>
      <c r="J3091" t="str">
        <f>_xlfn.UNICHAR(HEX2DEC(Table1[[#This Row],[utf8]]))</f>
        <v>🦓</v>
      </c>
      <c r="K3091" s="3" t="str" cm="1">
        <f t="array" ref="K3091">"Case "&amp;wRandomLetter()&amp;wRandomLetter()&amp;I3091&amp;":    UniConst = ChrW(" &amp; I3091 &amp;")"</f>
        <v>Case CN129427:    UniConst = ChrW(129427)</v>
      </c>
    </row>
    <row r="3092" spans="1:11" hidden="1">
      <c r="A3092" t="s">
        <v>3175</v>
      </c>
      <c r="B3092" t="str">
        <f t="shared" si="290"/>
        <v>1F994 ; fully-qualified # 🦔 E5.0 hedgehog</v>
      </c>
      <c r="C3092" t="str">
        <f t="shared" si="291"/>
        <v xml:space="preserve">1F994 </v>
      </c>
      <c r="D3092">
        <f t="shared" si="292"/>
        <v>6</v>
      </c>
      <c r="E3092" t="str">
        <f t="shared" si="288"/>
        <v xml:space="preserve"> 🦔 E5.0 hedgehog</v>
      </c>
      <c r="F3092" t="b">
        <f t="shared" si="293"/>
        <v>1</v>
      </c>
      <c r="G3092" t="str">
        <f t="shared" si="289"/>
        <v>1F994</v>
      </c>
      <c r="I3092">
        <f>HEX2DEC(Table1[[#This Row],[utf8]])</f>
        <v>129428</v>
      </c>
      <c r="J3092" t="str">
        <f>_xlfn.UNICHAR(HEX2DEC(Table1[[#This Row],[utf8]]))</f>
        <v>🦔</v>
      </c>
      <c r="K3092" s="3" t="str" cm="1">
        <f t="array" ref="K3092">"Case "&amp;wRandomLetter()&amp;wRandomLetter()&amp;I3092&amp;":    UniConst = ChrW(" &amp; I3092 &amp;")"</f>
        <v>Case vI129428:    UniConst = ChrW(129428)</v>
      </c>
    </row>
    <row r="3093" spans="1:11" hidden="1">
      <c r="A3093" t="s">
        <v>3217</v>
      </c>
      <c r="B3093" t="str">
        <f t="shared" si="290"/>
        <v>1F995 ; fully-qualified # 🦕 E5.0 sauropod</v>
      </c>
      <c r="C3093" t="str">
        <f t="shared" si="291"/>
        <v xml:space="preserve">1F995 </v>
      </c>
      <c r="D3093">
        <f t="shared" si="292"/>
        <v>6</v>
      </c>
      <c r="E3093" t="str">
        <f t="shared" si="288"/>
        <v xml:space="preserve"> 🦕 E5.0 sauropod</v>
      </c>
      <c r="F3093" t="b">
        <f t="shared" si="293"/>
        <v>1</v>
      </c>
      <c r="G3093" t="str">
        <f t="shared" si="289"/>
        <v>1F995</v>
      </c>
      <c r="I3093">
        <f>HEX2DEC(Table1[[#This Row],[utf8]])</f>
        <v>129429</v>
      </c>
      <c r="J3093" t="str">
        <f>_xlfn.UNICHAR(HEX2DEC(Table1[[#This Row],[utf8]]))</f>
        <v>🦕</v>
      </c>
      <c r="K3093" s="3" t="str" cm="1">
        <f t="array" ref="K3093">"Case "&amp;wRandomLetter()&amp;wRandomLetter()&amp;I3093&amp;":    UniConst = ChrW(" &amp; I3093 &amp;")"</f>
        <v>Case nK129429:    UniConst = ChrW(129429)</v>
      </c>
    </row>
    <row r="3094" spans="1:11" hidden="1">
      <c r="A3094" t="s">
        <v>3218</v>
      </c>
      <c r="B3094" t="str">
        <f t="shared" si="290"/>
        <v>1F996 ; fully-qualified # 🦖 E5.0 T-Rex</v>
      </c>
      <c r="C3094" t="str">
        <f t="shared" si="291"/>
        <v xml:space="preserve">1F996 </v>
      </c>
      <c r="D3094">
        <f t="shared" si="292"/>
        <v>6</v>
      </c>
      <c r="E3094" t="str">
        <f t="shared" si="288"/>
        <v xml:space="preserve"> 🦖 E5.0 T-Rex</v>
      </c>
      <c r="F3094" t="b">
        <f t="shared" si="293"/>
        <v>1</v>
      </c>
      <c r="G3094" t="str">
        <f t="shared" si="289"/>
        <v>1F996</v>
      </c>
      <c r="I3094">
        <f>HEX2DEC(Table1[[#This Row],[utf8]])</f>
        <v>129430</v>
      </c>
      <c r="J3094" t="str">
        <f>_xlfn.UNICHAR(HEX2DEC(Table1[[#This Row],[utf8]]))</f>
        <v>🦖</v>
      </c>
      <c r="K3094" s="3" t="str" cm="1">
        <f t="array" ref="K3094">"Case "&amp;wRandomLetter()&amp;wRandomLetter()&amp;I3094&amp;":    UniConst = ChrW(" &amp; I3094 &amp;")"</f>
        <v>Case tU129430:    UniConst = ChrW(129430)</v>
      </c>
    </row>
    <row r="3095" spans="1:11" hidden="1">
      <c r="A3095" t="s">
        <v>3238</v>
      </c>
      <c r="B3095" t="str">
        <f t="shared" si="290"/>
        <v>1F997 ; fully-qualified # 🦗 E5.0 cricket</v>
      </c>
      <c r="C3095" t="str">
        <f t="shared" si="291"/>
        <v xml:space="preserve">1F997 </v>
      </c>
      <c r="D3095">
        <f t="shared" si="292"/>
        <v>6</v>
      </c>
      <c r="E3095" t="str">
        <f t="shared" si="288"/>
        <v xml:space="preserve"> 🦗 E5.0 cricket</v>
      </c>
      <c r="F3095" t="b">
        <f t="shared" si="293"/>
        <v>1</v>
      </c>
      <c r="G3095" t="str">
        <f t="shared" si="289"/>
        <v>1F997</v>
      </c>
      <c r="I3095">
        <f>HEX2DEC(Table1[[#This Row],[utf8]])</f>
        <v>129431</v>
      </c>
      <c r="J3095" t="str">
        <f>_xlfn.UNICHAR(HEX2DEC(Table1[[#This Row],[utf8]]))</f>
        <v>🦗</v>
      </c>
      <c r="K3095" s="3" t="str" cm="1">
        <f t="array" ref="K3095">"Case "&amp;wRandomLetter()&amp;wRandomLetter()&amp;I3095&amp;":    UniConst = ChrW(" &amp; I3095 &amp;")"</f>
        <v>Case If129431:    UniConst = ChrW(129431)</v>
      </c>
    </row>
    <row r="3096" spans="1:11" hidden="1">
      <c r="A3096" t="s">
        <v>3185</v>
      </c>
      <c r="B3096" t="str">
        <f t="shared" si="290"/>
        <v>1F998 ; fully-qualified # 🦘 E11.0 kangaroo</v>
      </c>
      <c r="C3096" t="str">
        <f t="shared" si="291"/>
        <v xml:space="preserve">1F998 </v>
      </c>
      <c r="D3096">
        <f t="shared" si="292"/>
        <v>6</v>
      </c>
      <c r="E3096" t="str">
        <f t="shared" si="288"/>
        <v xml:space="preserve"> 🦘 E11.0 kangaroo</v>
      </c>
      <c r="F3096" t="b">
        <f t="shared" si="293"/>
        <v>1</v>
      </c>
      <c r="G3096" t="str">
        <f t="shared" si="289"/>
        <v>1F998</v>
      </c>
      <c r="I3096">
        <f>HEX2DEC(Table1[[#This Row],[utf8]])</f>
        <v>129432</v>
      </c>
      <c r="J3096" t="str">
        <f>_xlfn.UNICHAR(HEX2DEC(Table1[[#This Row],[utf8]]))</f>
        <v>🦘</v>
      </c>
      <c r="K3096" s="3" t="str" cm="1">
        <f t="array" ref="K3096">"Case "&amp;wRandomLetter()&amp;wRandomLetter()&amp;I3096&amp;":    UniConst = ChrW(" &amp; I3096 &amp;")"</f>
        <v>Case Mc129432:    UniConst = ChrW(129432)</v>
      </c>
    </row>
    <row r="3097" spans="1:11" hidden="1">
      <c r="A3097" t="s">
        <v>3160</v>
      </c>
      <c r="B3097" t="str">
        <f t="shared" si="290"/>
        <v>1F999 ; fully-qualified # 🦙 E11.0 llama</v>
      </c>
      <c r="C3097" t="str">
        <f t="shared" si="291"/>
        <v xml:space="preserve">1F999 </v>
      </c>
      <c r="D3097">
        <f t="shared" si="292"/>
        <v>6</v>
      </c>
      <c r="E3097" t="str">
        <f t="shared" si="288"/>
        <v xml:space="preserve"> 🦙 E11.0 llama</v>
      </c>
      <c r="F3097" t="b">
        <f t="shared" si="293"/>
        <v>1</v>
      </c>
      <c r="G3097" t="str">
        <f t="shared" si="289"/>
        <v>1F999</v>
      </c>
      <c r="I3097">
        <f>HEX2DEC(Table1[[#This Row],[utf8]])</f>
        <v>129433</v>
      </c>
      <c r="J3097" t="str">
        <f>_xlfn.UNICHAR(HEX2DEC(Table1[[#This Row],[utf8]]))</f>
        <v>🦙</v>
      </c>
      <c r="K3097" s="3" t="str" cm="1">
        <f t="array" ref="K3097">"Case "&amp;wRandomLetter()&amp;wRandomLetter()&amp;I3097&amp;":    UniConst = ChrW(" &amp; I3097 &amp;")"</f>
        <v>Case oR129433:    UniConst = ChrW(129433)</v>
      </c>
    </row>
    <row r="3098" spans="1:11" hidden="1">
      <c r="A3098" t="s">
        <v>3206</v>
      </c>
      <c r="B3098" t="str">
        <f t="shared" si="290"/>
        <v>1F99A ; fully-qualified # 🦚 E11.0 peacock</v>
      </c>
      <c r="C3098" t="str">
        <f t="shared" si="291"/>
        <v xml:space="preserve">1F99A </v>
      </c>
      <c r="D3098">
        <f t="shared" si="292"/>
        <v>6</v>
      </c>
      <c r="E3098" t="str">
        <f t="shared" si="288"/>
        <v xml:space="preserve"> 🦚 E11.0 peacock</v>
      </c>
      <c r="F3098" t="b">
        <f t="shared" si="293"/>
        <v>1</v>
      </c>
      <c r="G3098" t="str">
        <f t="shared" si="289"/>
        <v>1F99A</v>
      </c>
      <c r="I3098">
        <f>HEX2DEC(Table1[[#This Row],[utf8]])</f>
        <v>129434</v>
      </c>
      <c r="J3098" t="str">
        <f>_xlfn.UNICHAR(HEX2DEC(Table1[[#This Row],[utf8]]))</f>
        <v>🦚</v>
      </c>
      <c r="K3098" s="3" t="str" cm="1">
        <f t="array" ref="K3098">"Case "&amp;wRandomLetter()&amp;wRandomLetter()&amp;I3098&amp;":    UniConst = ChrW(" &amp; I3098 &amp;")"</f>
        <v>Case LZ129434:    UniConst = ChrW(129434)</v>
      </c>
    </row>
    <row r="3099" spans="1:11" hidden="1">
      <c r="A3099" t="s">
        <v>3165</v>
      </c>
      <c r="B3099" t="str">
        <f t="shared" si="290"/>
        <v>1F99B ; fully-qualified # 🦛 E11.0 hippopotamus</v>
      </c>
      <c r="C3099" t="str">
        <f t="shared" si="291"/>
        <v xml:space="preserve">1F99B </v>
      </c>
      <c r="D3099">
        <f t="shared" si="292"/>
        <v>6</v>
      </c>
      <c r="E3099" t="str">
        <f t="shared" si="288"/>
        <v xml:space="preserve"> 🦛 E11.0 hippopotamus</v>
      </c>
      <c r="F3099" t="b">
        <f t="shared" si="293"/>
        <v>1</v>
      </c>
      <c r="G3099" t="str">
        <f t="shared" si="289"/>
        <v>1F99B</v>
      </c>
      <c r="I3099">
        <f>HEX2DEC(Table1[[#This Row],[utf8]])</f>
        <v>129435</v>
      </c>
      <c r="J3099" t="str">
        <f>_xlfn.UNICHAR(HEX2DEC(Table1[[#This Row],[utf8]]))</f>
        <v>🦛</v>
      </c>
      <c r="K3099" s="3" t="str" cm="1">
        <f t="array" ref="K3099">"Case "&amp;wRandomLetter()&amp;wRandomLetter()&amp;I3099&amp;":    UniConst = ChrW(" &amp; I3099 &amp;")"</f>
        <v>Case CX129435:    UniConst = ChrW(129435)</v>
      </c>
    </row>
    <row r="3100" spans="1:11" hidden="1">
      <c r="A3100" t="s">
        <v>3207</v>
      </c>
      <c r="B3100" t="str">
        <f t="shared" si="290"/>
        <v>1F99C ; fully-qualified # 🦜 E11.0 parrot</v>
      </c>
      <c r="C3100" t="str">
        <f t="shared" si="291"/>
        <v xml:space="preserve">1F99C </v>
      </c>
      <c r="D3100">
        <f t="shared" si="292"/>
        <v>6</v>
      </c>
      <c r="E3100" t="str">
        <f t="shared" si="288"/>
        <v xml:space="preserve"> 🦜 E11.0 parrot</v>
      </c>
      <c r="F3100" t="b">
        <f t="shared" si="293"/>
        <v>1</v>
      </c>
      <c r="G3100" t="str">
        <f t="shared" si="289"/>
        <v>1F99C</v>
      </c>
      <c r="I3100">
        <f>HEX2DEC(Table1[[#This Row],[utf8]])</f>
        <v>129436</v>
      </c>
      <c r="J3100" t="str">
        <f>_xlfn.UNICHAR(HEX2DEC(Table1[[#This Row],[utf8]]))</f>
        <v>🦜</v>
      </c>
      <c r="K3100" s="3" t="str" cm="1">
        <f t="array" ref="K3100">"Case "&amp;wRandomLetter()&amp;wRandomLetter()&amp;I3100&amp;":    UniConst = ChrW(" &amp; I3100 &amp;")"</f>
        <v>Case ag129436:    UniConst = ChrW(129436)</v>
      </c>
    </row>
    <row r="3101" spans="1:11" hidden="1">
      <c r="A3101" t="s">
        <v>3133</v>
      </c>
      <c r="B3101" t="str">
        <f t="shared" si="290"/>
        <v>1F99D ; fully-qualified # 🦝 E11.0 raccoon</v>
      </c>
      <c r="C3101" t="str">
        <f t="shared" si="291"/>
        <v xml:space="preserve">1F99D </v>
      </c>
      <c r="D3101">
        <f t="shared" si="292"/>
        <v>6</v>
      </c>
      <c r="E3101" t="str">
        <f t="shared" si="288"/>
        <v xml:space="preserve"> 🦝 E11.0 raccoon</v>
      </c>
      <c r="F3101" t="b">
        <f t="shared" si="293"/>
        <v>1</v>
      </c>
      <c r="G3101" t="str">
        <f t="shared" si="289"/>
        <v>1F99D</v>
      </c>
      <c r="I3101">
        <f>HEX2DEC(Table1[[#This Row],[utf8]])</f>
        <v>129437</v>
      </c>
      <c r="J3101" t="str">
        <f>_xlfn.UNICHAR(HEX2DEC(Table1[[#This Row],[utf8]]))</f>
        <v>🦝</v>
      </c>
      <c r="K3101" s="3" t="str" cm="1">
        <f t="array" ref="K3101">"Case "&amp;wRandomLetter()&amp;wRandomLetter()&amp;I3101&amp;":    UniConst = ChrW(" &amp; I3101 &amp;")"</f>
        <v>Case Rj129437:    UniConst = ChrW(129437)</v>
      </c>
    </row>
    <row r="3102" spans="1:11" hidden="1">
      <c r="A3102" t="s">
        <v>3371</v>
      </c>
      <c r="B3102" t="str">
        <f t="shared" si="290"/>
        <v>1F99E ; fully-qualified # 🦞 E11.0 lobster</v>
      </c>
      <c r="C3102" t="str">
        <f t="shared" si="291"/>
        <v xml:space="preserve">1F99E </v>
      </c>
      <c r="D3102">
        <f t="shared" si="292"/>
        <v>6</v>
      </c>
      <c r="E3102" t="str">
        <f t="shared" si="288"/>
        <v xml:space="preserve"> 🦞 E11.0 lobster</v>
      </c>
      <c r="F3102" t="b">
        <f t="shared" si="293"/>
        <v>1</v>
      </c>
      <c r="G3102" t="str">
        <f t="shared" si="289"/>
        <v>1F99E</v>
      </c>
      <c r="I3102">
        <f>HEX2DEC(Table1[[#This Row],[utf8]])</f>
        <v>129438</v>
      </c>
      <c r="J3102" t="str">
        <f>_xlfn.UNICHAR(HEX2DEC(Table1[[#This Row],[utf8]]))</f>
        <v>🦞</v>
      </c>
      <c r="K3102" s="3" t="str" cm="1">
        <f t="array" ref="K3102">"Case "&amp;wRandomLetter()&amp;wRandomLetter()&amp;I3102&amp;":    UniConst = ChrW(" &amp; I3102 &amp;")"</f>
        <v>Case Qi129438:    UniConst = ChrW(129438)</v>
      </c>
    </row>
    <row r="3103" spans="1:11" hidden="1">
      <c r="A3103" t="s">
        <v>3245</v>
      </c>
      <c r="B3103" t="str">
        <f t="shared" si="290"/>
        <v>1F99F ; fully-qualified # 🦟 E11.0 mosquito</v>
      </c>
      <c r="C3103" t="str">
        <f t="shared" si="291"/>
        <v xml:space="preserve">1F99F </v>
      </c>
      <c r="D3103">
        <f t="shared" si="292"/>
        <v>6</v>
      </c>
      <c r="E3103" t="str">
        <f t="shared" si="288"/>
        <v xml:space="preserve"> 🦟 E11.0 mosquito</v>
      </c>
      <c r="F3103" t="b">
        <f t="shared" si="293"/>
        <v>1</v>
      </c>
      <c r="G3103" t="str">
        <f t="shared" si="289"/>
        <v>1F99F</v>
      </c>
      <c r="I3103">
        <f>HEX2DEC(Table1[[#This Row],[utf8]])</f>
        <v>129439</v>
      </c>
      <c r="J3103" t="str">
        <f>_xlfn.UNICHAR(HEX2DEC(Table1[[#This Row],[utf8]]))</f>
        <v>🦟</v>
      </c>
      <c r="K3103" s="3" t="str" cm="1">
        <f t="array" ref="K3103">"Case "&amp;wRandomLetter()&amp;wRandomLetter()&amp;I3103&amp;":    UniConst = ChrW(" &amp; I3103 &amp;")"</f>
        <v>Case pC129439:    UniConst = ChrW(129439)</v>
      </c>
    </row>
    <row r="3104" spans="1:11" hidden="1">
      <c r="A3104" t="s">
        <v>3248</v>
      </c>
      <c r="B3104" t="str">
        <f t="shared" si="290"/>
        <v>1F9A0 ; fully-qualified # 🦠 E11.0 microbe</v>
      </c>
      <c r="C3104" t="str">
        <f t="shared" si="291"/>
        <v xml:space="preserve">1F9A0 </v>
      </c>
      <c r="D3104">
        <f t="shared" si="292"/>
        <v>6</v>
      </c>
      <c r="E3104" t="str">
        <f t="shared" si="288"/>
        <v xml:space="preserve"> 🦠 E11.0 microbe</v>
      </c>
      <c r="F3104" t="b">
        <f t="shared" si="293"/>
        <v>1</v>
      </c>
      <c r="G3104" t="str">
        <f t="shared" si="289"/>
        <v>1F9A0</v>
      </c>
      <c r="I3104">
        <f>HEX2DEC(Table1[[#This Row],[utf8]])</f>
        <v>129440</v>
      </c>
      <c r="J3104" t="str">
        <f>_xlfn.UNICHAR(HEX2DEC(Table1[[#This Row],[utf8]]))</f>
        <v>🦠</v>
      </c>
      <c r="K3104" s="3" t="str" cm="1">
        <f t="array" ref="K3104">"Case "&amp;wRandomLetter()&amp;wRandomLetter()&amp;I3104&amp;":    UniConst = ChrW(" &amp; I3104 &amp;")"</f>
        <v>Case ln129440:    UniConst = ChrW(129440)</v>
      </c>
    </row>
    <row r="3105" spans="1:11" hidden="1">
      <c r="A3105" t="s">
        <v>3186</v>
      </c>
      <c r="B3105" t="str">
        <f t="shared" si="290"/>
        <v>1F9A1 ; fully-qualified # 🦡 E11.0 badger</v>
      </c>
      <c r="C3105" t="str">
        <f t="shared" si="291"/>
        <v xml:space="preserve">1F9A1 </v>
      </c>
      <c r="D3105">
        <f t="shared" si="292"/>
        <v>6</v>
      </c>
      <c r="E3105" t="str">
        <f t="shared" si="288"/>
        <v xml:space="preserve"> 🦡 E11.0 badger</v>
      </c>
      <c r="F3105" t="b">
        <f t="shared" si="293"/>
        <v>1</v>
      </c>
      <c r="G3105" t="str">
        <f t="shared" si="289"/>
        <v>1F9A1</v>
      </c>
      <c r="I3105">
        <f>HEX2DEC(Table1[[#This Row],[utf8]])</f>
        <v>129441</v>
      </c>
      <c r="J3105" t="str">
        <f>_xlfn.UNICHAR(HEX2DEC(Table1[[#This Row],[utf8]]))</f>
        <v>🦡</v>
      </c>
      <c r="K3105" s="3" t="str" cm="1">
        <f t="array" ref="K3105">"Case "&amp;wRandomLetter()&amp;wRandomLetter()&amp;I3105&amp;":    UniConst = ChrW(" &amp; I3105 &amp;")"</f>
        <v>Case LL129441:    UniConst = ChrW(129441)</v>
      </c>
    </row>
    <row r="3106" spans="1:11" hidden="1">
      <c r="A3106" t="s">
        <v>3201</v>
      </c>
      <c r="B3106" t="str">
        <f t="shared" si="290"/>
        <v>1F9A2 ; fully-qualified # 🦢 E11.0 swan</v>
      </c>
      <c r="C3106" t="str">
        <f t="shared" si="291"/>
        <v xml:space="preserve">1F9A2 </v>
      </c>
      <c r="D3106">
        <f t="shared" si="292"/>
        <v>6</v>
      </c>
      <c r="E3106" t="str">
        <f t="shared" si="288"/>
        <v xml:space="preserve"> 🦢 E11.0 swan</v>
      </c>
      <c r="F3106" t="b">
        <f t="shared" si="293"/>
        <v>1</v>
      </c>
      <c r="G3106" t="str">
        <f t="shared" si="289"/>
        <v>1F9A2</v>
      </c>
      <c r="I3106">
        <f>HEX2DEC(Table1[[#This Row],[utf8]])</f>
        <v>129442</v>
      </c>
      <c r="J3106" t="str">
        <f>_xlfn.UNICHAR(HEX2DEC(Table1[[#This Row],[utf8]]))</f>
        <v>🦢</v>
      </c>
      <c r="K3106" s="3" t="str" cm="1">
        <f t="array" ref="K3106">"Case "&amp;wRandomLetter()&amp;wRandomLetter()&amp;I3106&amp;":    UniConst = ChrW(" &amp; I3106 &amp;")"</f>
        <v>Case SU129442:    UniConst = ChrW(129442)</v>
      </c>
    </row>
    <row r="3107" spans="1:11" hidden="1">
      <c r="A3107" t="s">
        <v>3163</v>
      </c>
      <c r="B3107" t="str">
        <f t="shared" si="290"/>
        <v>1F9A3 ; fully-qualified # 🦣 E13.0 mammoth</v>
      </c>
      <c r="C3107" t="str">
        <f t="shared" si="291"/>
        <v xml:space="preserve">1F9A3 </v>
      </c>
      <c r="D3107">
        <f t="shared" si="292"/>
        <v>6</v>
      </c>
      <c r="E3107" t="str">
        <f t="shared" si="288"/>
        <v xml:space="preserve"> 🦣 E13.0 mammoth</v>
      </c>
      <c r="F3107" t="b">
        <f t="shared" si="293"/>
        <v>1</v>
      </c>
      <c r="G3107" t="str">
        <f t="shared" si="289"/>
        <v>1F9A3</v>
      </c>
      <c r="I3107">
        <f>HEX2DEC(Table1[[#This Row],[utf8]])</f>
        <v>129443</v>
      </c>
      <c r="J3107" t="str">
        <f>_xlfn.UNICHAR(HEX2DEC(Table1[[#This Row],[utf8]]))</f>
        <v>🦣</v>
      </c>
      <c r="K3107" s="3" t="str" cm="1">
        <f t="array" ref="K3107">"Case "&amp;wRandomLetter()&amp;wRandomLetter()&amp;I3107&amp;":    UniConst = ChrW(" &amp; I3107 &amp;")"</f>
        <v>Case Id129443:    UniConst = ChrW(129443)</v>
      </c>
    </row>
    <row r="3108" spans="1:11" hidden="1">
      <c r="A3108" t="s">
        <v>3203</v>
      </c>
      <c r="B3108" t="str">
        <f t="shared" si="290"/>
        <v>1F9A4 ; fully-qualified # 🦤 E13.0 dodo</v>
      </c>
      <c r="C3108" t="str">
        <f t="shared" si="291"/>
        <v xml:space="preserve">1F9A4 </v>
      </c>
      <c r="D3108">
        <f t="shared" si="292"/>
        <v>6</v>
      </c>
      <c r="E3108" t="str">
        <f t="shared" si="288"/>
        <v xml:space="preserve"> 🦤 E13.0 dodo</v>
      </c>
      <c r="F3108" t="b">
        <f t="shared" si="293"/>
        <v>1</v>
      </c>
      <c r="G3108" t="str">
        <f t="shared" si="289"/>
        <v>1F9A4</v>
      </c>
      <c r="I3108">
        <f>HEX2DEC(Table1[[#This Row],[utf8]])</f>
        <v>129444</v>
      </c>
      <c r="J3108" t="str">
        <f>_xlfn.UNICHAR(HEX2DEC(Table1[[#This Row],[utf8]]))</f>
        <v>🦤</v>
      </c>
      <c r="K3108" s="3" t="str" cm="1">
        <f t="array" ref="K3108">"Case "&amp;wRandomLetter()&amp;wRandomLetter()&amp;I3108&amp;":    UniConst = ChrW(" &amp; I3108 &amp;")"</f>
        <v>Case kt129444:    UniConst = ChrW(129444)</v>
      </c>
    </row>
    <row r="3109" spans="1:11" hidden="1">
      <c r="A3109" t="s">
        <v>3182</v>
      </c>
      <c r="B3109" t="str">
        <f t="shared" si="290"/>
        <v>1F9A5 ; fully-qualified # 🦥 E12.0 sloth</v>
      </c>
      <c r="C3109" t="str">
        <f t="shared" si="291"/>
        <v xml:space="preserve">1F9A5 </v>
      </c>
      <c r="D3109">
        <f t="shared" si="292"/>
        <v>6</v>
      </c>
      <c r="E3109" t="str">
        <f t="shared" si="288"/>
        <v xml:space="preserve"> 🦥 E12.0 sloth</v>
      </c>
      <c r="F3109" t="b">
        <f t="shared" si="293"/>
        <v>1</v>
      </c>
      <c r="G3109" t="str">
        <f t="shared" si="289"/>
        <v>1F9A5</v>
      </c>
      <c r="I3109">
        <f>HEX2DEC(Table1[[#This Row],[utf8]])</f>
        <v>129445</v>
      </c>
      <c r="J3109" t="str">
        <f>_xlfn.UNICHAR(HEX2DEC(Table1[[#This Row],[utf8]]))</f>
        <v>🦥</v>
      </c>
      <c r="K3109" s="3" t="str" cm="1">
        <f t="array" ref="K3109">"Case "&amp;wRandomLetter()&amp;wRandomLetter()&amp;I3109&amp;":    UniConst = ChrW(" &amp; I3109 &amp;")"</f>
        <v>Case IF129445:    UniConst = ChrW(129445)</v>
      </c>
    </row>
    <row r="3110" spans="1:11" hidden="1">
      <c r="A3110" t="s">
        <v>3183</v>
      </c>
      <c r="B3110" t="str">
        <f t="shared" si="290"/>
        <v>1F9A6 ; fully-qualified # 🦦 E12.0 otter</v>
      </c>
      <c r="C3110" t="str">
        <f t="shared" si="291"/>
        <v xml:space="preserve">1F9A6 </v>
      </c>
      <c r="D3110">
        <f t="shared" si="292"/>
        <v>6</v>
      </c>
      <c r="E3110" t="str">
        <f t="shared" si="288"/>
        <v xml:space="preserve"> 🦦 E12.0 otter</v>
      </c>
      <c r="F3110" t="b">
        <f t="shared" si="293"/>
        <v>1</v>
      </c>
      <c r="G3110" t="str">
        <f t="shared" si="289"/>
        <v>1F9A6</v>
      </c>
      <c r="I3110">
        <f>HEX2DEC(Table1[[#This Row],[utf8]])</f>
        <v>129446</v>
      </c>
      <c r="J3110" t="str">
        <f>_xlfn.UNICHAR(HEX2DEC(Table1[[#This Row],[utf8]]))</f>
        <v>🦦</v>
      </c>
      <c r="K3110" s="3" t="str" cm="1">
        <f t="array" ref="K3110">"Case "&amp;wRandomLetter()&amp;wRandomLetter()&amp;I3110&amp;":    UniConst = ChrW(" &amp; I3110 &amp;")"</f>
        <v>Case qU129446:    UniConst = ChrW(129446)</v>
      </c>
    </row>
    <row r="3111" spans="1:11" hidden="1">
      <c r="A3111" t="s">
        <v>3125</v>
      </c>
      <c r="B3111" t="str">
        <f t="shared" si="290"/>
        <v>1F9A7 ; fully-qualified # 🦧 E12.0 orangutan</v>
      </c>
      <c r="C3111" t="str">
        <f t="shared" si="291"/>
        <v xml:space="preserve">1F9A7 </v>
      </c>
      <c r="D3111">
        <f t="shared" si="292"/>
        <v>6</v>
      </c>
      <c r="E3111" t="str">
        <f t="shared" si="288"/>
        <v xml:space="preserve"> 🦧 E12.0 orangutan</v>
      </c>
      <c r="F3111" t="b">
        <f t="shared" si="293"/>
        <v>1</v>
      </c>
      <c r="G3111" t="str">
        <f t="shared" si="289"/>
        <v>1F9A7</v>
      </c>
      <c r="I3111">
        <f>HEX2DEC(Table1[[#This Row],[utf8]])</f>
        <v>129447</v>
      </c>
      <c r="J3111" t="str">
        <f>_xlfn.UNICHAR(HEX2DEC(Table1[[#This Row],[utf8]]))</f>
        <v>🦧</v>
      </c>
      <c r="K3111" s="3" t="str" cm="1">
        <f t="array" ref="K3111">"Case "&amp;wRandomLetter()&amp;wRandomLetter()&amp;I3111&amp;":    UniConst = ChrW(" &amp; I3111 &amp;")"</f>
        <v>Case FM129447:    UniConst = ChrW(129447)</v>
      </c>
    </row>
    <row r="3112" spans="1:11" hidden="1">
      <c r="A3112" t="s">
        <v>3184</v>
      </c>
      <c r="B3112" t="str">
        <f t="shared" si="290"/>
        <v>1F9A8 ; fully-qualified # 🦨 E12.0 skunk</v>
      </c>
      <c r="C3112" t="str">
        <f t="shared" si="291"/>
        <v xml:space="preserve">1F9A8 </v>
      </c>
      <c r="D3112">
        <f t="shared" si="292"/>
        <v>6</v>
      </c>
      <c r="E3112" t="str">
        <f t="shared" si="288"/>
        <v xml:space="preserve"> 🦨 E12.0 skunk</v>
      </c>
      <c r="F3112" t="b">
        <f t="shared" si="293"/>
        <v>1</v>
      </c>
      <c r="G3112" t="str">
        <f t="shared" si="289"/>
        <v>1F9A8</v>
      </c>
      <c r="I3112">
        <f>HEX2DEC(Table1[[#This Row],[utf8]])</f>
        <v>129448</v>
      </c>
      <c r="J3112" t="str">
        <f>_xlfn.UNICHAR(HEX2DEC(Table1[[#This Row],[utf8]]))</f>
        <v>🦨</v>
      </c>
      <c r="K3112" s="3" t="str" cm="1">
        <f t="array" ref="K3112">"Case "&amp;wRandomLetter()&amp;wRandomLetter()&amp;I3112&amp;":    UniConst = ChrW(" &amp; I3112 &amp;")"</f>
        <v>Case ei129448:    UniConst = ChrW(129448)</v>
      </c>
    </row>
    <row r="3113" spans="1:11" hidden="1">
      <c r="A3113" t="s">
        <v>3205</v>
      </c>
      <c r="B3113" t="str">
        <f t="shared" si="290"/>
        <v>1F9A9 ; fully-qualified # 🦩 E12.0 flamingo</v>
      </c>
      <c r="C3113" t="str">
        <f t="shared" si="291"/>
        <v xml:space="preserve">1F9A9 </v>
      </c>
      <c r="D3113">
        <f t="shared" si="292"/>
        <v>6</v>
      </c>
      <c r="E3113" t="str">
        <f t="shared" si="288"/>
        <v xml:space="preserve"> 🦩 E12.0 flamingo</v>
      </c>
      <c r="F3113" t="b">
        <f t="shared" si="293"/>
        <v>1</v>
      </c>
      <c r="G3113" t="str">
        <f t="shared" si="289"/>
        <v>1F9A9</v>
      </c>
      <c r="I3113">
        <f>HEX2DEC(Table1[[#This Row],[utf8]])</f>
        <v>129449</v>
      </c>
      <c r="J3113" t="str">
        <f>_xlfn.UNICHAR(HEX2DEC(Table1[[#This Row],[utf8]]))</f>
        <v>🦩</v>
      </c>
      <c r="K3113" s="3" t="str" cm="1">
        <f t="array" ref="K3113">"Case "&amp;wRandomLetter()&amp;wRandomLetter()&amp;I3113&amp;":    UniConst = ChrW(" &amp; I3113 &amp;")"</f>
        <v>Case CX129449:    UniConst = ChrW(129449)</v>
      </c>
    </row>
    <row r="3114" spans="1:11" hidden="1">
      <c r="A3114" t="s">
        <v>3374</v>
      </c>
      <c r="B3114" t="str">
        <f t="shared" si="290"/>
        <v>1F9AA ; fully-qualified # 🦪 E12.0 oyster</v>
      </c>
      <c r="C3114" t="str">
        <f t="shared" si="291"/>
        <v xml:space="preserve">1F9AA </v>
      </c>
      <c r="D3114">
        <f t="shared" si="292"/>
        <v>6</v>
      </c>
      <c r="E3114" t="str">
        <f t="shared" si="288"/>
        <v xml:space="preserve"> 🦪 E12.0 oyster</v>
      </c>
      <c r="F3114" t="b">
        <f t="shared" si="293"/>
        <v>1</v>
      </c>
      <c r="G3114" t="str">
        <f t="shared" si="289"/>
        <v>1F9AA</v>
      </c>
      <c r="I3114">
        <f>HEX2DEC(Table1[[#This Row],[utf8]])</f>
        <v>129450</v>
      </c>
      <c r="J3114" t="str">
        <f>_xlfn.UNICHAR(HEX2DEC(Table1[[#This Row],[utf8]]))</f>
        <v>🦪</v>
      </c>
      <c r="K3114" s="3" t="str" cm="1">
        <f t="array" ref="K3114">"Case "&amp;wRandomLetter()&amp;wRandomLetter()&amp;I3114&amp;":    UniConst = ChrW(" &amp; I3114 &amp;")"</f>
        <v>Case yr129450:    UniConst = ChrW(129450)</v>
      </c>
    </row>
    <row r="3115" spans="1:11" hidden="1">
      <c r="A3115" t="s">
        <v>3174</v>
      </c>
      <c r="B3115" t="str">
        <f t="shared" si="290"/>
        <v>1F9AB ; fully-qualified # 🦫 E13.0 beaver</v>
      </c>
      <c r="C3115" t="str">
        <f t="shared" si="291"/>
        <v xml:space="preserve">1F9AB </v>
      </c>
      <c r="D3115">
        <f t="shared" si="292"/>
        <v>6</v>
      </c>
      <c r="E3115" t="str">
        <f t="shared" si="288"/>
        <v xml:space="preserve"> 🦫 E13.0 beaver</v>
      </c>
      <c r="F3115" t="b">
        <f t="shared" si="293"/>
        <v>1</v>
      </c>
      <c r="G3115" t="str">
        <f t="shared" si="289"/>
        <v>1F9AB</v>
      </c>
      <c r="I3115">
        <f>HEX2DEC(Table1[[#This Row],[utf8]])</f>
        <v>129451</v>
      </c>
      <c r="J3115" t="str">
        <f>_xlfn.UNICHAR(HEX2DEC(Table1[[#This Row],[utf8]]))</f>
        <v>🦫</v>
      </c>
      <c r="K3115" s="3" t="str" cm="1">
        <f t="array" ref="K3115">"Case "&amp;wRandomLetter()&amp;wRandomLetter()&amp;I3115&amp;":    UniConst = ChrW(" &amp; I3115 &amp;")"</f>
        <v>Case JB129451:    UniConst = ChrW(129451)</v>
      </c>
    </row>
    <row r="3116" spans="1:11" hidden="1">
      <c r="A3116" t="s">
        <v>3146</v>
      </c>
      <c r="B3116" t="str">
        <f t="shared" si="290"/>
        <v>1F9AC ; fully-qualified # 🦬 E13.0 bison</v>
      </c>
      <c r="C3116" t="str">
        <f t="shared" si="291"/>
        <v xml:space="preserve">1F9AC </v>
      </c>
      <c r="D3116">
        <f t="shared" si="292"/>
        <v>6</v>
      </c>
      <c r="E3116" t="str">
        <f t="shared" si="288"/>
        <v xml:space="preserve"> 🦬 E13.0 bison</v>
      </c>
      <c r="F3116" t="b">
        <f t="shared" si="293"/>
        <v>1</v>
      </c>
      <c r="G3116" t="str">
        <f t="shared" si="289"/>
        <v>1F9AC</v>
      </c>
      <c r="I3116">
        <f>HEX2DEC(Table1[[#This Row],[utf8]])</f>
        <v>129452</v>
      </c>
      <c r="J3116" t="str">
        <f>_xlfn.UNICHAR(HEX2DEC(Table1[[#This Row],[utf8]]))</f>
        <v>🦬</v>
      </c>
      <c r="K3116" s="3" t="str" cm="1">
        <f t="array" ref="K3116">"Case "&amp;wRandomLetter()&amp;wRandomLetter()&amp;I3116&amp;":    UniConst = ChrW(" &amp; I3116 &amp;")"</f>
        <v>Case av129452:    UniConst = ChrW(129452)</v>
      </c>
    </row>
    <row r="3117" spans="1:11" hidden="1">
      <c r="A3117" t="s">
        <v>3223</v>
      </c>
      <c r="B3117" t="str">
        <f t="shared" si="290"/>
        <v>1F9AD ; fully-qualified # 🦭 E13.0 seal</v>
      </c>
      <c r="C3117" t="str">
        <f t="shared" si="291"/>
        <v xml:space="preserve">1F9AD </v>
      </c>
      <c r="D3117">
        <f t="shared" si="292"/>
        <v>6</v>
      </c>
      <c r="E3117" t="str">
        <f t="shared" si="288"/>
        <v xml:space="preserve"> 🦭 E13.0 seal</v>
      </c>
      <c r="F3117" t="b">
        <f t="shared" si="293"/>
        <v>1</v>
      </c>
      <c r="G3117" t="str">
        <f t="shared" si="289"/>
        <v>1F9AD</v>
      </c>
      <c r="I3117">
        <f>HEX2DEC(Table1[[#This Row],[utf8]])</f>
        <v>129453</v>
      </c>
      <c r="J3117" t="str">
        <f>_xlfn.UNICHAR(HEX2DEC(Table1[[#This Row],[utf8]]))</f>
        <v>🦭</v>
      </c>
      <c r="K3117" s="3" t="str" cm="1">
        <f t="array" ref="K3117">"Case "&amp;wRandomLetter()&amp;wRandomLetter()&amp;I3117&amp;":    UniConst = ChrW(" &amp; I3117 &amp;")"</f>
        <v>Case aV129453:    UniConst = ChrW(129453)</v>
      </c>
    </row>
    <row r="3118" spans="1:11" hidden="1">
      <c r="A3118" t="s">
        <v>3128</v>
      </c>
      <c r="B3118" t="str">
        <f t="shared" si="290"/>
        <v>1F9AE ; fully-qualified # 🦮 E12.0 guide dog</v>
      </c>
      <c r="C3118" t="str">
        <f t="shared" si="291"/>
        <v xml:space="preserve">1F9AE </v>
      </c>
      <c r="D3118">
        <f t="shared" si="292"/>
        <v>6</v>
      </c>
      <c r="E3118" t="str">
        <f t="shared" si="288"/>
        <v xml:space="preserve"> 🦮 E12.0 guide dog</v>
      </c>
      <c r="F3118" t="b">
        <f t="shared" si="293"/>
        <v>1</v>
      </c>
      <c r="G3118" t="str">
        <f t="shared" si="289"/>
        <v>1F9AE</v>
      </c>
      <c r="I3118">
        <f>HEX2DEC(Table1[[#This Row],[utf8]])</f>
        <v>129454</v>
      </c>
      <c r="J3118" t="str">
        <f>_xlfn.UNICHAR(HEX2DEC(Table1[[#This Row],[utf8]]))</f>
        <v>🦮</v>
      </c>
      <c r="K3118" s="3" t="str" cm="1">
        <f t="array" ref="K3118">"Case "&amp;wRandomLetter()&amp;wRandomLetter()&amp;I3118&amp;":    UniConst = ChrW(" &amp; I3118 &amp;")"</f>
        <v>Case Ic129454:    UniConst = ChrW(129454)</v>
      </c>
    </row>
    <row r="3119" spans="1:11" hidden="1">
      <c r="A3119" t="s">
        <v>4060</v>
      </c>
      <c r="B3119" t="str">
        <f t="shared" si="290"/>
        <v>1F9AF ; fully-qualified # 🦯 E12.0 white cane</v>
      </c>
      <c r="C3119" t="str">
        <f t="shared" si="291"/>
        <v xml:space="preserve">1F9AF </v>
      </c>
      <c r="D3119">
        <f t="shared" si="292"/>
        <v>6</v>
      </c>
      <c r="E3119" t="str">
        <f t="shared" si="288"/>
        <v xml:space="preserve"> 🦯 E12.0 white cane</v>
      </c>
      <c r="F3119" t="b">
        <f t="shared" si="293"/>
        <v>1</v>
      </c>
      <c r="G3119" t="str">
        <f t="shared" si="289"/>
        <v>1F9AF</v>
      </c>
      <c r="I3119">
        <f>HEX2DEC(Table1[[#This Row],[utf8]])</f>
        <v>129455</v>
      </c>
      <c r="J3119" t="str">
        <f>_xlfn.UNICHAR(HEX2DEC(Table1[[#This Row],[utf8]]))</f>
        <v>🦯</v>
      </c>
      <c r="K3119" s="3" t="str" cm="1">
        <f t="array" ref="K3119">"Case "&amp;wRandomLetter()&amp;wRandomLetter()&amp;I3119&amp;":    UniConst = ChrW(" &amp; I3119 &amp;")"</f>
        <v>Case po129455:    UniConst = ChrW(129455)</v>
      </c>
    </row>
    <row r="3120" spans="1:11" hidden="1">
      <c r="A3120" t="s">
        <v>3114</v>
      </c>
      <c r="B3120" t="str">
        <f t="shared" si="290"/>
        <v>1F9B0 ; component # 🦰 E11.0 red hair</v>
      </c>
      <c r="C3120" t="str">
        <f t="shared" si="291"/>
        <v xml:space="preserve">1F9B0 </v>
      </c>
      <c r="D3120">
        <f t="shared" si="292"/>
        <v>6</v>
      </c>
      <c r="E3120" t="str">
        <f t="shared" si="288"/>
        <v xml:space="preserve"> 🦰 E11.0 red hair</v>
      </c>
      <c r="F3120" t="b">
        <f t="shared" si="293"/>
        <v>1</v>
      </c>
      <c r="G3120" t="str">
        <f t="shared" si="289"/>
        <v>1F9B0</v>
      </c>
      <c r="I3120">
        <f>HEX2DEC(Table1[[#This Row],[utf8]])</f>
        <v>129456</v>
      </c>
      <c r="J3120" t="str">
        <f>_xlfn.UNICHAR(HEX2DEC(Table1[[#This Row],[utf8]]))</f>
        <v>🦰</v>
      </c>
      <c r="K3120" s="3" t="str" cm="1">
        <f t="array" ref="K3120">"Case "&amp;wRandomLetter()&amp;wRandomLetter()&amp;I3120&amp;":    UniConst = ChrW(" &amp; I3120 &amp;")"</f>
        <v>Case zc129456:    UniConst = ChrW(129456)</v>
      </c>
    </row>
    <row r="3121" spans="1:11" hidden="1">
      <c r="A3121" t="s">
        <v>3115</v>
      </c>
      <c r="B3121" t="str">
        <f t="shared" si="290"/>
        <v>1F9B1 ; component # 🦱 E11.0 curly hair</v>
      </c>
      <c r="C3121" t="str">
        <f t="shared" si="291"/>
        <v xml:space="preserve">1F9B1 </v>
      </c>
      <c r="D3121">
        <f t="shared" si="292"/>
        <v>6</v>
      </c>
      <c r="E3121" t="str">
        <f t="shared" si="288"/>
        <v xml:space="preserve"> 🦱 E11.0 curly hair</v>
      </c>
      <c r="F3121" t="b">
        <f t="shared" si="293"/>
        <v>1</v>
      </c>
      <c r="G3121" t="str">
        <f t="shared" si="289"/>
        <v>1F9B1</v>
      </c>
      <c r="I3121">
        <f>HEX2DEC(Table1[[#This Row],[utf8]])</f>
        <v>129457</v>
      </c>
      <c r="J3121" t="str">
        <f>_xlfn.UNICHAR(HEX2DEC(Table1[[#This Row],[utf8]]))</f>
        <v>🦱</v>
      </c>
      <c r="K3121" s="3" t="str" cm="1">
        <f t="array" ref="K3121">"Case "&amp;wRandomLetter()&amp;wRandomLetter()&amp;I3121&amp;":    UniConst = ChrW(" &amp; I3121 &amp;")"</f>
        <v>Case LP129457:    UniConst = ChrW(129457)</v>
      </c>
    </row>
    <row r="3122" spans="1:11" hidden="1">
      <c r="A3122" t="s">
        <v>3117</v>
      </c>
      <c r="B3122" t="str">
        <f t="shared" si="290"/>
        <v>1F9B2 ; component # 🦲 E11.0 bald</v>
      </c>
      <c r="C3122" t="str">
        <f t="shared" si="291"/>
        <v xml:space="preserve">1F9B2 </v>
      </c>
      <c r="D3122">
        <f t="shared" si="292"/>
        <v>6</v>
      </c>
      <c r="E3122" t="str">
        <f t="shared" si="288"/>
        <v xml:space="preserve"> 🦲 E11.0 bald</v>
      </c>
      <c r="F3122" t="b">
        <f t="shared" si="293"/>
        <v>1</v>
      </c>
      <c r="G3122" t="str">
        <f t="shared" si="289"/>
        <v>1F9B2</v>
      </c>
      <c r="I3122">
        <f>HEX2DEC(Table1[[#This Row],[utf8]])</f>
        <v>129458</v>
      </c>
      <c r="J3122" t="str">
        <f>_xlfn.UNICHAR(HEX2DEC(Table1[[#This Row],[utf8]]))</f>
        <v>🦲</v>
      </c>
      <c r="K3122" s="3" t="str" cm="1">
        <f t="array" ref="K3122">"Case "&amp;wRandomLetter()&amp;wRandomLetter()&amp;I3122&amp;":    UniConst = ChrW(" &amp; I3122 &amp;")"</f>
        <v>Case WZ129458:    UniConst = ChrW(129458)</v>
      </c>
    </row>
    <row r="3123" spans="1:11" hidden="1">
      <c r="A3123" t="s">
        <v>3116</v>
      </c>
      <c r="B3123" t="str">
        <f t="shared" si="290"/>
        <v>1F9B3 ; component # 🦳 E11.0 white hair</v>
      </c>
      <c r="C3123" t="str">
        <f t="shared" si="291"/>
        <v xml:space="preserve">1F9B3 </v>
      </c>
      <c r="D3123">
        <f t="shared" si="292"/>
        <v>6</v>
      </c>
      <c r="E3123" t="str">
        <f t="shared" si="288"/>
        <v xml:space="preserve"> 🦳 E11.0 white hair</v>
      </c>
      <c r="F3123" t="b">
        <f t="shared" si="293"/>
        <v>1</v>
      </c>
      <c r="G3123" t="str">
        <f t="shared" si="289"/>
        <v>1F9B3</v>
      </c>
      <c r="I3123">
        <f>HEX2DEC(Table1[[#This Row],[utf8]])</f>
        <v>129459</v>
      </c>
      <c r="J3123" t="str">
        <f>_xlfn.UNICHAR(HEX2DEC(Table1[[#This Row],[utf8]]))</f>
        <v>🦳</v>
      </c>
      <c r="K3123" s="3" t="str" cm="1">
        <f t="array" ref="K3123">"Case "&amp;wRandomLetter()&amp;wRandomLetter()&amp;I3123&amp;":    UniConst = ChrW(" &amp; I3123 &amp;")"</f>
        <v>Case Al129459:    UniConst = ChrW(129459)</v>
      </c>
    </row>
    <row r="3124" spans="1:11" hidden="1">
      <c r="A3124" t="s">
        <v>441</v>
      </c>
      <c r="B3124" t="str">
        <f t="shared" si="290"/>
        <v>1F9B4 ; fully-qualified # 🦴 E11.0 bone</v>
      </c>
      <c r="C3124" t="str">
        <f t="shared" si="291"/>
        <v xml:space="preserve">1F9B4 </v>
      </c>
      <c r="D3124">
        <f t="shared" si="292"/>
        <v>6</v>
      </c>
      <c r="E3124" t="str">
        <f t="shared" si="288"/>
        <v xml:space="preserve"> 🦴 E11.0 bone</v>
      </c>
      <c r="F3124" t="b">
        <f t="shared" si="293"/>
        <v>1</v>
      </c>
      <c r="G3124" t="str">
        <f t="shared" si="289"/>
        <v>1F9B4</v>
      </c>
      <c r="I3124">
        <f>HEX2DEC(Table1[[#This Row],[utf8]])</f>
        <v>129460</v>
      </c>
      <c r="J3124" t="str">
        <f>_xlfn.UNICHAR(HEX2DEC(Table1[[#This Row],[utf8]]))</f>
        <v>🦴</v>
      </c>
      <c r="K3124" s="3" t="str" cm="1">
        <f t="array" ref="K3124">"Case "&amp;wRandomLetter()&amp;wRandomLetter()&amp;I3124&amp;":    UniConst = ChrW(" &amp; I3124 &amp;")"</f>
        <v>Case Vu129460:    UniConst = ChrW(129460)</v>
      </c>
    </row>
    <row r="3125" spans="1:11" hidden="1">
      <c r="A3125" t="s">
        <v>407</v>
      </c>
      <c r="B3125" t="str">
        <f t="shared" si="290"/>
        <v>1F9B5 ; fully-qualified # 🦵 E11.0 leg</v>
      </c>
      <c r="C3125" t="str">
        <f t="shared" si="291"/>
        <v xml:space="preserve">1F9B5 </v>
      </c>
      <c r="D3125">
        <f t="shared" si="292"/>
        <v>6</v>
      </c>
      <c r="E3125" t="str">
        <f t="shared" si="288"/>
        <v xml:space="preserve"> 🦵 E11.0 leg</v>
      </c>
      <c r="F3125" t="b">
        <f t="shared" si="293"/>
        <v>1</v>
      </c>
      <c r="G3125" t="str">
        <f t="shared" si="289"/>
        <v>1F9B5</v>
      </c>
      <c r="I3125">
        <f>HEX2DEC(Table1[[#This Row],[utf8]])</f>
        <v>129461</v>
      </c>
      <c r="J3125" t="str">
        <f>_xlfn.UNICHAR(HEX2DEC(Table1[[#This Row],[utf8]]))</f>
        <v>🦵</v>
      </c>
      <c r="K3125" s="3" t="str" cm="1">
        <f t="array" ref="K3125">"Case "&amp;wRandomLetter()&amp;wRandomLetter()&amp;I3125&amp;":    UniConst = ChrW(" &amp; I3125 &amp;")"</f>
        <v>Case Bw129461:    UniConst = ChrW(129461)</v>
      </c>
    </row>
    <row r="3126" spans="1:11" hidden="1">
      <c r="A3126" t="s">
        <v>408</v>
      </c>
      <c r="B3126" t="str">
        <f t="shared" si="290"/>
        <v>1F9B5 1F3FB ; fully-qualified # 🦵🏻 E11.0 leg: light skin tone</v>
      </c>
      <c r="C3126" t="str">
        <f t="shared" si="291"/>
        <v xml:space="preserve">1F9B5 1F3FB </v>
      </c>
      <c r="D3126">
        <f t="shared" si="292"/>
        <v>12</v>
      </c>
      <c r="E3126" t="str">
        <f t="shared" si="288"/>
        <v xml:space="preserve"> 🦵🏻 E11.0 leg: light skin tone</v>
      </c>
      <c r="F3126" t="b">
        <f t="shared" si="293"/>
        <v>1</v>
      </c>
      <c r="G3126" t="str">
        <f t="shared" si="289"/>
        <v>1F9B5</v>
      </c>
      <c r="I3126">
        <f>HEX2DEC(Table1[[#This Row],[utf8]])</f>
        <v>129461</v>
      </c>
      <c r="J3126" t="str">
        <f>_xlfn.UNICHAR(HEX2DEC(Table1[[#This Row],[utf8]]))</f>
        <v>🦵</v>
      </c>
      <c r="K3126" s="3" t="str" cm="1">
        <f t="array" ref="K3126">"Case "&amp;wRandomLetter()&amp;wRandomLetter()&amp;I3126&amp;":    UniConst = ChrW(" &amp; I3126 &amp;")"</f>
        <v>Case tV129461:    UniConst = ChrW(129461)</v>
      </c>
    </row>
    <row r="3127" spans="1:11" hidden="1">
      <c r="A3127" t="s">
        <v>409</v>
      </c>
      <c r="B3127" t="str">
        <f t="shared" si="290"/>
        <v>1F9B5 1F3FC ; fully-qualified # 🦵🏼 E11.0 leg: medium-light skin tone</v>
      </c>
      <c r="C3127" t="str">
        <f t="shared" si="291"/>
        <v xml:space="preserve">1F9B5 1F3FC </v>
      </c>
      <c r="D3127">
        <f t="shared" si="292"/>
        <v>12</v>
      </c>
      <c r="E3127" t="str">
        <f t="shared" si="288"/>
        <v xml:space="preserve"> 🦵🏼 E11.0 leg: medium-light skin tone</v>
      </c>
      <c r="F3127" t="b">
        <f t="shared" si="293"/>
        <v>1</v>
      </c>
      <c r="G3127" t="str">
        <f t="shared" si="289"/>
        <v>1F9B5</v>
      </c>
      <c r="I3127">
        <f>HEX2DEC(Table1[[#This Row],[utf8]])</f>
        <v>129461</v>
      </c>
      <c r="J3127" t="str">
        <f>_xlfn.UNICHAR(HEX2DEC(Table1[[#This Row],[utf8]]))</f>
        <v>🦵</v>
      </c>
      <c r="K3127" s="3" t="str" cm="1">
        <f t="array" ref="K3127">"Case "&amp;wRandomLetter()&amp;wRandomLetter()&amp;I3127&amp;":    UniConst = ChrW(" &amp; I3127 &amp;")"</f>
        <v>Case Ob129461:    UniConst = ChrW(129461)</v>
      </c>
    </row>
    <row r="3128" spans="1:11" hidden="1">
      <c r="A3128" t="s">
        <v>410</v>
      </c>
      <c r="B3128" t="str">
        <f t="shared" si="290"/>
        <v>1F9B5 1F3FD ; fully-qualified # 🦵🏽 E11.0 leg: medium skin tone</v>
      </c>
      <c r="C3128" t="str">
        <f t="shared" si="291"/>
        <v xml:space="preserve">1F9B5 1F3FD </v>
      </c>
      <c r="D3128">
        <f t="shared" si="292"/>
        <v>12</v>
      </c>
      <c r="E3128" t="str">
        <f t="shared" si="288"/>
        <v xml:space="preserve"> 🦵🏽 E11.0 leg: medium skin tone</v>
      </c>
      <c r="F3128" t="b">
        <f t="shared" si="293"/>
        <v>1</v>
      </c>
      <c r="G3128" t="str">
        <f t="shared" si="289"/>
        <v>1F9B5</v>
      </c>
      <c r="I3128">
        <f>HEX2DEC(Table1[[#This Row],[utf8]])</f>
        <v>129461</v>
      </c>
      <c r="J3128" t="str">
        <f>_xlfn.UNICHAR(HEX2DEC(Table1[[#This Row],[utf8]]))</f>
        <v>🦵</v>
      </c>
      <c r="K3128" s="3" t="str" cm="1">
        <f t="array" ref="K3128">"Case "&amp;wRandomLetter()&amp;wRandomLetter()&amp;I3128&amp;":    UniConst = ChrW(" &amp; I3128 &amp;")"</f>
        <v>Case Wq129461:    UniConst = ChrW(129461)</v>
      </c>
    </row>
    <row r="3129" spans="1:11" hidden="1">
      <c r="A3129" t="s">
        <v>411</v>
      </c>
      <c r="B3129" t="str">
        <f t="shared" si="290"/>
        <v>1F9B5 1F3FE ; fully-qualified # 🦵🏾 E11.0 leg: medium-dark skin tone</v>
      </c>
      <c r="C3129" t="str">
        <f t="shared" si="291"/>
        <v xml:space="preserve">1F9B5 1F3FE </v>
      </c>
      <c r="D3129">
        <f t="shared" si="292"/>
        <v>12</v>
      </c>
      <c r="E3129" t="str">
        <f t="shared" si="288"/>
        <v xml:space="preserve"> 🦵🏾 E11.0 leg: medium-dark skin tone</v>
      </c>
      <c r="F3129" t="b">
        <f t="shared" si="293"/>
        <v>1</v>
      </c>
      <c r="G3129" t="str">
        <f t="shared" si="289"/>
        <v>1F9B5</v>
      </c>
      <c r="I3129">
        <f>HEX2DEC(Table1[[#This Row],[utf8]])</f>
        <v>129461</v>
      </c>
      <c r="J3129" t="str">
        <f>_xlfn.UNICHAR(HEX2DEC(Table1[[#This Row],[utf8]]))</f>
        <v>🦵</v>
      </c>
      <c r="K3129" s="3" t="str" cm="1">
        <f t="array" ref="K3129">"Case "&amp;wRandomLetter()&amp;wRandomLetter()&amp;I3129&amp;":    UniConst = ChrW(" &amp; I3129 &amp;")"</f>
        <v>Case Ta129461:    UniConst = ChrW(129461)</v>
      </c>
    </row>
    <row r="3130" spans="1:11" hidden="1">
      <c r="A3130" t="s">
        <v>412</v>
      </c>
      <c r="B3130" t="str">
        <f t="shared" si="290"/>
        <v>1F9B5 1F3FF ; fully-qualified # 🦵🏿 E11.0 leg: dark skin tone</v>
      </c>
      <c r="C3130" t="str">
        <f t="shared" si="291"/>
        <v xml:space="preserve">1F9B5 1F3FF </v>
      </c>
      <c r="D3130">
        <f t="shared" si="292"/>
        <v>12</v>
      </c>
      <c r="E3130" t="str">
        <f t="shared" si="288"/>
        <v xml:space="preserve"> 🦵🏿 E11.0 leg: dark skin tone</v>
      </c>
      <c r="F3130" t="b">
        <f t="shared" si="293"/>
        <v>1</v>
      </c>
      <c r="G3130" t="str">
        <f t="shared" si="289"/>
        <v>1F9B5</v>
      </c>
      <c r="I3130">
        <f>HEX2DEC(Table1[[#This Row],[utf8]])</f>
        <v>129461</v>
      </c>
      <c r="J3130" t="str">
        <f>_xlfn.UNICHAR(HEX2DEC(Table1[[#This Row],[utf8]]))</f>
        <v>🦵</v>
      </c>
      <c r="K3130" s="3" t="str" cm="1">
        <f t="array" ref="K3130">"Case "&amp;wRandomLetter()&amp;wRandomLetter()&amp;I3130&amp;":    UniConst = ChrW(" &amp; I3130 &amp;")"</f>
        <v>Case Ow129461:    UniConst = ChrW(129461)</v>
      </c>
    </row>
    <row r="3131" spans="1:11" hidden="1">
      <c r="A3131" t="s">
        <v>413</v>
      </c>
      <c r="B3131" t="str">
        <f t="shared" si="290"/>
        <v>1F9B6 ; fully-qualified # 🦶 E11.0 foot</v>
      </c>
      <c r="C3131" t="str">
        <f t="shared" si="291"/>
        <v xml:space="preserve">1F9B6 </v>
      </c>
      <c r="D3131">
        <f t="shared" si="292"/>
        <v>6</v>
      </c>
      <c r="E3131" t="str">
        <f t="shared" si="288"/>
        <v xml:space="preserve"> 🦶 E11.0 foot</v>
      </c>
      <c r="F3131" t="b">
        <f t="shared" si="293"/>
        <v>1</v>
      </c>
      <c r="G3131" t="str">
        <f t="shared" si="289"/>
        <v>1F9B6</v>
      </c>
      <c r="I3131">
        <f>HEX2DEC(Table1[[#This Row],[utf8]])</f>
        <v>129462</v>
      </c>
      <c r="J3131" t="str">
        <f>_xlfn.UNICHAR(HEX2DEC(Table1[[#This Row],[utf8]]))</f>
        <v>🦶</v>
      </c>
      <c r="K3131" s="3" t="str" cm="1">
        <f t="array" ref="K3131">"Case "&amp;wRandomLetter()&amp;wRandomLetter()&amp;I3131&amp;":    UniConst = ChrW(" &amp; I3131 &amp;")"</f>
        <v>Case sL129462:    UniConst = ChrW(129462)</v>
      </c>
    </row>
    <row r="3132" spans="1:11" hidden="1">
      <c r="A3132" t="s">
        <v>414</v>
      </c>
      <c r="B3132" t="str">
        <f t="shared" si="290"/>
        <v>1F9B6 1F3FB ; fully-qualified # 🦶🏻 E11.0 foot: light skin tone</v>
      </c>
      <c r="C3132" t="str">
        <f t="shared" si="291"/>
        <v xml:space="preserve">1F9B6 1F3FB </v>
      </c>
      <c r="D3132">
        <f t="shared" si="292"/>
        <v>12</v>
      </c>
      <c r="E3132" t="str">
        <f t="shared" si="288"/>
        <v xml:space="preserve"> 🦶🏻 E11.0 foot: light skin tone</v>
      </c>
      <c r="F3132" t="b">
        <f t="shared" si="293"/>
        <v>1</v>
      </c>
      <c r="G3132" t="str">
        <f t="shared" si="289"/>
        <v>1F9B6</v>
      </c>
      <c r="I3132">
        <f>HEX2DEC(Table1[[#This Row],[utf8]])</f>
        <v>129462</v>
      </c>
      <c r="J3132" t="str">
        <f>_xlfn.UNICHAR(HEX2DEC(Table1[[#This Row],[utf8]]))</f>
        <v>🦶</v>
      </c>
      <c r="K3132" s="3" t="str" cm="1">
        <f t="array" ref="K3132">"Case "&amp;wRandomLetter()&amp;wRandomLetter()&amp;I3132&amp;":    UniConst = ChrW(" &amp; I3132 &amp;")"</f>
        <v>Case sv129462:    UniConst = ChrW(129462)</v>
      </c>
    </row>
    <row r="3133" spans="1:11" hidden="1">
      <c r="A3133" t="s">
        <v>415</v>
      </c>
      <c r="B3133" t="str">
        <f t="shared" si="290"/>
        <v>1F9B6 1F3FC ; fully-qualified # 🦶🏼 E11.0 foot: medium-light skin tone</v>
      </c>
      <c r="C3133" t="str">
        <f t="shared" si="291"/>
        <v xml:space="preserve">1F9B6 1F3FC </v>
      </c>
      <c r="D3133">
        <f t="shared" si="292"/>
        <v>12</v>
      </c>
      <c r="E3133" t="str">
        <f t="shared" si="288"/>
        <v xml:space="preserve"> 🦶🏼 E11.0 foot: medium-light skin tone</v>
      </c>
      <c r="F3133" t="b">
        <f t="shared" si="293"/>
        <v>1</v>
      </c>
      <c r="G3133" t="str">
        <f t="shared" si="289"/>
        <v>1F9B6</v>
      </c>
      <c r="I3133">
        <f>HEX2DEC(Table1[[#This Row],[utf8]])</f>
        <v>129462</v>
      </c>
      <c r="J3133" t="str">
        <f>_xlfn.UNICHAR(HEX2DEC(Table1[[#This Row],[utf8]]))</f>
        <v>🦶</v>
      </c>
      <c r="K3133" s="3" t="str" cm="1">
        <f t="array" ref="K3133">"Case "&amp;wRandomLetter()&amp;wRandomLetter()&amp;I3133&amp;":    UniConst = ChrW(" &amp; I3133 &amp;")"</f>
        <v>Case Qi129462:    UniConst = ChrW(129462)</v>
      </c>
    </row>
    <row r="3134" spans="1:11" hidden="1">
      <c r="A3134" t="s">
        <v>416</v>
      </c>
      <c r="B3134" t="str">
        <f t="shared" si="290"/>
        <v>1F9B6 1F3FD ; fully-qualified # 🦶🏽 E11.0 foot: medium skin tone</v>
      </c>
      <c r="C3134" t="str">
        <f t="shared" si="291"/>
        <v xml:space="preserve">1F9B6 1F3FD </v>
      </c>
      <c r="D3134">
        <f t="shared" si="292"/>
        <v>12</v>
      </c>
      <c r="E3134" t="str">
        <f t="shared" si="288"/>
        <v xml:space="preserve"> 🦶🏽 E11.0 foot: medium skin tone</v>
      </c>
      <c r="F3134" t="b">
        <f t="shared" si="293"/>
        <v>1</v>
      </c>
      <c r="G3134" t="str">
        <f t="shared" si="289"/>
        <v>1F9B6</v>
      </c>
      <c r="I3134">
        <f>HEX2DEC(Table1[[#This Row],[utf8]])</f>
        <v>129462</v>
      </c>
      <c r="J3134" t="str">
        <f>_xlfn.UNICHAR(HEX2DEC(Table1[[#This Row],[utf8]]))</f>
        <v>🦶</v>
      </c>
      <c r="K3134" s="3" t="str" cm="1">
        <f t="array" ref="K3134">"Case "&amp;wRandomLetter()&amp;wRandomLetter()&amp;I3134&amp;":    UniConst = ChrW(" &amp; I3134 &amp;")"</f>
        <v>Case FD129462:    UniConst = ChrW(129462)</v>
      </c>
    </row>
    <row r="3135" spans="1:11" hidden="1">
      <c r="A3135" t="s">
        <v>417</v>
      </c>
      <c r="B3135" t="str">
        <f t="shared" si="290"/>
        <v>1F9B6 1F3FE ; fully-qualified # 🦶🏾 E11.0 foot: medium-dark skin tone</v>
      </c>
      <c r="C3135" t="str">
        <f t="shared" si="291"/>
        <v xml:space="preserve">1F9B6 1F3FE </v>
      </c>
      <c r="D3135">
        <f t="shared" si="292"/>
        <v>12</v>
      </c>
      <c r="E3135" t="str">
        <f t="shared" si="288"/>
        <v xml:space="preserve"> 🦶🏾 E11.0 foot: medium-dark skin tone</v>
      </c>
      <c r="F3135" t="b">
        <f t="shared" si="293"/>
        <v>1</v>
      </c>
      <c r="G3135" t="str">
        <f t="shared" si="289"/>
        <v>1F9B6</v>
      </c>
      <c r="I3135">
        <f>HEX2DEC(Table1[[#This Row],[utf8]])</f>
        <v>129462</v>
      </c>
      <c r="J3135" t="str">
        <f>_xlfn.UNICHAR(HEX2DEC(Table1[[#This Row],[utf8]]))</f>
        <v>🦶</v>
      </c>
      <c r="K3135" s="3" t="str" cm="1">
        <f t="array" ref="K3135">"Case "&amp;wRandomLetter()&amp;wRandomLetter()&amp;I3135&amp;":    UniConst = ChrW(" &amp; I3135 &amp;")"</f>
        <v>Case FR129462:    UniConst = ChrW(129462)</v>
      </c>
    </row>
    <row r="3136" spans="1:11" hidden="1">
      <c r="A3136" t="s">
        <v>418</v>
      </c>
      <c r="B3136" t="str">
        <f t="shared" si="290"/>
        <v>1F9B6 1F3FF ; fully-qualified # 🦶🏿 E11.0 foot: dark skin tone</v>
      </c>
      <c r="C3136" t="str">
        <f t="shared" si="291"/>
        <v xml:space="preserve">1F9B6 1F3FF </v>
      </c>
      <c r="D3136">
        <f t="shared" si="292"/>
        <v>12</v>
      </c>
      <c r="E3136" t="str">
        <f t="shared" si="288"/>
        <v xml:space="preserve"> 🦶🏿 E11.0 foot: dark skin tone</v>
      </c>
      <c r="F3136" t="b">
        <f t="shared" si="293"/>
        <v>1</v>
      </c>
      <c r="G3136" t="str">
        <f t="shared" si="289"/>
        <v>1F9B6</v>
      </c>
      <c r="I3136">
        <f>HEX2DEC(Table1[[#This Row],[utf8]])</f>
        <v>129462</v>
      </c>
      <c r="J3136" t="str">
        <f>_xlfn.UNICHAR(HEX2DEC(Table1[[#This Row],[utf8]]))</f>
        <v>🦶</v>
      </c>
      <c r="K3136" s="3" t="str" cm="1">
        <f t="array" ref="K3136">"Case "&amp;wRandomLetter()&amp;wRandomLetter()&amp;I3136&amp;":    UniConst = ChrW(" &amp; I3136 &amp;")"</f>
        <v>Case sM129462:    UniConst = ChrW(129462)</v>
      </c>
    </row>
    <row r="3137" spans="1:11" hidden="1">
      <c r="A3137" t="s">
        <v>440</v>
      </c>
      <c r="B3137" t="str">
        <f t="shared" si="290"/>
        <v>1F9B7 ; fully-qualified # 🦷 E11.0 tooth</v>
      </c>
      <c r="C3137" t="str">
        <f t="shared" si="291"/>
        <v xml:space="preserve">1F9B7 </v>
      </c>
      <c r="D3137">
        <f t="shared" si="292"/>
        <v>6</v>
      </c>
      <c r="E3137" t="str">
        <f t="shared" si="288"/>
        <v xml:space="preserve"> 🦷 E11.0 tooth</v>
      </c>
      <c r="F3137" t="b">
        <f t="shared" si="293"/>
        <v>1</v>
      </c>
      <c r="G3137" t="str">
        <f t="shared" si="289"/>
        <v>1F9B7</v>
      </c>
      <c r="I3137">
        <f>HEX2DEC(Table1[[#This Row],[utf8]])</f>
        <v>129463</v>
      </c>
      <c r="J3137" t="str">
        <f>_xlfn.UNICHAR(HEX2DEC(Table1[[#This Row],[utf8]]))</f>
        <v>🦷</v>
      </c>
      <c r="K3137" s="3" t="str" cm="1">
        <f t="array" ref="K3137">"Case "&amp;wRandomLetter()&amp;wRandomLetter()&amp;I3137&amp;":    UniConst = ChrW(" &amp; I3137 &amp;")"</f>
        <v>Case My129463:    UniConst = ChrW(129463)</v>
      </c>
    </row>
    <row r="3138" spans="1:11" hidden="1">
      <c r="A3138" t="s">
        <v>1584</v>
      </c>
      <c r="B3138" t="str">
        <f t="shared" si="290"/>
        <v>1F9B8 ; fully-qualified # 🦸 E11.0 superhero</v>
      </c>
      <c r="C3138" t="str">
        <f t="shared" si="291"/>
        <v xml:space="preserve">1F9B8 </v>
      </c>
      <c r="D3138">
        <f t="shared" si="292"/>
        <v>6</v>
      </c>
      <c r="E3138" t="str">
        <f t="shared" ref="E3138:E3201" si="294">MID(A3138,FIND("#",A3138)+1,256)</f>
        <v xml:space="preserve"> 🦸 E11.0 superhero</v>
      </c>
      <c r="F3138" t="b">
        <f t="shared" si="293"/>
        <v>1</v>
      </c>
      <c r="G3138" t="str">
        <f t="shared" ref="G3138:G3201" si="295">LEFT(C3138,(FIND(" ",C3138,1)-1))</f>
        <v>1F9B8</v>
      </c>
      <c r="I3138">
        <f>HEX2DEC(Table1[[#This Row],[utf8]])</f>
        <v>129464</v>
      </c>
      <c r="J3138" t="str">
        <f>_xlfn.UNICHAR(HEX2DEC(Table1[[#This Row],[utf8]]))</f>
        <v>🦸</v>
      </c>
      <c r="K3138" s="3" t="str" cm="1">
        <f t="array" ref="K3138">"Case "&amp;wRandomLetter()&amp;wRandomLetter()&amp;I3138&amp;":    UniConst = ChrW(" &amp; I3138 &amp;")"</f>
        <v>Case wA129464:    UniConst = ChrW(129464)</v>
      </c>
    </row>
    <row r="3139" spans="1:11" hidden="1">
      <c r="A3139" t="s">
        <v>1585</v>
      </c>
      <c r="B3139" t="str">
        <f t="shared" ref="B3139:B3202" si="296">TRIM(A3139)</f>
        <v>1F9B8 1F3FB ; fully-qualified # 🦸🏻 E11.0 superhero: light skin tone</v>
      </c>
      <c r="C3139" t="str">
        <f t="shared" ref="C3139:C3202" si="297">LEFT(B3139,(FIND(";",B3139,1)-1))</f>
        <v xml:space="preserve">1F9B8 1F3FB </v>
      </c>
      <c r="D3139">
        <f t="shared" ref="D3139:D3202" si="298">LEN(C3139)</f>
        <v>12</v>
      </c>
      <c r="E3139" t="str">
        <f t="shared" si="294"/>
        <v xml:space="preserve"> 🦸🏻 E11.0 superhero: light skin tone</v>
      </c>
      <c r="F3139" t="b">
        <f t="shared" ref="F3139:F3202" si="299">IF(LEFT(C3139,2)="1F",TRUE,FALSE)</f>
        <v>1</v>
      </c>
      <c r="G3139" t="str">
        <f t="shared" si="295"/>
        <v>1F9B8</v>
      </c>
      <c r="I3139">
        <f>HEX2DEC(Table1[[#This Row],[utf8]])</f>
        <v>129464</v>
      </c>
      <c r="J3139" t="str">
        <f>_xlfn.UNICHAR(HEX2DEC(Table1[[#This Row],[utf8]]))</f>
        <v>🦸</v>
      </c>
      <c r="K3139" s="3" t="str" cm="1">
        <f t="array" ref="K3139">"Case "&amp;wRandomLetter()&amp;wRandomLetter()&amp;I3139&amp;":    UniConst = ChrW(" &amp; I3139 &amp;")"</f>
        <v>Case wE129464:    UniConst = ChrW(129464)</v>
      </c>
    </row>
    <row r="3140" spans="1:11" hidden="1">
      <c r="A3140" t="s">
        <v>1605</v>
      </c>
      <c r="B3140" t="str">
        <f t="shared" si="296"/>
        <v>1F9B8 1F3FB 200D 2640 ; minimally-qualified # 🦸🏻‍♀ E11.0 woman superhero: light skin tone</v>
      </c>
      <c r="C3140" t="str">
        <f t="shared" si="297"/>
        <v xml:space="preserve">1F9B8 1F3FB 200D 2640 </v>
      </c>
      <c r="D3140">
        <f t="shared" si="298"/>
        <v>22</v>
      </c>
      <c r="E3140" t="str">
        <f t="shared" si="294"/>
        <v xml:space="preserve"> 🦸🏻‍♀ E11.0 woman superhero: light skin tone</v>
      </c>
      <c r="F3140" t="b">
        <f t="shared" si="299"/>
        <v>1</v>
      </c>
      <c r="G3140" t="str">
        <f t="shared" si="295"/>
        <v>1F9B8</v>
      </c>
      <c r="I3140">
        <f>HEX2DEC(Table1[[#This Row],[utf8]])</f>
        <v>129464</v>
      </c>
      <c r="J3140" t="str">
        <f>_xlfn.UNICHAR(HEX2DEC(Table1[[#This Row],[utf8]]))</f>
        <v>🦸</v>
      </c>
      <c r="K3140" s="3" t="str" cm="1">
        <f t="array" ref="K3140">"Case "&amp;wRandomLetter()&amp;wRandomLetter()&amp;I3140&amp;":    UniConst = ChrW(" &amp; I3140 &amp;")"</f>
        <v>Case pV129464:    UniConst = ChrW(129464)</v>
      </c>
    </row>
    <row r="3141" spans="1:11" hidden="1">
      <c r="A3141" t="s">
        <v>1604</v>
      </c>
      <c r="B3141" t="str">
        <f t="shared" si="296"/>
        <v>1F9B8 1F3FB 200D 2640 FE0F ; fully-qualified # 🦸🏻‍♀️ E11.0 woman superhero: light skin tone</v>
      </c>
      <c r="C3141" t="str">
        <f t="shared" si="297"/>
        <v xml:space="preserve">1F9B8 1F3FB 200D 2640 FE0F </v>
      </c>
      <c r="D3141">
        <f t="shared" si="298"/>
        <v>27</v>
      </c>
      <c r="E3141" t="str">
        <f t="shared" si="294"/>
        <v xml:space="preserve"> 🦸🏻‍♀️ E11.0 woman superhero: light skin tone</v>
      </c>
      <c r="F3141" t="b">
        <f t="shared" si="299"/>
        <v>1</v>
      </c>
      <c r="G3141" t="str">
        <f t="shared" si="295"/>
        <v>1F9B8</v>
      </c>
      <c r="I3141">
        <f>HEX2DEC(Table1[[#This Row],[utf8]])</f>
        <v>129464</v>
      </c>
      <c r="J3141" t="str">
        <f>_xlfn.UNICHAR(HEX2DEC(Table1[[#This Row],[utf8]]))</f>
        <v>🦸</v>
      </c>
      <c r="K3141" s="3" t="str" cm="1">
        <f t="array" ref="K3141">"Case "&amp;wRandomLetter()&amp;wRandomLetter()&amp;I3141&amp;":    UniConst = ChrW(" &amp; I3141 &amp;")"</f>
        <v>Case HB129464:    UniConst = ChrW(129464)</v>
      </c>
    </row>
    <row r="3142" spans="1:11" hidden="1">
      <c r="A3142" t="s">
        <v>1593</v>
      </c>
      <c r="B3142" t="str">
        <f t="shared" si="296"/>
        <v>1F9B8 1F3FB 200D 2642 ; minimally-qualified # 🦸🏻‍♂ E11.0 man superhero: light skin tone</v>
      </c>
      <c r="C3142" t="str">
        <f t="shared" si="297"/>
        <v xml:space="preserve">1F9B8 1F3FB 200D 2642 </v>
      </c>
      <c r="D3142">
        <f t="shared" si="298"/>
        <v>22</v>
      </c>
      <c r="E3142" t="str">
        <f t="shared" si="294"/>
        <v xml:space="preserve"> 🦸🏻‍♂ E11.0 man superhero: light skin tone</v>
      </c>
      <c r="F3142" t="b">
        <f t="shared" si="299"/>
        <v>1</v>
      </c>
      <c r="G3142" t="str">
        <f t="shared" si="295"/>
        <v>1F9B8</v>
      </c>
      <c r="I3142">
        <f>HEX2DEC(Table1[[#This Row],[utf8]])</f>
        <v>129464</v>
      </c>
      <c r="J3142" t="str">
        <f>_xlfn.UNICHAR(HEX2DEC(Table1[[#This Row],[utf8]]))</f>
        <v>🦸</v>
      </c>
      <c r="K3142" s="3" t="str" cm="1">
        <f t="array" ref="K3142">"Case "&amp;wRandomLetter()&amp;wRandomLetter()&amp;I3142&amp;":    UniConst = ChrW(" &amp; I3142 &amp;")"</f>
        <v>Case ef129464:    UniConst = ChrW(129464)</v>
      </c>
    </row>
    <row r="3143" spans="1:11" hidden="1">
      <c r="A3143" t="s">
        <v>1592</v>
      </c>
      <c r="B3143" t="str">
        <f t="shared" si="296"/>
        <v>1F9B8 1F3FB 200D 2642 FE0F ; fully-qualified # 🦸🏻‍♂️ E11.0 man superhero: light skin tone</v>
      </c>
      <c r="C3143" t="str">
        <f t="shared" si="297"/>
        <v xml:space="preserve">1F9B8 1F3FB 200D 2642 FE0F </v>
      </c>
      <c r="D3143">
        <f t="shared" si="298"/>
        <v>27</v>
      </c>
      <c r="E3143" t="str">
        <f t="shared" si="294"/>
        <v xml:space="preserve"> 🦸🏻‍♂️ E11.0 man superhero: light skin tone</v>
      </c>
      <c r="F3143" t="b">
        <f t="shared" si="299"/>
        <v>1</v>
      </c>
      <c r="G3143" t="str">
        <f t="shared" si="295"/>
        <v>1F9B8</v>
      </c>
      <c r="I3143">
        <f>HEX2DEC(Table1[[#This Row],[utf8]])</f>
        <v>129464</v>
      </c>
      <c r="J3143" t="str">
        <f>_xlfn.UNICHAR(HEX2DEC(Table1[[#This Row],[utf8]]))</f>
        <v>🦸</v>
      </c>
      <c r="K3143" s="3" t="str" cm="1">
        <f t="array" ref="K3143">"Case "&amp;wRandomLetter()&amp;wRandomLetter()&amp;I3143&amp;":    UniConst = ChrW(" &amp; I3143 &amp;")"</f>
        <v>Case Yy129464:    UniConst = ChrW(129464)</v>
      </c>
    </row>
    <row r="3144" spans="1:11" hidden="1">
      <c r="A3144" t="s">
        <v>1586</v>
      </c>
      <c r="B3144" t="str">
        <f t="shared" si="296"/>
        <v>1F9B8 1F3FC ; fully-qualified # 🦸🏼 E11.0 superhero: medium-light skin tone</v>
      </c>
      <c r="C3144" t="str">
        <f t="shared" si="297"/>
        <v xml:space="preserve">1F9B8 1F3FC </v>
      </c>
      <c r="D3144">
        <f t="shared" si="298"/>
        <v>12</v>
      </c>
      <c r="E3144" t="str">
        <f t="shared" si="294"/>
        <v xml:space="preserve"> 🦸🏼 E11.0 superhero: medium-light skin tone</v>
      </c>
      <c r="F3144" t="b">
        <f t="shared" si="299"/>
        <v>1</v>
      </c>
      <c r="G3144" t="str">
        <f t="shared" si="295"/>
        <v>1F9B8</v>
      </c>
      <c r="I3144">
        <f>HEX2DEC(Table1[[#This Row],[utf8]])</f>
        <v>129464</v>
      </c>
      <c r="J3144" t="str">
        <f>_xlfn.UNICHAR(HEX2DEC(Table1[[#This Row],[utf8]]))</f>
        <v>🦸</v>
      </c>
      <c r="K3144" s="3" t="str" cm="1">
        <f t="array" ref="K3144">"Case "&amp;wRandomLetter()&amp;wRandomLetter()&amp;I3144&amp;":    UniConst = ChrW(" &amp; I3144 &amp;")"</f>
        <v>Case jG129464:    UniConst = ChrW(129464)</v>
      </c>
    </row>
    <row r="3145" spans="1:11" hidden="1">
      <c r="A3145" t="s">
        <v>1607</v>
      </c>
      <c r="B3145" t="str">
        <f t="shared" si="296"/>
        <v>1F9B8 1F3FC 200D 2640 ; minimally-qualified # 🦸🏼‍♀ E11.0 woman superhero: medium-light skin tone</v>
      </c>
      <c r="C3145" t="str">
        <f t="shared" si="297"/>
        <v xml:space="preserve">1F9B8 1F3FC 200D 2640 </v>
      </c>
      <c r="D3145">
        <f t="shared" si="298"/>
        <v>22</v>
      </c>
      <c r="E3145" t="str">
        <f t="shared" si="294"/>
        <v xml:space="preserve"> 🦸🏼‍♀ E11.0 woman superhero: medium-light skin tone</v>
      </c>
      <c r="F3145" t="b">
        <f t="shared" si="299"/>
        <v>1</v>
      </c>
      <c r="G3145" t="str">
        <f t="shared" si="295"/>
        <v>1F9B8</v>
      </c>
      <c r="I3145">
        <f>HEX2DEC(Table1[[#This Row],[utf8]])</f>
        <v>129464</v>
      </c>
      <c r="J3145" t="str">
        <f>_xlfn.UNICHAR(HEX2DEC(Table1[[#This Row],[utf8]]))</f>
        <v>🦸</v>
      </c>
      <c r="K3145" s="3" t="str" cm="1">
        <f t="array" ref="K3145">"Case "&amp;wRandomLetter()&amp;wRandomLetter()&amp;I3145&amp;":    UniConst = ChrW(" &amp; I3145 &amp;")"</f>
        <v>Case ML129464:    UniConst = ChrW(129464)</v>
      </c>
    </row>
    <row r="3146" spans="1:11" hidden="1">
      <c r="A3146" t="s">
        <v>1606</v>
      </c>
      <c r="B3146" t="str">
        <f t="shared" si="296"/>
        <v>1F9B8 1F3FC 200D 2640 FE0F ; fully-qualified # 🦸🏼‍♀️ E11.0 woman superhero: medium-light skin tone</v>
      </c>
      <c r="C3146" t="str">
        <f t="shared" si="297"/>
        <v xml:space="preserve">1F9B8 1F3FC 200D 2640 FE0F </v>
      </c>
      <c r="D3146">
        <f t="shared" si="298"/>
        <v>27</v>
      </c>
      <c r="E3146" t="str">
        <f t="shared" si="294"/>
        <v xml:space="preserve"> 🦸🏼‍♀️ E11.0 woman superhero: medium-light skin tone</v>
      </c>
      <c r="F3146" t="b">
        <f t="shared" si="299"/>
        <v>1</v>
      </c>
      <c r="G3146" t="str">
        <f t="shared" si="295"/>
        <v>1F9B8</v>
      </c>
      <c r="I3146">
        <f>HEX2DEC(Table1[[#This Row],[utf8]])</f>
        <v>129464</v>
      </c>
      <c r="J3146" t="str">
        <f>_xlfn.UNICHAR(HEX2DEC(Table1[[#This Row],[utf8]]))</f>
        <v>🦸</v>
      </c>
      <c r="K3146" s="3" t="str" cm="1">
        <f t="array" ref="K3146">"Case "&amp;wRandomLetter()&amp;wRandomLetter()&amp;I3146&amp;":    UniConst = ChrW(" &amp; I3146 &amp;")"</f>
        <v>Case wZ129464:    UniConst = ChrW(129464)</v>
      </c>
    </row>
    <row r="3147" spans="1:11" hidden="1">
      <c r="A3147" t="s">
        <v>1595</v>
      </c>
      <c r="B3147" t="str">
        <f t="shared" si="296"/>
        <v>1F9B8 1F3FC 200D 2642 ; minimally-qualified # 🦸🏼‍♂ E11.0 man superhero: medium-light skin tone</v>
      </c>
      <c r="C3147" t="str">
        <f t="shared" si="297"/>
        <v xml:space="preserve">1F9B8 1F3FC 200D 2642 </v>
      </c>
      <c r="D3147">
        <f t="shared" si="298"/>
        <v>22</v>
      </c>
      <c r="E3147" t="str">
        <f t="shared" si="294"/>
        <v xml:space="preserve"> 🦸🏼‍♂ E11.0 man superhero: medium-light skin tone</v>
      </c>
      <c r="F3147" t="b">
        <f t="shared" si="299"/>
        <v>1</v>
      </c>
      <c r="G3147" t="str">
        <f t="shared" si="295"/>
        <v>1F9B8</v>
      </c>
      <c r="I3147">
        <f>HEX2DEC(Table1[[#This Row],[utf8]])</f>
        <v>129464</v>
      </c>
      <c r="J3147" t="str">
        <f>_xlfn.UNICHAR(HEX2DEC(Table1[[#This Row],[utf8]]))</f>
        <v>🦸</v>
      </c>
      <c r="K3147" s="3" t="str" cm="1">
        <f t="array" ref="K3147">"Case "&amp;wRandomLetter()&amp;wRandomLetter()&amp;I3147&amp;":    UniConst = ChrW(" &amp; I3147 &amp;")"</f>
        <v>Case bd129464:    UniConst = ChrW(129464)</v>
      </c>
    </row>
    <row r="3148" spans="1:11" hidden="1">
      <c r="A3148" t="s">
        <v>1594</v>
      </c>
      <c r="B3148" t="str">
        <f t="shared" si="296"/>
        <v>1F9B8 1F3FC 200D 2642 FE0F ; fully-qualified # 🦸🏼‍♂️ E11.0 man superhero: medium-light skin tone</v>
      </c>
      <c r="C3148" t="str">
        <f t="shared" si="297"/>
        <v xml:space="preserve">1F9B8 1F3FC 200D 2642 FE0F </v>
      </c>
      <c r="D3148">
        <f t="shared" si="298"/>
        <v>27</v>
      </c>
      <c r="E3148" t="str">
        <f t="shared" si="294"/>
        <v xml:space="preserve"> 🦸🏼‍♂️ E11.0 man superhero: medium-light skin tone</v>
      </c>
      <c r="F3148" t="b">
        <f t="shared" si="299"/>
        <v>1</v>
      </c>
      <c r="G3148" t="str">
        <f t="shared" si="295"/>
        <v>1F9B8</v>
      </c>
      <c r="I3148">
        <f>HEX2DEC(Table1[[#This Row],[utf8]])</f>
        <v>129464</v>
      </c>
      <c r="J3148" t="str">
        <f>_xlfn.UNICHAR(HEX2DEC(Table1[[#This Row],[utf8]]))</f>
        <v>🦸</v>
      </c>
      <c r="K3148" s="3" t="str" cm="1">
        <f t="array" ref="K3148">"Case "&amp;wRandomLetter()&amp;wRandomLetter()&amp;I3148&amp;":    UniConst = ChrW(" &amp; I3148 &amp;")"</f>
        <v>Case vU129464:    UniConst = ChrW(129464)</v>
      </c>
    </row>
    <row r="3149" spans="1:11" hidden="1">
      <c r="A3149" t="s">
        <v>1587</v>
      </c>
      <c r="B3149" t="str">
        <f t="shared" si="296"/>
        <v>1F9B8 1F3FD ; fully-qualified # 🦸🏽 E11.0 superhero: medium skin tone</v>
      </c>
      <c r="C3149" t="str">
        <f t="shared" si="297"/>
        <v xml:space="preserve">1F9B8 1F3FD </v>
      </c>
      <c r="D3149">
        <f t="shared" si="298"/>
        <v>12</v>
      </c>
      <c r="E3149" t="str">
        <f t="shared" si="294"/>
        <v xml:space="preserve"> 🦸🏽 E11.0 superhero: medium skin tone</v>
      </c>
      <c r="F3149" t="b">
        <f t="shared" si="299"/>
        <v>1</v>
      </c>
      <c r="G3149" t="str">
        <f t="shared" si="295"/>
        <v>1F9B8</v>
      </c>
      <c r="I3149">
        <f>HEX2DEC(Table1[[#This Row],[utf8]])</f>
        <v>129464</v>
      </c>
      <c r="J3149" t="str">
        <f>_xlfn.UNICHAR(HEX2DEC(Table1[[#This Row],[utf8]]))</f>
        <v>🦸</v>
      </c>
      <c r="K3149" s="3" t="str" cm="1">
        <f t="array" ref="K3149">"Case "&amp;wRandomLetter()&amp;wRandomLetter()&amp;I3149&amp;":    UniConst = ChrW(" &amp; I3149 &amp;")"</f>
        <v>Case Uq129464:    UniConst = ChrW(129464)</v>
      </c>
    </row>
    <row r="3150" spans="1:11" hidden="1">
      <c r="A3150" t="s">
        <v>1609</v>
      </c>
      <c r="B3150" t="str">
        <f t="shared" si="296"/>
        <v>1F9B8 1F3FD 200D 2640 ; minimally-qualified # 🦸🏽‍♀ E11.0 woman superhero: medium skin tone</v>
      </c>
      <c r="C3150" t="str">
        <f t="shared" si="297"/>
        <v xml:space="preserve">1F9B8 1F3FD 200D 2640 </v>
      </c>
      <c r="D3150">
        <f t="shared" si="298"/>
        <v>22</v>
      </c>
      <c r="E3150" t="str">
        <f t="shared" si="294"/>
        <v xml:space="preserve"> 🦸🏽‍♀ E11.0 woman superhero: medium skin tone</v>
      </c>
      <c r="F3150" t="b">
        <f t="shared" si="299"/>
        <v>1</v>
      </c>
      <c r="G3150" t="str">
        <f t="shared" si="295"/>
        <v>1F9B8</v>
      </c>
      <c r="I3150">
        <f>HEX2DEC(Table1[[#This Row],[utf8]])</f>
        <v>129464</v>
      </c>
      <c r="J3150" t="str">
        <f>_xlfn.UNICHAR(HEX2DEC(Table1[[#This Row],[utf8]]))</f>
        <v>🦸</v>
      </c>
      <c r="K3150" s="3" t="str" cm="1">
        <f t="array" ref="K3150">"Case "&amp;wRandomLetter()&amp;wRandomLetter()&amp;I3150&amp;":    UniConst = ChrW(" &amp; I3150 &amp;")"</f>
        <v>Case LZ129464:    UniConst = ChrW(129464)</v>
      </c>
    </row>
    <row r="3151" spans="1:11" hidden="1">
      <c r="A3151" t="s">
        <v>1608</v>
      </c>
      <c r="B3151" t="str">
        <f t="shared" si="296"/>
        <v>1F9B8 1F3FD 200D 2640 FE0F ; fully-qualified # 🦸🏽‍♀️ E11.0 woman superhero: medium skin tone</v>
      </c>
      <c r="C3151" t="str">
        <f t="shared" si="297"/>
        <v xml:space="preserve">1F9B8 1F3FD 200D 2640 FE0F </v>
      </c>
      <c r="D3151">
        <f t="shared" si="298"/>
        <v>27</v>
      </c>
      <c r="E3151" t="str">
        <f t="shared" si="294"/>
        <v xml:space="preserve"> 🦸🏽‍♀️ E11.0 woman superhero: medium skin tone</v>
      </c>
      <c r="F3151" t="b">
        <f t="shared" si="299"/>
        <v>1</v>
      </c>
      <c r="G3151" t="str">
        <f t="shared" si="295"/>
        <v>1F9B8</v>
      </c>
      <c r="I3151">
        <f>HEX2DEC(Table1[[#This Row],[utf8]])</f>
        <v>129464</v>
      </c>
      <c r="J3151" t="str">
        <f>_xlfn.UNICHAR(HEX2DEC(Table1[[#This Row],[utf8]]))</f>
        <v>🦸</v>
      </c>
      <c r="K3151" s="3" t="str" cm="1">
        <f t="array" ref="K3151">"Case "&amp;wRandomLetter()&amp;wRandomLetter()&amp;I3151&amp;":    UniConst = ChrW(" &amp; I3151 &amp;")"</f>
        <v>Case xH129464:    UniConst = ChrW(129464)</v>
      </c>
    </row>
    <row r="3152" spans="1:11" hidden="1">
      <c r="A3152" t="s">
        <v>1597</v>
      </c>
      <c r="B3152" t="str">
        <f t="shared" si="296"/>
        <v>1F9B8 1F3FD 200D 2642 ; minimally-qualified # 🦸🏽‍♂ E11.0 man superhero: medium skin tone</v>
      </c>
      <c r="C3152" t="str">
        <f t="shared" si="297"/>
        <v xml:space="preserve">1F9B8 1F3FD 200D 2642 </v>
      </c>
      <c r="D3152">
        <f t="shared" si="298"/>
        <v>22</v>
      </c>
      <c r="E3152" t="str">
        <f t="shared" si="294"/>
        <v xml:space="preserve"> 🦸🏽‍♂ E11.0 man superhero: medium skin tone</v>
      </c>
      <c r="F3152" t="b">
        <f t="shared" si="299"/>
        <v>1</v>
      </c>
      <c r="G3152" t="str">
        <f t="shared" si="295"/>
        <v>1F9B8</v>
      </c>
      <c r="I3152">
        <f>HEX2DEC(Table1[[#This Row],[utf8]])</f>
        <v>129464</v>
      </c>
      <c r="J3152" t="str">
        <f>_xlfn.UNICHAR(HEX2DEC(Table1[[#This Row],[utf8]]))</f>
        <v>🦸</v>
      </c>
      <c r="K3152" s="3" t="str" cm="1">
        <f t="array" ref="K3152">"Case "&amp;wRandomLetter()&amp;wRandomLetter()&amp;I3152&amp;":    UniConst = ChrW(" &amp; I3152 &amp;")"</f>
        <v>Case DH129464:    UniConst = ChrW(129464)</v>
      </c>
    </row>
    <row r="3153" spans="1:11" hidden="1">
      <c r="A3153" t="s">
        <v>1596</v>
      </c>
      <c r="B3153" t="str">
        <f t="shared" si="296"/>
        <v>1F9B8 1F3FD 200D 2642 FE0F ; fully-qualified # 🦸🏽‍♂️ E11.0 man superhero: medium skin tone</v>
      </c>
      <c r="C3153" t="str">
        <f t="shared" si="297"/>
        <v xml:space="preserve">1F9B8 1F3FD 200D 2642 FE0F </v>
      </c>
      <c r="D3153">
        <f t="shared" si="298"/>
        <v>27</v>
      </c>
      <c r="E3153" t="str">
        <f t="shared" si="294"/>
        <v xml:space="preserve"> 🦸🏽‍♂️ E11.0 man superhero: medium skin tone</v>
      </c>
      <c r="F3153" t="b">
        <f t="shared" si="299"/>
        <v>1</v>
      </c>
      <c r="G3153" t="str">
        <f t="shared" si="295"/>
        <v>1F9B8</v>
      </c>
      <c r="I3153">
        <f>HEX2DEC(Table1[[#This Row],[utf8]])</f>
        <v>129464</v>
      </c>
      <c r="J3153" t="str">
        <f>_xlfn.UNICHAR(HEX2DEC(Table1[[#This Row],[utf8]]))</f>
        <v>🦸</v>
      </c>
      <c r="K3153" s="3" t="str" cm="1">
        <f t="array" ref="K3153">"Case "&amp;wRandomLetter()&amp;wRandomLetter()&amp;I3153&amp;":    UniConst = ChrW(" &amp; I3153 &amp;")"</f>
        <v>Case yX129464:    UniConst = ChrW(129464)</v>
      </c>
    </row>
    <row r="3154" spans="1:11" hidden="1">
      <c r="A3154" t="s">
        <v>1588</v>
      </c>
      <c r="B3154" t="str">
        <f t="shared" si="296"/>
        <v>1F9B8 1F3FE ; fully-qualified # 🦸🏾 E11.0 superhero: medium-dark skin tone</v>
      </c>
      <c r="C3154" t="str">
        <f t="shared" si="297"/>
        <v xml:space="preserve">1F9B8 1F3FE </v>
      </c>
      <c r="D3154">
        <f t="shared" si="298"/>
        <v>12</v>
      </c>
      <c r="E3154" t="str">
        <f t="shared" si="294"/>
        <v xml:space="preserve"> 🦸🏾 E11.0 superhero: medium-dark skin tone</v>
      </c>
      <c r="F3154" t="b">
        <f t="shared" si="299"/>
        <v>1</v>
      </c>
      <c r="G3154" t="str">
        <f t="shared" si="295"/>
        <v>1F9B8</v>
      </c>
      <c r="I3154">
        <f>HEX2DEC(Table1[[#This Row],[utf8]])</f>
        <v>129464</v>
      </c>
      <c r="J3154" t="str">
        <f>_xlfn.UNICHAR(HEX2DEC(Table1[[#This Row],[utf8]]))</f>
        <v>🦸</v>
      </c>
      <c r="K3154" s="3" t="str" cm="1">
        <f t="array" ref="K3154">"Case "&amp;wRandomLetter()&amp;wRandomLetter()&amp;I3154&amp;":    UniConst = ChrW(" &amp; I3154 &amp;")"</f>
        <v>Case dE129464:    UniConst = ChrW(129464)</v>
      </c>
    </row>
    <row r="3155" spans="1:11" hidden="1">
      <c r="A3155" t="s">
        <v>1611</v>
      </c>
      <c r="B3155" t="str">
        <f t="shared" si="296"/>
        <v>1F9B8 1F3FE 200D 2640 ; minimally-qualified # 🦸🏾‍♀ E11.0 woman superhero: medium-dark skin tone</v>
      </c>
      <c r="C3155" t="str">
        <f t="shared" si="297"/>
        <v xml:space="preserve">1F9B8 1F3FE 200D 2640 </v>
      </c>
      <c r="D3155">
        <f t="shared" si="298"/>
        <v>22</v>
      </c>
      <c r="E3155" t="str">
        <f t="shared" si="294"/>
        <v xml:space="preserve"> 🦸🏾‍♀ E11.0 woman superhero: medium-dark skin tone</v>
      </c>
      <c r="F3155" t="b">
        <f t="shared" si="299"/>
        <v>1</v>
      </c>
      <c r="G3155" t="str">
        <f t="shared" si="295"/>
        <v>1F9B8</v>
      </c>
      <c r="I3155">
        <f>HEX2DEC(Table1[[#This Row],[utf8]])</f>
        <v>129464</v>
      </c>
      <c r="J3155" t="str">
        <f>_xlfn.UNICHAR(HEX2DEC(Table1[[#This Row],[utf8]]))</f>
        <v>🦸</v>
      </c>
      <c r="K3155" s="3" t="str" cm="1">
        <f t="array" ref="K3155">"Case "&amp;wRandomLetter()&amp;wRandomLetter()&amp;I3155&amp;":    UniConst = ChrW(" &amp; I3155 &amp;")"</f>
        <v>Case Oc129464:    UniConst = ChrW(129464)</v>
      </c>
    </row>
    <row r="3156" spans="1:11" hidden="1">
      <c r="A3156" t="s">
        <v>1610</v>
      </c>
      <c r="B3156" t="str">
        <f t="shared" si="296"/>
        <v>1F9B8 1F3FE 200D 2640 FE0F ; fully-qualified # 🦸🏾‍♀️ E11.0 woman superhero: medium-dark skin tone</v>
      </c>
      <c r="C3156" t="str">
        <f t="shared" si="297"/>
        <v xml:space="preserve">1F9B8 1F3FE 200D 2640 FE0F </v>
      </c>
      <c r="D3156">
        <f t="shared" si="298"/>
        <v>27</v>
      </c>
      <c r="E3156" t="str">
        <f t="shared" si="294"/>
        <v xml:space="preserve"> 🦸🏾‍♀️ E11.0 woman superhero: medium-dark skin tone</v>
      </c>
      <c r="F3156" t="b">
        <f t="shared" si="299"/>
        <v>1</v>
      </c>
      <c r="G3156" t="str">
        <f t="shared" si="295"/>
        <v>1F9B8</v>
      </c>
      <c r="I3156">
        <f>HEX2DEC(Table1[[#This Row],[utf8]])</f>
        <v>129464</v>
      </c>
      <c r="J3156" t="str">
        <f>_xlfn.UNICHAR(HEX2DEC(Table1[[#This Row],[utf8]]))</f>
        <v>🦸</v>
      </c>
      <c r="K3156" s="3" t="str" cm="1">
        <f t="array" ref="K3156">"Case "&amp;wRandomLetter()&amp;wRandomLetter()&amp;I3156&amp;":    UniConst = ChrW(" &amp; I3156 &amp;")"</f>
        <v>Case YA129464:    UniConst = ChrW(129464)</v>
      </c>
    </row>
    <row r="3157" spans="1:11" hidden="1">
      <c r="A3157" t="s">
        <v>1599</v>
      </c>
      <c r="B3157" t="str">
        <f t="shared" si="296"/>
        <v>1F9B8 1F3FE 200D 2642 ; minimally-qualified # 🦸🏾‍♂ E11.0 man superhero: medium-dark skin tone</v>
      </c>
      <c r="C3157" t="str">
        <f t="shared" si="297"/>
        <v xml:space="preserve">1F9B8 1F3FE 200D 2642 </v>
      </c>
      <c r="D3157">
        <f t="shared" si="298"/>
        <v>22</v>
      </c>
      <c r="E3157" t="str">
        <f t="shared" si="294"/>
        <v xml:space="preserve"> 🦸🏾‍♂ E11.0 man superhero: medium-dark skin tone</v>
      </c>
      <c r="F3157" t="b">
        <f t="shared" si="299"/>
        <v>1</v>
      </c>
      <c r="G3157" t="str">
        <f t="shared" si="295"/>
        <v>1F9B8</v>
      </c>
      <c r="I3157">
        <f>HEX2DEC(Table1[[#This Row],[utf8]])</f>
        <v>129464</v>
      </c>
      <c r="J3157" t="str">
        <f>_xlfn.UNICHAR(HEX2DEC(Table1[[#This Row],[utf8]]))</f>
        <v>🦸</v>
      </c>
      <c r="K3157" s="3" t="str" cm="1">
        <f t="array" ref="K3157">"Case "&amp;wRandomLetter()&amp;wRandomLetter()&amp;I3157&amp;":    UniConst = ChrW(" &amp; I3157 &amp;")"</f>
        <v>Case JB129464:    UniConst = ChrW(129464)</v>
      </c>
    </row>
    <row r="3158" spans="1:11" hidden="1">
      <c r="A3158" t="s">
        <v>1598</v>
      </c>
      <c r="B3158" t="str">
        <f t="shared" si="296"/>
        <v>1F9B8 1F3FE 200D 2642 FE0F ; fully-qualified # 🦸🏾‍♂️ E11.0 man superhero: medium-dark skin tone</v>
      </c>
      <c r="C3158" t="str">
        <f t="shared" si="297"/>
        <v xml:space="preserve">1F9B8 1F3FE 200D 2642 FE0F </v>
      </c>
      <c r="D3158">
        <f t="shared" si="298"/>
        <v>27</v>
      </c>
      <c r="E3158" t="str">
        <f t="shared" si="294"/>
        <v xml:space="preserve"> 🦸🏾‍♂️ E11.0 man superhero: medium-dark skin tone</v>
      </c>
      <c r="F3158" t="b">
        <f t="shared" si="299"/>
        <v>1</v>
      </c>
      <c r="G3158" t="str">
        <f t="shared" si="295"/>
        <v>1F9B8</v>
      </c>
      <c r="I3158">
        <f>HEX2DEC(Table1[[#This Row],[utf8]])</f>
        <v>129464</v>
      </c>
      <c r="J3158" t="str">
        <f>_xlfn.UNICHAR(HEX2DEC(Table1[[#This Row],[utf8]]))</f>
        <v>🦸</v>
      </c>
      <c r="K3158" s="3" t="str" cm="1">
        <f t="array" ref="K3158">"Case "&amp;wRandomLetter()&amp;wRandomLetter()&amp;I3158&amp;":    UniConst = ChrW(" &amp; I3158 &amp;")"</f>
        <v>Case NA129464:    UniConst = ChrW(129464)</v>
      </c>
    </row>
    <row r="3159" spans="1:11" hidden="1">
      <c r="A3159" t="s">
        <v>1589</v>
      </c>
      <c r="B3159" t="str">
        <f t="shared" si="296"/>
        <v>1F9B8 1F3FF ; fully-qualified # 🦸🏿 E11.0 superhero: dark skin tone</v>
      </c>
      <c r="C3159" t="str">
        <f t="shared" si="297"/>
        <v xml:space="preserve">1F9B8 1F3FF </v>
      </c>
      <c r="D3159">
        <f t="shared" si="298"/>
        <v>12</v>
      </c>
      <c r="E3159" t="str">
        <f t="shared" si="294"/>
        <v xml:space="preserve"> 🦸🏿 E11.0 superhero: dark skin tone</v>
      </c>
      <c r="F3159" t="b">
        <f t="shared" si="299"/>
        <v>1</v>
      </c>
      <c r="G3159" t="str">
        <f t="shared" si="295"/>
        <v>1F9B8</v>
      </c>
      <c r="I3159">
        <f>HEX2DEC(Table1[[#This Row],[utf8]])</f>
        <v>129464</v>
      </c>
      <c r="J3159" t="str">
        <f>_xlfn.UNICHAR(HEX2DEC(Table1[[#This Row],[utf8]]))</f>
        <v>🦸</v>
      </c>
      <c r="K3159" s="3" t="str" cm="1">
        <f t="array" ref="K3159">"Case "&amp;wRandomLetter()&amp;wRandomLetter()&amp;I3159&amp;":    UniConst = ChrW(" &amp; I3159 &amp;")"</f>
        <v>Case Bw129464:    UniConst = ChrW(129464)</v>
      </c>
    </row>
    <row r="3160" spans="1:11" hidden="1">
      <c r="A3160" t="s">
        <v>1613</v>
      </c>
      <c r="B3160" t="str">
        <f t="shared" si="296"/>
        <v>1F9B8 1F3FF 200D 2640 ; minimally-qualified # 🦸🏿‍♀ E11.0 woman superhero: dark skin tone</v>
      </c>
      <c r="C3160" t="str">
        <f t="shared" si="297"/>
        <v xml:space="preserve">1F9B8 1F3FF 200D 2640 </v>
      </c>
      <c r="D3160">
        <f t="shared" si="298"/>
        <v>22</v>
      </c>
      <c r="E3160" t="str">
        <f t="shared" si="294"/>
        <v xml:space="preserve"> 🦸🏿‍♀ E11.0 woman superhero: dark skin tone</v>
      </c>
      <c r="F3160" t="b">
        <f t="shared" si="299"/>
        <v>1</v>
      </c>
      <c r="G3160" t="str">
        <f t="shared" si="295"/>
        <v>1F9B8</v>
      </c>
      <c r="I3160">
        <f>HEX2DEC(Table1[[#This Row],[utf8]])</f>
        <v>129464</v>
      </c>
      <c r="J3160" t="str">
        <f>_xlfn.UNICHAR(HEX2DEC(Table1[[#This Row],[utf8]]))</f>
        <v>🦸</v>
      </c>
      <c r="K3160" s="3" t="str" cm="1">
        <f t="array" ref="K3160">"Case "&amp;wRandomLetter()&amp;wRandomLetter()&amp;I3160&amp;":    UniConst = ChrW(" &amp; I3160 &amp;")"</f>
        <v>Case Bv129464:    UniConst = ChrW(129464)</v>
      </c>
    </row>
    <row r="3161" spans="1:11" hidden="1">
      <c r="A3161" t="s">
        <v>1612</v>
      </c>
      <c r="B3161" t="str">
        <f t="shared" si="296"/>
        <v>1F9B8 1F3FF 200D 2640 FE0F ; fully-qualified # 🦸🏿‍♀️ E11.0 woman superhero: dark skin tone</v>
      </c>
      <c r="C3161" t="str">
        <f t="shared" si="297"/>
        <v xml:space="preserve">1F9B8 1F3FF 200D 2640 FE0F </v>
      </c>
      <c r="D3161">
        <f t="shared" si="298"/>
        <v>27</v>
      </c>
      <c r="E3161" t="str">
        <f t="shared" si="294"/>
        <v xml:space="preserve"> 🦸🏿‍♀️ E11.0 woman superhero: dark skin tone</v>
      </c>
      <c r="F3161" t="b">
        <f t="shared" si="299"/>
        <v>1</v>
      </c>
      <c r="G3161" t="str">
        <f t="shared" si="295"/>
        <v>1F9B8</v>
      </c>
      <c r="I3161">
        <f>HEX2DEC(Table1[[#This Row],[utf8]])</f>
        <v>129464</v>
      </c>
      <c r="J3161" t="str">
        <f>_xlfn.UNICHAR(HEX2DEC(Table1[[#This Row],[utf8]]))</f>
        <v>🦸</v>
      </c>
      <c r="K3161" s="3" t="str" cm="1">
        <f t="array" ref="K3161">"Case "&amp;wRandomLetter()&amp;wRandomLetter()&amp;I3161&amp;":    UniConst = ChrW(" &amp; I3161 &amp;")"</f>
        <v>Case sM129464:    UniConst = ChrW(129464)</v>
      </c>
    </row>
    <row r="3162" spans="1:11" hidden="1">
      <c r="A3162" t="s">
        <v>1601</v>
      </c>
      <c r="B3162" t="str">
        <f t="shared" si="296"/>
        <v>1F9B8 1F3FF 200D 2642 ; minimally-qualified # 🦸🏿‍♂ E11.0 man superhero: dark skin tone</v>
      </c>
      <c r="C3162" t="str">
        <f t="shared" si="297"/>
        <v xml:space="preserve">1F9B8 1F3FF 200D 2642 </v>
      </c>
      <c r="D3162">
        <f t="shared" si="298"/>
        <v>22</v>
      </c>
      <c r="E3162" t="str">
        <f t="shared" si="294"/>
        <v xml:space="preserve"> 🦸🏿‍♂ E11.0 man superhero: dark skin tone</v>
      </c>
      <c r="F3162" t="b">
        <f t="shared" si="299"/>
        <v>1</v>
      </c>
      <c r="G3162" t="str">
        <f t="shared" si="295"/>
        <v>1F9B8</v>
      </c>
      <c r="I3162">
        <f>HEX2DEC(Table1[[#This Row],[utf8]])</f>
        <v>129464</v>
      </c>
      <c r="J3162" t="str">
        <f>_xlfn.UNICHAR(HEX2DEC(Table1[[#This Row],[utf8]]))</f>
        <v>🦸</v>
      </c>
      <c r="K3162" s="3" t="str" cm="1">
        <f t="array" ref="K3162">"Case "&amp;wRandomLetter()&amp;wRandomLetter()&amp;I3162&amp;":    UniConst = ChrW(" &amp; I3162 &amp;")"</f>
        <v>Case AE129464:    UniConst = ChrW(129464)</v>
      </c>
    </row>
    <row r="3163" spans="1:11" hidden="1">
      <c r="A3163" t="s">
        <v>1600</v>
      </c>
      <c r="B3163" t="str">
        <f t="shared" si="296"/>
        <v>1F9B8 1F3FF 200D 2642 FE0F ; fully-qualified # 🦸🏿‍♂️ E11.0 man superhero: dark skin tone</v>
      </c>
      <c r="C3163" t="str">
        <f t="shared" si="297"/>
        <v xml:space="preserve">1F9B8 1F3FF 200D 2642 FE0F </v>
      </c>
      <c r="D3163">
        <f t="shared" si="298"/>
        <v>27</v>
      </c>
      <c r="E3163" t="str">
        <f t="shared" si="294"/>
        <v xml:space="preserve"> 🦸🏿‍♂️ E11.0 man superhero: dark skin tone</v>
      </c>
      <c r="F3163" t="b">
        <f t="shared" si="299"/>
        <v>1</v>
      </c>
      <c r="G3163" t="str">
        <f t="shared" si="295"/>
        <v>1F9B8</v>
      </c>
      <c r="I3163">
        <f>HEX2DEC(Table1[[#This Row],[utf8]])</f>
        <v>129464</v>
      </c>
      <c r="J3163" t="str">
        <f>_xlfn.UNICHAR(HEX2DEC(Table1[[#This Row],[utf8]]))</f>
        <v>🦸</v>
      </c>
      <c r="K3163" s="3" t="str" cm="1">
        <f t="array" ref="K3163">"Case "&amp;wRandomLetter()&amp;wRandomLetter()&amp;I3163&amp;":    UniConst = ChrW(" &amp; I3163 &amp;")"</f>
        <v>Case LN129464:    UniConst = ChrW(129464)</v>
      </c>
    </row>
    <row r="3164" spans="1:11" hidden="1">
      <c r="A3164" t="s">
        <v>1603</v>
      </c>
      <c r="B3164" t="str">
        <f t="shared" si="296"/>
        <v>1F9B8 200D 2640 ; minimally-qualified # 🦸‍♀ E11.0 woman superhero</v>
      </c>
      <c r="C3164" t="str">
        <f t="shared" si="297"/>
        <v xml:space="preserve">1F9B8 200D 2640 </v>
      </c>
      <c r="D3164">
        <f t="shared" si="298"/>
        <v>16</v>
      </c>
      <c r="E3164" t="str">
        <f t="shared" si="294"/>
        <v xml:space="preserve"> 🦸‍♀ E11.0 woman superhero</v>
      </c>
      <c r="F3164" t="b">
        <f t="shared" si="299"/>
        <v>1</v>
      </c>
      <c r="G3164" t="str">
        <f t="shared" si="295"/>
        <v>1F9B8</v>
      </c>
      <c r="I3164">
        <f>HEX2DEC(Table1[[#This Row],[utf8]])</f>
        <v>129464</v>
      </c>
      <c r="J3164" t="str">
        <f>_xlfn.UNICHAR(HEX2DEC(Table1[[#This Row],[utf8]]))</f>
        <v>🦸</v>
      </c>
      <c r="K3164" s="3" t="str" cm="1">
        <f t="array" ref="K3164">"Case "&amp;wRandomLetter()&amp;wRandomLetter()&amp;I3164&amp;":    UniConst = ChrW(" &amp; I3164 &amp;")"</f>
        <v>Case Mc129464:    UniConst = ChrW(129464)</v>
      </c>
    </row>
    <row r="3165" spans="1:11" hidden="1">
      <c r="A3165" t="s">
        <v>1602</v>
      </c>
      <c r="B3165" t="str">
        <f t="shared" si="296"/>
        <v>1F9B8 200D 2640 FE0F ; fully-qualified # 🦸‍♀️ E11.0 woman superhero</v>
      </c>
      <c r="C3165" t="str">
        <f t="shared" si="297"/>
        <v xml:space="preserve">1F9B8 200D 2640 FE0F </v>
      </c>
      <c r="D3165">
        <f t="shared" si="298"/>
        <v>21</v>
      </c>
      <c r="E3165" t="str">
        <f t="shared" si="294"/>
        <v xml:space="preserve"> 🦸‍♀️ E11.0 woman superhero</v>
      </c>
      <c r="F3165" t="b">
        <f t="shared" si="299"/>
        <v>1</v>
      </c>
      <c r="G3165" t="str">
        <f t="shared" si="295"/>
        <v>1F9B8</v>
      </c>
      <c r="I3165">
        <f>HEX2DEC(Table1[[#This Row],[utf8]])</f>
        <v>129464</v>
      </c>
      <c r="J3165" t="str">
        <f>_xlfn.UNICHAR(HEX2DEC(Table1[[#This Row],[utf8]]))</f>
        <v>🦸</v>
      </c>
      <c r="K3165" s="3" t="str" cm="1">
        <f t="array" ref="K3165">"Case "&amp;wRandomLetter()&amp;wRandomLetter()&amp;I3165&amp;":    UniConst = ChrW(" &amp; I3165 &amp;")"</f>
        <v>Case ra129464:    UniConst = ChrW(129464)</v>
      </c>
    </row>
    <row r="3166" spans="1:11" hidden="1">
      <c r="A3166" t="s">
        <v>1591</v>
      </c>
      <c r="B3166" t="str">
        <f t="shared" si="296"/>
        <v>1F9B8 200D 2642 ; minimally-qualified # 🦸‍♂ E11.0 man superhero</v>
      </c>
      <c r="C3166" t="str">
        <f t="shared" si="297"/>
        <v xml:space="preserve">1F9B8 200D 2642 </v>
      </c>
      <c r="D3166">
        <f t="shared" si="298"/>
        <v>16</v>
      </c>
      <c r="E3166" t="str">
        <f t="shared" si="294"/>
        <v xml:space="preserve"> 🦸‍♂ E11.0 man superhero</v>
      </c>
      <c r="F3166" t="b">
        <f t="shared" si="299"/>
        <v>1</v>
      </c>
      <c r="G3166" t="str">
        <f t="shared" si="295"/>
        <v>1F9B8</v>
      </c>
      <c r="I3166">
        <f>HEX2DEC(Table1[[#This Row],[utf8]])</f>
        <v>129464</v>
      </c>
      <c r="J3166" t="str">
        <f>_xlfn.UNICHAR(HEX2DEC(Table1[[#This Row],[utf8]]))</f>
        <v>🦸</v>
      </c>
      <c r="K3166" s="3" t="str" cm="1">
        <f t="array" ref="K3166">"Case "&amp;wRandomLetter()&amp;wRandomLetter()&amp;I3166&amp;":    UniConst = ChrW(" &amp; I3166 &amp;")"</f>
        <v>Case oj129464:    UniConst = ChrW(129464)</v>
      </c>
    </row>
    <row r="3167" spans="1:11" hidden="1">
      <c r="A3167" t="s">
        <v>1590</v>
      </c>
      <c r="B3167" t="str">
        <f t="shared" si="296"/>
        <v>1F9B8 200D 2642 FE0F ; fully-qualified # 🦸‍♂️ E11.0 man superhero</v>
      </c>
      <c r="C3167" t="str">
        <f t="shared" si="297"/>
        <v xml:space="preserve">1F9B8 200D 2642 FE0F </v>
      </c>
      <c r="D3167">
        <f t="shared" si="298"/>
        <v>21</v>
      </c>
      <c r="E3167" t="str">
        <f t="shared" si="294"/>
        <v xml:space="preserve"> 🦸‍♂️ E11.0 man superhero</v>
      </c>
      <c r="F3167" t="b">
        <f t="shared" si="299"/>
        <v>1</v>
      </c>
      <c r="G3167" t="str">
        <f t="shared" si="295"/>
        <v>1F9B8</v>
      </c>
      <c r="I3167">
        <f>HEX2DEC(Table1[[#This Row],[utf8]])</f>
        <v>129464</v>
      </c>
      <c r="J3167" t="str">
        <f>_xlfn.UNICHAR(HEX2DEC(Table1[[#This Row],[utf8]]))</f>
        <v>🦸</v>
      </c>
      <c r="K3167" s="3" t="str" cm="1">
        <f t="array" ref="K3167">"Case "&amp;wRandomLetter()&amp;wRandomLetter()&amp;I3167&amp;":    UniConst = ChrW(" &amp; I3167 &amp;")"</f>
        <v>Case iZ129464:    UniConst = ChrW(129464)</v>
      </c>
    </row>
    <row r="3168" spans="1:11" hidden="1">
      <c r="A3168" t="s">
        <v>1614</v>
      </c>
      <c r="B3168" t="str">
        <f t="shared" si="296"/>
        <v>1F9B9 ; fully-qualified # 🦹 E11.0 supervillain</v>
      </c>
      <c r="C3168" t="str">
        <f t="shared" si="297"/>
        <v xml:space="preserve">1F9B9 </v>
      </c>
      <c r="D3168">
        <f t="shared" si="298"/>
        <v>6</v>
      </c>
      <c r="E3168" t="str">
        <f t="shared" si="294"/>
        <v xml:space="preserve"> 🦹 E11.0 supervillain</v>
      </c>
      <c r="F3168" t="b">
        <f t="shared" si="299"/>
        <v>1</v>
      </c>
      <c r="G3168" t="str">
        <f t="shared" si="295"/>
        <v>1F9B9</v>
      </c>
      <c r="I3168">
        <f>HEX2DEC(Table1[[#This Row],[utf8]])</f>
        <v>129465</v>
      </c>
      <c r="J3168" t="str">
        <f>_xlfn.UNICHAR(HEX2DEC(Table1[[#This Row],[utf8]]))</f>
        <v>🦹</v>
      </c>
      <c r="K3168" s="3" t="str" cm="1">
        <f t="array" ref="K3168">"Case "&amp;wRandomLetter()&amp;wRandomLetter()&amp;I3168&amp;":    UniConst = ChrW(" &amp; I3168 &amp;")"</f>
        <v>Case FD129465:    UniConst = ChrW(129465)</v>
      </c>
    </row>
    <row r="3169" spans="1:11" hidden="1">
      <c r="A3169" t="s">
        <v>1615</v>
      </c>
      <c r="B3169" t="str">
        <f t="shared" si="296"/>
        <v>1F9B9 1F3FB ; fully-qualified # 🦹🏻 E11.0 supervillain: light skin tone</v>
      </c>
      <c r="C3169" t="str">
        <f t="shared" si="297"/>
        <v xml:space="preserve">1F9B9 1F3FB </v>
      </c>
      <c r="D3169">
        <f t="shared" si="298"/>
        <v>12</v>
      </c>
      <c r="E3169" t="str">
        <f t="shared" si="294"/>
        <v xml:space="preserve"> 🦹🏻 E11.0 supervillain: light skin tone</v>
      </c>
      <c r="F3169" t="b">
        <f t="shared" si="299"/>
        <v>1</v>
      </c>
      <c r="G3169" t="str">
        <f t="shared" si="295"/>
        <v>1F9B9</v>
      </c>
      <c r="I3169">
        <f>HEX2DEC(Table1[[#This Row],[utf8]])</f>
        <v>129465</v>
      </c>
      <c r="J3169" t="str">
        <f>_xlfn.UNICHAR(HEX2DEC(Table1[[#This Row],[utf8]]))</f>
        <v>🦹</v>
      </c>
      <c r="K3169" s="3" t="str" cm="1">
        <f t="array" ref="K3169">"Case "&amp;wRandomLetter()&amp;wRandomLetter()&amp;I3169&amp;":    UniConst = ChrW(" &amp; I3169 &amp;")"</f>
        <v>Case ZO129465:    UniConst = ChrW(129465)</v>
      </c>
    </row>
    <row r="3170" spans="1:11" hidden="1">
      <c r="A3170" t="s">
        <v>1635</v>
      </c>
      <c r="B3170" t="str">
        <f t="shared" si="296"/>
        <v>1F9B9 1F3FB 200D 2640 ; minimally-qualified # 🦹🏻‍♀ E11.0 woman supervillain: light skin tone</v>
      </c>
      <c r="C3170" t="str">
        <f t="shared" si="297"/>
        <v xml:space="preserve">1F9B9 1F3FB 200D 2640 </v>
      </c>
      <c r="D3170">
        <f t="shared" si="298"/>
        <v>22</v>
      </c>
      <c r="E3170" t="str">
        <f t="shared" si="294"/>
        <v xml:space="preserve"> 🦹🏻‍♀ E11.0 woman supervillain: light skin tone</v>
      </c>
      <c r="F3170" t="b">
        <f t="shared" si="299"/>
        <v>1</v>
      </c>
      <c r="G3170" t="str">
        <f t="shared" si="295"/>
        <v>1F9B9</v>
      </c>
      <c r="I3170">
        <f>HEX2DEC(Table1[[#This Row],[utf8]])</f>
        <v>129465</v>
      </c>
      <c r="J3170" t="str">
        <f>_xlfn.UNICHAR(HEX2DEC(Table1[[#This Row],[utf8]]))</f>
        <v>🦹</v>
      </c>
      <c r="K3170" s="3" t="str" cm="1">
        <f t="array" ref="K3170">"Case "&amp;wRandomLetter()&amp;wRandomLetter()&amp;I3170&amp;":    UniConst = ChrW(" &amp; I3170 &amp;")"</f>
        <v>Case KZ129465:    UniConst = ChrW(129465)</v>
      </c>
    </row>
    <row r="3171" spans="1:11" hidden="1">
      <c r="A3171" t="s">
        <v>1634</v>
      </c>
      <c r="B3171" t="str">
        <f t="shared" si="296"/>
        <v>1F9B9 1F3FB 200D 2640 FE0F ; fully-qualified # 🦹🏻‍♀️ E11.0 woman supervillain: light skin tone</v>
      </c>
      <c r="C3171" t="str">
        <f t="shared" si="297"/>
        <v xml:space="preserve">1F9B9 1F3FB 200D 2640 FE0F </v>
      </c>
      <c r="D3171">
        <f t="shared" si="298"/>
        <v>27</v>
      </c>
      <c r="E3171" t="str">
        <f t="shared" si="294"/>
        <v xml:space="preserve"> 🦹🏻‍♀️ E11.0 woman supervillain: light skin tone</v>
      </c>
      <c r="F3171" t="b">
        <f t="shared" si="299"/>
        <v>1</v>
      </c>
      <c r="G3171" t="str">
        <f t="shared" si="295"/>
        <v>1F9B9</v>
      </c>
      <c r="I3171">
        <f>HEX2DEC(Table1[[#This Row],[utf8]])</f>
        <v>129465</v>
      </c>
      <c r="J3171" t="str">
        <f>_xlfn.UNICHAR(HEX2DEC(Table1[[#This Row],[utf8]]))</f>
        <v>🦹</v>
      </c>
      <c r="K3171" s="3" t="str" cm="1">
        <f t="array" ref="K3171">"Case "&amp;wRandomLetter()&amp;wRandomLetter()&amp;I3171&amp;":    UniConst = ChrW(" &amp; I3171 &amp;")"</f>
        <v>Case Hx129465:    UniConst = ChrW(129465)</v>
      </c>
    </row>
    <row r="3172" spans="1:11" hidden="1">
      <c r="A3172" t="s">
        <v>1623</v>
      </c>
      <c r="B3172" t="str">
        <f t="shared" si="296"/>
        <v>1F9B9 1F3FB 200D 2642 ; minimally-qualified # 🦹🏻‍♂ E11.0 man supervillain: light skin tone</v>
      </c>
      <c r="C3172" t="str">
        <f t="shared" si="297"/>
        <v xml:space="preserve">1F9B9 1F3FB 200D 2642 </v>
      </c>
      <c r="D3172">
        <f t="shared" si="298"/>
        <v>22</v>
      </c>
      <c r="E3172" t="str">
        <f t="shared" si="294"/>
        <v xml:space="preserve"> 🦹🏻‍♂ E11.0 man supervillain: light skin tone</v>
      </c>
      <c r="F3172" t="b">
        <f t="shared" si="299"/>
        <v>1</v>
      </c>
      <c r="G3172" t="str">
        <f t="shared" si="295"/>
        <v>1F9B9</v>
      </c>
      <c r="I3172">
        <f>HEX2DEC(Table1[[#This Row],[utf8]])</f>
        <v>129465</v>
      </c>
      <c r="J3172" t="str">
        <f>_xlfn.UNICHAR(HEX2DEC(Table1[[#This Row],[utf8]]))</f>
        <v>🦹</v>
      </c>
      <c r="K3172" s="3" t="str" cm="1">
        <f t="array" ref="K3172">"Case "&amp;wRandomLetter()&amp;wRandomLetter()&amp;I3172&amp;":    UniConst = ChrW(" &amp; I3172 &amp;")"</f>
        <v>Case Wu129465:    UniConst = ChrW(129465)</v>
      </c>
    </row>
    <row r="3173" spans="1:11" hidden="1">
      <c r="A3173" t="s">
        <v>1622</v>
      </c>
      <c r="B3173" t="str">
        <f t="shared" si="296"/>
        <v>1F9B9 1F3FB 200D 2642 FE0F ; fully-qualified # 🦹🏻‍♂️ E11.0 man supervillain: light skin tone</v>
      </c>
      <c r="C3173" t="str">
        <f t="shared" si="297"/>
        <v xml:space="preserve">1F9B9 1F3FB 200D 2642 FE0F </v>
      </c>
      <c r="D3173">
        <f t="shared" si="298"/>
        <v>27</v>
      </c>
      <c r="E3173" t="str">
        <f t="shared" si="294"/>
        <v xml:space="preserve"> 🦹🏻‍♂️ E11.0 man supervillain: light skin tone</v>
      </c>
      <c r="F3173" t="b">
        <f t="shared" si="299"/>
        <v>1</v>
      </c>
      <c r="G3173" t="str">
        <f t="shared" si="295"/>
        <v>1F9B9</v>
      </c>
      <c r="I3173">
        <f>HEX2DEC(Table1[[#This Row],[utf8]])</f>
        <v>129465</v>
      </c>
      <c r="J3173" t="str">
        <f>_xlfn.UNICHAR(HEX2DEC(Table1[[#This Row],[utf8]]))</f>
        <v>🦹</v>
      </c>
      <c r="K3173" s="3" t="str" cm="1">
        <f t="array" ref="K3173">"Case "&amp;wRandomLetter()&amp;wRandomLetter()&amp;I3173&amp;":    UniConst = ChrW(" &amp; I3173 &amp;")"</f>
        <v>Case kE129465:    UniConst = ChrW(129465)</v>
      </c>
    </row>
    <row r="3174" spans="1:11" hidden="1">
      <c r="A3174" t="s">
        <v>1616</v>
      </c>
      <c r="B3174" t="str">
        <f t="shared" si="296"/>
        <v>1F9B9 1F3FC ; fully-qualified # 🦹🏼 E11.0 supervillain: medium-light skin tone</v>
      </c>
      <c r="C3174" t="str">
        <f t="shared" si="297"/>
        <v xml:space="preserve">1F9B9 1F3FC </v>
      </c>
      <c r="D3174">
        <f t="shared" si="298"/>
        <v>12</v>
      </c>
      <c r="E3174" t="str">
        <f t="shared" si="294"/>
        <v xml:space="preserve"> 🦹🏼 E11.0 supervillain: medium-light skin tone</v>
      </c>
      <c r="F3174" t="b">
        <f t="shared" si="299"/>
        <v>1</v>
      </c>
      <c r="G3174" t="str">
        <f t="shared" si="295"/>
        <v>1F9B9</v>
      </c>
      <c r="I3174">
        <f>HEX2DEC(Table1[[#This Row],[utf8]])</f>
        <v>129465</v>
      </c>
      <c r="J3174" t="str">
        <f>_xlfn.UNICHAR(HEX2DEC(Table1[[#This Row],[utf8]]))</f>
        <v>🦹</v>
      </c>
      <c r="K3174" s="3" t="str" cm="1">
        <f t="array" ref="K3174">"Case "&amp;wRandomLetter()&amp;wRandomLetter()&amp;I3174&amp;":    UniConst = ChrW(" &amp; I3174 &amp;")"</f>
        <v>Case Ya129465:    UniConst = ChrW(129465)</v>
      </c>
    </row>
    <row r="3175" spans="1:11" hidden="1">
      <c r="A3175" t="s">
        <v>1637</v>
      </c>
      <c r="B3175" t="str">
        <f t="shared" si="296"/>
        <v>1F9B9 1F3FC 200D 2640 ; minimally-qualified # 🦹🏼‍♀ E11.0 woman supervillain: medium-light skin tone</v>
      </c>
      <c r="C3175" t="str">
        <f t="shared" si="297"/>
        <v xml:space="preserve">1F9B9 1F3FC 200D 2640 </v>
      </c>
      <c r="D3175">
        <f t="shared" si="298"/>
        <v>22</v>
      </c>
      <c r="E3175" t="str">
        <f t="shared" si="294"/>
        <v xml:space="preserve"> 🦹🏼‍♀ E11.0 woman supervillain: medium-light skin tone</v>
      </c>
      <c r="F3175" t="b">
        <f t="shared" si="299"/>
        <v>1</v>
      </c>
      <c r="G3175" t="str">
        <f t="shared" si="295"/>
        <v>1F9B9</v>
      </c>
      <c r="I3175">
        <f>HEX2DEC(Table1[[#This Row],[utf8]])</f>
        <v>129465</v>
      </c>
      <c r="J3175" t="str">
        <f>_xlfn.UNICHAR(HEX2DEC(Table1[[#This Row],[utf8]]))</f>
        <v>🦹</v>
      </c>
      <c r="K3175" s="3" t="str" cm="1">
        <f t="array" ref="K3175">"Case "&amp;wRandomLetter()&amp;wRandomLetter()&amp;I3175&amp;":    UniConst = ChrW(" &amp; I3175 &amp;")"</f>
        <v>Case AS129465:    UniConst = ChrW(129465)</v>
      </c>
    </row>
    <row r="3176" spans="1:11" hidden="1">
      <c r="A3176" t="s">
        <v>1636</v>
      </c>
      <c r="B3176" t="str">
        <f t="shared" si="296"/>
        <v>1F9B9 1F3FC 200D 2640 FE0F ; fully-qualified # 🦹🏼‍♀️ E11.0 woman supervillain: medium-light skin tone</v>
      </c>
      <c r="C3176" t="str">
        <f t="shared" si="297"/>
        <v xml:space="preserve">1F9B9 1F3FC 200D 2640 FE0F </v>
      </c>
      <c r="D3176">
        <f t="shared" si="298"/>
        <v>27</v>
      </c>
      <c r="E3176" t="str">
        <f t="shared" si="294"/>
        <v xml:space="preserve"> 🦹🏼‍♀️ E11.0 woman supervillain: medium-light skin tone</v>
      </c>
      <c r="F3176" t="b">
        <f t="shared" si="299"/>
        <v>1</v>
      </c>
      <c r="G3176" t="str">
        <f t="shared" si="295"/>
        <v>1F9B9</v>
      </c>
      <c r="I3176">
        <f>HEX2DEC(Table1[[#This Row],[utf8]])</f>
        <v>129465</v>
      </c>
      <c r="J3176" t="str">
        <f>_xlfn.UNICHAR(HEX2DEC(Table1[[#This Row],[utf8]]))</f>
        <v>🦹</v>
      </c>
      <c r="K3176" s="3" t="str" cm="1">
        <f t="array" ref="K3176">"Case "&amp;wRandomLetter()&amp;wRandomLetter()&amp;I3176&amp;":    UniConst = ChrW(" &amp; I3176 &amp;")"</f>
        <v>Case ku129465:    UniConst = ChrW(129465)</v>
      </c>
    </row>
    <row r="3177" spans="1:11" hidden="1">
      <c r="A3177" t="s">
        <v>1625</v>
      </c>
      <c r="B3177" t="str">
        <f t="shared" si="296"/>
        <v>1F9B9 1F3FC 200D 2642 ; minimally-qualified # 🦹🏼‍♂ E11.0 man supervillain: medium-light skin tone</v>
      </c>
      <c r="C3177" t="str">
        <f t="shared" si="297"/>
        <v xml:space="preserve">1F9B9 1F3FC 200D 2642 </v>
      </c>
      <c r="D3177">
        <f t="shared" si="298"/>
        <v>22</v>
      </c>
      <c r="E3177" t="str">
        <f t="shared" si="294"/>
        <v xml:space="preserve"> 🦹🏼‍♂ E11.0 man supervillain: medium-light skin tone</v>
      </c>
      <c r="F3177" t="b">
        <f t="shared" si="299"/>
        <v>1</v>
      </c>
      <c r="G3177" t="str">
        <f t="shared" si="295"/>
        <v>1F9B9</v>
      </c>
      <c r="I3177">
        <f>HEX2DEC(Table1[[#This Row],[utf8]])</f>
        <v>129465</v>
      </c>
      <c r="J3177" t="str">
        <f>_xlfn.UNICHAR(HEX2DEC(Table1[[#This Row],[utf8]]))</f>
        <v>🦹</v>
      </c>
      <c r="K3177" s="3" t="str" cm="1">
        <f t="array" ref="K3177">"Case "&amp;wRandomLetter()&amp;wRandomLetter()&amp;I3177&amp;":    UniConst = ChrW(" &amp; I3177 &amp;")"</f>
        <v>Case Rw129465:    UniConst = ChrW(129465)</v>
      </c>
    </row>
    <row r="3178" spans="1:11" hidden="1">
      <c r="A3178" t="s">
        <v>1624</v>
      </c>
      <c r="B3178" t="str">
        <f t="shared" si="296"/>
        <v>1F9B9 1F3FC 200D 2642 FE0F ; fully-qualified # 🦹🏼‍♂️ E11.0 man supervillain: medium-light skin tone</v>
      </c>
      <c r="C3178" t="str">
        <f t="shared" si="297"/>
        <v xml:space="preserve">1F9B9 1F3FC 200D 2642 FE0F </v>
      </c>
      <c r="D3178">
        <f t="shared" si="298"/>
        <v>27</v>
      </c>
      <c r="E3178" t="str">
        <f t="shared" si="294"/>
        <v xml:space="preserve"> 🦹🏼‍♂️ E11.0 man supervillain: medium-light skin tone</v>
      </c>
      <c r="F3178" t="b">
        <f t="shared" si="299"/>
        <v>1</v>
      </c>
      <c r="G3178" t="str">
        <f t="shared" si="295"/>
        <v>1F9B9</v>
      </c>
      <c r="I3178">
        <f>HEX2DEC(Table1[[#This Row],[utf8]])</f>
        <v>129465</v>
      </c>
      <c r="J3178" t="str">
        <f>_xlfn.UNICHAR(HEX2DEC(Table1[[#This Row],[utf8]]))</f>
        <v>🦹</v>
      </c>
      <c r="K3178" s="3" t="str" cm="1">
        <f t="array" ref="K3178">"Case "&amp;wRandomLetter()&amp;wRandomLetter()&amp;I3178&amp;":    UniConst = ChrW(" &amp; I3178 &amp;")"</f>
        <v>Case YR129465:    UniConst = ChrW(129465)</v>
      </c>
    </row>
    <row r="3179" spans="1:11" hidden="1">
      <c r="A3179" t="s">
        <v>1617</v>
      </c>
      <c r="B3179" t="str">
        <f t="shared" si="296"/>
        <v>1F9B9 1F3FD ; fully-qualified # 🦹🏽 E11.0 supervillain: medium skin tone</v>
      </c>
      <c r="C3179" t="str">
        <f t="shared" si="297"/>
        <v xml:space="preserve">1F9B9 1F3FD </v>
      </c>
      <c r="D3179">
        <f t="shared" si="298"/>
        <v>12</v>
      </c>
      <c r="E3179" t="str">
        <f t="shared" si="294"/>
        <v xml:space="preserve"> 🦹🏽 E11.0 supervillain: medium skin tone</v>
      </c>
      <c r="F3179" t="b">
        <f t="shared" si="299"/>
        <v>1</v>
      </c>
      <c r="G3179" t="str">
        <f t="shared" si="295"/>
        <v>1F9B9</v>
      </c>
      <c r="I3179">
        <f>HEX2DEC(Table1[[#This Row],[utf8]])</f>
        <v>129465</v>
      </c>
      <c r="J3179" t="str">
        <f>_xlfn.UNICHAR(HEX2DEC(Table1[[#This Row],[utf8]]))</f>
        <v>🦹</v>
      </c>
      <c r="K3179" s="3" t="str" cm="1">
        <f t="array" ref="K3179">"Case "&amp;wRandomLetter()&amp;wRandomLetter()&amp;I3179&amp;":    UniConst = ChrW(" &amp; I3179 &amp;")"</f>
        <v>Case Jd129465:    UniConst = ChrW(129465)</v>
      </c>
    </row>
    <row r="3180" spans="1:11" hidden="1">
      <c r="A3180" t="s">
        <v>1639</v>
      </c>
      <c r="B3180" t="str">
        <f t="shared" si="296"/>
        <v>1F9B9 1F3FD 200D 2640 ; minimally-qualified # 🦹🏽‍♀ E11.0 woman supervillain: medium skin tone</v>
      </c>
      <c r="C3180" t="str">
        <f t="shared" si="297"/>
        <v xml:space="preserve">1F9B9 1F3FD 200D 2640 </v>
      </c>
      <c r="D3180">
        <f t="shared" si="298"/>
        <v>22</v>
      </c>
      <c r="E3180" t="str">
        <f t="shared" si="294"/>
        <v xml:space="preserve"> 🦹🏽‍♀ E11.0 woman supervillain: medium skin tone</v>
      </c>
      <c r="F3180" t="b">
        <f t="shared" si="299"/>
        <v>1</v>
      </c>
      <c r="G3180" t="str">
        <f t="shared" si="295"/>
        <v>1F9B9</v>
      </c>
      <c r="I3180">
        <f>HEX2DEC(Table1[[#This Row],[utf8]])</f>
        <v>129465</v>
      </c>
      <c r="J3180" t="str">
        <f>_xlfn.UNICHAR(HEX2DEC(Table1[[#This Row],[utf8]]))</f>
        <v>🦹</v>
      </c>
      <c r="K3180" s="3" t="str" cm="1">
        <f t="array" ref="K3180">"Case "&amp;wRandomLetter()&amp;wRandomLetter()&amp;I3180&amp;":    UniConst = ChrW(" &amp; I3180 &amp;")"</f>
        <v>Case AE129465:    UniConst = ChrW(129465)</v>
      </c>
    </row>
    <row r="3181" spans="1:11" hidden="1">
      <c r="A3181" t="s">
        <v>1638</v>
      </c>
      <c r="B3181" t="str">
        <f t="shared" si="296"/>
        <v>1F9B9 1F3FD 200D 2640 FE0F ; fully-qualified # 🦹🏽‍♀️ E11.0 woman supervillain: medium skin tone</v>
      </c>
      <c r="C3181" t="str">
        <f t="shared" si="297"/>
        <v xml:space="preserve">1F9B9 1F3FD 200D 2640 FE0F </v>
      </c>
      <c r="D3181">
        <f t="shared" si="298"/>
        <v>27</v>
      </c>
      <c r="E3181" t="str">
        <f t="shared" si="294"/>
        <v xml:space="preserve"> 🦹🏽‍♀️ E11.0 woman supervillain: medium skin tone</v>
      </c>
      <c r="F3181" t="b">
        <f t="shared" si="299"/>
        <v>1</v>
      </c>
      <c r="G3181" t="str">
        <f t="shared" si="295"/>
        <v>1F9B9</v>
      </c>
      <c r="I3181">
        <f>HEX2DEC(Table1[[#This Row],[utf8]])</f>
        <v>129465</v>
      </c>
      <c r="J3181" t="str">
        <f>_xlfn.UNICHAR(HEX2DEC(Table1[[#This Row],[utf8]]))</f>
        <v>🦹</v>
      </c>
      <c r="K3181" s="3" t="str" cm="1">
        <f t="array" ref="K3181">"Case "&amp;wRandomLetter()&amp;wRandomLetter()&amp;I3181&amp;":    UniConst = ChrW(" &amp; I3181 &amp;")"</f>
        <v>Case GZ129465:    UniConst = ChrW(129465)</v>
      </c>
    </row>
    <row r="3182" spans="1:11" hidden="1">
      <c r="A3182" t="s">
        <v>1627</v>
      </c>
      <c r="B3182" t="str">
        <f t="shared" si="296"/>
        <v>1F9B9 1F3FD 200D 2642 ; minimally-qualified # 🦹🏽‍♂ E11.0 man supervillain: medium skin tone</v>
      </c>
      <c r="C3182" t="str">
        <f t="shared" si="297"/>
        <v xml:space="preserve">1F9B9 1F3FD 200D 2642 </v>
      </c>
      <c r="D3182">
        <f t="shared" si="298"/>
        <v>22</v>
      </c>
      <c r="E3182" t="str">
        <f t="shared" si="294"/>
        <v xml:space="preserve"> 🦹🏽‍♂ E11.0 man supervillain: medium skin tone</v>
      </c>
      <c r="F3182" t="b">
        <f t="shared" si="299"/>
        <v>1</v>
      </c>
      <c r="G3182" t="str">
        <f t="shared" si="295"/>
        <v>1F9B9</v>
      </c>
      <c r="I3182">
        <f>HEX2DEC(Table1[[#This Row],[utf8]])</f>
        <v>129465</v>
      </c>
      <c r="J3182" t="str">
        <f>_xlfn.UNICHAR(HEX2DEC(Table1[[#This Row],[utf8]]))</f>
        <v>🦹</v>
      </c>
      <c r="K3182" s="3" t="str" cm="1">
        <f t="array" ref="K3182">"Case "&amp;wRandomLetter()&amp;wRandomLetter()&amp;I3182&amp;":    UniConst = ChrW(" &amp; I3182 &amp;")"</f>
        <v>Case GX129465:    UniConst = ChrW(129465)</v>
      </c>
    </row>
    <row r="3183" spans="1:11" hidden="1">
      <c r="A3183" t="s">
        <v>1626</v>
      </c>
      <c r="B3183" t="str">
        <f t="shared" si="296"/>
        <v>1F9B9 1F3FD 200D 2642 FE0F ; fully-qualified # 🦹🏽‍♂️ E11.0 man supervillain: medium skin tone</v>
      </c>
      <c r="C3183" t="str">
        <f t="shared" si="297"/>
        <v xml:space="preserve">1F9B9 1F3FD 200D 2642 FE0F </v>
      </c>
      <c r="D3183">
        <f t="shared" si="298"/>
        <v>27</v>
      </c>
      <c r="E3183" t="str">
        <f t="shared" si="294"/>
        <v xml:space="preserve"> 🦹🏽‍♂️ E11.0 man supervillain: medium skin tone</v>
      </c>
      <c r="F3183" t="b">
        <f t="shared" si="299"/>
        <v>1</v>
      </c>
      <c r="G3183" t="str">
        <f t="shared" si="295"/>
        <v>1F9B9</v>
      </c>
      <c r="I3183">
        <f>HEX2DEC(Table1[[#This Row],[utf8]])</f>
        <v>129465</v>
      </c>
      <c r="J3183" t="str">
        <f>_xlfn.UNICHAR(HEX2DEC(Table1[[#This Row],[utf8]]))</f>
        <v>🦹</v>
      </c>
      <c r="K3183" s="3" t="str" cm="1">
        <f t="array" ref="K3183">"Case "&amp;wRandomLetter()&amp;wRandomLetter()&amp;I3183&amp;":    UniConst = ChrW(" &amp; I3183 &amp;")"</f>
        <v>Case FB129465:    UniConst = ChrW(129465)</v>
      </c>
    </row>
    <row r="3184" spans="1:11" hidden="1">
      <c r="A3184" t="s">
        <v>1618</v>
      </c>
      <c r="B3184" t="str">
        <f t="shared" si="296"/>
        <v>1F9B9 1F3FE ; fully-qualified # 🦹🏾 E11.0 supervillain: medium-dark skin tone</v>
      </c>
      <c r="C3184" t="str">
        <f t="shared" si="297"/>
        <v xml:space="preserve">1F9B9 1F3FE </v>
      </c>
      <c r="D3184">
        <f t="shared" si="298"/>
        <v>12</v>
      </c>
      <c r="E3184" t="str">
        <f t="shared" si="294"/>
        <v xml:space="preserve"> 🦹🏾 E11.0 supervillain: medium-dark skin tone</v>
      </c>
      <c r="F3184" t="b">
        <f t="shared" si="299"/>
        <v>1</v>
      </c>
      <c r="G3184" t="str">
        <f t="shared" si="295"/>
        <v>1F9B9</v>
      </c>
      <c r="I3184">
        <f>HEX2DEC(Table1[[#This Row],[utf8]])</f>
        <v>129465</v>
      </c>
      <c r="J3184" t="str">
        <f>_xlfn.UNICHAR(HEX2DEC(Table1[[#This Row],[utf8]]))</f>
        <v>🦹</v>
      </c>
      <c r="K3184" s="3" t="str" cm="1">
        <f t="array" ref="K3184">"Case "&amp;wRandomLetter()&amp;wRandomLetter()&amp;I3184&amp;":    UniConst = ChrW(" &amp; I3184 &amp;")"</f>
        <v>Case Lx129465:    UniConst = ChrW(129465)</v>
      </c>
    </row>
    <row r="3185" spans="1:11" hidden="1">
      <c r="A3185" t="s">
        <v>1641</v>
      </c>
      <c r="B3185" t="str">
        <f t="shared" si="296"/>
        <v>1F9B9 1F3FE 200D 2640 ; minimally-qualified # 🦹🏾‍♀ E11.0 woman supervillain: medium-dark skin tone</v>
      </c>
      <c r="C3185" t="str">
        <f t="shared" si="297"/>
        <v xml:space="preserve">1F9B9 1F3FE 200D 2640 </v>
      </c>
      <c r="D3185">
        <f t="shared" si="298"/>
        <v>22</v>
      </c>
      <c r="E3185" t="str">
        <f t="shared" si="294"/>
        <v xml:space="preserve"> 🦹🏾‍♀ E11.0 woman supervillain: medium-dark skin tone</v>
      </c>
      <c r="F3185" t="b">
        <f t="shared" si="299"/>
        <v>1</v>
      </c>
      <c r="G3185" t="str">
        <f t="shared" si="295"/>
        <v>1F9B9</v>
      </c>
      <c r="I3185">
        <f>HEX2DEC(Table1[[#This Row],[utf8]])</f>
        <v>129465</v>
      </c>
      <c r="J3185" t="str">
        <f>_xlfn.UNICHAR(HEX2DEC(Table1[[#This Row],[utf8]]))</f>
        <v>🦹</v>
      </c>
      <c r="K3185" s="3" t="str" cm="1">
        <f t="array" ref="K3185">"Case "&amp;wRandomLetter()&amp;wRandomLetter()&amp;I3185&amp;":    UniConst = ChrW(" &amp; I3185 &amp;")"</f>
        <v>Case YY129465:    UniConst = ChrW(129465)</v>
      </c>
    </row>
    <row r="3186" spans="1:11" hidden="1">
      <c r="A3186" t="s">
        <v>1640</v>
      </c>
      <c r="B3186" t="str">
        <f t="shared" si="296"/>
        <v>1F9B9 1F3FE 200D 2640 FE0F ; fully-qualified # 🦹🏾‍♀️ E11.0 woman supervillain: medium-dark skin tone</v>
      </c>
      <c r="C3186" t="str">
        <f t="shared" si="297"/>
        <v xml:space="preserve">1F9B9 1F3FE 200D 2640 FE0F </v>
      </c>
      <c r="D3186">
        <f t="shared" si="298"/>
        <v>27</v>
      </c>
      <c r="E3186" t="str">
        <f t="shared" si="294"/>
        <v xml:space="preserve"> 🦹🏾‍♀️ E11.0 woman supervillain: medium-dark skin tone</v>
      </c>
      <c r="F3186" t="b">
        <f t="shared" si="299"/>
        <v>1</v>
      </c>
      <c r="G3186" t="str">
        <f t="shared" si="295"/>
        <v>1F9B9</v>
      </c>
      <c r="I3186">
        <f>HEX2DEC(Table1[[#This Row],[utf8]])</f>
        <v>129465</v>
      </c>
      <c r="J3186" t="str">
        <f>_xlfn.UNICHAR(HEX2DEC(Table1[[#This Row],[utf8]]))</f>
        <v>🦹</v>
      </c>
      <c r="K3186" s="3" t="str" cm="1">
        <f t="array" ref="K3186">"Case "&amp;wRandomLetter()&amp;wRandomLetter()&amp;I3186&amp;":    UniConst = ChrW(" &amp; I3186 &amp;")"</f>
        <v>Case rP129465:    UniConst = ChrW(129465)</v>
      </c>
    </row>
    <row r="3187" spans="1:11" hidden="1">
      <c r="A3187" t="s">
        <v>1629</v>
      </c>
      <c r="B3187" t="str">
        <f t="shared" si="296"/>
        <v>1F9B9 1F3FE 200D 2642 ; minimally-qualified # 🦹🏾‍♂ E11.0 man supervillain: medium-dark skin tone</v>
      </c>
      <c r="C3187" t="str">
        <f t="shared" si="297"/>
        <v xml:space="preserve">1F9B9 1F3FE 200D 2642 </v>
      </c>
      <c r="D3187">
        <f t="shared" si="298"/>
        <v>22</v>
      </c>
      <c r="E3187" t="str">
        <f t="shared" si="294"/>
        <v xml:space="preserve"> 🦹🏾‍♂ E11.0 man supervillain: medium-dark skin tone</v>
      </c>
      <c r="F3187" t="b">
        <f t="shared" si="299"/>
        <v>1</v>
      </c>
      <c r="G3187" t="str">
        <f t="shared" si="295"/>
        <v>1F9B9</v>
      </c>
      <c r="I3187">
        <f>HEX2DEC(Table1[[#This Row],[utf8]])</f>
        <v>129465</v>
      </c>
      <c r="J3187" t="str">
        <f>_xlfn.UNICHAR(HEX2DEC(Table1[[#This Row],[utf8]]))</f>
        <v>🦹</v>
      </c>
      <c r="K3187" s="3" t="str" cm="1">
        <f t="array" ref="K3187">"Case "&amp;wRandomLetter()&amp;wRandomLetter()&amp;I3187&amp;":    UniConst = ChrW(" &amp; I3187 &amp;")"</f>
        <v>Case FD129465:    UniConst = ChrW(129465)</v>
      </c>
    </row>
    <row r="3188" spans="1:11" hidden="1">
      <c r="A3188" t="s">
        <v>1628</v>
      </c>
      <c r="B3188" t="str">
        <f t="shared" si="296"/>
        <v>1F9B9 1F3FE 200D 2642 FE0F ; fully-qualified # 🦹🏾‍♂️ E11.0 man supervillain: medium-dark skin tone</v>
      </c>
      <c r="C3188" t="str">
        <f t="shared" si="297"/>
        <v xml:space="preserve">1F9B9 1F3FE 200D 2642 FE0F </v>
      </c>
      <c r="D3188">
        <f t="shared" si="298"/>
        <v>27</v>
      </c>
      <c r="E3188" t="str">
        <f t="shared" si="294"/>
        <v xml:space="preserve"> 🦹🏾‍♂️ E11.0 man supervillain: medium-dark skin tone</v>
      </c>
      <c r="F3188" t="b">
        <f t="shared" si="299"/>
        <v>1</v>
      </c>
      <c r="G3188" t="str">
        <f t="shared" si="295"/>
        <v>1F9B9</v>
      </c>
      <c r="I3188">
        <f>HEX2DEC(Table1[[#This Row],[utf8]])</f>
        <v>129465</v>
      </c>
      <c r="J3188" t="str">
        <f>_xlfn.UNICHAR(HEX2DEC(Table1[[#This Row],[utf8]]))</f>
        <v>🦹</v>
      </c>
      <c r="K3188" s="3" t="str" cm="1">
        <f t="array" ref="K3188">"Case "&amp;wRandomLetter()&amp;wRandomLetter()&amp;I3188&amp;":    UniConst = ChrW(" &amp; I3188 &amp;")"</f>
        <v>Case zW129465:    UniConst = ChrW(129465)</v>
      </c>
    </row>
    <row r="3189" spans="1:11" hidden="1">
      <c r="A3189" t="s">
        <v>1619</v>
      </c>
      <c r="B3189" t="str">
        <f t="shared" si="296"/>
        <v>1F9B9 1F3FF ; fully-qualified # 🦹🏿 E11.0 supervillain: dark skin tone</v>
      </c>
      <c r="C3189" t="str">
        <f t="shared" si="297"/>
        <v xml:space="preserve">1F9B9 1F3FF </v>
      </c>
      <c r="D3189">
        <f t="shared" si="298"/>
        <v>12</v>
      </c>
      <c r="E3189" t="str">
        <f t="shared" si="294"/>
        <v xml:space="preserve"> 🦹🏿 E11.0 supervillain: dark skin tone</v>
      </c>
      <c r="F3189" t="b">
        <f t="shared" si="299"/>
        <v>1</v>
      </c>
      <c r="G3189" t="str">
        <f t="shared" si="295"/>
        <v>1F9B9</v>
      </c>
      <c r="I3189">
        <f>HEX2DEC(Table1[[#This Row],[utf8]])</f>
        <v>129465</v>
      </c>
      <c r="J3189" t="str">
        <f>_xlfn.UNICHAR(HEX2DEC(Table1[[#This Row],[utf8]]))</f>
        <v>🦹</v>
      </c>
      <c r="K3189" s="3" t="str" cm="1">
        <f t="array" ref="K3189">"Case "&amp;wRandomLetter()&amp;wRandomLetter()&amp;I3189&amp;":    UniConst = ChrW(" &amp; I3189 &amp;")"</f>
        <v>Case rQ129465:    UniConst = ChrW(129465)</v>
      </c>
    </row>
    <row r="3190" spans="1:11" hidden="1">
      <c r="A3190" t="s">
        <v>1643</v>
      </c>
      <c r="B3190" t="str">
        <f t="shared" si="296"/>
        <v>1F9B9 1F3FF 200D 2640 ; minimally-qualified # 🦹🏿‍♀ E11.0 woman supervillain: dark skin tone</v>
      </c>
      <c r="C3190" t="str">
        <f t="shared" si="297"/>
        <v xml:space="preserve">1F9B9 1F3FF 200D 2640 </v>
      </c>
      <c r="D3190">
        <f t="shared" si="298"/>
        <v>22</v>
      </c>
      <c r="E3190" t="str">
        <f t="shared" si="294"/>
        <v xml:space="preserve"> 🦹🏿‍♀ E11.0 woman supervillain: dark skin tone</v>
      </c>
      <c r="F3190" t="b">
        <f t="shared" si="299"/>
        <v>1</v>
      </c>
      <c r="G3190" t="str">
        <f t="shared" si="295"/>
        <v>1F9B9</v>
      </c>
      <c r="I3190">
        <f>HEX2DEC(Table1[[#This Row],[utf8]])</f>
        <v>129465</v>
      </c>
      <c r="J3190" t="str">
        <f>_xlfn.UNICHAR(HEX2DEC(Table1[[#This Row],[utf8]]))</f>
        <v>🦹</v>
      </c>
      <c r="K3190" s="3" t="str" cm="1">
        <f t="array" ref="K3190">"Case "&amp;wRandomLetter()&amp;wRandomLetter()&amp;I3190&amp;":    UniConst = ChrW(" &amp; I3190 &amp;")"</f>
        <v>Case as129465:    UniConst = ChrW(129465)</v>
      </c>
    </row>
    <row r="3191" spans="1:11" hidden="1">
      <c r="A3191" t="s">
        <v>1642</v>
      </c>
      <c r="B3191" t="str">
        <f t="shared" si="296"/>
        <v>1F9B9 1F3FF 200D 2640 FE0F ; fully-qualified # 🦹🏿‍♀️ E11.0 woman supervillain: dark skin tone</v>
      </c>
      <c r="C3191" t="str">
        <f t="shared" si="297"/>
        <v xml:space="preserve">1F9B9 1F3FF 200D 2640 FE0F </v>
      </c>
      <c r="D3191">
        <f t="shared" si="298"/>
        <v>27</v>
      </c>
      <c r="E3191" t="str">
        <f t="shared" si="294"/>
        <v xml:space="preserve"> 🦹🏿‍♀️ E11.0 woman supervillain: dark skin tone</v>
      </c>
      <c r="F3191" t="b">
        <f t="shared" si="299"/>
        <v>1</v>
      </c>
      <c r="G3191" t="str">
        <f t="shared" si="295"/>
        <v>1F9B9</v>
      </c>
      <c r="I3191">
        <f>HEX2DEC(Table1[[#This Row],[utf8]])</f>
        <v>129465</v>
      </c>
      <c r="J3191" t="str">
        <f>_xlfn.UNICHAR(HEX2DEC(Table1[[#This Row],[utf8]]))</f>
        <v>🦹</v>
      </c>
      <c r="K3191" s="3" t="str" cm="1">
        <f t="array" ref="K3191">"Case "&amp;wRandomLetter()&amp;wRandomLetter()&amp;I3191&amp;":    UniConst = ChrW(" &amp; I3191 &amp;")"</f>
        <v>Case BO129465:    UniConst = ChrW(129465)</v>
      </c>
    </row>
    <row r="3192" spans="1:11" hidden="1">
      <c r="A3192" t="s">
        <v>1631</v>
      </c>
      <c r="B3192" t="str">
        <f t="shared" si="296"/>
        <v>1F9B9 1F3FF 200D 2642 ; minimally-qualified # 🦹🏿‍♂ E11.0 man supervillain: dark skin tone</v>
      </c>
      <c r="C3192" t="str">
        <f t="shared" si="297"/>
        <v xml:space="preserve">1F9B9 1F3FF 200D 2642 </v>
      </c>
      <c r="D3192">
        <f t="shared" si="298"/>
        <v>22</v>
      </c>
      <c r="E3192" t="str">
        <f t="shared" si="294"/>
        <v xml:space="preserve"> 🦹🏿‍♂ E11.0 man supervillain: dark skin tone</v>
      </c>
      <c r="F3192" t="b">
        <f t="shared" si="299"/>
        <v>1</v>
      </c>
      <c r="G3192" t="str">
        <f t="shared" si="295"/>
        <v>1F9B9</v>
      </c>
      <c r="I3192">
        <f>HEX2DEC(Table1[[#This Row],[utf8]])</f>
        <v>129465</v>
      </c>
      <c r="J3192" t="str">
        <f>_xlfn.UNICHAR(HEX2DEC(Table1[[#This Row],[utf8]]))</f>
        <v>🦹</v>
      </c>
      <c r="K3192" s="3" t="str" cm="1">
        <f t="array" ref="K3192">"Case "&amp;wRandomLetter()&amp;wRandomLetter()&amp;I3192&amp;":    UniConst = ChrW(" &amp; I3192 &amp;")"</f>
        <v>Case Vg129465:    UniConst = ChrW(129465)</v>
      </c>
    </row>
    <row r="3193" spans="1:11" hidden="1">
      <c r="A3193" t="s">
        <v>1630</v>
      </c>
      <c r="B3193" t="str">
        <f t="shared" si="296"/>
        <v>1F9B9 1F3FF 200D 2642 FE0F ; fully-qualified # 🦹🏿‍♂️ E11.0 man supervillain: dark skin tone</v>
      </c>
      <c r="C3193" t="str">
        <f t="shared" si="297"/>
        <v xml:space="preserve">1F9B9 1F3FF 200D 2642 FE0F </v>
      </c>
      <c r="D3193">
        <f t="shared" si="298"/>
        <v>27</v>
      </c>
      <c r="E3193" t="str">
        <f t="shared" si="294"/>
        <v xml:space="preserve"> 🦹🏿‍♂️ E11.0 man supervillain: dark skin tone</v>
      </c>
      <c r="F3193" t="b">
        <f t="shared" si="299"/>
        <v>1</v>
      </c>
      <c r="G3193" t="str">
        <f t="shared" si="295"/>
        <v>1F9B9</v>
      </c>
      <c r="I3193">
        <f>HEX2DEC(Table1[[#This Row],[utf8]])</f>
        <v>129465</v>
      </c>
      <c r="J3193" t="str">
        <f>_xlfn.UNICHAR(HEX2DEC(Table1[[#This Row],[utf8]]))</f>
        <v>🦹</v>
      </c>
      <c r="K3193" s="3" t="str" cm="1">
        <f t="array" ref="K3193">"Case "&amp;wRandomLetter()&amp;wRandomLetter()&amp;I3193&amp;":    UniConst = ChrW(" &amp; I3193 &amp;")"</f>
        <v>Case zB129465:    UniConst = ChrW(129465)</v>
      </c>
    </row>
    <row r="3194" spans="1:11" hidden="1">
      <c r="A3194" t="s">
        <v>1633</v>
      </c>
      <c r="B3194" t="str">
        <f t="shared" si="296"/>
        <v>1F9B9 200D 2640 ; minimally-qualified # 🦹‍♀ E11.0 woman supervillain</v>
      </c>
      <c r="C3194" t="str">
        <f t="shared" si="297"/>
        <v xml:space="preserve">1F9B9 200D 2640 </v>
      </c>
      <c r="D3194">
        <f t="shared" si="298"/>
        <v>16</v>
      </c>
      <c r="E3194" t="str">
        <f t="shared" si="294"/>
        <v xml:space="preserve"> 🦹‍♀ E11.0 woman supervillain</v>
      </c>
      <c r="F3194" t="b">
        <f t="shared" si="299"/>
        <v>1</v>
      </c>
      <c r="G3194" t="str">
        <f t="shared" si="295"/>
        <v>1F9B9</v>
      </c>
      <c r="I3194">
        <f>HEX2DEC(Table1[[#This Row],[utf8]])</f>
        <v>129465</v>
      </c>
      <c r="J3194" t="str">
        <f>_xlfn.UNICHAR(HEX2DEC(Table1[[#This Row],[utf8]]))</f>
        <v>🦹</v>
      </c>
      <c r="K3194" s="3" t="str" cm="1">
        <f t="array" ref="K3194">"Case "&amp;wRandomLetter()&amp;wRandomLetter()&amp;I3194&amp;":    UniConst = ChrW(" &amp; I3194 &amp;")"</f>
        <v>Case CK129465:    UniConst = ChrW(129465)</v>
      </c>
    </row>
    <row r="3195" spans="1:11" hidden="1">
      <c r="A3195" t="s">
        <v>1632</v>
      </c>
      <c r="B3195" t="str">
        <f t="shared" si="296"/>
        <v>1F9B9 200D 2640 FE0F ; fully-qualified # 🦹‍♀️ E11.0 woman supervillain</v>
      </c>
      <c r="C3195" t="str">
        <f t="shared" si="297"/>
        <v xml:space="preserve">1F9B9 200D 2640 FE0F </v>
      </c>
      <c r="D3195">
        <f t="shared" si="298"/>
        <v>21</v>
      </c>
      <c r="E3195" t="str">
        <f t="shared" si="294"/>
        <v xml:space="preserve"> 🦹‍♀️ E11.0 woman supervillain</v>
      </c>
      <c r="F3195" t="b">
        <f t="shared" si="299"/>
        <v>1</v>
      </c>
      <c r="G3195" t="str">
        <f t="shared" si="295"/>
        <v>1F9B9</v>
      </c>
      <c r="I3195">
        <f>HEX2DEC(Table1[[#This Row],[utf8]])</f>
        <v>129465</v>
      </c>
      <c r="J3195" t="str">
        <f>_xlfn.UNICHAR(HEX2DEC(Table1[[#This Row],[utf8]]))</f>
        <v>🦹</v>
      </c>
      <c r="K3195" s="3" t="str" cm="1">
        <f t="array" ref="K3195">"Case "&amp;wRandomLetter()&amp;wRandomLetter()&amp;I3195&amp;":    UniConst = ChrW(" &amp; I3195 &amp;")"</f>
        <v>Case Nb129465:    UniConst = ChrW(129465)</v>
      </c>
    </row>
    <row r="3196" spans="1:11" hidden="1">
      <c r="A3196" t="s">
        <v>1621</v>
      </c>
      <c r="B3196" t="str">
        <f t="shared" si="296"/>
        <v>1F9B9 200D 2642 ; minimally-qualified # 🦹‍♂ E11.0 man supervillain</v>
      </c>
      <c r="C3196" t="str">
        <f t="shared" si="297"/>
        <v xml:space="preserve">1F9B9 200D 2642 </v>
      </c>
      <c r="D3196">
        <f t="shared" si="298"/>
        <v>16</v>
      </c>
      <c r="E3196" t="str">
        <f t="shared" si="294"/>
        <v xml:space="preserve"> 🦹‍♂ E11.0 man supervillain</v>
      </c>
      <c r="F3196" t="b">
        <f t="shared" si="299"/>
        <v>1</v>
      </c>
      <c r="G3196" t="str">
        <f t="shared" si="295"/>
        <v>1F9B9</v>
      </c>
      <c r="I3196">
        <f>HEX2DEC(Table1[[#This Row],[utf8]])</f>
        <v>129465</v>
      </c>
      <c r="J3196" t="str">
        <f>_xlfn.UNICHAR(HEX2DEC(Table1[[#This Row],[utf8]]))</f>
        <v>🦹</v>
      </c>
      <c r="K3196" s="3" t="str" cm="1">
        <f t="array" ref="K3196">"Case "&amp;wRandomLetter()&amp;wRandomLetter()&amp;I3196&amp;":    UniConst = ChrW(" &amp; I3196 &amp;")"</f>
        <v>Case FA129465:    UniConst = ChrW(129465)</v>
      </c>
    </row>
    <row r="3197" spans="1:11" hidden="1">
      <c r="A3197" t="s">
        <v>1620</v>
      </c>
      <c r="B3197" t="str">
        <f t="shared" si="296"/>
        <v>1F9B9 200D 2642 FE0F ; fully-qualified # 🦹‍♂️ E11.0 man supervillain</v>
      </c>
      <c r="C3197" t="str">
        <f t="shared" si="297"/>
        <v xml:space="preserve">1F9B9 200D 2642 FE0F </v>
      </c>
      <c r="D3197">
        <f t="shared" si="298"/>
        <v>21</v>
      </c>
      <c r="E3197" t="str">
        <f t="shared" si="294"/>
        <v xml:space="preserve"> 🦹‍♂️ E11.0 man supervillain</v>
      </c>
      <c r="F3197" t="b">
        <f t="shared" si="299"/>
        <v>1</v>
      </c>
      <c r="G3197" t="str">
        <f t="shared" si="295"/>
        <v>1F9B9</v>
      </c>
      <c r="I3197">
        <f>HEX2DEC(Table1[[#This Row],[utf8]])</f>
        <v>129465</v>
      </c>
      <c r="J3197" t="str">
        <f>_xlfn.UNICHAR(HEX2DEC(Table1[[#This Row],[utf8]]))</f>
        <v>🦹</v>
      </c>
      <c r="K3197" s="3" t="str" cm="1">
        <f t="array" ref="K3197">"Case "&amp;wRandomLetter()&amp;wRandomLetter()&amp;I3197&amp;":    UniConst = ChrW(" &amp; I3197 &amp;")"</f>
        <v>Case hT129465:    UniConst = ChrW(129465)</v>
      </c>
    </row>
    <row r="3198" spans="1:11" hidden="1">
      <c r="A3198" t="s">
        <v>3808</v>
      </c>
      <c r="B3198" t="str">
        <f t="shared" si="296"/>
        <v>1F9BA ; fully-qualified # 🦺 E12.0 safety vest</v>
      </c>
      <c r="C3198" t="str">
        <f t="shared" si="297"/>
        <v xml:space="preserve">1F9BA </v>
      </c>
      <c r="D3198">
        <f t="shared" si="298"/>
        <v>6</v>
      </c>
      <c r="E3198" t="str">
        <f t="shared" si="294"/>
        <v xml:space="preserve"> 🦺 E12.0 safety vest</v>
      </c>
      <c r="F3198" t="b">
        <f t="shared" si="299"/>
        <v>1</v>
      </c>
      <c r="G3198" t="str">
        <f t="shared" si="295"/>
        <v>1F9BA</v>
      </c>
      <c r="I3198">
        <f>HEX2DEC(Table1[[#This Row],[utf8]])</f>
        <v>129466</v>
      </c>
      <c r="J3198" t="str">
        <f>_xlfn.UNICHAR(HEX2DEC(Table1[[#This Row],[utf8]]))</f>
        <v>🦺</v>
      </c>
      <c r="K3198" s="3" t="str" cm="1">
        <f t="array" ref="K3198">"Case "&amp;wRandomLetter()&amp;wRandomLetter()&amp;I3198&amp;":    UniConst = ChrW(" &amp; I3198 &amp;")"</f>
        <v>Case Oo129466:    UniConst = ChrW(129466)</v>
      </c>
    </row>
    <row r="3199" spans="1:11" hidden="1">
      <c r="A3199" t="s">
        <v>425</v>
      </c>
      <c r="B3199" t="str">
        <f t="shared" si="296"/>
        <v>1F9BB ; fully-qualified # 🦻 E12.0 ear with hearing aid</v>
      </c>
      <c r="C3199" t="str">
        <f t="shared" si="297"/>
        <v xml:space="preserve">1F9BB </v>
      </c>
      <c r="D3199">
        <f t="shared" si="298"/>
        <v>6</v>
      </c>
      <c r="E3199" t="str">
        <f t="shared" si="294"/>
        <v xml:space="preserve"> 🦻 E12.0 ear with hearing aid</v>
      </c>
      <c r="F3199" t="b">
        <f t="shared" si="299"/>
        <v>1</v>
      </c>
      <c r="G3199" t="str">
        <f t="shared" si="295"/>
        <v>1F9BB</v>
      </c>
      <c r="I3199">
        <f>HEX2DEC(Table1[[#This Row],[utf8]])</f>
        <v>129467</v>
      </c>
      <c r="J3199" t="str">
        <f>_xlfn.UNICHAR(HEX2DEC(Table1[[#This Row],[utf8]]))</f>
        <v>🦻</v>
      </c>
      <c r="K3199" s="3" t="str" cm="1">
        <f t="array" ref="K3199">"Case "&amp;wRandomLetter()&amp;wRandomLetter()&amp;I3199&amp;":    UniConst = ChrW(" &amp; I3199 &amp;")"</f>
        <v>Case Yc129467:    UniConst = ChrW(129467)</v>
      </c>
    </row>
    <row r="3200" spans="1:11" hidden="1">
      <c r="A3200" t="s">
        <v>426</v>
      </c>
      <c r="B3200" t="str">
        <f t="shared" si="296"/>
        <v>1F9BB 1F3FB ; fully-qualified # 🦻🏻 E12.0 ear with hearing aid: light skin tone</v>
      </c>
      <c r="C3200" t="str">
        <f t="shared" si="297"/>
        <v xml:space="preserve">1F9BB 1F3FB </v>
      </c>
      <c r="D3200">
        <f t="shared" si="298"/>
        <v>12</v>
      </c>
      <c r="E3200" t="str">
        <f t="shared" si="294"/>
        <v xml:space="preserve"> 🦻🏻 E12.0 ear with hearing aid: light skin tone</v>
      </c>
      <c r="F3200" t="b">
        <f t="shared" si="299"/>
        <v>1</v>
      </c>
      <c r="G3200" t="str">
        <f t="shared" si="295"/>
        <v>1F9BB</v>
      </c>
      <c r="I3200">
        <f>HEX2DEC(Table1[[#This Row],[utf8]])</f>
        <v>129467</v>
      </c>
      <c r="J3200" t="str">
        <f>_xlfn.UNICHAR(HEX2DEC(Table1[[#This Row],[utf8]]))</f>
        <v>🦻</v>
      </c>
      <c r="K3200" s="3" t="str" cm="1">
        <f t="array" ref="K3200">"Case "&amp;wRandomLetter()&amp;wRandomLetter()&amp;I3200&amp;":    UniConst = ChrW(" &amp; I3200 &amp;")"</f>
        <v>Case Xu129467:    UniConst = ChrW(129467)</v>
      </c>
    </row>
    <row r="3201" spans="1:11" hidden="1">
      <c r="A3201" t="s">
        <v>427</v>
      </c>
      <c r="B3201" t="str">
        <f t="shared" si="296"/>
        <v>1F9BB 1F3FC ; fully-qualified # 🦻🏼 E12.0 ear with hearing aid: medium-light skin tone</v>
      </c>
      <c r="C3201" t="str">
        <f t="shared" si="297"/>
        <v xml:space="preserve">1F9BB 1F3FC </v>
      </c>
      <c r="D3201">
        <f t="shared" si="298"/>
        <v>12</v>
      </c>
      <c r="E3201" t="str">
        <f t="shared" si="294"/>
        <v xml:space="preserve"> 🦻🏼 E12.0 ear with hearing aid: medium-light skin tone</v>
      </c>
      <c r="F3201" t="b">
        <f t="shared" si="299"/>
        <v>1</v>
      </c>
      <c r="G3201" t="str">
        <f t="shared" si="295"/>
        <v>1F9BB</v>
      </c>
      <c r="I3201">
        <f>HEX2DEC(Table1[[#This Row],[utf8]])</f>
        <v>129467</v>
      </c>
      <c r="J3201" t="str">
        <f>_xlfn.UNICHAR(HEX2DEC(Table1[[#This Row],[utf8]]))</f>
        <v>🦻</v>
      </c>
      <c r="K3201" s="3" t="str" cm="1">
        <f t="array" ref="K3201">"Case "&amp;wRandomLetter()&amp;wRandomLetter()&amp;I3201&amp;":    UniConst = ChrW(" &amp; I3201 &amp;")"</f>
        <v>Case Cx129467:    UniConst = ChrW(129467)</v>
      </c>
    </row>
    <row r="3202" spans="1:11" hidden="1">
      <c r="A3202" t="s">
        <v>428</v>
      </c>
      <c r="B3202" t="str">
        <f t="shared" si="296"/>
        <v>1F9BB 1F3FD ; fully-qualified # 🦻🏽 E12.0 ear with hearing aid: medium skin tone</v>
      </c>
      <c r="C3202" t="str">
        <f t="shared" si="297"/>
        <v xml:space="preserve">1F9BB 1F3FD </v>
      </c>
      <c r="D3202">
        <f t="shared" si="298"/>
        <v>12</v>
      </c>
      <c r="E3202" t="str">
        <f t="shared" ref="E3202:E3265" si="300">MID(A3202,FIND("#",A3202)+1,256)</f>
        <v xml:space="preserve"> 🦻🏽 E12.0 ear with hearing aid: medium skin tone</v>
      </c>
      <c r="F3202" t="b">
        <f t="shared" si="299"/>
        <v>1</v>
      </c>
      <c r="G3202" t="str">
        <f t="shared" ref="G3202:G3265" si="301">LEFT(C3202,(FIND(" ",C3202,1)-1))</f>
        <v>1F9BB</v>
      </c>
      <c r="I3202">
        <f>HEX2DEC(Table1[[#This Row],[utf8]])</f>
        <v>129467</v>
      </c>
      <c r="J3202" t="str">
        <f>_xlfn.UNICHAR(HEX2DEC(Table1[[#This Row],[utf8]]))</f>
        <v>🦻</v>
      </c>
      <c r="K3202" s="3" t="str" cm="1">
        <f t="array" ref="K3202">"Case "&amp;wRandomLetter()&amp;wRandomLetter()&amp;I3202&amp;":    UniConst = ChrW(" &amp; I3202 &amp;")"</f>
        <v>Case pJ129467:    UniConst = ChrW(129467)</v>
      </c>
    </row>
    <row r="3203" spans="1:11" hidden="1">
      <c r="A3203" t="s">
        <v>429</v>
      </c>
      <c r="B3203" t="str">
        <f t="shared" ref="B3203:B3266" si="302">TRIM(A3203)</f>
        <v>1F9BB 1F3FE ; fully-qualified # 🦻🏾 E12.0 ear with hearing aid: medium-dark skin tone</v>
      </c>
      <c r="C3203" t="str">
        <f t="shared" ref="C3203:C3266" si="303">LEFT(B3203,(FIND(";",B3203,1)-1))</f>
        <v xml:space="preserve">1F9BB 1F3FE </v>
      </c>
      <c r="D3203">
        <f t="shared" ref="D3203:D3266" si="304">LEN(C3203)</f>
        <v>12</v>
      </c>
      <c r="E3203" t="str">
        <f t="shared" si="300"/>
        <v xml:space="preserve"> 🦻🏾 E12.0 ear with hearing aid: medium-dark skin tone</v>
      </c>
      <c r="F3203" t="b">
        <f t="shared" ref="F3203:F3266" si="305">IF(LEFT(C3203,2)="1F",TRUE,FALSE)</f>
        <v>1</v>
      </c>
      <c r="G3203" t="str">
        <f t="shared" si="301"/>
        <v>1F9BB</v>
      </c>
      <c r="I3203">
        <f>HEX2DEC(Table1[[#This Row],[utf8]])</f>
        <v>129467</v>
      </c>
      <c r="J3203" t="str">
        <f>_xlfn.UNICHAR(HEX2DEC(Table1[[#This Row],[utf8]]))</f>
        <v>🦻</v>
      </c>
      <c r="K3203" s="3" t="str" cm="1">
        <f t="array" ref="K3203">"Case "&amp;wRandomLetter()&amp;wRandomLetter()&amp;I3203&amp;":    UniConst = ChrW(" &amp; I3203 &amp;")"</f>
        <v>Case xY129467:    UniConst = ChrW(129467)</v>
      </c>
    </row>
    <row r="3204" spans="1:11" hidden="1">
      <c r="A3204" t="s">
        <v>430</v>
      </c>
      <c r="B3204" t="str">
        <f t="shared" si="302"/>
        <v>1F9BB 1F3FF ; fully-qualified # 🦻🏿 E12.0 ear with hearing aid: dark skin tone</v>
      </c>
      <c r="C3204" t="str">
        <f t="shared" si="303"/>
        <v xml:space="preserve">1F9BB 1F3FF </v>
      </c>
      <c r="D3204">
        <f t="shared" si="304"/>
        <v>12</v>
      </c>
      <c r="E3204" t="str">
        <f t="shared" si="300"/>
        <v xml:space="preserve"> 🦻🏿 E12.0 ear with hearing aid: dark skin tone</v>
      </c>
      <c r="F3204" t="b">
        <f t="shared" si="305"/>
        <v>1</v>
      </c>
      <c r="G3204" t="str">
        <f t="shared" si="301"/>
        <v>1F9BB</v>
      </c>
      <c r="I3204">
        <f>HEX2DEC(Table1[[#This Row],[utf8]])</f>
        <v>129467</v>
      </c>
      <c r="J3204" t="str">
        <f>_xlfn.UNICHAR(HEX2DEC(Table1[[#This Row],[utf8]]))</f>
        <v>🦻</v>
      </c>
      <c r="K3204" s="3" t="str" cm="1">
        <f t="array" ref="K3204">"Case "&amp;wRandomLetter()&amp;wRandomLetter()&amp;I3204&amp;":    UniConst = ChrW(" &amp; I3204 &amp;")"</f>
        <v>Case qS129467:    UniConst = ChrW(129467)</v>
      </c>
    </row>
    <row r="3205" spans="1:11" hidden="1">
      <c r="A3205" t="s">
        <v>3543</v>
      </c>
      <c r="B3205" t="str">
        <f t="shared" si="302"/>
        <v>1F9BC ; fully-qualified # 🦼 E12.0 motorized wheelchair</v>
      </c>
      <c r="C3205" t="str">
        <f t="shared" si="303"/>
        <v xml:space="preserve">1F9BC </v>
      </c>
      <c r="D3205">
        <f t="shared" si="304"/>
        <v>6</v>
      </c>
      <c r="E3205" t="str">
        <f t="shared" si="300"/>
        <v xml:space="preserve"> 🦼 E12.0 motorized wheelchair</v>
      </c>
      <c r="F3205" t="b">
        <f t="shared" si="305"/>
        <v>1</v>
      </c>
      <c r="G3205" t="str">
        <f t="shared" si="301"/>
        <v>1F9BC</v>
      </c>
      <c r="I3205">
        <f>HEX2DEC(Table1[[#This Row],[utf8]])</f>
        <v>129468</v>
      </c>
      <c r="J3205" t="str">
        <f>_xlfn.UNICHAR(HEX2DEC(Table1[[#This Row],[utf8]]))</f>
        <v>🦼</v>
      </c>
      <c r="K3205" s="3" t="str" cm="1">
        <f t="array" ref="K3205">"Case "&amp;wRandomLetter()&amp;wRandomLetter()&amp;I3205&amp;":    UniConst = ChrW(" &amp; I3205 &amp;")"</f>
        <v>Case zS129468:    UniConst = ChrW(129468)</v>
      </c>
    </row>
    <row r="3206" spans="1:11" hidden="1">
      <c r="A3206" t="s">
        <v>3542</v>
      </c>
      <c r="B3206" t="str">
        <f t="shared" si="302"/>
        <v>1F9BD ; fully-qualified # 🦽 E12.0 manual wheelchair</v>
      </c>
      <c r="C3206" t="str">
        <f t="shared" si="303"/>
        <v xml:space="preserve">1F9BD </v>
      </c>
      <c r="D3206">
        <f t="shared" si="304"/>
        <v>6</v>
      </c>
      <c r="E3206" t="str">
        <f t="shared" si="300"/>
        <v xml:space="preserve"> 🦽 E12.0 manual wheelchair</v>
      </c>
      <c r="F3206" t="b">
        <f t="shared" si="305"/>
        <v>1</v>
      </c>
      <c r="G3206" t="str">
        <f t="shared" si="301"/>
        <v>1F9BD</v>
      </c>
      <c r="I3206">
        <f>HEX2DEC(Table1[[#This Row],[utf8]])</f>
        <v>129469</v>
      </c>
      <c r="J3206" t="str">
        <f>_xlfn.UNICHAR(HEX2DEC(Table1[[#This Row],[utf8]]))</f>
        <v>🦽</v>
      </c>
      <c r="K3206" s="3" t="str" cm="1">
        <f t="array" ref="K3206">"Case "&amp;wRandomLetter()&amp;wRandomLetter()&amp;I3206&amp;":    UniConst = ChrW(" &amp; I3206 &amp;")"</f>
        <v>Case YA129469:    UniConst = ChrW(129469)</v>
      </c>
    </row>
    <row r="3207" spans="1:11" hidden="1">
      <c r="A3207" t="s">
        <v>405</v>
      </c>
      <c r="B3207" t="str">
        <f t="shared" si="302"/>
        <v>1F9BE ; fully-qualified # 🦾 E12.0 mechanical arm</v>
      </c>
      <c r="C3207" t="str">
        <f t="shared" si="303"/>
        <v xml:space="preserve">1F9BE </v>
      </c>
      <c r="D3207">
        <f t="shared" si="304"/>
        <v>6</v>
      </c>
      <c r="E3207" t="str">
        <f t="shared" si="300"/>
        <v xml:space="preserve"> 🦾 E12.0 mechanical arm</v>
      </c>
      <c r="F3207" t="b">
        <f t="shared" si="305"/>
        <v>1</v>
      </c>
      <c r="G3207" t="str">
        <f t="shared" si="301"/>
        <v>1F9BE</v>
      </c>
      <c r="I3207">
        <f>HEX2DEC(Table1[[#This Row],[utf8]])</f>
        <v>129470</v>
      </c>
      <c r="J3207" t="str">
        <f>_xlfn.UNICHAR(HEX2DEC(Table1[[#This Row],[utf8]]))</f>
        <v>🦾</v>
      </c>
      <c r="K3207" s="3" t="str" cm="1">
        <f t="array" ref="K3207">"Case "&amp;wRandomLetter()&amp;wRandomLetter()&amp;I3207&amp;":    UniConst = ChrW(" &amp; I3207 &amp;")"</f>
        <v>Case Ma129470:    UniConst = ChrW(129470)</v>
      </c>
    </row>
    <row r="3208" spans="1:11" hidden="1">
      <c r="A3208" t="s">
        <v>406</v>
      </c>
      <c r="B3208" t="str">
        <f t="shared" si="302"/>
        <v>1F9BF ; fully-qualified # 🦿 E12.0 mechanical leg</v>
      </c>
      <c r="C3208" t="str">
        <f t="shared" si="303"/>
        <v xml:space="preserve">1F9BF </v>
      </c>
      <c r="D3208">
        <f t="shared" si="304"/>
        <v>6</v>
      </c>
      <c r="E3208" t="str">
        <f t="shared" si="300"/>
        <v xml:space="preserve"> 🦿 E12.0 mechanical leg</v>
      </c>
      <c r="F3208" t="b">
        <f t="shared" si="305"/>
        <v>1</v>
      </c>
      <c r="G3208" t="str">
        <f t="shared" si="301"/>
        <v>1F9BF</v>
      </c>
      <c r="I3208">
        <f>HEX2DEC(Table1[[#This Row],[utf8]])</f>
        <v>129471</v>
      </c>
      <c r="J3208" t="str">
        <f>_xlfn.UNICHAR(HEX2DEC(Table1[[#This Row],[utf8]]))</f>
        <v>🦿</v>
      </c>
      <c r="K3208" s="3" t="str" cm="1">
        <f t="array" ref="K3208">"Case "&amp;wRandomLetter()&amp;wRandomLetter()&amp;I3208&amp;":    UniConst = ChrW(" &amp; I3208 &amp;")"</f>
        <v>Case Jm129471:    UniConst = ChrW(129471)</v>
      </c>
    </row>
    <row r="3209" spans="1:11" hidden="1">
      <c r="A3209" t="s">
        <v>3325</v>
      </c>
      <c r="B3209" t="str">
        <f t="shared" si="302"/>
        <v>1F9C0 ; fully-qualified # 🧀 E1.0 cheese wedge</v>
      </c>
      <c r="C3209" t="str">
        <f t="shared" si="303"/>
        <v xml:space="preserve">1F9C0 </v>
      </c>
      <c r="D3209">
        <f t="shared" si="304"/>
        <v>6</v>
      </c>
      <c r="E3209" t="str">
        <f t="shared" si="300"/>
        <v xml:space="preserve"> 🧀 E1.0 cheese wedge</v>
      </c>
      <c r="F3209" t="b">
        <f t="shared" si="305"/>
        <v>1</v>
      </c>
      <c r="G3209" t="str">
        <f t="shared" si="301"/>
        <v>1F9C0</v>
      </c>
      <c r="I3209">
        <f>HEX2DEC(Table1[[#This Row],[utf8]])</f>
        <v>129472</v>
      </c>
      <c r="J3209" t="str">
        <f>_xlfn.UNICHAR(HEX2DEC(Table1[[#This Row],[utf8]]))</f>
        <v>🧀</v>
      </c>
      <c r="K3209" s="3" t="str" cm="1">
        <f t="array" ref="K3209">"Case "&amp;wRandomLetter()&amp;wRandomLetter()&amp;I3209&amp;":    UniConst = ChrW(" &amp; I3209 &amp;")"</f>
        <v>Case Lo129472:    UniConst = ChrW(129472)</v>
      </c>
    </row>
    <row r="3210" spans="1:11" hidden="1">
      <c r="A3210" t="s">
        <v>3383</v>
      </c>
      <c r="B3210" t="str">
        <f t="shared" si="302"/>
        <v>1F9C1 ; fully-qualified # 🧁 E11.0 cupcake</v>
      </c>
      <c r="C3210" t="str">
        <f t="shared" si="303"/>
        <v xml:space="preserve">1F9C1 </v>
      </c>
      <c r="D3210">
        <f t="shared" si="304"/>
        <v>6</v>
      </c>
      <c r="E3210" t="str">
        <f t="shared" si="300"/>
        <v xml:space="preserve"> 🧁 E11.0 cupcake</v>
      </c>
      <c r="F3210" t="b">
        <f t="shared" si="305"/>
        <v>1</v>
      </c>
      <c r="G3210" t="str">
        <f t="shared" si="301"/>
        <v>1F9C1</v>
      </c>
      <c r="I3210">
        <f>HEX2DEC(Table1[[#This Row],[utf8]])</f>
        <v>129473</v>
      </c>
      <c r="J3210" t="str">
        <f>_xlfn.UNICHAR(HEX2DEC(Table1[[#This Row],[utf8]]))</f>
        <v>🧁</v>
      </c>
      <c r="K3210" s="3" t="str" cm="1">
        <f t="array" ref="K3210">"Case "&amp;wRandomLetter()&amp;wRandomLetter()&amp;I3210&amp;":    UniConst = ChrW(" &amp; I3210 &amp;")"</f>
        <v>Case xX129473:    UniConst = ChrW(129473)</v>
      </c>
    </row>
    <row r="3211" spans="1:11" hidden="1">
      <c r="A3211" t="s">
        <v>3349</v>
      </c>
      <c r="B3211" t="str">
        <f t="shared" si="302"/>
        <v>1F9C2 ; fully-qualified # 🧂 E11.0 salt</v>
      </c>
      <c r="C3211" t="str">
        <f t="shared" si="303"/>
        <v xml:space="preserve">1F9C2 </v>
      </c>
      <c r="D3211">
        <f t="shared" si="304"/>
        <v>6</v>
      </c>
      <c r="E3211" t="str">
        <f t="shared" si="300"/>
        <v xml:space="preserve"> 🧂 E11.0 salt</v>
      </c>
      <c r="F3211" t="b">
        <f t="shared" si="305"/>
        <v>1</v>
      </c>
      <c r="G3211" t="str">
        <f t="shared" si="301"/>
        <v>1F9C2</v>
      </c>
      <c r="I3211">
        <f>HEX2DEC(Table1[[#This Row],[utf8]])</f>
        <v>129474</v>
      </c>
      <c r="J3211" t="str">
        <f>_xlfn.UNICHAR(HEX2DEC(Table1[[#This Row],[utf8]]))</f>
        <v>🧂</v>
      </c>
      <c r="K3211" s="3" t="str" cm="1">
        <f t="array" ref="K3211">"Case "&amp;wRandomLetter()&amp;wRandomLetter()&amp;I3211&amp;":    UniConst = ChrW(" &amp; I3211 &amp;")"</f>
        <v>Case Nc129474:    UniConst = ChrW(129474)</v>
      </c>
    </row>
    <row r="3212" spans="1:11" hidden="1">
      <c r="A3212" t="s">
        <v>3407</v>
      </c>
      <c r="B3212" t="str">
        <f t="shared" si="302"/>
        <v>1F9C3 ; fully-qualified # 🧃 E12.0 beverage box</v>
      </c>
      <c r="C3212" t="str">
        <f t="shared" si="303"/>
        <v xml:space="preserve">1F9C3 </v>
      </c>
      <c r="D3212">
        <f t="shared" si="304"/>
        <v>6</v>
      </c>
      <c r="E3212" t="str">
        <f t="shared" si="300"/>
        <v xml:space="preserve"> 🧃 E12.0 beverage box</v>
      </c>
      <c r="F3212" t="b">
        <f t="shared" si="305"/>
        <v>1</v>
      </c>
      <c r="G3212" t="str">
        <f t="shared" si="301"/>
        <v>1F9C3</v>
      </c>
      <c r="I3212">
        <f>HEX2DEC(Table1[[#This Row],[utf8]])</f>
        <v>129475</v>
      </c>
      <c r="J3212" t="str">
        <f>_xlfn.UNICHAR(HEX2DEC(Table1[[#This Row],[utf8]]))</f>
        <v>🧃</v>
      </c>
      <c r="K3212" s="3" t="str" cm="1">
        <f t="array" ref="K3212">"Case "&amp;wRandomLetter()&amp;wRandomLetter()&amp;I3212&amp;":    UniConst = ChrW(" &amp; I3212 &amp;")"</f>
        <v>Case DV129475:    UniConst = ChrW(129475)</v>
      </c>
    </row>
    <row r="3213" spans="1:11" hidden="1">
      <c r="A3213" t="s">
        <v>3311</v>
      </c>
      <c r="B3213" t="str">
        <f t="shared" si="302"/>
        <v>1F9C4 ; fully-qualified # 🧄 E12.0 garlic</v>
      </c>
      <c r="C3213" t="str">
        <f t="shared" si="303"/>
        <v xml:space="preserve">1F9C4 </v>
      </c>
      <c r="D3213">
        <f t="shared" si="304"/>
        <v>6</v>
      </c>
      <c r="E3213" t="str">
        <f t="shared" si="300"/>
        <v xml:space="preserve"> 🧄 E12.0 garlic</v>
      </c>
      <c r="F3213" t="b">
        <f t="shared" si="305"/>
        <v>1</v>
      </c>
      <c r="G3213" t="str">
        <f t="shared" si="301"/>
        <v>1F9C4</v>
      </c>
      <c r="I3213">
        <f>HEX2DEC(Table1[[#This Row],[utf8]])</f>
        <v>129476</v>
      </c>
      <c r="J3213" t="str">
        <f>_xlfn.UNICHAR(HEX2DEC(Table1[[#This Row],[utf8]]))</f>
        <v>🧄</v>
      </c>
      <c r="K3213" s="3" t="str" cm="1">
        <f t="array" ref="K3213">"Case "&amp;wRandomLetter()&amp;wRandomLetter()&amp;I3213&amp;":    UniConst = ChrW(" &amp; I3213 &amp;")"</f>
        <v>Case AN129476:    UniConst = ChrW(129476)</v>
      </c>
    </row>
    <row r="3214" spans="1:11" hidden="1">
      <c r="A3214" t="s">
        <v>3312</v>
      </c>
      <c r="B3214" t="str">
        <f t="shared" si="302"/>
        <v>1F9C5 ; fully-qualified # 🧅 E12.0 onion</v>
      </c>
      <c r="C3214" t="str">
        <f t="shared" si="303"/>
        <v xml:space="preserve">1F9C5 </v>
      </c>
      <c r="D3214">
        <f t="shared" si="304"/>
        <v>6</v>
      </c>
      <c r="E3214" t="str">
        <f t="shared" si="300"/>
        <v xml:space="preserve"> 🧅 E12.0 onion</v>
      </c>
      <c r="F3214" t="b">
        <f t="shared" si="305"/>
        <v>1</v>
      </c>
      <c r="G3214" t="str">
        <f t="shared" si="301"/>
        <v>1F9C5</v>
      </c>
      <c r="I3214">
        <f>HEX2DEC(Table1[[#This Row],[utf8]])</f>
        <v>129477</v>
      </c>
      <c r="J3214" t="str">
        <f>_xlfn.UNICHAR(HEX2DEC(Table1[[#This Row],[utf8]]))</f>
        <v>🧅</v>
      </c>
      <c r="K3214" s="3" t="str" cm="1">
        <f t="array" ref="K3214">"Case "&amp;wRandomLetter()&amp;wRandomLetter()&amp;I3214&amp;":    UniConst = ChrW(" &amp; I3214 &amp;")"</f>
        <v>Case JT129477:    UniConst = ChrW(129477)</v>
      </c>
    </row>
    <row r="3215" spans="1:11" hidden="1">
      <c r="A3215" t="s">
        <v>3339</v>
      </c>
      <c r="B3215" t="str">
        <f t="shared" si="302"/>
        <v>1F9C6 ; fully-qualified # 🧆 E12.0 falafel</v>
      </c>
      <c r="C3215" t="str">
        <f t="shared" si="303"/>
        <v xml:space="preserve">1F9C6 </v>
      </c>
      <c r="D3215">
        <f t="shared" si="304"/>
        <v>6</v>
      </c>
      <c r="E3215" t="str">
        <f t="shared" si="300"/>
        <v xml:space="preserve"> 🧆 E12.0 falafel</v>
      </c>
      <c r="F3215" t="b">
        <f t="shared" si="305"/>
        <v>1</v>
      </c>
      <c r="G3215" t="str">
        <f t="shared" si="301"/>
        <v>1F9C6</v>
      </c>
      <c r="I3215">
        <f>HEX2DEC(Table1[[#This Row],[utf8]])</f>
        <v>129478</v>
      </c>
      <c r="J3215" t="str">
        <f>_xlfn.UNICHAR(HEX2DEC(Table1[[#This Row],[utf8]]))</f>
        <v>🧆</v>
      </c>
      <c r="K3215" s="3" t="str" cm="1">
        <f t="array" ref="K3215">"Case "&amp;wRandomLetter()&amp;wRandomLetter()&amp;I3215&amp;":    UniConst = ChrW(" &amp; I3215 &amp;")"</f>
        <v>Case vT129478:    UniConst = ChrW(129478)</v>
      </c>
    </row>
    <row r="3216" spans="1:11" hidden="1">
      <c r="A3216" t="s">
        <v>3324</v>
      </c>
      <c r="B3216" t="str">
        <f t="shared" si="302"/>
        <v>1F9C7 ; fully-qualified # 🧇 E12.0 waffle</v>
      </c>
      <c r="C3216" t="str">
        <f t="shared" si="303"/>
        <v xml:space="preserve">1F9C7 </v>
      </c>
      <c r="D3216">
        <f t="shared" si="304"/>
        <v>6</v>
      </c>
      <c r="E3216" t="str">
        <f t="shared" si="300"/>
        <v xml:space="preserve"> 🧇 E12.0 waffle</v>
      </c>
      <c r="F3216" t="b">
        <f t="shared" si="305"/>
        <v>1</v>
      </c>
      <c r="G3216" t="str">
        <f t="shared" si="301"/>
        <v>1F9C7</v>
      </c>
      <c r="I3216">
        <f>HEX2DEC(Table1[[#This Row],[utf8]])</f>
        <v>129479</v>
      </c>
      <c r="J3216" t="str">
        <f>_xlfn.UNICHAR(HEX2DEC(Table1[[#This Row],[utf8]]))</f>
        <v>🧇</v>
      </c>
      <c r="K3216" s="3" t="str" cm="1">
        <f t="array" ref="K3216">"Case "&amp;wRandomLetter()&amp;wRandomLetter()&amp;I3216&amp;":    UniConst = ChrW(" &amp; I3216 &amp;")"</f>
        <v>Case qD129479:    UniConst = ChrW(129479)</v>
      </c>
    </row>
    <row r="3217" spans="1:11" hidden="1">
      <c r="A3217" t="s">
        <v>3348</v>
      </c>
      <c r="B3217" t="str">
        <f t="shared" si="302"/>
        <v>1F9C8 ; fully-qualified # 🧈 E12.0 butter</v>
      </c>
      <c r="C3217" t="str">
        <f t="shared" si="303"/>
        <v xml:space="preserve">1F9C8 </v>
      </c>
      <c r="D3217">
        <f t="shared" si="304"/>
        <v>6</v>
      </c>
      <c r="E3217" t="str">
        <f t="shared" si="300"/>
        <v xml:space="preserve"> 🧈 E12.0 butter</v>
      </c>
      <c r="F3217" t="b">
        <f t="shared" si="305"/>
        <v>1</v>
      </c>
      <c r="G3217" t="str">
        <f t="shared" si="301"/>
        <v>1F9C8</v>
      </c>
      <c r="I3217">
        <f>HEX2DEC(Table1[[#This Row],[utf8]])</f>
        <v>129480</v>
      </c>
      <c r="J3217" t="str">
        <f>_xlfn.UNICHAR(HEX2DEC(Table1[[#This Row],[utf8]]))</f>
        <v>🧈</v>
      </c>
      <c r="K3217" s="3" t="str" cm="1">
        <f t="array" ref="K3217">"Case "&amp;wRandomLetter()&amp;wRandomLetter()&amp;I3217&amp;":    UniConst = ChrW(" &amp; I3217 &amp;")"</f>
        <v>Case DI129480:    UniConst = ChrW(129480)</v>
      </c>
    </row>
    <row r="3218" spans="1:11" hidden="1">
      <c r="A3218" t="s">
        <v>3408</v>
      </c>
      <c r="B3218" t="str">
        <f t="shared" si="302"/>
        <v>1F9C9 ; fully-qualified # 🧉 E12.0 mate</v>
      </c>
      <c r="C3218" t="str">
        <f t="shared" si="303"/>
        <v xml:space="preserve">1F9C9 </v>
      </c>
      <c r="D3218">
        <f t="shared" si="304"/>
        <v>6</v>
      </c>
      <c r="E3218" t="str">
        <f t="shared" si="300"/>
        <v xml:space="preserve"> 🧉 E12.0 mate</v>
      </c>
      <c r="F3218" t="b">
        <f t="shared" si="305"/>
        <v>1</v>
      </c>
      <c r="G3218" t="str">
        <f t="shared" si="301"/>
        <v>1F9C9</v>
      </c>
      <c r="I3218">
        <f>HEX2DEC(Table1[[#This Row],[utf8]])</f>
        <v>129481</v>
      </c>
      <c r="J3218" t="str">
        <f>_xlfn.UNICHAR(HEX2DEC(Table1[[#This Row],[utf8]]))</f>
        <v>🧉</v>
      </c>
      <c r="K3218" s="3" t="str" cm="1">
        <f t="array" ref="K3218">"Case "&amp;wRandomLetter()&amp;wRandomLetter()&amp;I3218&amp;":    UniConst = ChrW(" &amp; I3218 &amp;")"</f>
        <v>Case Is129481:    UniConst = ChrW(129481)</v>
      </c>
    </row>
    <row r="3219" spans="1:11" hidden="1">
      <c r="A3219" t="s">
        <v>3409</v>
      </c>
      <c r="B3219" t="str">
        <f t="shared" si="302"/>
        <v>1F9CA ; fully-qualified # 🧊 E12.0 ice</v>
      </c>
      <c r="C3219" t="str">
        <f t="shared" si="303"/>
        <v xml:space="preserve">1F9CA </v>
      </c>
      <c r="D3219">
        <f t="shared" si="304"/>
        <v>6</v>
      </c>
      <c r="E3219" t="str">
        <f t="shared" si="300"/>
        <v xml:space="preserve"> 🧊 E12.0 ice</v>
      </c>
      <c r="F3219" t="b">
        <f t="shared" si="305"/>
        <v>1</v>
      </c>
      <c r="G3219" t="str">
        <f t="shared" si="301"/>
        <v>1F9CA</v>
      </c>
      <c r="I3219">
        <f>HEX2DEC(Table1[[#This Row],[utf8]])</f>
        <v>129482</v>
      </c>
      <c r="J3219" t="str">
        <f>_xlfn.UNICHAR(HEX2DEC(Table1[[#This Row],[utf8]]))</f>
        <v>🧊</v>
      </c>
      <c r="K3219" s="3" t="str" cm="1">
        <f t="array" ref="K3219">"Case "&amp;wRandomLetter()&amp;wRandomLetter()&amp;I3219&amp;":    UniConst = ChrW(" &amp; I3219 &amp;")"</f>
        <v>Case ij129482:    UniConst = ChrW(129482)</v>
      </c>
    </row>
    <row r="3220" spans="1:11" hidden="1">
      <c r="A3220" t="s">
        <v>3406</v>
      </c>
      <c r="B3220" t="str">
        <f t="shared" si="302"/>
        <v>1F9CB ; fully-qualified # 🧋 E13.0 bubble tea</v>
      </c>
      <c r="C3220" t="str">
        <f t="shared" si="303"/>
        <v xml:space="preserve">1F9CB </v>
      </c>
      <c r="D3220">
        <f t="shared" si="304"/>
        <v>6</v>
      </c>
      <c r="E3220" t="str">
        <f t="shared" si="300"/>
        <v xml:space="preserve"> 🧋 E13.0 bubble tea</v>
      </c>
      <c r="F3220" t="b">
        <f t="shared" si="305"/>
        <v>1</v>
      </c>
      <c r="G3220" t="str">
        <f t="shared" si="301"/>
        <v>1F9CB</v>
      </c>
      <c r="I3220">
        <f>HEX2DEC(Table1[[#This Row],[utf8]])</f>
        <v>129483</v>
      </c>
      <c r="J3220" t="str">
        <f>_xlfn.UNICHAR(HEX2DEC(Table1[[#This Row],[utf8]]))</f>
        <v>🧋</v>
      </c>
      <c r="K3220" s="3" t="str" cm="1">
        <f t="array" ref="K3220">"Case "&amp;wRandomLetter()&amp;wRandomLetter()&amp;I3220&amp;":    UniConst = ChrW(" &amp; I3220 &amp;")"</f>
        <v>Case hQ129483:    UniConst = ChrW(129483)</v>
      </c>
    </row>
    <row r="3221" spans="1:11" hidden="1">
      <c r="A3221" t="s">
        <v>1895</v>
      </c>
      <c r="B3221" t="str">
        <f t="shared" si="302"/>
        <v>1F9CD ; fully-qualified # 🧍 E12.0 person standing</v>
      </c>
      <c r="C3221" t="str">
        <f t="shared" si="303"/>
        <v xml:space="preserve">1F9CD </v>
      </c>
      <c r="D3221">
        <f t="shared" si="304"/>
        <v>6</v>
      </c>
      <c r="E3221" t="str">
        <f t="shared" si="300"/>
        <v xml:space="preserve"> 🧍 E12.0 person standing</v>
      </c>
      <c r="F3221" t="b">
        <f t="shared" si="305"/>
        <v>1</v>
      </c>
      <c r="G3221" t="str">
        <f t="shared" si="301"/>
        <v>1F9CD</v>
      </c>
      <c r="I3221">
        <f>HEX2DEC(Table1[[#This Row],[utf8]])</f>
        <v>129485</v>
      </c>
      <c r="J3221" t="str">
        <f>_xlfn.UNICHAR(HEX2DEC(Table1[[#This Row],[utf8]]))</f>
        <v>🧍</v>
      </c>
      <c r="K3221" s="3" t="str" cm="1">
        <f t="array" ref="K3221">"Case "&amp;wRandomLetter()&amp;wRandomLetter()&amp;I3221&amp;":    UniConst = ChrW(" &amp; I3221 &amp;")"</f>
        <v>Case Cp129485:    UniConst = ChrW(129485)</v>
      </c>
    </row>
    <row r="3222" spans="1:11" hidden="1">
      <c r="A3222" t="s">
        <v>1896</v>
      </c>
      <c r="B3222" t="str">
        <f t="shared" si="302"/>
        <v>1F9CD 1F3FB ; fully-qualified # 🧍🏻 E12.0 person standing: light skin tone</v>
      </c>
      <c r="C3222" t="str">
        <f t="shared" si="303"/>
        <v xml:space="preserve">1F9CD 1F3FB </v>
      </c>
      <c r="D3222">
        <f t="shared" si="304"/>
        <v>12</v>
      </c>
      <c r="E3222" t="str">
        <f t="shared" si="300"/>
        <v xml:space="preserve"> 🧍🏻 E12.0 person standing: light skin tone</v>
      </c>
      <c r="F3222" t="b">
        <f t="shared" si="305"/>
        <v>1</v>
      </c>
      <c r="G3222" t="str">
        <f t="shared" si="301"/>
        <v>1F9CD</v>
      </c>
      <c r="I3222">
        <f>HEX2DEC(Table1[[#This Row],[utf8]])</f>
        <v>129485</v>
      </c>
      <c r="J3222" t="str">
        <f>_xlfn.UNICHAR(HEX2DEC(Table1[[#This Row],[utf8]]))</f>
        <v>🧍</v>
      </c>
      <c r="K3222" s="3" t="str" cm="1">
        <f t="array" ref="K3222">"Case "&amp;wRandomLetter()&amp;wRandomLetter()&amp;I3222&amp;":    UniConst = ChrW(" &amp; I3222 &amp;")"</f>
        <v>Case mZ129485:    UniConst = ChrW(129485)</v>
      </c>
    </row>
    <row r="3223" spans="1:11" hidden="1">
      <c r="A3223" t="s">
        <v>1916</v>
      </c>
      <c r="B3223" t="str">
        <f t="shared" si="302"/>
        <v>1F9CD 1F3FB 200D 2640 ; minimally-qualified # 🧍🏻‍♀ E12.0 woman standing: light skin tone</v>
      </c>
      <c r="C3223" t="str">
        <f t="shared" si="303"/>
        <v xml:space="preserve">1F9CD 1F3FB 200D 2640 </v>
      </c>
      <c r="D3223">
        <f t="shared" si="304"/>
        <v>22</v>
      </c>
      <c r="E3223" t="str">
        <f t="shared" si="300"/>
        <v xml:space="preserve"> 🧍🏻‍♀ E12.0 woman standing: light skin tone</v>
      </c>
      <c r="F3223" t="b">
        <f t="shared" si="305"/>
        <v>1</v>
      </c>
      <c r="G3223" t="str">
        <f t="shared" si="301"/>
        <v>1F9CD</v>
      </c>
      <c r="I3223">
        <f>HEX2DEC(Table1[[#This Row],[utf8]])</f>
        <v>129485</v>
      </c>
      <c r="J3223" t="str">
        <f>_xlfn.UNICHAR(HEX2DEC(Table1[[#This Row],[utf8]]))</f>
        <v>🧍</v>
      </c>
      <c r="K3223" s="3" t="str" cm="1">
        <f t="array" ref="K3223">"Case "&amp;wRandomLetter()&amp;wRandomLetter()&amp;I3223&amp;":    UniConst = ChrW(" &amp; I3223 &amp;")"</f>
        <v>Case HL129485:    UniConst = ChrW(129485)</v>
      </c>
    </row>
    <row r="3224" spans="1:11" hidden="1">
      <c r="A3224" t="s">
        <v>1915</v>
      </c>
      <c r="B3224" t="str">
        <f t="shared" si="302"/>
        <v>1F9CD 1F3FB 200D 2640 FE0F ; fully-qualified # 🧍🏻‍♀️ E12.0 woman standing: light skin tone</v>
      </c>
      <c r="C3224" t="str">
        <f t="shared" si="303"/>
        <v xml:space="preserve">1F9CD 1F3FB 200D 2640 FE0F </v>
      </c>
      <c r="D3224">
        <f t="shared" si="304"/>
        <v>27</v>
      </c>
      <c r="E3224" t="str">
        <f t="shared" si="300"/>
        <v xml:space="preserve"> 🧍🏻‍♀️ E12.0 woman standing: light skin tone</v>
      </c>
      <c r="F3224" t="b">
        <f t="shared" si="305"/>
        <v>1</v>
      </c>
      <c r="G3224" t="str">
        <f t="shared" si="301"/>
        <v>1F9CD</v>
      </c>
      <c r="I3224">
        <f>HEX2DEC(Table1[[#This Row],[utf8]])</f>
        <v>129485</v>
      </c>
      <c r="J3224" t="str">
        <f>_xlfn.UNICHAR(HEX2DEC(Table1[[#This Row],[utf8]]))</f>
        <v>🧍</v>
      </c>
      <c r="K3224" s="3" t="str" cm="1">
        <f t="array" ref="K3224">"Case "&amp;wRandomLetter()&amp;wRandomLetter()&amp;I3224&amp;":    UniConst = ChrW(" &amp; I3224 &amp;")"</f>
        <v>Case NE129485:    UniConst = ChrW(129485)</v>
      </c>
    </row>
    <row r="3225" spans="1:11" hidden="1">
      <c r="A3225" t="s">
        <v>1904</v>
      </c>
      <c r="B3225" t="str">
        <f t="shared" si="302"/>
        <v>1F9CD 1F3FB 200D 2642 ; minimally-qualified # 🧍🏻‍♂ E12.0 man standing: light skin tone</v>
      </c>
      <c r="C3225" t="str">
        <f t="shared" si="303"/>
        <v xml:space="preserve">1F9CD 1F3FB 200D 2642 </v>
      </c>
      <c r="D3225">
        <f t="shared" si="304"/>
        <v>22</v>
      </c>
      <c r="E3225" t="str">
        <f t="shared" si="300"/>
        <v xml:space="preserve"> 🧍🏻‍♂ E12.0 man standing: light skin tone</v>
      </c>
      <c r="F3225" t="b">
        <f t="shared" si="305"/>
        <v>1</v>
      </c>
      <c r="G3225" t="str">
        <f t="shared" si="301"/>
        <v>1F9CD</v>
      </c>
      <c r="I3225">
        <f>HEX2DEC(Table1[[#This Row],[utf8]])</f>
        <v>129485</v>
      </c>
      <c r="J3225" t="str">
        <f>_xlfn.UNICHAR(HEX2DEC(Table1[[#This Row],[utf8]]))</f>
        <v>🧍</v>
      </c>
      <c r="K3225" s="3" t="str" cm="1">
        <f t="array" ref="K3225">"Case "&amp;wRandomLetter()&amp;wRandomLetter()&amp;I3225&amp;":    UniConst = ChrW(" &amp; I3225 &amp;")"</f>
        <v>Case Bw129485:    UniConst = ChrW(129485)</v>
      </c>
    </row>
    <row r="3226" spans="1:11" hidden="1">
      <c r="A3226" t="s">
        <v>1903</v>
      </c>
      <c r="B3226" t="str">
        <f t="shared" si="302"/>
        <v>1F9CD 1F3FB 200D 2642 FE0F ; fully-qualified # 🧍🏻‍♂️ E12.0 man standing: light skin tone</v>
      </c>
      <c r="C3226" t="str">
        <f t="shared" si="303"/>
        <v xml:space="preserve">1F9CD 1F3FB 200D 2642 FE0F </v>
      </c>
      <c r="D3226">
        <f t="shared" si="304"/>
        <v>27</v>
      </c>
      <c r="E3226" t="str">
        <f t="shared" si="300"/>
        <v xml:space="preserve"> 🧍🏻‍♂️ E12.0 man standing: light skin tone</v>
      </c>
      <c r="F3226" t="b">
        <f t="shared" si="305"/>
        <v>1</v>
      </c>
      <c r="G3226" t="str">
        <f t="shared" si="301"/>
        <v>1F9CD</v>
      </c>
      <c r="I3226">
        <f>HEX2DEC(Table1[[#This Row],[utf8]])</f>
        <v>129485</v>
      </c>
      <c r="J3226" t="str">
        <f>_xlfn.UNICHAR(HEX2DEC(Table1[[#This Row],[utf8]]))</f>
        <v>🧍</v>
      </c>
      <c r="K3226" s="3" t="str" cm="1">
        <f t="array" ref="K3226">"Case "&amp;wRandomLetter()&amp;wRandomLetter()&amp;I3226&amp;":    UniConst = ChrW(" &amp; I3226 &amp;")"</f>
        <v>Case rO129485:    UniConst = ChrW(129485)</v>
      </c>
    </row>
    <row r="3227" spans="1:11" hidden="1">
      <c r="A3227" t="s">
        <v>1897</v>
      </c>
      <c r="B3227" t="str">
        <f t="shared" si="302"/>
        <v>1F9CD 1F3FC ; fully-qualified # 🧍🏼 E12.0 person standing: medium-light skin tone</v>
      </c>
      <c r="C3227" t="str">
        <f t="shared" si="303"/>
        <v xml:space="preserve">1F9CD 1F3FC </v>
      </c>
      <c r="D3227">
        <f t="shared" si="304"/>
        <v>12</v>
      </c>
      <c r="E3227" t="str">
        <f t="shared" si="300"/>
        <v xml:space="preserve"> 🧍🏼 E12.0 person standing: medium-light skin tone</v>
      </c>
      <c r="F3227" t="b">
        <f t="shared" si="305"/>
        <v>1</v>
      </c>
      <c r="G3227" t="str">
        <f t="shared" si="301"/>
        <v>1F9CD</v>
      </c>
      <c r="I3227">
        <f>HEX2DEC(Table1[[#This Row],[utf8]])</f>
        <v>129485</v>
      </c>
      <c r="J3227" t="str">
        <f>_xlfn.UNICHAR(HEX2DEC(Table1[[#This Row],[utf8]]))</f>
        <v>🧍</v>
      </c>
      <c r="K3227" s="3" t="str" cm="1">
        <f t="array" ref="K3227">"Case "&amp;wRandomLetter()&amp;wRandomLetter()&amp;I3227&amp;":    UniConst = ChrW(" &amp; I3227 &amp;")"</f>
        <v>Case Fi129485:    UniConst = ChrW(129485)</v>
      </c>
    </row>
    <row r="3228" spans="1:11" hidden="1">
      <c r="A3228" t="s">
        <v>1918</v>
      </c>
      <c r="B3228" t="str">
        <f t="shared" si="302"/>
        <v>1F9CD 1F3FC 200D 2640 ; minimally-qualified # 🧍🏼‍♀ E12.0 woman standing: medium-light skin tone</v>
      </c>
      <c r="C3228" t="str">
        <f t="shared" si="303"/>
        <v xml:space="preserve">1F9CD 1F3FC 200D 2640 </v>
      </c>
      <c r="D3228">
        <f t="shared" si="304"/>
        <v>22</v>
      </c>
      <c r="E3228" t="str">
        <f t="shared" si="300"/>
        <v xml:space="preserve"> 🧍🏼‍♀ E12.0 woman standing: medium-light skin tone</v>
      </c>
      <c r="F3228" t="b">
        <f t="shared" si="305"/>
        <v>1</v>
      </c>
      <c r="G3228" t="str">
        <f t="shared" si="301"/>
        <v>1F9CD</v>
      </c>
      <c r="I3228">
        <f>HEX2DEC(Table1[[#This Row],[utf8]])</f>
        <v>129485</v>
      </c>
      <c r="J3228" t="str">
        <f>_xlfn.UNICHAR(HEX2DEC(Table1[[#This Row],[utf8]]))</f>
        <v>🧍</v>
      </c>
      <c r="K3228" s="3" t="str" cm="1">
        <f t="array" ref="K3228">"Case "&amp;wRandomLetter()&amp;wRandomLetter()&amp;I3228&amp;":    UniConst = ChrW(" &amp; I3228 &amp;")"</f>
        <v>Case Tn129485:    UniConst = ChrW(129485)</v>
      </c>
    </row>
    <row r="3229" spans="1:11" hidden="1">
      <c r="A3229" t="s">
        <v>1917</v>
      </c>
      <c r="B3229" t="str">
        <f t="shared" si="302"/>
        <v>1F9CD 1F3FC 200D 2640 FE0F ; fully-qualified # 🧍🏼‍♀️ E12.0 woman standing: medium-light skin tone</v>
      </c>
      <c r="C3229" t="str">
        <f t="shared" si="303"/>
        <v xml:space="preserve">1F9CD 1F3FC 200D 2640 FE0F </v>
      </c>
      <c r="D3229">
        <f t="shared" si="304"/>
        <v>27</v>
      </c>
      <c r="E3229" t="str">
        <f t="shared" si="300"/>
        <v xml:space="preserve"> 🧍🏼‍♀️ E12.0 woman standing: medium-light skin tone</v>
      </c>
      <c r="F3229" t="b">
        <f t="shared" si="305"/>
        <v>1</v>
      </c>
      <c r="G3229" t="str">
        <f t="shared" si="301"/>
        <v>1F9CD</v>
      </c>
      <c r="I3229">
        <f>HEX2DEC(Table1[[#This Row],[utf8]])</f>
        <v>129485</v>
      </c>
      <c r="J3229" t="str">
        <f>_xlfn.UNICHAR(HEX2DEC(Table1[[#This Row],[utf8]]))</f>
        <v>🧍</v>
      </c>
      <c r="K3229" s="3" t="str" cm="1">
        <f t="array" ref="K3229">"Case "&amp;wRandomLetter()&amp;wRandomLetter()&amp;I3229&amp;":    UniConst = ChrW(" &amp; I3229 &amp;")"</f>
        <v>Case LI129485:    UniConst = ChrW(129485)</v>
      </c>
    </row>
    <row r="3230" spans="1:11" hidden="1">
      <c r="A3230" t="s">
        <v>1906</v>
      </c>
      <c r="B3230" t="str">
        <f t="shared" si="302"/>
        <v>1F9CD 1F3FC 200D 2642 ; minimally-qualified # 🧍🏼‍♂ E12.0 man standing: medium-light skin tone</v>
      </c>
      <c r="C3230" t="str">
        <f t="shared" si="303"/>
        <v xml:space="preserve">1F9CD 1F3FC 200D 2642 </v>
      </c>
      <c r="D3230">
        <f t="shared" si="304"/>
        <v>22</v>
      </c>
      <c r="E3230" t="str">
        <f t="shared" si="300"/>
        <v xml:space="preserve"> 🧍🏼‍♂ E12.0 man standing: medium-light skin tone</v>
      </c>
      <c r="F3230" t="b">
        <f t="shared" si="305"/>
        <v>1</v>
      </c>
      <c r="G3230" t="str">
        <f t="shared" si="301"/>
        <v>1F9CD</v>
      </c>
      <c r="I3230">
        <f>HEX2DEC(Table1[[#This Row],[utf8]])</f>
        <v>129485</v>
      </c>
      <c r="J3230" t="str">
        <f>_xlfn.UNICHAR(HEX2DEC(Table1[[#This Row],[utf8]]))</f>
        <v>🧍</v>
      </c>
      <c r="K3230" s="3" t="str" cm="1">
        <f t="array" ref="K3230">"Case "&amp;wRandomLetter()&amp;wRandomLetter()&amp;I3230&amp;":    UniConst = ChrW(" &amp; I3230 &amp;")"</f>
        <v>Case Xf129485:    UniConst = ChrW(129485)</v>
      </c>
    </row>
    <row r="3231" spans="1:11" hidden="1">
      <c r="A3231" t="s">
        <v>1905</v>
      </c>
      <c r="B3231" t="str">
        <f t="shared" si="302"/>
        <v>1F9CD 1F3FC 200D 2642 FE0F ; fully-qualified # 🧍🏼‍♂️ E12.0 man standing: medium-light skin tone</v>
      </c>
      <c r="C3231" t="str">
        <f t="shared" si="303"/>
        <v xml:space="preserve">1F9CD 1F3FC 200D 2642 FE0F </v>
      </c>
      <c r="D3231">
        <f t="shared" si="304"/>
        <v>27</v>
      </c>
      <c r="E3231" t="str">
        <f t="shared" si="300"/>
        <v xml:space="preserve"> 🧍🏼‍♂️ E12.0 man standing: medium-light skin tone</v>
      </c>
      <c r="F3231" t="b">
        <f t="shared" si="305"/>
        <v>1</v>
      </c>
      <c r="G3231" t="str">
        <f t="shared" si="301"/>
        <v>1F9CD</v>
      </c>
      <c r="I3231">
        <f>HEX2DEC(Table1[[#This Row],[utf8]])</f>
        <v>129485</v>
      </c>
      <c r="J3231" t="str">
        <f>_xlfn.UNICHAR(HEX2DEC(Table1[[#This Row],[utf8]]))</f>
        <v>🧍</v>
      </c>
      <c r="K3231" s="3" t="str" cm="1">
        <f t="array" ref="K3231">"Case "&amp;wRandomLetter()&amp;wRandomLetter()&amp;I3231&amp;":    UniConst = ChrW(" &amp; I3231 &amp;")"</f>
        <v>Case ey129485:    UniConst = ChrW(129485)</v>
      </c>
    </row>
    <row r="3232" spans="1:11" hidden="1">
      <c r="A3232" t="s">
        <v>1898</v>
      </c>
      <c r="B3232" t="str">
        <f t="shared" si="302"/>
        <v>1F9CD 1F3FD ; fully-qualified # 🧍🏽 E12.0 person standing: medium skin tone</v>
      </c>
      <c r="C3232" t="str">
        <f t="shared" si="303"/>
        <v xml:space="preserve">1F9CD 1F3FD </v>
      </c>
      <c r="D3232">
        <f t="shared" si="304"/>
        <v>12</v>
      </c>
      <c r="E3232" t="str">
        <f t="shared" si="300"/>
        <v xml:space="preserve"> 🧍🏽 E12.0 person standing: medium skin tone</v>
      </c>
      <c r="F3232" t="b">
        <f t="shared" si="305"/>
        <v>1</v>
      </c>
      <c r="G3232" t="str">
        <f t="shared" si="301"/>
        <v>1F9CD</v>
      </c>
      <c r="I3232">
        <f>HEX2DEC(Table1[[#This Row],[utf8]])</f>
        <v>129485</v>
      </c>
      <c r="J3232" t="str">
        <f>_xlfn.UNICHAR(HEX2DEC(Table1[[#This Row],[utf8]]))</f>
        <v>🧍</v>
      </c>
      <c r="K3232" s="3" t="str" cm="1">
        <f t="array" ref="K3232">"Case "&amp;wRandomLetter()&amp;wRandomLetter()&amp;I3232&amp;":    UniConst = ChrW(" &amp; I3232 &amp;")"</f>
        <v>Case uH129485:    UniConst = ChrW(129485)</v>
      </c>
    </row>
    <row r="3233" spans="1:11" hidden="1">
      <c r="A3233" t="s">
        <v>1920</v>
      </c>
      <c r="B3233" t="str">
        <f t="shared" si="302"/>
        <v>1F9CD 1F3FD 200D 2640 ; minimally-qualified # 🧍🏽‍♀ E12.0 woman standing: medium skin tone</v>
      </c>
      <c r="C3233" t="str">
        <f t="shared" si="303"/>
        <v xml:space="preserve">1F9CD 1F3FD 200D 2640 </v>
      </c>
      <c r="D3233">
        <f t="shared" si="304"/>
        <v>22</v>
      </c>
      <c r="E3233" t="str">
        <f t="shared" si="300"/>
        <v xml:space="preserve"> 🧍🏽‍♀ E12.0 woman standing: medium skin tone</v>
      </c>
      <c r="F3233" t="b">
        <f t="shared" si="305"/>
        <v>1</v>
      </c>
      <c r="G3233" t="str">
        <f t="shared" si="301"/>
        <v>1F9CD</v>
      </c>
      <c r="I3233">
        <f>HEX2DEC(Table1[[#This Row],[utf8]])</f>
        <v>129485</v>
      </c>
      <c r="J3233" t="str">
        <f>_xlfn.UNICHAR(HEX2DEC(Table1[[#This Row],[utf8]]))</f>
        <v>🧍</v>
      </c>
      <c r="K3233" s="3" t="str" cm="1">
        <f t="array" ref="K3233">"Case "&amp;wRandomLetter()&amp;wRandomLetter()&amp;I3233&amp;":    UniConst = ChrW(" &amp; I3233 &amp;")"</f>
        <v>Case Hy129485:    UniConst = ChrW(129485)</v>
      </c>
    </row>
    <row r="3234" spans="1:11" hidden="1">
      <c r="A3234" t="s">
        <v>1919</v>
      </c>
      <c r="B3234" t="str">
        <f t="shared" si="302"/>
        <v>1F9CD 1F3FD 200D 2640 FE0F ; fully-qualified # 🧍🏽‍♀️ E12.0 woman standing: medium skin tone</v>
      </c>
      <c r="C3234" t="str">
        <f t="shared" si="303"/>
        <v xml:space="preserve">1F9CD 1F3FD 200D 2640 FE0F </v>
      </c>
      <c r="D3234">
        <f t="shared" si="304"/>
        <v>27</v>
      </c>
      <c r="E3234" t="str">
        <f t="shared" si="300"/>
        <v xml:space="preserve"> 🧍🏽‍♀️ E12.0 woman standing: medium skin tone</v>
      </c>
      <c r="F3234" t="b">
        <f t="shared" si="305"/>
        <v>1</v>
      </c>
      <c r="G3234" t="str">
        <f t="shared" si="301"/>
        <v>1F9CD</v>
      </c>
      <c r="I3234">
        <f>HEX2DEC(Table1[[#This Row],[utf8]])</f>
        <v>129485</v>
      </c>
      <c r="J3234" t="str">
        <f>_xlfn.UNICHAR(HEX2DEC(Table1[[#This Row],[utf8]]))</f>
        <v>🧍</v>
      </c>
      <c r="K3234" s="3" t="str" cm="1">
        <f t="array" ref="K3234">"Case "&amp;wRandomLetter()&amp;wRandomLetter()&amp;I3234&amp;":    UniConst = ChrW(" &amp; I3234 &amp;")"</f>
        <v>Case Qt129485:    UniConst = ChrW(129485)</v>
      </c>
    </row>
    <row r="3235" spans="1:11" hidden="1">
      <c r="A3235" t="s">
        <v>1908</v>
      </c>
      <c r="B3235" t="str">
        <f t="shared" si="302"/>
        <v>1F9CD 1F3FD 200D 2642 ; minimally-qualified # 🧍🏽‍♂ E12.0 man standing: medium skin tone</v>
      </c>
      <c r="C3235" t="str">
        <f t="shared" si="303"/>
        <v xml:space="preserve">1F9CD 1F3FD 200D 2642 </v>
      </c>
      <c r="D3235">
        <f t="shared" si="304"/>
        <v>22</v>
      </c>
      <c r="E3235" t="str">
        <f t="shared" si="300"/>
        <v xml:space="preserve"> 🧍🏽‍♂ E12.0 man standing: medium skin tone</v>
      </c>
      <c r="F3235" t="b">
        <f t="shared" si="305"/>
        <v>1</v>
      </c>
      <c r="G3235" t="str">
        <f t="shared" si="301"/>
        <v>1F9CD</v>
      </c>
      <c r="I3235">
        <f>HEX2DEC(Table1[[#This Row],[utf8]])</f>
        <v>129485</v>
      </c>
      <c r="J3235" t="str">
        <f>_xlfn.UNICHAR(HEX2DEC(Table1[[#This Row],[utf8]]))</f>
        <v>🧍</v>
      </c>
      <c r="K3235" s="3" t="str" cm="1">
        <f t="array" ref="K3235">"Case "&amp;wRandomLetter()&amp;wRandomLetter()&amp;I3235&amp;":    UniConst = ChrW(" &amp; I3235 &amp;")"</f>
        <v>Case nz129485:    UniConst = ChrW(129485)</v>
      </c>
    </row>
    <row r="3236" spans="1:11" hidden="1">
      <c r="A3236" t="s">
        <v>1907</v>
      </c>
      <c r="B3236" t="str">
        <f t="shared" si="302"/>
        <v>1F9CD 1F3FD 200D 2642 FE0F ; fully-qualified # 🧍🏽‍♂️ E12.0 man standing: medium skin tone</v>
      </c>
      <c r="C3236" t="str">
        <f t="shared" si="303"/>
        <v xml:space="preserve">1F9CD 1F3FD 200D 2642 FE0F </v>
      </c>
      <c r="D3236">
        <f t="shared" si="304"/>
        <v>27</v>
      </c>
      <c r="E3236" t="str">
        <f t="shared" si="300"/>
        <v xml:space="preserve"> 🧍🏽‍♂️ E12.0 man standing: medium skin tone</v>
      </c>
      <c r="F3236" t="b">
        <f t="shared" si="305"/>
        <v>1</v>
      </c>
      <c r="G3236" t="str">
        <f t="shared" si="301"/>
        <v>1F9CD</v>
      </c>
      <c r="I3236">
        <f>HEX2DEC(Table1[[#This Row],[utf8]])</f>
        <v>129485</v>
      </c>
      <c r="J3236" t="str">
        <f>_xlfn.UNICHAR(HEX2DEC(Table1[[#This Row],[utf8]]))</f>
        <v>🧍</v>
      </c>
      <c r="K3236" s="3" t="str" cm="1">
        <f t="array" ref="K3236">"Case "&amp;wRandomLetter()&amp;wRandomLetter()&amp;I3236&amp;":    UniConst = ChrW(" &amp; I3236 &amp;")"</f>
        <v>Case Su129485:    UniConst = ChrW(129485)</v>
      </c>
    </row>
    <row r="3237" spans="1:11" hidden="1">
      <c r="A3237" t="s">
        <v>1899</v>
      </c>
      <c r="B3237" t="str">
        <f t="shared" si="302"/>
        <v>1F9CD 1F3FE ; fully-qualified # 🧍🏾 E12.0 person standing: medium-dark skin tone</v>
      </c>
      <c r="C3237" t="str">
        <f t="shared" si="303"/>
        <v xml:space="preserve">1F9CD 1F3FE </v>
      </c>
      <c r="D3237">
        <f t="shared" si="304"/>
        <v>12</v>
      </c>
      <c r="E3237" t="str">
        <f t="shared" si="300"/>
        <v xml:space="preserve"> 🧍🏾 E12.0 person standing: medium-dark skin tone</v>
      </c>
      <c r="F3237" t="b">
        <f t="shared" si="305"/>
        <v>1</v>
      </c>
      <c r="G3237" t="str">
        <f t="shared" si="301"/>
        <v>1F9CD</v>
      </c>
      <c r="I3237">
        <f>HEX2DEC(Table1[[#This Row],[utf8]])</f>
        <v>129485</v>
      </c>
      <c r="J3237" t="str">
        <f>_xlfn.UNICHAR(HEX2DEC(Table1[[#This Row],[utf8]]))</f>
        <v>🧍</v>
      </c>
      <c r="K3237" s="3" t="str" cm="1">
        <f t="array" ref="K3237">"Case "&amp;wRandomLetter()&amp;wRandomLetter()&amp;I3237&amp;":    UniConst = ChrW(" &amp; I3237 &amp;")"</f>
        <v>Case Qv129485:    UniConst = ChrW(129485)</v>
      </c>
    </row>
    <row r="3238" spans="1:11" hidden="1">
      <c r="A3238" t="s">
        <v>1922</v>
      </c>
      <c r="B3238" t="str">
        <f t="shared" si="302"/>
        <v>1F9CD 1F3FE 200D 2640 ; minimally-qualified # 🧍🏾‍♀ E12.0 woman standing: medium-dark skin tone</v>
      </c>
      <c r="C3238" t="str">
        <f t="shared" si="303"/>
        <v xml:space="preserve">1F9CD 1F3FE 200D 2640 </v>
      </c>
      <c r="D3238">
        <f t="shared" si="304"/>
        <v>22</v>
      </c>
      <c r="E3238" t="str">
        <f t="shared" si="300"/>
        <v xml:space="preserve"> 🧍🏾‍♀ E12.0 woman standing: medium-dark skin tone</v>
      </c>
      <c r="F3238" t="b">
        <f t="shared" si="305"/>
        <v>1</v>
      </c>
      <c r="G3238" t="str">
        <f t="shared" si="301"/>
        <v>1F9CD</v>
      </c>
      <c r="I3238">
        <f>HEX2DEC(Table1[[#This Row],[utf8]])</f>
        <v>129485</v>
      </c>
      <c r="J3238" t="str">
        <f>_xlfn.UNICHAR(HEX2DEC(Table1[[#This Row],[utf8]]))</f>
        <v>🧍</v>
      </c>
      <c r="K3238" s="3" t="str" cm="1">
        <f t="array" ref="K3238">"Case "&amp;wRandomLetter()&amp;wRandomLetter()&amp;I3238&amp;":    UniConst = ChrW(" &amp; I3238 &amp;")"</f>
        <v>Case ZZ129485:    UniConst = ChrW(129485)</v>
      </c>
    </row>
    <row r="3239" spans="1:11" hidden="1">
      <c r="A3239" t="s">
        <v>1921</v>
      </c>
      <c r="B3239" t="str">
        <f t="shared" si="302"/>
        <v>1F9CD 1F3FE 200D 2640 FE0F ; fully-qualified # 🧍🏾‍♀️ E12.0 woman standing: medium-dark skin tone</v>
      </c>
      <c r="C3239" t="str">
        <f t="shared" si="303"/>
        <v xml:space="preserve">1F9CD 1F3FE 200D 2640 FE0F </v>
      </c>
      <c r="D3239">
        <f t="shared" si="304"/>
        <v>27</v>
      </c>
      <c r="E3239" t="str">
        <f t="shared" si="300"/>
        <v xml:space="preserve"> 🧍🏾‍♀️ E12.0 woman standing: medium-dark skin tone</v>
      </c>
      <c r="F3239" t="b">
        <f t="shared" si="305"/>
        <v>1</v>
      </c>
      <c r="G3239" t="str">
        <f t="shared" si="301"/>
        <v>1F9CD</v>
      </c>
      <c r="I3239">
        <f>HEX2DEC(Table1[[#This Row],[utf8]])</f>
        <v>129485</v>
      </c>
      <c r="J3239" t="str">
        <f>_xlfn.UNICHAR(HEX2DEC(Table1[[#This Row],[utf8]]))</f>
        <v>🧍</v>
      </c>
      <c r="K3239" s="3" t="str" cm="1">
        <f t="array" ref="K3239">"Case "&amp;wRandomLetter()&amp;wRandomLetter()&amp;I3239&amp;":    UniConst = ChrW(" &amp; I3239 &amp;")"</f>
        <v>Case NV129485:    UniConst = ChrW(129485)</v>
      </c>
    </row>
    <row r="3240" spans="1:11" hidden="1">
      <c r="A3240" t="s">
        <v>1910</v>
      </c>
      <c r="B3240" t="str">
        <f t="shared" si="302"/>
        <v>1F9CD 1F3FE 200D 2642 ; minimally-qualified # 🧍🏾‍♂ E12.0 man standing: medium-dark skin tone</v>
      </c>
      <c r="C3240" t="str">
        <f t="shared" si="303"/>
        <v xml:space="preserve">1F9CD 1F3FE 200D 2642 </v>
      </c>
      <c r="D3240">
        <f t="shared" si="304"/>
        <v>22</v>
      </c>
      <c r="E3240" t="str">
        <f t="shared" si="300"/>
        <v xml:space="preserve"> 🧍🏾‍♂ E12.0 man standing: medium-dark skin tone</v>
      </c>
      <c r="F3240" t="b">
        <f t="shared" si="305"/>
        <v>1</v>
      </c>
      <c r="G3240" t="str">
        <f t="shared" si="301"/>
        <v>1F9CD</v>
      </c>
      <c r="I3240">
        <f>HEX2DEC(Table1[[#This Row],[utf8]])</f>
        <v>129485</v>
      </c>
      <c r="J3240" t="str">
        <f>_xlfn.UNICHAR(HEX2DEC(Table1[[#This Row],[utf8]]))</f>
        <v>🧍</v>
      </c>
      <c r="K3240" s="3" t="str" cm="1">
        <f t="array" ref="K3240">"Case "&amp;wRandomLetter()&amp;wRandomLetter()&amp;I3240&amp;":    UniConst = ChrW(" &amp; I3240 &amp;")"</f>
        <v>Case rQ129485:    UniConst = ChrW(129485)</v>
      </c>
    </row>
    <row r="3241" spans="1:11" hidden="1">
      <c r="A3241" t="s">
        <v>1909</v>
      </c>
      <c r="B3241" t="str">
        <f t="shared" si="302"/>
        <v>1F9CD 1F3FE 200D 2642 FE0F ; fully-qualified # 🧍🏾‍♂️ E12.0 man standing: medium-dark skin tone</v>
      </c>
      <c r="C3241" t="str">
        <f t="shared" si="303"/>
        <v xml:space="preserve">1F9CD 1F3FE 200D 2642 FE0F </v>
      </c>
      <c r="D3241">
        <f t="shared" si="304"/>
        <v>27</v>
      </c>
      <c r="E3241" t="str">
        <f t="shared" si="300"/>
        <v xml:space="preserve"> 🧍🏾‍♂️ E12.0 man standing: medium-dark skin tone</v>
      </c>
      <c r="F3241" t="b">
        <f t="shared" si="305"/>
        <v>1</v>
      </c>
      <c r="G3241" t="str">
        <f t="shared" si="301"/>
        <v>1F9CD</v>
      </c>
      <c r="I3241">
        <f>HEX2DEC(Table1[[#This Row],[utf8]])</f>
        <v>129485</v>
      </c>
      <c r="J3241" t="str">
        <f>_xlfn.UNICHAR(HEX2DEC(Table1[[#This Row],[utf8]]))</f>
        <v>🧍</v>
      </c>
      <c r="K3241" s="3" t="str" cm="1">
        <f t="array" ref="K3241">"Case "&amp;wRandomLetter()&amp;wRandomLetter()&amp;I3241&amp;":    UniConst = ChrW(" &amp; I3241 &amp;")"</f>
        <v>Case qE129485:    UniConst = ChrW(129485)</v>
      </c>
    </row>
    <row r="3242" spans="1:11" hidden="1">
      <c r="A3242" t="s">
        <v>1900</v>
      </c>
      <c r="B3242" t="str">
        <f t="shared" si="302"/>
        <v>1F9CD 1F3FF ; fully-qualified # 🧍🏿 E12.0 person standing: dark skin tone</v>
      </c>
      <c r="C3242" t="str">
        <f t="shared" si="303"/>
        <v xml:space="preserve">1F9CD 1F3FF </v>
      </c>
      <c r="D3242">
        <f t="shared" si="304"/>
        <v>12</v>
      </c>
      <c r="E3242" t="str">
        <f t="shared" si="300"/>
        <v xml:space="preserve"> 🧍🏿 E12.0 person standing: dark skin tone</v>
      </c>
      <c r="F3242" t="b">
        <f t="shared" si="305"/>
        <v>1</v>
      </c>
      <c r="G3242" t="str">
        <f t="shared" si="301"/>
        <v>1F9CD</v>
      </c>
      <c r="I3242">
        <f>HEX2DEC(Table1[[#This Row],[utf8]])</f>
        <v>129485</v>
      </c>
      <c r="J3242" t="str">
        <f>_xlfn.UNICHAR(HEX2DEC(Table1[[#This Row],[utf8]]))</f>
        <v>🧍</v>
      </c>
      <c r="K3242" s="3" t="str" cm="1">
        <f t="array" ref="K3242">"Case "&amp;wRandomLetter()&amp;wRandomLetter()&amp;I3242&amp;":    UniConst = ChrW(" &amp; I3242 &amp;")"</f>
        <v>Case mp129485:    UniConst = ChrW(129485)</v>
      </c>
    </row>
    <row r="3243" spans="1:11" hidden="1">
      <c r="A3243" t="s">
        <v>1924</v>
      </c>
      <c r="B3243" t="str">
        <f t="shared" si="302"/>
        <v>1F9CD 1F3FF 200D 2640 ; minimally-qualified # 🧍🏿‍♀ E12.0 woman standing: dark skin tone</v>
      </c>
      <c r="C3243" t="str">
        <f t="shared" si="303"/>
        <v xml:space="preserve">1F9CD 1F3FF 200D 2640 </v>
      </c>
      <c r="D3243">
        <f t="shared" si="304"/>
        <v>22</v>
      </c>
      <c r="E3243" t="str">
        <f t="shared" si="300"/>
        <v xml:space="preserve"> 🧍🏿‍♀ E12.0 woman standing: dark skin tone</v>
      </c>
      <c r="F3243" t="b">
        <f t="shared" si="305"/>
        <v>1</v>
      </c>
      <c r="G3243" t="str">
        <f t="shared" si="301"/>
        <v>1F9CD</v>
      </c>
      <c r="I3243">
        <f>HEX2DEC(Table1[[#This Row],[utf8]])</f>
        <v>129485</v>
      </c>
      <c r="J3243" t="str">
        <f>_xlfn.UNICHAR(HEX2DEC(Table1[[#This Row],[utf8]]))</f>
        <v>🧍</v>
      </c>
      <c r="K3243" s="3" t="str" cm="1">
        <f t="array" ref="K3243">"Case "&amp;wRandomLetter()&amp;wRandomLetter()&amp;I3243&amp;":    UniConst = ChrW(" &amp; I3243 &amp;")"</f>
        <v>Case jZ129485:    UniConst = ChrW(129485)</v>
      </c>
    </row>
    <row r="3244" spans="1:11" hidden="1">
      <c r="A3244" t="s">
        <v>1923</v>
      </c>
      <c r="B3244" t="str">
        <f t="shared" si="302"/>
        <v>1F9CD 1F3FF 200D 2640 FE0F ; fully-qualified # 🧍🏿‍♀️ E12.0 woman standing: dark skin tone</v>
      </c>
      <c r="C3244" t="str">
        <f t="shared" si="303"/>
        <v xml:space="preserve">1F9CD 1F3FF 200D 2640 FE0F </v>
      </c>
      <c r="D3244">
        <f t="shared" si="304"/>
        <v>27</v>
      </c>
      <c r="E3244" t="str">
        <f t="shared" si="300"/>
        <v xml:space="preserve"> 🧍🏿‍♀️ E12.0 woman standing: dark skin tone</v>
      </c>
      <c r="F3244" t="b">
        <f t="shared" si="305"/>
        <v>1</v>
      </c>
      <c r="G3244" t="str">
        <f t="shared" si="301"/>
        <v>1F9CD</v>
      </c>
      <c r="I3244">
        <f>HEX2DEC(Table1[[#This Row],[utf8]])</f>
        <v>129485</v>
      </c>
      <c r="J3244" t="str">
        <f>_xlfn.UNICHAR(HEX2DEC(Table1[[#This Row],[utf8]]))</f>
        <v>🧍</v>
      </c>
      <c r="K3244" s="3" t="str" cm="1">
        <f t="array" ref="K3244">"Case "&amp;wRandomLetter()&amp;wRandomLetter()&amp;I3244&amp;":    UniConst = ChrW(" &amp; I3244 &amp;")"</f>
        <v>Case xZ129485:    UniConst = ChrW(129485)</v>
      </c>
    </row>
    <row r="3245" spans="1:11" hidden="1">
      <c r="A3245" t="s">
        <v>1912</v>
      </c>
      <c r="B3245" t="str">
        <f t="shared" si="302"/>
        <v>1F9CD 1F3FF 200D 2642 ; minimally-qualified # 🧍🏿‍♂ E12.0 man standing: dark skin tone</v>
      </c>
      <c r="C3245" t="str">
        <f t="shared" si="303"/>
        <v xml:space="preserve">1F9CD 1F3FF 200D 2642 </v>
      </c>
      <c r="D3245">
        <f t="shared" si="304"/>
        <v>22</v>
      </c>
      <c r="E3245" t="str">
        <f t="shared" si="300"/>
        <v xml:space="preserve"> 🧍🏿‍♂ E12.0 man standing: dark skin tone</v>
      </c>
      <c r="F3245" t="b">
        <f t="shared" si="305"/>
        <v>1</v>
      </c>
      <c r="G3245" t="str">
        <f t="shared" si="301"/>
        <v>1F9CD</v>
      </c>
      <c r="I3245">
        <f>HEX2DEC(Table1[[#This Row],[utf8]])</f>
        <v>129485</v>
      </c>
      <c r="J3245" t="str">
        <f>_xlfn.UNICHAR(HEX2DEC(Table1[[#This Row],[utf8]]))</f>
        <v>🧍</v>
      </c>
      <c r="K3245" s="3" t="str" cm="1">
        <f t="array" ref="K3245">"Case "&amp;wRandomLetter()&amp;wRandomLetter()&amp;I3245&amp;":    UniConst = ChrW(" &amp; I3245 &amp;")"</f>
        <v>Case yt129485:    UniConst = ChrW(129485)</v>
      </c>
    </row>
    <row r="3246" spans="1:11" hidden="1">
      <c r="A3246" t="s">
        <v>1911</v>
      </c>
      <c r="B3246" t="str">
        <f t="shared" si="302"/>
        <v>1F9CD 1F3FF 200D 2642 FE0F ; fully-qualified # 🧍🏿‍♂️ E12.0 man standing: dark skin tone</v>
      </c>
      <c r="C3246" t="str">
        <f t="shared" si="303"/>
        <v xml:space="preserve">1F9CD 1F3FF 200D 2642 FE0F </v>
      </c>
      <c r="D3246">
        <f t="shared" si="304"/>
        <v>27</v>
      </c>
      <c r="E3246" t="str">
        <f t="shared" si="300"/>
        <v xml:space="preserve"> 🧍🏿‍♂️ E12.0 man standing: dark skin tone</v>
      </c>
      <c r="F3246" t="b">
        <f t="shared" si="305"/>
        <v>1</v>
      </c>
      <c r="G3246" t="str">
        <f t="shared" si="301"/>
        <v>1F9CD</v>
      </c>
      <c r="I3246">
        <f>HEX2DEC(Table1[[#This Row],[utf8]])</f>
        <v>129485</v>
      </c>
      <c r="J3246" t="str">
        <f>_xlfn.UNICHAR(HEX2DEC(Table1[[#This Row],[utf8]]))</f>
        <v>🧍</v>
      </c>
      <c r="K3246" s="3" t="str" cm="1">
        <f t="array" ref="K3246">"Case "&amp;wRandomLetter()&amp;wRandomLetter()&amp;I3246&amp;":    UniConst = ChrW(" &amp; I3246 &amp;")"</f>
        <v>Case TP129485:    UniConst = ChrW(129485)</v>
      </c>
    </row>
    <row r="3247" spans="1:11" hidden="1">
      <c r="A3247" t="s">
        <v>1914</v>
      </c>
      <c r="B3247" t="str">
        <f t="shared" si="302"/>
        <v>1F9CD 200D 2640 ; minimally-qualified # 🧍‍♀ E12.0 woman standing</v>
      </c>
      <c r="C3247" t="str">
        <f t="shared" si="303"/>
        <v xml:space="preserve">1F9CD 200D 2640 </v>
      </c>
      <c r="D3247">
        <f t="shared" si="304"/>
        <v>16</v>
      </c>
      <c r="E3247" t="str">
        <f t="shared" si="300"/>
        <v xml:space="preserve"> 🧍‍♀ E12.0 woman standing</v>
      </c>
      <c r="F3247" t="b">
        <f t="shared" si="305"/>
        <v>1</v>
      </c>
      <c r="G3247" t="str">
        <f t="shared" si="301"/>
        <v>1F9CD</v>
      </c>
      <c r="I3247">
        <f>HEX2DEC(Table1[[#This Row],[utf8]])</f>
        <v>129485</v>
      </c>
      <c r="J3247" t="str">
        <f>_xlfn.UNICHAR(HEX2DEC(Table1[[#This Row],[utf8]]))</f>
        <v>🧍</v>
      </c>
      <c r="K3247" s="3" t="str" cm="1">
        <f t="array" ref="K3247">"Case "&amp;wRandomLetter()&amp;wRandomLetter()&amp;I3247&amp;":    UniConst = ChrW(" &amp; I3247 &amp;")"</f>
        <v>Case dA129485:    UniConst = ChrW(129485)</v>
      </c>
    </row>
    <row r="3248" spans="1:11" hidden="1">
      <c r="A3248" t="s">
        <v>1913</v>
      </c>
      <c r="B3248" t="str">
        <f t="shared" si="302"/>
        <v>1F9CD 200D 2640 FE0F ; fully-qualified # 🧍‍♀️ E12.0 woman standing</v>
      </c>
      <c r="C3248" t="str">
        <f t="shared" si="303"/>
        <v xml:space="preserve">1F9CD 200D 2640 FE0F </v>
      </c>
      <c r="D3248">
        <f t="shared" si="304"/>
        <v>21</v>
      </c>
      <c r="E3248" t="str">
        <f t="shared" si="300"/>
        <v xml:space="preserve"> 🧍‍♀️ E12.0 woman standing</v>
      </c>
      <c r="F3248" t="b">
        <f t="shared" si="305"/>
        <v>1</v>
      </c>
      <c r="G3248" t="str">
        <f t="shared" si="301"/>
        <v>1F9CD</v>
      </c>
      <c r="I3248">
        <f>HEX2DEC(Table1[[#This Row],[utf8]])</f>
        <v>129485</v>
      </c>
      <c r="J3248" t="str">
        <f>_xlfn.UNICHAR(HEX2DEC(Table1[[#This Row],[utf8]]))</f>
        <v>🧍</v>
      </c>
      <c r="K3248" s="3" t="str" cm="1">
        <f t="array" ref="K3248">"Case "&amp;wRandomLetter()&amp;wRandomLetter()&amp;I3248&amp;":    UniConst = ChrW(" &amp; I3248 &amp;")"</f>
        <v>Case oV129485:    UniConst = ChrW(129485)</v>
      </c>
    </row>
    <row r="3249" spans="1:11" hidden="1">
      <c r="A3249" t="s">
        <v>1902</v>
      </c>
      <c r="B3249" t="str">
        <f t="shared" si="302"/>
        <v>1F9CD 200D 2642 ; minimally-qualified # 🧍‍♂ E12.0 man standing</v>
      </c>
      <c r="C3249" t="str">
        <f t="shared" si="303"/>
        <v xml:space="preserve">1F9CD 200D 2642 </v>
      </c>
      <c r="D3249">
        <f t="shared" si="304"/>
        <v>16</v>
      </c>
      <c r="E3249" t="str">
        <f t="shared" si="300"/>
        <v xml:space="preserve"> 🧍‍♂ E12.0 man standing</v>
      </c>
      <c r="F3249" t="b">
        <f t="shared" si="305"/>
        <v>1</v>
      </c>
      <c r="G3249" t="str">
        <f t="shared" si="301"/>
        <v>1F9CD</v>
      </c>
      <c r="I3249">
        <f>HEX2DEC(Table1[[#This Row],[utf8]])</f>
        <v>129485</v>
      </c>
      <c r="J3249" t="str">
        <f>_xlfn.UNICHAR(HEX2DEC(Table1[[#This Row],[utf8]]))</f>
        <v>🧍</v>
      </c>
      <c r="K3249" s="3" t="str" cm="1">
        <f t="array" ref="K3249">"Case "&amp;wRandomLetter()&amp;wRandomLetter()&amp;I3249&amp;":    UniConst = ChrW(" &amp; I3249 &amp;")"</f>
        <v>Case CD129485:    UniConst = ChrW(129485)</v>
      </c>
    </row>
    <row r="3250" spans="1:11" hidden="1">
      <c r="A3250" t="s">
        <v>1901</v>
      </c>
      <c r="B3250" t="str">
        <f t="shared" si="302"/>
        <v>1F9CD 200D 2642 FE0F ; fully-qualified # 🧍‍♂️ E12.0 man standing</v>
      </c>
      <c r="C3250" t="str">
        <f t="shared" si="303"/>
        <v xml:space="preserve">1F9CD 200D 2642 FE0F </v>
      </c>
      <c r="D3250">
        <f t="shared" si="304"/>
        <v>21</v>
      </c>
      <c r="E3250" t="str">
        <f t="shared" si="300"/>
        <v xml:space="preserve"> 🧍‍♂️ E12.0 man standing</v>
      </c>
      <c r="F3250" t="b">
        <f t="shared" si="305"/>
        <v>1</v>
      </c>
      <c r="G3250" t="str">
        <f t="shared" si="301"/>
        <v>1F9CD</v>
      </c>
      <c r="I3250">
        <f>HEX2DEC(Table1[[#This Row],[utf8]])</f>
        <v>129485</v>
      </c>
      <c r="J3250" t="str">
        <f>_xlfn.UNICHAR(HEX2DEC(Table1[[#This Row],[utf8]]))</f>
        <v>🧍</v>
      </c>
      <c r="K3250" s="3" t="str" cm="1">
        <f t="array" ref="K3250">"Case "&amp;wRandomLetter()&amp;wRandomLetter()&amp;I3250&amp;":    UniConst = ChrW(" &amp; I3250 &amp;")"</f>
        <v>Case tL129485:    UniConst = ChrW(129485)</v>
      </c>
    </row>
    <row r="3251" spans="1:11" hidden="1">
      <c r="A3251" t="s">
        <v>1925</v>
      </c>
      <c r="B3251" t="str">
        <f t="shared" si="302"/>
        <v>1F9CE ; fully-qualified # 🧎 E12.0 person kneeling</v>
      </c>
      <c r="C3251" t="str">
        <f t="shared" si="303"/>
        <v xml:space="preserve">1F9CE </v>
      </c>
      <c r="D3251">
        <f t="shared" si="304"/>
        <v>6</v>
      </c>
      <c r="E3251" t="str">
        <f t="shared" si="300"/>
        <v xml:space="preserve"> 🧎 E12.0 person kneeling</v>
      </c>
      <c r="F3251" t="b">
        <f t="shared" si="305"/>
        <v>1</v>
      </c>
      <c r="G3251" t="str">
        <f t="shared" si="301"/>
        <v>1F9CE</v>
      </c>
      <c r="I3251">
        <f>HEX2DEC(Table1[[#This Row],[utf8]])</f>
        <v>129486</v>
      </c>
      <c r="J3251" t="str">
        <f>_xlfn.UNICHAR(HEX2DEC(Table1[[#This Row],[utf8]]))</f>
        <v>🧎</v>
      </c>
      <c r="K3251" s="3" t="str" cm="1">
        <f t="array" ref="K3251">"Case "&amp;wRandomLetter()&amp;wRandomLetter()&amp;I3251&amp;":    UniConst = ChrW(" &amp; I3251 &amp;")"</f>
        <v>Case vR129486:    UniConst = ChrW(129486)</v>
      </c>
    </row>
    <row r="3252" spans="1:11" hidden="1">
      <c r="A3252" t="s">
        <v>1926</v>
      </c>
      <c r="B3252" t="str">
        <f t="shared" si="302"/>
        <v>1F9CE 1F3FB ; fully-qualified # 🧎🏻 E12.0 person kneeling: light skin tone</v>
      </c>
      <c r="C3252" t="str">
        <f t="shared" si="303"/>
        <v xml:space="preserve">1F9CE 1F3FB </v>
      </c>
      <c r="D3252">
        <f t="shared" si="304"/>
        <v>12</v>
      </c>
      <c r="E3252" t="str">
        <f t="shared" si="300"/>
        <v xml:space="preserve"> 🧎🏻 E12.0 person kneeling: light skin tone</v>
      </c>
      <c r="F3252" t="b">
        <f t="shared" si="305"/>
        <v>1</v>
      </c>
      <c r="G3252" t="str">
        <f t="shared" si="301"/>
        <v>1F9CE</v>
      </c>
      <c r="I3252">
        <f>HEX2DEC(Table1[[#This Row],[utf8]])</f>
        <v>129486</v>
      </c>
      <c r="J3252" t="str">
        <f>_xlfn.UNICHAR(HEX2DEC(Table1[[#This Row],[utf8]]))</f>
        <v>🧎</v>
      </c>
      <c r="K3252" s="3" t="str" cm="1">
        <f t="array" ref="K3252">"Case "&amp;wRandomLetter()&amp;wRandomLetter()&amp;I3252&amp;":    UniConst = ChrW(" &amp; I3252 &amp;")"</f>
        <v>Case af129486:    UniConst = ChrW(129486)</v>
      </c>
    </row>
    <row r="3253" spans="1:11" hidden="1">
      <c r="A3253" t="s">
        <v>1946</v>
      </c>
      <c r="B3253" t="str">
        <f t="shared" si="302"/>
        <v>1F9CE 1F3FB 200D 2640 ; minimally-qualified # 🧎🏻‍♀ E12.0 woman kneeling: light skin tone</v>
      </c>
      <c r="C3253" t="str">
        <f t="shared" si="303"/>
        <v xml:space="preserve">1F9CE 1F3FB 200D 2640 </v>
      </c>
      <c r="D3253">
        <f t="shared" si="304"/>
        <v>22</v>
      </c>
      <c r="E3253" t="str">
        <f t="shared" si="300"/>
        <v xml:space="preserve"> 🧎🏻‍♀ E12.0 woman kneeling: light skin tone</v>
      </c>
      <c r="F3253" t="b">
        <f t="shared" si="305"/>
        <v>1</v>
      </c>
      <c r="G3253" t="str">
        <f t="shared" si="301"/>
        <v>1F9CE</v>
      </c>
      <c r="I3253">
        <f>HEX2DEC(Table1[[#This Row],[utf8]])</f>
        <v>129486</v>
      </c>
      <c r="J3253" t="str">
        <f>_xlfn.UNICHAR(HEX2DEC(Table1[[#This Row],[utf8]]))</f>
        <v>🧎</v>
      </c>
      <c r="K3253" s="3" t="str" cm="1">
        <f t="array" ref="K3253">"Case "&amp;wRandomLetter()&amp;wRandomLetter()&amp;I3253&amp;":    UniConst = ChrW(" &amp; I3253 &amp;")"</f>
        <v>Case ON129486:    UniConst = ChrW(129486)</v>
      </c>
    </row>
    <row r="3254" spans="1:11" hidden="1">
      <c r="A3254" t="s">
        <v>1945</v>
      </c>
      <c r="B3254" t="str">
        <f t="shared" si="302"/>
        <v>1F9CE 1F3FB 200D 2640 FE0F ; fully-qualified # 🧎🏻‍♀️ E12.0 woman kneeling: light skin tone</v>
      </c>
      <c r="C3254" t="str">
        <f t="shared" si="303"/>
        <v xml:space="preserve">1F9CE 1F3FB 200D 2640 FE0F </v>
      </c>
      <c r="D3254">
        <f t="shared" si="304"/>
        <v>27</v>
      </c>
      <c r="E3254" t="str">
        <f t="shared" si="300"/>
        <v xml:space="preserve"> 🧎🏻‍♀️ E12.0 woman kneeling: light skin tone</v>
      </c>
      <c r="F3254" t="b">
        <f t="shared" si="305"/>
        <v>1</v>
      </c>
      <c r="G3254" t="str">
        <f t="shared" si="301"/>
        <v>1F9CE</v>
      </c>
      <c r="I3254">
        <f>HEX2DEC(Table1[[#This Row],[utf8]])</f>
        <v>129486</v>
      </c>
      <c r="J3254" t="str">
        <f>_xlfn.UNICHAR(HEX2DEC(Table1[[#This Row],[utf8]]))</f>
        <v>🧎</v>
      </c>
      <c r="K3254" s="3" t="str" cm="1">
        <f t="array" ref="K3254">"Case "&amp;wRandomLetter()&amp;wRandomLetter()&amp;I3254&amp;":    UniConst = ChrW(" &amp; I3254 &amp;")"</f>
        <v>Case pp129486:    UniConst = ChrW(129486)</v>
      </c>
    </row>
    <row r="3255" spans="1:11" hidden="1">
      <c r="A3255" t="s">
        <v>1934</v>
      </c>
      <c r="B3255" t="str">
        <f t="shared" si="302"/>
        <v>1F9CE 1F3FB 200D 2642 ; minimally-qualified # 🧎🏻‍♂ E12.0 man kneeling: light skin tone</v>
      </c>
      <c r="C3255" t="str">
        <f t="shared" si="303"/>
        <v xml:space="preserve">1F9CE 1F3FB 200D 2642 </v>
      </c>
      <c r="D3255">
        <f t="shared" si="304"/>
        <v>22</v>
      </c>
      <c r="E3255" t="str">
        <f t="shared" si="300"/>
        <v xml:space="preserve"> 🧎🏻‍♂ E12.0 man kneeling: light skin tone</v>
      </c>
      <c r="F3255" t="b">
        <f t="shared" si="305"/>
        <v>1</v>
      </c>
      <c r="G3255" t="str">
        <f t="shared" si="301"/>
        <v>1F9CE</v>
      </c>
      <c r="I3255">
        <f>HEX2DEC(Table1[[#This Row],[utf8]])</f>
        <v>129486</v>
      </c>
      <c r="J3255" t="str">
        <f>_xlfn.UNICHAR(HEX2DEC(Table1[[#This Row],[utf8]]))</f>
        <v>🧎</v>
      </c>
      <c r="K3255" s="3" t="str" cm="1">
        <f t="array" ref="K3255">"Case "&amp;wRandomLetter()&amp;wRandomLetter()&amp;I3255&amp;":    UniConst = ChrW(" &amp; I3255 &amp;")"</f>
        <v>Case qQ129486:    UniConst = ChrW(129486)</v>
      </c>
    </row>
    <row r="3256" spans="1:11" hidden="1">
      <c r="A3256" t="s">
        <v>1933</v>
      </c>
      <c r="B3256" t="str">
        <f t="shared" si="302"/>
        <v>1F9CE 1F3FB 200D 2642 FE0F ; fully-qualified # 🧎🏻‍♂️ E12.0 man kneeling: light skin tone</v>
      </c>
      <c r="C3256" t="str">
        <f t="shared" si="303"/>
        <v xml:space="preserve">1F9CE 1F3FB 200D 2642 FE0F </v>
      </c>
      <c r="D3256">
        <f t="shared" si="304"/>
        <v>27</v>
      </c>
      <c r="E3256" t="str">
        <f t="shared" si="300"/>
        <v xml:space="preserve"> 🧎🏻‍♂️ E12.0 man kneeling: light skin tone</v>
      </c>
      <c r="F3256" t="b">
        <f t="shared" si="305"/>
        <v>1</v>
      </c>
      <c r="G3256" t="str">
        <f t="shared" si="301"/>
        <v>1F9CE</v>
      </c>
      <c r="I3256">
        <f>HEX2DEC(Table1[[#This Row],[utf8]])</f>
        <v>129486</v>
      </c>
      <c r="J3256" t="str">
        <f>_xlfn.UNICHAR(HEX2DEC(Table1[[#This Row],[utf8]]))</f>
        <v>🧎</v>
      </c>
      <c r="K3256" s="3" t="str" cm="1">
        <f t="array" ref="K3256">"Case "&amp;wRandomLetter()&amp;wRandomLetter()&amp;I3256&amp;":    UniConst = ChrW(" &amp; I3256 &amp;")"</f>
        <v>Case Tn129486:    UniConst = ChrW(129486)</v>
      </c>
    </row>
    <row r="3257" spans="1:11" hidden="1">
      <c r="A3257" t="s">
        <v>1927</v>
      </c>
      <c r="B3257" t="str">
        <f t="shared" si="302"/>
        <v>1F9CE 1F3FC ; fully-qualified # 🧎🏼 E12.0 person kneeling: medium-light skin tone</v>
      </c>
      <c r="C3257" t="str">
        <f t="shared" si="303"/>
        <v xml:space="preserve">1F9CE 1F3FC </v>
      </c>
      <c r="D3257">
        <f t="shared" si="304"/>
        <v>12</v>
      </c>
      <c r="E3257" t="str">
        <f t="shared" si="300"/>
        <v xml:space="preserve"> 🧎🏼 E12.0 person kneeling: medium-light skin tone</v>
      </c>
      <c r="F3257" t="b">
        <f t="shared" si="305"/>
        <v>1</v>
      </c>
      <c r="G3257" t="str">
        <f t="shared" si="301"/>
        <v>1F9CE</v>
      </c>
      <c r="I3257">
        <f>HEX2DEC(Table1[[#This Row],[utf8]])</f>
        <v>129486</v>
      </c>
      <c r="J3257" t="str">
        <f>_xlfn.UNICHAR(HEX2DEC(Table1[[#This Row],[utf8]]))</f>
        <v>🧎</v>
      </c>
      <c r="K3257" s="3" t="str" cm="1">
        <f t="array" ref="K3257">"Case "&amp;wRandomLetter()&amp;wRandomLetter()&amp;I3257&amp;":    UniConst = ChrW(" &amp; I3257 &amp;")"</f>
        <v>Case GY129486:    UniConst = ChrW(129486)</v>
      </c>
    </row>
    <row r="3258" spans="1:11" hidden="1">
      <c r="A3258" t="s">
        <v>1948</v>
      </c>
      <c r="B3258" t="str">
        <f t="shared" si="302"/>
        <v>1F9CE 1F3FC 200D 2640 ; minimally-qualified # 🧎🏼‍♀ E12.0 woman kneeling: medium-light skin tone</v>
      </c>
      <c r="C3258" t="str">
        <f t="shared" si="303"/>
        <v xml:space="preserve">1F9CE 1F3FC 200D 2640 </v>
      </c>
      <c r="D3258">
        <f t="shared" si="304"/>
        <v>22</v>
      </c>
      <c r="E3258" t="str">
        <f t="shared" si="300"/>
        <v xml:space="preserve"> 🧎🏼‍♀ E12.0 woman kneeling: medium-light skin tone</v>
      </c>
      <c r="F3258" t="b">
        <f t="shared" si="305"/>
        <v>1</v>
      </c>
      <c r="G3258" t="str">
        <f t="shared" si="301"/>
        <v>1F9CE</v>
      </c>
      <c r="I3258">
        <f>HEX2DEC(Table1[[#This Row],[utf8]])</f>
        <v>129486</v>
      </c>
      <c r="J3258" t="str">
        <f>_xlfn.UNICHAR(HEX2DEC(Table1[[#This Row],[utf8]]))</f>
        <v>🧎</v>
      </c>
      <c r="K3258" s="3" t="str" cm="1">
        <f t="array" ref="K3258">"Case "&amp;wRandomLetter()&amp;wRandomLetter()&amp;I3258&amp;":    UniConst = ChrW(" &amp; I3258 &amp;")"</f>
        <v>Case dk129486:    UniConst = ChrW(129486)</v>
      </c>
    </row>
    <row r="3259" spans="1:11" hidden="1">
      <c r="A3259" t="s">
        <v>1947</v>
      </c>
      <c r="B3259" t="str">
        <f t="shared" si="302"/>
        <v>1F9CE 1F3FC 200D 2640 FE0F ; fully-qualified # 🧎🏼‍♀️ E12.0 woman kneeling: medium-light skin tone</v>
      </c>
      <c r="C3259" t="str">
        <f t="shared" si="303"/>
        <v xml:space="preserve">1F9CE 1F3FC 200D 2640 FE0F </v>
      </c>
      <c r="D3259">
        <f t="shared" si="304"/>
        <v>27</v>
      </c>
      <c r="E3259" t="str">
        <f t="shared" si="300"/>
        <v xml:space="preserve"> 🧎🏼‍♀️ E12.0 woman kneeling: medium-light skin tone</v>
      </c>
      <c r="F3259" t="b">
        <f t="shared" si="305"/>
        <v>1</v>
      </c>
      <c r="G3259" t="str">
        <f t="shared" si="301"/>
        <v>1F9CE</v>
      </c>
      <c r="I3259">
        <f>HEX2DEC(Table1[[#This Row],[utf8]])</f>
        <v>129486</v>
      </c>
      <c r="J3259" t="str">
        <f>_xlfn.UNICHAR(HEX2DEC(Table1[[#This Row],[utf8]]))</f>
        <v>🧎</v>
      </c>
      <c r="K3259" s="3" t="str" cm="1">
        <f t="array" ref="K3259">"Case "&amp;wRandomLetter()&amp;wRandomLetter()&amp;I3259&amp;":    UniConst = ChrW(" &amp; I3259 &amp;")"</f>
        <v>Case Iw129486:    UniConst = ChrW(129486)</v>
      </c>
    </row>
    <row r="3260" spans="1:11" hidden="1">
      <c r="A3260" t="s">
        <v>1936</v>
      </c>
      <c r="B3260" t="str">
        <f t="shared" si="302"/>
        <v>1F9CE 1F3FC 200D 2642 ; minimally-qualified # 🧎🏼‍♂ E12.0 man kneeling: medium-light skin tone</v>
      </c>
      <c r="C3260" t="str">
        <f t="shared" si="303"/>
        <v xml:space="preserve">1F9CE 1F3FC 200D 2642 </v>
      </c>
      <c r="D3260">
        <f t="shared" si="304"/>
        <v>22</v>
      </c>
      <c r="E3260" t="str">
        <f t="shared" si="300"/>
        <v xml:space="preserve"> 🧎🏼‍♂ E12.0 man kneeling: medium-light skin tone</v>
      </c>
      <c r="F3260" t="b">
        <f t="shared" si="305"/>
        <v>1</v>
      </c>
      <c r="G3260" t="str">
        <f t="shared" si="301"/>
        <v>1F9CE</v>
      </c>
      <c r="I3260">
        <f>HEX2DEC(Table1[[#This Row],[utf8]])</f>
        <v>129486</v>
      </c>
      <c r="J3260" t="str">
        <f>_xlfn.UNICHAR(HEX2DEC(Table1[[#This Row],[utf8]]))</f>
        <v>🧎</v>
      </c>
      <c r="K3260" s="3" t="str" cm="1">
        <f t="array" ref="K3260">"Case "&amp;wRandomLetter()&amp;wRandomLetter()&amp;I3260&amp;":    UniConst = ChrW(" &amp; I3260 &amp;")"</f>
        <v>Case xu129486:    UniConst = ChrW(129486)</v>
      </c>
    </row>
    <row r="3261" spans="1:11" hidden="1">
      <c r="A3261" t="s">
        <v>1935</v>
      </c>
      <c r="B3261" t="str">
        <f t="shared" si="302"/>
        <v>1F9CE 1F3FC 200D 2642 FE0F ; fully-qualified # 🧎🏼‍♂️ E12.0 man kneeling: medium-light skin tone</v>
      </c>
      <c r="C3261" t="str">
        <f t="shared" si="303"/>
        <v xml:space="preserve">1F9CE 1F3FC 200D 2642 FE0F </v>
      </c>
      <c r="D3261">
        <f t="shared" si="304"/>
        <v>27</v>
      </c>
      <c r="E3261" t="str">
        <f t="shared" si="300"/>
        <v xml:space="preserve"> 🧎🏼‍♂️ E12.0 man kneeling: medium-light skin tone</v>
      </c>
      <c r="F3261" t="b">
        <f t="shared" si="305"/>
        <v>1</v>
      </c>
      <c r="G3261" t="str">
        <f t="shared" si="301"/>
        <v>1F9CE</v>
      </c>
      <c r="I3261">
        <f>HEX2DEC(Table1[[#This Row],[utf8]])</f>
        <v>129486</v>
      </c>
      <c r="J3261" t="str">
        <f>_xlfn.UNICHAR(HEX2DEC(Table1[[#This Row],[utf8]]))</f>
        <v>🧎</v>
      </c>
      <c r="K3261" s="3" t="str" cm="1">
        <f t="array" ref="K3261">"Case "&amp;wRandomLetter()&amp;wRandomLetter()&amp;I3261&amp;":    UniConst = ChrW(" &amp; I3261 &amp;")"</f>
        <v>Case HK129486:    UniConst = ChrW(129486)</v>
      </c>
    </row>
    <row r="3262" spans="1:11" hidden="1">
      <c r="A3262" t="s">
        <v>1928</v>
      </c>
      <c r="B3262" t="str">
        <f t="shared" si="302"/>
        <v>1F9CE 1F3FD ; fully-qualified # 🧎🏽 E12.0 person kneeling: medium skin tone</v>
      </c>
      <c r="C3262" t="str">
        <f t="shared" si="303"/>
        <v xml:space="preserve">1F9CE 1F3FD </v>
      </c>
      <c r="D3262">
        <f t="shared" si="304"/>
        <v>12</v>
      </c>
      <c r="E3262" t="str">
        <f t="shared" si="300"/>
        <v xml:space="preserve"> 🧎🏽 E12.0 person kneeling: medium skin tone</v>
      </c>
      <c r="F3262" t="b">
        <f t="shared" si="305"/>
        <v>1</v>
      </c>
      <c r="G3262" t="str">
        <f t="shared" si="301"/>
        <v>1F9CE</v>
      </c>
      <c r="I3262">
        <f>HEX2DEC(Table1[[#This Row],[utf8]])</f>
        <v>129486</v>
      </c>
      <c r="J3262" t="str">
        <f>_xlfn.UNICHAR(HEX2DEC(Table1[[#This Row],[utf8]]))</f>
        <v>🧎</v>
      </c>
      <c r="K3262" s="3" t="str" cm="1">
        <f t="array" ref="K3262">"Case "&amp;wRandomLetter()&amp;wRandomLetter()&amp;I3262&amp;":    UniConst = ChrW(" &amp; I3262 &amp;")"</f>
        <v>Case hQ129486:    UniConst = ChrW(129486)</v>
      </c>
    </row>
    <row r="3263" spans="1:11" hidden="1">
      <c r="A3263" t="s">
        <v>1950</v>
      </c>
      <c r="B3263" t="str">
        <f t="shared" si="302"/>
        <v>1F9CE 1F3FD 200D 2640 ; minimally-qualified # 🧎🏽‍♀ E12.0 woman kneeling: medium skin tone</v>
      </c>
      <c r="C3263" t="str">
        <f t="shared" si="303"/>
        <v xml:space="preserve">1F9CE 1F3FD 200D 2640 </v>
      </c>
      <c r="D3263">
        <f t="shared" si="304"/>
        <v>22</v>
      </c>
      <c r="E3263" t="str">
        <f t="shared" si="300"/>
        <v xml:space="preserve"> 🧎🏽‍♀ E12.0 woman kneeling: medium skin tone</v>
      </c>
      <c r="F3263" t="b">
        <f t="shared" si="305"/>
        <v>1</v>
      </c>
      <c r="G3263" t="str">
        <f t="shared" si="301"/>
        <v>1F9CE</v>
      </c>
      <c r="I3263">
        <f>HEX2DEC(Table1[[#This Row],[utf8]])</f>
        <v>129486</v>
      </c>
      <c r="J3263" t="str">
        <f>_xlfn.UNICHAR(HEX2DEC(Table1[[#This Row],[utf8]]))</f>
        <v>🧎</v>
      </c>
      <c r="K3263" s="3" t="str" cm="1">
        <f t="array" ref="K3263">"Case "&amp;wRandomLetter()&amp;wRandomLetter()&amp;I3263&amp;":    UniConst = ChrW(" &amp; I3263 &amp;")"</f>
        <v>Case Cx129486:    UniConst = ChrW(129486)</v>
      </c>
    </row>
    <row r="3264" spans="1:11" hidden="1">
      <c r="A3264" t="s">
        <v>1949</v>
      </c>
      <c r="B3264" t="str">
        <f t="shared" si="302"/>
        <v>1F9CE 1F3FD 200D 2640 FE0F ; fully-qualified # 🧎🏽‍♀️ E12.0 woman kneeling: medium skin tone</v>
      </c>
      <c r="C3264" t="str">
        <f t="shared" si="303"/>
        <v xml:space="preserve">1F9CE 1F3FD 200D 2640 FE0F </v>
      </c>
      <c r="D3264">
        <f t="shared" si="304"/>
        <v>27</v>
      </c>
      <c r="E3264" t="str">
        <f t="shared" si="300"/>
        <v xml:space="preserve"> 🧎🏽‍♀️ E12.0 woman kneeling: medium skin tone</v>
      </c>
      <c r="F3264" t="b">
        <f t="shared" si="305"/>
        <v>1</v>
      </c>
      <c r="G3264" t="str">
        <f t="shared" si="301"/>
        <v>1F9CE</v>
      </c>
      <c r="I3264">
        <f>HEX2DEC(Table1[[#This Row],[utf8]])</f>
        <v>129486</v>
      </c>
      <c r="J3264" t="str">
        <f>_xlfn.UNICHAR(HEX2DEC(Table1[[#This Row],[utf8]]))</f>
        <v>🧎</v>
      </c>
      <c r="K3264" s="3" t="str" cm="1">
        <f t="array" ref="K3264">"Case "&amp;wRandomLetter()&amp;wRandomLetter()&amp;I3264&amp;":    UniConst = ChrW(" &amp; I3264 &amp;")"</f>
        <v>Case FB129486:    UniConst = ChrW(129486)</v>
      </c>
    </row>
    <row r="3265" spans="1:11" hidden="1">
      <c r="A3265" t="s">
        <v>1938</v>
      </c>
      <c r="B3265" t="str">
        <f t="shared" si="302"/>
        <v>1F9CE 1F3FD 200D 2642 ; minimally-qualified # 🧎🏽‍♂ E12.0 man kneeling: medium skin tone</v>
      </c>
      <c r="C3265" t="str">
        <f t="shared" si="303"/>
        <v xml:space="preserve">1F9CE 1F3FD 200D 2642 </v>
      </c>
      <c r="D3265">
        <f t="shared" si="304"/>
        <v>22</v>
      </c>
      <c r="E3265" t="str">
        <f t="shared" si="300"/>
        <v xml:space="preserve"> 🧎🏽‍♂ E12.0 man kneeling: medium skin tone</v>
      </c>
      <c r="F3265" t="b">
        <f t="shared" si="305"/>
        <v>1</v>
      </c>
      <c r="G3265" t="str">
        <f t="shared" si="301"/>
        <v>1F9CE</v>
      </c>
      <c r="I3265">
        <f>HEX2DEC(Table1[[#This Row],[utf8]])</f>
        <v>129486</v>
      </c>
      <c r="J3265" t="str">
        <f>_xlfn.UNICHAR(HEX2DEC(Table1[[#This Row],[utf8]]))</f>
        <v>🧎</v>
      </c>
      <c r="K3265" s="3" t="str" cm="1">
        <f t="array" ref="K3265">"Case "&amp;wRandomLetter()&amp;wRandomLetter()&amp;I3265&amp;":    UniConst = ChrW(" &amp; I3265 &amp;")"</f>
        <v>Case UO129486:    UniConst = ChrW(129486)</v>
      </c>
    </row>
    <row r="3266" spans="1:11" hidden="1">
      <c r="A3266" t="s">
        <v>1937</v>
      </c>
      <c r="B3266" t="str">
        <f t="shared" si="302"/>
        <v>1F9CE 1F3FD 200D 2642 FE0F ; fully-qualified # 🧎🏽‍♂️ E12.0 man kneeling: medium skin tone</v>
      </c>
      <c r="C3266" t="str">
        <f t="shared" si="303"/>
        <v xml:space="preserve">1F9CE 1F3FD 200D 2642 FE0F </v>
      </c>
      <c r="D3266">
        <f t="shared" si="304"/>
        <v>27</v>
      </c>
      <c r="E3266" t="str">
        <f t="shared" ref="E3266:E3329" si="306">MID(A3266,FIND("#",A3266)+1,256)</f>
        <v xml:space="preserve"> 🧎🏽‍♂️ E12.0 man kneeling: medium skin tone</v>
      </c>
      <c r="F3266" t="b">
        <f t="shared" si="305"/>
        <v>1</v>
      </c>
      <c r="G3266" t="str">
        <f t="shared" ref="G3266:G3329" si="307">LEFT(C3266,(FIND(" ",C3266,1)-1))</f>
        <v>1F9CE</v>
      </c>
      <c r="I3266">
        <f>HEX2DEC(Table1[[#This Row],[utf8]])</f>
        <v>129486</v>
      </c>
      <c r="J3266" t="str">
        <f>_xlfn.UNICHAR(HEX2DEC(Table1[[#This Row],[utf8]]))</f>
        <v>🧎</v>
      </c>
      <c r="K3266" s="3" t="str" cm="1">
        <f t="array" ref="K3266">"Case "&amp;wRandomLetter()&amp;wRandomLetter()&amp;I3266&amp;":    UniConst = ChrW(" &amp; I3266 &amp;")"</f>
        <v>Case KD129486:    UniConst = ChrW(129486)</v>
      </c>
    </row>
    <row r="3267" spans="1:11" hidden="1">
      <c r="A3267" t="s">
        <v>1929</v>
      </c>
      <c r="B3267" t="str">
        <f t="shared" ref="B3267:B3330" si="308">TRIM(A3267)</f>
        <v>1F9CE 1F3FE ; fully-qualified # 🧎🏾 E12.0 person kneeling: medium-dark skin tone</v>
      </c>
      <c r="C3267" t="str">
        <f t="shared" ref="C3267:C3330" si="309">LEFT(B3267,(FIND(";",B3267,1)-1))</f>
        <v xml:space="preserve">1F9CE 1F3FE </v>
      </c>
      <c r="D3267">
        <f t="shared" ref="D3267:D3330" si="310">LEN(C3267)</f>
        <v>12</v>
      </c>
      <c r="E3267" t="str">
        <f t="shared" si="306"/>
        <v xml:space="preserve"> 🧎🏾 E12.0 person kneeling: medium-dark skin tone</v>
      </c>
      <c r="F3267" t="b">
        <f t="shared" ref="F3267:F3330" si="311">IF(LEFT(C3267,2)="1F",TRUE,FALSE)</f>
        <v>1</v>
      </c>
      <c r="G3267" t="str">
        <f t="shared" si="307"/>
        <v>1F9CE</v>
      </c>
      <c r="I3267">
        <f>HEX2DEC(Table1[[#This Row],[utf8]])</f>
        <v>129486</v>
      </c>
      <c r="J3267" t="str">
        <f>_xlfn.UNICHAR(HEX2DEC(Table1[[#This Row],[utf8]]))</f>
        <v>🧎</v>
      </c>
      <c r="K3267" s="3" t="str" cm="1">
        <f t="array" ref="K3267">"Case "&amp;wRandomLetter()&amp;wRandomLetter()&amp;I3267&amp;":    UniConst = ChrW(" &amp; I3267 &amp;")"</f>
        <v>Case Ow129486:    UniConst = ChrW(129486)</v>
      </c>
    </row>
    <row r="3268" spans="1:11" hidden="1">
      <c r="A3268" t="s">
        <v>1952</v>
      </c>
      <c r="B3268" t="str">
        <f t="shared" si="308"/>
        <v>1F9CE 1F3FE 200D 2640 ; minimally-qualified # 🧎🏾‍♀ E12.0 woman kneeling: medium-dark skin tone</v>
      </c>
      <c r="C3268" t="str">
        <f t="shared" si="309"/>
        <v xml:space="preserve">1F9CE 1F3FE 200D 2640 </v>
      </c>
      <c r="D3268">
        <f t="shared" si="310"/>
        <v>22</v>
      </c>
      <c r="E3268" t="str">
        <f t="shared" si="306"/>
        <v xml:space="preserve"> 🧎🏾‍♀ E12.0 woman kneeling: medium-dark skin tone</v>
      </c>
      <c r="F3268" t="b">
        <f t="shared" si="311"/>
        <v>1</v>
      </c>
      <c r="G3268" t="str">
        <f t="shared" si="307"/>
        <v>1F9CE</v>
      </c>
      <c r="I3268">
        <f>HEX2DEC(Table1[[#This Row],[utf8]])</f>
        <v>129486</v>
      </c>
      <c r="J3268" t="str">
        <f>_xlfn.UNICHAR(HEX2DEC(Table1[[#This Row],[utf8]]))</f>
        <v>🧎</v>
      </c>
      <c r="K3268" s="3" t="str" cm="1">
        <f t="array" ref="K3268">"Case "&amp;wRandomLetter()&amp;wRandomLetter()&amp;I3268&amp;":    UniConst = ChrW(" &amp; I3268 &amp;")"</f>
        <v>Case nJ129486:    UniConst = ChrW(129486)</v>
      </c>
    </row>
    <row r="3269" spans="1:11" hidden="1">
      <c r="A3269" t="s">
        <v>1951</v>
      </c>
      <c r="B3269" t="str">
        <f t="shared" si="308"/>
        <v>1F9CE 1F3FE 200D 2640 FE0F ; fully-qualified # 🧎🏾‍♀️ E12.0 woman kneeling: medium-dark skin tone</v>
      </c>
      <c r="C3269" t="str">
        <f t="shared" si="309"/>
        <v xml:space="preserve">1F9CE 1F3FE 200D 2640 FE0F </v>
      </c>
      <c r="D3269">
        <f t="shared" si="310"/>
        <v>27</v>
      </c>
      <c r="E3269" t="str">
        <f t="shared" si="306"/>
        <v xml:space="preserve"> 🧎🏾‍♀️ E12.0 woman kneeling: medium-dark skin tone</v>
      </c>
      <c r="F3269" t="b">
        <f t="shared" si="311"/>
        <v>1</v>
      </c>
      <c r="G3269" t="str">
        <f t="shared" si="307"/>
        <v>1F9CE</v>
      </c>
      <c r="I3269">
        <f>HEX2DEC(Table1[[#This Row],[utf8]])</f>
        <v>129486</v>
      </c>
      <c r="J3269" t="str">
        <f>_xlfn.UNICHAR(HEX2DEC(Table1[[#This Row],[utf8]]))</f>
        <v>🧎</v>
      </c>
      <c r="K3269" s="3" t="str" cm="1">
        <f t="array" ref="K3269">"Case "&amp;wRandomLetter()&amp;wRandomLetter()&amp;I3269&amp;":    UniConst = ChrW(" &amp; I3269 &amp;")"</f>
        <v>Case IX129486:    UniConst = ChrW(129486)</v>
      </c>
    </row>
    <row r="3270" spans="1:11" hidden="1">
      <c r="A3270" t="s">
        <v>1940</v>
      </c>
      <c r="B3270" t="str">
        <f t="shared" si="308"/>
        <v>1F9CE 1F3FE 200D 2642 ; minimally-qualified # 🧎🏾‍♂ E12.0 man kneeling: medium-dark skin tone</v>
      </c>
      <c r="C3270" t="str">
        <f t="shared" si="309"/>
        <v xml:space="preserve">1F9CE 1F3FE 200D 2642 </v>
      </c>
      <c r="D3270">
        <f t="shared" si="310"/>
        <v>22</v>
      </c>
      <c r="E3270" t="str">
        <f t="shared" si="306"/>
        <v xml:space="preserve"> 🧎🏾‍♂ E12.0 man kneeling: medium-dark skin tone</v>
      </c>
      <c r="F3270" t="b">
        <f t="shared" si="311"/>
        <v>1</v>
      </c>
      <c r="G3270" t="str">
        <f t="shared" si="307"/>
        <v>1F9CE</v>
      </c>
      <c r="I3270">
        <f>HEX2DEC(Table1[[#This Row],[utf8]])</f>
        <v>129486</v>
      </c>
      <c r="J3270" t="str">
        <f>_xlfn.UNICHAR(HEX2DEC(Table1[[#This Row],[utf8]]))</f>
        <v>🧎</v>
      </c>
      <c r="K3270" s="3" t="str" cm="1">
        <f t="array" ref="K3270">"Case "&amp;wRandomLetter()&amp;wRandomLetter()&amp;I3270&amp;":    UniConst = ChrW(" &amp; I3270 &amp;")"</f>
        <v>Case AF129486:    UniConst = ChrW(129486)</v>
      </c>
    </row>
    <row r="3271" spans="1:11" hidden="1">
      <c r="A3271" t="s">
        <v>1939</v>
      </c>
      <c r="B3271" t="str">
        <f t="shared" si="308"/>
        <v>1F9CE 1F3FE 200D 2642 FE0F ; fully-qualified # 🧎🏾‍♂️ E12.0 man kneeling: medium-dark skin tone</v>
      </c>
      <c r="C3271" t="str">
        <f t="shared" si="309"/>
        <v xml:space="preserve">1F9CE 1F3FE 200D 2642 FE0F </v>
      </c>
      <c r="D3271">
        <f t="shared" si="310"/>
        <v>27</v>
      </c>
      <c r="E3271" t="str">
        <f t="shared" si="306"/>
        <v xml:space="preserve"> 🧎🏾‍♂️ E12.0 man kneeling: medium-dark skin tone</v>
      </c>
      <c r="F3271" t="b">
        <f t="shared" si="311"/>
        <v>1</v>
      </c>
      <c r="G3271" t="str">
        <f t="shared" si="307"/>
        <v>1F9CE</v>
      </c>
      <c r="I3271">
        <f>HEX2DEC(Table1[[#This Row],[utf8]])</f>
        <v>129486</v>
      </c>
      <c r="J3271" t="str">
        <f>_xlfn.UNICHAR(HEX2DEC(Table1[[#This Row],[utf8]]))</f>
        <v>🧎</v>
      </c>
      <c r="K3271" s="3" t="str" cm="1">
        <f t="array" ref="K3271">"Case "&amp;wRandomLetter()&amp;wRandomLetter()&amp;I3271&amp;":    UniConst = ChrW(" &amp; I3271 &amp;")"</f>
        <v>Case pq129486:    UniConst = ChrW(129486)</v>
      </c>
    </row>
    <row r="3272" spans="1:11" hidden="1">
      <c r="A3272" t="s">
        <v>1930</v>
      </c>
      <c r="B3272" t="str">
        <f t="shared" si="308"/>
        <v>1F9CE 1F3FF ; fully-qualified # 🧎🏿 E12.0 person kneeling: dark skin tone</v>
      </c>
      <c r="C3272" t="str">
        <f t="shared" si="309"/>
        <v xml:space="preserve">1F9CE 1F3FF </v>
      </c>
      <c r="D3272">
        <f t="shared" si="310"/>
        <v>12</v>
      </c>
      <c r="E3272" t="str">
        <f t="shared" si="306"/>
        <v xml:space="preserve"> 🧎🏿 E12.0 person kneeling: dark skin tone</v>
      </c>
      <c r="F3272" t="b">
        <f t="shared" si="311"/>
        <v>1</v>
      </c>
      <c r="G3272" t="str">
        <f t="shared" si="307"/>
        <v>1F9CE</v>
      </c>
      <c r="I3272">
        <f>HEX2DEC(Table1[[#This Row],[utf8]])</f>
        <v>129486</v>
      </c>
      <c r="J3272" t="str">
        <f>_xlfn.UNICHAR(HEX2DEC(Table1[[#This Row],[utf8]]))</f>
        <v>🧎</v>
      </c>
      <c r="K3272" s="3" t="str" cm="1">
        <f t="array" ref="K3272">"Case "&amp;wRandomLetter()&amp;wRandomLetter()&amp;I3272&amp;":    UniConst = ChrW(" &amp; I3272 &amp;")"</f>
        <v>Case Wj129486:    UniConst = ChrW(129486)</v>
      </c>
    </row>
    <row r="3273" spans="1:11" hidden="1">
      <c r="A3273" t="s">
        <v>1954</v>
      </c>
      <c r="B3273" t="str">
        <f t="shared" si="308"/>
        <v>1F9CE 1F3FF 200D 2640 ; minimally-qualified # 🧎🏿‍♀ E12.0 woman kneeling: dark skin tone</v>
      </c>
      <c r="C3273" t="str">
        <f t="shared" si="309"/>
        <v xml:space="preserve">1F9CE 1F3FF 200D 2640 </v>
      </c>
      <c r="D3273">
        <f t="shared" si="310"/>
        <v>22</v>
      </c>
      <c r="E3273" t="str">
        <f t="shared" si="306"/>
        <v xml:space="preserve"> 🧎🏿‍♀ E12.0 woman kneeling: dark skin tone</v>
      </c>
      <c r="F3273" t="b">
        <f t="shared" si="311"/>
        <v>1</v>
      </c>
      <c r="G3273" t="str">
        <f t="shared" si="307"/>
        <v>1F9CE</v>
      </c>
      <c r="I3273">
        <f>HEX2DEC(Table1[[#This Row],[utf8]])</f>
        <v>129486</v>
      </c>
      <c r="J3273" t="str">
        <f>_xlfn.UNICHAR(HEX2DEC(Table1[[#This Row],[utf8]]))</f>
        <v>🧎</v>
      </c>
      <c r="K3273" s="3" t="str" cm="1">
        <f t="array" ref="K3273">"Case "&amp;wRandomLetter()&amp;wRandomLetter()&amp;I3273&amp;":    UniConst = ChrW(" &amp; I3273 &amp;")"</f>
        <v>Case sL129486:    UniConst = ChrW(129486)</v>
      </c>
    </row>
    <row r="3274" spans="1:11" hidden="1">
      <c r="A3274" t="s">
        <v>1953</v>
      </c>
      <c r="B3274" t="str">
        <f t="shared" si="308"/>
        <v>1F9CE 1F3FF 200D 2640 FE0F ; fully-qualified # 🧎🏿‍♀️ E12.0 woman kneeling: dark skin tone</v>
      </c>
      <c r="C3274" t="str">
        <f t="shared" si="309"/>
        <v xml:space="preserve">1F9CE 1F3FF 200D 2640 FE0F </v>
      </c>
      <c r="D3274">
        <f t="shared" si="310"/>
        <v>27</v>
      </c>
      <c r="E3274" t="str">
        <f t="shared" si="306"/>
        <v xml:space="preserve"> 🧎🏿‍♀️ E12.0 woman kneeling: dark skin tone</v>
      </c>
      <c r="F3274" t="b">
        <f t="shared" si="311"/>
        <v>1</v>
      </c>
      <c r="G3274" t="str">
        <f t="shared" si="307"/>
        <v>1F9CE</v>
      </c>
      <c r="I3274">
        <f>HEX2DEC(Table1[[#This Row],[utf8]])</f>
        <v>129486</v>
      </c>
      <c r="J3274" t="str">
        <f>_xlfn.UNICHAR(HEX2DEC(Table1[[#This Row],[utf8]]))</f>
        <v>🧎</v>
      </c>
      <c r="K3274" s="3" t="str" cm="1">
        <f t="array" ref="K3274">"Case "&amp;wRandomLetter()&amp;wRandomLetter()&amp;I3274&amp;":    UniConst = ChrW(" &amp; I3274 &amp;")"</f>
        <v>Case MV129486:    UniConst = ChrW(129486)</v>
      </c>
    </row>
    <row r="3275" spans="1:11" hidden="1">
      <c r="A3275" t="s">
        <v>1942</v>
      </c>
      <c r="B3275" t="str">
        <f t="shared" si="308"/>
        <v>1F9CE 1F3FF 200D 2642 ; minimally-qualified # 🧎🏿‍♂ E12.0 man kneeling: dark skin tone</v>
      </c>
      <c r="C3275" t="str">
        <f t="shared" si="309"/>
        <v xml:space="preserve">1F9CE 1F3FF 200D 2642 </v>
      </c>
      <c r="D3275">
        <f t="shared" si="310"/>
        <v>22</v>
      </c>
      <c r="E3275" t="str">
        <f t="shared" si="306"/>
        <v xml:space="preserve"> 🧎🏿‍♂ E12.0 man kneeling: dark skin tone</v>
      </c>
      <c r="F3275" t="b">
        <f t="shared" si="311"/>
        <v>1</v>
      </c>
      <c r="G3275" t="str">
        <f t="shared" si="307"/>
        <v>1F9CE</v>
      </c>
      <c r="I3275">
        <f>HEX2DEC(Table1[[#This Row],[utf8]])</f>
        <v>129486</v>
      </c>
      <c r="J3275" t="str">
        <f>_xlfn.UNICHAR(HEX2DEC(Table1[[#This Row],[utf8]]))</f>
        <v>🧎</v>
      </c>
      <c r="K3275" s="3" t="str" cm="1">
        <f t="array" ref="K3275">"Case "&amp;wRandomLetter()&amp;wRandomLetter()&amp;I3275&amp;":    UniConst = ChrW(" &amp; I3275 &amp;")"</f>
        <v>Case oK129486:    UniConst = ChrW(129486)</v>
      </c>
    </row>
    <row r="3276" spans="1:11" hidden="1">
      <c r="A3276" t="s">
        <v>1941</v>
      </c>
      <c r="B3276" t="str">
        <f t="shared" si="308"/>
        <v>1F9CE 1F3FF 200D 2642 FE0F ; fully-qualified # 🧎🏿‍♂️ E12.0 man kneeling: dark skin tone</v>
      </c>
      <c r="C3276" t="str">
        <f t="shared" si="309"/>
        <v xml:space="preserve">1F9CE 1F3FF 200D 2642 FE0F </v>
      </c>
      <c r="D3276">
        <f t="shared" si="310"/>
        <v>27</v>
      </c>
      <c r="E3276" t="str">
        <f t="shared" si="306"/>
        <v xml:space="preserve"> 🧎🏿‍♂️ E12.0 man kneeling: dark skin tone</v>
      </c>
      <c r="F3276" t="b">
        <f t="shared" si="311"/>
        <v>1</v>
      </c>
      <c r="G3276" t="str">
        <f t="shared" si="307"/>
        <v>1F9CE</v>
      </c>
      <c r="I3276">
        <f>HEX2DEC(Table1[[#This Row],[utf8]])</f>
        <v>129486</v>
      </c>
      <c r="J3276" t="str">
        <f>_xlfn.UNICHAR(HEX2DEC(Table1[[#This Row],[utf8]]))</f>
        <v>🧎</v>
      </c>
      <c r="K3276" s="3" t="str" cm="1">
        <f t="array" ref="K3276">"Case "&amp;wRandomLetter()&amp;wRandomLetter()&amp;I3276&amp;":    UniConst = ChrW(" &amp; I3276 &amp;")"</f>
        <v>Case gP129486:    UniConst = ChrW(129486)</v>
      </c>
    </row>
    <row r="3277" spans="1:11" hidden="1">
      <c r="A3277" t="s">
        <v>1944</v>
      </c>
      <c r="B3277" t="str">
        <f t="shared" si="308"/>
        <v>1F9CE 200D 2640 ; minimally-qualified # 🧎‍♀ E12.0 woman kneeling</v>
      </c>
      <c r="C3277" t="str">
        <f t="shared" si="309"/>
        <v xml:space="preserve">1F9CE 200D 2640 </v>
      </c>
      <c r="D3277">
        <f t="shared" si="310"/>
        <v>16</v>
      </c>
      <c r="E3277" t="str">
        <f t="shared" si="306"/>
        <v xml:space="preserve"> 🧎‍♀ E12.0 woman kneeling</v>
      </c>
      <c r="F3277" t="b">
        <f t="shared" si="311"/>
        <v>1</v>
      </c>
      <c r="G3277" t="str">
        <f t="shared" si="307"/>
        <v>1F9CE</v>
      </c>
      <c r="I3277">
        <f>HEX2DEC(Table1[[#This Row],[utf8]])</f>
        <v>129486</v>
      </c>
      <c r="J3277" t="str">
        <f>_xlfn.UNICHAR(HEX2DEC(Table1[[#This Row],[utf8]]))</f>
        <v>🧎</v>
      </c>
      <c r="K3277" s="3" t="str" cm="1">
        <f t="array" ref="K3277">"Case "&amp;wRandomLetter()&amp;wRandomLetter()&amp;I3277&amp;":    UniConst = ChrW(" &amp; I3277 &amp;")"</f>
        <v>Case fE129486:    UniConst = ChrW(129486)</v>
      </c>
    </row>
    <row r="3278" spans="1:11" hidden="1">
      <c r="A3278" t="s">
        <v>1943</v>
      </c>
      <c r="B3278" t="str">
        <f t="shared" si="308"/>
        <v>1F9CE 200D 2640 FE0F ; fully-qualified # 🧎‍♀️ E12.0 woman kneeling</v>
      </c>
      <c r="C3278" t="str">
        <f t="shared" si="309"/>
        <v xml:space="preserve">1F9CE 200D 2640 FE0F </v>
      </c>
      <c r="D3278">
        <f t="shared" si="310"/>
        <v>21</v>
      </c>
      <c r="E3278" t="str">
        <f t="shared" si="306"/>
        <v xml:space="preserve"> 🧎‍♀️ E12.0 woman kneeling</v>
      </c>
      <c r="F3278" t="b">
        <f t="shared" si="311"/>
        <v>1</v>
      </c>
      <c r="G3278" t="str">
        <f t="shared" si="307"/>
        <v>1F9CE</v>
      </c>
      <c r="I3278">
        <f>HEX2DEC(Table1[[#This Row],[utf8]])</f>
        <v>129486</v>
      </c>
      <c r="J3278" t="str">
        <f>_xlfn.UNICHAR(HEX2DEC(Table1[[#This Row],[utf8]]))</f>
        <v>🧎</v>
      </c>
      <c r="K3278" s="3" t="str" cm="1">
        <f t="array" ref="K3278">"Case "&amp;wRandomLetter()&amp;wRandomLetter()&amp;I3278&amp;":    UniConst = ChrW(" &amp; I3278 &amp;")"</f>
        <v>Case sz129486:    UniConst = ChrW(129486)</v>
      </c>
    </row>
    <row r="3279" spans="1:11" hidden="1">
      <c r="A3279" t="s">
        <v>1932</v>
      </c>
      <c r="B3279" t="str">
        <f t="shared" si="308"/>
        <v>1F9CE 200D 2642 ; minimally-qualified # 🧎‍♂ E12.0 man kneeling</v>
      </c>
      <c r="C3279" t="str">
        <f t="shared" si="309"/>
        <v xml:space="preserve">1F9CE 200D 2642 </v>
      </c>
      <c r="D3279">
        <f t="shared" si="310"/>
        <v>16</v>
      </c>
      <c r="E3279" t="str">
        <f t="shared" si="306"/>
        <v xml:space="preserve"> 🧎‍♂ E12.0 man kneeling</v>
      </c>
      <c r="F3279" t="b">
        <f t="shared" si="311"/>
        <v>1</v>
      </c>
      <c r="G3279" t="str">
        <f t="shared" si="307"/>
        <v>1F9CE</v>
      </c>
      <c r="I3279">
        <f>HEX2DEC(Table1[[#This Row],[utf8]])</f>
        <v>129486</v>
      </c>
      <c r="J3279" t="str">
        <f>_xlfn.UNICHAR(HEX2DEC(Table1[[#This Row],[utf8]]))</f>
        <v>🧎</v>
      </c>
      <c r="K3279" s="3" t="str" cm="1">
        <f t="array" ref="K3279">"Case "&amp;wRandomLetter()&amp;wRandomLetter()&amp;I3279&amp;":    UniConst = ChrW(" &amp; I3279 &amp;")"</f>
        <v>Case OP129486:    UniConst = ChrW(129486)</v>
      </c>
    </row>
    <row r="3280" spans="1:11" hidden="1">
      <c r="A3280" t="s">
        <v>1931</v>
      </c>
      <c r="B3280" t="str">
        <f t="shared" si="308"/>
        <v>1F9CE 200D 2642 FE0F ; fully-qualified # 🧎‍♂️ E12.0 man kneeling</v>
      </c>
      <c r="C3280" t="str">
        <f t="shared" si="309"/>
        <v xml:space="preserve">1F9CE 200D 2642 FE0F </v>
      </c>
      <c r="D3280">
        <f t="shared" si="310"/>
        <v>21</v>
      </c>
      <c r="E3280" t="str">
        <f t="shared" si="306"/>
        <v xml:space="preserve"> 🧎‍♂️ E12.0 man kneeling</v>
      </c>
      <c r="F3280" t="b">
        <f t="shared" si="311"/>
        <v>1</v>
      </c>
      <c r="G3280" t="str">
        <f t="shared" si="307"/>
        <v>1F9CE</v>
      </c>
      <c r="I3280">
        <f>HEX2DEC(Table1[[#This Row],[utf8]])</f>
        <v>129486</v>
      </c>
      <c r="J3280" t="str">
        <f>_xlfn.UNICHAR(HEX2DEC(Table1[[#This Row],[utf8]]))</f>
        <v>🧎</v>
      </c>
      <c r="K3280" s="3" t="str" cm="1">
        <f t="array" ref="K3280">"Case "&amp;wRandomLetter()&amp;wRandomLetter()&amp;I3280&amp;":    UniConst = ChrW(" &amp; I3280 &amp;")"</f>
        <v>Case rR129486:    UniConst = ChrW(129486)</v>
      </c>
    </row>
    <row r="3281" spans="1:11" hidden="1">
      <c r="A3281" t="s">
        <v>821</v>
      </c>
      <c r="B3281" t="str">
        <f t="shared" si="308"/>
        <v>1F9CF ; fully-qualified # 🧏 E12.0 deaf person</v>
      </c>
      <c r="C3281" t="str">
        <f t="shared" si="309"/>
        <v xml:space="preserve">1F9CF </v>
      </c>
      <c r="D3281">
        <f t="shared" si="310"/>
        <v>6</v>
      </c>
      <c r="E3281" t="str">
        <f t="shared" si="306"/>
        <v xml:space="preserve"> 🧏 E12.0 deaf person</v>
      </c>
      <c r="F3281" t="b">
        <f t="shared" si="311"/>
        <v>1</v>
      </c>
      <c r="G3281" t="str">
        <f t="shared" si="307"/>
        <v>1F9CF</v>
      </c>
      <c r="I3281">
        <f>HEX2DEC(Table1[[#This Row],[utf8]])</f>
        <v>129487</v>
      </c>
      <c r="J3281" t="str">
        <f>_xlfn.UNICHAR(HEX2DEC(Table1[[#This Row],[utf8]]))</f>
        <v>🧏</v>
      </c>
      <c r="K3281" s="3" t="str" cm="1">
        <f t="array" ref="K3281">"Case "&amp;wRandomLetter()&amp;wRandomLetter()&amp;I3281&amp;":    UniConst = ChrW(" &amp; I3281 &amp;")"</f>
        <v>Case Dc129487:    UniConst = ChrW(129487)</v>
      </c>
    </row>
    <row r="3282" spans="1:11" hidden="1">
      <c r="A3282" t="s">
        <v>822</v>
      </c>
      <c r="B3282" t="str">
        <f t="shared" si="308"/>
        <v>1F9CF 1F3FB ; fully-qualified # 🧏🏻 E12.0 deaf person: light skin tone</v>
      </c>
      <c r="C3282" t="str">
        <f t="shared" si="309"/>
        <v xml:space="preserve">1F9CF 1F3FB </v>
      </c>
      <c r="D3282">
        <f t="shared" si="310"/>
        <v>12</v>
      </c>
      <c r="E3282" t="str">
        <f t="shared" si="306"/>
        <v xml:space="preserve"> 🧏🏻 E12.0 deaf person: light skin tone</v>
      </c>
      <c r="F3282" t="b">
        <f t="shared" si="311"/>
        <v>1</v>
      </c>
      <c r="G3282" t="str">
        <f t="shared" si="307"/>
        <v>1F9CF</v>
      </c>
      <c r="I3282">
        <f>HEX2DEC(Table1[[#This Row],[utf8]])</f>
        <v>129487</v>
      </c>
      <c r="J3282" t="str">
        <f>_xlfn.UNICHAR(HEX2DEC(Table1[[#This Row],[utf8]]))</f>
        <v>🧏</v>
      </c>
      <c r="K3282" s="3" t="str" cm="1">
        <f t="array" ref="K3282">"Case "&amp;wRandomLetter()&amp;wRandomLetter()&amp;I3282&amp;":    UniConst = ChrW(" &amp; I3282 &amp;")"</f>
        <v>Case vR129487:    UniConst = ChrW(129487)</v>
      </c>
    </row>
    <row r="3283" spans="1:11" hidden="1">
      <c r="A3283" t="s">
        <v>842</v>
      </c>
      <c r="B3283" t="str">
        <f t="shared" si="308"/>
        <v>1F9CF 1F3FB 200D 2640 ; minimally-qualified # 🧏🏻‍♀ E12.0 deaf woman: light skin tone</v>
      </c>
      <c r="C3283" t="str">
        <f t="shared" si="309"/>
        <v xml:space="preserve">1F9CF 1F3FB 200D 2640 </v>
      </c>
      <c r="D3283">
        <f t="shared" si="310"/>
        <v>22</v>
      </c>
      <c r="E3283" t="str">
        <f t="shared" si="306"/>
        <v xml:space="preserve"> 🧏🏻‍♀ E12.0 deaf woman: light skin tone</v>
      </c>
      <c r="F3283" t="b">
        <f t="shared" si="311"/>
        <v>1</v>
      </c>
      <c r="G3283" t="str">
        <f t="shared" si="307"/>
        <v>1F9CF</v>
      </c>
      <c r="I3283">
        <f>HEX2DEC(Table1[[#This Row],[utf8]])</f>
        <v>129487</v>
      </c>
      <c r="J3283" t="str">
        <f>_xlfn.UNICHAR(HEX2DEC(Table1[[#This Row],[utf8]]))</f>
        <v>🧏</v>
      </c>
      <c r="K3283" s="3" t="str" cm="1">
        <f t="array" ref="K3283">"Case "&amp;wRandomLetter()&amp;wRandomLetter()&amp;I3283&amp;":    UniConst = ChrW(" &amp; I3283 &amp;")"</f>
        <v>Case IY129487:    UniConst = ChrW(129487)</v>
      </c>
    </row>
    <row r="3284" spans="1:11" hidden="1">
      <c r="A3284" t="s">
        <v>841</v>
      </c>
      <c r="B3284" t="str">
        <f t="shared" si="308"/>
        <v>1F9CF 1F3FB 200D 2640 FE0F ; fully-qualified # 🧏🏻‍♀️ E12.0 deaf woman: light skin tone</v>
      </c>
      <c r="C3284" t="str">
        <f t="shared" si="309"/>
        <v xml:space="preserve">1F9CF 1F3FB 200D 2640 FE0F </v>
      </c>
      <c r="D3284">
        <f t="shared" si="310"/>
        <v>27</v>
      </c>
      <c r="E3284" t="str">
        <f t="shared" si="306"/>
        <v xml:space="preserve"> 🧏🏻‍♀️ E12.0 deaf woman: light skin tone</v>
      </c>
      <c r="F3284" t="b">
        <f t="shared" si="311"/>
        <v>1</v>
      </c>
      <c r="G3284" t="str">
        <f t="shared" si="307"/>
        <v>1F9CF</v>
      </c>
      <c r="I3284">
        <f>HEX2DEC(Table1[[#This Row],[utf8]])</f>
        <v>129487</v>
      </c>
      <c r="J3284" t="str">
        <f>_xlfn.UNICHAR(HEX2DEC(Table1[[#This Row],[utf8]]))</f>
        <v>🧏</v>
      </c>
      <c r="K3284" s="3" t="str" cm="1">
        <f t="array" ref="K3284">"Case "&amp;wRandomLetter()&amp;wRandomLetter()&amp;I3284&amp;":    UniConst = ChrW(" &amp; I3284 &amp;")"</f>
        <v>Case Ql129487:    UniConst = ChrW(129487)</v>
      </c>
    </row>
    <row r="3285" spans="1:11" hidden="1">
      <c r="A3285" t="s">
        <v>830</v>
      </c>
      <c r="B3285" t="str">
        <f t="shared" si="308"/>
        <v>1F9CF 1F3FB 200D 2642 ; minimally-qualified # 🧏🏻‍♂ E12.0 deaf man: light skin tone</v>
      </c>
      <c r="C3285" t="str">
        <f t="shared" si="309"/>
        <v xml:space="preserve">1F9CF 1F3FB 200D 2642 </v>
      </c>
      <c r="D3285">
        <f t="shared" si="310"/>
        <v>22</v>
      </c>
      <c r="E3285" t="str">
        <f t="shared" si="306"/>
        <v xml:space="preserve"> 🧏🏻‍♂ E12.0 deaf man: light skin tone</v>
      </c>
      <c r="F3285" t="b">
        <f t="shared" si="311"/>
        <v>1</v>
      </c>
      <c r="G3285" t="str">
        <f t="shared" si="307"/>
        <v>1F9CF</v>
      </c>
      <c r="I3285">
        <f>HEX2DEC(Table1[[#This Row],[utf8]])</f>
        <v>129487</v>
      </c>
      <c r="J3285" t="str">
        <f>_xlfn.UNICHAR(HEX2DEC(Table1[[#This Row],[utf8]]))</f>
        <v>🧏</v>
      </c>
      <c r="K3285" s="3" t="str" cm="1">
        <f t="array" ref="K3285">"Case "&amp;wRandomLetter()&amp;wRandomLetter()&amp;I3285&amp;":    UniConst = ChrW(" &amp; I3285 &amp;")"</f>
        <v>Case lS129487:    UniConst = ChrW(129487)</v>
      </c>
    </row>
    <row r="3286" spans="1:11" hidden="1">
      <c r="A3286" t="s">
        <v>829</v>
      </c>
      <c r="B3286" t="str">
        <f t="shared" si="308"/>
        <v>1F9CF 1F3FB 200D 2642 FE0F ; fully-qualified # 🧏🏻‍♂️ E12.0 deaf man: light skin tone</v>
      </c>
      <c r="C3286" t="str">
        <f t="shared" si="309"/>
        <v xml:space="preserve">1F9CF 1F3FB 200D 2642 FE0F </v>
      </c>
      <c r="D3286">
        <f t="shared" si="310"/>
        <v>27</v>
      </c>
      <c r="E3286" t="str">
        <f t="shared" si="306"/>
        <v xml:space="preserve"> 🧏🏻‍♂️ E12.0 deaf man: light skin tone</v>
      </c>
      <c r="F3286" t="b">
        <f t="shared" si="311"/>
        <v>1</v>
      </c>
      <c r="G3286" t="str">
        <f t="shared" si="307"/>
        <v>1F9CF</v>
      </c>
      <c r="I3286">
        <f>HEX2DEC(Table1[[#This Row],[utf8]])</f>
        <v>129487</v>
      </c>
      <c r="J3286" t="str">
        <f>_xlfn.UNICHAR(HEX2DEC(Table1[[#This Row],[utf8]]))</f>
        <v>🧏</v>
      </c>
      <c r="K3286" s="3" t="str" cm="1">
        <f t="array" ref="K3286">"Case "&amp;wRandomLetter()&amp;wRandomLetter()&amp;I3286&amp;":    UniConst = ChrW(" &amp; I3286 &amp;")"</f>
        <v>Case CY129487:    UniConst = ChrW(129487)</v>
      </c>
    </row>
    <row r="3287" spans="1:11" hidden="1">
      <c r="A3287" t="s">
        <v>823</v>
      </c>
      <c r="B3287" t="str">
        <f t="shared" si="308"/>
        <v>1F9CF 1F3FC ; fully-qualified # 🧏🏼 E12.0 deaf person: medium-light skin tone</v>
      </c>
      <c r="C3287" t="str">
        <f t="shared" si="309"/>
        <v xml:space="preserve">1F9CF 1F3FC </v>
      </c>
      <c r="D3287">
        <f t="shared" si="310"/>
        <v>12</v>
      </c>
      <c r="E3287" t="str">
        <f t="shared" si="306"/>
        <v xml:space="preserve"> 🧏🏼 E12.0 deaf person: medium-light skin tone</v>
      </c>
      <c r="F3287" t="b">
        <f t="shared" si="311"/>
        <v>1</v>
      </c>
      <c r="G3287" t="str">
        <f t="shared" si="307"/>
        <v>1F9CF</v>
      </c>
      <c r="I3287">
        <f>HEX2DEC(Table1[[#This Row],[utf8]])</f>
        <v>129487</v>
      </c>
      <c r="J3287" t="str">
        <f>_xlfn.UNICHAR(HEX2DEC(Table1[[#This Row],[utf8]]))</f>
        <v>🧏</v>
      </c>
      <c r="K3287" s="3" t="str" cm="1">
        <f t="array" ref="K3287">"Case "&amp;wRandomLetter()&amp;wRandomLetter()&amp;I3287&amp;":    UniConst = ChrW(" &amp; I3287 &amp;")"</f>
        <v>Case uS129487:    UniConst = ChrW(129487)</v>
      </c>
    </row>
    <row r="3288" spans="1:11" hidden="1">
      <c r="A3288" t="s">
        <v>844</v>
      </c>
      <c r="B3288" t="str">
        <f t="shared" si="308"/>
        <v>1F9CF 1F3FC 200D 2640 ; minimally-qualified # 🧏🏼‍♀ E12.0 deaf woman: medium-light skin tone</v>
      </c>
      <c r="C3288" t="str">
        <f t="shared" si="309"/>
        <v xml:space="preserve">1F9CF 1F3FC 200D 2640 </v>
      </c>
      <c r="D3288">
        <f t="shared" si="310"/>
        <v>22</v>
      </c>
      <c r="E3288" t="str">
        <f t="shared" si="306"/>
        <v xml:space="preserve"> 🧏🏼‍♀ E12.0 deaf woman: medium-light skin tone</v>
      </c>
      <c r="F3288" t="b">
        <f t="shared" si="311"/>
        <v>1</v>
      </c>
      <c r="G3288" t="str">
        <f t="shared" si="307"/>
        <v>1F9CF</v>
      </c>
      <c r="I3288">
        <f>HEX2DEC(Table1[[#This Row],[utf8]])</f>
        <v>129487</v>
      </c>
      <c r="J3288" t="str">
        <f>_xlfn.UNICHAR(HEX2DEC(Table1[[#This Row],[utf8]]))</f>
        <v>🧏</v>
      </c>
      <c r="K3288" s="3" t="str" cm="1">
        <f t="array" ref="K3288">"Case "&amp;wRandomLetter()&amp;wRandomLetter()&amp;I3288&amp;":    UniConst = ChrW(" &amp; I3288 &amp;")"</f>
        <v>Case DV129487:    UniConst = ChrW(129487)</v>
      </c>
    </row>
    <row r="3289" spans="1:11" hidden="1">
      <c r="A3289" t="s">
        <v>843</v>
      </c>
      <c r="B3289" t="str">
        <f t="shared" si="308"/>
        <v>1F9CF 1F3FC 200D 2640 FE0F ; fully-qualified # 🧏🏼‍♀️ E12.0 deaf woman: medium-light skin tone</v>
      </c>
      <c r="C3289" t="str">
        <f t="shared" si="309"/>
        <v xml:space="preserve">1F9CF 1F3FC 200D 2640 FE0F </v>
      </c>
      <c r="D3289">
        <f t="shared" si="310"/>
        <v>27</v>
      </c>
      <c r="E3289" t="str">
        <f t="shared" si="306"/>
        <v xml:space="preserve"> 🧏🏼‍♀️ E12.0 deaf woman: medium-light skin tone</v>
      </c>
      <c r="F3289" t="b">
        <f t="shared" si="311"/>
        <v>1</v>
      </c>
      <c r="G3289" t="str">
        <f t="shared" si="307"/>
        <v>1F9CF</v>
      </c>
      <c r="I3289">
        <f>HEX2DEC(Table1[[#This Row],[utf8]])</f>
        <v>129487</v>
      </c>
      <c r="J3289" t="str">
        <f>_xlfn.UNICHAR(HEX2DEC(Table1[[#This Row],[utf8]]))</f>
        <v>🧏</v>
      </c>
      <c r="K3289" s="3" t="str" cm="1">
        <f t="array" ref="K3289">"Case "&amp;wRandomLetter()&amp;wRandomLetter()&amp;I3289&amp;":    UniConst = ChrW(" &amp; I3289 &amp;")"</f>
        <v>Case gd129487:    UniConst = ChrW(129487)</v>
      </c>
    </row>
    <row r="3290" spans="1:11" hidden="1">
      <c r="A3290" t="s">
        <v>832</v>
      </c>
      <c r="B3290" t="str">
        <f t="shared" si="308"/>
        <v>1F9CF 1F3FC 200D 2642 ; minimally-qualified # 🧏🏼‍♂ E12.0 deaf man: medium-light skin tone</v>
      </c>
      <c r="C3290" t="str">
        <f t="shared" si="309"/>
        <v xml:space="preserve">1F9CF 1F3FC 200D 2642 </v>
      </c>
      <c r="D3290">
        <f t="shared" si="310"/>
        <v>22</v>
      </c>
      <c r="E3290" t="str">
        <f t="shared" si="306"/>
        <v xml:space="preserve"> 🧏🏼‍♂ E12.0 deaf man: medium-light skin tone</v>
      </c>
      <c r="F3290" t="b">
        <f t="shared" si="311"/>
        <v>1</v>
      </c>
      <c r="G3290" t="str">
        <f t="shared" si="307"/>
        <v>1F9CF</v>
      </c>
      <c r="I3290">
        <f>HEX2DEC(Table1[[#This Row],[utf8]])</f>
        <v>129487</v>
      </c>
      <c r="J3290" t="str">
        <f>_xlfn.UNICHAR(HEX2DEC(Table1[[#This Row],[utf8]]))</f>
        <v>🧏</v>
      </c>
      <c r="K3290" s="3" t="str" cm="1">
        <f t="array" ref="K3290">"Case "&amp;wRandomLetter()&amp;wRandomLetter()&amp;I3290&amp;":    UniConst = ChrW(" &amp; I3290 &amp;")"</f>
        <v>Case br129487:    UniConst = ChrW(129487)</v>
      </c>
    </row>
    <row r="3291" spans="1:11" hidden="1">
      <c r="A3291" t="s">
        <v>831</v>
      </c>
      <c r="B3291" t="str">
        <f t="shared" si="308"/>
        <v>1F9CF 1F3FC 200D 2642 FE0F ; fully-qualified # 🧏🏼‍♂️ E12.0 deaf man: medium-light skin tone</v>
      </c>
      <c r="C3291" t="str">
        <f t="shared" si="309"/>
        <v xml:space="preserve">1F9CF 1F3FC 200D 2642 FE0F </v>
      </c>
      <c r="D3291">
        <f t="shared" si="310"/>
        <v>27</v>
      </c>
      <c r="E3291" t="str">
        <f t="shared" si="306"/>
        <v xml:space="preserve"> 🧏🏼‍♂️ E12.0 deaf man: medium-light skin tone</v>
      </c>
      <c r="F3291" t="b">
        <f t="shared" si="311"/>
        <v>1</v>
      </c>
      <c r="G3291" t="str">
        <f t="shared" si="307"/>
        <v>1F9CF</v>
      </c>
      <c r="I3291">
        <f>HEX2DEC(Table1[[#This Row],[utf8]])</f>
        <v>129487</v>
      </c>
      <c r="J3291" t="str">
        <f>_xlfn.UNICHAR(HEX2DEC(Table1[[#This Row],[utf8]]))</f>
        <v>🧏</v>
      </c>
      <c r="K3291" s="3" t="str" cm="1">
        <f t="array" ref="K3291">"Case "&amp;wRandomLetter()&amp;wRandomLetter()&amp;I3291&amp;":    UniConst = ChrW(" &amp; I3291 &amp;")"</f>
        <v>Case Ry129487:    UniConst = ChrW(129487)</v>
      </c>
    </row>
    <row r="3292" spans="1:11" hidden="1">
      <c r="A3292" t="s">
        <v>824</v>
      </c>
      <c r="B3292" t="str">
        <f t="shared" si="308"/>
        <v>1F9CF 1F3FD ; fully-qualified # 🧏🏽 E12.0 deaf person: medium skin tone</v>
      </c>
      <c r="C3292" t="str">
        <f t="shared" si="309"/>
        <v xml:space="preserve">1F9CF 1F3FD </v>
      </c>
      <c r="D3292">
        <f t="shared" si="310"/>
        <v>12</v>
      </c>
      <c r="E3292" t="str">
        <f t="shared" si="306"/>
        <v xml:space="preserve"> 🧏🏽 E12.0 deaf person: medium skin tone</v>
      </c>
      <c r="F3292" t="b">
        <f t="shared" si="311"/>
        <v>1</v>
      </c>
      <c r="G3292" t="str">
        <f t="shared" si="307"/>
        <v>1F9CF</v>
      </c>
      <c r="I3292">
        <f>HEX2DEC(Table1[[#This Row],[utf8]])</f>
        <v>129487</v>
      </c>
      <c r="J3292" t="str">
        <f>_xlfn.UNICHAR(HEX2DEC(Table1[[#This Row],[utf8]]))</f>
        <v>🧏</v>
      </c>
      <c r="K3292" s="3" t="str" cm="1">
        <f t="array" ref="K3292">"Case "&amp;wRandomLetter()&amp;wRandomLetter()&amp;I3292&amp;":    UniConst = ChrW(" &amp; I3292 &amp;")"</f>
        <v>Case wQ129487:    UniConst = ChrW(129487)</v>
      </c>
    </row>
    <row r="3293" spans="1:11" hidden="1">
      <c r="A3293" t="s">
        <v>846</v>
      </c>
      <c r="B3293" t="str">
        <f t="shared" si="308"/>
        <v>1F9CF 1F3FD 200D 2640 ; minimally-qualified # 🧏🏽‍♀ E12.0 deaf woman: medium skin tone</v>
      </c>
      <c r="C3293" t="str">
        <f t="shared" si="309"/>
        <v xml:space="preserve">1F9CF 1F3FD 200D 2640 </v>
      </c>
      <c r="D3293">
        <f t="shared" si="310"/>
        <v>22</v>
      </c>
      <c r="E3293" t="str">
        <f t="shared" si="306"/>
        <v xml:space="preserve"> 🧏🏽‍♀ E12.0 deaf woman: medium skin tone</v>
      </c>
      <c r="F3293" t="b">
        <f t="shared" si="311"/>
        <v>1</v>
      </c>
      <c r="G3293" t="str">
        <f t="shared" si="307"/>
        <v>1F9CF</v>
      </c>
      <c r="I3293">
        <f>HEX2DEC(Table1[[#This Row],[utf8]])</f>
        <v>129487</v>
      </c>
      <c r="J3293" t="str">
        <f>_xlfn.UNICHAR(HEX2DEC(Table1[[#This Row],[utf8]]))</f>
        <v>🧏</v>
      </c>
      <c r="K3293" s="3" t="str" cm="1">
        <f t="array" ref="K3293">"Case "&amp;wRandomLetter()&amp;wRandomLetter()&amp;I3293&amp;":    UniConst = ChrW(" &amp; I3293 &amp;")"</f>
        <v>Case fi129487:    UniConst = ChrW(129487)</v>
      </c>
    </row>
    <row r="3294" spans="1:11" hidden="1">
      <c r="A3294" t="s">
        <v>845</v>
      </c>
      <c r="B3294" t="str">
        <f t="shared" si="308"/>
        <v>1F9CF 1F3FD 200D 2640 FE0F ; fully-qualified # 🧏🏽‍♀️ E12.0 deaf woman: medium skin tone</v>
      </c>
      <c r="C3294" t="str">
        <f t="shared" si="309"/>
        <v xml:space="preserve">1F9CF 1F3FD 200D 2640 FE0F </v>
      </c>
      <c r="D3294">
        <f t="shared" si="310"/>
        <v>27</v>
      </c>
      <c r="E3294" t="str">
        <f t="shared" si="306"/>
        <v xml:space="preserve"> 🧏🏽‍♀️ E12.0 deaf woman: medium skin tone</v>
      </c>
      <c r="F3294" t="b">
        <f t="shared" si="311"/>
        <v>1</v>
      </c>
      <c r="G3294" t="str">
        <f t="shared" si="307"/>
        <v>1F9CF</v>
      </c>
      <c r="I3294">
        <f>HEX2DEC(Table1[[#This Row],[utf8]])</f>
        <v>129487</v>
      </c>
      <c r="J3294" t="str">
        <f>_xlfn.UNICHAR(HEX2DEC(Table1[[#This Row],[utf8]]))</f>
        <v>🧏</v>
      </c>
      <c r="K3294" s="3" t="str" cm="1">
        <f t="array" ref="K3294">"Case "&amp;wRandomLetter()&amp;wRandomLetter()&amp;I3294&amp;":    UniConst = ChrW(" &amp; I3294 &amp;")"</f>
        <v>Case eM129487:    UniConst = ChrW(129487)</v>
      </c>
    </row>
    <row r="3295" spans="1:11" hidden="1">
      <c r="A3295" t="s">
        <v>834</v>
      </c>
      <c r="B3295" t="str">
        <f t="shared" si="308"/>
        <v>1F9CF 1F3FD 200D 2642 ; minimally-qualified # 🧏🏽‍♂ E12.0 deaf man: medium skin tone</v>
      </c>
      <c r="C3295" t="str">
        <f t="shared" si="309"/>
        <v xml:space="preserve">1F9CF 1F3FD 200D 2642 </v>
      </c>
      <c r="D3295">
        <f t="shared" si="310"/>
        <v>22</v>
      </c>
      <c r="E3295" t="str">
        <f t="shared" si="306"/>
        <v xml:space="preserve"> 🧏🏽‍♂ E12.0 deaf man: medium skin tone</v>
      </c>
      <c r="F3295" t="b">
        <f t="shared" si="311"/>
        <v>1</v>
      </c>
      <c r="G3295" t="str">
        <f t="shared" si="307"/>
        <v>1F9CF</v>
      </c>
      <c r="I3295">
        <f>HEX2DEC(Table1[[#This Row],[utf8]])</f>
        <v>129487</v>
      </c>
      <c r="J3295" t="str">
        <f>_xlfn.UNICHAR(HEX2DEC(Table1[[#This Row],[utf8]]))</f>
        <v>🧏</v>
      </c>
      <c r="K3295" s="3" t="str" cm="1">
        <f t="array" ref="K3295">"Case "&amp;wRandomLetter()&amp;wRandomLetter()&amp;I3295&amp;":    UniConst = ChrW(" &amp; I3295 &amp;")"</f>
        <v>Case sw129487:    UniConst = ChrW(129487)</v>
      </c>
    </row>
    <row r="3296" spans="1:11" hidden="1">
      <c r="A3296" t="s">
        <v>833</v>
      </c>
      <c r="B3296" t="str">
        <f t="shared" si="308"/>
        <v>1F9CF 1F3FD 200D 2642 FE0F ; fully-qualified # 🧏🏽‍♂️ E12.0 deaf man: medium skin tone</v>
      </c>
      <c r="C3296" t="str">
        <f t="shared" si="309"/>
        <v xml:space="preserve">1F9CF 1F3FD 200D 2642 FE0F </v>
      </c>
      <c r="D3296">
        <f t="shared" si="310"/>
        <v>27</v>
      </c>
      <c r="E3296" t="str">
        <f t="shared" si="306"/>
        <v xml:space="preserve"> 🧏🏽‍♂️ E12.0 deaf man: medium skin tone</v>
      </c>
      <c r="F3296" t="b">
        <f t="shared" si="311"/>
        <v>1</v>
      </c>
      <c r="G3296" t="str">
        <f t="shared" si="307"/>
        <v>1F9CF</v>
      </c>
      <c r="I3296">
        <f>HEX2DEC(Table1[[#This Row],[utf8]])</f>
        <v>129487</v>
      </c>
      <c r="J3296" t="str">
        <f>_xlfn.UNICHAR(HEX2DEC(Table1[[#This Row],[utf8]]))</f>
        <v>🧏</v>
      </c>
      <c r="K3296" s="3" t="str" cm="1">
        <f t="array" ref="K3296">"Case "&amp;wRandomLetter()&amp;wRandomLetter()&amp;I3296&amp;":    UniConst = ChrW(" &amp; I3296 &amp;")"</f>
        <v>Case TP129487:    UniConst = ChrW(129487)</v>
      </c>
    </row>
    <row r="3297" spans="1:11" hidden="1">
      <c r="A3297" t="s">
        <v>825</v>
      </c>
      <c r="B3297" t="str">
        <f t="shared" si="308"/>
        <v>1F9CF 1F3FE ; fully-qualified # 🧏🏾 E12.0 deaf person: medium-dark skin tone</v>
      </c>
      <c r="C3297" t="str">
        <f t="shared" si="309"/>
        <v xml:space="preserve">1F9CF 1F3FE </v>
      </c>
      <c r="D3297">
        <f t="shared" si="310"/>
        <v>12</v>
      </c>
      <c r="E3297" t="str">
        <f t="shared" si="306"/>
        <v xml:space="preserve"> 🧏🏾 E12.0 deaf person: medium-dark skin tone</v>
      </c>
      <c r="F3297" t="b">
        <f t="shared" si="311"/>
        <v>1</v>
      </c>
      <c r="G3297" t="str">
        <f t="shared" si="307"/>
        <v>1F9CF</v>
      </c>
      <c r="I3297">
        <f>HEX2DEC(Table1[[#This Row],[utf8]])</f>
        <v>129487</v>
      </c>
      <c r="J3297" t="str">
        <f>_xlfn.UNICHAR(HEX2DEC(Table1[[#This Row],[utf8]]))</f>
        <v>🧏</v>
      </c>
      <c r="K3297" s="3" t="str" cm="1">
        <f t="array" ref="K3297">"Case "&amp;wRandomLetter()&amp;wRandomLetter()&amp;I3297&amp;":    UniConst = ChrW(" &amp; I3297 &amp;")"</f>
        <v>Case Hv129487:    UniConst = ChrW(129487)</v>
      </c>
    </row>
    <row r="3298" spans="1:11" hidden="1">
      <c r="A3298" t="s">
        <v>848</v>
      </c>
      <c r="B3298" t="str">
        <f t="shared" si="308"/>
        <v>1F9CF 1F3FE 200D 2640 ; minimally-qualified # 🧏🏾‍♀ E12.0 deaf woman: medium-dark skin tone</v>
      </c>
      <c r="C3298" t="str">
        <f t="shared" si="309"/>
        <v xml:space="preserve">1F9CF 1F3FE 200D 2640 </v>
      </c>
      <c r="D3298">
        <f t="shared" si="310"/>
        <v>22</v>
      </c>
      <c r="E3298" t="str">
        <f t="shared" si="306"/>
        <v xml:space="preserve"> 🧏🏾‍♀ E12.0 deaf woman: medium-dark skin tone</v>
      </c>
      <c r="F3298" t="b">
        <f t="shared" si="311"/>
        <v>1</v>
      </c>
      <c r="G3298" t="str">
        <f t="shared" si="307"/>
        <v>1F9CF</v>
      </c>
      <c r="I3298">
        <f>HEX2DEC(Table1[[#This Row],[utf8]])</f>
        <v>129487</v>
      </c>
      <c r="J3298" t="str">
        <f>_xlfn.UNICHAR(HEX2DEC(Table1[[#This Row],[utf8]]))</f>
        <v>🧏</v>
      </c>
      <c r="K3298" s="3" t="str" cm="1">
        <f t="array" ref="K3298">"Case "&amp;wRandomLetter()&amp;wRandomLetter()&amp;I3298&amp;":    UniConst = ChrW(" &amp; I3298 &amp;")"</f>
        <v>Case yL129487:    UniConst = ChrW(129487)</v>
      </c>
    </row>
    <row r="3299" spans="1:11" hidden="1">
      <c r="A3299" t="s">
        <v>847</v>
      </c>
      <c r="B3299" t="str">
        <f t="shared" si="308"/>
        <v>1F9CF 1F3FE 200D 2640 FE0F ; fully-qualified # 🧏🏾‍♀️ E12.0 deaf woman: medium-dark skin tone</v>
      </c>
      <c r="C3299" t="str">
        <f t="shared" si="309"/>
        <v xml:space="preserve">1F9CF 1F3FE 200D 2640 FE0F </v>
      </c>
      <c r="D3299">
        <f t="shared" si="310"/>
        <v>27</v>
      </c>
      <c r="E3299" t="str">
        <f t="shared" si="306"/>
        <v xml:space="preserve"> 🧏🏾‍♀️ E12.0 deaf woman: medium-dark skin tone</v>
      </c>
      <c r="F3299" t="b">
        <f t="shared" si="311"/>
        <v>1</v>
      </c>
      <c r="G3299" t="str">
        <f t="shared" si="307"/>
        <v>1F9CF</v>
      </c>
      <c r="I3299">
        <f>HEX2DEC(Table1[[#This Row],[utf8]])</f>
        <v>129487</v>
      </c>
      <c r="J3299" t="str">
        <f>_xlfn.UNICHAR(HEX2DEC(Table1[[#This Row],[utf8]]))</f>
        <v>🧏</v>
      </c>
      <c r="K3299" s="3" t="str" cm="1">
        <f t="array" ref="K3299">"Case "&amp;wRandomLetter()&amp;wRandomLetter()&amp;I3299&amp;":    UniConst = ChrW(" &amp; I3299 &amp;")"</f>
        <v>Case ff129487:    UniConst = ChrW(129487)</v>
      </c>
    </row>
    <row r="3300" spans="1:11" hidden="1">
      <c r="A3300" t="s">
        <v>836</v>
      </c>
      <c r="B3300" t="str">
        <f t="shared" si="308"/>
        <v>1F9CF 1F3FE 200D 2642 ; minimally-qualified # 🧏🏾‍♂ E12.0 deaf man: medium-dark skin tone</v>
      </c>
      <c r="C3300" t="str">
        <f t="shared" si="309"/>
        <v xml:space="preserve">1F9CF 1F3FE 200D 2642 </v>
      </c>
      <c r="D3300">
        <f t="shared" si="310"/>
        <v>22</v>
      </c>
      <c r="E3300" t="str">
        <f t="shared" si="306"/>
        <v xml:space="preserve"> 🧏🏾‍♂ E12.0 deaf man: medium-dark skin tone</v>
      </c>
      <c r="F3300" t="b">
        <f t="shared" si="311"/>
        <v>1</v>
      </c>
      <c r="G3300" t="str">
        <f t="shared" si="307"/>
        <v>1F9CF</v>
      </c>
      <c r="I3300">
        <f>HEX2DEC(Table1[[#This Row],[utf8]])</f>
        <v>129487</v>
      </c>
      <c r="J3300" t="str">
        <f>_xlfn.UNICHAR(HEX2DEC(Table1[[#This Row],[utf8]]))</f>
        <v>🧏</v>
      </c>
      <c r="K3300" s="3" t="str" cm="1">
        <f t="array" ref="K3300">"Case "&amp;wRandomLetter()&amp;wRandomLetter()&amp;I3300&amp;":    UniConst = ChrW(" &amp; I3300 &amp;")"</f>
        <v>Case AE129487:    UniConst = ChrW(129487)</v>
      </c>
    </row>
    <row r="3301" spans="1:11" hidden="1">
      <c r="A3301" t="s">
        <v>835</v>
      </c>
      <c r="B3301" t="str">
        <f t="shared" si="308"/>
        <v>1F9CF 1F3FE 200D 2642 FE0F ; fully-qualified # 🧏🏾‍♂️ E12.0 deaf man: medium-dark skin tone</v>
      </c>
      <c r="C3301" t="str">
        <f t="shared" si="309"/>
        <v xml:space="preserve">1F9CF 1F3FE 200D 2642 FE0F </v>
      </c>
      <c r="D3301">
        <f t="shared" si="310"/>
        <v>27</v>
      </c>
      <c r="E3301" t="str">
        <f t="shared" si="306"/>
        <v xml:space="preserve"> 🧏🏾‍♂️ E12.0 deaf man: medium-dark skin tone</v>
      </c>
      <c r="F3301" t="b">
        <f t="shared" si="311"/>
        <v>1</v>
      </c>
      <c r="G3301" t="str">
        <f t="shared" si="307"/>
        <v>1F9CF</v>
      </c>
      <c r="I3301">
        <f>HEX2DEC(Table1[[#This Row],[utf8]])</f>
        <v>129487</v>
      </c>
      <c r="J3301" t="str">
        <f>_xlfn.UNICHAR(HEX2DEC(Table1[[#This Row],[utf8]]))</f>
        <v>🧏</v>
      </c>
      <c r="K3301" s="3" t="str" cm="1">
        <f t="array" ref="K3301">"Case "&amp;wRandomLetter()&amp;wRandomLetter()&amp;I3301&amp;":    UniConst = ChrW(" &amp; I3301 &amp;")"</f>
        <v>Case YS129487:    UniConst = ChrW(129487)</v>
      </c>
    </row>
    <row r="3302" spans="1:11" hidden="1">
      <c r="A3302" t="s">
        <v>826</v>
      </c>
      <c r="B3302" t="str">
        <f t="shared" si="308"/>
        <v>1F9CF 1F3FF ; fully-qualified # 🧏🏿 E12.0 deaf person: dark skin tone</v>
      </c>
      <c r="C3302" t="str">
        <f t="shared" si="309"/>
        <v xml:space="preserve">1F9CF 1F3FF </v>
      </c>
      <c r="D3302">
        <f t="shared" si="310"/>
        <v>12</v>
      </c>
      <c r="E3302" t="str">
        <f t="shared" si="306"/>
        <v xml:space="preserve"> 🧏🏿 E12.0 deaf person: dark skin tone</v>
      </c>
      <c r="F3302" t="b">
        <f t="shared" si="311"/>
        <v>1</v>
      </c>
      <c r="G3302" t="str">
        <f t="shared" si="307"/>
        <v>1F9CF</v>
      </c>
      <c r="I3302">
        <f>HEX2DEC(Table1[[#This Row],[utf8]])</f>
        <v>129487</v>
      </c>
      <c r="J3302" t="str">
        <f>_xlfn.UNICHAR(HEX2DEC(Table1[[#This Row],[utf8]]))</f>
        <v>🧏</v>
      </c>
      <c r="K3302" s="3" t="str" cm="1">
        <f t="array" ref="K3302">"Case "&amp;wRandomLetter()&amp;wRandomLetter()&amp;I3302&amp;":    UniConst = ChrW(" &amp; I3302 &amp;")"</f>
        <v>Case Iu129487:    UniConst = ChrW(129487)</v>
      </c>
    </row>
    <row r="3303" spans="1:11" hidden="1">
      <c r="A3303" t="s">
        <v>850</v>
      </c>
      <c r="B3303" t="str">
        <f t="shared" si="308"/>
        <v>1F9CF 1F3FF 200D 2640 ; minimally-qualified # 🧏🏿‍♀ E12.0 deaf woman: dark skin tone</v>
      </c>
      <c r="C3303" t="str">
        <f t="shared" si="309"/>
        <v xml:space="preserve">1F9CF 1F3FF 200D 2640 </v>
      </c>
      <c r="D3303">
        <f t="shared" si="310"/>
        <v>22</v>
      </c>
      <c r="E3303" t="str">
        <f t="shared" si="306"/>
        <v xml:space="preserve"> 🧏🏿‍♀ E12.0 deaf woman: dark skin tone</v>
      </c>
      <c r="F3303" t="b">
        <f t="shared" si="311"/>
        <v>1</v>
      </c>
      <c r="G3303" t="str">
        <f t="shared" si="307"/>
        <v>1F9CF</v>
      </c>
      <c r="I3303">
        <f>HEX2DEC(Table1[[#This Row],[utf8]])</f>
        <v>129487</v>
      </c>
      <c r="J3303" t="str">
        <f>_xlfn.UNICHAR(HEX2DEC(Table1[[#This Row],[utf8]]))</f>
        <v>🧏</v>
      </c>
      <c r="K3303" s="3" t="str" cm="1">
        <f t="array" ref="K3303">"Case "&amp;wRandomLetter()&amp;wRandomLetter()&amp;I3303&amp;":    UniConst = ChrW(" &amp; I3303 &amp;")"</f>
        <v>Case PS129487:    UniConst = ChrW(129487)</v>
      </c>
    </row>
    <row r="3304" spans="1:11" hidden="1">
      <c r="A3304" t="s">
        <v>849</v>
      </c>
      <c r="B3304" t="str">
        <f t="shared" si="308"/>
        <v>1F9CF 1F3FF 200D 2640 FE0F ; fully-qualified # 🧏🏿‍♀️ E12.0 deaf woman: dark skin tone</v>
      </c>
      <c r="C3304" t="str">
        <f t="shared" si="309"/>
        <v xml:space="preserve">1F9CF 1F3FF 200D 2640 FE0F </v>
      </c>
      <c r="D3304">
        <f t="shared" si="310"/>
        <v>27</v>
      </c>
      <c r="E3304" t="str">
        <f t="shared" si="306"/>
        <v xml:space="preserve"> 🧏🏿‍♀️ E12.0 deaf woman: dark skin tone</v>
      </c>
      <c r="F3304" t="b">
        <f t="shared" si="311"/>
        <v>1</v>
      </c>
      <c r="G3304" t="str">
        <f t="shared" si="307"/>
        <v>1F9CF</v>
      </c>
      <c r="I3304">
        <f>HEX2DEC(Table1[[#This Row],[utf8]])</f>
        <v>129487</v>
      </c>
      <c r="J3304" t="str">
        <f>_xlfn.UNICHAR(HEX2DEC(Table1[[#This Row],[utf8]]))</f>
        <v>🧏</v>
      </c>
      <c r="K3304" s="3" t="str" cm="1">
        <f t="array" ref="K3304">"Case "&amp;wRandomLetter()&amp;wRandomLetter()&amp;I3304&amp;":    UniConst = ChrW(" &amp; I3304 &amp;")"</f>
        <v>Case VA129487:    UniConst = ChrW(129487)</v>
      </c>
    </row>
    <row r="3305" spans="1:11" hidden="1">
      <c r="A3305" t="s">
        <v>838</v>
      </c>
      <c r="B3305" t="str">
        <f t="shared" si="308"/>
        <v>1F9CF 1F3FF 200D 2642 ; minimally-qualified # 🧏🏿‍♂ E12.0 deaf man: dark skin tone</v>
      </c>
      <c r="C3305" t="str">
        <f t="shared" si="309"/>
        <v xml:space="preserve">1F9CF 1F3FF 200D 2642 </v>
      </c>
      <c r="D3305">
        <f t="shared" si="310"/>
        <v>22</v>
      </c>
      <c r="E3305" t="str">
        <f t="shared" si="306"/>
        <v xml:space="preserve"> 🧏🏿‍♂ E12.0 deaf man: dark skin tone</v>
      </c>
      <c r="F3305" t="b">
        <f t="shared" si="311"/>
        <v>1</v>
      </c>
      <c r="G3305" t="str">
        <f t="shared" si="307"/>
        <v>1F9CF</v>
      </c>
      <c r="I3305">
        <f>HEX2DEC(Table1[[#This Row],[utf8]])</f>
        <v>129487</v>
      </c>
      <c r="J3305" t="str">
        <f>_xlfn.UNICHAR(HEX2DEC(Table1[[#This Row],[utf8]]))</f>
        <v>🧏</v>
      </c>
      <c r="K3305" s="3" t="str" cm="1">
        <f t="array" ref="K3305">"Case "&amp;wRandomLetter()&amp;wRandomLetter()&amp;I3305&amp;":    UniConst = ChrW(" &amp; I3305 &amp;")"</f>
        <v>Case FR129487:    UniConst = ChrW(129487)</v>
      </c>
    </row>
    <row r="3306" spans="1:11" hidden="1">
      <c r="A3306" t="s">
        <v>837</v>
      </c>
      <c r="B3306" t="str">
        <f t="shared" si="308"/>
        <v>1F9CF 1F3FF 200D 2642 FE0F ; fully-qualified # 🧏🏿‍♂️ E12.0 deaf man: dark skin tone</v>
      </c>
      <c r="C3306" t="str">
        <f t="shared" si="309"/>
        <v xml:space="preserve">1F9CF 1F3FF 200D 2642 FE0F </v>
      </c>
      <c r="D3306">
        <f t="shared" si="310"/>
        <v>27</v>
      </c>
      <c r="E3306" t="str">
        <f t="shared" si="306"/>
        <v xml:space="preserve"> 🧏🏿‍♂️ E12.0 deaf man: dark skin tone</v>
      </c>
      <c r="F3306" t="b">
        <f t="shared" si="311"/>
        <v>1</v>
      </c>
      <c r="G3306" t="str">
        <f t="shared" si="307"/>
        <v>1F9CF</v>
      </c>
      <c r="I3306">
        <f>HEX2DEC(Table1[[#This Row],[utf8]])</f>
        <v>129487</v>
      </c>
      <c r="J3306" t="str">
        <f>_xlfn.UNICHAR(HEX2DEC(Table1[[#This Row],[utf8]]))</f>
        <v>🧏</v>
      </c>
      <c r="K3306" s="3" t="str" cm="1">
        <f t="array" ref="K3306">"Case "&amp;wRandomLetter()&amp;wRandomLetter()&amp;I3306&amp;":    UniConst = ChrW(" &amp; I3306 &amp;")"</f>
        <v>Case gn129487:    UniConst = ChrW(129487)</v>
      </c>
    </row>
    <row r="3307" spans="1:11" hidden="1">
      <c r="A3307" t="s">
        <v>840</v>
      </c>
      <c r="B3307" t="str">
        <f t="shared" si="308"/>
        <v>1F9CF 200D 2640 ; minimally-qualified # 🧏‍♀ E12.0 deaf woman</v>
      </c>
      <c r="C3307" t="str">
        <f t="shared" si="309"/>
        <v xml:space="preserve">1F9CF 200D 2640 </v>
      </c>
      <c r="D3307">
        <f t="shared" si="310"/>
        <v>16</v>
      </c>
      <c r="E3307" t="str">
        <f t="shared" si="306"/>
        <v xml:space="preserve"> 🧏‍♀ E12.0 deaf woman</v>
      </c>
      <c r="F3307" t="b">
        <f t="shared" si="311"/>
        <v>1</v>
      </c>
      <c r="G3307" t="str">
        <f t="shared" si="307"/>
        <v>1F9CF</v>
      </c>
      <c r="I3307">
        <f>HEX2DEC(Table1[[#This Row],[utf8]])</f>
        <v>129487</v>
      </c>
      <c r="J3307" t="str">
        <f>_xlfn.UNICHAR(HEX2DEC(Table1[[#This Row],[utf8]]))</f>
        <v>🧏</v>
      </c>
      <c r="K3307" s="3" t="str" cm="1">
        <f t="array" ref="K3307">"Case "&amp;wRandomLetter()&amp;wRandomLetter()&amp;I3307&amp;":    UniConst = ChrW(" &amp; I3307 &amp;")"</f>
        <v>Case Zq129487:    UniConst = ChrW(129487)</v>
      </c>
    </row>
    <row r="3308" spans="1:11" hidden="1">
      <c r="A3308" t="s">
        <v>839</v>
      </c>
      <c r="B3308" t="str">
        <f t="shared" si="308"/>
        <v>1F9CF 200D 2640 FE0F ; fully-qualified # 🧏‍♀️ E12.0 deaf woman</v>
      </c>
      <c r="C3308" t="str">
        <f t="shared" si="309"/>
        <v xml:space="preserve">1F9CF 200D 2640 FE0F </v>
      </c>
      <c r="D3308">
        <f t="shared" si="310"/>
        <v>21</v>
      </c>
      <c r="E3308" t="str">
        <f t="shared" si="306"/>
        <v xml:space="preserve"> 🧏‍♀️ E12.0 deaf woman</v>
      </c>
      <c r="F3308" t="b">
        <f t="shared" si="311"/>
        <v>1</v>
      </c>
      <c r="G3308" t="str">
        <f t="shared" si="307"/>
        <v>1F9CF</v>
      </c>
      <c r="I3308">
        <f>HEX2DEC(Table1[[#This Row],[utf8]])</f>
        <v>129487</v>
      </c>
      <c r="J3308" t="str">
        <f>_xlfn.UNICHAR(HEX2DEC(Table1[[#This Row],[utf8]]))</f>
        <v>🧏</v>
      </c>
      <c r="K3308" s="3" t="str" cm="1">
        <f t="array" ref="K3308">"Case "&amp;wRandomLetter()&amp;wRandomLetter()&amp;I3308&amp;":    UniConst = ChrW(" &amp; I3308 &amp;")"</f>
        <v>Case eN129487:    UniConst = ChrW(129487)</v>
      </c>
    </row>
    <row r="3309" spans="1:11" hidden="1">
      <c r="A3309" t="s">
        <v>828</v>
      </c>
      <c r="B3309" t="str">
        <f t="shared" si="308"/>
        <v>1F9CF 200D 2642 ; minimally-qualified # 🧏‍♂ E12.0 deaf man</v>
      </c>
      <c r="C3309" t="str">
        <f t="shared" si="309"/>
        <v xml:space="preserve">1F9CF 200D 2642 </v>
      </c>
      <c r="D3309">
        <f t="shared" si="310"/>
        <v>16</v>
      </c>
      <c r="E3309" t="str">
        <f t="shared" si="306"/>
        <v xml:space="preserve"> 🧏‍♂ E12.0 deaf man</v>
      </c>
      <c r="F3309" t="b">
        <f t="shared" si="311"/>
        <v>1</v>
      </c>
      <c r="G3309" t="str">
        <f t="shared" si="307"/>
        <v>1F9CF</v>
      </c>
      <c r="I3309">
        <f>HEX2DEC(Table1[[#This Row],[utf8]])</f>
        <v>129487</v>
      </c>
      <c r="J3309" t="str">
        <f>_xlfn.UNICHAR(HEX2DEC(Table1[[#This Row],[utf8]]))</f>
        <v>🧏</v>
      </c>
      <c r="K3309" s="3" t="str" cm="1">
        <f t="array" ref="K3309">"Case "&amp;wRandomLetter()&amp;wRandomLetter()&amp;I3309&amp;":    UniConst = ChrW(" &amp; I3309 &amp;")"</f>
        <v>Case jg129487:    UniConst = ChrW(129487)</v>
      </c>
    </row>
    <row r="3310" spans="1:11" hidden="1">
      <c r="A3310" t="s">
        <v>827</v>
      </c>
      <c r="B3310" t="str">
        <f t="shared" si="308"/>
        <v>1F9CF 200D 2642 FE0F ; fully-qualified # 🧏‍♂️ E12.0 deaf man</v>
      </c>
      <c r="C3310" t="str">
        <f t="shared" si="309"/>
        <v xml:space="preserve">1F9CF 200D 2642 FE0F </v>
      </c>
      <c r="D3310">
        <f t="shared" si="310"/>
        <v>21</v>
      </c>
      <c r="E3310" t="str">
        <f t="shared" si="306"/>
        <v xml:space="preserve"> 🧏‍♂️ E12.0 deaf man</v>
      </c>
      <c r="F3310" t="b">
        <f t="shared" si="311"/>
        <v>1</v>
      </c>
      <c r="G3310" t="str">
        <f t="shared" si="307"/>
        <v>1F9CF</v>
      </c>
      <c r="I3310">
        <f>HEX2DEC(Table1[[#This Row],[utf8]])</f>
        <v>129487</v>
      </c>
      <c r="J3310" t="str">
        <f>_xlfn.UNICHAR(HEX2DEC(Table1[[#This Row],[utf8]]))</f>
        <v>🧏</v>
      </c>
      <c r="K3310" s="3" t="str" cm="1">
        <f t="array" ref="K3310">"Case "&amp;wRandomLetter()&amp;wRandomLetter()&amp;I3310&amp;":    UniConst = ChrW(" &amp; I3310 &amp;")"</f>
        <v>Case Ww129487:    UniConst = ChrW(129487)</v>
      </c>
    </row>
    <row r="3311" spans="1:11" hidden="1">
      <c r="A3311" t="s">
        <v>78</v>
      </c>
      <c r="B3311" t="str">
        <f t="shared" si="308"/>
        <v>1F9D0 ; fully-qualified # 🧐 E5.0 face with monocle</v>
      </c>
      <c r="C3311" t="str">
        <f t="shared" si="309"/>
        <v xml:space="preserve">1F9D0 </v>
      </c>
      <c r="D3311">
        <f t="shared" si="310"/>
        <v>6</v>
      </c>
      <c r="E3311" t="str">
        <f t="shared" si="306"/>
        <v xml:space="preserve"> 🧐 E5.0 face with monocle</v>
      </c>
      <c r="F3311" t="b">
        <f t="shared" si="311"/>
        <v>1</v>
      </c>
      <c r="G3311" t="str">
        <f t="shared" si="307"/>
        <v>1F9D0</v>
      </c>
      <c r="I3311">
        <f>HEX2DEC(Table1[[#This Row],[utf8]])</f>
        <v>129488</v>
      </c>
      <c r="J3311" t="str">
        <f>_xlfn.UNICHAR(HEX2DEC(Table1[[#This Row],[utf8]]))</f>
        <v>🧐</v>
      </c>
      <c r="K3311" s="3" t="str" cm="1">
        <f t="array" ref="K3311">"Case "&amp;wRandomLetter()&amp;wRandomLetter()&amp;I3311&amp;":    UniConst = ChrW(" &amp; I3311 &amp;")"</f>
        <v>Case jX129488:    UniConst = ChrW(129488)</v>
      </c>
    </row>
    <row r="3312" spans="1:11" hidden="1">
      <c r="A3312" t="s">
        <v>472</v>
      </c>
      <c r="B3312" t="str">
        <f t="shared" si="308"/>
        <v>1F9D1 ; fully-qualified # 🧑 E5.0 person</v>
      </c>
      <c r="C3312" t="str">
        <f t="shared" si="309"/>
        <v xml:space="preserve">1F9D1 </v>
      </c>
      <c r="D3312">
        <f t="shared" si="310"/>
        <v>6</v>
      </c>
      <c r="E3312" t="str">
        <f t="shared" si="306"/>
        <v xml:space="preserve"> 🧑 E5.0 person</v>
      </c>
      <c r="F3312" t="b">
        <f t="shared" si="311"/>
        <v>1</v>
      </c>
      <c r="G3312" t="str">
        <f t="shared" si="307"/>
        <v>1F9D1</v>
      </c>
      <c r="I3312">
        <f>HEX2DEC(Table1[[#This Row],[utf8]])</f>
        <v>129489</v>
      </c>
      <c r="J3312" t="str">
        <f>_xlfn.UNICHAR(HEX2DEC(Table1[[#This Row],[utf8]]))</f>
        <v>🧑</v>
      </c>
      <c r="K3312" s="3" t="str" cm="1">
        <f t="array" ref="K3312">"Case "&amp;wRandomLetter()&amp;wRandomLetter()&amp;I3312&amp;":    UniConst = ChrW(" &amp; I3312 &amp;")"</f>
        <v>Case dC129489:    UniConst = ChrW(129489)</v>
      </c>
    </row>
    <row r="3313" spans="1:11" hidden="1">
      <c r="A3313" t="s">
        <v>473</v>
      </c>
      <c r="B3313" t="str">
        <f t="shared" si="308"/>
        <v>1F9D1 1F3FB ; fully-qualified # 🧑🏻 E5.0 person: light skin tone</v>
      </c>
      <c r="C3313" t="str">
        <f t="shared" si="309"/>
        <v xml:space="preserve">1F9D1 1F3FB </v>
      </c>
      <c r="D3313">
        <f t="shared" si="310"/>
        <v>12</v>
      </c>
      <c r="E3313" t="str">
        <f t="shared" si="306"/>
        <v xml:space="preserve"> 🧑🏻 E5.0 person: light skin tone</v>
      </c>
      <c r="F3313" t="b">
        <f t="shared" si="311"/>
        <v>1</v>
      </c>
      <c r="G3313" t="str">
        <f t="shared" si="307"/>
        <v>1F9D1</v>
      </c>
      <c r="I3313">
        <f>HEX2DEC(Table1[[#This Row],[utf8]])</f>
        <v>129489</v>
      </c>
      <c r="J3313" t="str">
        <f>_xlfn.UNICHAR(HEX2DEC(Table1[[#This Row],[utf8]]))</f>
        <v>🧑</v>
      </c>
      <c r="K3313" s="3" t="str" cm="1">
        <f t="array" ref="K3313">"Case "&amp;wRandomLetter()&amp;wRandomLetter()&amp;I3313&amp;":    UniConst = ChrW(" &amp; I3313 &amp;")"</f>
        <v>Case Aa129489:    UniConst = ChrW(129489)</v>
      </c>
    </row>
    <row r="3314" spans="1:11" hidden="1">
      <c r="A3314" t="s">
        <v>1051</v>
      </c>
      <c r="B3314" t="str">
        <f t="shared" si="308"/>
        <v>1F9D1 1F3FB 200D 1F33E ; fully-qualified # 🧑🏻‍🌾 E12.1 farmer: light skin tone</v>
      </c>
      <c r="C3314" t="str">
        <f t="shared" si="309"/>
        <v xml:space="preserve">1F9D1 1F3FB 200D 1F33E </v>
      </c>
      <c r="D3314">
        <f t="shared" si="310"/>
        <v>23</v>
      </c>
      <c r="E3314" t="str">
        <f t="shared" si="306"/>
        <v xml:space="preserve"> 🧑🏻‍🌾 E12.1 farmer: light skin tone</v>
      </c>
      <c r="F3314" t="b">
        <f t="shared" si="311"/>
        <v>1</v>
      </c>
      <c r="G3314" t="str">
        <f t="shared" si="307"/>
        <v>1F9D1</v>
      </c>
      <c r="I3314">
        <f>HEX2DEC(Table1[[#This Row],[utf8]])</f>
        <v>129489</v>
      </c>
      <c r="J3314" t="str">
        <f>_xlfn.UNICHAR(HEX2DEC(Table1[[#This Row],[utf8]]))</f>
        <v>🧑</v>
      </c>
      <c r="K3314" s="3" t="str" cm="1">
        <f t="array" ref="K3314">"Case "&amp;wRandomLetter()&amp;wRandomLetter()&amp;I3314&amp;":    UniConst = ChrW(" &amp; I3314 &amp;")"</f>
        <v>Case Gi129489:    UniConst = ChrW(129489)</v>
      </c>
    </row>
    <row r="3315" spans="1:11" hidden="1">
      <c r="A3315" t="s">
        <v>1069</v>
      </c>
      <c r="B3315" t="str">
        <f t="shared" si="308"/>
        <v>1F9D1 1F3FB 200D 1F373 ; fully-qualified # 🧑🏻‍🍳 E12.1 cook: light skin tone</v>
      </c>
      <c r="C3315" t="str">
        <f t="shared" si="309"/>
        <v xml:space="preserve">1F9D1 1F3FB 200D 1F373 </v>
      </c>
      <c r="D3315">
        <f t="shared" si="310"/>
        <v>23</v>
      </c>
      <c r="E3315" t="str">
        <f t="shared" si="306"/>
        <v xml:space="preserve"> 🧑🏻‍🍳 E12.1 cook: light skin tone</v>
      </c>
      <c r="F3315" t="b">
        <f t="shared" si="311"/>
        <v>1</v>
      </c>
      <c r="G3315" t="str">
        <f t="shared" si="307"/>
        <v>1F9D1</v>
      </c>
      <c r="I3315">
        <f>HEX2DEC(Table1[[#This Row],[utf8]])</f>
        <v>129489</v>
      </c>
      <c r="J3315" t="str">
        <f>_xlfn.UNICHAR(HEX2DEC(Table1[[#This Row],[utf8]]))</f>
        <v>🧑</v>
      </c>
      <c r="K3315" s="3" t="str" cm="1">
        <f t="array" ref="K3315">"Case "&amp;wRandomLetter()&amp;wRandomLetter()&amp;I3315&amp;":    UniConst = ChrW(" &amp; I3315 &amp;")"</f>
        <v>Case Wu129489:    UniConst = ChrW(129489)</v>
      </c>
    </row>
    <row r="3316" spans="1:11" hidden="1">
      <c r="A3316" t="s">
        <v>1554</v>
      </c>
      <c r="B3316" t="str">
        <f t="shared" si="308"/>
        <v>1F9D1 1F3FB 200D 1F37C ; fully-qualified # 🧑🏻‍🍼 E13.0 person feeding baby: light skin tone</v>
      </c>
      <c r="C3316" t="str">
        <f t="shared" si="309"/>
        <v xml:space="preserve">1F9D1 1F3FB 200D 1F37C </v>
      </c>
      <c r="D3316">
        <f t="shared" si="310"/>
        <v>23</v>
      </c>
      <c r="E3316" t="str">
        <f t="shared" si="306"/>
        <v xml:space="preserve"> 🧑🏻‍🍼 E13.0 person feeding baby: light skin tone</v>
      </c>
      <c r="F3316" t="b">
        <f t="shared" si="311"/>
        <v>1</v>
      </c>
      <c r="G3316" t="str">
        <f t="shared" si="307"/>
        <v>1F9D1</v>
      </c>
      <c r="I3316">
        <f>HEX2DEC(Table1[[#This Row],[utf8]])</f>
        <v>129489</v>
      </c>
      <c r="J3316" t="str">
        <f>_xlfn.UNICHAR(HEX2DEC(Table1[[#This Row],[utf8]]))</f>
        <v>🧑</v>
      </c>
      <c r="K3316" s="3" t="str" cm="1">
        <f t="array" ref="K3316">"Case "&amp;wRandomLetter()&amp;wRandomLetter()&amp;I3316&amp;":    UniConst = ChrW(" &amp; I3316 &amp;")"</f>
        <v>Case gr129489:    UniConst = ChrW(129489)</v>
      </c>
    </row>
    <row r="3317" spans="1:11" hidden="1">
      <c r="A3317" t="s">
        <v>1579</v>
      </c>
      <c r="B3317" t="str">
        <f t="shared" si="308"/>
        <v>1F9D1 1F3FB 200D 1F384 ; fully-qualified # 🧑🏻‍🎄 E13.0 mx claus: light skin tone</v>
      </c>
      <c r="C3317" t="str">
        <f t="shared" si="309"/>
        <v xml:space="preserve">1F9D1 1F3FB 200D 1F384 </v>
      </c>
      <c r="D3317">
        <f t="shared" si="310"/>
        <v>23</v>
      </c>
      <c r="E3317" t="str">
        <f t="shared" si="306"/>
        <v xml:space="preserve"> 🧑🏻‍🎄 E13.0 mx claus: light skin tone</v>
      </c>
      <c r="F3317" t="b">
        <f t="shared" si="311"/>
        <v>1</v>
      </c>
      <c r="G3317" t="str">
        <f t="shared" si="307"/>
        <v>1F9D1</v>
      </c>
      <c r="I3317">
        <f>HEX2DEC(Table1[[#This Row],[utf8]])</f>
        <v>129489</v>
      </c>
      <c r="J3317" t="str">
        <f>_xlfn.UNICHAR(HEX2DEC(Table1[[#This Row],[utf8]]))</f>
        <v>🧑</v>
      </c>
      <c r="K3317" s="3" t="str" cm="1">
        <f t="array" ref="K3317">"Case "&amp;wRandomLetter()&amp;wRandomLetter()&amp;I3317&amp;":    UniConst = ChrW(" &amp; I3317 &amp;")"</f>
        <v>Case Iq129489:    UniConst = ChrW(129489)</v>
      </c>
    </row>
    <row r="3318" spans="1:11" hidden="1">
      <c r="A3318" t="s">
        <v>979</v>
      </c>
      <c r="B3318" t="str">
        <f t="shared" si="308"/>
        <v>1F9D1 1F3FB 200D 1F393 ; fully-qualified # 🧑🏻‍🎓 E12.1 student: light skin tone</v>
      </c>
      <c r="C3318" t="str">
        <f t="shared" si="309"/>
        <v xml:space="preserve">1F9D1 1F3FB 200D 1F393 </v>
      </c>
      <c r="D3318">
        <f t="shared" si="310"/>
        <v>23</v>
      </c>
      <c r="E3318" t="str">
        <f t="shared" si="306"/>
        <v xml:space="preserve"> 🧑🏻‍🎓 E12.1 student: light skin tone</v>
      </c>
      <c r="F3318" t="b">
        <f t="shared" si="311"/>
        <v>1</v>
      </c>
      <c r="G3318" t="str">
        <f t="shared" si="307"/>
        <v>1F9D1</v>
      </c>
      <c r="I3318">
        <f>HEX2DEC(Table1[[#This Row],[utf8]])</f>
        <v>129489</v>
      </c>
      <c r="J3318" t="str">
        <f>_xlfn.UNICHAR(HEX2DEC(Table1[[#This Row],[utf8]]))</f>
        <v>🧑</v>
      </c>
      <c r="K3318" s="3" t="str" cm="1">
        <f t="array" ref="K3318">"Case "&amp;wRandomLetter()&amp;wRandomLetter()&amp;I3318&amp;":    UniConst = ChrW(" &amp; I3318 &amp;")"</f>
        <v>Case Wg129489:    UniConst = ChrW(129489)</v>
      </c>
    </row>
    <row r="3319" spans="1:11" hidden="1">
      <c r="A3319" t="s">
        <v>1177</v>
      </c>
      <c r="B3319" t="str">
        <f t="shared" si="308"/>
        <v>1F9D1 1F3FB 200D 1F3A4 ; fully-qualified # 🧑🏻‍🎤 E12.1 singer: light skin tone</v>
      </c>
      <c r="C3319" t="str">
        <f t="shared" si="309"/>
        <v xml:space="preserve">1F9D1 1F3FB 200D 1F3A4 </v>
      </c>
      <c r="D3319">
        <f t="shared" si="310"/>
        <v>23</v>
      </c>
      <c r="E3319" t="str">
        <f t="shared" si="306"/>
        <v xml:space="preserve"> 🧑🏻‍🎤 E12.1 singer: light skin tone</v>
      </c>
      <c r="F3319" t="b">
        <f t="shared" si="311"/>
        <v>1</v>
      </c>
      <c r="G3319" t="str">
        <f t="shared" si="307"/>
        <v>1F9D1</v>
      </c>
      <c r="I3319">
        <f>HEX2DEC(Table1[[#This Row],[utf8]])</f>
        <v>129489</v>
      </c>
      <c r="J3319" t="str">
        <f>_xlfn.UNICHAR(HEX2DEC(Table1[[#This Row],[utf8]]))</f>
        <v>🧑</v>
      </c>
      <c r="K3319" s="3" t="str" cm="1">
        <f t="array" ref="K3319">"Case "&amp;wRandomLetter()&amp;wRandomLetter()&amp;I3319&amp;":    UniConst = ChrW(" &amp; I3319 &amp;")"</f>
        <v>Case UQ129489:    UniConst = ChrW(129489)</v>
      </c>
    </row>
    <row r="3320" spans="1:11" hidden="1">
      <c r="A3320" t="s">
        <v>1195</v>
      </c>
      <c r="B3320" t="str">
        <f t="shared" si="308"/>
        <v>1F9D1 1F3FB 200D 1F3A8 ; fully-qualified # 🧑🏻‍🎨 E12.1 artist: light skin tone</v>
      </c>
      <c r="C3320" t="str">
        <f t="shared" si="309"/>
        <v xml:space="preserve">1F9D1 1F3FB 200D 1F3A8 </v>
      </c>
      <c r="D3320">
        <f t="shared" si="310"/>
        <v>23</v>
      </c>
      <c r="E3320" t="str">
        <f t="shared" si="306"/>
        <v xml:space="preserve"> 🧑🏻‍🎨 E12.1 artist: light skin tone</v>
      </c>
      <c r="F3320" t="b">
        <f t="shared" si="311"/>
        <v>1</v>
      </c>
      <c r="G3320" t="str">
        <f t="shared" si="307"/>
        <v>1F9D1</v>
      </c>
      <c r="I3320">
        <f>HEX2DEC(Table1[[#This Row],[utf8]])</f>
        <v>129489</v>
      </c>
      <c r="J3320" t="str">
        <f>_xlfn.UNICHAR(HEX2DEC(Table1[[#This Row],[utf8]]))</f>
        <v>🧑</v>
      </c>
      <c r="K3320" s="3" t="str" cm="1">
        <f t="array" ref="K3320">"Case "&amp;wRandomLetter()&amp;wRandomLetter()&amp;I3320&amp;":    UniConst = ChrW(" &amp; I3320 &amp;")"</f>
        <v>Case sv129489:    UniConst = ChrW(129489)</v>
      </c>
    </row>
    <row r="3321" spans="1:11" hidden="1">
      <c r="A3321" t="s">
        <v>997</v>
      </c>
      <c r="B3321" t="str">
        <f t="shared" si="308"/>
        <v>1F9D1 1F3FB 200D 1F3EB ; fully-qualified # 🧑🏻‍🏫 E12.1 teacher: light skin tone</v>
      </c>
      <c r="C3321" t="str">
        <f t="shared" si="309"/>
        <v xml:space="preserve">1F9D1 1F3FB 200D 1F3EB </v>
      </c>
      <c r="D3321">
        <f t="shared" si="310"/>
        <v>23</v>
      </c>
      <c r="E3321" t="str">
        <f t="shared" si="306"/>
        <v xml:space="preserve"> 🧑🏻‍🏫 E12.1 teacher: light skin tone</v>
      </c>
      <c r="F3321" t="b">
        <f t="shared" si="311"/>
        <v>1</v>
      </c>
      <c r="G3321" t="str">
        <f t="shared" si="307"/>
        <v>1F9D1</v>
      </c>
      <c r="I3321">
        <f>HEX2DEC(Table1[[#This Row],[utf8]])</f>
        <v>129489</v>
      </c>
      <c r="J3321" t="str">
        <f>_xlfn.UNICHAR(HEX2DEC(Table1[[#This Row],[utf8]]))</f>
        <v>🧑</v>
      </c>
      <c r="K3321" s="3" t="str" cm="1">
        <f t="array" ref="K3321">"Case "&amp;wRandomLetter()&amp;wRandomLetter()&amp;I3321&amp;":    UniConst = ChrW(" &amp; I3321 &amp;")"</f>
        <v>Case fd129489:    UniConst = ChrW(129489)</v>
      </c>
    </row>
    <row r="3322" spans="1:11" hidden="1">
      <c r="A3322" t="s">
        <v>1105</v>
      </c>
      <c r="B3322" t="str">
        <f t="shared" si="308"/>
        <v>1F9D1 1F3FB 200D 1F3ED ; fully-qualified # 🧑🏻‍🏭 E12.1 factory worker: light skin tone</v>
      </c>
      <c r="C3322" t="str">
        <f t="shared" si="309"/>
        <v xml:space="preserve">1F9D1 1F3FB 200D 1F3ED </v>
      </c>
      <c r="D3322">
        <f t="shared" si="310"/>
        <v>23</v>
      </c>
      <c r="E3322" t="str">
        <f t="shared" si="306"/>
        <v xml:space="preserve"> 🧑🏻‍🏭 E12.1 factory worker: light skin tone</v>
      </c>
      <c r="F3322" t="b">
        <f t="shared" si="311"/>
        <v>1</v>
      </c>
      <c r="G3322" t="str">
        <f t="shared" si="307"/>
        <v>1F9D1</v>
      </c>
      <c r="I3322">
        <f>HEX2DEC(Table1[[#This Row],[utf8]])</f>
        <v>129489</v>
      </c>
      <c r="J3322" t="str">
        <f>_xlfn.UNICHAR(HEX2DEC(Table1[[#This Row],[utf8]]))</f>
        <v>🧑</v>
      </c>
      <c r="K3322" s="3" t="str" cm="1">
        <f t="array" ref="K3322">"Case "&amp;wRandomLetter()&amp;wRandomLetter()&amp;I3322&amp;":    UniConst = ChrW(" &amp; I3322 &amp;")"</f>
        <v>Case Da129489:    UniConst = ChrW(129489)</v>
      </c>
    </row>
    <row r="3323" spans="1:11" hidden="1">
      <c r="A3323" t="s">
        <v>1159</v>
      </c>
      <c r="B3323" t="str">
        <f t="shared" si="308"/>
        <v>1F9D1 1F3FB 200D 1F4BB ; fully-qualified # 🧑🏻‍💻 E12.1 technologist: light skin tone</v>
      </c>
      <c r="C3323" t="str">
        <f t="shared" si="309"/>
        <v xml:space="preserve">1F9D1 1F3FB 200D 1F4BB </v>
      </c>
      <c r="D3323">
        <f t="shared" si="310"/>
        <v>23</v>
      </c>
      <c r="E3323" t="str">
        <f t="shared" si="306"/>
        <v xml:space="preserve"> 🧑🏻‍💻 E12.1 technologist: light skin tone</v>
      </c>
      <c r="F3323" t="b">
        <f t="shared" si="311"/>
        <v>1</v>
      </c>
      <c r="G3323" t="str">
        <f t="shared" si="307"/>
        <v>1F9D1</v>
      </c>
      <c r="I3323">
        <f>HEX2DEC(Table1[[#This Row],[utf8]])</f>
        <v>129489</v>
      </c>
      <c r="J3323" t="str">
        <f>_xlfn.UNICHAR(HEX2DEC(Table1[[#This Row],[utf8]]))</f>
        <v>🧑</v>
      </c>
      <c r="K3323" s="3" t="str" cm="1">
        <f t="array" ref="K3323">"Case "&amp;wRandomLetter()&amp;wRandomLetter()&amp;I3323&amp;":    UniConst = ChrW(" &amp; I3323 &amp;")"</f>
        <v>Case Sd129489:    UniConst = ChrW(129489)</v>
      </c>
    </row>
    <row r="3324" spans="1:11" hidden="1">
      <c r="A3324" t="s">
        <v>1123</v>
      </c>
      <c r="B3324" t="str">
        <f t="shared" si="308"/>
        <v>1F9D1 1F3FB 200D 1F4BC ; fully-qualified # 🧑🏻‍💼 E12.1 office worker: light skin tone</v>
      </c>
      <c r="C3324" t="str">
        <f t="shared" si="309"/>
        <v xml:space="preserve">1F9D1 1F3FB 200D 1F4BC </v>
      </c>
      <c r="D3324">
        <f t="shared" si="310"/>
        <v>23</v>
      </c>
      <c r="E3324" t="str">
        <f t="shared" si="306"/>
        <v xml:space="preserve"> 🧑🏻‍💼 E12.1 office worker: light skin tone</v>
      </c>
      <c r="F3324" t="b">
        <f t="shared" si="311"/>
        <v>1</v>
      </c>
      <c r="G3324" t="str">
        <f t="shared" si="307"/>
        <v>1F9D1</v>
      </c>
      <c r="I3324">
        <f>HEX2DEC(Table1[[#This Row],[utf8]])</f>
        <v>129489</v>
      </c>
      <c r="J3324" t="str">
        <f>_xlfn.UNICHAR(HEX2DEC(Table1[[#This Row],[utf8]]))</f>
        <v>🧑</v>
      </c>
      <c r="K3324" s="3" t="str" cm="1">
        <f t="array" ref="K3324">"Case "&amp;wRandomLetter()&amp;wRandomLetter()&amp;I3324&amp;":    UniConst = ChrW(" &amp; I3324 &amp;")"</f>
        <v>Case tG129489:    UniConst = ChrW(129489)</v>
      </c>
    </row>
    <row r="3325" spans="1:11" hidden="1">
      <c r="A3325" t="s">
        <v>1087</v>
      </c>
      <c r="B3325" t="str">
        <f t="shared" si="308"/>
        <v>1F9D1 1F3FB 200D 1F527 ; fully-qualified # 🧑🏻‍🔧 E12.1 mechanic: light skin tone</v>
      </c>
      <c r="C3325" t="str">
        <f t="shared" si="309"/>
        <v xml:space="preserve">1F9D1 1F3FB 200D 1F527 </v>
      </c>
      <c r="D3325">
        <f t="shared" si="310"/>
        <v>23</v>
      </c>
      <c r="E3325" t="str">
        <f t="shared" si="306"/>
        <v xml:space="preserve"> 🧑🏻‍🔧 E12.1 mechanic: light skin tone</v>
      </c>
      <c r="F3325" t="b">
        <f t="shared" si="311"/>
        <v>1</v>
      </c>
      <c r="G3325" t="str">
        <f t="shared" si="307"/>
        <v>1F9D1</v>
      </c>
      <c r="I3325">
        <f>HEX2DEC(Table1[[#This Row],[utf8]])</f>
        <v>129489</v>
      </c>
      <c r="J3325" t="str">
        <f>_xlfn.UNICHAR(HEX2DEC(Table1[[#This Row],[utf8]]))</f>
        <v>🧑</v>
      </c>
      <c r="K3325" s="3" t="str" cm="1">
        <f t="array" ref="K3325">"Case "&amp;wRandomLetter()&amp;wRandomLetter()&amp;I3325&amp;":    UniConst = ChrW(" &amp; I3325 &amp;")"</f>
        <v>Case RL129489:    UniConst = ChrW(129489)</v>
      </c>
    </row>
    <row r="3326" spans="1:11" hidden="1">
      <c r="A3326" t="s">
        <v>1141</v>
      </c>
      <c r="B3326" t="str">
        <f t="shared" si="308"/>
        <v>1F9D1 1F3FB 200D 1F52C ; fully-qualified # 🧑🏻‍🔬 E12.1 scientist: light skin tone</v>
      </c>
      <c r="C3326" t="str">
        <f t="shared" si="309"/>
        <v xml:space="preserve">1F9D1 1F3FB 200D 1F52C </v>
      </c>
      <c r="D3326">
        <f t="shared" si="310"/>
        <v>23</v>
      </c>
      <c r="E3326" t="str">
        <f t="shared" si="306"/>
        <v xml:space="preserve"> 🧑🏻‍🔬 E12.1 scientist: light skin tone</v>
      </c>
      <c r="F3326" t="b">
        <f t="shared" si="311"/>
        <v>1</v>
      </c>
      <c r="G3326" t="str">
        <f t="shared" si="307"/>
        <v>1F9D1</v>
      </c>
      <c r="I3326">
        <f>HEX2DEC(Table1[[#This Row],[utf8]])</f>
        <v>129489</v>
      </c>
      <c r="J3326" t="str">
        <f>_xlfn.UNICHAR(HEX2DEC(Table1[[#This Row],[utf8]]))</f>
        <v>🧑</v>
      </c>
      <c r="K3326" s="3" t="str" cm="1">
        <f t="array" ref="K3326">"Case "&amp;wRandomLetter()&amp;wRandomLetter()&amp;I3326&amp;":    UniConst = ChrW(" &amp; I3326 &amp;")"</f>
        <v>Case Wq129489:    UniConst = ChrW(129489)</v>
      </c>
    </row>
    <row r="3327" spans="1:11" hidden="1">
      <c r="A3327" t="s">
        <v>1249</v>
      </c>
      <c r="B3327" t="str">
        <f t="shared" si="308"/>
        <v>1F9D1 1F3FB 200D 1F680 ; fully-qualified # 🧑🏻‍🚀 E12.1 astronaut: light skin tone</v>
      </c>
      <c r="C3327" t="str">
        <f t="shared" si="309"/>
        <v xml:space="preserve">1F9D1 1F3FB 200D 1F680 </v>
      </c>
      <c r="D3327">
        <f t="shared" si="310"/>
        <v>23</v>
      </c>
      <c r="E3327" t="str">
        <f t="shared" si="306"/>
        <v xml:space="preserve"> 🧑🏻‍🚀 E12.1 astronaut: light skin tone</v>
      </c>
      <c r="F3327" t="b">
        <f t="shared" si="311"/>
        <v>1</v>
      </c>
      <c r="G3327" t="str">
        <f t="shared" si="307"/>
        <v>1F9D1</v>
      </c>
      <c r="I3327">
        <f>HEX2DEC(Table1[[#This Row],[utf8]])</f>
        <v>129489</v>
      </c>
      <c r="J3327" t="str">
        <f>_xlfn.UNICHAR(HEX2DEC(Table1[[#This Row],[utf8]]))</f>
        <v>🧑</v>
      </c>
      <c r="K3327" s="3" t="str" cm="1">
        <f t="array" ref="K3327">"Case "&amp;wRandomLetter()&amp;wRandomLetter()&amp;I3327&amp;":    UniConst = ChrW(" &amp; I3327 &amp;")"</f>
        <v>Case ON129489:    UniConst = ChrW(129489)</v>
      </c>
    </row>
    <row r="3328" spans="1:11" hidden="1">
      <c r="A3328" t="s">
        <v>1267</v>
      </c>
      <c r="B3328" t="str">
        <f t="shared" si="308"/>
        <v>1F9D1 1F3FB 200D 1F692 ; fully-qualified # 🧑🏻‍🚒 E12.1 firefighter: light skin tone</v>
      </c>
      <c r="C3328" t="str">
        <f t="shared" si="309"/>
        <v xml:space="preserve">1F9D1 1F3FB 200D 1F692 </v>
      </c>
      <c r="D3328">
        <f t="shared" si="310"/>
        <v>23</v>
      </c>
      <c r="E3328" t="str">
        <f t="shared" si="306"/>
        <v xml:space="preserve"> 🧑🏻‍🚒 E12.1 firefighter: light skin tone</v>
      </c>
      <c r="F3328" t="b">
        <f t="shared" si="311"/>
        <v>1</v>
      </c>
      <c r="G3328" t="str">
        <f t="shared" si="307"/>
        <v>1F9D1</v>
      </c>
      <c r="I3328">
        <f>HEX2DEC(Table1[[#This Row],[utf8]])</f>
        <v>129489</v>
      </c>
      <c r="J3328" t="str">
        <f>_xlfn.UNICHAR(HEX2DEC(Table1[[#This Row],[utf8]]))</f>
        <v>🧑</v>
      </c>
      <c r="K3328" s="3" t="str" cm="1">
        <f t="array" ref="K3328">"Case "&amp;wRandomLetter()&amp;wRandomLetter()&amp;I3328&amp;":    UniConst = ChrW(" &amp; I3328 &amp;")"</f>
        <v>Case NW129489:    UniConst = ChrW(129489)</v>
      </c>
    </row>
    <row r="3329" spans="1:11" hidden="1">
      <c r="A3329" t="s">
        <v>2564</v>
      </c>
      <c r="B3329" t="str">
        <f t="shared" si="308"/>
        <v>1F9D1 1F3FB 200D 1F91D 200D 1F9D1 1F3FB ; fully-qualified # 🧑🏻‍🤝‍🧑🏻 E12.0 people holding hands: light skin tone</v>
      </c>
      <c r="C3329" t="str">
        <f t="shared" si="309"/>
        <v xml:space="preserve">1F9D1 1F3FB 200D 1F91D 200D 1F9D1 1F3FB </v>
      </c>
      <c r="D3329">
        <f t="shared" si="310"/>
        <v>40</v>
      </c>
      <c r="E3329" t="str">
        <f t="shared" si="306"/>
        <v xml:space="preserve"> 🧑🏻‍🤝‍🧑🏻 E12.0 people holding hands: light skin tone</v>
      </c>
      <c r="F3329" t="b">
        <f t="shared" si="311"/>
        <v>1</v>
      </c>
      <c r="G3329" t="str">
        <f t="shared" si="307"/>
        <v>1F9D1</v>
      </c>
      <c r="I3329">
        <f>HEX2DEC(Table1[[#This Row],[utf8]])</f>
        <v>129489</v>
      </c>
      <c r="J3329" t="str">
        <f>_xlfn.UNICHAR(HEX2DEC(Table1[[#This Row],[utf8]]))</f>
        <v>🧑</v>
      </c>
      <c r="K3329" s="3" t="str" cm="1">
        <f t="array" ref="K3329">"Case "&amp;wRandomLetter()&amp;wRandomLetter()&amp;I3329&amp;":    UniConst = ChrW(" &amp; I3329 &amp;")"</f>
        <v>Case BO129489:    UniConst = ChrW(129489)</v>
      </c>
    </row>
    <row r="3330" spans="1:11" hidden="1">
      <c r="A3330" t="s">
        <v>2565</v>
      </c>
      <c r="B3330" t="str">
        <f t="shared" si="308"/>
        <v>1F9D1 1F3FB 200D 1F91D 200D 1F9D1 1F3FC ; fully-qualified # 🧑🏻‍🤝‍🧑🏼 E12.1 people holding hands: light skin tone, medium-light skin tone</v>
      </c>
      <c r="C3330" t="str">
        <f t="shared" si="309"/>
        <v xml:space="preserve">1F9D1 1F3FB 200D 1F91D 200D 1F9D1 1F3FC </v>
      </c>
      <c r="D3330">
        <f t="shared" si="310"/>
        <v>40</v>
      </c>
      <c r="E3330" t="str">
        <f t="shared" ref="E3330:E3393" si="312">MID(A3330,FIND("#",A3330)+1,256)</f>
        <v xml:space="preserve"> 🧑🏻‍🤝‍🧑🏼 E12.1 people holding hands: light skin tone, medium-light skin tone</v>
      </c>
      <c r="F3330" t="b">
        <f t="shared" si="311"/>
        <v>1</v>
      </c>
      <c r="G3330" t="str">
        <f t="shared" ref="G3330:G3393" si="313">LEFT(C3330,(FIND(" ",C3330,1)-1))</f>
        <v>1F9D1</v>
      </c>
      <c r="I3330">
        <f>HEX2DEC(Table1[[#This Row],[utf8]])</f>
        <v>129489</v>
      </c>
      <c r="J3330" t="str">
        <f>_xlfn.UNICHAR(HEX2DEC(Table1[[#This Row],[utf8]]))</f>
        <v>🧑</v>
      </c>
      <c r="K3330" s="3" t="str" cm="1">
        <f t="array" ref="K3330">"Case "&amp;wRandomLetter()&amp;wRandomLetter()&amp;I3330&amp;":    UniConst = ChrW(" &amp; I3330 &amp;")"</f>
        <v>Case tr129489:    UniConst = ChrW(129489)</v>
      </c>
    </row>
    <row r="3331" spans="1:11" hidden="1">
      <c r="A3331" t="s">
        <v>2566</v>
      </c>
      <c r="B3331" t="str">
        <f t="shared" ref="B3331:B3394" si="314">TRIM(A3331)</f>
        <v>1F9D1 1F3FB 200D 1F91D 200D 1F9D1 1F3FD ; fully-qualified # 🧑🏻‍🤝‍🧑🏽 E12.1 people holding hands: light skin tone, medium skin tone</v>
      </c>
      <c r="C3331" t="str">
        <f t="shared" ref="C3331:C3394" si="315">LEFT(B3331,(FIND(";",B3331,1)-1))</f>
        <v xml:space="preserve">1F9D1 1F3FB 200D 1F91D 200D 1F9D1 1F3FD </v>
      </c>
      <c r="D3331">
        <f t="shared" ref="D3331:D3394" si="316">LEN(C3331)</f>
        <v>40</v>
      </c>
      <c r="E3331" t="str">
        <f t="shared" si="312"/>
        <v xml:space="preserve"> 🧑🏻‍🤝‍🧑🏽 E12.1 people holding hands: light skin tone, medium skin tone</v>
      </c>
      <c r="F3331" t="b">
        <f t="shared" ref="F3331:F3394" si="317">IF(LEFT(C3331,2)="1F",TRUE,FALSE)</f>
        <v>1</v>
      </c>
      <c r="G3331" t="str">
        <f t="shared" si="313"/>
        <v>1F9D1</v>
      </c>
      <c r="I3331">
        <f>HEX2DEC(Table1[[#This Row],[utf8]])</f>
        <v>129489</v>
      </c>
      <c r="J3331" t="str">
        <f>_xlfn.UNICHAR(HEX2DEC(Table1[[#This Row],[utf8]]))</f>
        <v>🧑</v>
      </c>
      <c r="K3331" s="3" t="str" cm="1">
        <f t="array" ref="K3331">"Case "&amp;wRandomLetter()&amp;wRandomLetter()&amp;I3331&amp;":    UniConst = ChrW(" &amp; I3331 &amp;")"</f>
        <v>Case PC129489:    UniConst = ChrW(129489)</v>
      </c>
    </row>
    <row r="3332" spans="1:11" hidden="1">
      <c r="A3332" t="s">
        <v>2567</v>
      </c>
      <c r="B3332" t="str">
        <f t="shared" si="314"/>
        <v>1F9D1 1F3FB 200D 1F91D 200D 1F9D1 1F3FE ; fully-qualified # 🧑🏻‍🤝‍🧑🏾 E12.1 people holding hands: light skin tone, medium-dark skin tone</v>
      </c>
      <c r="C3332" t="str">
        <f t="shared" si="315"/>
        <v xml:space="preserve">1F9D1 1F3FB 200D 1F91D 200D 1F9D1 1F3FE </v>
      </c>
      <c r="D3332">
        <f t="shared" si="316"/>
        <v>40</v>
      </c>
      <c r="E3332" t="str">
        <f t="shared" si="312"/>
        <v xml:space="preserve"> 🧑🏻‍🤝‍🧑🏾 E12.1 people holding hands: light skin tone, medium-dark skin tone</v>
      </c>
      <c r="F3332" t="b">
        <f t="shared" si="317"/>
        <v>1</v>
      </c>
      <c r="G3332" t="str">
        <f t="shared" si="313"/>
        <v>1F9D1</v>
      </c>
      <c r="I3332">
        <f>HEX2DEC(Table1[[#This Row],[utf8]])</f>
        <v>129489</v>
      </c>
      <c r="J3332" t="str">
        <f>_xlfn.UNICHAR(HEX2DEC(Table1[[#This Row],[utf8]]))</f>
        <v>🧑</v>
      </c>
      <c r="K3332" s="3" t="str" cm="1">
        <f t="array" ref="K3332">"Case "&amp;wRandomLetter()&amp;wRandomLetter()&amp;I3332&amp;":    UniConst = ChrW(" &amp; I3332 &amp;")"</f>
        <v>Case eW129489:    UniConst = ChrW(129489)</v>
      </c>
    </row>
    <row r="3333" spans="1:11" hidden="1">
      <c r="A3333" t="s">
        <v>2568</v>
      </c>
      <c r="B3333" t="str">
        <f t="shared" si="314"/>
        <v>1F9D1 1F3FB 200D 1F91D 200D 1F9D1 1F3FF ; fully-qualified # 🧑🏻‍🤝‍🧑🏿 E12.1 people holding hands: light skin tone, dark skin tone</v>
      </c>
      <c r="C3333" t="str">
        <f t="shared" si="315"/>
        <v xml:space="preserve">1F9D1 1F3FB 200D 1F91D 200D 1F9D1 1F3FF </v>
      </c>
      <c r="D3333">
        <f t="shared" si="316"/>
        <v>40</v>
      </c>
      <c r="E3333" t="str">
        <f t="shared" si="312"/>
        <v xml:space="preserve"> 🧑🏻‍🤝‍🧑🏿 E12.1 people holding hands: light skin tone, dark skin tone</v>
      </c>
      <c r="F3333" t="b">
        <f t="shared" si="317"/>
        <v>1</v>
      </c>
      <c r="G3333" t="str">
        <f t="shared" si="313"/>
        <v>1F9D1</v>
      </c>
      <c r="I3333">
        <f>HEX2DEC(Table1[[#This Row],[utf8]])</f>
        <v>129489</v>
      </c>
      <c r="J3333" t="str">
        <f>_xlfn.UNICHAR(HEX2DEC(Table1[[#This Row],[utf8]]))</f>
        <v>🧑</v>
      </c>
      <c r="K3333" s="3" t="str" cm="1">
        <f t="array" ref="K3333">"Case "&amp;wRandomLetter()&amp;wRandomLetter()&amp;I3333&amp;":    UniConst = ChrW(" &amp; I3333 &amp;")"</f>
        <v>Case JT129489:    UniConst = ChrW(129489)</v>
      </c>
    </row>
    <row r="3334" spans="1:11" hidden="1">
      <c r="A3334" t="s">
        <v>1956</v>
      </c>
      <c r="B3334" t="str">
        <f t="shared" si="314"/>
        <v>1F9D1 1F3FB 200D 1F9AF ; fully-qualified # 🧑🏻‍🦯 E12.1 person with white cane: light skin tone</v>
      </c>
      <c r="C3334" t="str">
        <f t="shared" si="315"/>
        <v xml:space="preserve">1F9D1 1F3FB 200D 1F9AF </v>
      </c>
      <c r="D3334">
        <f t="shared" si="316"/>
        <v>23</v>
      </c>
      <c r="E3334" t="str">
        <f t="shared" si="312"/>
        <v xml:space="preserve"> 🧑🏻‍🦯 E12.1 person with white cane: light skin tone</v>
      </c>
      <c r="F3334" t="b">
        <f t="shared" si="317"/>
        <v>1</v>
      </c>
      <c r="G3334" t="str">
        <f t="shared" si="313"/>
        <v>1F9D1</v>
      </c>
      <c r="I3334">
        <f>HEX2DEC(Table1[[#This Row],[utf8]])</f>
        <v>129489</v>
      </c>
      <c r="J3334" t="str">
        <f>_xlfn.UNICHAR(HEX2DEC(Table1[[#This Row],[utf8]]))</f>
        <v>🧑</v>
      </c>
      <c r="K3334" s="3" t="str" cm="1">
        <f t="array" ref="K3334">"Case "&amp;wRandomLetter()&amp;wRandomLetter()&amp;I3334&amp;":    UniConst = ChrW(" &amp; I3334 &amp;")"</f>
        <v>Case yU129489:    UniConst = ChrW(129489)</v>
      </c>
    </row>
    <row r="3335" spans="1:11" hidden="1">
      <c r="A3335" t="s">
        <v>557</v>
      </c>
      <c r="B3335" t="str">
        <f t="shared" si="314"/>
        <v>1F9D1 1F3FB 200D 1F9B0 ; fully-qualified # 🧑🏻‍🦰 E12.1 person: light skin tone, red hair</v>
      </c>
      <c r="C3335" t="str">
        <f t="shared" si="315"/>
        <v xml:space="preserve">1F9D1 1F3FB 200D 1F9B0 </v>
      </c>
      <c r="D3335">
        <f t="shared" si="316"/>
        <v>23</v>
      </c>
      <c r="E3335" t="str">
        <f t="shared" si="312"/>
        <v xml:space="preserve"> 🧑🏻‍🦰 E12.1 person: light skin tone, red hair</v>
      </c>
      <c r="F3335" t="b">
        <f t="shared" si="317"/>
        <v>1</v>
      </c>
      <c r="G3335" t="str">
        <f t="shared" si="313"/>
        <v>1F9D1</v>
      </c>
      <c r="I3335">
        <f>HEX2DEC(Table1[[#This Row],[utf8]])</f>
        <v>129489</v>
      </c>
      <c r="J3335" t="str">
        <f>_xlfn.UNICHAR(HEX2DEC(Table1[[#This Row],[utf8]]))</f>
        <v>🧑</v>
      </c>
      <c r="K3335" s="3" t="str" cm="1">
        <f t="array" ref="K3335">"Case "&amp;wRandomLetter()&amp;wRandomLetter()&amp;I3335&amp;":    UniConst = ChrW(" &amp; I3335 &amp;")"</f>
        <v>Case yg129489:    UniConst = ChrW(129489)</v>
      </c>
    </row>
    <row r="3336" spans="1:11" hidden="1">
      <c r="A3336" t="s">
        <v>569</v>
      </c>
      <c r="B3336" t="str">
        <f t="shared" si="314"/>
        <v>1F9D1 1F3FB 200D 1F9B1 ; fully-qualified # 🧑🏻‍🦱 E12.1 person: light skin tone, curly hair</v>
      </c>
      <c r="C3336" t="str">
        <f t="shared" si="315"/>
        <v xml:space="preserve">1F9D1 1F3FB 200D 1F9B1 </v>
      </c>
      <c r="D3336">
        <f t="shared" si="316"/>
        <v>23</v>
      </c>
      <c r="E3336" t="str">
        <f t="shared" si="312"/>
        <v xml:space="preserve"> 🧑🏻‍🦱 E12.1 person: light skin tone, curly hair</v>
      </c>
      <c r="F3336" t="b">
        <f t="shared" si="317"/>
        <v>1</v>
      </c>
      <c r="G3336" t="str">
        <f t="shared" si="313"/>
        <v>1F9D1</v>
      </c>
      <c r="I3336">
        <f>HEX2DEC(Table1[[#This Row],[utf8]])</f>
        <v>129489</v>
      </c>
      <c r="J3336" t="str">
        <f>_xlfn.UNICHAR(HEX2DEC(Table1[[#This Row],[utf8]]))</f>
        <v>🧑</v>
      </c>
      <c r="K3336" s="3" t="str" cm="1">
        <f t="array" ref="K3336">"Case "&amp;wRandomLetter()&amp;wRandomLetter()&amp;I3336&amp;":    UniConst = ChrW(" &amp; I3336 &amp;")"</f>
        <v>Case hn129489:    UniConst = ChrW(129489)</v>
      </c>
    </row>
    <row r="3337" spans="1:11" hidden="1">
      <c r="A3337" t="s">
        <v>593</v>
      </c>
      <c r="B3337" t="str">
        <f t="shared" si="314"/>
        <v>1F9D1 1F3FB 200D 1F9B2 ; fully-qualified # 🧑🏻‍🦲 E12.1 person: light skin tone, bald</v>
      </c>
      <c r="C3337" t="str">
        <f t="shared" si="315"/>
        <v xml:space="preserve">1F9D1 1F3FB 200D 1F9B2 </v>
      </c>
      <c r="D3337">
        <f t="shared" si="316"/>
        <v>23</v>
      </c>
      <c r="E3337" t="str">
        <f t="shared" si="312"/>
        <v xml:space="preserve"> 🧑🏻‍🦲 E12.1 person: light skin tone, bald</v>
      </c>
      <c r="F3337" t="b">
        <f t="shared" si="317"/>
        <v>1</v>
      </c>
      <c r="G3337" t="str">
        <f t="shared" si="313"/>
        <v>1F9D1</v>
      </c>
      <c r="I3337">
        <f>HEX2DEC(Table1[[#This Row],[utf8]])</f>
        <v>129489</v>
      </c>
      <c r="J3337" t="str">
        <f>_xlfn.UNICHAR(HEX2DEC(Table1[[#This Row],[utf8]]))</f>
        <v>🧑</v>
      </c>
      <c r="K3337" s="3" t="str" cm="1">
        <f t="array" ref="K3337">"Case "&amp;wRandomLetter()&amp;wRandomLetter()&amp;I3337&amp;":    UniConst = ChrW(" &amp; I3337 &amp;")"</f>
        <v>Case Wj129489:    UniConst = ChrW(129489)</v>
      </c>
    </row>
    <row r="3338" spans="1:11" hidden="1">
      <c r="A3338" t="s">
        <v>581</v>
      </c>
      <c r="B3338" t="str">
        <f t="shared" si="314"/>
        <v>1F9D1 1F3FB 200D 1F9B3 ; fully-qualified # 🧑🏻‍🦳 E12.1 person: light skin tone, white hair</v>
      </c>
      <c r="C3338" t="str">
        <f t="shared" si="315"/>
        <v xml:space="preserve">1F9D1 1F3FB 200D 1F9B3 </v>
      </c>
      <c r="D3338">
        <f t="shared" si="316"/>
        <v>23</v>
      </c>
      <c r="E3338" t="str">
        <f t="shared" si="312"/>
        <v xml:space="preserve"> 🧑🏻‍🦳 E12.1 person: light skin tone, white hair</v>
      </c>
      <c r="F3338" t="b">
        <f t="shared" si="317"/>
        <v>1</v>
      </c>
      <c r="G3338" t="str">
        <f t="shared" si="313"/>
        <v>1F9D1</v>
      </c>
      <c r="I3338">
        <f>HEX2DEC(Table1[[#This Row],[utf8]])</f>
        <v>129489</v>
      </c>
      <c r="J3338" t="str">
        <f>_xlfn.UNICHAR(HEX2DEC(Table1[[#This Row],[utf8]]))</f>
        <v>🧑</v>
      </c>
      <c r="K3338" s="3" t="str" cm="1">
        <f t="array" ref="K3338">"Case "&amp;wRandomLetter()&amp;wRandomLetter()&amp;I3338&amp;":    UniConst = ChrW(" &amp; I3338 &amp;")"</f>
        <v>Case cR129489:    UniConst = ChrW(129489)</v>
      </c>
    </row>
    <row r="3339" spans="1:11" hidden="1">
      <c r="A3339" t="s">
        <v>1974</v>
      </c>
      <c r="B3339" t="str">
        <f t="shared" si="314"/>
        <v>1F9D1 1F3FB 200D 1F9BC ; fully-qualified # 🧑🏻‍🦼 E12.1 person in motorized wheelchair: light skin tone</v>
      </c>
      <c r="C3339" t="str">
        <f t="shared" si="315"/>
        <v xml:space="preserve">1F9D1 1F3FB 200D 1F9BC </v>
      </c>
      <c r="D3339">
        <f t="shared" si="316"/>
        <v>23</v>
      </c>
      <c r="E3339" t="str">
        <f t="shared" si="312"/>
        <v xml:space="preserve"> 🧑🏻‍🦼 E12.1 person in motorized wheelchair: light skin tone</v>
      </c>
      <c r="F3339" t="b">
        <f t="shared" si="317"/>
        <v>1</v>
      </c>
      <c r="G3339" t="str">
        <f t="shared" si="313"/>
        <v>1F9D1</v>
      </c>
      <c r="I3339">
        <f>HEX2DEC(Table1[[#This Row],[utf8]])</f>
        <v>129489</v>
      </c>
      <c r="J3339" t="str">
        <f>_xlfn.UNICHAR(HEX2DEC(Table1[[#This Row],[utf8]]))</f>
        <v>🧑</v>
      </c>
      <c r="K3339" s="3" t="str" cm="1">
        <f t="array" ref="K3339">"Case "&amp;wRandomLetter()&amp;wRandomLetter()&amp;I3339&amp;":    UniConst = ChrW(" &amp; I3339 &amp;")"</f>
        <v>Case uS129489:    UniConst = ChrW(129489)</v>
      </c>
    </row>
    <row r="3340" spans="1:11" hidden="1">
      <c r="A3340" t="s">
        <v>1992</v>
      </c>
      <c r="B3340" t="str">
        <f t="shared" si="314"/>
        <v>1F9D1 1F3FB 200D 1F9BD ; fully-qualified # 🧑🏻‍🦽 E12.1 person in manual wheelchair: light skin tone</v>
      </c>
      <c r="C3340" t="str">
        <f t="shared" si="315"/>
        <v xml:space="preserve">1F9D1 1F3FB 200D 1F9BD </v>
      </c>
      <c r="D3340">
        <f t="shared" si="316"/>
        <v>23</v>
      </c>
      <c r="E3340" t="str">
        <f t="shared" si="312"/>
        <v xml:space="preserve"> 🧑🏻‍🦽 E12.1 person in manual wheelchair: light skin tone</v>
      </c>
      <c r="F3340" t="b">
        <f t="shared" si="317"/>
        <v>1</v>
      </c>
      <c r="G3340" t="str">
        <f t="shared" si="313"/>
        <v>1F9D1</v>
      </c>
      <c r="I3340">
        <f>HEX2DEC(Table1[[#This Row],[utf8]])</f>
        <v>129489</v>
      </c>
      <c r="J3340" t="str">
        <f>_xlfn.UNICHAR(HEX2DEC(Table1[[#This Row],[utf8]]))</f>
        <v>🧑</v>
      </c>
      <c r="K3340" s="3" t="str" cm="1">
        <f t="array" ref="K3340">"Case "&amp;wRandomLetter()&amp;wRandomLetter()&amp;I3340&amp;":    UniConst = ChrW(" &amp; I3340 &amp;")"</f>
        <v>Case BZ129489:    UniConst = ChrW(129489)</v>
      </c>
    </row>
    <row r="3341" spans="1:11" hidden="1">
      <c r="A3341" t="s">
        <v>945</v>
      </c>
      <c r="B3341" t="str">
        <f t="shared" si="314"/>
        <v>1F9D1 1F3FB 200D 2695 ; minimally-qualified # 🧑🏻‍⚕ E12.1 health worker: light skin tone</v>
      </c>
      <c r="C3341" t="str">
        <f t="shared" si="315"/>
        <v xml:space="preserve">1F9D1 1F3FB 200D 2695 </v>
      </c>
      <c r="D3341">
        <f t="shared" si="316"/>
        <v>22</v>
      </c>
      <c r="E3341" t="str">
        <f t="shared" si="312"/>
        <v xml:space="preserve"> 🧑🏻‍⚕ E12.1 health worker: light skin tone</v>
      </c>
      <c r="F3341" t="b">
        <f t="shared" si="317"/>
        <v>1</v>
      </c>
      <c r="G3341" t="str">
        <f t="shared" si="313"/>
        <v>1F9D1</v>
      </c>
      <c r="I3341">
        <f>HEX2DEC(Table1[[#This Row],[utf8]])</f>
        <v>129489</v>
      </c>
      <c r="J3341" t="str">
        <f>_xlfn.UNICHAR(HEX2DEC(Table1[[#This Row],[utf8]]))</f>
        <v>🧑</v>
      </c>
      <c r="K3341" s="3" t="str" cm="1">
        <f t="array" ref="K3341">"Case "&amp;wRandomLetter()&amp;wRandomLetter()&amp;I3341&amp;":    UniConst = ChrW(" &amp; I3341 &amp;")"</f>
        <v>Case uQ129489:    UniConst = ChrW(129489)</v>
      </c>
    </row>
    <row r="3342" spans="1:11" hidden="1">
      <c r="A3342" t="s">
        <v>944</v>
      </c>
      <c r="B3342" t="str">
        <f t="shared" si="314"/>
        <v>1F9D1 1F3FB 200D 2695 FE0F ; fully-qualified # 🧑🏻‍⚕️ E12.1 health worker: light skin tone</v>
      </c>
      <c r="C3342" t="str">
        <f t="shared" si="315"/>
        <v xml:space="preserve">1F9D1 1F3FB 200D 2695 FE0F </v>
      </c>
      <c r="D3342">
        <f t="shared" si="316"/>
        <v>27</v>
      </c>
      <c r="E3342" t="str">
        <f t="shared" si="312"/>
        <v xml:space="preserve"> 🧑🏻‍⚕️ E12.1 health worker: light skin tone</v>
      </c>
      <c r="F3342" t="b">
        <f t="shared" si="317"/>
        <v>1</v>
      </c>
      <c r="G3342" t="str">
        <f t="shared" si="313"/>
        <v>1F9D1</v>
      </c>
      <c r="I3342">
        <f>HEX2DEC(Table1[[#This Row],[utf8]])</f>
        <v>129489</v>
      </c>
      <c r="J3342" t="str">
        <f>_xlfn.UNICHAR(HEX2DEC(Table1[[#This Row],[utf8]]))</f>
        <v>🧑</v>
      </c>
      <c r="K3342" s="3" t="str" cm="1">
        <f t="array" ref="K3342">"Case "&amp;wRandomLetter()&amp;wRandomLetter()&amp;I3342&amp;":    UniConst = ChrW(" &amp; I3342 &amp;")"</f>
        <v>Case aV129489:    UniConst = ChrW(129489)</v>
      </c>
    </row>
    <row r="3343" spans="1:11" hidden="1">
      <c r="A3343" t="s">
        <v>1017</v>
      </c>
      <c r="B3343" t="str">
        <f t="shared" si="314"/>
        <v>1F9D1 1F3FB 200D 2696 ; minimally-qualified # 🧑🏻‍⚖ E12.1 judge: light skin tone</v>
      </c>
      <c r="C3343" t="str">
        <f t="shared" si="315"/>
        <v xml:space="preserve">1F9D1 1F3FB 200D 2696 </v>
      </c>
      <c r="D3343">
        <f t="shared" si="316"/>
        <v>22</v>
      </c>
      <c r="E3343" t="str">
        <f t="shared" si="312"/>
        <v xml:space="preserve"> 🧑🏻‍⚖ E12.1 judge: light skin tone</v>
      </c>
      <c r="F3343" t="b">
        <f t="shared" si="317"/>
        <v>1</v>
      </c>
      <c r="G3343" t="str">
        <f t="shared" si="313"/>
        <v>1F9D1</v>
      </c>
      <c r="I3343">
        <f>HEX2DEC(Table1[[#This Row],[utf8]])</f>
        <v>129489</v>
      </c>
      <c r="J3343" t="str">
        <f>_xlfn.UNICHAR(HEX2DEC(Table1[[#This Row],[utf8]]))</f>
        <v>🧑</v>
      </c>
      <c r="K3343" s="3" t="str" cm="1">
        <f t="array" ref="K3343">"Case "&amp;wRandomLetter()&amp;wRandomLetter()&amp;I3343&amp;":    UniConst = ChrW(" &amp; I3343 &amp;")"</f>
        <v>Case yX129489:    UniConst = ChrW(129489)</v>
      </c>
    </row>
    <row r="3344" spans="1:11" hidden="1">
      <c r="A3344" t="s">
        <v>1016</v>
      </c>
      <c r="B3344" t="str">
        <f t="shared" si="314"/>
        <v>1F9D1 1F3FB 200D 2696 FE0F ; fully-qualified # 🧑🏻‍⚖️ E12.1 judge: light skin tone</v>
      </c>
      <c r="C3344" t="str">
        <f t="shared" si="315"/>
        <v xml:space="preserve">1F9D1 1F3FB 200D 2696 FE0F </v>
      </c>
      <c r="D3344">
        <f t="shared" si="316"/>
        <v>27</v>
      </c>
      <c r="E3344" t="str">
        <f t="shared" si="312"/>
        <v xml:space="preserve"> 🧑🏻‍⚖️ E12.1 judge: light skin tone</v>
      </c>
      <c r="F3344" t="b">
        <f t="shared" si="317"/>
        <v>1</v>
      </c>
      <c r="G3344" t="str">
        <f t="shared" si="313"/>
        <v>1F9D1</v>
      </c>
      <c r="I3344">
        <f>HEX2DEC(Table1[[#This Row],[utf8]])</f>
        <v>129489</v>
      </c>
      <c r="J3344" t="str">
        <f>_xlfn.UNICHAR(HEX2DEC(Table1[[#This Row],[utf8]]))</f>
        <v>🧑</v>
      </c>
      <c r="K3344" s="3" t="str" cm="1">
        <f t="array" ref="K3344">"Case "&amp;wRandomLetter()&amp;wRandomLetter()&amp;I3344&amp;":    UniConst = ChrW(" &amp; I3344 &amp;")"</f>
        <v>Case Rw129489:    UniConst = ChrW(129489)</v>
      </c>
    </row>
    <row r="3345" spans="1:11" hidden="1">
      <c r="A3345" t="s">
        <v>1215</v>
      </c>
      <c r="B3345" t="str">
        <f t="shared" si="314"/>
        <v>1F9D1 1F3FB 200D 2708 ; minimally-qualified # 🧑🏻‍✈ E12.1 pilot: light skin tone</v>
      </c>
      <c r="C3345" t="str">
        <f t="shared" si="315"/>
        <v xml:space="preserve">1F9D1 1F3FB 200D 2708 </v>
      </c>
      <c r="D3345">
        <f t="shared" si="316"/>
        <v>22</v>
      </c>
      <c r="E3345" t="str">
        <f t="shared" si="312"/>
        <v xml:space="preserve"> 🧑🏻‍✈ E12.1 pilot: light skin tone</v>
      </c>
      <c r="F3345" t="b">
        <f t="shared" si="317"/>
        <v>1</v>
      </c>
      <c r="G3345" t="str">
        <f t="shared" si="313"/>
        <v>1F9D1</v>
      </c>
      <c r="I3345">
        <f>HEX2DEC(Table1[[#This Row],[utf8]])</f>
        <v>129489</v>
      </c>
      <c r="J3345" t="str">
        <f>_xlfn.UNICHAR(HEX2DEC(Table1[[#This Row],[utf8]]))</f>
        <v>🧑</v>
      </c>
      <c r="K3345" s="3" t="str" cm="1">
        <f t="array" ref="K3345">"Case "&amp;wRandomLetter()&amp;wRandomLetter()&amp;I3345&amp;":    UniConst = ChrW(" &amp; I3345 &amp;")"</f>
        <v>Case qF129489:    UniConst = ChrW(129489)</v>
      </c>
    </row>
    <row r="3346" spans="1:11" hidden="1">
      <c r="A3346" t="s">
        <v>1214</v>
      </c>
      <c r="B3346" t="str">
        <f t="shared" si="314"/>
        <v>1F9D1 1F3FB 200D 2708 FE0F ; fully-qualified # 🧑🏻‍✈️ E12.1 pilot: light skin tone</v>
      </c>
      <c r="C3346" t="str">
        <f t="shared" si="315"/>
        <v xml:space="preserve">1F9D1 1F3FB 200D 2708 FE0F </v>
      </c>
      <c r="D3346">
        <f t="shared" si="316"/>
        <v>27</v>
      </c>
      <c r="E3346" t="str">
        <f t="shared" si="312"/>
        <v xml:space="preserve"> 🧑🏻‍✈️ E12.1 pilot: light skin tone</v>
      </c>
      <c r="F3346" t="b">
        <f t="shared" si="317"/>
        <v>1</v>
      </c>
      <c r="G3346" t="str">
        <f t="shared" si="313"/>
        <v>1F9D1</v>
      </c>
      <c r="I3346">
        <f>HEX2DEC(Table1[[#This Row],[utf8]])</f>
        <v>129489</v>
      </c>
      <c r="J3346" t="str">
        <f>_xlfn.UNICHAR(HEX2DEC(Table1[[#This Row],[utf8]]))</f>
        <v>🧑</v>
      </c>
      <c r="K3346" s="3" t="str" cm="1">
        <f t="array" ref="K3346">"Case "&amp;wRandomLetter()&amp;wRandomLetter()&amp;I3346&amp;":    UniConst = ChrW(" &amp; I3346 &amp;")"</f>
        <v>Case AS129489:    UniConst = ChrW(129489)</v>
      </c>
    </row>
    <row r="3347" spans="1:11" hidden="1">
      <c r="A3347" t="s">
        <v>2674</v>
      </c>
      <c r="B3347" t="str">
        <f t="shared" si="314"/>
        <v>1F9D1 1F3FB 200D 2764 200D 1F48B 200D 1F9D1 1F3FC ; minimally-qualified # 🧑🏻‍❤‍💋‍🧑🏼 E13.1 kiss: person, person, light skin tone, medium-light skin tone</v>
      </c>
      <c r="C3347" t="str">
        <f t="shared" si="315"/>
        <v xml:space="preserve">1F9D1 1F3FB 200D 2764 200D 1F48B 200D 1F9D1 1F3FC </v>
      </c>
      <c r="D3347">
        <f t="shared" si="316"/>
        <v>50</v>
      </c>
      <c r="E3347" t="str">
        <f t="shared" si="312"/>
        <v xml:space="preserve"> 🧑🏻‍❤‍💋‍🧑🏼 E13.1 kiss: person, person, light skin tone, medium-light skin tone</v>
      </c>
      <c r="F3347" t="b">
        <f t="shared" si="317"/>
        <v>1</v>
      </c>
      <c r="G3347" t="str">
        <f t="shared" si="313"/>
        <v>1F9D1</v>
      </c>
      <c r="I3347">
        <f>HEX2DEC(Table1[[#This Row],[utf8]])</f>
        <v>129489</v>
      </c>
      <c r="J3347" t="str">
        <f>_xlfn.UNICHAR(HEX2DEC(Table1[[#This Row],[utf8]]))</f>
        <v>🧑</v>
      </c>
      <c r="K3347" s="3" t="str" cm="1">
        <f t="array" ref="K3347">"Case "&amp;wRandomLetter()&amp;wRandomLetter()&amp;I3347&amp;":    UniConst = ChrW(" &amp; I3347 &amp;")"</f>
        <v>Case OF129489:    UniConst = ChrW(129489)</v>
      </c>
    </row>
    <row r="3348" spans="1:11" hidden="1">
      <c r="A3348" t="s">
        <v>2676</v>
      </c>
      <c r="B3348" t="str">
        <f t="shared" si="314"/>
        <v>1F9D1 1F3FB 200D 2764 200D 1F48B 200D 1F9D1 1F3FD ; minimally-qualified # 🧑🏻‍❤‍💋‍🧑🏽 E13.1 kiss: person, person, light skin tone, medium skin tone</v>
      </c>
      <c r="C3348" t="str">
        <f t="shared" si="315"/>
        <v xml:space="preserve">1F9D1 1F3FB 200D 2764 200D 1F48B 200D 1F9D1 1F3FD </v>
      </c>
      <c r="D3348">
        <f t="shared" si="316"/>
        <v>50</v>
      </c>
      <c r="E3348" t="str">
        <f t="shared" si="312"/>
        <v xml:space="preserve"> 🧑🏻‍❤‍💋‍🧑🏽 E13.1 kiss: person, person, light skin tone, medium skin tone</v>
      </c>
      <c r="F3348" t="b">
        <f t="shared" si="317"/>
        <v>1</v>
      </c>
      <c r="G3348" t="str">
        <f t="shared" si="313"/>
        <v>1F9D1</v>
      </c>
      <c r="I3348">
        <f>HEX2DEC(Table1[[#This Row],[utf8]])</f>
        <v>129489</v>
      </c>
      <c r="J3348" t="str">
        <f>_xlfn.UNICHAR(HEX2DEC(Table1[[#This Row],[utf8]]))</f>
        <v>🧑</v>
      </c>
      <c r="K3348" s="3" t="str" cm="1">
        <f t="array" ref="K3348">"Case "&amp;wRandomLetter()&amp;wRandomLetter()&amp;I3348&amp;":    UniConst = ChrW(" &amp; I3348 &amp;")"</f>
        <v>Case FD129489:    UniConst = ChrW(129489)</v>
      </c>
    </row>
    <row r="3349" spans="1:11" hidden="1">
      <c r="A3349" t="s">
        <v>2678</v>
      </c>
      <c r="B3349" t="str">
        <f t="shared" si="314"/>
        <v>1F9D1 1F3FB 200D 2764 200D 1F48B 200D 1F9D1 1F3FE ; minimally-qualified # 🧑🏻‍❤‍💋‍🧑🏾 E13.1 kiss: person, person, light skin tone, medium-dark skin tone</v>
      </c>
      <c r="C3349" t="str">
        <f t="shared" si="315"/>
        <v xml:space="preserve">1F9D1 1F3FB 200D 2764 200D 1F48B 200D 1F9D1 1F3FE </v>
      </c>
      <c r="D3349">
        <f t="shared" si="316"/>
        <v>50</v>
      </c>
      <c r="E3349" t="str">
        <f t="shared" si="312"/>
        <v xml:space="preserve"> 🧑🏻‍❤‍💋‍🧑🏾 E13.1 kiss: person, person, light skin tone, medium-dark skin tone</v>
      </c>
      <c r="F3349" t="b">
        <f t="shared" si="317"/>
        <v>1</v>
      </c>
      <c r="G3349" t="str">
        <f t="shared" si="313"/>
        <v>1F9D1</v>
      </c>
      <c r="I3349">
        <f>HEX2DEC(Table1[[#This Row],[utf8]])</f>
        <v>129489</v>
      </c>
      <c r="J3349" t="str">
        <f>_xlfn.UNICHAR(HEX2DEC(Table1[[#This Row],[utf8]]))</f>
        <v>🧑</v>
      </c>
      <c r="K3349" s="3" t="str" cm="1">
        <f t="array" ref="K3349">"Case "&amp;wRandomLetter()&amp;wRandomLetter()&amp;I3349&amp;":    UniConst = ChrW(" &amp; I3349 &amp;")"</f>
        <v>Case sM129489:    UniConst = ChrW(129489)</v>
      </c>
    </row>
    <row r="3350" spans="1:11" hidden="1">
      <c r="A3350" t="s">
        <v>2680</v>
      </c>
      <c r="B3350" t="str">
        <f t="shared" si="314"/>
        <v>1F9D1 1F3FB 200D 2764 200D 1F48B 200D 1F9D1 1F3FF ; minimally-qualified # 🧑🏻‍❤‍💋‍🧑🏿 E13.1 kiss: person, person, light skin tone, dark skin tone</v>
      </c>
      <c r="C3350" t="str">
        <f t="shared" si="315"/>
        <v xml:space="preserve">1F9D1 1F3FB 200D 2764 200D 1F48B 200D 1F9D1 1F3FF </v>
      </c>
      <c r="D3350">
        <f t="shared" si="316"/>
        <v>50</v>
      </c>
      <c r="E3350" t="str">
        <f t="shared" si="312"/>
        <v xml:space="preserve"> 🧑🏻‍❤‍💋‍🧑🏿 E13.1 kiss: person, person, light skin tone, dark skin tone</v>
      </c>
      <c r="F3350" t="b">
        <f t="shared" si="317"/>
        <v>1</v>
      </c>
      <c r="G3350" t="str">
        <f t="shared" si="313"/>
        <v>1F9D1</v>
      </c>
      <c r="I3350">
        <f>HEX2DEC(Table1[[#This Row],[utf8]])</f>
        <v>129489</v>
      </c>
      <c r="J3350" t="str">
        <f>_xlfn.UNICHAR(HEX2DEC(Table1[[#This Row],[utf8]]))</f>
        <v>🧑</v>
      </c>
      <c r="K3350" s="3" t="str" cm="1">
        <f t="array" ref="K3350">"Case "&amp;wRandomLetter()&amp;wRandomLetter()&amp;I3350&amp;":    UniConst = ChrW(" &amp; I3350 &amp;")"</f>
        <v>Case hE129489:    UniConst = ChrW(129489)</v>
      </c>
    </row>
    <row r="3351" spans="1:11" hidden="1">
      <c r="A3351" t="s">
        <v>2876</v>
      </c>
      <c r="B3351" t="str">
        <f t="shared" si="314"/>
        <v>1F9D1 1F3FB 200D 2764 200D 1F9D1 1F3FC ; minimally-qualified # 🧑🏻‍❤‍🧑🏼 E13.1 couple with heart: person, person, light skin tone, medium-light skin tone</v>
      </c>
      <c r="C3351" t="str">
        <f t="shared" si="315"/>
        <v xml:space="preserve">1F9D1 1F3FB 200D 2764 200D 1F9D1 1F3FC </v>
      </c>
      <c r="D3351">
        <f t="shared" si="316"/>
        <v>39</v>
      </c>
      <c r="E3351" t="str">
        <f t="shared" si="312"/>
        <v xml:space="preserve"> 🧑🏻‍❤‍🧑🏼 E13.1 couple with heart: person, person, light skin tone, medium-light skin tone</v>
      </c>
      <c r="F3351" t="b">
        <f t="shared" si="317"/>
        <v>1</v>
      </c>
      <c r="G3351" t="str">
        <f t="shared" si="313"/>
        <v>1F9D1</v>
      </c>
      <c r="I3351">
        <f>HEX2DEC(Table1[[#This Row],[utf8]])</f>
        <v>129489</v>
      </c>
      <c r="J3351" t="str">
        <f>_xlfn.UNICHAR(HEX2DEC(Table1[[#This Row],[utf8]]))</f>
        <v>🧑</v>
      </c>
      <c r="K3351" s="3" t="str" cm="1">
        <f t="array" ref="K3351">"Case "&amp;wRandomLetter()&amp;wRandomLetter()&amp;I3351&amp;":    UniConst = ChrW(" &amp; I3351 &amp;")"</f>
        <v>Case xN129489:    UniConst = ChrW(129489)</v>
      </c>
    </row>
    <row r="3352" spans="1:11" hidden="1">
      <c r="A3352" t="s">
        <v>2878</v>
      </c>
      <c r="B3352" t="str">
        <f t="shared" si="314"/>
        <v>1F9D1 1F3FB 200D 2764 200D 1F9D1 1F3FD ; minimally-qualified # 🧑🏻‍❤‍🧑🏽 E13.1 couple with heart: person, person, light skin tone, medium skin tone</v>
      </c>
      <c r="C3352" t="str">
        <f t="shared" si="315"/>
        <v xml:space="preserve">1F9D1 1F3FB 200D 2764 200D 1F9D1 1F3FD </v>
      </c>
      <c r="D3352">
        <f t="shared" si="316"/>
        <v>39</v>
      </c>
      <c r="E3352" t="str">
        <f t="shared" si="312"/>
        <v xml:space="preserve"> 🧑🏻‍❤‍🧑🏽 E13.1 couple with heart: person, person, light skin tone, medium skin tone</v>
      </c>
      <c r="F3352" t="b">
        <f t="shared" si="317"/>
        <v>1</v>
      </c>
      <c r="G3352" t="str">
        <f t="shared" si="313"/>
        <v>1F9D1</v>
      </c>
      <c r="I3352">
        <f>HEX2DEC(Table1[[#This Row],[utf8]])</f>
        <v>129489</v>
      </c>
      <c r="J3352" t="str">
        <f>_xlfn.UNICHAR(HEX2DEC(Table1[[#This Row],[utf8]]))</f>
        <v>🧑</v>
      </c>
      <c r="K3352" s="3" t="str" cm="1">
        <f t="array" ref="K3352">"Case "&amp;wRandomLetter()&amp;wRandomLetter()&amp;I3352&amp;":    UniConst = ChrW(" &amp; I3352 &amp;")"</f>
        <v>Case Aa129489:    UniConst = ChrW(129489)</v>
      </c>
    </row>
    <row r="3353" spans="1:11" hidden="1">
      <c r="A3353" t="s">
        <v>2880</v>
      </c>
      <c r="B3353" t="str">
        <f t="shared" si="314"/>
        <v>1F9D1 1F3FB 200D 2764 200D 1F9D1 1F3FE ; minimally-qualified # 🧑🏻‍❤‍🧑🏾 E13.1 couple with heart: person, person, light skin tone, medium-dark skin tone</v>
      </c>
      <c r="C3353" t="str">
        <f t="shared" si="315"/>
        <v xml:space="preserve">1F9D1 1F3FB 200D 2764 200D 1F9D1 1F3FE </v>
      </c>
      <c r="D3353">
        <f t="shared" si="316"/>
        <v>39</v>
      </c>
      <c r="E3353" t="str">
        <f t="shared" si="312"/>
        <v xml:space="preserve"> 🧑🏻‍❤‍🧑🏾 E13.1 couple with heart: person, person, light skin tone, medium-dark skin tone</v>
      </c>
      <c r="F3353" t="b">
        <f t="shared" si="317"/>
        <v>1</v>
      </c>
      <c r="G3353" t="str">
        <f t="shared" si="313"/>
        <v>1F9D1</v>
      </c>
      <c r="I3353">
        <f>HEX2DEC(Table1[[#This Row],[utf8]])</f>
        <v>129489</v>
      </c>
      <c r="J3353" t="str">
        <f>_xlfn.UNICHAR(HEX2DEC(Table1[[#This Row],[utf8]]))</f>
        <v>🧑</v>
      </c>
      <c r="K3353" s="3" t="str" cm="1">
        <f t="array" ref="K3353">"Case "&amp;wRandomLetter()&amp;wRandomLetter()&amp;I3353&amp;":    UniConst = ChrW(" &amp; I3353 &amp;")"</f>
        <v>Case gH129489:    UniConst = ChrW(129489)</v>
      </c>
    </row>
    <row r="3354" spans="1:11" hidden="1">
      <c r="A3354" t="s">
        <v>2882</v>
      </c>
      <c r="B3354" t="str">
        <f t="shared" si="314"/>
        <v>1F9D1 1F3FB 200D 2764 200D 1F9D1 1F3FF ; minimally-qualified # 🧑🏻‍❤‍🧑🏿 E13.1 couple with heart: person, person, light skin tone, dark skin tone</v>
      </c>
      <c r="C3354" t="str">
        <f t="shared" si="315"/>
        <v xml:space="preserve">1F9D1 1F3FB 200D 2764 200D 1F9D1 1F3FF </v>
      </c>
      <c r="D3354">
        <f t="shared" si="316"/>
        <v>39</v>
      </c>
      <c r="E3354" t="str">
        <f t="shared" si="312"/>
        <v xml:space="preserve"> 🧑🏻‍❤‍🧑🏿 E13.1 couple with heart: person, person, light skin tone, dark skin tone</v>
      </c>
      <c r="F3354" t="b">
        <f t="shared" si="317"/>
        <v>1</v>
      </c>
      <c r="G3354" t="str">
        <f t="shared" si="313"/>
        <v>1F9D1</v>
      </c>
      <c r="I3354">
        <f>HEX2DEC(Table1[[#This Row],[utf8]])</f>
        <v>129489</v>
      </c>
      <c r="J3354" t="str">
        <f>_xlfn.UNICHAR(HEX2DEC(Table1[[#This Row],[utf8]]))</f>
        <v>🧑</v>
      </c>
      <c r="K3354" s="3" t="str" cm="1">
        <f t="array" ref="K3354">"Case "&amp;wRandomLetter()&amp;wRandomLetter()&amp;I3354&amp;":    UniConst = ChrW(" &amp; I3354 &amp;")"</f>
        <v>Case lb129489:    UniConst = ChrW(129489)</v>
      </c>
    </row>
    <row r="3355" spans="1:11" hidden="1">
      <c r="A3355" t="s">
        <v>2673</v>
      </c>
      <c r="B3355" t="str">
        <f t="shared" si="314"/>
        <v>1F9D1 1F3FB 200D 2764 FE0F 200D 1F48B 200D 1F9D1 1F3FC ; fully-qualified # 🧑🏻‍❤️‍💋‍🧑🏼 E13.1 kiss: person, person, light skin tone, medium-light skin tone</v>
      </c>
      <c r="C3355" t="str">
        <f t="shared" si="315"/>
        <v xml:space="preserve">1F9D1 1F3FB 200D 2764 FE0F 200D 1F48B 200D 1F9D1 1F3FC </v>
      </c>
      <c r="D3355">
        <f t="shared" si="316"/>
        <v>55</v>
      </c>
      <c r="E3355" t="str">
        <f t="shared" si="312"/>
        <v xml:space="preserve"> 🧑🏻‍❤️‍💋‍🧑🏼 E13.1 kiss: person, person, light skin tone, medium-light skin tone</v>
      </c>
      <c r="F3355" t="b">
        <f t="shared" si="317"/>
        <v>1</v>
      </c>
      <c r="G3355" t="str">
        <f t="shared" si="313"/>
        <v>1F9D1</v>
      </c>
      <c r="I3355">
        <f>HEX2DEC(Table1[[#This Row],[utf8]])</f>
        <v>129489</v>
      </c>
      <c r="J3355" t="str">
        <f>_xlfn.UNICHAR(HEX2DEC(Table1[[#This Row],[utf8]]))</f>
        <v>🧑</v>
      </c>
      <c r="K3355" s="3" t="str" cm="1">
        <f t="array" ref="K3355">"Case "&amp;wRandomLetter()&amp;wRandomLetter()&amp;I3355&amp;":    UniConst = ChrW(" &amp; I3355 &amp;")"</f>
        <v>Case CI129489:    UniConst = ChrW(129489)</v>
      </c>
    </row>
    <row r="3356" spans="1:11" hidden="1">
      <c r="A3356" t="s">
        <v>2675</v>
      </c>
      <c r="B3356" t="str">
        <f t="shared" si="314"/>
        <v>1F9D1 1F3FB 200D 2764 FE0F 200D 1F48B 200D 1F9D1 1F3FD ; fully-qualified # 🧑🏻‍❤️‍💋‍🧑🏽 E13.1 kiss: person, person, light skin tone, medium skin tone</v>
      </c>
      <c r="C3356" t="str">
        <f t="shared" si="315"/>
        <v xml:space="preserve">1F9D1 1F3FB 200D 2764 FE0F 200D 1F48B 200D 1F9D1 1F3FD </v>
      </c>
      <c r="D3356">
        <f t="shared" si="316"/>
        <v>55</v>
      </c>
      <c r="E3356" t="str">
        <f t="shared" si="312"/>
        <v xml:space="preserve"> 🧑🏻‍❤️‍💋‍🧑🏽 E13.1 kiss: person, person, light skin tone, medium skin tone</v>
      </c>
      <c r="F3356" t="b">
        <f t="shared" si="317"/>
        <v>1</v>
      </c>
      <c r="G3356" t="str">
        <f t="shared" si="313"/>
        <v>1F9D1</v>
      </c>
      <c r="I3356">
        <f>HEX2DEC(Table1[[#This Row],[utf8]])</f>
        <v>129489</v>
      </c>
      <c r="J3356" t="str">
        <f>_xlfn.UNICHAR(HEX2DEC(Table1[[#This Row],[utf8]]))</f>
        <v>🧑</v>
      </c>
      <c r="K3356" s="3" t="str" cm="1">
        <f t="array" ref="K3356">"Case "&amp;wRandomLetter()&amp;wRandomLetter()&amp;I3356&amp;":    UniConst = ChrW(" &amp; I3356 &amp;")"</f>
        <v>Case Hy129489:    UniConst = ChrW(129489)</v>
      </c>
    </row>
    <row r="3357" spans="1:11" hidden="1">
      <c r="A3357" t="s">
        <v>2677</v>
      </c>
      <c r="B3357" t="str">
        <f t="shared" si="314"/>
        <v>1F9D1 1F3FB 200D 2764 FE0F 200D 1F48B 200D 1F9D1 1F3FE ; fully-qualified # 🧑🏻‍❤️‍💋‍🧑🏾 E13.1 kiss: person, person, light skin tone, medium-dark skin tone</v>
      </c>
      <c r="C3357" t="str">
        <f t="shared" si="315"/>
        <v xml:space="preserve">1F9D1 1F3FB 200D 2764 FE0F 200D 1F48B 200D 1F9D1 1F3FE </v>
      </c>
      <c r="D3357">
        <f t="shared" si="316"/>
        <v>55</v>
      </c>
      <c r="E3357" t="str">
        <f t="shared" si="312"/>
        <v xml:space="preserve"> 🧑🏻‍❤️‍💋‍🧑🏾 E13.1 kiss: person, person, light skin tone, medium-dark skin tone</v>
      </c>
      <c r="F3357" t="b">
        <f t="shared" si="317"/>
        <v>1</v>
      </c>
      <c r="G3357" t="str">
        <f t="shared" si="313"/>
        <v>1F9D1</v>
      </c>
      <c r="I3357">
        <f>HEX2DEC(Table1[[#This Row],[utf8]])</f>
        <v>129489</v>
      </c>
      <c r="J3357" t="str">
        <f>_xlfn.UNICHAR(HEX2DEC(Table1[[#This Row],[utf8]]))</f>
        <v>🧑</v>
      </c>
      <c r="K3357" s="3" t="str" cm="1">
        <f t="array" ref="K3357">"Case "&amp;wRandomLetter()&amp;wRandomLetter()&amp;I3357&amp;":    UniConst = ChrW(" &amp; I3357 &amp;")"</f>
        <v>Case uX129489:    UniConst = ChrW(129489)</v>
      </c>
    </row>
    <row r="3358" spans="1:11" hidden="1">
      <c r="A3358" t="s">
        <v>2679</v>
      </c>
      <c r="B3358" t="str">
        <f t="shared" si="314"/>
        <v>1F9D1 1F3FB 200D 2764 FE0F 200D 1F48B 200D 1F9D1 1F3FF ; fully-qualified # 🧑🏻‍❤️‍💋‍🧑🏿 E13.1 kiss: person, person, light skin tone, dark skin tone</v>
      </c>
      <c r="C3358" t="str">
        <f t="shared" si="315"/>
        <v xml:space="preserve">1F9D1 1F3FB 200D 2764 FE0F 200D 1F48B 200D 1F9D1 1F3FF </v>
      </c>
      <c r="D3358">
        <f t="shared" si="316"/>
        <v>55</v>
      </c>
      <c r="E3358" t="str">
        <f t="shared" si="312"/>
        <v xml:space="preserve"> 🧑🏻‍❤️‍💋‍🧑🏿 E13.1 kiss: person, person, light skin tone, dark skin tone</v>
      </c>
      <c r="F3358" t="b">
        <f t="shared" si="317"/>
        <v>1</v>
      </c>
      <c r="G3358" t="str">
        <f t="shared" si="313"/>
        <v>1F9D1</v>
      </c>
      <c r="I3358">
        <f>HEX2DEC(Table1[[#This Row],[utf8]])</f>
        <v>129489</v>
      </c>
      <c r="J3358" t="str">
        <f>_xlfn.UNICHAR(HEX2DEC(Table1[[#This Row],[utf8]]))</f>
        <v>🧑</v>
      </c>
      <c r="K3358" s="3" t="str" cm="1">
        <f t="array" ref="K3358">"Case "&amp;wRandomLetter()&amp;wRandomLetter()&amp;I3358&amp;":    UniConst = ChrW(" &amp; I3358 &amp;")"</f>
        <v>Case hq129489:    UniConst = ChrW(129489)</v>
      </c>
    </row>
    <row r="3359" spans="1:11" hidden="1">
      <c r="A3359" t="s">
        <v>2875</v>
      </c>
      <c r="B3359" t="str">
        <f t="shared" si="314"/>
        <v>1F9D1 1F3FB 200D 2764 FE0F 200D 1F9D1 1F3FC ; fully-qualified # 🧑🏻‍❤️‍🧑🏼 E13.1 couple with heart: person, person, light skin tone, medium-light skin tone</v>
      </c>
      <c r="C3359" t="str">
        <f t="shared" si="315"/>
        <v xml:space="preserve">1F9D1 1F3FB 200D 2764 FE0F 200D 1F9D1 1F3FC </v>
      </c>
      <c r="D3359">
        <f t="shared" si="316"/>
        <v>44</v>
      </c>
      <c r="E3359" t="str">
        <f t="shared" si="312"/>
        <v xml:space="preserve"> 🧑🏻‍❤️‍🧑🏼 E13.1 couple with heart: person, person, light skin tone, medium-light skin tone</v>
      </c>
      <c r="F3359" t="b">
        <f t="shared" si="317"/>
        <v>1</v>
      </c>
      <c r="G3359" t="str">
        <f t="shared" si="313"/>
        <v>1F9D1</v>
      </c>
      <c r="I3359">
        <f>HEX2DEC(Table1[[#This Row],[utf8]])</f>
        <v>129489</v>
      </c>
      <c r="J3359" t="str">
        <f>_xlfn.UNICHAR(HEX2DEC(Table1[[#This Row],[utf8]]))</f>
        <v>🧑</v>
      </c>
      <c r="K3359" s="3" t="str" cm="1">
        <f t="array" ref="K3359">"Case "&amp;wRandomLetter()&amp;wRandomLetter()&amp;I3359&amp;":    UniConst = ChrW(" &amp; I3359 &amp;")"</f>
        <v>Case pF129489:    UniConst = ChrW(129489)</v>
      </c>
    </row>
    <row r="3360" spans="1:11" hidden="1">
      <c r="A3360" t="s">
        <v>2877</v>
      </c>
      <c r="B3360" t="str">
        <f t="shared" si="314"/>
        <v>1F9D1 1F3FB 200D 2764 FE0F 200D 1F9D1 1F3FD ; fully-qualified # 🧑🏻‍❤️‍🧑🏽 E13.1 couple with heart: person, person, light skin tone, medium skin tone</v>
      </c>
      <c r="C3360" t="str">
        <f t="shared" si="315"/>
        <v xml:space="preserve">1F9D1 1F3FB 200D 2764 FE0F 200D 1F9D1 1F3FD </v>
      </c>
      <c r="D3360">
        <f t="shared" si="316"/>
        <v>44</v>
      </c>
      <c r="E3360" t="str">
        <f t="shared" si="312"/>
        <v xml:space="preserve"> 🧑🏻‍❤️‍🧑🏽 E13.1 couple with heart: person, person, light skin tone, medium skin tone</v>
      </c>
      <c r="F3360" t="b">
        <f t="shared" si="317"/>
        <v>1</v>
      </c>
      <c r="G3360" t="str">
        <f t="shared" si="313"/>
        <v>1F9D1</v>
      </c>
      <c r="I3360">
        <f>HEX2DEC(Table1[[#This Row],[utf8]])</f>
        <v>129489</v>
      </c>
      <c r="J3360" t="str">
        <f>_xlfn.UNICHAR(HEX2DEC(Table1[[#This Row],[utf8]]))</f>
        <v>🧑</v>
      </c>
      <c r="K3360" s="3" t="str" cm="1">
        <f t="array" ref="K3360">"Case "&amp;wRandomLetter()&amp;wRandomLetter()&amp;I3360&amp;":    UniConst = ChrW(" &amp; I3360 &amp;")"</f>
        <v>Case zU129489:    UniConst = ChrW(129489)</v>
      </c>
    </row>
    <row r="3361" spans="1:11" hidden="1">
      <c r="A3361" t="s">
        <v>2879</v>
      </c>
      <c r="B3361" t="str">
        <f t="shared" si="314"/>
        <v>1F9D1 1F3FB 200D 2764 FE0F 200D 1F9D1 1F3FE ; fully-qualified # 🧑🏻‍❤️‍🧑🏾 E13.1 couple with heart: person, person, light skin tone, medium-dark skin tone</v>
      </c>
      <c r="C3361" t="str">
        <f t="shared" si="315"/>
        <v xml:space="preserve">1F9D1 1F3FB 200D 2764 FE0F 200D 1F9D1 1F3FE </v>
      </c>
      <c r="D3361">
        <f t="shared" si="316"/>
        <v>44</v>
      </c>
      <c r="E3361" t="str">
        <f t="shared" si="312"/>
        <v xml:space="preserve"> 🧑🏻‍❤️‍🧑🏾 E13.1 couple with heart: person, person, light skin tone, medium-dark skin tone</v>
      </c>
      <c r="F3361" t="b">
        <f t="shared" si="317"/>
        <v>1</v>
      </c>
      <c r="G3361" t="str">
        <f t="shared" si="313"/>
        <v>1F9D1</v>
      </c>
      <c r="I3361">
        <f>HEX2DEC(Table1[[#This Row],[utf8]])</f>
        <v>129489</v>
      </c>
      <c r="J3361" t="str">
        <f>_xlfn.UNICHAR(HEX2DEC(Table1[[#This Row],[utf8]]))</f>
        <v>🧑</v>
      </c>
      <c r="K3361" s="3" t="str" cm="1">
        <f t="array" ref="K3361">"Case "&amp;wRandomLetter()&amp;wRandomLetter()&amp;I3361&amp;":    UniConst = ChrW(" &amp; I3361 &amp;")"</f>
        <v>Case Jf129489:    UniConst = ChrW(129489)</v>
      </c>
    </row>
    <row r="3362" spans="1:11" hidden="1">
      <c r="A3362" t="s">
        <v>2881</v>
      </c>
      <c r="B3362" t="str">
        <f t="shared" si="314"/>
        <v>1F9D1 1F3FB 200D 2764 FE0F 200D 1F9D1 1F3FF ; fully-qualified # 🧑🏻‍❤️‍🧑🏿 E13.1 couple with heart: person, person, light skin tone, dark skin tone</v>
      </c>
      <c r="C3362" t="str">
        <f t="shared" si="315"/>
        <v xml:space="preserve">1F9D1 1F3FB 200D 2764 FE0F 200D 1F9D1 1F3FF </v>
      </c>
      <c r="D3362">
        <f t="shared" si="316"/>
        <v>44</v>
      </c>
      <c r="E3362" t="str">
        <f t="shared" si="312"/>
        <v xml:space="preserve"> 🧑🏻‍❤️‍🧑🏿 E13.1 couple with heart: person, person, light skin tone, dark skin tone</v>
      </c>
      <c r="F3362" t="b">
        <f t="shared" si="317"/>
        <v>1</v>
      </c>
      <c r="G3362" t="str">
        <f t="shared" si="313"/>
        <v>1F9D1</v>
      </c>
      <c r="I3362">
        <f>HEX2DEC(Table1[[#This Row],[utf8]])</f>
        <v>129489</v>
      </c>
      <c r="J3362" t="str">
        <f>_xlfn.UNICHAR(HEX2DEC(Table1[[#This Row],[utf8]]))</f>
        <v>🧑</v>
      </c>
      <c r="K3362" s="3" t="str" cm="1">
        <f t="array" ref="K3362">"Case "&amp;wRandomLetter()&amp;wRandomLetter()&amp;I3362&amp;":    UniConst = ChrW(" &amp; I3362 &amp;")"</f>
        <v>Case tM129489:    UniConst = ChrW(129489)</v>
      </c>
    </row>
    <row r="3363" spans="1:11" hidden="1">
      <c r="A3363" t="s">
        <v>474</v>
      </c>
      <c r="B3363" t="str">
        <f t="shared" si="314"/>
        <v>1F9D1 1F3FC ; fully-qualified # 🧑🏼 E5.0 person: medium-light skin tone</v>
      </c>
      <c r="C3363" t="str">
        <f t="shared" si="315"/>
        <v xml:space="preserve">1F9D1 1F3FC </v>
      </c>
      <c r="D3363">
        <f t="shared" si="316"/>
        <v>12</v>
      </c>
      <c r="E3363" t="str">
        <f t="shared" si="312"/>
        <v xml:space="preserve"> 🧑🏼 E5.0 person: medium-light skin tone</v>
      </c>
      <c r="F3363" t="b">
        <f t="shared" si="317"/>
        <v>1</v>
      </c>
      <c r="G3363" t="str">
        <f t="shared" si="313"/>
        <v>1F9D1</v>
      </c>
      <c r="I3363">
        <f>HEX2DEC(Table1[[#This Row],[utf8]])</f>
        <v>129489</v>
      </c>
      <c r="J3363" t="str">
        <f>_xlfn.UNICHAR(HEX2DEC(Table1[[#This Row],[utf8]]))</f>
        <v>🧑</v>
      </c>
      <c r="K3363" s="3" t="str" cm="1">
        <f t="array" ref="K3363">"Case "&amp;wRandomLetter()&amp;wRandomLetter()&amp;I3363&amp;":    UniConst = ChrW(" &amp; I3363 &amp;")"</f>
        <v>Case Ro129489:    UniConst = ChrW(129489)</v>
      </c>
    </row>
    <row r="3364" spans="1:11" hidden="1">
      <c r="A3364" t="s">
        <v>1052</v>
      </c>
      <c r="B3364" t="str">
        <f t="shared" si="314"/>
        <v>1F9D1 1F3FC 200D 1F33E ; fully-qualified # 🧑🏼‍🌾 E12.1 farmer: medium-light skin tone</v>
      </c>
      <c r="C3364" t="str">
        <f t="shared" si="315"/>
        <v xml:space="preserve">1F9D1 1F3FC 200D 1F33E </v>
      </c>
      <c r="D3364">
        <f t="shared" si="316"/>
        <v>23</v>
      </c>
      <c r="E3364" t="str">
        <f t="shared" si="312"/>
        <v xml:space="preserve"> 🧑🏼‍🌾 E12.1 farmer: medium-light skin tone</v>
      </c>
      <c r="F3364" t="b">
        <f t="shared" si="317"/>
        <v>1</v>
      </c>
      <c r="G3364" t="str">
        <f t="shared" si="313"/>
        <v>1F9D1</v>
      </c>
      <c r="I3364">
        <f>HEX2DEC(Table1[[#This Row],[utf8]])</f>
        <v>129489</v>
      </c>
      <c r="J3364" t="str">
        <f>_xlfn.UNICHAR(HEX2DEC(Table1[[#This Row],[utf8]]))</f>
        <v>🧑</v>
      </c>
      <c r="K3364" s="3" t="str" cm="1">
        <f t="array" ref="K3364">"Case "&amp;wRandomLetter()&amp;wRandomLetter()&amp;I3364&amp;":    UniConst = ChrW(" &amp; I3364 &amp;")"</f>
        <v>Case xA129489:    UniConst = ChrW(129489)</v>
      </c>
    </row>
    <row r="3365" spans="1:11" hidden="1">
      <c r="A3365" t="s">
        <v>1070</v>
      </c>
      <c r="B3365" t="str">
        <f t="shared" si="314"/>
        <v>1F9D1 1F3FC 200D 1F373 ; fully-qualified # 🧑🏼‍🍳 E12.1 cook: medium-light skin tone</v>
      </c>
      <c r="C3365" t="str">
        <f t="shared" si="315"/>
        <v xml:space="preserve">1F9D1 1F3FC 200D 1F373 </v>
      </c>
      <c r="D3365">
        <f t="shared" si="316"/>
        <v>23</v>
      </c>
      <c r="E3365" t="str">
        <f t="shared" si="312"/>
        <v xml:space="preserve"> 🧑🏼‍🍳 E12.1 cook: medium-light skin tone</v>
      </c>
      <c r="F3365" t="b">
        <f t="shared" si="317"/>
        <v>1</v>
      </c>
      <c r="G3365" t="str">
        <f t="shared" si="313"/>
        <v>1F9D1</v>
      </c>
      <c r="I3365">
        <f>HEX2DEC(Table1[[#This Row],[utf8]])</f>
        <v>129489</v>
      </c>
      <c r="J3365" t="str">
        <f>_xlfn.UNICHAR(HEX2DEC(Table1[[#This Row],[utf8]]))</f>
        <v>🧑</v>
      </c>
      <c r="K3365" s="3" t="str" cm="1">
        <f t="array" ref="K3365">"Case "&amp;wRandomLetter()&amp;wRandomLetter()&amp;I3365&amp;":    UniConst = ChrW(" &amp; I3365 &amp;")"</f>
        <v>Case AM129489:    UniConst = ChrW(129489)</v>
      </c>
    </row>
    <row r="3366" spans="1:11" hidden="1">
      <c r="A3366" t="s">
        <v>1555</v>
      </c>
      <c r="B3366" t="str">
        <f t="shared" si="314"/>
        <v>1F9D1 1F3FC 200D 1F37C ; fully-qualified # 🧑🏼‍🍼 E13.0 person feeding baby: medium-light skin tone</v>
      </c>
      <c r="C3366" t="str">
        <f t="shared" si="315"/>
        <v xml:space="preserve">1F9D1 1F3FC 200D 1F37C </v>
      </c>
      <c r="D3366">
        <f t="shared" si="316"/>
        <v>23</v>
      </c>
      <c r="E3366" t="str">
        <f t="shared" si="312"/>
        <v xml:space="preserve"> 🧑🏼‍🍼 E13.0 person feeding baby: medium-light skin tone</v>
      </c>
      <c r="F3366" t="b">
        <f t="shared" si="317"/>
        <v>1</v>
      </c>
      <c r="G3366" t="str">
        <f t="shared" si="313"/>
        <v>1F9D1</v>
      </c>
      <c r="I3366">
        <f>HEX2DEC(Table1[[#This Row],[utf8]])</f>
        <v>129489</v>
      </c>
      <c r="J3366" t="str">
        <f>_xlfn.UNICHAR(HEX2DEC(Table1[[#This Row],[utf8]]))</f>
        <v>🧑</v>
      </c>
      <c r="K3366" s="3" t="str" cm="1">
        <f t="array" ref="K3366">"Case "&amp;wRandomLetter()&amp;wRandomLetter()&amp;I3366&amp;":    UniConst = ChrW(" &amp; I3366 &amp;")"</f>
        <v>Case Ry129489:    UniConst = ChrW(129489)</v>
      </c>
    </row>
    <row r="3367" spans="1:11" hidden="1">
      <c r="A3367" t="s">
        <v>1580</v>
      </c>
      <c r="B3367" t="str">
        <f t="shared" si="314"/>
        <v>1F9D1 1F3FC 200D 1F384 ; fully-qualified # 🧑🏼‍🎄 E13.0 mx claus: medium-light skin tone</v>
      </c>
      <c r="C3367" t="str">
        <f t="shared" si="315"/>
        <v xml:space="preserve">1F9D1 1F3FC 200D 1F384 </v>
      </c>
      <c r="D3367">
        <f t="shared" si="316"/>
        <v>23</v>
      </c>
      <c r="E3367" t="str">
        <f t="shared" si="312"/>
        <v xml:space="preserve"> 🧑🏼‍🎄 E13.0 mx claus: medium-light skin tone</v>
      </c>
      <c r="F3367" t="b">
        <f t="shared" si="317"/>
        <v>1</v>
      </c>
      <c r="G3367" t="str">
        <f t="shared" si="313"/>
        <v>1F9D1</v>
      </c>
      <c r="I3367">
        <f>HEX2DEC(Table1[[#This Row],[utf8]])</f>
        <v>129489</v>
      </c>
      <c r="J3367" t="str">
        <f>_xlfn.UNICHAR(HEX2DEC(Table1[[#This Row],[utf8]]))</f>
        <v>🧑</v>
      </c>
      <c r="K3367" s="3" t="str" cm="1">
        <f t="array" ref="K3367">"Case "&amp;wRandomLetter()&amp;wRandomLetter()&amp;I3367&amp;":    UniConst = ChrW(" &amp; I3367 &amp;")"</f>
        <v>Case nl129489:    UniConst = ChrW(129489)</v>
      </c>
    </row>
    <row r="3368" spans="1:11" hidden="1">
      <c r="A3368" t="s">
        <v>980</v>
      </c>
      <c r="B3368" t="str">
        <f t="shared" si="314"/>
        <v>1F9D1 1F3FC 200D 1F393 ; fully-qualified # 🧑🏼‍🎓 E12.1 student: medium-light skin tone</v>
      </c>
      <c r="C3368" t="str">
        <f t="shared" si="315"/>
        <v xml:space="preserve">1F9D1 1F3FC 200D 1F393 </v>
      </c>
      <c r="D3368">
        <f t="shared" si="316"/>
        <v>23</v>
      </c>
      <c r="E3368" t="str">
        <f t="shared" si="312"/>
        <v xml:space="preserve"> 🧑🏼‍🎓 E12.1 student: medium-light skin tone</v>
      </c>
      <c r="F3368" t="b">
        <f t="shared" si="317"/>
        <v>1</v>
      </c>
      <c r="G3368" t="str">
        <f t="shared" si="313"/>
        <v>1F9D1</v>
      </c>
      <c r="I3368">
        <f>HEX2DEC(Table1[[#This Row],[utf8]])</f>
        <v>129489</v>
      </c>
      <c r="J3368" t="str">
        <f>_xlfn.UNICHAR(HEX2DEC(Table1[[#This Row],[utf8]]))</f>
        <v>🧑</v>
      </c>
      <c r="K3368" s="3" t="str" cm="1">
        <f t="array" ref="K3368">"Case "&amp;wRandomLetter()&amp;wRandomLetter()&amp;I3368&amp;":    UniConst = ChrW(" &amp; I3368 &amp;")"</f>
        <v>Case xY129489:    UniConst = ChrW(129489)</v>
      </c>
    </row>
    <row r="3369" spans="1:11" hidden="1">
      <c r="A3369" t="s">
        <v>1178</v>
      </c>
      <c r="B3369" t="str">
        <f t="shared" si="314"/>
        <v>1F9D1 1F3FC 200D 1F3A4 ; fully-qualified # 🧑🏼‍🎤 E12.1 singer: medium-light skin tone</v>
      </c>
      <c r="C3369" t="str">
        <f t="shared" si="315"/>
        <v xml:space="preserve">1F9D1 1F3FC 200D 1F3A4 </v>
      </c>
      <c r="D3369">
        <f t="shared" si="316"/>
        <v>23</v>
      </c>
      <c r="E3369" t="str">
        <f t="shared" si="312"/>
        <v xml:space="preserve"> 🧑🏼‍🎤 E12.1 singer: medium-light skin tone</v>
      </c>
      <c r="F3369" t="b">
        <f t="shared" si="317"/>
        <v>1</v>
      </c>
      <c r="G3369" t="str">
        <f t="shared" si="313"/>
        <v>1F9D1</v>
      </c>
      <c r="I3369">
        <f>HEX2DEC(Table1[[#This Row],[utf8]])</f>
        <v>129489</v>
      </c>
      <c r="J3369" t="str">
        <f>_xlfn.UNICHAR(HEX2DEC(Table1[[#This Row],[utf8]]))</f>
        <v>🧑</v>
      </c>
      <c r="K3369" s="3" t="str" cm="1">
        <f t="array" ref="K3369">"Case "&amp;wRandomLetter()&amp;wRandomLetter()&amp;I3369&amp;":    UniConst = ChrW(" &amp; I3369 &amp;")"</f>
        <v>Case YR129489:    UniConst = ChrW(129489)</v>
      </c>
    </row>
    <row r="3370" spans="1:11" hidden="1">
      <c r="A3370" t="s">
        <v>1196</v>
      </c>
      <c r="B3370" t="str">
        <f t="shared" si="314"/>
        <v>1F9D1 1F3FC 200D 1F3A8 ; fully-qualified # 🧑🏼‍🎨 E12.1 artist: medium-light skin tone</v>
      </c>
      <c r="C3370" t="str">
        <f t="shared" si="315"/>
        <v xml:space="preserve">1F9D1 1F3FC 200D 1F3A8 </v>
      </c>
      <c r="D3370">
        <f t="shared" si="316"/>
        <v>23</v>
      </c>
      <c r="E3370" t="str">
        <f t="shared" si="312"/>
        <v xml:space="preserve"> 🧑🏼‍🎨 E12.1 artist: medium-light skin tone</v>
      </c>
      <c r="F3370" t="b">
        <f t="shared" si="317"/>
        <v>1</v>
      </c>
      <c r="G3370" t="str">
        <f t="shared" si="313"/>
        <v>1F9D1</v>
      </c>
      <c r="I3370">
        <f>HEX2DEC(Table1[[#This Row],[utf8]])</f>
        <v>129489</v>
      </c>
      <c r="J3370" t="str">
        <f>_xlfn.UNICHAR(HEX2DEC(Table1[[#This Row],[utf8]]))</f>
        <v>🧑</v>
      </c>
      <c r="K3370" s="3" t="str" cm="1">
        <f t="array" ref="K3370">"Case "&amp;wRandomLetter()&amp;wRandomLetter()&amp;I3370&amp;":    UniConst = ChrW(" &amp; I3370 &amp;")"</f>
        <v>Case Qk129489:    UniConst = ChrW(129489)</v>
      </c>
    </row>
    <row r="3371" spans="1:11" hidden="1">
      <c r="A3371" t="s">
        <v>998</v>
      </c>
      <c r="B3371" t="str">
        <f t="shared" si="314"/>
        <v>1F9D1 1F3FC 200D 1F3EB ; fully-qualified # 🧑🏼‍🏫 E12.1 teacher: medium-light skin tone</v>
      </c>
      <c r="C3371" t="str">
        <f t="shared" si="315"/>
        <v xml:space="preserve">1F9D1 1F3FC 200D 1F3EB </v>
      </c>
      <c r="D3371">
        <f t="shared" si="316"/>
        <v>23</v>
      </c>
      <c r="E3371" t="str">
        <f t="shared" si="312"/>
        <v xml:space="preserve"> 🧑🏼‍🏫 E12.1 teacher: medium-light skin tone</v>
      </c>
      <c r="F3371" t="b">
        <f t="shared" si="317"/>
        <v>1</v>
      </c>
      <c r="G3371" t="str">
        <f t="shared" si="313"/>
        <v>1F9D1</v>
      </c>
      <c r="I3371">
        <f>HEX2DEC(Table1[[#This Row],[utf8]])</f>
        <v>129489</v>
      </c>
      <c r="J3371" t="str">
        <f>_xlfn.UNICHAR(HEX2DEC(Table1[[#This Row],[utf8]]))</f>
        <v>🧑</v>
      </c>
      <c r="K3371" s="3" t="str" cm="1">
        <f t="array" ref="K3371">"Case "&amp;wRandomLetter()&amp;wRandomLetter()&amp;I3371&amp;":    UniConst = ChrW(" &amp; I3371 &amp;")"</f>
        <v>Case Xd129489:    UniConst = ChrW(129489)</v>
      </c>
    </row>
    <row r="3372" spans="1:11" hidden="1">
      <c r="A3372" t="s">
        <v>1106</v>
      </c>
      <c r="B3372" t="str">
        <f t="shared" si="314"/>
        <v>1F9D1 1F3FC 200D 1F3ED ; fully-qualified # 🧑🏼‍🏭 E12.1 factory worker: medium-light skin tone</v>
      </c>
      <c r="C3372" t="str">
        <f t="shared" si="315"/>
        <v xml:space="preserve">1F9D1 1F3FC 200D 1F3ED </v>
      </c>
      <c r="D3372">
        <f t="shared" si="316"/>
        <v>23</v>
      </c>
      <c r="E3372" t="str">
        <f t="shared" si="312"/>
        <v xml:space="preserve"> 🧑🏼‍🏭 E12.1 factory worker: medium-light skin tone</v>
      </c>
      <c r="F3372" t="b">
        <f t="shared" si="317"/>
        <v>1</v>
      </c>
      <c r="G3372" t="str">
        <f t="shared" si="313"/>
        <v>1F9D1</v>
      </c>
      <c r="I3372">
        <f>HEX2DEC(Table1[[#This Row],[utf8]])</f>
        <v>129489</v>
      </c>
      <c r="J3372" t="str">
        <f>_xlfn.UNICHAR(HEX2DEC(Table1[[#This Row],[utf8]]))</f>
        <v>🧑</v>
      </c>
      <c r="K3372" s="3" t="str" cm="1">
        <f t="array" ref="K3372">"Case "&amp;wRandomLetter()&amp;wRandomLetter()&amp;I3372&amp;":    UniConst = ChrW(" &amp; I3372 &amp;")"</f>
        <v>Case Kk129489:    UniConst = ChrW(129489)</v>
      </c>
    </row>
    <row r="3373" spans="1:11" hidden="1">
      <c r="A3373" t="s">
        <v>1160</v>
      </c>
      <c r="B3373" t="str">
        <f t="shared" si="314"/>
        <v>1F9D1 1F3FC 200D 1F4BB ; fully-qualified # 🧑🏼‍💻 E12.1 technologist: medium-light skin tone</v>
      </c>
      <c r="C3373" t="str">
        <f t="shared" si="315"/>
        <v xml:space="preserve">1F9D1 1F3FC 200D 1F4BB </v>
      </c>
      <c r="D3373">
        <f t="shared" si="316"/>
        <v>23</v>
      </c>
      <c r="E3373" t="str">
        <f t="shared" si="312"/>
        <v xml:space="preserve"> 🧑🏼‍💻 E12.1 technologist: medium-light skin tone</v>
      </c>
      <c r="F3373" t="b">
        <f t="shared" si="317"/>
        <v>1</v>
      </c>
      <c r="G3373" t="str">
        <f t="shared" si="313"/>
        <v>1F9D1</v>
      </c>
      <c r="I3373">
        <f>HEX2DEC(Table1[[#This Row],[utf8]])</f>
        <v>129489</v>
      </c>
      <c r="J3373" t="str">
        <f>_xlfn.UNICHAR(HEX2DEC(Table1[[#This Row],[utf8]]))</f>
        <v>🧑</v>
      </c>
      <c r="K3373" s="3" t="str" cm="1">
        <f t="array" ref="K3373">"Case "&amp;wRandomLetter()&amp;wRandomLetter()&amp;I3373&amp;":    UniConst = ChrW(" &amp; I3373 &amp;")"</f>
        <v>Case gH129489:    UniConst = ChrW(129489)</v>
      </c>
    </row>
    <row r="3374" spans="1:11" hidden="1">
      <c r="A3374" t="s">
        <v>1124</v>
      </c>
      <c r="B3374" t="str">
        <f t="shared" si="314"/>
        <v>1F9D1 1F3FC 200D 1F4BC ; fully-qualified # 🧑🏼‍💼 E12.1 office worker: medium-light skin tone</v>
      </c>
      <c r="C3374" t="str">
        <f t="shared" si="315"/>
        <v xml:space="preserve">1F9D1 1F3FC 200D 1F4BC </v>
      </c>
      <c r="D3374">
        <f t="shared" si="316"/>
        <v>23</v>
      </c>
      <c r="E3374" t="str">
        <f t="shared" si="312"/>
        <v xml:space="preserve"> 🧑🏼‍💼 E12.1 office worker: medium-light skin tone</v>
      </c>
      <c r="F3374" t="b">
        <f t="shared" si="317"/>
        <v>1</v>
      </c>
      <c r="G3374" t="str">
        <f t="shared" si="313"/>
        <v>1F9D1</v>
      </c>
      <c r="I3374">
        <f>HEX2DEC(Table1[[#This Row],[utf8]])</f>
        <v>129489</v>
      </c>
      <c r="J3374" t="str">
        <f>_xlfn.UNICHAR(HEX2DEC(Table1[[#This Row],[utf8]]))</f>
        <v>🧑</v>
      </c>
      <c r="K3374" s="3" t="str" cm="1">
        <f t="array" ref="K3374">"Case "&amp;wRandomLetter()&amp;wRandomLetter()&amp;I3374&amp;":    UniConst = ChrW(" &amp; I3374 &amp;")"</f>
        <v>Case HV129489:    UniConst = ChrW(129489)</v>
      </c>
    </row>
    <row r="3375" spans="1:11" hidden="1">
      <c r="A3375" t="s">
        <v>1088</v>
      </c>
      <c r="B3375" t="str">
        <f t="shared" si="314"/>
        <v>1F9D1 1F3FC 200D 1F527 ; fully-qualified # 🧑🏼‍🔧 E12.1 mechanic: medium-light skin tone</v>
      </c>
      <c r="C3375" t="str">
        <f t="shared" si="315"/>
        <v xml:space="preserve">1F9D1 1F3FC 200D 1F527 </v>
      </c>
      <c r="D3375">
        <f t="shared" si="316"/>
        <v>23</v>
      </c>
      <c r="E3375" t="str">
        <f t="shared" si="312"/>
        <v xml:space="preserve"> 🧑🏼‍🔧 E12.1 mechanic: medium-light skin tone</v>
      </c>
      <c r="F3375" t="b">
        <f t="shared" si="317"/>
        <v>1</v>
      </c>
      <c r="G3375" t="str">
        <f t="shared" si="313"/>
        <v>1F9D1</v>
      </c>
      <c r="I3375">
        <f>HEX2DEC(Table1[[#This Row],[utf8]])</f>
        <v>129489</v>
      </c>
      <c r="J3375" t="str">
        <f>_xlfn.UNICHAR(HEX2DEC(Table1[[#This Row],[utf8]]))</f>
        <v>🧑</v>
      </c>
      <c r="K3375" s="3" t="str" cm="1">
        <f t="array" ref="K3375">"Case "&amp;wRandomLetter()&amp;wRandomLetter()&amp;I3375&amp;":    UniConst = ChrW(" &amp; I3375 &amp;")"</f>
        <v>Case En129489:    UniConst = ChrW(129489)</v>
      </c>
    </row>
    <row r="3376" spans="1:11" hidden="1">
      <c r="A3376" t="s">
        <v>1142</v>
      </c>
      <c r="B3376" t="str">
        <f t="shared" si="314"/>
        <v>1F9D1 1F3FC 200D 1F52C ; fully-qualified # 🧑🏼‍🔬 E12.1 scientist: medium-light skin tone</v>
      </c>
      <c r="C3376" t="str">
        <f t="shared" si="315"/>
        <v xml:space="preserve">1F9D1 1F3FC 200D 1F52C </v>
      </c>
      <c r="D3376">
        <f t="shared" si="316"/>
        <v>23</v>
      </c>
      <c r="E3376" t="str">
        <f t="shared" si="312"/>
        <v xml:space="preserve"> 🧑🏼‍🔬 E12.1 scientist: medium-light skin tone</v>
      </c>
      <c r="F3376" t="b">
        <f t="shared" si="317"/>
        <v>1</v>
      </c>
      <c r="G3376" t="str">
        <f t="shared" si="313"/>
        <v>1F9D1</v>
      </c>
      <c r="I3376">
        <f>HEX2DEC(Table1[[#This Row],[utf8]])</f>
        <v>129489</v>
      </c>
      <c r="J3376" t="str">
        <f>_xlfn.UNICHAR(HEX2DEC(Table1[[#This Row],[utf8]]))</f>
        <v>🧑</v>
      </c>
      <c r="K3376" s="3" t="str" cm="1">
        <f t="array" ref="K3376">"Case "&amp;wRandomLetter()&amp;wRandomLetter()&amp;I3376&amp;":    UniConst = ChrW(" &amp; I3376 &amp;")"</f>
        <v>Case JW129489:    UniConst = ChrW(129489)</v>
      </c>
    </row>
    <row r="3377" spans="1:11" hidden="1">
      <c r="A3377" t="s">
        <v>1250</v>
      </c>
      <c r="B3377" t="str">
        <f t="shared" si="314"/>
        <v>1F9D1 1F3FC 200D 1F680 ; fully-qualified # 🧑🏼‍🚀 E12.1 astronaut: medium-light skin tone</v>
      </c>
      <c r="C3377" t="str">
        <f t="shared" si="315"/>
        <v xml:space="preserve">1F9D1 1F3FC 200D 1F680 </v>
      </c>
      <c r="D3377">
        <f t="shared" si="316"/>
        <v>23</v>
      </c>
      <c r="E3377" t="str">
        <f t="shared" si="312"/>
        <v xml:space="preserve"> 🧑🏼‍🚀 E12.1 astronaut: medium-light skin tone</v>
      </c>
      <c r="F3377" t="b">
        <f t="shared" si="317"/>
        <v>1</v>
      </c>
      <c r="G3377" t="str">
        <f t="shared" si="313"/>
        <v>1F9D1</v>
      </c>
      <c r="I3377">
        <f>HEX2DEC(Table1[[#This Row],[utf8]])</f>
        <v>129489</v>
      </c>
      <c r="J3377" t="str">
        <f>_xlfn.UNICHAR(HEX2DEC(Table1[[#This Row],[utf8]]))</f>
        <v>🧑</v>
      </c>
      <c r="K3377" s="3" t="str" cm="1">
        <f t="array" ref="K3377">"Case "&amp;wRandomLetter()&amp;wRandomLetter()&amp;I3377&amp;":    UniConst = ChrW(" &amp; I3377 &amp;")"</f>
        <v>Case JF129489:    UniConst = ChrW(129489)</v>
      </c>
    </row>
    <row r="3378" spans="1:11" hidden="1">
      <c r="A3378" t="s">
        <v>1268</v>
      </c>
      <c r="B3378" t="str">
        <f t="shared" si="314"/>
        <v>1F9D1 1F3FC 200D 1F692 ; fully-qualified # 🧑🏼‍🚒 E12.1 firefighter: medium-light skin tone</v>
      </c>
      <c r="C3378" t="str">
        <f t="shared" si="315"/>
        <v xml:space="preserve">1F9D1 1F3FC 200D 1F692 </v>
      </c>
      <c r="D3378">
        <f t="shared" si="316"/>
        <v>23</v>
      </c>
      <c r="E3378" t="str">
        <f t="shared" si="312"/>
        <v xml:space="preserve"> 🧑🏼‍🚒 E12.1 firefighter: medium-light skin tone</v>
      </c>
      <c r="F3378" t="b">
        <f t="shared" si="317"/>
        <v>1</v>
      </c>
      <c r="G3378" t="str">
        <f t="shared" si="313"/>
        <v>1F9D1</v>
      </c>
      <c r="I3378">
        <f>HEX2DEC(Table1[[#This Row],[utf8]])</f>
        <v>129489</v>
      </c>
      <c r="J3378" t="str">
        <f>_xlfn.UNICHAR(HEX2DEC(Table1[[#This Row],[utf8]]))</f>
        <v>🧑</v>
      </c>
      <c r="K3378" s="3" t="str" cm="1">
        <f t="array" ref="K3378">"Case "&amp;wRandomLetter()&amp;wRandomLetter()&amp;I3378&amp;":    UniConst = ChrW(" &amp; I3378 &amp;")"</f>
        <v>Case uc129489:    UniConst = ChrW(129489)</v>
      </c>
    </row>
    <row r="3379" spans="1:11" hidden="1">
      <c r="A3379" t="s">
        <v>2569</v>
      </c>
      <c r="B3379" t="str">
        <f t="shared" si="314"/>
        <v>1F9D1 1F3FC 200D 1F91D 200D 1F9D1 1F3FB ; fully-qualified # 🧑🏼‍🤝‍🧑🏻 E12.0 people holding hands: medium-light skin tone, light skin tone</v>
      </c>
      <c r="C3379" t="str">
        <f t="shared" si="315"/>
        <v xml:space="preserve">1F9D1 1F3FC 200D 1F91D 200D 1F9D1 1F3FB </v>
      </c>
      <c r="D3379">
        <f t="shared" si="316"/>
        <v>40</v>
      </c>
      <c r="E3379" t="str">
        <f t="shared" si="312"/>
        <v xml:space="preserve"> 🧑🏼‍🤝‍🧑🏻 E12.0 people holding hands: medium-light skin tone, light skin tone</v>
      </c>
      <c r="F3379" t="b">
        <f t="shared" si="317"/>
        <v>1</v>
      </c>
      <c r="G3379" t="str">
        <f t="shared" si="313"/>
        <v>1F9D1</v>
      </c>
      <c r="I3379">
        <f>HEX2DEC(Table1[[#This Row],[utf8]])</f>
        <v>129489</v>
      </c>
      <c r="J3379" t="str">
        <f>_xlfn.UNICHAR(HEX2DEC(Table1[[#This Row],[utf8]]))</f>
        <v>🧑</v>
      </c>
      <c r="K3379" s="3" t="str" cm="1">
        <f t="array" ref="K3379">"Case "&amp;wRandomLetter()&amp;wRandomLetter()&amp;I3379&amp;":    UniConst = ChrW(" &amp; I3379 &amp;")"</f>
        <v>Case Wg129489:    UniConst = ChrW(129489)</v>
      </c>
    </row>
    <row r="3380" spans="1:11" hidden="1">
      <c r="A3380" t="s">
        <v>2570</v>
      </c>
      <c r="B3380" t="str">
        <f t="shared" si="314"/>
        <v>1F9D1 1F3FC 200D 1F91D 200D 1F9D1 1F3FC ; fully-qualified # 🧑🏼‍🤝‍🧑🏼 E12.0 people holding hands: medium-light skin tone</v>
      </c>
      <c r="C3380" t="str">
        <f t="shared" si="315"/>
        <v xml:space="preserve">1F9D1 1F3FC 200D 1F91D 200D 1F9D1 1F3FC </v>
      </c>
      <c r="D3380">
        <f t="shared" si="316"/>
        <v>40</v>
      </c>
      <c r="E3380" t="str">
        <f t="shared" si="312"/>
        <v xml:space="preserve"> 🧑🏼‍🤝‍🧑🏼 E12.0 people holding hands: medium-light skin tone</v>
      </c>
      <c r="F3380" t="b">
        <f t="shared" si="317"/>
        <v>1</v>
      </c>
      <c r="G3380" t="str">
        <f t="shared" si="313"/>
        <v>1F9D1</v>
      </c>
      <c r="I3380">
        <f>HEX2DEC(Table1[[#This Row],[utf8]])</f>
        <v>129489</v>
      </c>
      <c r="J3380" t="str">
        <f>_xlfn.UNICHAR(HEX2DEC(Table1[[#This Row],[utf8]]))</f>
        <v>🧑</v>
      </c>
      <c r="K3380" s="3" t="str" cm="1">
        <f t="array" ref="K3380">"Case "&amp;wRandomLetter()&amp;wRandomLetter()&amp;I3380&amp;":    UniConst = ChrW(" &amp; I3380 &amp;")"</f>
        <v>Case FM129489:    UniConst = ChrW(129489)</v>
      </c>
    </row>
    <row r="3381" spans="1:11" hidden="1">
      <c r="A3381" t="s">
        <v>2571</v>
      </c>
      <c r="B3381" t="str">
        <f t="shared" si="314"/>
        <v>1F9D1 1F3FC 200D 1F91D 200D 1F9D1 1F3FD ; fully-qualified # 🧑🏼‍🤝‍🧑🏽 E12.1 people holding hands: medium-light skin tone, medium skin tone</v>
      </c>
      <c r="C3381" t="str">
        <f t="shared" si="315"/>
        <v xml:space="preserve">1F9D1 1F3FC 200D 1F91D 200D 1F9D1 1F3FD </v>
      </c>
      <c r="D3381">
        <f t="shared" si="316"/>
        <v>40</v>
      </c>
      <c r="E3381" t="str">
        <f t="shared" si="312"/>
        <v xml:space="preserve"> 🧑🏼‍🤝‍🧑🏽 E12.1 people holding hands: medium-light skin tone, medium skin tone</v>
      </c>
      <c r="F3381" t="b">
        <f t="shared" si="317"/>
        <v>1</v>
      </c>
      <c r="G3381" t="str">
        <f t="shared" si="313"/>
        <v>1F9D1</v>
      </c>
      <c r="I3381">
        <f>HEX2DEC(Table1[[#This Row],[utf8]])</f>
        <v>129489</v>
      </c>
      <c r="J3381" t="str">
        <f>_xlfn.UNICHAR(HEX2DEC(Table1[[#This Row],[utf8]]))</f>
        <v>🧑</v>
      </c>
      <c r="K3381" s="3" t="str" cm="1">
        <f t="array" ref="K3381">"Case "&amp;wRandomLetter()&amp;wRandomLetter()&amp;I3381&amp;":    UniConst = ChrW(" &amp; I3381 &amp;")"</f>
        <v>Case gR129489:    UniConst = ChrW(129489)</v>
      </c>
    </row>
    <row r="3382" spans="1:11" hidden="1">
      <c r="A3382" t="s">
        <v>2572</v>
      </c>
      <c r="B3382" t="str">
        <f t="shared" si="314"/>
        <v>1F9D1 1F3FC 200D 1F91D 200D 1F9D1 1F3FE ; fully-qualified # 🧑🏼‍🤝‍🧑🏾 E12.1 people holding hands: medium-light skin tone, medium-dark skin tone</v>
      </c>
      <c r="C3382" t="str">
        <f t="shared" si="315"/>
        <v xml:space="preserve">1F9D1 1F3FC 200D 1F91D 200D 1F9D1 1F3FE </v>
      </c>
      <c r="D3382">
        <f t="shared" si="316"/>
        <v>40</v>
      </c>
      <c r="E3382" t="str">
        <f t="shared" si="312"/>
        <v xml:space="preserve"> 🧑🏼‍🤝‍🧑🏾 E12.1 people holding hands: medium-light skin tone, medium-dark skin tone</v>
      </c>
      <c r="F3382" t="b">
        <f t="shared" si="317"/>
        <v>1</v>
      </c>
      <c r="G3382" t="str">
        <f t="shared" si="313"/>
        <v>1F9D1</v>
      </c>
      <c r="I3382">
        <f>HEX2DEC(Table1[[#This Row],[utf8]])</f>
        <v>129489</v>
      </c>
      <c r="J3382" t="str">
        <f>_xlfn.UNICHAR(HEX2DEC(Table1[[#This Row],[utf8]]))</f>
        <v>🧑</v>
      </c>
      <c r="K3382" s="3" t="str" cm="1">
        <f t="array" ref="K3382">"Case "&amp;wRandomLetter()&amp;wRandomLetter()&amp;I3382&amp;":    UniConst = ChrW(" &amp; I3382 &amp;")"</f>
        <v>Case pH129489:    UniConst = ChrW(129489)</v>
      </c>
    </row>
    <row r="3383" spans="1:11" hidden="1">
      <c r="A3383" t="s">
        <v>2573</v>
      </c>
      <c r="B3383" t="str">
        <f t="shared" si="314"/>
        <v>1F9D1 1F3FC 200D 1F91D 200D 1F9D1 1F3FF ; fully-qualified # 🧑🏼‍🤝‍🧑🏿 E12.1 people holding hands: medium-light skin tone, dark skin tone</v>
      </c>
      <c r="C3383" t="str">
        <f t="shared" si="315"/>
        <v xml:space="preserve">1F9D1 1F3FC 200D 1F91D 200D 1F9D1 1F3FF </v>
      </c>
      <c r="D3383">
        <f t="shared" si="316"/>
        <v>40</v>
      </c>
      <c r="E3383" t="str">
        <f t="shared" si="312"/>
        <v xml:space="preserve"> 🧑🏼‍🤝‍🧑🏿 E12.1 people holding hands: medium-light skin tone, dark skin tone</v>
      </c>
      <c r="F3383" t="b">
        <f t="shared" si="317"/>
        <v>1</v>
      </c>
      <c r="G3383" t="str">
        <f t="shared" si="313"/>
        <v>1F9D1</v>
      </c>
      <c r="I3383">
        <f>HEX2DEC(Table1[[#This Row],[utf8]])</f>
        <v>129489</v>
      </c>
      <c r="J3383" t="str">
        <f>_xlfn.UNICHAR(HEX2DEC(Table1[[#This Row],[utf8]]))</f>
        <v>🧑</v>
      </c>
      <c r="K3383" s="3" t="str" cm="1">
        <f t="array" ref="K3383">"Case "&amp;wRandomLetter()&amp;wRandomLetter()&amp;I3383&amp;":    UniConst = ChrW(" &amp; I3383 &amp;")"</f>
        <v>Case xM129489:    UniConst = ChrW(129489)</v>
      </c>
    </row>
    <row r="3384" spans="1:11" hidden="1">
      <c r="A3384" t="s">
        <v>1957</v>
      </c>
      <c r="B3384" t="str">
        <f t="shared" si="314"/>
        <v>1F9D1 1F3FC 200D 1F9AF ; fully-qualified # 🧑🏼‍🦯 E12.1 person with white cane: medium-light skin tone</v>
      </c>
      <c r="C3384" t="str">
        <f t="shared" si="315"/>
        <v xml:space="preserve">1F9D1 1F3FC 200D 1F9AF </v>
      </c>
      <c r="D3384">
        <f t="shared" si="316"/>
        <v>23</v>
      </c>
      <c r="E3384" t="str">
        <f t="shared" si="312"/>
        <v xml:space="preserve"> 🧑🏼‍🦯 E12.1 person with white cane: medium-light skin tone</v>
      </c>
      <c r="F3384" t="b">
        <f t="shared" si="317"/>
        <v>1</v>
      </c>
      <c r="G3384" t="str">
        <f t="shared" si="313"/>
        <v>1F9D1</v>
      </c>
      <c r="I3384">
        <f>HEX2DEC(Table1[[#This Row],[utf8]])</f>
        <v>129489</v>
      </c>
      <c r="J3384" t="str">
        <f>_xlfn.UNICHAR(HEX2DEC(Table1[[#This Row],[utf8]]))</f>
        <v>🧑</v>
      </c>
      <c r="K3384" s="3" t="str" cm="1">
        <f t="array" ref="K3384">"Case "&amp;wRandomLetter()&amp;wRandomLetter()&amp;I3384&amp;":    UniConst = ChrW(" &amp; I3384 &amp;")"</f>
        <v>Case RH129489:    UniConst = ChrW(129489)</v>
      </c>
    </row>
    <row r="3385" spans="1:11" hidden="1">
      <c r="A3385" t="s">
        <v>558</v>
      </c>
      <c r="B3385" t="str">
        <f t="shared" si="314"/>
        <v>1F9D1 1F3FC 200D 1F9B0 ; fully-qualified # 🧑🏼‍🦰 E12.1 person: medium-light skin tone, red hair</v>
      </c>
      <c r="C3385" t="str">
        <f t="shared" si="315"/>
        <v xml:space="preserve">1F9D1 1F3FC 200D 1F9B0 </v>
      </c>
      <c r="D3385">
        <f t="shared" si="316"/>
        <v>23</v>
      </c>
      <c r="E3385" t="str">
        <f t="shared" si="312"/>
        <v xml:space="preserve"> 🧑🏼‍🦰 E12.1 person: medium-light skin tone, red hair</v>
      </c>
      <c r="F3385" t="b">
        <f t="shared" si="317"/>
        <v>1</v>
      </c>
      <c r="G3385" t="str">
        <f t="shared" si="313"/>
        <v>1F9D1</v>
      </c>
      <c r="I3385">
        <f>HEX2DEC(Table1[[#This Row],[utf8]])</f>
        <v>129489</v>
      </c>
      <c r="J3385" t="str">
        <f>_xlfn.UNICHAR(HEX2DEC(Table1[[#This Row],[utf8]]))</f>
        <v>🧑</v>
      </c>
      <c r="K3385" s="3" t="str" cm="1">
        <f t="array" ref="K3385">"Case "&amp;wRandomLetter()&amp;wRandomLetter()&amp;I3385&amp;":    UniConst = ChrW(" &amp; I3385 &amp;")"</f>
        <v>Case YQ129489:    UniConst = ChrW(129489)</v>
      </c>
    </row>
    <row r="3386" spans="1:11" hidden="1">
      <c r="A3386" t="s">
        <v>570</v>
      </c>
      <c r="B3386" t="str">
        <f t="shared" si="314"/>
        <v>1F9D1 1F3FC 200D 1F9B1 ; fully-qualified # 🧑🏼‍🦱 E12.1 person: medium-light skin tone, curly hair</v>
      </c>
      <c r="C3386" t="str">
        <f t="shared" si="315"/>
        <v xml:space="preserve">1F9D1 1F3FC 200D 1F9B1 </v>
      </c>
      <c r="D3386">
        <f t="shared" si="316"/>
        <v>23</v>
      </c>
      <c r="E3386" t="str">
        <f t="shared" si="312"/>
        <v xml:space="preserve"> 🧑🏼‍🦱 E12.1 person: medium-light skin tone, curly hair</v>
      </c>
      <c r="F3386" t="b">
        <f t="shared" si="317"/>
        <v>1</v>
      </c>
      <c r="G3386" t="str">
        <f t="shared" si="313"/>
        <v>1F9D1</v>
      </c>
      <c r="I3386">
        <f>HEX2DEC(Table1[[#This Row],[utf8]])</f>
        <v>129489</v>
      </c>
      <c r="J3386" t="str">
        <f>_xlfn.UNICHAR(HEX2DEC(Table1[[#This Row],[utf8]]))</f>
        <v>🧑</v>
      </c>
      <c r="K3386" s="3" t="str" cm="1">
        <f t="array" ref="K3386">"Case "&amp;wRandomLetter()&amp;wRandomLetter()&amp;I3386&amp;":    UniConst = ChrW(" &amp; I3386 &amp;")"</f>
        <v>Case mp129489:    UniConst = ChrW(129489)</v>
      </c>
    </row>
    <row r="3387" spans="1:11" hidden="1">
      <c r="A3387" t="s">
        <v>594</v>
      </c>
      <c r="B3387" t="str">
        <f t="shared" si="314"/>
        <v>1F9D1 1F3FC 200D 1F9B2 ; fully-qualified # 🧑🏼‍🦲 E12.1 person: medium-light skin tone, bald</v>
      </c>
      <c r="C3387" t="str">
        <f t="shared" si="315"/>
        <v xml:space="preserve">1F9D1 1F3FC 200D 1F9B2 </v>
      </c>
      <c r="D3387">
        <f t="shared" si="316"/>
        <v>23</v>
      </c>
      <c r="E3387" t="str">
        <f t="shared" si="312"/>
        <v xml:space="preserve"> 🧑🏼‍🦲 E12.1 person: medium-light skin tone, bald</v>
      </c>
      <c r="F3387" t="b">
        <f t="shared" si="317"/>
        <v>1</v>
      </c>
      <c r="G3387" t="str">
        <f t="shared" si="313"/>
        <v>1F9D1</v>
      </c>
      <c r="I3387">
        <f>HEX2DEC(Table1[[#This Row],[utf8]])</f>
        <v>129489</v>
      </c>
      <c r="J3387" t="str">
        <f>_xlfn.UNICHAR(HEX2DEC(Table1[[#This Row],[utf8]]))</f>
        <v>🧑</v>
      </c>
      <c r="K3387" s="3" t="str" cm="1">
        <f t="array" ref="K3387">"Case "&amp;wRandomLetter()&amp;wRandomLetter()&amp;I3387&amp;":    UniConst = ChrW(" &amp; I3387 &amp;")"</f>
        <v>Case AU129489:    UniConst = ChrW(129489)</v>
      </c>
    </row>
    <row r="3388" spans="1:11" hidden="1">
      <c r="A3388" t="s">
        <v>582</v>
      </c>
      <c r="B3388" t="str">
        <f t="shared" si="314"/>
        <v>1F9D1 1F3FC 200D 1F9B3 ; fully-qualified # 🧑🏼‍🦳 E12.1 person: medium-light skin tone, white hair</v>
      </c>
      <c r="C3388" t="str">
        <f t="shared" si="315"/>
        <v xml:space="preserve">1F9D1 1F3FC 200D 1F9B3 </v>
      </c>
      <c r="D3388">
        <f t="shared" si="316"/>
        <v>23</v>
      </c>
      <c r="E3388" t="str">
        <f t="shared" si="312"/>
        <v xml:space="preserve"> 🧑🏼‍🦳 E12.1 person: medium-light skin tone, white hair</v>
      </c>
      <c r="F3388" t="b">
        <f t="shared" si="317"/>
        <v>1</v>
      </c>
      <c r="G3388" t="str">
        <f t="shared" si="313"/>
        <v>1F9D1</v>
      </c>
      <c r="I3388">
        <f>HEX2DEC(Table1[[#This Row],[utf8]])</f>
        <v>129489</v>
      </c>
      <c r="J3388" t="str">
        <f>_xlfn.UNICHAR(HEX2DEC(Table1[[#This Row],[utf8]]))</f>
        <v>🧑</v>
      </c>
      <c r="K3388" s="3" t="str" cm="1">
        <f t="array" ref="K3388">"Case "&amp;wRandomLetter()&amp;wRandomLetter()&amp;I3388&amp;":    UniConst = ChrW(" &amp; I3388 &amp;")"</f>
        <v>Case YB129489:    UniConst = ChrW(129489)</v>
      </c>
    </row>
    <row r="3389" spans="1:11" hidden="1">
      <c r="A3389" t="s">
        <v>1975</v>
      </c>
      <c r="B3389" t="str">
        <f t="shared" si="314"/>
        <v>1F9D1 1F3FC 200D 1F9BC ; fully-qualified # 🧑🏼‍🦼 E12.1 person in motorized wheelchair: medium-light skin tone</v>
      </c>
      <c r="C3389" t="str">
        <f t="shared" si="315"/>
        <v xml:space="preserve">1F9D1 1F3FC 200D 1F9BC </v>
      </c>
      <c r="D3389">
        <f t="shared" si="316"/>
        <v>23</v>
      </c>
      <c r="E3389" t="str">
        <f t="shared" si="312"/>
        <v xml:space="preserve"> 🧑🏼‍🦼 E12.1 person in motorized wheelchair: medium-light skin tone</v>
      </c>
      <c r="F3389" t="b">
        <f t="shared" si="317"/>
        <v>1</v>
      </c>
      <c r="G3389" t="str">
        <f t="shared" si="313"/>
        <v>1F9D1</v>
      </c>
      <c r="I3389">
        <f>HEX2DEC(Table1[[#This Row],[utf8]])</f>
        <v>129489</v>
      </c>
      <c r="J3389" t="str">
        <f>_xlfn.UNICHAR(HEX2DEC(Table1[[#This Row],[utf8]]))</f>
        <v>🧑</v>
      </c>
      <c r="K3389" s="3" t="str" cm="1">
        <f t="array" ref="K3389">"Case "&amp;wRandomLetter()&amp;wRandomLetter()&amp;I3389&amp;":    UniConst = ChrW(" &amp; I3389 &amp;")"</f>
        <v>Case tT129489:    UniConst = ChrW(129489)</v>
      </c>
    </row>
    <row r="3390" spans="1:11" hidden="1">
      <c r="A3390" t="s">
        <v>1993</v>
      </c>
      <c r="B3390" t="str">
        <f t="shared" si="314"/>
        <v>1F9D1 1F3FC 200D 1F9BD ; fully-qualified # 🧑🏼‍🦽 E12.1 person in manual wheelchair: medium-light skin tone</v>
      </c>
      <c r="C3390" t="str">
        <f t="shared" si="315"/>
        <v xml:space="preserve">1F9D1 1F3FC 200D 1F9BD </v>
      </c>
      <c r="D3390">
        <f t="shared" si="316"/>
        <v>23</v>
      </c>
      <c r="E3390" t="str">
        <f t="shared" si="312"/>
        <v xml:space="preserve"> 🧑🏼‍🦽 E12.1 person in manual wheelchair: medium-light skin tone</v>
      </c>
      <c r="F3390" t="b">
        <f t="shared" si="317"/>
        <v>1</v>
      </c>
      <c r="G3390" t="str">
        <f t="shared" si="313"/>
        <v>1F9D1</v>
      </c>
      <c r="I3390">
        <f>HEX2DEC(Table1[[#This Row],[utf8]])</f>
        <v>129489</v>
      </c>
      <c r="J3390" t="str">
        <f>_xlfn.UNICHAR(HEX2DEC(Table1[[#This Row],[utf8]]))</f>
        <v>🧑</v>
      </c>
      <c r="K3390" s="3" t="str" cm="1">
        <f t="array" ref="K3390">"Case "&amp;wRandomLetter()&amp;wRandomLetter()&amp;I3390&amp;":    UniConst = ChrW(" &amp; I3390 &amp;")"</f>
        <v>Case iK129489:    UniConst = ChrW(129489)</v>
      </c>
    </row>
    <row r="3391" spans="1:11" hidden="1">
      <c r="A3391" t="s">
        <v>947</v>
      </c>
      <c r="B3391" t="str">
        <f t="shared" si="314"/>
        <v>1F9D1 1F3FC 200D 2695 ; minimally-qualified # 🧑🏼‍⚕ E12.1 health worker: medium-light skin tone</v>
      </c>
      <c r="C3391" t="str">
        <f t="shared" si="315"/>
        <v xml:space="preserve">1F9D1 1F3FC 200D 2695 </v>
      </c>
      <c r="D3391">
        <f t="shared" si="316"/>
        <v>22</v>
      </c>
      <c r="E3391" t="str">
        <f t="shared" si="312"/>
        <v xml:space="preserve"> 🧑🏼‍⚕ E12.1 health worker: medium-light skin tone</v>
      </c>
      <c r="F3391" t="b">
        <f t="shared" si="317"/>
        <v>1</v>
      </c>
      <c r="G3391" t="str">
        <f t="shared" si="313"/>
        <v>1F9D1</v>
      </c>
      <c r="I3391">
        <f>HEX2DEC(Table1[[#This Row],[utf8]])</f>
        <v>129489</v>
      </c>
      <c r="J3391" t="str">
        <f>_xlfn.UNICHAR(HEX2DEC(Table1[[#This Row],[utf8]]))</f>
        <v>🧑</v>
      </c>
      <c r="K3391" s="3" t="str" cm="1">
        <f t="array" ref="K3391">"Case "&amp;wRandomLetter()&amp;wRandomLetter()&amp;I3391&amp;":    UniConst = ChrW(" &amp; I3391 &amp;")"</f>
        <v>Case bR129489:    UniConst = ChrW(129489)</v>
      </c>
    </row>
    <row r="3392" spans="1:11" hidden="1">
      <c r="A3392" t="s">
        <v>946</v>
      </c>
      <c r="B3392" t="str">
        <f t="shared" si="314"/>
        <v>1F9D1 1F3FC 200D 2695 FE0F ; fully-qualified # 🧑🏼‍⚕️ E12.1 health worker: medium-light skin tone</v>
      </c>
      <c r="C3392" t="str">
        <f t="shared" si="315"/>
        <v xml:space="preserve">1F9D1 1F3FC 200D 2695 FE0F </v>
      </c>
      <c r="D3392">
        <f t="shared" si="316"/>
        <v>27</v>
      </c>
      <c r="E3392" t="str">
        <f t="shared" si="312"/>
        <v xml:space="preserve"> 🧑🏼‍⚕️ E12.1 health worker: medium-light skin tone</v>
      </c>
      <c r="F3392" t="b">
        <f t="shared" si="317"/>
        <v>1</v>
      </c>
      <c r="G3392" t="str">
        <f t="shared" si="313"/>
        <v>1F9D1</v>
      </c>
      <c r="I3392">
        <f>HEX2DEC(Table1[[#This Row],[utf8]])</f>
        <v>129489</v>
      </c>
      <c r="J3392" t="str">
        <f>_xlfn.UNICHAR(HEX2DEC(Table1[[#This Row],[utf8]]))</f>
        <v>🧑</v>
      </c>
      <c r="K3392" s="3" t="str" cm="1">
        <f t="array" ref="K3392">"Case "&amp;wRandomLetter()&amp;wRandomLetter()&amp;I3392&amp;":    UniConst = ChrW(" &amp; I3392 &amp;")"</f>
        <v>Case RW129489:    UniConst = ChrW(129489)</v>
      </c>
    </row>
    <row r="3393" spans="1:11" hidden="1">
      <c r="A3393" t="s">
        <v>1019</v>
      </c>
      <c r="B3393" t="str">
        <f t="shared" si="314"/>
        <v>1F9D1 1F3FC 200D 2696 ; minimally-qualified # 🧑🏼‍⚖ E12.1 judge: medium-light skin tone</v>
      </c>
      <c r="C3393" t="str">
        <f t="shared" si="315"/>
        <v xml:space="preserve">1F9D1 1F3FC 200D 2696 </v>
      </c>
      <c r="D3393">
        <f t="shared" si="316"/>
        <v>22</v>
      </c>
      <c r="E3393" t="str">
        <f t="shared" si="312"/>
        <v xml:space="preserve"> 🧑🏼‍⚖ E12.1 judge: medium-light skin tone</v>
      </c>
      <c r="F3393" t="b">
        <f t="shared" si="317"/>
        <v>1</v>
      </c>
      <c r="G3393" t="str">
        <f t="shared" si="313"/>
        <v>1F9D1</v>
      </c>
      <c r="I3393">
        <f>HEX2DEC(Table1[[#This Row],[utf8]])</f>
        <v>129489</v>
      </c>
      <c r="J3393" t="str">
        <f>_xlfn.UNICHAR(HEX2DEC(Table1[[#This Row],[utf8]]))</f>
        <v>🧑</v>
      </c>
      <c r="K3393" s="3" t="str" cm="1">
        <f t="array" ref="K3393">"Case "&amp;wRandomLetter()&amp;wRandomLetter()&amp;I3393&amp;":    UniConst = ChrW(" &amp; I3393 &amp;")"</f>
        <v>Case Mg129489:    UniConst = ChrW(129489)</v>
      </c>
    </row>
    <row r="3394" spans="1:11" hidden="1">
      <c r="A3394" t="s">
        <v>1018</v>
      </c>
      <c r="B3394" t="str">
        <f t="shared" si="314"/>
        <v>1F9D1 1F3FC 200D 2696 FE0F ; fully-qualified # 🧑🏼‍⚖️ E12.1 judge: medium-light skin tone</v>
      </c>
      <c r="C3394" t="str">
        <f t="shared" si="315"/>
        <v xml:space="preserve">1F9D1 1F3FC 200D 2696 FE0F </v>
      </c>
      <c r="D3394">
        <f t="shared" si="316"/>
        <v>27</v>
      </c>
      <c r="E3394" t="str">
        <f t="shared" ref="E3394:E3457" si="318">MID(A3394,FIND("#",A3394)+1,256)</f>
        <v xml:space="preserve"> 🧑🏼‍⚖️ E12.1 judge: medium-light skin tone</v>
      </c>
      <c r="F3394" t="b">
        <f t="shared" si="317"/>
        <v>1</v>
      </c>
      <c r="G3394" t="str">
        <f t="shared" ref="G3394:G3457" si="319">LEFT(C3394,(FIND(" ",C3394,1)-1))</f>
        <v>1F9D1</v>
      </c>
      <c r="I3394">
        <f>HEX2DEC(Table1[[#This Row],[utf8]])</f>
        <v>129489</v>
      </c>
      <c r="J3394" t="str">
        <f>_xlfn.UNICHAR(HEX2DEC(Table1[[#This Row],[utf8]]))</f>
        <v>🧑</v>
      </c>
      <c r="K3394" s="3" t="str" cm="1">
        <f t="array" ref="K3394">"Case "&amp;wRandomLetter()&amp;wRandomLetter()&amp;I3394&amp;":    UniConst = ChrW(" &amp; I3394 &amp;")"</f>
        <v>Case dE129489:    UniConst = ChrW(129489)</v>
      </c>
    </row>
    <row r="3395" spans="1:11" hidden="1">
      <c r="A3395" t="s">
        <v>1217</v>
      </c>
      <c r="B3395" t="str">
        <f t="shared" ref="B3395:B3458" si="320">TRIM(A3395)</f>
        <v>1F9D1 1F3FC 200D 2708 ; minimally-qualified # 🧑🏼‍✈ E12.1 pilot: medium-light skin tone</v>
      </c>
      <c r="C3395" t="str">
        <f t="shared" ref="C3395:C3458" si="321">LEFT(B3395,(FIND(";",B3395,1)-1))</f>
        <v xml:space="preserve">1F9D1 1F3FC 200D 2708 </v>
      </c>
      <c r="D3395">
        <f t="shared" ref="D3395:D3458" si="322">LEN(C3395)</f>
        <v>22</v>
      </c>
      <c r="E3395" t="str">
        <f t="shared" si="318"/>
        <v xml:space="preserve"> 🧑🏼‍✈ E12.1 pilot: medium-light skin tone</v>
      </c>
      <c r="F3395" t="b">
        <f t="shared" ref="F3395:F3458" si="323">IF(LEFT(C3395,2)="1F",TRUE,FALSE)</f>
        <v>1</v>
      </c>
      <c r="G3395" t="str">
        <f t="shared" si="319"/>
        <v>1F9D1</v>
      </c>
      <c r="I3395">
        <f>HEX2DEC(Table1[[#This Row],[utf8]])</f>
        <v>129489</v>
      </c>
      <c r="J3395" t="str">
        <f>_xlfn.UNICHAR(HEX2DEC(Table1[[#This Row],[utf8]]))</f>
        <v>🧑</v>
      </c>
      <c r="K3395" s="3" t="str" cm="1">
        <f t="array" ref="K3395">"Case "&amp;wRandomLetter()&amp;wRandomLetter()&amp;I3395&amp;":    UniConst = ChrW(" &amp; I3395 &amp;")"</f>
        <v>Case YB129489:    UniConst = ChrW(129489)</v>
      </c>
    </row>
    <row r="3396" spans="1:11" hidden="1">
      <c r="A3396" t="s">
        <v>1216</v>
      </c>
      <c r="B3396" t="str">
        <f t="shared" si="320"/>
        <v>1F9D1 1F3FC 200D 2708 FE0F ; fully-qualified # 🧑🏼‍✈️ E12.1 pilot: medium-light skin tone</v>
      </c>
      <c r="C3396" t="str">
        <f t="shared" si="321"/>
        <v xml:space="preserve">1F9D1 1F3FC 200D 2708 FE0F </v>
      </c>
      <c r="D3396">
        <f t="shared" si="322"/>
        <v>27</v>
      </c>
      <c r="E3396" t="str">
        <f t="shared" si="318"/>
        <v xml:space="preserve"> 🧑🏼‍✈️ E12.1 pilot: medium-light skin tone</v>
      </c>
      <c r="F3396" t="b">
        <f t="shared" si="323"/>
        <v>1</v>
      </c>
      <c r="G3396" t="str">
        <f t="shared" si="319"/>
        <v>1F9D1</v>
      </c>
      <c r="I3396">
        <f>HEX2DEC(Table1[[#This Row],[utf8]])</f>
        <v>129489</v>
      </c>
      <c r="J3396" t="str">
        <f>_xlfn.UNICHAR(HEX2DEC(Table1[[#This Row],[utf8]]))</f>
        <v>🧑</v>
      </c>
      <c r="K3396" s="3" t="str" cm="1">
        <f t="array" ref="K3396">"Case "&amp;wRandomLetter()&amp;wRandomLetter()&amp;I3396&amp;":    UniConst = ChrW(" &amp; I3396 &amp;")"</f>
        <v>Case PA129489:    UniConst = ChrW(129489)</v>
      </c>
    </row>
    <row r="3397" spans="1:11" hidden="1">
      <c r="A3397" t="s">
        <v>2682</v>
      </c>
      <c r="B3397" t="str">
        <f t="shared" si="320"/>
        <v>1F9D1 1F3FC 200D 2764 200D 1F48B 200D 1F9D1 1F3FB ; minimally-qualified # 🧑🏼‍❤‍💋‍🧑🏻 E13.1 kiss: person, person, medium-light skin tone, light skin tone</v>
      </c>
      <c r="C3397" t="str">
        <f t="shared" si="321"/>
        <v xml:space="preserve">1F9D1 1F3FC 200D 2764 200D 1F48B 200D 1F9D1 1F3FB </v>
      </c>
      <c r="D3397">
        <f t="shared" si="322"/>
        <v>50</v>
      </c>
      <c r="E3397" t="str">
        <f t="shared" si="318"/>
        <v xml:space="preserve"> 🧑🏼‍❤‍💋‍🧑🏻 E13.1 kiss: person, person, medium-light skin tone, light skin tone</v>
      </c>
      <c r="F3397" t="b">
        <f t="shared" si="323"/>
        <v>1</v>
      </c>
      <c r="G3397" t="str">
        <f t="shared" si="319"/>
        <v>1F9D1</v>
      </c>
      <c r="I3397">
        <f>HEX2DEC(Table1[[#This Row],[utf8]])</f>
        <v>129489</v>
      </c>
      <c r="J3397" t="str">
        <f>_xlfn.UNICHAR(HEX2DEC(Table1[[#This Row],[utf8]]))</f>
        <v>🧑</v>
      </c>
      <c r="K3397" s="3" t="str" cm="1">
        <f t="array" ref="K3397">"Case "&amp;wRandomLetter()&amp;wRandomLetter()&amp;I3397&amp;":    UniConst = ChrW(" &amp; I3397 &amp;")"</f>
        <v>Case uq129489:    UniConst = ChrW(129489)</v>
      </c>
    </row>
    <row r="3398" spans="1:11" hidden="1">
      <c r="A3398" t="s">
        <v>2684</v>
      </c>
      <c r="B3398" t="str">
        <f t="shared" si="320"/>
        <v>1F9D1 1F3FC 200D 2764 200D 1F48B 200D 1F9D1 1F3FD ; minimally-qualified # 🧑🏼‍❤‍💋‍🧑🏽 E13.1 kiss: person, person, medium-light skin tone, medium skin tone</v>
      </c>
      <c r="C3398" t="str">
        <f t="shared" si="321"/>
        <v xml:space="preserve">1F9D1 1F3FC 200D 2764 200D 1F48B 200D 1F9D1 1F3FD </v>
      </c>
      <c r="D3398">
        <f t="shared" si="322"/>
        <v>50</v>
      </c>
      <c r="E3398" t="str">
        <f t="shared" si="318"/>
        <v xml:space="preserve"> 🧑🏼‍❤‍💋‍🧑🏽 E13.1 kiss: person, person, medium-light skin tone, medium skin tone</v>
      </c>
      <c r="F3398" t="b">
        <f t="shared" si="323"/>
        <v>1</v>
      </c>
      <c r="G3398" t="str">
        <f t="shared" si="319"/>
        <v>1F9D1</v>
      </c>
      <c r="I3398">
        <f>HEX2DEC(Table1[[#This Row],[utf8]])</f>
        <v>129489</v>
      </c>
      <c r="J3398" t="str">
        <f>_xlfn.UNICHAR(HEX2DEC(Table1[[#This Row],[utf8]]))</f>
        <v>🧑</v>
      </c>
      <c r="K3398" s="3" t="str" cm="1">
        <f t="array" ref="K3398">"Case "&amp;wRandomLetter()&amp;wRandomLetter()&amp;I3398&amp;":    UniConst = ChrW(" &amp; I3398 &amp;")"</f>
        <v>Case DV129489:    UniConst = ChrW(129489)</v>
      </c>
    </row>
    <row r="3399" spans="1:11" hidden="1">
      <c r="A3399" t="s">
        <v>2686</v>
      </c>
      <c r="B3399" t="str">
        <f t="shared" si="320"/>
        <v>1F9D1 1F3FC 200D 2764 200D 1F48B 200D 1F9D1 1F3FE ; minimally-qualified # 🧑🏼‍❤‍💋‍🧑🏾 E13.1 kiss: person, person, medium-light skin tone, medium-dark skin tone</v>
      </c>
      <c r="C3399" t="str">
        <f t="shared" si="321"/>
        <v xml:space="preserve">1F9D1 1F3FC 200D 2764 200D 1F48B 200D 1F9D1 1F3FE </v>
      </c>
      <c r="D3399">
        <f t="shared" si="322"/>
        <v>50</v>
      </c>
      <c r="E3399" t="str">
        <f t="shared" si="318"/>
        <v xml:space="preserve"> 🧑🏼‍❤‍💋‍🧑🏾 E13.1 kiss: person, person, medium-light skin tone, medium-dark skin tone</v>
      </c>
      <c r="F3399" t="b">
        <f t="shared" si="323"/>
        <v>1</v>
      </c>
      <c r="G3399" t="str">
        <f t="shared" si="319"/>
        <v>1F9D1</v>
      </c>
      <c r="I3399">
        <f>HEX2DEC(Table1[[#This Row],[utf8]])</f>
        <v>129489</v>
      </c>
      <c r="J3399" t="str">
        <f>_xlfn.UNICHAR(HEX2DEC(Table1[[#This Row],[utf8]]))</f>
        <v>🧑</v>
      </c>
      <c r="K3399" s="3" t="str" cm="1">
        <f t="array" ref="K3399">"Case "&amp;wRandomLetter()&amp;wRandomLetter()&amp;I3399&amp;":    UniConst = ChrW(" &amp; I3399 &amp;")"</f>
        <v>Case Ya129489:    UniConst = ChrW(129489)</v>
      </c>
    </row>
    <row r="3400" spans="1:11" hidden="1">
      <c r="A3400" t="s">
        <v>2688</v>
      </c>
      <c r="B3400" t="str">
        <f t="shared" si="320"/>
        <v>1F9D1 1F3FC 200D 2764 200D 1F48B 200D 1F9D1 1F3FF ; minimally-qualified # 🧑🏼‍❤‍💋‍🧑🏿 E13.1 kiss: person, person, medium-light skin tone, dark skin tone</v>
      </c>
      <c r="C3400" t="str">
        <f t="shared" si="321"/>
        <v xml:space="preserve">1F9D1 1F3FC 200D 2764 200D 1F48B 200D 1F9D1 1F3FF </v>
      </c>
      <c r="D3400">
        <f t="shared" si="322"/>
        <v>50</v>
      </c>
      <c r="E3400" t="str">
        <f t="shared" si="318"/>
        <v xml:space="preserve"> 🧑🏼‍❤‍💋‍🧑🏿 E13.1 kiss: person, person, medium-light skin tone, dark skin tone</v>
      </c>
      <c r="F3400" t="b">
        <f t="shared" si="323"/>
        <v>1</v>
      </c>
      <c r="G3400" t="str">
        <f t="shared" si="319"/>
        <v>1F9D1</v>
      </c>
      <c r="I3400">
        <f>HEX2DEC(Table1[[#This Row],[utf8]])</f>
        <v>129489</v>
      </c>
      <c r="J3400" t="str">
        <f>_xlfn.UNICHAR(HEX2DEC(Table1[[#This Row],[utf8]]))</f>
        <v>🧑</v>
      </c>
      <c r="K3400" s="3" t="str" cm="1">
        <f t="array" ref="K3400">"Case "&amp;wRandomLetter()&amp;wRandomLetter()&amp;I3400&amp;":    UniConst = ChrW(" &amp; I3400 &amp;")"</f>
        <v>Case uJ129489:    UniConst = ChrW(129489)</v>
      </c>
    </row>
    <row r="3401" spans="1:11" hidden="1">
      <c r="A3401" t="s">
        <v>2884</v>
      </c>
      <c r="B3401" t="str">
        <f t="shared" si="320"/>
        <v>1F9D1 1F3FC 200D 2764 200D 1F9D1 1F3FB ; minimally-qualified # 🧑🏼‍❤‍🧑🏻 E13.1 couple with heart: person, person, medium-light skin tone, light skin tone</v>
      </c>
      <c r="C3401" t="str">
        <f t="shared" si="321"/>
        <v xml:space="preserve">1F9D1 1F3FC 200D 2764 200D 1F9D1 1F3FB </v>
      </c>
      <c r="D3401">
        <f t="shared" si="322"/>
        <v>39</v>
      </c>
      <c r="E3401" t="str">
        <f t="shared" si="318"/>
        <v xml:space="preserve"> 🧑🏼‍❤‍🧑🏻 E13.1 couple with heart: person, person, medium-light skin tone, light skin tone</v>
      </c>
      <c r="F3401" t="b">
        <f t="shared" si="323"/>
        <v>1</v>
      </c>
      <c r="G3401" t="str">
        <f t="shared" si="319"/>
        <v>1F9D1</v>
      </c>
      <c r="I3401">
        <f>HEX2DEC(Table1[[#This Row],[utf8]])</f>
        <v>129489</v>
      </c>
      <c r="J3401" t="str">
        <f>_xlfn.UNICHAR(HEX2DEC(Table1[[#This Row],[utf8]]))</f>
        <v>🧑</v>
      </c>
      <c r="K3401" s="3" t="str" cm="1">
        <f t="array" ref="K3401">"Case "&amp;wRandomLetter()&amp;wRandomLetter()&amp;I3401&amp;":    UniConst = ChrW(" &amp; I3401 &amp;")"</f>
        <v>Case Lz129489:    UniConst = ChrW(129489)</v>
      </c>
    </row>
    <row r="3402" spans="1:11" hidden="1">
      <c r="A3402" t="s">
        <v>2886</v>
      </c>
      <c r="B3402" t="str">
        <f t="shared" si="320"/>
        <v>1F9D1 1F3FC 200D 2764 200D 1F9D1 1F3FD ; minimally-qualified # 🧑🏼‍❤‍🧑🏽 E13.1 couple with heart: person, person, medium-light skin tone, medium skin tone</v>
      </c>
      <c r="C3402" t="str">
        <f t="shared" si="321"/>
        <v xml:space="preserve">1F9D1 1F3FC 200D 2764 200D 1F9D1 1F3FD </v>
      </c>
      <c r="D3402">
        <f t="shared" si="322"/>
        <v>39</v>
      </c>
      <c r="E3402" t="str">
        <f t="shared" si="318"/>
        <v xml:space="preserve"> 🧑🏼‍❤‍🧑🏽 E13.1 couple with heart: person, person, medium-light skin tone, medium skin tone</v>
      </c>
      <c r="F3402" t="b">
        <f t="shared" si="323"/>
        <v>1</v>
      </c>
      <c r="G3402" t="str">
        <f t="shared" si="319"/>
        <v>1F9D1</v>
      </c>
      <c r="I3402">
        <f>HEX2DEC(Table1[[#This Row],[utf8]])</f>
        <v>129489</v>
      </c>
      <c r="J3402" t="str">
        <f>_xlfn.UNICHAR(HEX2DEC(Table1[[#This Row],[utf8]]))</f>
        <v>🧑</v>
      </c>
      <c r="K3402" s="3" t="str" cm="1">
        <f t="array" ref="K3402">"Case "&amp;wRandomLetter()&amp;wRandomLetter()&amp;I3402&amp;":    UniConst = ChrW(" &amp; I3402 &amp;")"</f>
        <v>Case II129489:    UniConst = ChrW(129489)</v>
      </c>
    </row>
    <row r="3403" spans="1:11" hidden="1">
      <c r="A3403" t="s">
        <v>2888</v>
      </c>
      <c r="B3403" t="str">
        <f t="shared" si="320"/>
        <v>1F9D1 1F3FC 200D 2764 200D 1F9D1 1F3FE ; minimally-qualified # 🧑🏼‍❤‍🧑🏾 E13.1 couple with heart: person, person, medium-light skin tone, medium-dark skin tone</v>
      </c>
      <c r="C3403" t="str">
        <f t="shared" si="321"/>
        <v xml:space="preserve">1F9D1 1F3FC 200D 2764 200D 1F9D1 1F3FE </v>
      </c>
      <c r="D3403">
        <f t="shared" si="322"/>
        <v>39</v>
      </c>
      <c r="E3403" t="str">
        <f t="shared" si="318"/>
        <v xml:space="preserve"> 🧑🏼‍❤‍🧑🏾 E13.1 couple with heart: person, person, medium-light skin tone, medium-dark skin tone</v>
      </c>
      <c r="F3403" t="b">
        <f t="shared" si="323"/>
        <v>1</v>
      </c>
      <c r="G3403" t="str">
        <f t="shared" si="319"/>
        <v>1F9D1</v>
      </c>
      <c r="I3403">
        <f>HEX2DEC(Table1[[#This Row],[utf8]])</f>
        <v>129489</v>
      </c>
      <c r="J3403" t="str">
        <f>_xlfn.UNICHAR(HEX2DEC(Table1[[#This Row],[utf8]]))</f>
        <v>🧑</v>
      </c>
      <c r="K3403" s="3" t="str" cm="1">
        <f t="array" ref="K3403">"Case "&amp;wRandomLetter()&amp;wRandomLetter()&amp;I3403&amp;":    UniConst = ChrW(" &amp; I3403 &amp;")"</f>
        <v>Case jI129489:    UniConst = ChrW(129489)</v>
      </c>
    </row>
    <row r="3404" spans="1:11" hidden="1">
      <c r="A3404" t="s">
        <v>2890</v>
      </c>
      <c r="B3404" t="str">
        <f t="shared" si="320"/>
        <v>1F9D1 1F3FC 200D 2764 200D 1F9D1 1F3FF ; minimally-qualified # 🧑🏼‍❤‍🧑🏿 E13.1 couple with heart: person, person, medium-light skin tone, dark skin tone</v>
      </c>
      <c r="C3404" t="str">
        <f t="shared" si="321"/>
        <v xml:space="preserve">1F9D1 1F3FC 200D 2764 200D 1F9D1 1F3FF </v>
      </c>
      <c r="D3404">
        <f t="shared" si="322"/>
        <v>39</v>
      </c>
      <c r="E3404" t="str">
        <f t="shared" si="318"/>
        <v xml:space="preserve"> 🧑🏼‍❤‍🧑🏿 E13.1 couple with heart: person, person, medium-light skin tone, dark skin tone</v>
      </c>
      <c r="F3404" t="b">
        <f t="shared" si="323"/>
        <v>1</v>
      </c>
      <c r="G3404" t="str">
        <f t="shared" si="319"/>
        <v>1F9D1</v>
      </c>
      <c r="I3404">
        <f>HEX2DEC(Table1[[#This Row],[utf8]])</f>
        <v>129489</v>
      </c>
      <c r="J3404" t="str">
        <f>_xlfn.UNICHAR(HEX2DEC(Table1[[#This Row],[utf8]]))</f>
        <v>🧑</v>
      </c>
      <c r="K3404" s="3" t="str" cm="1">
        <f t="array" ref="K3404">"Case "&amp;wRandomLetter()&amp;wRandomLetter()&amp;I3404&amp;":    UniConst = ChrW(" &amp; I3404 &amp;")"</f>
        <v>Case hq129489:    UniConst = ChrW(129489)</v>
      </c>
    </row>
    <row r="3405" spans="1:11" hidden="1">
      <c r="A3405" t="s">
        <v>2681</v>
      </c>
      <c r="B3405" t="str">
        <f t="shared" si="320"/>
        <v>1F9D1 1F3FC 200D 2764 FE0F 200D 1F48B 200D 1F9D1 1F3FB ; fully-qualified # 🧑🏼‍❤️‍💋‍🧑🏻 E13.1 kiss: person, person, medium-light skin tone, light skin tone</v>
      </c>
      <c r="C3405" t="str">
        <f t="shared" si="321"/>
        <v xml:space="preserve">1F9D1 1F3FC 200D 2764 FE0F 200D 1F48B 200D 1F9D1 1F3FB </v>
      </c>
      <c r="D3405">
        <f t="shared" si="322"/>
        <v>55</v>
      </c>
      <c r="E3405" t="str">
        <f t="shared" si="318"/>
        <v xml:space="preserve"> 🧑🏼‍❤️‍💋‍🧑🏻 E13.1 kiss: person, person, medium-light skin tone, light skin tone</v>
      </c>
      <c r="F3405" t="b">
        <f t="shared" si="323"/>
        <v>1</v>
      </c>
      <c r="G3405" t="str">
        <f t="shared" si="319"/>
        <v>1F9D1</v>
      </c>
      <c r="I3405">
        <f>HEX2DEC(Table1[[#This Row],[utf8]])</f>
        <v>129489</v>
      </c>
      <c r="J3405" t="str">
        <f>_xlfn.UNICHAR(HEX2DEC(Table1[[#This Row],[utf8]]))</f>
        <v>🧑</v>
      </c>
      <c r="K3405" s="3" t="str" cm="1">
        <f t="array" ref="K3405">"Case "&amp;wRandomLetter()&amp;wRandomLetter()&amp;I3405&amp;":    UniConst = ChrW(" &amp; I3405 &amp;")"</f>
        <v>Case Zn129489:    UniConst = ChrW(129489)</v>
      </c>
    </row>
    <row r="3406" spans="1:11" hidden="1">
      <c r="A3406" t="s">
        <v>2683</v>
      </c>
      <c r="B3406" t="str">
        <f t="shared" si="320"/>
        <v>1F9D1 1F3FC 200D 2764 FE0F 200D 1F48B 200D 1F9D1 1F3FD ; fully-qualified # 🧑🏼‍❤️‍💋‍🧑🏽 E13.1 kiss: person, person, medium-light skin tone, medium skin tone</v>
      </c>
      <c r="C3406" t="str">
        <f t="shared" si="321"/>
        <v xml:space="preserve">1F9D1 1F3FC 200D 2764 FE0F 200D 1F48B 200D 1F9D1 1F3FD </v>
      </c>
      <c r="D3406">
        <f t="shared" si="322"/>
        <v>55</v>
      </c>
      <c r="E3406" t="str">
        <f t="shared" si="318"/>
        <v xml:space="preserve"> 🧑🏼‍❤️‍💋‍🧑🏽 E13.1 kiss: person, person, medium-light skin tone, medium skin tone</v>
      </c>
      <c r="F3406" t="b">
        <f t="shared" si="323"/>
        <v>1</v>
      </c>
      <c r="G3406" t="str">
        <f t="shared" si="319"/>
        <v>1F9D1</v>
      </c>
      <c r="I3406">
        <f>HEX2DEC(Table1[[#This Row],[utf8]])</f>
        <v>129489</v>
      </c>
      <c r="J3406" t="str">
        <f>_xlfn.UNICHAR(HEX2DEC(Table1[[#This Row],[utf8]]))</f>
        <v>🧑</v>
      </c>
      <c r="K3406" s="3" t="str" cm="1">
        <f t="array" ref="K3406">"Case "&amp;wRandomLetter()&amp;wRandomLetter()&amp;I3406&amp;":    UniConst = ChrW(" &amp; I3406 &amp;")"</f>
        <v>Case ou129489:    UniConst = ChrW(129489)</v>
      </c>
    </row>
    <row r="3407" spans="1:11" hidden="1">
      <c r="A3407" t="s">
        <v>2685</v>
      </c>
      <c r="B3407" t="str">
        <f t="shared" si="320"/>
        <v>1F9D1 1F3FC 200D 2764 FE0F 200D 1F48B 200D 1F9D1 1F3FE ; fully-qualified # 🧑🏼‍❤️‍💋‍🧑🏾 E13.1 kiss: person, person, medium-light skin tone, medium-dark skin tone</v>
      </c>
      <c r="C3407" t="str">
        <f t="shared" si="321"/>
        <v xml:space="preserve">1F9D1 1F3FC 200D 2764 FE0F 200D 1F48B 200D 1F9D1 1F3FE </v>
      </c>
      <c r="D3407">
        <f t="shared" si="322"/>
        <v>55</v>
      </c>
      <c r="E3407" t="str">
        <f t="shared" si="318"/>
        <v xml:space="preserve"> 🧑🏼‍❤️‍💋‍🧑🏾 E13.1 kiss: person, person, medium-light skin tone, medium-dark skin tone</v>
      </c>
      <c r="F3407" t="b">
        <f t="shared" si="323"/>
        <v>1</v>
      </c>
      <c r="G3407" t="str">
        <f t="shared" si="319"/>
        <v>1F9D1</v>
      </c>
      <c r="I3407">
        <f>HEX2DEC(Table1[[#This Row],[utf8]])</f>
        <v>129489</v>
      </c>
      <c r="J3407" t="str">
        <f>_xlfn.UNICHAR(HEX2DEC(Table1[[#This Row],[utf8]]))</f>
        <v>🧑</v>
      </c>
      <c r="K3407" s="3" t="str" cm="1">
        <f t="array" ref="K3407">"Case "&amp;wRandomLetter()&amp;wRandomLetter()&amp;I3407&amp;":    UniConst = ChrW(" &amp; I3407 &amp;")"</f>
        <v>Case vS129489:    UniConst = ChrW(129489)</v>
      </c>
    </row>
    <row r="3408" spans="1:11" hidden="1">
      <c r="A3408" t="s">
        <v>2687</v>
      </c>
      <c r="B3408" t="str">
        <f t="shared" si="320"/>
        <v>1F9D1 1F3FC 200D 2764 FE0F 200D 1F48B 200D 1F9D1 1F3FF ; fully-qualified # 🧑🏼‍❤️‍💋‍🧑🏿 E13.1 kiss: person, person, medium-light skin tone, dark skin tone</v>
      </c>
      <c r="C3408" t="str">
        <f t="shared" si="321"/>
        <v xml:space="preserve">1F9D1 1F3FC 200D 2764 FE0F 200D 1F48B 200D 1F9D1 1F3FF </v>
      </c>
      <c r="D3408">
        <f t="shared" si="322"/>
        <v>55</v>
      </c>
      <c r="E3408" t="str">
        <f t="shared" si="318"/>
        <v xml:space="preserve"> 🧑🏼‍❤️‍💋‍🧑🏿 E13.1 kiss: person, person, medium-light skin tone, dark skin tone</v>
      </c>
      <c r="F3408" t="b">
        <f t="shared" si="323"/>
        <v>1</v>
      </c>
      <c r="G3408" t="str">
        <f t="shared" si="319"/>
        <v>1F9D1</v>
      </c>
      <c r="I3408">
        <f>HEX2DEC(Table1[[#This Row],[utf8]])</f>
        <v>129489</v>
      </c>
      <c r="J3408" t="str">
        <f>_xlfn.UNICHAR(HEX2DEC(Table1[[#This Row],[utf8]]))</f>
        <v>🧑</v>
      </c>
      <c r="K3408" s="3" t="str" cm="1">
        <f t="array" ref="K3408">"Case "&amp;wRandomLetter()&amp;wRandomLetter()&amp;I3408&amp;":    UniConst = ChrW(" &amp; I3408 &amp;")"</f>
        <v>Case bu129489:    UniConst = ChrW(129489)</v>
      </c>
    </row>
    <row r="3409" spans="1:11" hidden="1">
      <c r="A3409" t="s">
        <v>2883</v>
      </c>
      <c r="B3409" t="str">
        <f t="shared" si="320"/>
        <v>1F9D1 1F3FC 200D 2764 FE0F 200D 1F9D1 1F3FB ; fully-qualified # 🧑🏼‍❤️‍🧑🏻 E13.1 couple with heart: person, person, medium-light skin tone, light skin tone</v>
      </c>
      <c r="C3409" t="str">
        <f t="shared" si="321"/>
        <v xml:space="preserve">1F9D1 1F3FC 200D 2764 FE0F 200D 1F9D1 1F3FB </v>
      </c>
      <c r="D3409">
        <f t="shared" si="322"/>
        <v>44</v>
      </c>
      <c r="E3409" t="str">
        <f t="shared" si="318"/>
        <v xml:space="preserve"> 🧑🏼‍❤️‍🧑🏻 E13.1 couple with heart: person, person, medium-light skin tone, light skin tone</v>
      </c>
      <c r="F3409" t="b">
        <f t="shared" si="323"/>
        <v>1</v>
      </c>
      <c r="G3409" t="str">
        <f t="shared" si="319"/>
        <v>1F9D1</v>
      </c>
      <c r="I3409">
        <f>HEX2DEC(Table1[[#This Row],[utf8]])</f>
        <v>129489</v>
      </c>
      <c r="J3409" t="str">
        <f>_xlfn.UNICHAR(HEX2DEC(Table1[[#This Row],[utf8]]))</f>
        <v>🧑</v>
      </c>
      <c r="K3409" s="3" t="str" cm="1">
        <f t="array" ref="K3409">"Case "&amp;wRandomLetter()&amp;wRandomLetter()&amp;I3409&amp;":    UniConst = ChrW(" &amp; I3409 &amp;")"</f>
        <v>Case kz129489:    UniConst = ChrW(129489)</v>
      </c>
    </row>
    <row r="3410" spans="1:11" hidden="1">
      <c r="A3410" t="s">
        <v>2885</v>
      </c>
      <c r="B3410" t="str">
        <f t="shared" si="320"/>
        <v>1F9D1 1F3FC 200D 2764 FE0F 200D 1F9D1 1F3FD ; fully-qualified # 🧑🏼‍❤️‍🧑🏽 E13.1 couple with heart: person, person, medium-light skin tone, medium skin tone</v>
      </c>
      <c r="C3410" t="str">
        <f t="shared" si="321"/>
        <v xml:space="preserve">1F9D1 1F3FC 200D 2764 FE0F 200D 1F9D1 1F3FD </v>
      </c>
      <c r="D3410">
        <f t="shared" si="322"/>
        <v>44</v>
      </c>
      <c r="E3410" t="str">
        <f t="shared" si="318"/>
        <v xml:space="preserve"> 🧑🏼‍❤️‍🧑🏽 E13.1 couple with heart: person, person, medium-light skin tone, medium skin tone</v>
      </c>
      <c r="F3410" t="b">
        <f t="shared" si="323"/>
        <v>1</v>
      </c>
      <c r="G3410" t="str">
        <f t="shared" si="319"/>
        <v>1F9D1</v>
      </c>
      <c r="I3410">
        <f>HEX2DEC(Table1[[#This Row],[utf8]])</f>
        <v>129489</v>
      </c>
      <c r="J3410" t="str">
        <f>_xlfn.UNICHAR(HEX2DEC(Table1[[#This Row],[utf8]]))</f>
        <v>🧑</v>
      </c>
      <c r="K3410" s="3" t="str" cm="1">
        <f t="array" ref="K3410">"Case "&amp;wRandomLetter()&amp;wRandomLetter()&amp;I3410&amp;":    UniConst = ChrW(" &amp; I3410 &amp;")"</f>
        <v>Case nX129489:    UniConst = ChrW(129489)</v>
      </c>
    </row>
    <row r="3411" spans="1:11" hidden="1">
      <c r="A3411" t="s">
        <v>2887</v>
      </c>
      <c r="B3411" t="str">
        <f t="shared" si="320"/>
        <v>1F9D1 1F3FC 200D 2764 FE0F 200D 1F9D1 1F3FE ; fully-qualified # 🧑🏼‍❤️‍🧑🏾 E13.1 couple with heart: person, person, medium-light skin tone, medium-dark skin tone</v>
      </c>
      <c r="C3411" t="str">
        <f t="shared" si="321"/>
        <v xml:space="preserve">1F9D1 1F3FC 200D 2764 FE0F 200D 1F9D1 1F3FE </v>
      </c>
      <c r="D3411">
        <f t="shared" si="322"/>
        <v>44</v>
      </c>
      <c r="E3411" t="str">
        <f t="shared" si="318"/>
        <v xml:space="preserve"> 🧑🏼‍❤️‍🧑🏾 E13.1 couple with heart: person, person, medium-light skin tone, medium-dark skin tone</v>
      </c>
      <c r="F3411" t="b">
        <f t="shared" si="323"/>
        <v>1</v>
      </c>
      <c r="G3411" t="str">
        <f t="shared" si="319"/>
        <v>1F9D1</v>
      </c>
      <c r="I3411">
        <f>HEX2DEC(Table1[[#This Row],[utf8]])</f>
        <v>129489</v>
      </c>
      <c r="J3411" t="str">
        <f>_xlfn.UNICHAR(HEX2DEC(Table1[[#This Row],[utf8]]))</f>
        <v>🧑</v>
      </c>
      <c r="K3411" s="3" t="str" cm="1">
        <f t="array" ref="K3411">"Case "&amp;wRandomLetter()&amp;wRandomLetter()&amp;I3411&amp;":    UniConst = ChrW(" &amp; I3411 &amp;")"</f>
        <v>Case bU129489:    UniConst = ChrW(129489)</v>
      </c>
    </row>
    <row r="3412" spans="1:11" hidden="1">
      <c r="A3412" t="s">
        <v>2889</v>
      </c>
      <c r="B3412" t="str">
        <f t="shared" si="320"/>
        <v>1F9D1 1F3FC 200D 2764 FE0F 200D 1F9D1 1F3FF ; fully-qualified # 🧑🏼‍❤️‍🧑🏿 E13.1 couple with heart: person, person, medium-light skin tone, dark skin tone</v>
      </c>
      <c r="C3412" t="str">
        <f t="shared" si="321"/>
        <v xml:space="preserve">1F9D1 1F3FC 200D 2764 FE0F 200D 1F9D1 1F3FF </v>
      </c>
      <c r="D3412">
        <f t="shared" si="322"/>
        <v>44</v>
      </c>
      <c r="E3412" t="str">
        <f t="shared" si="318"/>
        <v xml:space="preserve"> 🧑🏼‍❤️‍🧑🏿 E13.1 couple with heart: person, person, medium-light skin tone, dark skin tone</v>
      </c>
      <c r="F3412" t="b">
        <f t="shared" si="323"/>
        <v>1</v>
      </c>
      <c r="G3412" t="str">
        <f t="shared" si="319"/>
        <v>1F9D1</v>
      </c>
      <c r="I3412">
        <f>HEX2DEC(Table1[[#This Row],[utf8]])</f>
        <v>129489</v>
      </c>
      <c r="J3412" t="str">
        <f>_xlfn.UNICHAR(HEX2DEC(Table1[[#This Row],[utf8]]))</f>
        <v>🧑</v>
      </c>
      <c r="K3412" s="3" t="str" cm="1">
        <f t="array" ref="K3412">"Case "&amp;wRandomLetter()&amp;wRandomLetter()&amp;I3412&amp;":    UniConst = ChrW(" &amp; I3412 &amp;")"</f>
        <v>Case dK129489:    UniConst = ChrW(129489)</v>
      </c>
    </row>
    <row r="3413" spans="1:11" hidden="1">
      <c r="A3413" t="s">
        <v>475</v>
      </c>
      <c r="B3413" t="str">
        <f t="shared" si="320"/>
        <v>1F9D1 1F3FD ; fully-qualified # 🧑🏽 E5.0 person: medium skin tone</v>
      </c>
      <c r="C3413" t="str">
        <f t="shared" si="321"/>
        <v xml:space="preserve">1F9D1 1F3FD </v>
      </c>
      <c r="D3413">
        <f t="shared" si="322"/>
        <v>12</v>
      </c>
      <c r="E3413" t="str">
        <f t="shared" si="318"/>
        <v xml:space="preserve"> 🧑🏽 E5.0 person: medium skin tone</v>
      </c>
      <c r="F3413" t="b">
        <f t="shared" si="323"/>
        <v>1</v>
      </c>
      <c r="G3413" t="str">
        <f t="shared" si="319"/>
        <v>1F9D1</v>
      </c>
      <c r="I3413">
        <f>HEX2DEC(Table1[[#This Row],[utf8]])</f>
        <v>129489</v>
      </c>
      <c r="J3413" t="str">
        <f>_xlfn.UNICHAR(HEX2DEC(Table1[[#This Row],[utf8]]))</f>
        <v>🧑</v>
      </c>
      <c r="K3413" s="3" t="str" cm="1">
        <f t="array" ref="K3413">"Case "&amp;wRandomLetter()&amp;wRandomLetter()&amp;I3413&amp;":    UniConst = ChrW(" &amp; I3413 &amp;")"</f>
        <v>Case tr129489:    UniConst = ChrW(129489)</v>
      </c>
    </row>
    <row r="3414" spans="1:11" hidden="1">
      <c r="A3414" t="s">
        <v>1053</v>
      </c>
      <c r="B3414" t="str">
        <f t="shared" si="320"/>
        <v>1F9D1 1F3FD 200D 1F33E ; fully-qualified # 🧑🏽‍🌾 E12.1 farmer: medium skin tone</v>
      </c>
      <c r="C3414" t="str">
        <f t="shared" si="321"/>
        <v xml:space="preserve">1F9D1 1F3FD 200D 1F33E </v>
      </c>
      <c r="D3414">
        <f t="shared" si="322"/>
        <v>23</v>
      </c>
      <c r="E3414" t="str">
        <f t="shared" si="318"/>
        <v xml:space="preserve"> 🧑🏽‍🌾 E12.1 farmer: medium skin tone</v>
      </c>
      <c r="F3414" t="b">
        <f t="shared" si="323"/>
        <v>1</v>
      </c>
      <c r="G3414" t="str">
        <f t="shared" si="319"/>
        <v>1F9D1</v>
      </c>
      <c r="I3414">
        <f>HEX2DEC(Table1[[#This Row],[utf8]])</f>
        <v>129489</v>
      </c>
      <c r="J3414" t="str">
        <f>_xlfn.UNICHAR(HEX2DEC(Table1[[#This Row],[utf8]]))</f>
        <v>🧑</v>
      </c>
      <c r="K3414" s="3" t="str" cm="1">
        <f t="array" ref="K3414">"Case "&amp;wRandomLetter()&amp;wRandomLetter()&amp;I3414&amp;":    UniConst = ChrW(" &amp; I3414 &amp;")"</f>
        <v>Case GN129489:    UniConst = ChrW(129489)</v>
      </c>
    </row>
    <row r="3415" spans="1:11" hidden="1">
      <c r="A3415" t="s">
        <v>1071</v>
      </c>
      <c r="B3415" t="str">
        <f t="shared" si="320"/>
        <v>1F9D1 1F3FD 200D 1F373 ; fully-qualified # 🧑🏽‍🍳 E12.1 cook: medium skin tone</v>
      </c>
      <c r="C3415" t="str">
        <f t="shared" si="321"/>
        <v xml:space="preserve">1F9D1 1F3FD 200D 1F373 </v>
      </c>
      <c r="D3415">
        <f t="shared" si="322"/>
        <v>23</v>
      </c>
      <c r="E3415" t="str">
        <f t="shared" si="318"/>
        <v xml:space="preserve"> 🧑🏽‍🍳 E12.1 cook: medium skin tone</v>
      </c>
      <c r="F3415" t="b">
        <f t="shared" si="323"/>
        <v>1</v>
      </c>
      <c r="G3415" t="str">
        <f t="shared" si="319"/>
        <v>1F9D1</v>
      </c>
      <c r="I3415">
        <f>HEX2DEC(Table1[[#This Row],[utf8]])</f>
        <v>129489</v>
      </c>
      <c r="J3415" t="str">
        <f>_xlfn.UNICHAR(HEX2DEC(Table1[[#This Row],[utf8]]))</f>
        <v>🧑</v>
      </c>
      <c r="K3415" s="3" t="str" cm="1">
        <f t="array" ref="K3415">"Case "&amp;wRandomLetter()&amp;wRandomLetter()&amp;I3415&amp;":    UniConst = ChrW(" &amp; I3415 &amp;")"</f>
        <v>Case ot129489:    UniConst = ChrW(129489)</v>
      </c>
    </row>
    <row r="3416" spans="1:11" hidden="1">
      <c r="A3416" t="s">
        <v>1556</v>
      </c>
      <c r="B3416" t="str">
        <f t="shared" si="320"/>
        <v>1F9D1 1F3FD 200D 1F37C ; fully-qualified # 🧑🏽‍🍼 E13.0 person feeding baby: medium skin tone</v>
      </c>
      <c r="C3416" t="str">
        <f t="shared" si="321"/>
        <v xml:space="preserve">1F9D1 1F3FD 200D 1F37C </v>
      </c>
      <c r="D3416">
        <f t="shared" si="322"/>
        <v>23</v>
      </c>
      <c r="E3416" t="str">
        <f t="shared" si="318"/>
        <v xml:space="preserve"> 🧑🏽‍🍼 E13.0 person feeding baby: medium skin tone</v>
      </c>
      <c r="F3416" t="b">
        <f t="shared" si="323"/>
        <v>1</v>
      </c>
      <c r="G3416" t="str">
        <f t="shared" si="319"/>
        <v>1F9D1</v>
      </c>
      <c r="I3416">
        <f>HEX2DEC(Table1[[#This Row],[utf8]])</f>
        <v>129489</v>
      </c>
      <c r="J3416" t="str">
        <f>_xlfn.UNICHAR(HEX2DEC(Table1[[#This Row],[utf8]]))</f>
        <v>🧑</v>
      </c>
      <c r="K3416" s="3" t="str" cm="1">
        <f t="array" ref="K3416">"Case "&amp;wRandomLetter()&amp;wRandomLetter()&amp;I3416&amp;":    UniConst = ChrW(" &amp; I3416 &amp;")"</f>
        <v>Case Pw129489:    UniConst = ChrW(129489)</v>
      </c>
    </row>
    <row r="3417" spans="1:11" hidden="1">
      <c r="A3417" t="s">
        <v>1581</v>
      </c>
      <c r="B3417" t="str">
        <f t="shared" si="320"/>
        <v>1F9D1 1F3FD 200D 1F384 ; fully-qualified # 🧑🏽‍🎄 E13.0 mx claus: medium skin tone</v>
      </c>
      <c r="C3417" t="str">
        <f t="shared" si="321"/>
        <v xml:space="preserve">1F9D1 1F3FD 200D 1F384 </v>
      </c>
      <c r="D3417">
        <f t="shared" si="322"/>
        <v>23</v>
      </c>
      <c r="E3417" t="str">
        <f t="shared" si="318"/>
        <v xml:space="preserve"> 🧑🏽‍🎄 E13.0 mx claus: medium skin tone</v>
      </c>
      <c r="F3417" t="b">
        <f t="shared" si="323"/>
        <v>1</v>
      </c>
      <c r="G3417" t="str">
        <f t="shared" si="319"/>
        <v>1F9D1</v>
      </c>
      <c r="I3417">
        <f>HEX2DEC(Table1[[#This Row],[utf8]])</f>
        <v>129489</v>
      </c>
      <c r="J3417" t="str">
        <f>_xlfn.UNICHAR(HEX2DEC(Table1[[#This Row],[utf8]]))</f>
        <v>🧑</v>
      </c>
      <c r="K3417" s="3" t="str" cm="1">
        <f t="array" ref="K3417">"Case "&amp;wRandomLetter()&amp;wRandomLetter()&amp;I3417&amp;":    UniConst = ChrW(" &amp; I3417 &amp;")"</f>
        <v>Case IT129489:    UniConst = ChrW(129489)</v>
      </c>
    </row>
    <row r="3418" spans="1:11" hidden="1">
      <c r="A3418" t="s">
        <v>981</v>
      </c>
      <c r="B3418" t="str">
        <f t="shared" si="320"/>
        <v>1F9D1 1F3FD 200D 1F393 ; fully-qualified # 🧑🏽‍🎓 E12.1 student: medium skin tone</v>
      </c>
      <c r="C3418" t="str">
        <f t="shared" si="321"/>
        <v xml:space="preserve">1F9D1 1F3FD 200D 1F393 </v>
      </c>
      <c r="D3418">
        <f t="shared" si="322"/>
        <v>23</v>
      </c>
      <c r="E3418" t="str">
        <f t="shared" si="318"/>
        <v xml:space="preserve"> 🧑🏽‍🎓 E12.1 student: medium skin tone</v>
      </c>
      <c r="F3418" t="b">
        <f t="shared" si="323"/>
        <v>1</v>
      </c>
      <c r="G3418" t="str">
        <f t="shared" si="319"/>
        <v>1F9D1</v>
      </c>
      <c r="I3418">
        <f>HEX2DEC(Table1[[#This Row],[utf8]])</f>
        <v>129489</v>
      </c>
      <c r="J3418" t="str">
        <f>_xlfn.UNICHAR(HEX2DEC(Table1[[#This Row],[utf8]]))</f>
        <v>🧑</v>
      </c>
      <c r="K3418" s="3" t="str" cm="1">
        <f t="array" ref="K3418">"Case "&amp;wRandomLetter()&amp;wRandomLetter()&amp;I3418&amp;":    UniConst = ChrW(" &amp; I3418 &amp;")"</f>
        <v>Case FC129489:    UniConst = ChrW(129489)</v>
      </c>
    </row>
    <row r="3419" spans="1:11" hidden="1">
      <c r="A3419" t="s">
        <v>1179</v>
      </c>
      <c r="B3419" t="str">
        <f t="shared" si="320"/>
        <v>1F9D1 1F3FD 200D 1F3A4 ; fully-qualified # 🧑🏽‍🎤 E12.1 singer: medium skin tone</v>
      </c>
      <c r="C3419" t="str">
        <f t="shared" si="321"/>
        <v xml:space="preserve">1F9D1 1F3FD 200D 1F3A4 </v>
      </c>
      <c r="D3419">
        <f t="shared" si="322"/>
        <v>23</v>
      </c>
      <c r="E3419" t="str">
        <f t="shared" si="318"/>
        <v xml:space="preserve"> 🧑🏽‍🎤 E12.1 singer: medium skin tone</v>
      </c>
      <c r="F3419" t="b">
        <f t="shared" si="323"/>
        <v>1</v>
      </c>
      <c r="G3419" t="str">
        <f t="shared" si="319"/>
        <v>1F9D1</v>
      </c>
      <c r="I3419">
        <f>HEX2DEC(Table1[[#This Row],[utf8]])</f>
        <v>129489</v>
      </c>
      <c r="J3419" t="str">
        <f>_xlfn.UNICHAR(HEX2DEC(Table1[[#This Row],[utf8]]))</f>
        <v>🧑</v>
      </c>
      <c r="K3419" s="3" t="str" cm="1">
        <f t="array" ref="K3419">"Case "&amp;wRandomLetter()&amp;wRandomLetter()&amp;I3419&amp;":    UniConst = ChrW(" &amp; I3419 &amp;")"</f>
        <v>Case kz129489:    UniConst = ChrW(129489)</v>
      </c>
    </row>
    <row r="3420" spans="1:11" hidden="1">
      <c r="A3420" t="s">
        <v>1197</v>
      </c>
      <c r="B3420" t="str">
        <f t="shared" si="320"/>
        <v>1F9D1 1F3FD 200D 1F3A8 ; fully-qualified # 🧑🏽‍🎨 E12.1 artist: medium skin tone</v>
      </c>
      <c r="C3420" t="str">
        <f t="shared" si="321"/>
        <v xml:space="preserve">1F9D1 1F3FD 200D 1F3A8 </v>
      </c>
      <c r="D3420">
        <f t="shared" si="322"/>
        <v>23</v>
      </c>
      <c r="E3420" t="str">
        <f t="shared" si="318"/>
        <v xml:space="preserve"> 🧑🏽‍🎨 E12.1 artist: medium skin tone</v>
      </c>
      <c r="F3420" t="b">
        <f t="shared" si="323"/>
        <v>1</v>
      </c>
      <c r="G3420" t="str">
        <f t="shared" si="319"/>
        <v>1F9D1</v>
      </c>
      <c r="I3420">
        <f>HEX2DEC(Table1[[#This Row],[utf8]])</f>
        <v>129489</v>
      </c>
      <c r="J3420" t="str">
        <f>_xlfn.UNICHAR(HEX2DEC(Table1[[#This Row],[utf8]]))</f>
        <v>🧑</v>
      </c>
      <c r="K3420" s="3" t="str" cm="1">
        <f t="array" ref="K3420">"Case "&amp;wRandomLetter()&amp;wRandomLetter()&amp;I3420&amp;":    UniConst = ChrW(" &amp; I3420 &amp;")"</f>
        <v>Case rQ129489:    UniConst = ChrW(129489)</v>
      </c>
    </row>
    <row r="3421" spans="1:11" hidden="1">
      <c r="A3421" t="s">
        <v>999</v>
      </c>
      <c r="B3421" t="str">
        <f t="shared" si="320"/>
        <v>1F9D1 1F3FD 200D 1F3EB ; fully-qualified # 🧑🏽‍🏫 E12.1 teacher: medium skin tone</v>
      </c>
      <c r="C3421" t="str">
        <f t="shared" si="321"/>
        <v xml:space="preserve">1F9D1 1F3FD 200D 1F3EB </v>
      </c>
      <c r="D3421">
        <f t="shared" si="322"/>
        <v>23</v>
      </c>
      <c r="E3421" t="str">
        <f t="shared" si="318"/>
        <v xml:space="preserve"> 🧑🏽‍🏫 E12.1 teacher: medium skin tone</v>
      </c>
      <c r="F3421" t="b">
        <f t="shared" si="323"/>
        <v>1</v>
      </c>
      <c r="G3421" t="str">
        <f t="shared" si="319"/>
        <v>1F9D1</v>
      </c>
      <c r="I3421">
        <f>HEX2DEC(Table1[[#This Row],[utf8]])</f>
        <v>129489</v>
      </c>
      <c r="J3421" t="str">
        <f>_xlfn.UNICHAR(HEX2DEC(Table1[[#This Row],[utf8]]))</f>
        <v>🧑</v>
      </c>
      <c r="K3421" s="3" t="str" cm="1">
        <f t="array" ref="K3421">"Case "&amp;wRandomLetter()&amp;wRandomLetter()&amp;I3421&amp;":    UniConst = ChrW(" &amp; I3421 &amp;")"</f>
        <v>Case qt129489:    UniConst = ChrW(129489)</v>
      </c>
    </row>
    <row r="3422" spans="1:11" hidden="1">
      <c r="A3422" t="s">
        <v>1107</v>
      </c>
      <c r="B3422" t="str">
        <f t="shared" si="320"/>
        <v>1F9D1 1F3FD 200D 1F3ED ; fully-qualified # 🧑🏽‍🏭 E12.1 factory worker: medium skin tone</v>
      </c>
      <c r="C3422" t="str">
        <f t="shared" si="321"/>
        <v xml:space="preserve">1F9D1 1F3FD 200D 1F3ED </v>
      </c>
      <c r="D3422">
        <f t="shared" si="322"/>
        <v>23</v>
      </c>
      <c r="E3422" t="str">
        <f t="shared" si="318"/>
        <v xml:space="preserve"> 🧑🏽‍🏭 E12.1 factory worker: medium skin tone</v>
      </c>
      <c r="F3422" t="b">
        <f t="shared" si="323"/>
        <v>1</v>
      </c>
      <c r="G3422" t="str">
        <f t="shared" si="319"/>
        <v>1F9D1</v>
      </c>
      <c r="I3422">
        <f>HEX2DEC(Table1[[#This Row],[utf8]])</f>
        <v>129489</v>
      </c>
      <c r="J3422" t="str">
        <f>_xlfn.UNICHAR(HEX2DEC(Table1[[#This Row],[utf8]]))</f>
        <v>🧑</v>
      </c>
      <c r="K3422" s="3" t="str" cm="1">
        <f t="array" ref="K3422">"Case "&amp;wRandomLetter()&amp;wRandomLetter()&amp;I3422&amp;":    UniConst = ChrW(" &amp; I3422 &amp;")"</f>
        <v>Case ku129489:    UniConst = ChrW(129489)</v>
      </c>
    </row>
    <row r="3423" spans="1:11" hidden="1">
      <c r="A3423" t="s">
        <v>1161</v>
      </c>
      <c r="B3423" t="str">
        <f t="shared" si="320"/>
        <v>1F9D1 1F3FD 200D 1F4BB ; fully-qualified # 🧑🏽‍💻 E12.1 technologist: medium skin tone</v>
      </c>
      <c r="C3423" t="str">
        <f t="shared" si="321"/>
        <v xml:space="preserve">1F9D1 1F3FD 200D 1F4BB </v>
      </c>
      <c r="D3423">
        <f t="shared" si="322"/>
        <v>23</v>
      </c>
      <c r="E3423" t="str">
        <f t="shared" si="318"/>
        <v xml:space="preserve"> 🧑🏽‍💻 E12.1 technologist: medium skin tone</v>
      </c>
      <c r="F3423" t="b">
        <f t="shared" si="323"/>
        <v>1</v>
      </c>
      <c r="G3423" t="str">
        <f t="shared" si="319"/>
        <v>1F9D1</v>
      </c>
      <c r="I3423">
        <f>HEX2DEC(Table1[[#This Row],[utf8]])</f>
        <v>129489</v>
      </c>
      <c r="J3423" t="str">
        <f>_xlfn.UNICHAR(HEX2DEC(Table1[[#This Row],[utf8]]))</f>
        <v>🧑</v>
      </c>
      <c r="K3423" s="3" t="str" cm="1">
        <f t="array" ref="K3423">"Case "&amp;wRandomLetter()&amp;wRandomLetter()&amp;I3423&amp;":    UniConst = ChrW(" &amp; I3423 &amp;")"</f>
        <v>Case zU129489:    UniConst = ChrW(129489)</v>
      </c>
    </row>
    <row r="3424" spans="1:11" hidden="1">
      <c r="A3424" t="s">
        <v>1125</v>
      </c>
      <c r="B3424" t="str">
        <f t="shared" si="320"/>
        <v>1F9D1 1F3FD 200D 1F4BC ; fully-qualified # 🧑🏽‍💼 E12.1 office worker: medium skin tone</v>
      </c>
      <c r="C3424" t="str">
        <f t="shared" si="321"/>
        <v xml:space="preserve">1F9D1 1F3FD 200D 1F4BC </v>
      </c>
      <c r="D3424">
        <f t="shared" si="322"/>
        <v>23</v>
      </c>
      <c r="E3424" t="str">
        <f t="shared" si="318"/>
        <v xml:space="preserve"> 🧑🏽‍💼 E12.1 office worker: medium skin tone</v>
      </c>
      <c r="F3424" t="b">
        <f t="shared" si="323"/>
        <v>1</v>
      </c>
      <c r="G3424" t="str">
        <f t="shared" si="319"/>
        <v>1F9D1</v>
      </c>
      <c r="I3424">
        <f>HEX2DEC(Table1[[#This Row],[utf8]])</f>
        <v>129489</v>
      </c>
      <c r="J3424" t="str">
        <f>_xlfn.UNICHAR(HEX2DEC(Table1[[#This Row],[utf8]]))</f>
        <v>🧑</v>
      </c>
      <c r="K3424" s="3" t="str" cm="1">
        <f t="array" ref="K3424">"Case "&amp;wRandomLetter()&amp;wRandomLetter()&amp;I3424&amp;":    UniConst = ChrW(" &amp; I3424 &amp;")"</f>
        <v>Case Wg129489:    UniConst = ChrW(129489)</v>
      </c>
    </row>
    <row r="3425" spans="1:11" hidden="1">
      <c r="A3425" t="s">
        <v>1089</v>
      </c>
      <c r="B3425" t="str">
        <f t="shared" si="320"/>
        <v>1F9D1 1F3FD 200D 1F527 ; fully-qualified # 🧑🏽‍🔧 E12.1 mechanic: medium skin tone</v>
      </c>
      <c r="C3425" t="str">
        <f t="shared" si="321"/>
        <v xml:space="preserve">1F9D1 1F3FD 200D 1F527 </v>
      </c>
      <c r="D3425">
        <f t="shared" si="322"/>
        <v>23</v>
      </c>
      <c r="E3425" t="str">
        <f t="shared" si="318"/>
        <v xml:space="preserve"> 🧑🏽‍🔧 E12.1 mechanic: medium skin tone</v>
      </c>
      <c r="F3425" t="b">
        <f t="shared" si="323"/>
        <v>1</v>
      </c>
      <c r="G3425" t="str">
        <f t="shared" si="319"/>
        <v>1F9D1</v>
      </c>
      <c r="I3425">
        <f>HEX2DEC(Table1[[#This Row],[utf8]])</f>
        <v>129489</v>
      </c>
      <c r="J3425" t="str">
        <f>_xlfn.UNICHAR(HEX2DEC(Table1[[#This Row],[utf8]]))</f>
        <v>🧑</v>
      </c>
      <c r="K3425" s="3" t="str" cm="1">
        <f t="array" ref="K3425">"Case "&amp;wRandomLetter()&amp;wRandomLetter()&amp;I3425&amp;":    UniConst = ChrW(" &amp; I3425 &amp;")"</f>
        <v>Case wz129489:    UniConst = ChrW(129489)</v>
      </c>
    </row>
    <row r="3426" spans="1:11" hidden="1">
      <c r="A3426" t="s">
        <v>1143</v>
      </c>
      <c r="B3426" t="str">
        <f t="shared" si="320"/>
        <v>1F9D1 1F3FD 200D 1F52C ; fully-qualified # 🧑🏽‍🔬 E12.1 scientist: medium skin tone</v>
      </c>
      <c r="C3426" t="str">
        <f t="shared" si="321"/>
        <v xml:space="preserve">1F9D1 1F3FD 200D 1F52C </v>
      </c>
      <c r="D3426">
        <f t="shared" si="322"/>
        <v>23</v>
      </c>
      <c r="E3426" t="str">
        <f t="shared" si="318"/>
        <v xml:space="preserve"> 🧑🏽‍🔬 E12.1 scientist: medium skin tone</v>
      </c>
      <c r="F3426" t="b">
        <f t="shared" si="323"/>
        <v>1</v>
      </c>
      <c r="G3426" t="str">
        <f t="shared" si="319"/>
        <v>1F9D1</v>
      </c>
      <c r="I3426">
        <f>HEX2DEC(Table1[[#This Row],[utf8]])</f>
        <v>129489</v>
      </c>
      <c r="J3426" t="str">
        <f>_xlfn.UNICHAR(HEX2DEC(Table1[[#This Row],[utf8]]))</f>
        <v>🧑</v>
      </c>
      <c r="K3426" s="3" t="str" cm="1">
        <f t="array" ref="K3426">"Case "&amp;wRandomLetter()&amp;wRandomLetter()&amp;I3426&amp;":    UniConst = ChrW(" &amp; I3426 &amp;")"</f>
        <v>Case GY129489:    UniConst = ChrW(129489)</v>
      </c>
    </row>
    <row r="3427" spans="1:11" hidden="1">
      <c r="A3427" t="s">
        <v>1251</v>
      </c>
      <c r="B3427" t="str">
        <f t="shared" si="320"/>
        <v>1F9D1 1F3FD 200D 1F680 ; fully-qualified # 🧑🏽‍🚀 E12.1 astronaut: medium skin tone</v>
      </c>
      <c r="C3427" t="str">
        <f t="shared" si="321"/>
        <v xml:space="preserve">1F9D1 1F3FD 200D 1F680 </v>
      </c>
      <c r="D3427">
        <f t="shared" si="322"/>
        <v>23</v>
      </c>
      <c r="E3427" t="str">
        <f t="shared" si="318"/>
        <v xml:space="preserve"> 🧑🏽‍🚀 E12.1 astronaut: medium skin tone</v>
      </c>
      <c r="F3427" t="b">
        <f t="shared" si="323"/>
        <v>1</v>
      </c>
      <c r="G3427" t="str">
        <f t="shared" si="319"/>
        <v>1F9D1</v>
      </c>
      <c r="I3427">
        <f>HEX2DEC(Table1[[#This Row],[utf8]])</f>
        <v>129489</v>
      </c>
      <c r="J3427" t="str">
        <f>_xlfn.UNICHAR(HEX2DEC(Table1[[#This Row],[utf8]]))</f>
        <v>🧑</v>
      </c>
      <c r="K3427" s="3" t="str" cm="1">
        <f t="array" ref="K3427">"Case "&amp;wRandomLetter()&amp;wRandomLetter()&amp;I3427&amp;":    UniConst = ChrW(" &amp; I3427 &amp;")"</f>
        <v>Case kM129489:    UniConst = ChrW(129489)</v>
      </c>
    </row>
    <row r="3428" spans="1:11" hidden="1">
      <c r="A3428" t="s">
        <v>1269</v>
      </c>
      <c r="B3428" t="str">
        <f t="shared" si="320"/>
        <v>1F9D1 1F3FD 200D 1F692 ; fully-qualified # 🧑🏽‍🚒 E12.1 firefighter: medium skin tone</v>
      </c>
      <c r="C3428" t="str">
        <f t="shared" si="321"/>
        <v xml:space="preserve">1F9D1 1F3FD 200D 1F692 </v>
      </c>
      <c r="D3428">
        <f t="shared" si="322"/>
        <v>23</v>
      </c>
      <c r="E3428" t="str">
        <f t="shared" si="318"/>
        <v xml:space="preserve"> 🧑🏽‍🚒 E12.1 firefighter: medium skin tone</v>
      </c>
      <c r="F3428" t="b">
        <f t="shared" si="323"/>
        <v>1</v>
      </c>
      <c r="G3428" t="str">
        <f t="shared" si="319"/>
        <v>1F9D1</v>
      </c>
      <c r="I3428">
        <f>HEX2DEC(Table1[[#This Row],[utf8]])</f>
        <v>129489</v>
      </c>
      <c r="J3428" t="str">
        <f>_xlfn.UNICHAR(HEX2DEC(Table1[[#This Row],[utf8]]))</f>
        <v>🧑</v>
      </c>
      <c r="K3428" s="3" t="str" cm="1">
        <f t="array" ref="K3428">"Case "&amp;wRandomLetter()&amp;wRandomLetter()&amp;I3428&amp;":    UniConst = ChrW(" &amp; I3428 &amp;")"</f>
        <v>Case uW129489:    UniConst = ChrW(129489)</v>
      </c>
    </row>
    <row r="3429" spans="1:11" hidden="1">
      <c r="A3429" t="s">
        <v>2574</v>
      </c>
      <c r="B3429" t="str">
        <f t="shared" si="320"/>
        <v>1F9D1 1F3FD 200D 1F91D 200D 1F9D1 1F3FB ; fully-qualified # 🧑🏽‍🤝‍🧑🏻 E12.0 people holding hands: medium skin tone, light skin tone</v>
      </c>
      <c r="C3429" t="str">
        <f t="shared" si="321"/>
        <v xml:space="preserve">1F9D1 1F3FD 200D 1F91D 200D 1F9D1 1F3FB </v>
      </c>
      <c r="D3429">
        <f t="shared" si="322"/>
        <v>40</v>
      </c>
      <c r="E3429" t="str">
        <f t="shared" si="318"/>
        <v xml:space="preserve"> 🧑🏽‍🤝‍🧑🏻 E12.0 people holding hands: medium skin tone, light skin tone</v>
      </c>
      <c r="F3429" t="b">
        <f t="shared" si="323"/>
        <v>1</v>
      </c>
      <c r="G3429" t="str">
        <f t="shared" si="319"/>
        <v>1F9D1</v>
      </c>
      <c r="I3429">
        <f>HEX2DEC(Table1[[#This Row],[utf8]])</f>
        <v>129489</v>
      </c>
      <c r="J3429" t="str">
        <f>_xlfn.UNICHAR(HEX2DEC(Table1[[#This Row],[utf8]]))</f>
        <v>🧑</v>
      </c>
      <c r="K3429" s="3" t="str" cm="1">
        <f t="array" ref="K3429">"Case "&amp;wRandomLetter()&amp;wRandomLetter()&amp;I3429&amp;":    UniConst = ChrW(" &amp; I3429 &amp;")"</f>
        <v>Case JH129489:    UniConst = ChrW(129489)</v>
      </c>
    </row>
    <row r="3430" spans="1:11" hidden="1">
      <c r="A3430" t="s">
        <v>2575</v>
      </c>
      <c r="B3430" t="str">
        <f t="shared" si="320"/>
        <v>1F9D1 1F3FD 200D 1F91D 200D 1F9D1 1F3FC ; fully-qualified # 🧑🏽‍🤝‍🧑🏼 E12.0 people holding hands: medium skin tone, medium-light skin tone</v>
      </c>
      <c r="C3430" t="str">
        <f t="shared" si="321"/>
        <v xml:space="preserve">1F9D1 1F3FD 200D 1F91D 200D 1F9D1 1F3FC </v>
      </c>
      <c r="D3430">
        <f t="shared" si="322"/>
        <v>40</v>
      </c>
      <c r="E3430" t="str">
        <f t="shared" si="318"/>
        <v xml:space="preserve"> 🧑🏽‍🤝‍🧑🏼 E12.0 people holding hands: medium skin tone, medium-light skin tone</v>
      </c>
      <c r="F3430" t="b">
        <f t="shared" si="323"/>
        <v>1</v>
      </c>
      <c r="G3430" t="str">
        <f t="shared" si="319"/>
        <v>1F9D1</v>
      </c>
      <c r="I3430">
        <f>HEX2DEC(Table1[[#This Row],[utf8]])</f>
        <v>129489</v>
      </c>
      <c r="J3430" t="str">
        <f>_xlfn.UNICHAR(HEX2DEC(Table1[[#This Row],[utf8]]))</f>
        <v>🧑</v>
      </c>
      <c r="K3430" s="3" t="str" cm="1">
        <f t="array" ref="K3430">"Case "&amp;wRandomLetter()&amp;wRandomLetter()&amp;I3430&amp;":    UniConst = ChrW(" &amp; I3430 &amp;")"</f>
        <v>Case AP129489:    UniConst = ChrW(129489)</v>
      </c>
    </row>
    <row r="3431" spans="1:11" hidden="1">
      <c r="A3431" t="s">
        <v>2576</v>
      </c>
      <c r="B3431" t="str">
        <f t="shared" si="320"/>
        <v>1F9D1 1F3FD 200D 1F91D 200D 1F9D1 1F3FD ; fully-qualified # 🧑🏽‍🤝‍🧑🏽 E12.0 people holding hands: medium skin tone</v>
      </c>
      <c r="C3431" t="str">
        <f t="shared" si="321"/>
        <v xml:space="preserve">1F9D1 1F3FD 200D 1F91D 200D 1F9D1 1F3FD </v>
      </c>
      <c r="D3431">
        <f t="shared" si="322"/>
        <v>40</v>
      </c>
      <c r="E3431" t="str">
        <f t="shared" si="318"/>
        <v xml:space="preserve"> 🧑🏽‍🤝‍🧑🏽 E12.0 people holding hands: medium skin tone</v>
      </c>
      <c r="F3431" t="b">
        <f t="shared" si="323"/>
        <v>1</v>
      </c>
      <c r="G3431" t="str">
        <f t="shared" si="319"/>
        <v>1F9D1</v>
      </c>
      <c r="I3431">
        <f>HEX2DEC(Table1[[#This Row],[utf8]])</f>
        <v>129489</v>
      </c>
      <c r="J3431" t="str">
        <f>_xlfn.UNICHAR(HEX2DEC(Table1[[#This Row],[utf8]]))</f>
        <v>🧑</v>
      </c>
      <c r="K3431" s="3" t="str" cm="1">
        <f t="array" ref="K3431">"Case "&amp;wRandomLetter()&amp;wRandomLetter()&amp;I3431&amp;":    UniConst = ChrW(" &amp; I3431 &amp;")"</f>
        <v>Case Bh129489:    UniConst = ChrW(129489)</v>
      </c>
    </row>
    <row r="3432" spans="1:11" hidden="1">
      <c r="A3432" t="s">
        <v>2577</v>
      </c>
      <c r="B3432" t="str">
        <f t="shared" si="320"/>
        <v>1F9D1 1F3FD 200D 1F91D 200D 1F9D1 1F3FE ; fully-qualified # 🧑🏽‍🤝‍🧑🏾 E12.1 people holding hands: medium skin tone, medium-dark skin tone</v>
      </c>
      <c r="C3432" t="str">
        <f t="shared" si="321"/>
        <v xml:space="preserve">1F9D1 1F3FD 200D 1F91D 200D 1F9D1 1F3FE </v>
      </c>
      <c r="D3432">
        <f t="shared" si="322"/>
        <v>40</v>
      </c>
      <c r="E3432" t="str">
        <f t="shared" si="318"/>
        <v xml:space="preserve"> 🧑🏽‍🤝‍🧑🏾 E12.1 people holding hands: medium skin tone, medium-dark skin tone</v>
      </c>
      <c r="F3432" t="b">
        <f t="shared" si="323"/>
        <v>1</v>
      </c>
      <c r="G3432" t="str">
        <f t="shared" si="319"/>
        <v>1F9D1</v>
      </c>
      <c r="I3432">
        <f>HEX2DEC(Table1[[#This Row],[utf8]])</f>
        <v>129489</v>
      </c>
      <c r="J3432" t="str">
        <f>_xlfn.UNICHAR(HEX2DEC(Table1[[#This Row],[utf8]]))</f>
        <v>🧑</v>
      </c>
      <c r="K3432" s="3" t="str" cm="1">
        <f t="array" ref="K3432">"Case "&amp;wRandomLetter()&amp;wRandomLetter()&amp;I3432&amp;":    UniConst = ChrW(" &amp; I3432 &amp;")"</f>
        <v>Case LR129489:    UniConst = ChrW(129489)</v>
      </c>
    </row>
    <row r="3433" spans="1:11" hidden="1">
      <c r="A3433" t="s">
        <v>2578</v>
      </c>
      <c r="B3433" t="str">
        <f t="shared" si="320"/>
        <v>1F9D1 1F3FD 200D 1F91D 200D 1F9D1 1F3FF ; fully-qualified # 🧑🏽‍🤝‍🧑🏿 E12.1 people holding hands: medium skin tone, dark skin tone</v>
      </c>
      <c r="C3433" t="str">
        <f t="shared" si="321"/>
        <v xml:space="preserve">1F9D1 1F3FD 200D 1F91D 200D 1F9D1 1F3FF </v>
      </c>
      <c r="D3433">
        <f t="shared" si="322"/>
        <v>40</v>
      </c>
      <c r="E3433" t="str">
        <f t="shared" si="318"/>
        <v xml:space="preserve"> 🧑🏽‍🤝‍🧑🏿 E12.1 people holding hands: medium skin tone, dark skin tone</v>
      </c>
      <c r="F3433" t="b">
        <f t="shared" si="323"/>
        <v>1</v>
      </c>
      <c r="G3433" t="str">
        <f t="shared" si="319"/>
        <v>1F9D1</v>
      </c>
      <c r="I3433">
        <f>HEX2DEC(Table1[[#This Row],[utf8]])</f>
        <v>129489</v>
      </c>
      <c r="J3433" t="str">
        <f>_xlfn.UNICHAR(HEX2DEC(Table1[[#This Row],[utf8]]))</f>
        <v>🧑</v>
      </c>
      <c r="K3433" s="3" t="str" cm="1">
        <f t="array" ref="K3433">"Case "&amp;wRandomLetter()&amp;wRandomLetter()&amp;I3433&amp;":    UniConst = ChrW(" &amp; I3433 &amp;")"</f>
        <v>Case JF129489:    UniConst = ChrW(129489)</v>
      </c>
    </row>
    <row r="3434" spans="1:11" hidden="1">
      <c r="A3434" t="s">
        <v>1958</v>
      </c>
      <c r="B3434" t="str">
        <f t="shared" si="320"/>
        <v>1F9D1 1F3FD 200D 1F9AF ; fully-qualified # 🧑🏽‍🦯 E12.1 person with white cane: medium skin tone</v>
      </c>
      <c r="C3434" t="str">
        <f t="shared" si="321"/>
        <v xml:space="preserve">1F9D1 1F3FD 200D 1F9AF </v>
      </c>
      <c r="D3434">
        <f t="shared" si="322"/>
        <v>23</v>
      </c>
      <c r="E3434" t="str">
        <f t="shared" si="318"/>
        <v xml:space="preserve"> 🧑🏽‍🦯 E12.1 person with white cane: medium skin tone</v>
      </c>
      <c r="F3434" t="b">
        <f t="shared" si="323"/>
        <v>1</v>
      </c>
      <c r="G3434" t="str">
        <f t="shared" si="319"/>
        <v>1F9D1</v>
      </c>
      <c r="I3434">
        <f>HEX2DEC(Table1[[#This Row],[utf8]])</f>
        <v>129489</v>
      </c>
      <c r="J3434" t="str">
        <f>_xlfn.UNICHAR(HEX2DEC(Table1[[#This Row],[utf8]]))</f>
        <v>🧑</v>
      </c>
      <c r="K3434" s="3" t="str" cm="1">
        <f t="array" ref="K3434">"Case "&amp;wRandomLetter()&amp;wRandomLetter()&amp;I3434&amp;":    UniConst = ChrW(" &amp; I3434 &amp;")"</f>
        <v>Case QZ129489:    UniConst = ChrW(129489)</v>
      </c>
    </row>
    <row r="3435" spans="1:11" hidden="1">
      <c r="A3435" t="s">
        <v>559</v>
      </c>
      <c r="B3435" t="str">
        <f t="shared" si="320"/>
        <v>1F9D1 1F3FD 200D 1F9B0 ; fully-qualified # 🧑🏽‍🦰 E12.1 person: medium skin tone, red hair</v>
      </c>
      <c r="C3435" t="str">
        <f t="shared" si="321"/>
        <v xml:space="preserve">1F9D1 1F3FD 200D 1F9B0 </v>
      </c>
      <c r="D3435">
        <f t="shared" si="322"/>
        <v>23</v>
      </c>
      <c r="E3435" t="str">
        <f t="shared" si="318"/>
        <v xml:space="preserve"> 🧑🏽‍🦰 E12.1 person: medium skin tone, red hair</v>
      </c>
      <c r="F3435" t="b">
        <f t="shared" si="323"/>
        <v>1</v>
      </c>
      <c r="G3435" t="str">
        <f t="shared" si="319"/>
        <v>1F9D1</v>
      </c>
      <c r="I3435">
        <f>HEX2DEC(Table1[[#This Row],[utf8]])</f>
        <v>129489</v>
      </c>
      <c r="J3435" t="str">
        <f>_xlfn.UNICHAR(HEX2DEC(Table1[[#This Row],[utf8]]))</f>
        <v>🧑</v>
      </c>
      <c r="K3435" s="3" t="str" cm="1">
        <f t="array" ref="K3435">"Case "&amp;wRandomLetter()&amp;wRandomLetter()&amp;I3435&amp;":    UniConst = ChrW(" &amp; I3435 &amp;")"</f>
        <v>Case Pw129489:    UniConst = ChrW(129489)</v>
      </c>
    </row>
    <row r="3436" spans="1:11" hidden="1">
      <c r="A3436" t="s">
        <v>571</v>
      </c>
      <c r="B3436" t="str">
        <f t="shared" si="320"/>
        <v>1F9D1 1F3FD 200D 1F9B1 ; fully-qualified # 🧑🏽‍🦱 E12.1 person: medium skin tone, curly hair</v>
      </c>
      <c r="C3436" t="str">
        <f t="shared" si="321"/>
        <v xml:space="preserve">1F9D1 1F3FD 200D 1F9B1 </v>
      </c>
      <c r="D3436">
        <f t="shared" si="322"/>
        <v>23</v>
      </c>
      <c r="E3436" t="str">
        <f t="shared" si="318"/>
        <v xml:space="preserve"> 🧑🏽‍🦱 E12.1 person: medium skin tone, curly hair</v>
      </c>
      <c r="F3436" t="b">
        <f t="shared" si="323"/>
        <v>1</v>
      </c>
      <c r="G3436" t="str">
        <f t="shared" si="319"/>
        <v>1F9D1</v>
      </c>
      <c r="I3436">
        <f>HEX2DEC(Table1[[#This Row],[utf8]])</f>
        <v>129489</v>
      </c>
      <c r="J3436" t="str">
        <f>_xlfn.UNICHAR(HEX2DEC(Table1[[#This Row],[utf8]]))</f>
        <v>🧑</v>
      </c>
      <c r="K3436" s="3" t="str" cm="1">
        <f t="array" ref="K3436">"Case "&amp;wRandomLetter()&amp;wRandomLetter()&amp;I3436&amp;":    UniConst = ChrW(" &amp; I3436 &amp;")"</f>
        <v>Case Ht129489:    UniConst = ChrW(129489)</v>
      </c>
    </row>
    <row r="3437" spans="1:11" hidden="1">
      <c r="A3437" t="s">
        <v>595</v>
      </c>
      <c r="B3437" t="str">
        <f t="shared" si="320"/>
        <v>1F9D1 1F3FD 200D 1F9B2 ; fully-qualified # 🧑🏽‍🦲 E12.1 person: medium skin tone, bald</v>
      </c>
      <c r="C3437" t="str">
        <f t="shared" si="321"/>
        <v xml:space="preserve">1F9D1 1F3FD 200D 1F9B2 </v>
      </c>
      <c r="D3437">
        <f t="shared" si="322"/>
        <v>23</v>
      </c>
      <c r="E3437" t="str">
        <f t="shared" si="318"/>
        <v xml:space="preserve"> 🧑🏽‍🦲 E12.1 person: medium skin tone, bald</v>
      </c>
      <c r="F3437" t="b">
        <f t="shared" si="323"/>
        <v>1</v>
      </c>
      <c r="G3437" t="str">
        <f t="shared" si="319"/>
        <v>1F9D1</v>
      </c>
      <c r="I3437">
        <f>HEX2DEC(Table1[[#This Row],[utf8]])</f>
        <v>129489</v>
      </c>
      <c r="J3437" t="str">
        <f>_xlfn.UNICHAR(HEX2DEC(Table1[[#This Row],[utf8]]))</f>
        <v>🧑</v>
      </c>
      <c r="K3437" s="3" t="str" cm="1">
        <f t="array" ref="K3437">"Case "&amp;wRandomLetter()&amp;wRandomLetter()&amp;I3437&amp;":    UniConst = ChrW(" &amp; I3437 &amp;")"</f>
        <v>Case nY129489:    UniConst = ChrW(129489)</v>
      </c>
    </row>
    <row r="3438" spans="1:11" hidden="1">
      <c r="A3438" t="s">
        <v>583</v>
      </c>
      <c r="B3438" t="str">
        <f t="shared" si="320"/>
        <v>1F9D1 1F3FD 200D 1F9B3 ; fully-qualified # 🧑🏽‍🦳 E12.1 person: medium skin tone, white hair</v>
      </c>
      <c r="C3438" t="str">
        <f t="shared" si="321"/>
        <v xml:space="preserve">1F9D1 1F3FD 200D 1F9B3 </v>
      </c>
      <c r="D3438">
        <f t="shared" si="322"/>
        <v>23</v>
      </c>
      <c r="E3438" t="str">
        <f t="shared" si="318"/>
        <v xml:space="preserve"> 🧑🏽‍🦳 E12.1 person: medium skin tone, white hair</v>
      </c>
      <c r="F3438" t="b">
        <f t="shared" si="323"/>
        <v>1</v>
      </c>
      <c r="G3438" t="str">
        <f t="shared" si="319"/>
        <v>1F9D1</v>
      </c>
      <c r="I3438">
        <f>HEX2DEC(Table1[[#This Row],[utf8]])</f>
        <v>129489</v>
      </c>
      <c r="J3438" t="str">
        <f>_xlfn.UNICHAR(HEX2DEC(Table1[[#This Row],[utf8]]))</f>
        <v>🧑</v>
      </c>
      <c r="K3438" s="3" t="str" cm="1">
        <f t="array" ref="K3438">"Case "&amp;wRandomLetter()&amp;wRandomLetter()&amp;I3438&amp;":    UniConst = ChrW(" &amp; I3438 &amp;")"</f>
        <v>Case AB129489:    UniConst = ChrW(129489)</v>
      </c>
    </row>
    <row r="3439" spans="1:11" hidden="1">
      <c r="A3439" t="s">
        <v>1976</v>
      </c>
      <c r="B3439" t="str">
        <f t="shared" si="320"/>
        <v>1F9D1 1F3FD 200D 1F9BC ; fully-qualified # 🧑🏽‍🦼 E12.1 person in motorized wheelchair: medium skin tone</v>
      </c>
      <c r="C3439" t="str">
        <f t="shared" si="321"/>
        <v xml:space="preserve">1F9D1 1F3FD 200D 1F9BC </v>
      </c>
      <c r="D3439">
        <f t="shared" si="322"/>
        <v>23</v>
      </c>
      <c r="E3439" t="str">
        <f t="shared" si="318"/>
        <v xml:space="preserve"> 🧑🏽‍🦼 E12.1 person in motorized wheelchair: medium skin tone</v>
      </c>
      <c r="F3439" t="b">
        <f t="shared" si="323"/>
        <v>1</v>
      </c>
      <c r="G3439" t="str">
        <f t="shared" si="319"/>
        <v>1F9D1</v>
      </c>
      <c r="I3439">
        <f>HEX2DEC(Table1[[#This Row],[utf8]])</f>
        <v>129489</v>
      </c>
      <c r="J3439" t="str">
        <f>_xlfn.UNICHAR(HEX2DEC(Table1[[#This Row],[utf8]]))</f>
        <v>🧑</v>
      </c>
      <c r="K3439" s="3" t="str" cm="1">
        <f t="array" ref="K3439">"Case "&amp;wRandomLetter()&amp;wRandomLetter()&amp;I3439&amp;":    UniConst = ChrW(" &amp; I3439 &amp;")"</f>
        <v>Case gH129489:    UniConst = ChrW(129489)</v>
      </c>
    </row>
    <row r="3440" spans="1:11" hidden="1">
      <c r="A3440" t="s">
        <v>1994</v>
      </c>
      <c r="B3440" t="str">
        <f t="shared" si="320"/>
        <v>1F9D1 1F3FD 200D 1F9BD ; fully-qualified # 🧑🏽‍🦽 E12.1 person in manual wheelchair: medium skin tone</v>
      </c>
      <c r="C3440" t="str">
        <f t="shared" si="321"/>
        <v xml:space="preserve">1F9D1 1F3FD 200D 1F9BD </v>
      </c>
      <c r="D3440">
        <f t="shared" si="322"/>
        <v>23</v>
      </c>
      <c r="E3440" t="str">
        <f t="shared" si="318"/>
        <v xml:space="preserve"> 🧑🏽‍🦽 E12.1 person in manual wheelchair: medium skin tone</v>
      </c>
      <c r="F3440" t="b">
        <f t="shared" si="323"/>
        <v>1</v>
      </c>
      <c r="G3440" t="str">
        <f t="shared" si="319"/>
        <v>1F9D1</v>
      </c>
      <c r="I3440">
        <f>HEX2DEC(Table1[[#This Row],[utf8]])</f>
        <v>129489</v>
      </c>
      <c r="J3440" t="str">
        <f>_xlfn.UNICHAR(HEX2DEC(Table1[[#This Row],[utf8]]))</f>
        <v>🧑</v>
      </c>
      <c r="K3440" s="3" t="str" cm="1">
        <f t="array" ref="K3440">"Case "&amp;wRandomLetter()&amp;wRandomLetter()&amp;I3440&amp;":    UniConst = ChrW(" &amp; I3440 &amp;")"</f>
        <v>Case DC129489:    UniConst = ChrW(129489)</v>
      </c>
    </row>
    <row r="3441" spans="1:11" hidden="1">
      <c r="A3441" t="s">
        <v>949</v>
      </c>
      <c r="B3441" t="str">
        <f t="shared" si="320"/>
        <v>1F9D1 1F3FD 200D 2695 ; minimally-qualified # 🧑🏽‍⚕ E12.1 health worker: medium skin tone</v>
      </c>
      <c r="C3441" t="str">
        <f t="shared" si="321"/>
        <v xml:space="preserve">1F9D1 1F3FD 200D 2695 </v>
      </c>
      <c r="D3441">
        <f t="shared" si="322"/>
        <v>22</v>
      </c>
      <c r="E3441" t="str">
        <f t="shared" si="318"/>
        <v xml:space="preserve"> 🧑🏽‍⚕ E12.1 health worker: medium skin tone</v>
      </c>
      <c r="F3441" t="b">
        <f t="shared" si="323"/>
        <v>1</v>
      </c>
      <c r="G3441" t="str">
        <f t="shared" si="319"/>
        <v>1F9D1</v>
      </c>
      <c r="I3441">
        <f>HEX2DEC(Table1[[#This Row],[utf8]])</f>
        <v>129489</v>
      </c>
      <c r="J3441" t="str">
        <f>_xlfn.UNICHAR(HEX2DEC(Table1[[#This Row],[utf8]]))</f>
        <v>🧑</v>
      </c>
      <c r="K3441" s="3" t="str" cm="1">
        <f t="array" ref="K3441">"Case "&amp;wRandomLetter()&amp;wRandomLetter()&amp;I3441&amp;":    UniConst = ChrW(" &amp; I3441 &amp;")"</f>
        <v>Case oY129489:    UniConst = ChrW(129489)</v>
      </c>
    </row>
    <row r="3442" spans="1:11" hidden="1">
      <c r="A3442" t="s">
        <v>948</v>
      </c>
      <c r="B3442" t="str">
        <f t="shared" si="320"/>
        <v>1F9D1 1F3FD 200D 2695 FE0F ; fully-qualified # 🧑🏽‍⚕️ E12.1 health worker: medium skin tone</v>
      </c>
      <c r="C3442" t="str">
        <f t="shared" si="321"/>
        <v xml:space="preserve">1F9D1 1F3FD 200D 2695 FE0F </v>
      </c>
      <c r="D3442">
        <f t="shared" si="322"/>
        <v>27</v>
      </c>
      <c r="E3442" t="str">
        <f t="shared" si="318"/>
        <v xml:space="preserve"> 🧑🏽‍⚕️ E12.1 health worker: medium skin tone</v>
      </c>
      <c r="F3442" t="b">
        <f t="shared" si="323"/>
        <v>1</v>
      </c>
      <c r="G3442" t="str">
        <f t="shared" si="319"/>
        <v>1F9D1</v>
      </c>
      <c r="I3442">
        <f>HEX2DEC(Table1[[#This Row],[utf8]])</f>
        <v>129489</v>
      </c>
      <c r="J3442" t="str">
        <f>_xlfn.UNICHAR(HEX2DEC(Table1[[#This Row],[utf8]]))</f>
        <v>🧑</v>
      </c>
      <c r="K3442" s="3" t="str" cm="1">
        <f t="array" ref="K3442">"Case "&amp;wRandomLetter()&amp;wRandomLetter()&amp;I3442&amp;":    UniConst = ChrW(" &amp; I3442 &amp;")"</f>
        <v>Case Rg129489:    UniConst = ChrW(129489)</v>
      </c>
    </row>
    <row r="3443" spans="1:11" hidden="1">
      <c r="A3443" t="s">
        <v>1021</v>
      </c>
      <c r="B3443" t="str">
        <f t="shared" si="320"/>
        <v>1F9D1 1F3FD 200D 2696 ; minimally-qualified # 🧑🏽‍⚖ E12.1 judge: medium skin tone</v>
      </c>
      <c r="C3443" t="str">
        <f t="shared" si="321"/>
        <v xml:space="preserve">1F9D1 1F3FD 200D 2696 </v>
      </c>
      <c r="D3443">
        <f t="shared" si="322"/>
        <v>22</v>
      </c>
      <c r="E3443" t="str">
        <f t="shared" si="318"/>
        <v xml:space="preserve"> 🧑🏽‍⚖ E12.1 judge: medium skin tone</v>
      </c>
      <c r="F3443" t="b">
        <f t="shared" si="323"/>
        <v>1</v>
      </c>
      <c r="G3443" t="str">
        <f t="shared" si="319"/>
        <v>1F9D1</v>
      </c>
      <c r="I3443">
        <f>HEX2DEC(Table1[[#This Row],[utf8]])</f>
        <v>129489</v>
      </c>
      <c r="J3443" t="str">
        <f>_xlfn.UNICHAR(HEX2DEC(Table1[[#This Row],[utf8]]))</f>
        <v>🧑</v>
      </c>
      <c r="K3443" s="3" t="str" cm="1">
        <f t="array" ref="K3443">"Case "&amp;wRandomLetter()&amp;wRandomLetter()&amp;I3443&amp;":    UniConst = ChrW(" &amp; I3443 &amp;")"</f>
        <v>Case ib129489:    UniConst = ChrW(129489)</v>
      </c>
    </row>
    <row r="3444" spans="1:11" hidden="1">
      <c r="A3444" t="s">
        <v>1020</v>
      </c>
      <c r="B3444" t="str">
        <f t="shared" si="320"/>
        <v>1F9D1 1F3FD 200D 2696 FE0F ; fully-qualified # 🧑🏽‍⚖️ E12.1 judge: medium skin tone</v>
      </c>
      <c r="C3444" t="str">
        <f t="shared" si="321"/>
        <v xml:space="preserve">1F9D1 1F3FD 200D 2696 FE0F </v>
      </c>
      <c r="D3444">
        <f t="shared" si="322"/>
        <v>27</v>
      </c>
      <c r="E3444" t="str">
        <f t="shared" si="318"/>
        <v xml:space="preserve"> 🧑🏽‍⚖️ E12.1 judge: medium skin tone</v>
      </c>
      <c r="F3444" t="b">
        <f t="shared" si="323"/>
        <v>1</v>
      </c>
      <c r="G3444" t="str">
        <f t="shared" si="319"/>
        <v>1F9D1</v>
      </c>
      <c r="I3444">
        <f>HEX2DEC(Table1[[#This Row],[utf8]])</f>
        <v>129489</v>
      </c>
      <c r="J3444" t="str">
        <f>_xlfn.UNICHAR(HEX2DEC(Table1[[#This Row],[utf8]]))</f>
        <v>🧑</v>
      </c>
      <c r="K3444" s="3" t="str" cm="1">
        <f t="array" ref="K3444">"Case "&amp;wRandomLetter()&amp;wRandomLetter()&amp;I3444&amp;":    UniConst = ChrW(" &amp; I3444 &amp;")"</f>
        <v>Case Oo129489:    UniConst = ChrW(129489)</v>
      </c>
    </row>
    <row r="3445" spans="1:11" hidden="1">
      <c r="A3445" t="s">
        <v>1219</v>
      </c>
      <c r="B3445" t="str">
        <f t="shared" si="320"/>
        <v>1F9D1 1F3FD 200D 2708 ; minimally-qualified # 🧑🏽‍✈ E12.1 pilot: medium skin tone</v>
      </c>
      <c r="C3445" t="str">
        <f t="shared" si="321"/>
        <v xml:space="preserve">1F9D1 1F3FD 200D 2708 </v>
      </c>
      <c r="D3445">
        <f t="shared" si="322"/>
        <v>22</v>
      </c>
      <c r="E3445" t="str">
        <f t="shared" si="318"/>
        <v xml:space="preserve"> 🧑🏽‍✈ E12.1 pilot: medium skin tone</v>
      </c>
      <c r="F3445" t="b">
        <f t="shared" si="323"/>
        <v>1</v>
      </c>
      <c r="G3445" t="str">
        <f t="shared" si="319"/>
        <v>1F9D1</v>
      </c>
      <c r="I3445">
        <f>HEX2DEC(Table1[[#This Row],[utf8]])</f>
        <v>129489</v>
      </c>
      <c r="J3445" t="str">
        <f>_xlfn.UNICHAR(HEX2DEC(Table1[[#This Row],[utf8]]))</f>
        <v>🧑</v>
      </c>
      <c r="K3445" s="3" t="str" cm="1">
        <f t="array" ref="K3445">"Case "&amp;wRandomLetter()&amp;wRandomLetter()&amp;I3445&amp;":    UniConst = ChrW(" &amp; I3445 &amp;")"</f>
        <v>Case nV129489:    UniConst = ChrW(129489)</v>
      </c>
    </row>
    <row r="3446" spans="1:11" hidden="1">
      <c r="A3446" t="s">
        <v>1218</v>
      </c>
      <c r="B3446" t="str">
        <f t="shared" si="320"/>
        <v>1F9D1 1F3FD 200D 2708 FE0F ; fully-qualified # 🧑🏽‍✈️ E12.1 pilot: medium skin tone</v>
      </c>
      <c r="C3446" t="str">
        <f t="shared" si="321"/>
        <v xml:space="preserve">1F9D1 1F3FD 200D 2708 FE0F </v>
      </c>
      <c r="D3446">
        <f t="shared" si="322"/>
        <v>27</v>
      </c>
      <c r="E3446" t="str">
        <f t="shared" si="318"/>
        <v xml:space="preserve"> 🧑🏽‍✈️ E12.1 pilot: medium skin tone</v>
      </c>
      <c r="F3446" t="b">
        <f t="shared" si="323"/>
        <v>1</v>
      </c>
      <c r="G3446" t="str">
        <f t="shared" si="319"/>
        <v>1F9D1</v>
      </c>
      <c r="I3446">
        <f>HEX2DEC(Table1[[#This Row],[utf8]])</f>
        <v>129489</v>
      </c>
      <c r="J3446" t="str">
        <f>_xlfn.UNICHAR(HEX2DEC(Table1[[#This Row],[utf8]]))</f>
        <v>🧑</v>
      </c>
      <c r="K3446" s="3" t="str" cm="1">
        <f t="array" ref="K3446">"Case "&amp;wRandomLetter()&amp;wRandomLetter()&amp;I3446&amp;":    UniConst = ChrW(" &amp; I3446 &amp;")"</f>
        <v>Case Oo129489:    UniConst = ChrW(129489)</v>
      </c>
    </row>
    <row r="3447" spans="1:11" hidden="1">
      <c r="A3447" t="s">
        <v>2690</v>
      </c>
      <c r="B3447" t="str">
        <f t="shared" si="320"/>
        <v>1F9D1 1F3FD 200D 2764 200D 1F48B 200D 1F9D1 1F3FB ; minimally-qualified # 🧑🏽‍❤‍💋‍🧑🏻 E13.1 kiss: person, person, medium skin tone, light skin tone</v>
      </c>
      <c r="C3447" t="str">
        <f t="shared" si="321"/>
        <v xml:space="preserve">1F9D1 1F3FD 200D 2764 200D 1F48B 200D 1F9D1 1F3FB </v>
      </c>
      <c r="D3447">
        <f t="shared" si="322"/>
        <v>50</v>
      </c>
      <c r="E3447" t="str">
        <f t="shared" si="318"/>
        <v xml:space="preserve"> 🧑🏽‍❤‍💋‍🧑🏻 E13.1 kiss: person, person, medium skin tone, light skin tone</v>
      </c>
      <c r="F3447" t="b">
        <f t="shared" si="323"/>
        <v>1</v>
      </c>
      <c r="G3447" t="str">
        <f t="shared" si="319"/>
        <v>1F9D1</v>
      </c>
      <c r="I3447">
        <f>HEX2DEC(Table1[[#This Row],[utf8]])</f>
        <v>129489</v>
      </c>
      <c r="J3447" t="str">
        <f>_xlfn.UNICHAR(HEX2DEC(Table1[[#This Row],[utf8]]))</f>
        <v>🧑</v>
      </c>
      <c r="K3447" s="3" t="str" cm="1">
        <f t="array" ref="K3447">"Case "&amp;wRandomLetter()&amp;wRandomLetter()&amp;I3447&amp;":    UniConst = ChrW(" &amp; I3447 &amp;")"</f>
        <v>Case Te129489:    UniConst = ChrW(129489)</v>
      </c>
    </row>
    <row r="3448" spans="1:11" hidden="1">
      <c r="A3448" t="s">
        <v>2692</v>
      </c>
      <c r="B3448" t="str">
        <f t="shared" si="320"/>
        <v>1F9D1 1F3FD 200D 2764 200D 1F48B 200D 1F9D1 1F3FC ; minimally-qualified # 🧑🏽‍❤‍💋‍🧑🏼 E13.1 kiss: person, person, medium skin tone, medium-light skin tone</v>
      </c>
      <c r="C3448" t="str">
        <f t="shared" si="321"/>
        <v xml:space="preserve">1F9D1 1F3FD 200D 2764 200D 1F48B 200D 1F9D1 1F3FC </v>
      </c>
      <c r="D3448">
        <f t="shared" si="322"/>
        <v>50</v>
      </c>
      <c r="E3448" t="str">
        <f t="shared" si="318"/>
        <v xml:space="preserve"> 🧑🏽‍❤‍💋‍🧑🏼 E13.1 kiss: person, person, medium skin tone, medium-light skin tone</v>
      </c>
      <c r="F3448" t="b">
        <f t="shared" si="323"/>
        <v>1</v>
      </c>
      <c r="G3448" t="str">
        <f t="shared" si="319"/>
        <v>1F9D1</v>
      </c>
      <c r="I3448">
        <f>HEX2DEC(Table1[[#This Row],[utf8]])</f>
        <v>129489</v>
      </c>
      <c r="J3448" t="str">
        <f>_xlfn.UNICHAR(HEX2DEC(Table1[[#This Row],[utf8]]))</f>
        <v>🧑</v>
      </c>
      <c r="K3448" s="3" t="str" cm="1">
        <f t="array" ref="K3448">"Case "&amp;wRandomLetter()&amp;wRandomLetter()&amp;I3448&amp;":    UniConst = ChrW(" &amp; I3448 &amp;")"</f>
        <v>Case Zp129489:    UniConst = ChrW(129489)</v>
      </c>
    </row>
    <row r="3449" spans="1:11" hidden="1">
      <c r="A3449" t="s">
        <v>2694</v>
      </c>
      <c r="B3449" t="str">
        <f t="shared" si="320"/>
        <v>1F9D1 1F3FD 200D 2764 200D 1F48B 200D 1F9D1 1F3FE ; minimally-qualified # 🧑🏽‍❤‍💋‍🧑🏾 E13.1 kiss: person, person, medium skin tone, medium-dark skin tone</v>
      </c>
      <c r="C3449" t="str">
        <f t="shared" si="321"/>
        <v xml:space="preserve">1F9D1 1F3FD 200D 2764 200D 1F48B 200D 1F9D1 1F3FE </v>
      </c>
      <c r="D3449">
        <f t="shared" si="322"/>
        <v>50</v>
      </c>
      <c r="E3449" t="str">
        <f t="shared" si="318"/>
        <v xml:space="preserve"> 🧑🏽‍❤‍💋‍🧑🏾 E13.1 kiss: person, person, medium skin tone, medium-dark skin tone</v>
      </c>
      <c r="F3449" t="b">
        <f t="shared" si="323"/>
        <v>1</v>
      </c>
      <c r="G3449" t="str">
        <f t="shared" si="319"/>
        <v>1F9D1</v>
      </c>
      <c r="I3449">
        <f>HEX2DEC(Table1[[#This Row],[utf8]])</f>
        <v>129489</v>
      </c>
      <c r="J3449" t="str">
        <f>_xlfn.UNICHAR(HEX2DEC(Table1[[#This Row],[utf8]]))</f>
        <v>🧑</v>
      </c>
      <c r="K3449" s="3" t="str" cm="1">
        <f t="array" ref="K3449">"Case "&amp;wRandomLetter()&amp;wRandomLetter()&amp;I3449&amp;":    UniConst = ChrW(" &amp; I3449 &amp;")"</f>
        <v>Case Oy129489:    UniConst = ChrW(129489)</v>
      </c>
    </row>
    <row r="3450" spans="1:11" hidden="1">
      <c r="A3450" t="s">
        <v>2696</v>
      </c>
      <c r="B3450" t="str">
        <f t="shared" si="320"/>
        <v>1F9D1 1F3FD 200D 2764 200D 1F48B 200D 1F9D1 1F3FF ; minimally-qualified # 🧑🏽‍❤‍💋‍🧑🏿 E13.1 kiss: person, person, medium skin tone, dark skin tone</v>
      </c>
      <c r="C3450" t="str">
        <f t="shared" si="321"/>
        <v xml:space="preserve">1F9D1 1F3FD 200D 2764 200D 1F48B 200D 1F9D1 1F3FF </v>
      </c>
      <c r="D3450">
        <f t="shared" si="322"/>
        <v>50</v>
      </c>
      <c r="E3450" t="str">
        <f t="shared" si="318"/>
        <v xml:space="preserve"> 🧑🏽‍❤‍💋‍🧑🏿 E13.1 kiss: person, person, medium skin tone, dark skin tone</v>
      </c>
      <c r="F3450" t="b">
        <f t="shared" si="323"/>
        <v>1</v>
      </c>
      <c r="G3450" t="str">
        <f t="shared" si="319"/>
        <v>1F9D1</v>
      </c>
      <c r="I3450">
        <f>HEX2DEC(Table1[[#This Row],[utf8]])</f>
        <v>129489</v>
      </c>
      <c r="J3450" t="str">
        <f>_xlfn.UNICHAR(HEX2DEC(Table1[[#This Row],[utf8]]))</f>
        <v>🧑</v>
      </c>
      <c r="K3450" s="3" t="str" cm="1">
        <f t="array" ref="K3450">"Case "&amp;wRandomLetter()&amp;wRandomLetter()&amp;I3450&amp;":    UniConst = ChrW(" &amp; I3450 &amp;")"</f>
        <v>Case Dw129489:    UniConst = ChrW(129489)</v>
      </c>
    </row>
    <row r="3451" spans="1:11" hidden="1">
      <c r="A3451" t="s">
        <v>2892</v>
      </c>
      <c r="B3451" t="str">
        <f t="shared" si="320"/>
        <v>1F9D1 1F3FD 200D 2764 200D 1F9D1 1F3FB ; minimally-qualified # 🧑🏽‍❤‍🧑🏻 E13.1 couple with heart: person, person, medium skin tone, light skin tone</v>
      </c>
      <c r="C3451" t="str">
        <f t="shared" si="321"/>
        <v xml:space="preserve">1F9D1 1F3FD 200D 2764 200D 1F9D1 1F3FB </v>
      </c>
      <c r="D3451">
        <f t="shared" si="322"/>
        <v>39</v>
      </c>
      <c r="E3451" t="str">
        <f t="shared" si="318"/>
        <v xml:space="preserve"> 🧑🏽‍❤‍🧑🏻 E13.1 couple with heart: person, person, medium skin tone, light skin tone</v>
      </c>
      <c r="F3451" t="b">
        <f t="shared" si="323"/>
        <v>1</v>
      </c>
      <c r="G3451" t="str">
        <f t="shared" si="319"/>
        <v>1F9D1</v>
      </c>
      <c r="I3451">
        <f>HEX2DEC(Table1[[#This Row],[utf8]])</f>
        <v>129489</v>
      </c>
      <c r="J3451" t="str">
        <f>_xlfn.UNICHAR(HEX2DEC(Table1[[#This Row],[utf8]]))</f>
        <v>🧑</v>
      </c>
      <c r="K3451" s="3" t="str" cm="1">
        <f t="array" ref="K3451">"Case "&amp;wRandomLetter()&amp;wRandomLetter()&amp;I3451&amp;":    UniConst = ChrW(" &amp; I3451 &amp;")"</f>
        <v>Case Jm129489:    UniConst = ChrW(129489)</v>
      </c>
    </row>
    <row r="3452" spans="1:11" hidden="1">
      <c r="A3452" t="s">
        <v>2894</v>
      </c>
      <c r="B3452" t="str">
        <f t="shared" si="320"/>
        <v>1F9D1 1F3FD 200D 2764 200D 1F9D1 1F3FC ; minimally-qualified # 🧑🏽‍❤‍🧑🏼 E13.1 couple with heart: person, person, medium skin tone, medium-light skin tone</v>
      </c>
      <c r="C3452" t="str">
        <f t="shared" si="321"/>
        <v xml:space="preserve">1F9D1 1F3FD 200D 2764 200D 1F9D1 1F3FC </v>
      </c>
      <c r="D3452">
        <f t="shared" si="322"/>
        <v>39</v>
      </c>
      <c r="E3452" t="str">
        <f t="shared" si="318"/>
        <v xml:space="preserve"> 🧑🏽‍❤‍🧑🏼 E13.1 couple with heart: person, person, medium skin tone, medium-light skin tone</v>
      </c>
      <c r="F3452" t="b">
        <f t="shared" si="323"/>
        <v>1</v>
      </c>
      <c r="G3452" t="str">
        <f t="shared" si="319"/>
        <v>1F9D1</v>
      </c>
      <c r="I3452">
        <f>HEX2DEC(Table1[[#This Row],[utf8]])</f>
        <v>129489</v>
      </c>
      <c r="J3452" t="str">
        <f>_xlfn.UNICHAR(HEX2DEC(Table1[[#This Row],[utf8]]))</f>
        <v>🧑</v>
      </c>
      <c r="K3452" s="3" t="str" cm="1">
        <f t="array" ref="K3452">"Case "&amp;wRandomLetter()&amp;wRandomLetter()&amp;I3452&amp;":    UniConst = ChrW(" &amp; I3452 &amp;")"</f>
        <v>Case Jd129489:    UniConst = ChrW(129489)</v>
      </c>
    </row>
    <row r="3453" spans="1:11" hidden="1">
      <c r="A3453" t="s">
        <v>2896</v>
      </c>
      <c r="B3453" t="str">
        <f t="shared" si="320"/>
        <v>1F9D1 1F3FD 200D 2764 200D 1F9D1 1F3FE ; minimally-qualified # 🧑🏽‍❤‍🧑🏾 E13.1 couple with heart: person, person, medium skin tone, medium-dark skin tone</v>
      </c>
      <c r="C3453" t="str">
        <f t="shared" si="321"/>
        <v xml:space="preserve">1F9D1 1F3FD 200D 2764 200D 1F9D1 1F3FE </v>
      </c>
      <c r="D3453">
        <f t="shared" si="322"/>
        <v>39</v>
      </c>
      <c r="E3453" t="str">
        <f t="shared" si="318"/>
        <v xml:space="preserve"> 🧑🏽‍❤‍🧑🏾 E13.1 couple with heart: person, person, medium skin tone, medium-dark skin tone</v>
      </c>
      <c r="F3453" t="b">
        <f t="shared" si="323"/>
        <v>1</v>
      </c>
      <c r="G3453" t="str">
        <f t="shared" si="319"/>
        <v>1F9D1</v>
      </c>
      <c r="I3453">
        <f>HEX2DEC(Table1[[#This Row],[utf8]])</f>
        <v>129489</v>
      </c>
      <c r="J3453" t="str">
        <f>_xlfn.UNICHAR(HEX2DEC(Table1[[#This Row],[utf8]]))</f>
        <v>🧑</v>
      </c>
      <c r="K3453" s="3" t="str" cm="1">
        <f t="array" ref="K3453">"Case "&amp;wRandomLetter()&amp;wRandomLetter()&amp;I3453&amp;":    UniConst = ChrW(" &amp; I3453 &amp;")"</f>
        <v>Case YD129489:    UniConst = ChrW(129489)</v>
      </c>
    </row>
    <row r="3454" spans="1:11" hidden="1">
      <c r="A3454" t="s">
        <v>2898</v>
      </c>
      <c r="B3454" t="str">
        <f t="shared" si="320"/>
        <v>1F9D1 1F3FD 200D 2764 200D 1F9D1 1F3FF ; minimally-qualified # 🧑🏽‍❤‍🧑🏿 E13.1 couple with heart: person, person, medium skin tone, dark skin tone</v>
      </c>
      <c r="C3454" t="str">
        <f t="shared" si="321"/>
        <v xml:space="preserve">1F9D1 1F3FD 200D 2764 200D 1F9D1 1F3FF </v>
      </c>
      <c r="D3454">
        <f t="shared" si="322"/>
        <v>39</v>
      </c>
      <c r="E3454" t="str">
        <f t="shared" si="318"/>
        <v xml:space="preserve"> 🧑🏽‍❤‍🧑🏿 E13.1 couple with heart: person, person, medium skin tone, dark skin tone</v>
      </c>
      <c r="F3454" t="b">
        <f t="shared" si="323"/>
        <v>1</v>
      </c>
      <c r="G3454" t="str">
        <f t="shared" si="319"/>
        <v>1F9D1</v>
      </c>
      <c r="I3454">
        <f>HEX2DEC(Table1[[#This Row],[utf8]])</f>
        <v>129489</v>
      </c>
      <c r="J3454" t="str">
        <f>_xlfn.UNICHAR(HEX2DEC(Table1[[#This Row],[utf8]]))</f>
        <v>🧑</v>
      </c>
      <c r="K3454" s="3" t="str" cm="1">
        <f t="array" ref="K3454">"Case "&amp;wRandomLetter()&amp;wRandomLetter()&amp;I3454&amp;":    UniConst = ChrW(" &amp; I3454 &amp;")"</f>
        <v>Case xx129489:    UniConst = ChrW(129489)</v>
      </c>
    </row>
    <row r="3455" spans="1:11" hidden="1">
      <c r="A3455" t="s">
        <v>2689</v>
      </c>
      <c r="B3455" t="str">
        <f t="shared" si="320"/>
        <v>1F9D1 1F3FD 200D 2764 FE0F 200D 1F48B 200D 1F9D1 1F3FB ; fully-qualified # 🧑🏽‍❤️‍💋‍🧑🏻 E13.1 kiss: person, person, medium skin tone, light skin tone</v>
      </c>
      <c r="C3455" t="str">
        <f t="shared" si="321"/>
        <v xml:space="preserve">1F9D1 1F3FD 200D 2764 FE0F 200D 1F48B 200D 1F9D1 1F3FB </v>
      </c>
      <c r="D3455">
        <f t="shared" si="322"/>
        <v>55</v>
      </c>
      <c r="E3455" t="str">
        <f t="shared" si="318"/>
        <v xml:space="preserve"> 🧑🏽‍❤️‍💋‍🧑🏻 E13.1 kiss: person, person, medium skin tone, light skin tone</v>
      </c>
      <c r="F3455" t="b">
        <f t="shared" si="323"/>
        <v>1</v>
      </c>
      <c r="G3455" t="str">
        <f t="shared" si="319"/>
        <v>1F9D1</v>
      </c>
      <c r="I3455">
        <f>HEX2DEC(Table1[[#This Row],[utf8]])</f>
        <v>129489</v>
      </c>
      <c r="J3455" t="str">
        <f>_xlfn.UNICHAR(HEX2DEC(Table1[[#This Row],[utf8]]))</f>
        <v>🧑</v>
      </c>
      <c r="K3455" s="3" t="str" cm="1">
        <f t="array" ref="K3455">"Case "&amp;wRandomLetter()&amp;wRandomLetter()&amp;I3455&amp;":    UniConst = ChrW(" &amp; I3455 &amp;")"</f>
        <v>Case vB129489:    UniConst = ChrW(129489)</v>
      </c>
    </row>
    <row r="3456" spans="1:11" hidden="1">
      <c r="A3456" t="s">
        <v>2691</v>
      </c>
      <c r="B3456" t="str">
        <f t="shared" si="320"/>
        <v>1F9D1 1F3FD 200D 2764 FE0F 200D 1F48B 200D 1F9D1 1F3FC ; fully-qualified # 🧑🏽‍❤️‍💋‍🧑🏼 E13.1 kiss: person, person, medium skin tone, medium-light skin tone</v>
      </c>
      <c r="C3456" t="str">
        <f t="shared" si="321"/>
        <v xml:space="preserve">1F9D1 1F3FD 200D 2764 FE0F 200D 1F48B 200D 1F9D1 1F3FC </v>
      </c>
      <c r="D3456">
        <f t="shared" si="322"/>
        <v>55</v>
      </c>
      <c r="E3456" t="str">
        <f t="shared" si="318"/>
        <v xml:space="preserve"> 🧑🏽‍❤️‍💋‍🧑🏼 E13.1 kiss: person, person, medium skin tone, medium-light skin tone</v>
      </c>
      <c r="F3456" t="b">
        <f t="shared" si="323"/>
        <v>1</v>
      </c>
      <c r="G3456" t="str">
        <f t="shared" si="319"/>
        <v>1F9D1</v>
      </c>
      <c r="I3456">
        <f>HEX2DEC(Table1[[#This Row],[utf8]])</f>
        <v>129489</v>
      </c>
      <c r="J3456" t="str">
        <f>_xlfn.UNICHAR(HEX2DEC(Table1[[#This Row],[utf8]]))</f>
        <v>🧑</v>
      </c>
      <c r="K3456" s="3" t="str" cm="1">
        <f t="array" ref="K3456">"Case "&amp;wRandomLetter()&amp;wRandomLetter()&amp;I3456&amp;":    UniConst = ChrW(" &amp; I3456 &amp;")"</f>
        <v>Case sw129489:    UniConst = ChrW(129489)</v>
      </c>
    </row>
    <row r="3457" spans="1:11" hidden="1">
      <c r="A3457" t="s">
        <v>2693</v>
      </c>
      <c r="B3457" t="str">
        <f t="shared" si="320"/>
        <v>1F9D1 1F3FD 200D 2764 FE0F 200D 1F48B 200D 1F9D1 1F3FE ; fully-qualified # 🧑🏽‍❤️‍💋‍🧑🏾 E13.1 kiss: person, person, medium skin tone, medium-dark skin tone</v>
      </c>
      <c r="C3457" t="str">
        <f t="shared" si="321"/>
        <v xml:space="preserve">1F9D1 1F3FD 200D 2764 FE0F 200D 1F48B 200D 1F9D1 1F3FE </v>
      </c>
      <c r="D3457">
        <f t="shared" si="322"/>
        <v>55</v>
      </c>
      <c r="E3457" t="str">
        <f t="shared" si="318"/>
        <v xml:space="preserve"> 🧑🏽‍❤️‍💋‍🧑🏾 E13.1 kiss: person, person, medium skin tone, medium-dark skin tone</v>
      </c>
      <c r="F3457" t="b">
        <f t="shared" si="323"/>
        <v>1</v>
      </c>
      <c r="G3457" t="str">
        <f t="shared" si="319"/>
        <v>1F9D1</v>
      </c>
      <c r="I3457">
        <f>HEX2DEC(Table1[[#This Row],[utf8]])</f>
        <v>129489</v>
      </c>
      <c r="J3457" t="str">
        <f>_xlfn.UNICHAR(HEX2DEC(Table1[[#This Row],[utf8]]))</f>
        <v>🧑</v>
      </c>
      <c r="K3457" s="3" t="str" cm="1">
        <f t="array" ref="K3457">"Case "&amp;wRandomLetter()&amp;wRandomLetter()&amp;I3457&amp;":    UniConst = ChrW(" &amp; I3457 &amp;")"</f>
        <v>Case vF129489:    UniConst = ChrW(129489)</v>
      </c>
    </row>
    <row r="3458" spans="1:11" hidden="1">
      <c r="A3458" t="s">
        <v>2695</v>
      </c>
      <c r="B3458" t="str">
        <f t="shared" si="320"/>
        <v>1F9D1 1F3FD 200D 2764 FE0F 200D 1F48B 200D 1F9D1 1F3FF ; fully-qualified # 🧑🏽‍❤️‍💋‍🧑🏿 E13.1 kiss: person, person, medium skin tone, dark skin tone</v>
      </c>
      <c r="C3458" t="str">
        <f t="shared" si="321"/>
        <v xml:space="preserve">1F9D1 1F3FD 200D 2764 FE0F 200D 1F48B 200D 1F9D1 1F3FF </v>
      </c>
      <c r="D3458">
        <f t="shared" si="322"/>
        <v>55</v>
      </c>
      <c r="E3458" t="str">
        <f t="shared" ref="E3458:E3521" si="324">MID(A3458,FIND("#",A3458)+1,256)</f>
        <v xml:space="preserve"> 🧑🏽‍❤️‍💋‍🧑🏿 E13.1 kiss: person, person, medium skin tone, dark skin tone</v>
      </c>
      <c r="F3458" t="b">
        <f t="shared" si="323"/>
        <v>1</v>
      </c>
      <c r="G3458" t="str">
        <f t="shared" ref="G3458:G3521" si="325">LEFT(C3458,(FIND(" ",C3458,1)-1))</f>
        <v>1F9D1</v>
      </c>
      <c r="I3458">
        <f>HEX2DEC(Table1[[#This Row],[utf8]])</f>
        <v>129489</v>
      </c>
      <c r="J3458" t="str">
        <f>_xlfn.UNICHAR(HEX2DEC(Table1[[#This Row],[utf8]]))</f>
        <v>🧑</v>
      </c>
      <c r="K3458" s="3" t="str" cm="1">
        <f t="array" ref="K3458">"Case "&amp;wRandomLetter()&amp;wRandomLetter()&amp;I3458&amp;":    UniConst = ChrW(" &amp; I3458 &amp;")"</f>
        <v>Case tK129489:    UniConst = ChrW(129489)</v>
      </c>
    </row>
    <row r="3459" spans="1:11" hidden="1">
      <c r="A3459" t="s">
        <v>2891</v>
      </c>
      <c r="B3459" t="str">
        <f t="shared" ref="B3459:B3522" si="326">TRIM(A3459)</f>
        <v>1F9D1 1F3FD 200D 2764 FE0F 200D 1F9D1 1F3FB ; fully-qualified # 🧑🏽‍❤️‍🧑🏻 E13.1 couple with heart: person, person, medium skin tone, light skin tone</v>
      </c>
      <c r="C3459" t="str">
        <f t="shared" ref="C3459:C3522" si="327">LEFT(B3459,(FIND(";",B3459,1)-1))</f>
        <v xml:space="preserve">1F9D1 1F3FD 200D 2764 FE0F 200D 1F9D1 1F3FB </v>
      </c>
      <c r="D3459">
        <f t="shared" ref="D3459:D3522" si="328">LEN(C3459)</f>
        <v>44</v>
      </c>
      <c r="E3459" t="str">
        <f t="shared" si="324"/>
        <v xml:space="preserve"> 🧑🏽‍❤️‍🧑🏻 E13.1 couple with heart: person, person, medium skin tone, light skin tone</v>
      </c>
      <c r="F3459" t="b">
        <f t="shared" ref="F3459:F3522" si="329">IF(LEFT(C3459,2)="1F",TRUE,FALSE)</f>
        <v>1</v>
      </c>
      <c r="G3459" t="str">
        <f t="shared" si="325"/>
        <v>1F9D1</v>
      </c>
      <c r="I3459">
        <f>HEX2DEC(Table1[[#This Row],[utf8]])</f>
        <v>129489</v>
      </c>
      <c r="J3459" t="str">
        <f>_xlfn.UNICHAR(HEX2DEC(Table1[[#This Row],[utf8]]))</f>
        <v>🧑</v>
      </c>
      <c r="K3459" s="3" t="str" cm="1">
        <f t="array" ref="K3459">"Case "&amp;wRandomLetter()&amp;wRandomLetter()&amp;I3459&amp;":    UniConst = ChrW(" &amp; I3459 &amp;")"</f>
        <v>Case ba129489:    UniConst = ChrW(129489)</v>
      </c>
    </row>
    <row r="3460" spans="1:11" hidden="1">
      <c r="A3460" t="s">
        <v>2893</v>
      </c>
      <c r="B3460" t="str">
        <f t="shared" si="326"/>
        <v>1F9D1 1F3FD 200D 2764 FE0F 200D 1F9D1 1F3FC ; fully-qualified # 🧑🏽‍❤️‍🧑🏼 E13.1 couple with heart: person, person, medium skin tone, medium-light skin tone</v>
      </c>
      <c r="C3460" t="str">
        <f t="shared" si="327"/>
        <v xml:space="preserve">1F9D1 1F3FD 200D 2764 FE0F 200D 1F9D1 1F3FC </v>
      </c>
      <c r="D3460">
        <f t="shared" si="328"/>
        <v>44</v>
      </c>
      <c r="E3460" t="str">
        <f t="shared" si="324"/>
        <v xml:space="preserve"> 🧑🏽‍❤️‍🧑🏼 E13.1 couple with heart: person, person, medium skin tone, medium-light skin tone</v>
      </c>
      <c r="F3460" t="b">
        <f t="shared" si="329"/>
        <v>1</v>
      </c>
      <c r="G3460" t="str">
        <f t="shared" si="325"/>
        <v>1F9D1</v>
      </c>
      <c r="I3460">
        <f>HEX2DEC(Table1[[#This Row],[utf8]])</f>
        <v>129489</v>
      </c>
      <c r="J3460" t="str">
        <f>_xlfn.UNICHAR(HEX2DEC(Table1[[#This Row],[utf8]]))</f>
        <v>🧑</v>
      </c>
      <c r="K3460" s="3" t="str" cm="1">
        <f t="array" ref="K3460">"Case "&amp;wRandomLetter()&amp;wRandomLetter()&amp;I3460&amp;":    UniConst = ChrW(" &amp; I3460 &amp;")"</f>
        <v>Case PC129489:    UniConst = ChrW(129489)</v>
      </c>
    </row>
    <row r="3461" spans="1:11" hidden="1">
      <c r="A3461" t="s">
        <v>2895</v>
      </c>
      <c r="B3461" t="str">
        <f t="shared" si="326"/>
        <v>1F9D1 1F3FD 200D 2764 FE0F 200D 1F9D1 1F3FE ; fully-qualified # 🧑🏽‍❤️‍🧑🏾 E13.1 couple with heart: person, person, medium skin tone, medium-dark skin tone</v>
      </c>
      <c r="C3461" t="str">
        <f t="shared" si="327"/>
        <v xml:space="preserve">1F9D1 1F3FD 200D 2764 FE0F 200D 1F9D1 1F3FE </v>
      </c>
      <c r="D3461">
        <f t="shared" si="328"/>
        <v>44</v>
      </c>
      <c r="E3461" t="str">
        <f t="shared" si="324"/>
        <v xml:space="preserve"> 🧑🏽‍❤️‍🧑🏾 E13.1 couple with heart: person, person, medium skin tone, medium-dark skin tone</v>
      </c>
      <c r="F3461" t="b">
        <f t="shared" si="329"/>
        <v>1</v>
      </c>
      <c r="G3461" t="str">
        <f t="shared" si="325"/>
        <v>1F9D1</v>
      </c>
      <c r="I3461">
        <f>HEX2DEC(Table1[[#This Row],[utf8]])</f>
        <v>129489</v>
      </c>
      <c r="J3461" t="str">
        <f>_xlfn.UNICHAR(HEX2DEC(Table1[[#This Row],[utf8]]))</f>
        <v>🧑</v>
      </c>
      <c r="K3461" s="3" t="str" cm="1">
        <f t="array" ref="K3461">"Case "&amp;wRandomLetter()&amp;wRandomLetter()&amp;I3461&amp;":    UniConst = ChrW(" &amp; I3461 &amp;")"</f>
        <v>Case YB129489:    UniConst = ChrW(129489)</v>
      </c>
    </row>
    <row r="3462" spans="1:11" hidden="1">
      <c r="A3462" t="s">
        <v>2897</v>
      </c>
      <c r="B3462" t="str">
        <f t="shared" si="326"/>
        <v>1F9D1 1F3FD 200D 2764 FE0F 200D 1F9D1 1F3FF ; fully-qualified # 🧑🏽‍❤️‍🧑🏿 E13.1 couple with heart: person, person, medium skin tone, dark skin tone</v>
      </c>
      <c r="C3462" t="str">
        <f t="shared" si="327"/>
        <v xml:space="preserve">1F9D1 1F3FD 200D 2764 FE0F 200D 1F9D1 1F3FF </v>
      </c>
      <c r="D3462">
        <f t="shared" si="328"/>
        <v>44</v>
      </c>
      <c r="E3462" t="str">
        <f t="shared" si="324"/>
        <v xml:space="preserve"> 🧑🏽‍❤️‍🧑🏿 E13.1 couple with heart: person, person, medium skin tone, dark skin tone</v>
      </c>
      <c r="F3462" t="b">
        <f t="shared" si="329"/>
        <v>1</v>
      </c>
      <c r="G3462" t="str">
        <f t="shared" si="325"/>
        <v>1F9D1</v>
      </c>
      <c r="I3462">
        <f>HEX2DEC(Table1[[#This Row],[utf8]])</f>
        <v>129489</v>
      </c>
      <c r="J3462" t="str">
        <f>_xlfn.UNICHAR(HEX2DEC(Table1[[#This Row],[utf8]]))</f>
        <v>🧑</v>
      </c>
      <c r="K3462" s="3" t="str" cm="1">
        <f t="array" ref="K3462">"Case "&amp;wRandomLetter()&amp;wRandomLetter()&amp;I3462&amp;":    UniConst = ChrW(" &amp; I3462 &amp;")"</f>
        <v>Case Ve129489:    UniConst = ChrW(129489)</v>
      </c>
    </row>
    <row r="3463" spans="1:11" hidden="1">
      <c r="A3463" t="s">
        <v>476</v>
      </c>
      <c r="B3463" t="str">
        <f t="shared" si="326"/>
        <v>1F9D1 1F3FE ; fully-qualified # 🧑🏾 E5.0 person: medium-dark skin tone</v>
      </c>
      <c r="C3463" t="str">
        <f t="shared" si="327"/>
        <v xml:space="preserve">1F9D1 1F3FE </v>
      </c>
      <c r="D3463">
        <f t="shared" si="328"/>
        <v>12</v>
      </c>
      <c r="E3463" t="str">
        <f t="shared" si="324"/>
        <v xml:space="preserve"> 🧑🏾 E5.0 person: medium-dark skin tone</v>
      </c>
      <c r="F3463" t="b">
        <f t="shared" si="329"/>
        <v>1</v>
      </c>
      <c r="G3463" t="str">
        <f t="shared" si="325"/>
        <v>1F9D1</v>
      </c>
      <c r="I3463">
        <f>HEX2DEC(Table1[[#This Row],[utf8]])</f>
        <v>129489</v>
      </c>
      <c r="J3463" t="str">
        <f>_xlfn.UNICHAR(HEX2DEC(Table1[[#This Row],[utf8]]))</f>
        <v>🧑</v>
      </c>
      <c r="K3463" s="3" t="str" cm="1">
        <f t="array" ref="K3463">"Case "&amp;wRandomLetter()&amp;wRandomLetter()&amp;I3463&amp;":    UniConst = ChrW(" &amp; I3463 &amp;")"</f>
        <v>Case mQ129489:    UniConst = ChrW(129489)</v>
      </c>
    </row>
    <row r="3464" spans="1:11" hidden="1">
      <c r="A3464" t="s">
        <v>1054</v>
      </c>
      <c r="B3464" t="str">
        <f t="shared" si="326"/>
        <v>1F9D1 1F3FE 200D 1F33E ; fully-qualified # 🧑🏾‍🌾 E12.1 farmer: medium-dark skin tone</v>
      </c>
      <c r="C3464" t="str">
        <f t="shared" si="327"/>
        <v xml:space="preserve">1F9D1 1F3FE 200D 1F33E </v>
      </c>
      <c r="D3464">
        <f t="shared" si="328"/>
        <v>23</v>
      </c>
      <c r="E3464" t="str">
        <f t="shared" si="324"/>
        <v xml:space="preserve"> 🧑🏾‍🌾 E12.1 farmer: medium-dark skin tone</v>
      </c>
      <c r="F3464" t="b">
        <f t="shared" si="329"/>
        <v>1</v>
      </c>
      <c r="G3464" t="str">
        <f t="shared" si="325"/>
        <v>1F9D1</v>
      </c>
      <c r="I3464">
        <f>HEX2DEC(Table1[[#This Row],[utf8]])</f>
        <v>129489</v>
      </c>
      <c r="J3464" t="str">
        <f>_xlfn.UNICHAR(HEX2DEC(Table1[[#This Row],[utf8]]))</f>
        <v>🧑</v>
      </c>
      <c r="K3464" s="3" t="str" cm="1">
        <f t="array" ref="K3464">"Case "&amp;wRandomLetter()&amp;wRandomLetter()&amp;I3464&amp;":    UniConst = ChrW(" &amp; I3464 &amp;")"</f>
        <v>Case NW129489:    UniConst = ChrW(129489)</v>
      </c>
    </row>
    <row r="3465" spans="1:11" hidden="1">
      <c r="A3465" t="s">
        <v>1072</v>
      </c>
      <c r="B3465" t="str">
        <f t="shared" si="326"/>
        <v>1F9D1 1F3FE 200D 1F373 ; fully-qualified # 🧑🏾‍🍳 E12.1 cook: medium-dark skin tone</v>
      </c>
      <c r="C3465" t="str">
        <f t="shared" si="327"/>
        <v xml:space="preserve">1F9D1 1F3FE 200D 1F373 </v>
      </c>
      <c r="D3465">
        <f t="shared" si="328"/>
        <v>23</v>
      </c>
      <c r="E3465" t="str">
        <f t="shared" si="324"/>
        <v xml:space="preserve"> 🧑🏾‍🍳 E12.1 cook: medium-dark skin tone</v>
      </c>
      <c r="F3465" t="b">
        <f t="shared" si="329"/>
        <v>1</v>
      </c>
      <c r="G3465" t="str">
        <f t="shared" si="325"/>
        <v>1F9D1</v>
      </c>
      <c r="I3465">
        <f>HEX2DEC(Table1[[#This Row],[utf8]])</f>
        <v>129489</v>
      </c>
      <c r="J3465" t="str">
        <f>_xlfn.UNICHAR(HEX2DEC(Table1[[#This Row],[utf8]]))</f>
        <v>🧑</v>
      </c>
      <c r="K3465" s="3" t="str" cm="1">
        <f t="array" ref="K3465">"Case "&amp;wRandomLetter()&amp;wRandomLetter()&amp;I3465&amp;":    UniConst = ChrW(" &amp; I3465 &amp;")"</f>
        <v>Case vD129489:    UniConst = ChrW(129489)</v>
      </c>
    </row>
    <row r="3466" spans="1:11" hidden="1">
      <c r="A3466" t="s">
        <v>1557</v>
      </c>
      <c r="B3466" t="str">
        <f t="shared" si="326"/>
        <v>1F9D1 1F3FE 200D 1F37C ; fully-qualified # 🧑🏾‍🍼 E13.0 person feeding baby: medium-dark skin tone</v>
      </c>
      <c r="C3466" t="str">
        <f t="shared" si="327"/>
        <v xml:space="preserve">1F9D1 1F3FE 200D 1F37C </v>
      </c>
      <c r="D3466">
        <f t="shared" si="328"/>
        <v>23</v>
      </c>
      <c r="E3466" t="str">
        <f t="shared" si="324"/>
        <v xml:space="preserve"> 🧑🏾‍🍼 E13.0 person feeding baby: medium-dark skin tone</v>
      </c>
      <c r="F3466" t="b">
        <f t="shared" si="329"/>
        <v>1</v>
      </c>
      <c r="G3466" t="str">
        <f t="shared" si="325"/>
        <v>1F9D1</v>
      </c>
      <c r="I3466">
        <f>HEX2DEC(Table1[[#This Row],[utf8]])</f>
        <v>129489</v>
      </c>
      <c r="J3466" t="str">
        <f>_xlfn.UNICHAR(HEX2DEC(Table1[[#This Row],[utf8]]))</f>
        <v>🧑</v>
      </c>
      <c r="K3466" s="3" t="str" cm="1">
        <f t="array" ref="K3466">"Case "&amp;wRandomLetter()&amp;wRandomLetter()&amp;I3466&amp;":    UniConst = ChrW(" &amp; I3466 &amp;")"</f>
        <v>Case LR129489:    UniConst = ChrW(129489)</v>
      </c>
    </row>
    <row r="3467" spans="1:11" hidden="1">
      <c r="A3467" t="s">
        <v>1582</v>
      </c>
      <c r="B3467" t="str">
        <f t="shared" si="326"/>
        <v>1F9D1 1F3FE 200D 1F384 ; fully-qualified # 🧑🏾‍🎄 E13.0 mx claus: medium-dark skin tone</v>
      </c>
      <c r="C3467" t="str">
        <f t="shared" si="327"/>
        <v xml:space="preserve">1F9D1 1F3FE 200D 1F384 </v>
      </c>
      <c r="D3467">
        <f t="shared" si="328"/>
        <v>23</v>
      </c>
      <c r="E3467" t="str">
        <f t="shared" si="324"/>
        <v xml:space="preserve"> 🧑🏾‍🎄 E13.0 mx claus: medium-dark skin tone</v>
      </c>
      <c r="F3467" t="b">
        <f t="shared" si="329"/>
        <v>1</v>
      </c>
      <c r="G3467" t="str">
        <f t="shared" si="325"/>
        <v>1F9D1</v>
      </c>
      <c r="I3467">
        <f>HEX2DEC(Table1[[#This Row],[utf8]])</f>
        <v>129489</v>
      </c>
      <c r="J3467" t="str">
        <f>_xlfn.UNICHAR(HEX2DEC(Table1[[#This Row],[utf8]]))</f>
        <v>🧑</v>
      </c>
      <c r="K3467" s="3" t="str" cm="1">
        <f t="array" ref="K3467">"Case "&amp;wRandomLetter()&amp;wRandomLetter()&amp;I3467&amp;":    UniConst = ChrW(" &amp; I3467 &amp;")"</f>
        <v>Case tX129489:    UniConst = ChrW(129489)</v>
      </c>
    </row>
    <row r="3468" spans="1:11" hidden="1">
      <c r="A3468" t="s">
        <v>982</v>
      </c>
      <c r="B3468" t="str">
        <f t="shared" si="326"/>
        <v>1F9D1 1F3FE 200D 1F393 ; fully-qualified # 🧑🏾‍🎓 E12.1 student: medium-dark skin tone</v>
      </c>
      <c r="C3468" t="str">
        <f t="shared" si="327"/>
        <v xml:space="preserve">1F9D1 1F3FE 200D 1F393 </v>
      </c>
      <c r="D3468">
        <f t="shared" si="328"/>
        <v>23</v>
      </c>
      <c r="E3468" t="str">
        <f t="shared" si="324"/>
        <v xml:space="preserve"> 🧑🏾‍🎓 E12.1 student: medium-dark skin tone</v>
      </c>
      <c r="F3468" t="b">
        <f t="shared" si="329"/>
        <v>1</v>
      </c>
      <c r="G3468" t="str">
        <f t="shared" si="325"/>
        <v>1F9D1</v>
      </c>
      <c r="I3468">
        <f>HEX2DEC(Table1[[#This Row],[utf8]])</f>
        <v>129489</v>
      </c>
      <c r="J3468" t="str">
        <f>_xlfn.UNICHAR(HEX2DEC(Table1[[#This Row],[utf8]]))</f>
        <v>🧑</v>
      </c>
      <c r="K3468" s="3" t="str" cm="1">
        <f t="array" ref="K3468">"Case "&amp;wRandomLetter()&amp;wRandomLetter()&amp;I3468&amp;":    UniConst = ChrW(" &amp; I3468 &amp;")"</f>
        <v>Case vG129489:    UniConst = ChrW(129489)</v>
      </c>
    </row>
    <row r="3469" spans="1:11" hidden="1">
      <c r="A3469" t="s">
        <v>1180</v>
      </c>
      <c r="B3469" t="str">
        <f t="shared" si="326"/>
        <v>1F9D1 1F3FE 200D 1F3A4 ; fully-qualified # 🧑🏾‍🎤 E12.1 singer: medium-dark skin tone</v>
      </c>
      <c r="C3469" t="str">
        <f t="shared" si="327"/>
        <v xml:space="preserve">1F9D1 1F3FE 200D 1F3A4 </v>
      </c>
      <c r="D3469">
        <f t="shared" si="328"/>
        <v>23</v>
      </c>
      <c r="E3469" t="str">
        <f t="shared" si="324"/>
        <v xml:space="preserve"> 🧑🏾‍🎤 E12.1 singer: medium-dark skin tone</v>
      </c>
      <c r="F3469" t="b">
        <f t="shared" si="329"/>
        <v>1</v>
      </c>
      <c r="G3469" t="str">
        <f t="shared" si="325"/>
        <v>1F9D1</v>
      </c>
      <c r="I3469">
        <f>HEX2DEC(Table1[[#This Row],[utf8]])</f>
        <v>129489</v>
      </c>
      <c r="J3469" t="str">
        <f>_xlfn.UNICHAR(HEX2DEC(Table1[[#This Row],[utf8]]))</f>
        <v>🧑</v>
      </c>
      <c r="K3469" s="3" t="str" cm="1">
        <f t="array" ref="K3469">"Case "&amp;wRandomLetter()&amp;wRandomLetter()&amp;I3469&amp;":    UniConst = ChrW(" &amp; I3469 &amp;")"</f>
        <v>Case cg129489:    UniConst = ChrW(129489)</v>
      </c>
    </row>
    <row r="3470" spans="1:11" hidden="1">
      <c r="A3470" t="s">
        <v>1198</v>
      </c>
      <c r="B3470" t="str">
        <f t="shared" si="326"/>
        <v>1F9D1 1F3FE 200D 1F3A8 ; fully-qualified # 🧑🏾‍🎨 E12.1 artist: medium-dark skin tone</v>
      </c>
      <c r="C3470" t="str">
        <f t="shared" si="327"/>
        <v xml:space="preserve">1F9D1 1F3FE 200D 1F3A8 </v>
      </c>
      <c r="D3470">
        <f t="shared" si="328"/>
        <v>23</v>
      </c>
      <c r="E3470" t="str">
        <f t="shared" si="324"/>
        <v xml:space="preserve"> 🧑🏾‍🎨 E12.1 artist: medium-dark skin tone</v>
      </c>
      <c r="F3470" t="b">
        <f t="shared" si="329"/>
        <v>1</v>
      </c>
      <c r="G3470" t="str">
        <f t="shared" si="325"/>
        <v>1F9D1</v>
      </c>
      <c r="I3470">
        <f>HEX2DEC(Table1[[#This Row],[utf8]])</f>
        <v>129489</v>
      </c>
      <c r="J3470" t="str">
        <f>_xlfn.UNICHAR(HEX2DEC(Table1[[#This Row],[utf8]]))</f>
        <v>🧑</v>
      </c>
      <c r="K3470" s="3" t="str" cm="1">
        <f t="array" ref="K3470">"Case "&amp;wRandomLetter()&amp;wRandomLetter()&amp;I3470&amp;":    UniConst = ChrW(" &amp; I3470 &amp;")"</f>
        <v>Case uS129489:    UniConst = ChrW(129489)</v>
      </c>
    </row>
    <row r="3471" spans="1:11" hidden="1">
      <c r="A3471" t="s">
        <v>1000</v>
      </c>
      <c r="B3471" t="str">
        <f t="shared" si="326"/>
        <v>1F9D1 1F3FE 200D 1F3EB ; fully-qualified # 🧑🏾‍🏫 E12.1 teacher: medium-dark skin tone</v>
      </c>
      <c r="C3471" t="str">
        <f t="shared" si="327"/>
        <v xml:space="preserve">1F9D1 1F3FE 200D 1F3EB </v>
      </c>
      <c r="D3471">
        <f t="shared" si="328"/>
        <v>23</v>
      </c>
      <c r="E3471" t="str">
        <f t="shared" si="324"/>
        <v xml:space="preserve"> 🧑🏾‍🏫 E12.1 teacher: medium-dark skin tone</v>
      </c>
      <c r="F3471" t="b">
        <f t="shared" si="329"/>
        <v>1</v>
      </c>
      <c r="G3471" t="str">
        <f t="shared" si="325"/>
        <v>1F9D1</v>
      </c>
      <c r="I3471">
        <f>HEX2DEC(Table1[[#This Row],[utf8]])</f>
        <v>129489</v>
      </c>
      <c r="J3471" t="str">
        <f>_xlfn.UNICHAR(HEX2DEC(Table1[[#This Row],[utf8]]))</f>
        <v>🧑</v>
      </c>
      <c r="K3471" s="3" t="str" cm="1">
        <f t="array" ref="K3471">"Case "&amp;wRandomLetter()&amp;wRandomLetter()&amp;I3471&amp;":    UniConst = ChrW(" &amp; I3471 &amp;")"</f>
        <v>Case oT129489:    UniConst = ChrW(129489)</v>
      </c>
    </row>
    <row r="3472" spans="1:11" hidden="1">
      <c r="A3472" t="s">
        <v>1108</v>
      </c>
      <c r="B3472" t="str">
        <f t="shared" si="326"/>
        <v>1F9D1 1F3FE 200D 1F3ED ; fully-qualified # 🧑🏾‍🏭 E12.1 factory worker: medium-dark skin tone</v>
      </c>
      <c r="C3472" t="str">
        <f t="shared" si="327"/>
        <v xml:space="preserve">1F9D1 1F3FE 200D 1F3ED </v>
      </c>
      <c r="D3472">
        <f t="shared" si="328"/>
        <v>23</v>
      </c>
      <c r="E3472" t="str">
        <f t="shared" si="324"/>
        <v xml:space="preserve"> 🧑🏾‍🏭 E12.1 factory worker: medium-dark skin tone</v>
      </c>
      <c r="F3472" t="b">
        <f t="shared" si="329"/>
        <v>1</v>
      </c>
      <c r="G3472" t="str">
        <f t="shared" si="325"/>
        <v>1F9D1</v>
      </c>
      <c r="I3472">
        <f>HEX2DEC(Table1[[#This Row],[utf8]])</f>
        <v>129489</v>
      </c>
      <c r="J3472" t="str">
        <f>_xlfn.UNICHAR(HEX2DEC(Table1[[#This Row],[utf8]]))</f>
        <v>🧑</v>
      </c>
      <c r="K3472" s="3" t="str" cm="1">
        <f t="array" ref="K3472">"Case "&amp;wRandomLetter()&amp;wRandomLetter()&amp;I3472&amp;":    UniConst = ChrW(" &amp; I3472 &amp;")"</f>
        <v>Case ET129489:    UniConst = ChrW(129489)</v>
      </c>
    </row>
    <row r="3473" spans="1:11" hidden="1">
      <c r="A3473" t="s">
        <v>1162</v>
      </c>
      <c r="B3473" t="str">
        <f t="shared" si="326"/>
        <v>1F9D1 1F3FE 200D 1F4BB ; fully-qualified # 🧑🏾‍💻 E12.1 technologist: medium-dark skin tone</v>
      </c>
      <c r="C3473" t="str">
        <f t="shared" si="327"/>
        <v xml:space="preserve">1F9D1 1F3FE 200D 1F4BB </v>
      </c>
      <c r="D3473">
        <f t="shared" si="328"/>
        <v>23</v>
      </c>
      <c r="E3473" t="str">
        <f t="shared" si="324"/>
        <v xml:space="preserve"> 🧑🏾‍💻 E12.1 technologist: medium-dark skin tone</v>
      </c>
      <c r="F3473" t="b">
        <f t="shared" si="329"/>
        <v>1</v>
      </c>
      <c r="G3473" t="str">
        <f t="shared" si="325"/>
        <v>1F9D1</v>
      </c>
      <c r="I3473">
        <f>HEX2DEC(Table1[[#This Row],[utf8]])</f>
        <v>129489</v>
      </c>
      <c r="J3473" t="str">
        <f>_xlfn.UNICHAR(HEX2DEC(Table1[[#This Row],[utf8]]))</f>
        <v>🧑</v>
      </c>
      <c r="K3473" s="3" t="str" cm="1">
        <f t="array" ref="K3473">"Case "&amp;wRandomLetter()&amp;wRandomLetter()&amp;I3473&amp;":    UniConst = ChrW(" &amp; I3473 &amp;")"</f>
        <v>Case YS129489:    UniConst = ChrW(129489)</v>
      </c>
    </row>
    <row r="3474" spans="1:11" hidden="1">
      <c r="A3474" t="s">
        <v>1126</v>
      </c>
      <c r="B3474" t="str">
        <f t="shared" si="326"/>
        <v>1F9D1 1F3FE 200D 1F4BC ; fully-qualified # 🧑🏾‍💼 E12.1 office worker: medium-dark skin tone</v>
      </c>
      <c r="C3474" t="str">
        <f t="shared" si="327"/>
        <v xml:space="preserve">1F9D1 1F3FE 200D 1F4BC </v>
      </c>
      <c r="D3474">
        <f t="shared" si="328"/>
        <v>23</v>
      </c>
      <c r="E3474" t="str">
        <f t="shared" si="324"/>
        <v xml:space="preserve"> 🧑🏾‍💼 E12.1 office worker: medium-dark skin tone</v>
      </c>
      <c r="F3474" t="b">
        <f t="shared" si="329"/>
        <v>1</v>
      </c>
      <c r="G3474" t="str">
        <f t="shared" si="325"/>
        <v>1F9D1</v>
      </c>
      <c r="I3474">
        <f>HEX2DEC(Table1[[#This Row],[utf8]])</f>
        <v>129489</v>
      </c>
      <c r="J3474" t="str">
        <f>_xlfn.UNICHAR(HEX2DEC(Table1[[#This Row],[utf8]]))</f>
        <v>🧑</v>
      </c>
      <c r="K3474" s="3" t="str" cm="1">
        <f t="array" ref="K3474">"Case "&amp;wRandomLetter()&amp;wRandomLetter()&amp;I3474&amp;":    UniConst = ChrW(" &amp; I3474 &amp;")"</f>
        <v>Case uY129489:    UniConst = ChrW(129489)</v>
      </c>
    </row>
    <row r="3475" spans="1:11" hidden="1">
      <c r="A3475" t="s">
        <v>1090</v>
      </c>
      <c r="B3475" t="str">
        <f t="shared" si="326"/>
        <v>1F9D1 1F3FE 200D 1F527 ; fully-qualified # 🧑🏾‍🔧 E12.1 mechanic: medium-dark skin tone</v>
      </c>
      <c r="C3475" t="str">
        <f t="shared" si="327"/>
        <v xml:space="preserve">1F9D1 1F3FE 200D 1F527 </v>
      </c>
      <c r="D3475">
        <f t="shared" si="328"/>
        <v>23</v>
      </c>
      <c r="E3475" t="str">
        <f t="shared" si="324"/>
        <v xml:space="preserve"> 🧑🏾‍🔧 E12.1 mechanic: medium-dark skin tone</v>
      </c>
      <c r="F3475" t="b">
        <f t="shared" si="329"/>
        <v>1</v>
      </c>
      <c r="G3475" t="str">
        <f t="shared" si="325"/>
        <v>1F9D1</v>
      </c>
      <c r="I3475">
        <f>HEX2DEC(Table1[[#This Row],[utf8]])</f>
        <v>129489</v>
      </c>
      <c r="J3475" t="str">
        <f>_xlfn.UNICHAR(HEX2DEC(Table1[[#This Row],[utf8]]))</f>
        <v>🧑</v>
      </c>
      <c r="K3475" s="3" t="str" cm="1">
        <f t="array" ref="K3475">"Case "&amp;wRandomLetter()&amp;wRandomLetter()&amp;I3475&amp;":    UniConst = ChrW(" &amp; I3475 &amp;")"</f>
        <v>Case Qr129489:    UniConst = ChrW(129489)</v>
      </c>
    </row>
    <row r="3476" spans="1:11" hidden="1">
      <c r="A3476" t="s">
        <v>1144</v>
      </c>
      <c r="B3476" t="str">
        <f t="shared" si="326"/>
        <v>1F9D1 1F3FE 200D 1F52C ; fully-qualified # 🧑🏾‍🔬 E12.1 scientist: medium-dark skin tone</v>
      </c>
      <c r="C3476" t="str">
        <f t="shared" si="327"/>
        <v xml:space="preserve">1F9D1 1F3FE 200D 1F52C </v>
      </c>
      <c r="D3476">
        <f t="shared" si="328"/>
        <v>23</v>
      </c>
      <c r="E3476" t="str">
        <f t="shared" si="324"/>
        <v xml:space="preserve"> 🧑🏾‍🔬 E12.1 scientist: medium-dark skin tone</v>
      </c>
      <c r="F3476" t="b">
        <f t="shared" si="329"/>
        <v>1</v>
      </c>
      <c r="G3476" t="str">
        <f t="shared" si="325"/>
        <v>1F9D1</v>
      </c>
      <c r="I3476">
        <f>HEX2DEC(Table1[[#This Row],[utf8]])</f>
        <v>129489</v>
      </c>
      <c r="J3476" t="str">
        <f>_xlfn.UNICHAR(HEX2DEC(Table1[[#This Row],[utf8]]))</f>
        <v>🧑</v>
      </c>
      <c r="K3476" s="3" t="str" cm="1">
        <f t="array" ref="K3476">"Case "&amp;wRandomLetter()&amp;wRandomLetter()&amp;I3476&amp;":    UniConst = ChrW(" &amp; I3476 &amp;")"</f>
        <v>Case Kn129489:    UniConst = ChrW(129489)</v>
      </c>
    </row>
    <row r="3477" spans="1:11" hidden="1">
      <c r="A3477" t="s">
        <v>1252</v>
      </c>
      <c r="B3477" t="str">
        <f t="shared" si="326"/>
        <v>1F9D1 1F3FE 200D 1F680 ; fully-qualified # 🧑🏾‍🚀 E12.1 astronaut: medium-dark skin tone</v>
      </c>
      <c r="C3477" t="str">
        <f t="shared" si="327"/>
        <v xml:space="preserve">1F9D1 1F3FE 200D 1F680 </v>
      </c>
      <c r="D3477">
        <f t="shared" si="328"/>
        <v>23</v>
      </c>
      <c r="E3477" t="str">
        <f t="shared" si="324"/>
        <v xml:space="preserve"> 🧑🏾‍🚀 E12.1 astronaut: medium-dark skin tone</v>
      </c>
      <c r="F3477" t="b">
        <f t="shared" si="329"/>
        <v>1</v>
      </c>
      <c r="G3477" t="str">
        <f t="shared" si="325"/>
        <v>1F9D1</v>
      </c>
      <c r="I3477">
        <f>HEX2DEC(Table1[[#This Row],[utf8]])</f>
        <v>129489</v>
      </c>
      <c r="J3477" t="str">
        <f>_xlfn.UNICHAR(HEX2DEC(Table1[[#This Row],[utf8]]))</f>
        <v>🧑</v>
      </c>
      <c r="K3477" s="3" t="str" cm="1">
        <f t="array" ref="K3477">"Case "&amp;wRandomLetter()&amp;wRandomLetter()&amp;I3477&amp;":    UniConst = ChrW(" &amp; I3477 &amp;")"</f>
        <v>Case nl129489:    UniConst = ChrW(129489)</v>
      </c>
    </row>
    <row r="3478" spans="1:11" hidden="1">
      <c r="A3478" t="s">
        <v>1270</v>
      </c>
      <c r="B3478" t="str">
        <f t="shared" si="326"/>
        <v>1F9D1 1F3FE 200D 1F692 ; fully-qualified # 🧑🏾‍🚒 E12.1 firefighter: medium-dark skin tone</v>
      </c>
      <c r="C3478" t="str">
        <f t="shared" si="327"/>
        <v xml:space="preserve">1F9D1 1F3FE 200D 1F692 </v>
      </c>
      <c r="D3478">
        <f t="shared" si="328"/>
        <v>23</v>
      </c>
      <c r="E3478" t="str">
        <f t="shared" si="324"/>
        <v xml:space="preserve"> 🧑🏾‍🚒 E12.1 firefighter: medium-dark skin tone</v>
      </c>
      <c r="F3478" t="b">
        <f t="shared" si="329"/>
        <v>1</v>
      </c>
      <c r="G3478" t="str">
        <f t="shared" si="325"/>
        <v>1F9D1</v>
      </c>
      <c r="I3478">
        <f>HEX2DEC(Table1[[#This Row],[utf8]])</f>
        <v>129489</v>
      </c>
      <c r="J3478" t="str">
        <f>_xlfn.UNICHAR(HEX2DEC(Table1[[#This Row],[utf8]]))</f>
        <v>🧑</v>
      </c>
      <c r="K3478" s="3" t="str" cm="1">
        <f t="array" ref="K3478">"Case "&amp;wRandomLetter()&amp;wRandomLetter()&amp;I3478&amp;":    UniConst = ChrW(" &amp; I3478 &amp;")"</f>
        <v>Case YS129489:    UniConst = ChrW(129489)</v>
      </c>
    </row>
    <row r="3479" spans="1:11" hidden="1">
      <c r="A3479" t="s">
        <v>2579</v>
      </c>
      <c r="B3479" t="str">
        <f t="shared" si="326"/>
        <v>1F9D1 1F3FE 200D 1F91D 200D 1F9D1 1F3FB ; fully-qualified # 🧑🏾‍🤝‍🧑🏻 E12.0 people holding hands: medium-dark skin tone, light skin tone</v>
      </c>
      <c r="C3479" t="str">
        <f t="shared" si="327"/>
        <v xml:space="preserve">1F9D1 1F3FE 200D 1F91D 200D 1F9D1 1F3FB </v>
      </c>
      <c r="D3479">
        <f t="shared" si="328"/>
        <v>40</v>
      </c>
      <c r="E3479" t="str">
        <f t="shared" si="324"/>
        <v xml:space="preserve"> 🧑🏾‍🤝‍🧑🏻 E12.0 people holding hands: medium-dark skin tone, light skin tone</v>
      </c>
      <c r="F3479" t="b">
        <f t="shared" si="329"/>
        <v>1</v>
      </c>
      <c r="G3479" t="str">
        <f t="shared" si="325"/>
        <v>1F9D1</v>
      </c>
      <c r="I3479">
        <f>HEX2DEC(Table1[[#This Row],[utf8]])</f>
        <v>129489</v>
      </c>
      <c r="J3479" t="str">
        <f>_xlfn.UNICHAR(HEX2DEC(Table1[[#This Row],[utf8]]))</f>
        <v>🧑</v>
      </c>
      <c r="K3479" s="3" t="str" cm="1">
        <f t="array" ref="K3479">"Case "&amp;wRandomLetter()&amp;wRandomLetter()&amp;I3479&amp;":    UniConst = ChrW(" &amp; I3479 &amp;")"</f>
        <v>Case Up129489:    UniConst = ChrW(129489)</v>
      </c>
    </row>
    <row r="3480" spans="1:11" hidden="1">
      <c r="A3480" t="s">
        <v>2580</v>
      </c>
      <c r="B3480" t="str">
        <f t="shared" si="326"/>
        <v>1F9D1 1F3FE 200D 1F91D 200D 1F9D1 1F3FC ; fully-qualified # 🧑🏾‍🤝‍🧑🏼 E12.0 people holding hands: medium-dark skin tone, medium-light skin tone</v>
      </c>
      <c r="C3480" t="str">
        <f t="shared" si="327"/>
        <v xml:space="preserve">1F9D1 1F3FE 200D 1F91D 200D 1F9D1 1F3FC </v>
      </c>
      <c r="D3480">
        <f t="shared" si="328"/>
        <v>40</v>
      </c>
      <c r="E3480" t="str">
        <f t="shared" si="324"/>
        <v xml:space="preserve"> 🧑🏾‍🤝‍🧑🏼 E12.0 people holding hands: medium-dark skin tone, medium-light skin tone</v>
      </c>
      <c r="F3480" t="b">
        <f t="shared" si="329"/>
        <v>1</v>
      </c>
      <c r="G3480" t="str">
        <f t="shared" si="325"/>
        <v>1F9D1</v>
      </c>
      <c r="I3480">
        <f>HEX2DEC(Table1[[#This Row],[utf8]])</f>
        <v>129489</v>
      </c>
      <c r="J3480" t="str">
        <f>_xlfn.UNICHAR(HEX2DEC(Table1[[#This Row],[utf8]]))</f>
        <v>🧑</v>
      </c>
      <c r="K3480" s="3" t="str" cm="1">
        <f t="array" ref="K3480">"Case "&amp;wRandomLetter()&amp;wRandomLetter()&amp;I3480&amp;":    UniConst = ChrW(" &amp; I3480 &amp;")"</f>
        <v>Case hN129489:    UniConst = ChrW(129489)</v>
      </c>
    </row>
    <row r="3481" spans="1:11" hidden="1">
      <c r="A3481" t="s">
        <v>2581</v>
      </c>
      <c r="B3481" t="str">
        <f t="shared" si="326"/>
        <v>1F9D1 1F3FE 200D 1F91D 200D 1F9D1 1F3FD ; fully-qualified # 🧑🏾‍🤝‍🧑🏽 E12.0 people holding hands: medium-dark skin tone, medium skin tone</v>
      </c>
      <c r="C3481" t="str">
        <f t="shared" si="327"/>
        <v xml:space="preserve">1F9D1 1F3FE 200D 1F91D 200D 1F9D1 1F3FD </v>
      </c>
      <c r="D3481">
        <f t="shared" si="328"/>
        <v>40</v>
      </c>
      <c r="E3481" t="str">
        <f t="shared" si="324"/>
        <v xml:space="preserve"> 🧑🏾‍🤝‍🧑🏽 E12.0 people holding hands: medium-dark skin tone, medium skin tone</v>
      </c>
      <c r="F3481" t="b">
        <f t="shared" si="329"/>
        <v>1</v>
      </c>
      <c r="G3481" t="str">
        <f t="shared" si="325"/>
        <v>1F9D1</v>
      </c>
      <c r="I3481">
        <f>HEX2DEC(Table1[[#This Row],[utf8]])</f>
        <v>129489</v>
      </c>
      <c r="J3481" t="str">
        <f>_xlfn.UNICHAR(HEX2DEC(Table1[[#This Row],[utf8]]))</f>
        <v>🧑</v>
      </c>
      <c r="K3481" s="3" t="str" cm="1">
        <f t="array" ref="K3481">"Case "&amp;wRandomLetter()&amp;wRandomLetter()&amp;I3481&amp;":    UniConst = ChrW(" &amp; I3481 &amp;")"</f>
        <v>Case TC129489:    UniConst = ChrW(129489)</v>
      </c>
    </row>
    <row r="3482" spans="1:11" hidden="1">
      <c r="A3482" t="s">
        <v>2582</v>
      </c>
      <c r="B3482" t="str">
        <f t="shared" si="326"/>
        <v>1F9D1 1F3FE 200D 1F91D 200D 1F9D1 1F3FE ; fully-qualified # 🧑🏾‍🤝‍🧑🏾 E12.0 people holding hands: medium-dark skin tone</v>
      </c>
      <c r="C3482" t="str">
        <f t="shared" si="327"/>
        <v xml:space="preserve">1F9D1 1F3FE 200D 1F91D 200D 1F9D1 1F3FE </v>
      </c>
      <c r="D3482">
        <f t="shared" si="328"/>
        <v>40</v>
      </c>
      <c r="E3482" t="str">
        <f t="shared" si="324"/>
        <v xml:space="preserve"> 🧑🏾‍🤝‍🧑🏾 E12.0 people holding hands: medium-dark skin tone</v>
      </c>
      <c r="F3482" t="b">
        <f t="shared" si="329"/>
        <v>1</v>
      </c>
      <c r="G3482" t="str">
        <f t="shared" si="325"/>
        <v>1F9D1</v>
      </c>
      <c r="I3482">
        <f>HEX2DEC(Table1[[#This Row],[utf8]])</f>
        <v>129489</v>
      </c>
      <c r="J3482" t="str">
        <f>_xlfn.UNICHAR(HEX2DEC(Table1[[#This Row],[utf8]]))</f>
        <v>🧑</v>
      </c>
      <c r="K3482" s="3" t="str" cm="1">
        <f t="array" ref="K3482">"Case "&amp;wRandomLetter()&amp;wRandomLetter()&amp;I3482&amp;":    UniConst = ChrW(" &amp; I3482 &amp;")"</f>
        <v>Case Cx129489:    UniConst = ChrW(129489)</v>
      </c>
    </row>
    <row r="3483" spans="1:11" hidden="1">
      <c r="A3483" t="s">
        <v>2583</v>
      </c>
      <c r="B3483" t="str">
        <f t="shared" si="326"/>
        <v>1F9D1 1F3FE 200D 1F91D 200D 1F9D1 1F3FF ; fully-qualified # 🧑🏾‍🤝‍🧑🏿 E12.1 people holding hands: medium-dark skin tone, dark skin tone</v>
      </c>
      <c r="C3483" t="str">
        <f t="shared" si="327"/>
        <v xml:space="preserve">1F9D1 1F3FE 200D 1F91D 200D 1F9D1 1F3FF </v>
      </c>
      <c r="D3483">
        <f t="shared" si="328"/>
        <v>40</v>
      </c>
      <c r="E3483" t="str">
        <f t="shared" si="324"/>
        <v xml:space="preserve"> 🧑🏾‍🤝‍🧑🏿 E12.1 people holding hands: medium-dark skin tone, dark skin tone</v>
      </c>
      <c r="F3483" t="b">
        <f t="shared" si="329"/>
        <v>1</v>
      </c>
      <c r="G3483" t="str">
        <f t="shared" si="325"/>
        <v>1F9D1</v>
      </c>
      <c r="I3483">
        <f>HEX2DEC(Table1[[#This Row],[utf8]])</f>
        <v>129489</v>
      </c>
      <c r="J3483" t="str">
        <f>_xlfn.UNICHAR(HEX2DEC(Table1[[#This Row],[utf8]]))</f>
        <v>🧑</v>
      </c>
      <c r="K3483" s="3" t="str" cm="1">
        <f t="array" ref="K3483">"Case "&amp;wRandomLetter()&amp;wRandomLetter()&amp;I3483&amp;":    UniConst = ChrW(" &amp; I3483 &amp;")"</f>
        <v>Case NC129489:    UniConst = ChrW(129489)</v>
      </c>
    </row>
    <row r="3484" spans="1:11" hidden="1">
      <c r="A3484" t="s">
        <v>1959</v>
      </c>
      <c r="B3484" t="str">
        <f t="shared" si="326"/>
        <v>1F9D1 1F3FE 200D 1F9AF ; fully-qualified # 🧑🏾‍🦯 E12.1 person with white cane: medium-dark skin tone</v>
      </c>
      <c r="C3484" t="str">
        <f t="shared" si="327"/>
        <v xml:space="preserve">1F9D1 1F3FE 200D 1F9AF </v>
      </c>
      <c r="D3484">
        <f t="shared" si="328"/>
        <v>23</v>
      </c>
      <c r="E3484" t="str">
        <f t="shared" si="324"/>
        <v xml:space="preserve"> 🧑🏾‍🦯 E12.1 person with white cane: medium-dark skin tone</v>
      </c>
      <c r="F3484" t="b">
        <f t="shared" si="329"/>
        <v>1</v>
      </c>
      <c r="G3484" t="str">
        <f t="shared" si="325"/>
        <v>1F9D1</v>
      </c>
      <c r="I3484">
        <f>HEX2DEC(Table1[[#This Row],[utf8]])</f>
        <v>129489</v>
      </c>
      <c r="J3484" t="str">
        <f>_xlfn.UNICHAR(HEX2DEC(Table1[[#This Row],[utf8]]))</f>
        <v>🧑</v>
      </c>
      <c r="K3484" s="3" t="str" cm="1">
        <f t="array" ref="K3484">"Case "&amp;wRandomLetter()&amp;wRandomLetter()&amp;I3484&amp;":    UniConst = ChrW(" &amp; I3484 &amp;")"</f>
        <v>Case sK129489:    UniConst = ChrW(129489)</v>
      </c>
    </row>
    <row r="3485" spans="1:11" hidden="1">
      <c r="A3485" t="s">
        <v>560</v>
      </c>
      <c r="B3485" t="str">
        <f t="shared" si="326"/>
        <v>1F9D1 1F3FE 200D 1F9B0 ; fully-qualified # 🧑🏾‍🦰 E12.1 person: medium-dark skin tone, red hair</v>
      </c>
      <c r="C3485" t="str">
        <f t="shared" si="327"/>
        <v xml:space="preserve">1F9D1 1F3FE 200D 1F9B0 </v>
      </c>
      <c r="D3485">
        <f t="shared" si="328"/>
        <v>23</v>
      </c>
      <c r="E3485" t="str">
        <f t="shared" si="324"/>
        <v xml:space="preserve"> 🧑🏾‍🦰 E12.1 person: medium-dark skin tone, red hair</v>
      </c>
      <c r="F3485" t="b">
        <f t="shared" si="329"/>
        <v>1</v>
      </c>
      <c r="G3485" t="str">
        <f t="shared" si="325"/>
        <v>1F9D1</v>
      </c>
      <c r="I3485">
        <f>HEX2DEC(Table1[[#This Row],[utf8]])</f>
        <v>129489</v>
      </c>
      <c r="J3485" t="str">
        <f>_xlfn.UNICHAR(HEX2DEC(Table1[[#This Row],[utf8]]))</f>
        <v>🧑</v>
      </c>
      <c r="K3485" s="3" t="str" cm="1">
        <f t="array" ref="K3485">"Case "&amp;wRandomLetter()&amp;wRandomLetter()&amp;I3485&amp;":    UniConst = ChrW(" &amp; I3485 &amp;")"</f>
        <v>Case qB129489:    UniConst = ChrW(129489)</v>
      </c>
    </row>
    <row r="3486" spans="1:11" hidden="1">
      <c r="A3486" t="s">
        <v>572</v>
      </c>
      <c r="B3486" t="str">
        <f t="shared" si="326"/>
        <v>1F9D1 1F3FE 200D 1F9B1 ; fully-qualified # 🧑🏾‍🦱 E12.1 person: medium-dark skin tone, curly hair</v>
      </c>
      <c r="C3486" t="str">
        <f t="shared" si="327"/>
        <v xml:space="preserve">1F9D1 1F3FE 200D 1F9B1 </v>
      </c>
      <c r="D3486">
        <f t="shared" si="328"/>
        <v>23</v>
      </c>
      <c r="E3486" t="str">
        <f t="shared" si="324"/>
        <v xml:space="preserve"> 🧑🏾‍🦱 E12.1 person: medium-dark skin tone, curly hair</v>
      </c>
      <c r="F3486" t="b">
        <f t="shared" si="329"/>
        <v>1</v>
      </c>
      <c r="G3486" t="str">
        <f t="shared" si="325"/>
        <v>1F9D1</v>
      </c>
      <c r="I3486">
        <f>HEX2DEC(Table1[[#This Row],[utf8]])</f>
        <v>129489</v>
      </c>
      <c r="J3486" t="str">
        <f>_xlfn.UNICHAR(HEX2DEC(Table1[[#This Row],[utf8]]))</f>
        <v>🧑</v>
      </c>
      <c r="K3486" s="3" t="str" cm="1">
        <f t="array" ref="K3486">"Case "&amp;wRandomLetter()&amp;wRandomLetter()&amp;I3486&amp;":    UniConst = ChrW(" &amp; I3486 &amp;")"</f>
        <v>Case sw129489:    UniConst = ChrW(129489)</v>
      </c>
    </row>
    <row r="3487" spans="1:11" hidden="1">
      <c r="A3487" t="s">
        <v>596</v>
      </c>
      <c r="B3487" t="str">
        <f t="shared" si="326"/>
        <v>1F9D1 1F3FE 200D 1F9B2 ; fully-qualified # 🧑🏾‍🦲 E12.1 person: medium-dark skin tone, bald</v>
      </c>
      <c r="C3487" t="str">
        <f t="shared" si="327"/>
        <v xml:space="preserve">1F9D1 1F3FE 200D 1F9B2 </v>
      </c>
      <c r="D3487">
        <f t="shared" si="328"/>
        <v>23</v>
      </c>
      <c r="E3487" t="str">
        <f t="shared" si="324"/>
        <v xml:space="preserve"> 🧑🏾‍🦲 E12.1 person: medium-dark skin tone, bald</v>
      </c>
      <c r="F3487" t="b">
        <f t="shared" si="329"/>
        <v>1</v>
      </c>
      <c r="G3487" t="str">
        <f t="shared" si="325"/>
        <v>1F9D1</v>
      </c>
      <c r="I3487">
        <f>HEX2DEC(Table1[[#This Row],[utf8]])</f>
        <v>129489</v>
      </c>
      <c r="J3487" t="str">
        <f>_xlfn.UNICHAR(HEX2DEC(Table1[[#This Row],[utf8]]))</f>
        <v>🧑</v>
      </c>
      <c r="K3487" s="3" t="str" cm="1">
        <f t="array" ref="K3487">"Case "&amp;wRandomLetter()&amp;wRandomLetter()&amp;I3487&amp;":    UniConst = ChrW(" &amp; I3487 &amp;")"</f>
        <v>Case MN129489:    UniConst = ChrW(129489)</v>
      </c>
    </row>
    <row r="3488" spans="1:11" hidden="1">
      <c r="A3488" t="s">
        <v>584</v>
      </c>
      <c r="B3488" t="str">
        <f t="shared" si="326"/>
        <v>1F9D1 1F3FE 200D 1F9B3 ; fully-qualified # 🧑🏾‍🦳 E12.1 person: medium-dark skin tone, white hair</v>
      </c>
      <c r="C3488" t="str">
        <f t="shared" si="327"/>
        <v xml:space="preserve">1F9D1 1F3FE 200D 1F9B3 </v>
      </c>
      <c r="D3488">
        <f t="shared" si="328"/>
        <v>23</v>
      </c>
      <c r="E3488" t="str">
        <f t="shared" si="324"/>
        <v xml:space="preserve"> 🧑🏾‍🦳 E12.1 person: medium-dark skin tone, white hair</v>
      </c>
      <c r="F3488" t="b">
        <f t="shared" si="329"/>
        <v>1</v>
      </c>
      <c r="G3488" t="str">
        <f t="shared" si="325"/>
        <v>1F9D1</v>
      </c>
      <c r="I3488">
        <f>HEX2DEC(Table1[[#This Row],[utf8]])</f>
        <v>129489</v>
      </c>
      <c r="J3488" t="str">
        <f>_xlfn.UNICHAR(HEX2DEC(Table1[[#This Row],[utf8]]))</f>
        <v>🧑</v>
      </c>
      <c r="K3488" s="3" t="str" cm="1">
        <f t="array" ref="K3488">"Case "&amp;wRandomLetter()&amp;wRandomLetter()&amp;I3488&amp;":    UniConst = ChrW(" &amp; I3488 &amp;")"</f>
        <v>Case dq129489:    UniConst = ChrW(129489)</v>
      </c>
    </row>
    <row r="3489" spans="1:11" hidden="1">
      <c r="A3489" t="s">
        <v>1977</v>
      </c>
      <c r="B3489" t="str">
        <f t="shared" si="326"/>
        <v>1F9D1 1F3FE 200D 1F9BC ; fully-qualified # 🧑🏾‍🦼 E12.1 person in motorized wheelchair: medium-dark skin tone</v>
      </c>
      <c r="C3489" t="str">
        <f t="shared" si="327"/>
        <v xml:space="preserve">1F9D1 1F3FE 200D 1F9BC </v>
      </c>
      <c r="D3489">
        <f t="shared" si="328"/>
        <v>23</v>
      </c>
      <c r="E3489" t="str">
        <f t="shared" si="324"/>
        <v xml:space="preserve"> 🧑🏾‍🦼 E12.1 person in motorized wheelchair: medium-dark skin tone</v>
      </c>
      <c r="F3489" t="b">
        <f t="shared" si="329"/>
        <v>1</v>
      </c>
      <c r="G3489" t="str">
        <f t="shared" si="325"/>
        <v>1F9D1</v>
      </c>
      <c r="I3489">
        <f>HEX2DEC(Table1[[#This Row],[utf8]])</f>
        <v>129489</v>
      </c>
      <c r="J3489" t="str">
        <f>_xlfn.UNICHAR(HEX2DEC(Table1[[#This Row],[utf8]]))</f>
        <v>🧑</v>
      </c>
      <c r="K3489" s="3" t="str" cm="1">
        <f t="array" ref="K3489">"Case "&amp;wRandomLetter()&amp;wRandomLetter()&amp;I3489&amp;":    UniConst = ChrW(" &amp; I3489 &amp;")"</f>
        <v>Case hn129489:    UniConst = ChrW(129489)</v>
      </c>
    </row>
    <row r="3490" spans="1:11" hidden="1">
      <c r="A3490" t="s">
        <v>1995</v>
      </c>
      <c r="B3490" t="str">
        <f t="shared" si="326"/>
        <v>1F9D1 1F3FE 200D 1F9BD ; fully-qualified # 🧑🏾‍🦽 E12.1 person in manual wheelchair: medium-dark skin tone</v>
      </c>
      <c r="C3490" t="str">
        <f t="shared" si="327"/>
        <v xml:space="preserve">1F9D1 1F3FE 200D 1F9BD </v>
      </c>
      <c r="D3490">
        <f t="shared" si="328"/>
        <v>23</v>
      </c>
      <c r="E3490" t="str">
        <f t="shared" si="324"/>
        <v xml:space="preserve"> 🧑🏾‍🦽 E12.1 person in manual wheelchair: medium-dark skin tone</v>
      </c>
      <c r="F3490" t="b">
        <f t="shared" si="329"/>
        <v>1</v>
      </c>
      <c r="G3490" t="str">
        <f t="shared" si="325"/>
        <v>1F9D1</v>
      </c>
      <c r="I3490">
        <f>HEX2DEC(Table1[[#This Row],[utf8]])</f>
        <v>129489</v>
      </c>
      <c r="J3490" t="str">
        <f>_xlfn.UNICHAR(HEX2DEC(Table1[[#This Row],[utf8]]))</f>
        <v>🧑</v>
      </c>
      <c r="K3490" s="3" t="str" cm="1">
        <f t="array" ref="K3490">"Case "&amp;wRandomLetter()&amp;wRandomLetter()&amp;I3490&amp;":    UniConst = ChrW(" &amp; I3490 &amp;")"</f>
        <v>Case yL129489:    UniConst = ChrW(129489)</v>
      </c>
    </row>
    <row r="3491" spans="1:11" hidden="1">
      <c r="A3491" t="s">
        <v>951</v>
      </c>
      <c r="B3491" t="str">
        <f t="shared" si="326"/>
        <v>1F9D1 1F3FE 200D 2695 ; minimally-qualified # 🧑🏾‍⚕ E12.1 health worker: medium-dark skin tone</v>
      </c>
      <c r="C3491" t="str">
        <f t="shared" si="327"/>
        <v xml:space="preserve">1F9D1 1F3FE 200D 2695 </v>
      </c>
      <c r="D3491">
        <f t="shared" si="328"/>
        <v>22</v>
      </c>
      <c r="E3491" t="str">
        <f t="shared" si="324"/>
        <v xml:space="preserve"> 🧑🏾‍⚕ E12.1 health worker: medium-dark skin tone</v>
      </c>
      <c r="F3491" t="b">
        <f t="shared" si="329"/>
        <v>1</v>
      </c>
      <c r="G3491" t="str">
        <f t="shared" si="325"/>
        <v>1F9D1</v>
      </c>
      <c r="I3491">
        <f>HEX2DEC(Table1[[#This Row],[utf8]])</f>
        <v>129489</v>
      </c>
      <c r="J3491" t="str">
        <f>_xlfn.UNICHAR(HEX2DEC(Table1[[#This Row],[utf8]]))</f>
        <v>🧑</v>
      </c>
      <c r="K3491" s="3" t="str" cm="1">
        <f t="array" ref="K3491">"Case "&amp;wRandomLetter()&amp;wRandomLetter()&amp;I3491&amp;":    UniConst = ChrW(" &amp; I3491 &amp;")"</f>
        <v>Case xx129489:    UniConst = ChrW(129489)</v>
      </c>
    </row>
    <row r="3492" spans="1:11" hidden="1">
      <c r="A3492" t="s">
        <v>950</v>
      </c>
      <c r="B3492" t="str">
        <f t="shared" si="326"/>
        <v>1F9D1 1F3FE 200D 2695 FE0F ; fully-qualified # 🧑🏾‍⚕️ E12.1 health worker: medium-dark skin tone</v>
      </c>
      <c r="C3492" t="str">
        <f t="shared" si="327"/>
        <v xml:space="preserve">1F9D1 1F3FE 200D 2695 FE0F </v>
      </c>
      <c r="D3492">
        <f t="shared" si="328"/>
        <v>27</v>
      </c>
      <c r="E3492" t="str">
        <f t="shared" si="324"/>
        <v xml:space="preserve"> 🧑🏾‍⚕️ E12.1 health worker: medium-dark skin tone</v>
      </c>
      <c r="F3492" t="b">
        <f t="shared" si="329"/>
        <v>1</v>
      </c>
      <c r="G3492" t="str">
        <f t="shared" si="325"/>
        <v>1F9D1</v>
      </c>
      <c r="I3492">
        <f>HEX2DEC(Table1[[#This Row],[utf8]])</f>
        <v>129489</v>
      </c>
      <c r="J3492" t="str">
        <f>_xlfn.UNICHAR(HEX2DEC(Table1[[#This Row],[utf8]]))</f>
        <v>🧑</v>
      </c>
      <c r="K3492" s="3" t="str" cm="1">
        <f t="array" ref="K3492">"Case "&amp;wRandomLetter()&amp;wRandomLetter()&amp;I3492&amp;":    UniConst = ChrW(" &amp; I3492 &amp;")"</f>
        <v>Case sn129489:    UniConst = ChrW(129489)</v>
      </c>
    </row>
    <row r="3493" spans="1:11" hidden="1">
      <c r="A3493" t="s">
        <v>1023</v>
      </c>
      <c r="B3493" t="str">
        <f t="shared" si="326"/>
        <v>1F9D1 1F3FE 200D 2696 ; minimally-qualified # 🧑🏾‍⚖ E12.1 judge: medium-dark skin tone</v>
      </c>
      <c r="C3493" t="str">
        <f t="shared" si="327"/>
        <v xml:space="preserve">1F9D1 1F3FE 200D 2696 </v>
      </c>
      <c r="D3493">
        <f t="shared" si="328"/>
        <v>22</v>
      </c>
      <c r="E3493" t="str">
        <f t="shared" si="324"/>
        <v xml:space="preserve"> 🧑🏾‍⚖ E12.1 judge: medium-dark skin tone</v>
      </c>
      <c r="F3493" t="b">
        <f t="shared" si="329"/>
        <v>1</v>
      </c>
      <c r="G3493" t="str">
        <f t="shared" si="325"/>
        <v>1F9D1</v>
      </c>
      <c r="I3493">
        <f>HEX2DEC(Table1[[#This Row],[utf8]])</f>
        <v>129489</v>
      </c>
      <c r="J3493" t="str">
        <f>_xlfn.UNICHAR(HEX2DEC(Table1[[#This Row],[utf8]]))</f>
        <v>🧑</v>
      </c>
      <c r="K3493" s="3" t="str" cm="1">
        <f t="array" ref="K3493">"Case "&amp;wRandomLetter()&amp;wRandomLetter()&amp;I3493&amp;":    UniConst = ChrW(" &amp; I3493 &amp;")"</f>
        <v>Case ra129489:    UniConst = ChrW(129489)</v>
      </c>
    </row>
    <row r="3494" spans="1:11" hidden="1">
      <c r="A3494" t="s">
        <v>1022</v>
      </c>
      <c r="B3494" t="str">
        <f t="shared" si="326"/>
        <v>1F9D1 1F3FE 200D 2696 FE0F ; fully-qualified # 🧑🏾‍⚖️ E12.1 judge: medium-dark skin tone</v>
      </c>
      <c r="C3494" t="str">
        <f t="shared" si="327"/>
        <v xml:space="preserve">1F9D1 1F3FE 200D 2696 FE0F </v>
      </c>
      <c r="D3494">
        <f t="shared" si="328"/>
        <v>27</v>
      </c>
      <c r="E3494" t="str">
        <f t="shared" si="324"/>
        <v xml:space="preserve"> 🧑🏾‍⚖️ E12.1 judge: medium-dark skin tone</v>
      </c>
      <c r="F3494" t="b">
        <f t="shared" si="329"/>
        <v>1</v>
      </c>
      <c r="G3494" t="str">
        <f t="shared" si="325"/>
        <v>1F9D1</v>
      </c>
      <c r="I3494">
        <f>HEX2DEC(Table1[[#This Row],[utf8]])</f>
        <v>129489</v>
      </c>
      <c r="J3494" t="str">
        <f>_xlfn.UNICHAR(HEX2DEC(Table1[[#This Row],[utf8]]))</f>
        <v>🧑</v>
      </c>
      <c r="K3494" s="3" t="str" cm="1">
        <f t="array" ref="K3494">"Case "&amp;wRandomLetter()&amp;wRandomLetter()&amp;I3494&amp;":    UniConst = ChrW(" &amp; I3494 &amp;")"</f>
        <v>Case LA129489:    UniConst = ChrW(129489)</v>
      </c>
    </row>
    <row r="3495" spans="1:11" hidden="1">
      <c r="A3495" t="s">
        <v>1221</v>
      </c>
      <c r="B3495" t="str">
        <f t="shared" si="326"/>
        <v>1F9D1 1F3FE 200D 2708 ; minimally-qualified # 🧑🏾‍✈ E12.1 pilot: medium-dark skin tone</v>
      </c>
      <c r="C3495" t="str">
        <f t="shared" si="327"/>
        <v xml:space="preserve">1F9D1 1F3FE 200D 2708 </v>
      </c>
      <c r="D3495">
        <f t="shared" si="328"/>
        <v>22</v>
      </c>
      <c r="E3495" t="str">
        <f t="shared" si="324"/>
        <v xml:space="preserve"> 🧑🏾‍✈ E12.1 pilot: medium-dark skin tone</v>
      </c>
      <c r="F3495" t="b">
        <f t="shared" si="329"/>
        <v>1</v>
      </c>
      <c r="G3495" t="str">
        <f t="shared" si="325"/>
        <v>1F9D1</v>
      </c>
      <c r="I3495">
        <f>HEX2DEC(Table1[[#This Row],[utf8]])</f>
        <v>129489</v>
      </c>
      <c r="J3495" t="str">
        <f>_xlfn.UNICHAR(HEX2DEC(Table1[[#This Row],[utf8]]))</f>
        <v>🧑</v>
      </c>
      <c r="K3495" s="3" t="str" cm="1">
        <f t="array" ref="K3495">"Case "&amp;wRandomLetter()&amp;wRandomLetter()&amp;I3495&amp;":    UniConst = ChrW(" &amp; I3495 &amp;")"</f>
        <v>Case zq129489:    UniConst = ChrW(129489)</v>
      </c>
    </row>
    <row r="3496" spans="1:11" hidden="1">
      <c r="A3496" t="s">
        <v>1220</v>
      </c>
      <c r="B3496" t="str">
        <f t="shared" si="326"/>
        <v>1F9D1 1F3FE 200D 2708 FE0F ; fully-qualified # 🧑🏾‍✈️ E12.1 pilot: medium-dark skin tone</v>
      </c>
      <c r="C3496" t="str">
        <f t="shared" si="327"/>
        <v xml:space="preserve">1F9D1 1F3FE 200D 2708 FE0F </v>
      </c>
      <c r="D3496">
        <f t="shared" si="328"/>
        <v>27</v>
      </c>
      <c r="E3496" t="str">
        <f t="shared" si="324"/>
        <v xml:space="preserve"> 🧑🏾‍✈️ E12.1 pilot: medium-dark skin tone</v>
      </c>
      <c r="F3496" t="b">
        <f t="shared" si="329"/>
        <v>1</v>
      </c>
      <c r="G3496" t="str">
        <f t="shared" si="325"/>
        <v>1F9D1</v>
      </c>
      <c r="I3496">
        <f>HEX2DEC(Table1[[#This Row],[utf8]])</f>
        <v>129489</v>
      </c>
      <c r="J3496" t="str">
        <f>_xlfn.UNICHAR(HEX2DEC(Table1[[#This Row],[utf8]]))</f>
        <v>🧑</v>
      </c>
      <c r="K3496" s="3" t="str" cm="1">
        <f t="array" ref="K3496">"Case "&amp;wRandomLetter()&amp;wRandomLetter()&amp;I3496&amp;":    UniConst = ChrW(" &amp; I3496 &amp;")"</f>
        <v>Case Md129489:    UniConst = ChrW(129489)</v>
      </c>
    </row>
    <row r="3497" spans="1:11" hidden="1">
      <c r="A3497" t="s">
        <v>2698</v>
      </c>
      <c r="B3497" t="str">
        <f t="shared" si="326"/>
        <v>1F9D1 1F3FE 200D 2764 200D 1F48B 200D 1F9D1 1F3FB ; minimally-qualified # 🧑🏾‍❤‍💋‍🧑🏻 E13.1 kiss: person, person, medium-dark skin tone, light skin tone</v>
      </c>
      <c r="C3497" t="str">
        <f t="shared" si="327"/>
        <v xml:space="preserve">1F9D1 1F3FE 200D 2764 200D 1F48B 200D 1F9D1 1F3FB </v>
      </c>
      <c r="D3497">
        <f t="shared" si="328"/>
        <v>50</v>
      </c>
      <c r="E3497" t="str">
        <f t="shared" si="324"/>
        <v xml:space="preserve"> 🧑🏾‍❤‍💋‍🧑🏻 E13.1 kiss: person, person, medium-dark skin tone, light skin tone</v>
      </c>
      <c r="F3497" t="b">
        <f t="shared" si="329"/>
        <v>1</v>
      </c>
      <c r="G3497" t="str">
        <f t="shared" si="325"/>
        <v>1F9D1</v>
      </c>
      <c r="I3497">
        <f>HEX2DEC(Table1[[#This Row],[utf8]])</f>
        <v>129489</v>
      </c>
      <c r="J3497" t="str">
        <f>_xlfn.UNICHAR(HEX2DEC(Table1[[#This Row],[utf8]]))</f>
        <v>🧑</v>
      </c>
      <c r="K3497" s="3" t="str" cm="1">
        <f t="array" ref="K3497">"Case "&amp;wRandomLetter()&amp;wRandomLetter()&amp;I3497&amp;":    UniConst = ChrW(" &amp; I3497 &amp;")"</f>
        <v>Case bq129489:    UniConst = ChrW(129489)</v>
      </c>
    </row>
    <row r="3498" spans="1:11" hidden="1">
      <c r="A3498" t="s">
        <v>2700</v>
      </c>
      <c r="B3498" t="str">
        <f t="shared" si="326"/>
        <v>1F9D1 1F3FE 200D 2764 200D 1F48B 200D 1F9D1 1F3FC ; minimally-qualified # 🧑🏾‍❤‍💋‍🧑🏼 E13.1 kiss: person, person, medium-dark skin tone, medium-light skin tone</v>
      </c>
      <c r="C3498" t="str">
        <f t="shared" si="327"/>
        <v xml:space="preserve">1F9D1 1F3FE 200D 2764 200D 1F48B 200D 1F9D1 1F3FC </v>
      </c>
      <c r="D3498">
        <f t="shared" si="328"/>
        <v>50</v>
      </c>
      <c r="E3498" t="str">
        <f t="shared" si="324"/>
        <v xml:space="preserve"> 🧑🏾‍❤‍💋‍🧑🏼 E13.1 kiss: person, person, medium-dark skin tone, medium-light skin tone</v>
      </c>
      <c r="F3498" t="b">
        <f t="shared" si="329"/>
        <v>1</v>
      </c>
      <c r="G3498" t="str">
        <f t="shared" si="325"/>
        <v>1F9D1</v>
      </c>
      <c r="I3498">
        <f>HEX2DEC(Table1[[#This Row],[utf8]])</f>
        <v>129489</v>
      </c>
      <c r="J3498" t="str">
        <f>_xlfn.UNICHAR(HEX2DEC(Table1[[#This Row],[utf8]]))</f>
        <v>🧑</v>
      </c>
      <c r="K3498" s="3" t="str" cm="1">
        <f t="array" ref="K3498">"Case "&amp;wRandomLetter()&amp;wRandomLetter()&amp;I3498&amp;":    UniConst = ChrW(" &amp; I3498 &amp;")"</f>
        <v>Case Cx129489:    UniConst = ChrW(129489)</v>
      </c>
    </row>
    <row r="3499" spans="1:11" hidden="1">
      <c r="A3499" t="s">
        <v>2702</v>
      </c>
      <c r="B3499" t="str">
        <f t="shared" si="326"/>
        <v>1F9D1 1F3FE 200D 2764 200D 1F48B 200D 1F9D1 1F3FD ; minimally-qualified # 🧑🏾‍❤‍💋‍🧑🏽 E13.1 kiss: person, person, medium-dark skin tone, medium skin tone</v>
      </c>
      <c r="C3499" t="str">
        <f t="shared" si="327"/>
        <v xml:space="preserve">1F9D1 1F3FE 200D 2764 200D 1F48B 200D 1F9D1 1F3FD </v>
      </c>
      <c r="D3499">
        <f t="shared" si="328"/>
        <v>50</v>
      </c>
      <c r="E3499" t="str">
        <f t="shared" si="324"/>
        <v xml:space="preserve"> 🧑🏾‍❤‍💋‍🧑🏽 E13.1 kiss: person, person, medium-dark skin tone, medium skin tone</v>
      </c>
      <c r="F3499" t="b">
        <f t="shared" si="329"/>
        <v>1</v>
      </c>
      <c r="G3499" t="str">
        <f t="shared" si="325"/>
        <v>1F9D1</v>
      </c>
      <c r="I3499">
        <f>HEX2DEC(Table1[[#This Row],[utf8]])</f>
        <v>129489</v>
      </c>
      <c r="J3499" t="str">
        <f>_xlfn.UNICHAR(HEX2DEC(Table1[[#This Row],[utf8]]))</f>
        <v>🧑</v>
      </c>
      <c r="K3499" s="3" t="str" cm="1">
        <f t="array" ref="K3499">"Case "&amp;wRandomLetter()&amp;wRandomLetter()&amp;I3499&amp;":    UniConst = ChrW(" &amp; I3499 &amp;")"</f>
        <v>Case uW129489:    UniConst = ChrW(129489)</v>
      </c>
    </row>
    <row r="3500" spans="1:11" hidden="1">
      <c r="A3500" t="s">
        <v>2704</v>
      </c>
      <c r="B3500" t="str">
        <f t="shared" si="326"/>
        <v>1F9D1 1F3FE 200D 2764 200D 1F48B 200D 1F9D1 1F3FF ; minimally-qualified # 🧑🏾‍❤‍💋‍🧑🏿 E13.1 kiss: person, person, medium-dark skin tone, dark skin tone</v>
      </c>
      <c r="C3500" t="str">
        <f t="shared" si="327"/>
        <v xml:space="preserve">1F9D1 1F3FE 200D 2764 200D 1F48B 200D 1F9D1 1F3FF </v>
      </c>
      <c r="D3500">
        <f t="shared" si="328"/>
        <v>50</v>
      </c>
      <c r="E3500" t="str">
        <f t="shared" si="324"/>
        <v xml:space="preserve"> 🧑🏾‍❤‍💋‍🧑🏿 E13.1 kiss: person, person, medium-dark skin tone, dark skin tone</v>
      </c>
      <c r="F3500" t="b">
        <f t="shared" si="329"/>
        <v>1</v>
      </c>
      <c r="G3500" t="str">
        <f t="shared" si="325"/>
        <v>1F9D1</v>
      </c>
      <c r="I3500">
        <f>HEX2DEC(Table1[[#This Row],[utf8]])</f>
        <v>129489</v>
      </c>
      <c r="J3500" t="str">
        <f>_xlfn.UNICHAR(HEX2DEC(Table1[[#This Row],[utf8]]))</f>
        <v>🧑</v>
      </c>
      <c r="K3500" s="3" t="str" cm="1">
        <f t="array" ref="K3500">"Case "&amp;wRandomLetter()&amp;wRandomLetter()&amp;I3500&amp;":    UniConst = ChrW(" &amp; I3500 &amp;")"</f>
        <v>Case Vt129489:    UniConst = ChrW(129489)</v>
      </c>
    </row>
    <row r="3501" spans="1:11" hidden="1">
      <c r="A3501" t="s">
        <v>2900</v>
      </c>
      <c r="B3501" t="str">
        <f t="shared" si="326"/>
        <v>1F9D1 1F3FE 200D 2764 200D 1F9D1 1F3FB ; minimally-qualified # 🧑🏾‍❤‍🧑🏻 E13.1 couple with heart: person, person, medium-dark skin tone, light skin tone</v>
      </c>
      <c r="C3501" t="str">
        <f t="shared" si="327"/>
        <v xml:space="preserve">1F9D1 1F3FE 200D 2764 200D 1F9D1 1F3FB </v>
      </c>
      <c r="D3501">
        <f t="shared" si="328"/>
        <v>39</v>
      </c>
      <c r="E3501" t="str">
        <f t="shared" si="324"/>
        <v xml:space="preserve"> 🧑🏾‍❤‍🧑🏻 E13.1 couple with heart: person, person, medium-dark skin tone, light skin tone</v>
      </c>
      <c r="F3501" t="b">
        <f t="shared" si="329"/>
        <v>1</v>
      </c>
      <c r="G3501" t="str">
        <f t="shared" si="325"/>
        <v>1F9D1</v>
      </c>
      <c r="I3501">
        <f>HEX2DEC(Table1[[#This Row],[utf8]])</f>
        <v>129489</v>
      </c>
      <c r="J3501" t="str">
        <f>_xlfn.UNICHAR(HEX2DEC(Table1[[#This Row],[utf8]]))</f>
        <v>🧑</v>
      </c>
      <c r="K3501" s="3" t="str" cm="1">
        <f t="array" ref="K3501">"Case "&amp;wRandomLetter()&amp;wRandomLetter()&amp;I3501&amp;":    UniConst = ChrW(" &amp; I3501 &amp;")"</f>
        <v>Case JE129489:    UniConst = ChrW(129489)</v>
      </c>
    </row>
    <row r="3502" spans="1:11" hidden="1">
      <c r="A3502" t="s">
        <v>2902</v>
      </c>
      <c r="B3502" t="str">
        <f t="shared" si="326"/>
        <v>1F9D1 1F3FE 200D 2764 200D 1F9D1 1F3FC ; minimally-qualified # 🧑🏾‍❤‍🧑🏼 E13.1 couple with heart: person, person, medium-dark skin tone, medium-light skin tone</v>
      </c>
      <c r="C3502" t="str">
        <f t="shared" si="327"/>
        <v xml:space="preserve">1F9D1 1F3FE 200D 2764 200D 1F9D1 1F3FC </v>
      </c>
      <c r="D3502">
        <f t="shared" si="328"/>
        <v>39</v>
      </c>
      <c r="E3502" t="str">
        <f t="shared" si="324"/>
        <v xml:space="preserve"> 🧑🏾‍❤‍🧑🏼 E13.1 couple with heart: person, person, medium-dark skin tone, medium-light skin tone</v>
      </c>
      <c r="F3502" t="b">
        <f t="shared" si="329"/>
        <v>1</v>
      </c>
      <c r="G3502" t="str">
        <f t="shared" si="325"/>
        <v>1F9D1</v>
      </c>
      <c r="I3502">
        <f>HEX2DEC(Table1[[#This Row],[utf8]])</f>
        <v>129489</v>
      </c>
      <c r="J3502" t="str">
        <f>_xlfn.UNICHAR(HEX2DEC(Table1[[#This Row],[utf8]]))</f>
        <v>🧑</v>
      </c>
      <c r="K3502" s="3" t="str" cm="1">
        <f t="array" ref="K3502">"Case "&amp;wRandomLetter()&amp;wRandomLetter()&amp;I3502&amp;":    UniConst = ChrW(" &amp; I3502 &amp;")"</f>
        <v>Case vF129489:    UniConst = ChrW(129489)</v>
      </c>
    </row>
    <row r="3503" spans="1:11" hidden="1">
      <c r="A3503" t="s">
        <v>2904</v>
      </c>
      <c r="B3503" t="str">
        <f t="shared" si="326"/>
        <v>1F9D1 1F3FE 200D 2764 200D 1F9D1 1F3FD ; minimally-qualified # 🧑🏾‍❤‍🧑🏽 E13.1 couple with heart: person, person, medium-dark skin tone, medium skin tone</v>
      </c>
      <c r="C3503" t="str">
        <f t="shared" si="327"/>
        <v xml:space="preserve">1F9D1 1F3FE 200D 2764 200D 1F9D1 1F3FD </v>
      </c>
      <c r="D3503">
        <f t="shared" si="328"/>
        <v>39</v>
      </c>
      <c r="E3503" t="str">
        <f t="shared" si="324"/>
        <v xml:space="preserve"> 🧑🏾‍❤‍🧑🏽 E13.1 couple with heart: person, person, medium-dark skin tone, medium skin tone</v>
      </c>
      <c r="F3503" t="b">
        <f t="shared" si="329"/>
        <v>1</v>
      </c>
      <c r="G3503" t="str">
        <f t="shared" si="325"/>
        <v>1F9D1</v>
      </c>
      <c r="I3503">
        <f>HEX2DEC(Table1[[#This Row],[utf8]])</f>
        <v>129489</v>
      </c>
      <c r="J3503" t="str">
        <f>_xlfn.UNICHAR(HEX2DEC(Table1[[#This Row],[utf8]]))</f>
        <v>🧑</v>
      </c>
      <c r="K3503" s="3" t="str" cm="1">
        <f t="array" ref="K3503">"Case "&amp;wRandomLetter()&amp;wRandomLetter()&amp;I3503&amp;":    UniConst = ChrW(" &amp; I3503 &amp;")"</f>
        <v>Case ok129489:    UniConst = ChrW(129489)</v>
      </c>
    </row>
    <row r="3504" spans="1:11" hidden="1">
      <c r="A3504" t="s">
        <v>2906</v>
      </c>
      <c r="B3504" t="str">
        <f t="shared" si="326"/>
        <v>1F9D1 1F3FE 200D 2764 200D 1F9D1 1F3FF ; minimally-qualified # 🧑🏾‍❤‍🧑🏿 E13.1 couple with heart: person, person, medium-dark skin tone, dark skin tone</v>
      </c>
      <c r="C3504" t="str">
        <f t="shared" si="327"/>
        <v xml:space="preserve">1F9D1 1F3FE 200D 2764 200D 1F9D1 1F3FF </v>
      </c>
      <c r="D3504">
        <f t="shared" si="328"/>
        <v>39</v>
      </c>
      <c r="E3504" t="str">
        <f t="shared" si="324"/>
        <v xml:space="preserve"> 🧑🏾‍❤‍🧑🏿 E13.1 couple with heart: person, person, medium-dark skin tone, dark skin tone</v>
      </c>
      <c r="F3504" t="b">
        <f t="shared" si="329"/>
        <v>1</v>
      </c>
      <c r="G3504" t="str">
        <f t="shared" si="325"/>
        <v>1F9D1</v>
      </c>
      <c r="I3504">
        <f>HEX2DEC(Table1[[#This Row],[utf8]])</f>
        <v>129489</v>
      </c>
      <c r="J3504" t="str">
        <f>_xlfn.UNICHAR(HEX2DEC(Table1[[#This Row],[utf8]]))</f>
        <v>🧑</v>
      </c>
      <c r="K3504" s="3" t="str" cm="1">
        <f t="array" ref="K3504">"Case "&amp;wRandomLetter()&amp;wRandomLetter()&amp;I3504&amp;":    UniConst = ChrW(" &amp; I3504 &amp;")"</f>
        <v>Case HB129489:    UniConst = ChrW(129489)</v>
      </c>
    </row>
    <row r="3505" spans="1:11" hidden="1">
      <c r="A3505" t="s">
        <v>2697</v>
      </c>
      <c r="B3505" t="str">
        <f t="shared" si="326"/>
        <v>1F9D1 1F3FE 200D 2764 FE0F 200D 1F48B 200D 1F9D1 1F3FB ; fully-qualified # 🧑🏾‍❤️‍💋‍🧑🏻 E13.1 kiss: person, person, medium-dark skin tone, light skin tone</v>
      </c>
      <c r="C3505" t="str">
        <f t="shared" si="327"/>
        <v xml:space="preserve">1F9D1 1F3FE 200D 2764 FE0F 200D 1F48B 200D 1F9D1 1F3FB </v>
      </c>
      <c r="D3505">
        <f t="shared" si="328"/>
        <v>55</v>
      </c>
      <c r="E3505" t="str">
        <f t="shared" si="324"/>
        <v xml:space="preserve"> 🧑🏾‍❤️‍💋‍🧑🏻 E13.1 kiss: person, person, medium-dark skin tone, light skin tone</v>
      </c>
      <c r="F3505" t="b">
        <f t="shared" si="329"/>
        <v>1</v>
      </c>
      <c r="G3505" t="str">
        <f t="shared" si="325"/>
        <v>1F9D1</v>
      </c>
      <c r="I3505">
        <f>HEX2DEC(Table1[[#This Row],[utf8]])</f>
        <v>129489</v>
      </c>
      <c r="J3505" t="str">
        <f>_xlfn.UNICHAR(HEX2DEC(Table1[[#This Row],[utf8]]))</f>
        <v>🧑</v>
      </c>
      <c r="K3505" s="3" t="str" cm="1">
        <f t="array" ref="K3505">"Case "&amp;wRandomLetter()&amp;wRandomLetter()&amp;I3505&amp;":    UniConst = ChrW(" &amp; I3505 &amp;")"</f>
        <v>Case zC129489:    UniConst = ChrW(129489)</v>
      </c>
    </row>
    <row r="3506" spans="1:11" hidden="1">
      <c r="A3506" t="s">
        <v>2699</v>
      </c>
      <c r="B3506" t="str">
        <f t="shared" si="326"/>
        <v>1F9D1 1F3FE 200D 2764 FE0F 200D 1F48B 200D 1F9D1 1F3FC ; fully-qualified # 🧑🏾‍❤️‍💋‍🧑🏼 E13.1 kiss: person, person, medium-dark skin tone, medium-light skin tone</v>
      </c>
      <c r="C3506" t="str">
        <f t="shared" si="327"/>
        <v xml:space="preserve">1F9D1 1F3FE 200D 2764 FE0F 200D 1F48B 200D 1F9D1 1F3FC </v>
      </c>
      <c r="D3506">
        <f t="shared" si="328"/>
        <v>55</v>
      </c>
      <c r="E3506" t="str">
        <f t="shared" si="324"/>
        <v xml:space="preserve"> 🧑🏾‍❤️‍💋‍🧑🏼 E13.1 kiss: person, person, medium-dark skin tone, medium-light skin tone</v>
      </c>
      <c r="F3506" t="b">
        <f t="shared" si="329"/>
        <v>1</v>
      </c>
      <c r="G3506" t="str">
        <f t="shared" si="325"/>
        <v>1F9D1</v>
      </c>
      <c r="I3506">
        <f>HEX2DEC(Table1[[#This Row],[utf8]])</f>
        <v>129489</v>
      </c>
      <c r="J3506" t="str">
        <f>_xlfn.UNICHAR(HEX2DEC(Table1[[#This Row],[utf8]]))</f>
        <v>🧑</v>
      </c>
      <c r="K3506" s="3" t="str" cm="1">
        <f t="array" ref="K3506">"Case "&amp;wRandomLetter()&amp;wRandomLetter()&amp;I3506&amp;":    UniConst = ChrW(" &amp; I3506 &amp;")"</f>
        <v>Case ra129489:    UniConst = ChrW(129489)</v>
      </c>
    </row>
    <row r="3507" spans="1:11" hidden="1">
      <c r="A3507" t="s">
        <v>2701</v>
      </c>
      <c r="B3507" t="str">
        <f t="shared" si="326"/>
        <v>1F9D1 1F3FE 200D 2764 FE0F 200D 1F48B 200D 1F9D1 1F3FD ; fully-qualified # 🧑🏾‍❤️‍💋‍🧑🏽 E13.1 kiss: person, person, medium-dark skin tone, medium skin tone</v>
      </c>
      <c r="C3507" t="str">
        <f t="shared" si="327"/>
        <v xml:space="preserve">1F9D1 1F3FE 200D 2764 FE0F 200D 1F48B 200D 1F9D1 1F3FD </v>
      </c>
      <c r="D3507">
        <f t="shared" si="328"/>
        <v>55</v>
      </c>
      <c r="E3507" t="str">
        <f t="shared" si="324"/>
        <v xml:space="preserve"> 🧑🏾‍❤️‍💋‍🧑🏽 E13.1 kiss: person, person, medium-dark skin tone, medium skin tone</v>
      </c>
      <c r="F3507" t="b">
        <f t="shared" si="329"/>
        <v>1</v>
      </c>
      <c r="G3507" t="str">
        <f t="shared" si="325"/>
        <v>1F9D1</v>
      </c>
      <c r="I3507">
        <f>HEX2DEC(Table1[[#This Row],[utf8]])</f>
        <v>129489</v>
      </c>
      <c r="J3507" t="str">
        <f>_xlfn.UNICHAR(HEX2DEC(Table1[[#This Row],[utf8]]))</f>
        <v>🧑</v>
      </c>
      <c r="K3507" s="3" t="str" cm="1">
        <f t="array" ref="K3507">"Case "&amp;wRandomLetter()&amp;wRandomLetter()&amp;I3507&amp;":    UniConst = ChrW(" &amp; I3507 &amp;")"</f>
        <v>Case CN129489:    UniConst = ChrW(129489)</v>
      </c>
    </row>
    <row r="3508" spans="1:11" hidden="1">
      <c r="A3508" t="s">
        <v>2703</v>
      </c>
      <c r="B3508" t="str">
        <f t="shared" si="326"/>
        <v>1F9D1 1F3FE 200D 2764 FE0F 200D 1F48B 200D 1F9D1 1F3FF ; fully-qualified # 🧑🏾‍❤️‍💋‍🧑🏿 E13.1 kiss: person, person, medium-dark skin tone, dark skin tone</v>
      </c>
      <c r="C3508" t="str">
        <f t="shared" si="327"/>
        <v xml:space="preserve">1F9D1 1F3FE 200D 2764 FE0F 200D 1F48B 200D 1F9D1 1F3FF </v>
      </c>
      <c r="D3508">
        <f t="shared" si="328"/>
        <v>55</v>
      </c>
      <c r="E3508" t="str">
        <f t="shared" si="324"/>
        <v xml:space="preserve"> 🧑🏾‍❤️‍💋‍🧑🏿 E13.1 kiss: person, person, medium-dark skin tone, dark skin tone</v>
      </c>
      <c r="F3508" t="b">
        <f t="shared" si="329"/>
        <v>1</v>
      </c>
      <c r="G3508" t="str">
        <f t="shared" si="325"/>
        <v>1F9D1</v>
      </c>
      <c r="I3508">
        <f>HEX2DEC(Table1[[#This Row],[utf8]])</f>
        <v>129489</v>
      </c>
      <c r="J3508" t="str">
        <f>_xlfn.UNICHAR(HEX2DEC(Table1[[#This Row],[utf8]]))</f>
        <v>🧑</v>
      </c>
      <c r="K3508" s="3" t="str" cm="1">
        <f t="array" ref="K3508">"Case "&amp;wRandomLetter()&amp;wRandomLetter()&amp;I3508&amp;":    UniConst = ChrW(" &amp; I3508 &amp;")"</f>
        <v>Case JB129489:    UniConst = ChrW(129489)</v>
      </c>
    </row>
    <row r="3509" spans="1:11" hidden="1">
      <c r="A3509" t="s">
        <v>2899</v>
      </c>
      <c r="B3509" t="str">
        <f t="shared" si="326"/>
        <v>1F9D1 1F3FE 200D 2764 FE0F 200D 1F9D1 1F3FB ; fully-qualified # 🧑🏾‍❤️‍🧑🏻 E13.1 couple with heart: person, person, medium-dark skin tone, light skin tone</v>
      </c>
      <c r="C3509" t="str">
        <f t="shared" si="327"/>
        <v xml:space="preserve">1F9D1 1F3FE 200D 2764 FE0F 200D 1F9D1 1F3FB </v>
      </c>
      <c r="D3509">
        <f t="shared" si="328"/>
        <v>44</v>
      </c>
      <c r="E3509" t="str">
        <f t="shared" si="324"/>
        <v xml:space="preserve"> 🧑🏾‍❤️‍🧑🏻 E13.1 couple with heart: person, person, medium-dark skin tone, light skin tone</v>
      </c>
      <c r="F3509" t="b">
        <f t="shared" si="329"/>
        <v>1</v>
      </c>
      <c r="G3509" t="str">
        <f t="shared" si="325"/>
        <v>1F9D1</v>
      </c>
      <c r="I3509">
        <f>HEX2DEC(Table1[[#This Row],[utf8]])</f>
        <v>129489</v>
      </c>
      <c r="J3509" t="str">
        <f>_xlfn.UNICHAR(HEX2DEC(Table1[[#This Row],[utf8]]))</f>
        <v>🧑</v>
      </c>
      <c r="K3509" s="3" t="str" cm="1">
        <f t="array" ref="K3509">"Case "&amp;wRandomLetter()&amp;wRandomLetter()&amp;I3509&amp;":    UniConst = ChrW(" &amp; I3509 &amp;")"</f>
        <v>Case PC129489:    UniConst = ChrW(129489)</v>
      </c>
    </row>
    <row r="3510" spans="1:11" hidden="1">
      <c r="A3510" t="s">
        <v>2901</v>
      </c>
      <c r="B3510" t="str">
        <f t="shared" si="326"/>
        <v>1F9D1 1F3FE 200D 2764 FE0F 200D 1F9D1 1F3FC ; fully-qualified # 🧑🏾‍❤️‍🧑🏼 E13.1 couple with heart: person, person, medium-dark skin tone, medium-light skin tone</v>
      </c>
      <c r="C3510" t="str">
        <f t="shared" si="327"/>
        <v xml:space="preserve">1F9D1 1F3FE 200D 2764 FE0F 200D 1F9D1 1F3FC </v>
      </c>
      <c r="D3510">
        <f t="shared" si="328"/>
        <v>44</v>
      </c>
      <c r="E3510" t="str">
        <f t="shared" si="324"/>
        <v xml:space="preserve"> 🧑🏾‍❤️‍🧑🏼 E13.1 couple with heart: person, person, medium-dark skin tone, medium-light skin tone</v>
      </c>
      <c r="F3510" t="b">
        <f t="shared" si="329"/>
        <v>1</v>
      </c>
      <c r="G3510" t="str">
        <f t="shared" si="325"/>
        <v>1F9D1</v>
      </c>
      <c r="I3510">
        <f>HEX2DEC(Table1[[#This Row],[utf8]])</f>
        <v>129489</v>
      </c>
      <c r="J3510" t="str">
        <f>_xlfn.UNICHAR(HEX2DEC(Table1[[#This Row],[utf8]]))</f>
        <v>🧑</v>
      </c>
      <c r="K3510" s="3" t="str" cm="1">
        <f t="array" ref="K3510">"Case "&amp;wRandomLetter()&amp;wRandomLetter()&amp;I3510&amp;":    UniConst = ChrW(" &amp; I3510 &amp;")"</f>
        <v>Case FB129489:    UniConst = ChrW(129489)</v>
      </c>
    </row>
    <row r="3511" spans="1:11" hidden="1">
      <c r="A3511" t="s">
        <v>2903</v>
      </c>
      <c r="B3511" t="str">
        <f t="shared" si="326"/>
        <v>1F9D1 1F3FE 200D 2764 FE0F 200D 1F9D1 1F3FD ; fully-qualified # 🧑🏾‍❤️‍🧑🏽 E13.1 couple with heart: person, person, medium-dark skin tone, medium skin tone</v>
      </c>
      <c r="C3511" t="str">
        <f t="shared" si="327"/>
        <v xml:space="preserve">1F9D1 1F3FE 200D 2764 FE0F 200D 1F9D1 1F3FD </v>
      </c>
      <c r="D3511">
        <f t="shared" si="328"/>
        <v>44</v>
      </c>
      <c r="E3511" t="str">
        <f t="shared" si="324"/>
        <v xml:space="preserve"> 🧑🏾‍❤️‍🧑🏽 E13.1 couple with heart: person, person, medium-dark skin tone, medium skin tone</v>
      </c>
      <c r="F3511" t="b">
        <f t="shared" si="329"/>
        <v>1</v>
      </c>
      <c r="G3511" t="str">
        <f t="shared" si="325"/>
        <v>1F9D1</v>
      </c>
      <c r="I3511">
        <f>HEX2DEC(Table1[[#This Row],[utf8]])</f>
        <v>129489</v>
      </c>
      <c r="J3511" t="str">
        <f>_xlfn.UNICHAR(HEX2DEC(Table1[[#This Row],[utf8]]))</f>
        <v>🧑</v>
      </c>
      <c r="K3511" s="3" t="str" cm="1">
        <f t="array" ref="K3511">"Case "&amp;wRandomLetter()&amp;wRandomLetter()&amp;I3511&amp;":    UniConst = ChrW(" &amp; I3511 &amp;")"</f>
        <v>Case DX129489:    UniConst = ChrW(129489)</v>
      </c>
    </row>
    <row r="3512" spans="1:11" hidden="1">
      <c r="A3512" t="s">
        <v>2905</v>
      </c>
      <c r="B3512" t="str">
        <f t="shared" si="326"/>
        <v>1F9D1 1F3FE 200D 2764 FE0F 200D 1F9D1 1F3FF ; fully-qualified # 🧑🏾‍❤️‍🧑🏿 E13.1 couple with heart: person, person, medium-dark skin tone, dark skin tone</v>
      </c>
      <c r="C3512" t="str">
        <f t="shared" si="327"/>
        <v xml:space="preserve">1F9D1 1F3FE 200D 2764 FE0F 200D 1F9D1 1F3FF </v>
      </c>
      <c r="D3512">
        <f t="shared" si="328"/>
        <v>44</v>
      </c>
      <c r="E3512" t="str">
        <f t="shared" si="324"/>
        <v xml:space="preserve"> 🧑🏾‍❤️‍🧑🏿 E13.1 couple with heart: person, person, medium-dark skin tone, dark skin tone</v>
      </c>
      <c r="F3512" t="b">
        <f t="shared" si="329"/>
        <v>1</v>
      </c>
      <c r="G3512" t="str">
        <f t="shared" si="325"/>
        <v>1F9D1</v>
      </c>
      <c r="I3512">
        <f>HEX2DEC(Table1[[#This Row],[utf8]])</f>
        <v>129489</v>
      </c>
      <c r="J3512" t="str">
        <f>_xlfn.UNICHAR(HEX2DEC(Table1[[#This Row],[utf8]]))</f>
        <v>🧑</v>
      </c>
      <c r="K3512" s="3" t="str" cm="1">
        <f t="array" ref="K3512">"Case "&amp;wRandomLetter()&amp;wRandomLetter()&amp;I3512&amp;":    UniConst = ChrW(" &amp; I3512 &amp;")"</f>
        <v>Case nW129489:    UniConst = ChrW(129489)</v>
      </c>
    </row>
    <row r="3513" spans="1:11" hidden="1">
      <c r="A3513" t="s">
        <v>477</v>
      </c>
      <c r="B3513" t="str">
        <f t="shared" si="326"/>
        <v>1F9D1 1F3FF ; fully-qualified # 🧑🏿 E5.0 person: dark skin tone</v>
      </c>
      <c r="C3513" t="str">
        <f t="shared" si="327"/>
        <v xml:space="preserve">1F9D1 1F3FF </v>
      </c>
      <c r="D3513">
        <f t="shared" si="328"/>
        <v>12</v>
      </c>
      <c r="E3513" t="str">
        <f t="shared" si="324"/>
        <v xml:space="preserve"> 🧑🏿 E5.0 person: dark skin tone</v>
      </c>
      <c r="F3513" t="b">
        <f t="shared" si="329"/>
        <v>1</v>
      </c>
      <c r="G3513" t="str">
        <f t="shared" si="325"/>
        <v>1F9D1</v>
      </c>
      <c r="I3513">
        <f>HEX2DEC(Table1[[#This Row],[utf8]])</f>
        <v>129489</v>
      </c>
      <c r="J3513" t="str">
        <f>_xlfn.UNICHAR(HEX2DEC(Table1[[#This Row],[utf8]]))</f>
        <v>🧑</v>
      </c>
      <c r="K3513" s="3" t="str" cm="1">
        <f t="array" ref="K3513">"Case "&amp;wRandomLetter()&amp;wRandomLetter()&amp;I3513&amp;":    UniConst = ChrW(" &amp; I3513 &amp;")"</f>
        <v>Case FQ129489:    UniConst = ChrW(129489)</v>
      </c>
    </row>
    <row r="3514" spans="1:11" hidden="1">
      <c r="A3514" t="s">
        <v>1055</v>
      </c>
      <c r="B3514" t="str">
        <f t="shared" si="326"/>
        <v>1F9D1 1F3FF 200D 1F33E ; fully-qualified # 🧑🏿‍🌾 E12.1 farmer: dark skin tone</v>
      </c>
      <c r="C3514" t="str">
        <f t="shared" si="327"/>
        <v xml:space="preserve">1F9D1 1F3FF 200D 1F33E </v>
      </c>
      <c r="D3514">
        <f t="shared" si="328"/>
        <v>23</v>
      </c>
      <c r="E3514" t="str">
        <f t="shared" si="324"/>
        <v xml:space="preserve"> 🧑🏿‍🌾 E12.1 farmer: dark skin tone</v>
      </c>
      <c r="F3514" t="b">
        <f t="shared" si="329"/>
        <v>1</v>
      </c>
      <c r="G3514" t="str">
        <f t="shared" si="325"/>
        <v>1F9D1</v>
      </c>
      <c r="I3514">
        <f>HEX2DEC(Table1[[#This Row],[utf8]])</f>
        <v>129489</v>
      </c>
      <c r="J3514" t="str">
        <f>_xlfn.UNICHAR(HEX2DEC(Table1[[#This Row],[utf8]]))</f>
        <v>🧑</v>
      </c>
      <c r="K3514" s="3" t="str" cm="1">
        <f t="array" ref="K3514">"Case "&amp;wRandomLetter()&amp;wRandomLetter()&amp;I3514&amp;":    UniConst = ChrW(" &amp; I3514 &amp;")"</f>
        <v>Case Jq129489:    UniConst = ChrW(129489)</v>
      </c>
    </row>
    <row r="3515" spans="1:11" hidden="1">
      <c r="A3515" t="s">
        <v>1073</v>
      </c>
      <c r="B3515" t="str">
        <f t="shared" si="326"/>
        <v>1F9D1 1F3FF 200D 1F373 ; fully-qualified # 🧑🏿‍🍳 E12.1 cook: dark skin tone</v>
      </c>
      <c r="C3515" t="str">
        <f t="shared" si="327"/>
        <v xml:space="preserve">1F9D1 1F3FF 200D 1F373 </v>
      </c>
      <c r="D3515">
        <f t="shared" si="328"/>
        <v>23</v>
      </c>
      <c r="E3515" t="str">
        <f t="shared" si="324"/>
        <v xml:space="preserve"> 🧑🏿‍🍳 E12.1 cook: dark skin tone</v>
      </c>
      <c r="F3515" t="b">
        <f t="shared" si="329"/>
        <v>1</v>
      </c>
      <c r="G3515" t="str">
        <f t="shared" si="325"/>
        <v>1F9D1</v>
      </c>
      <c r="I3515">
        <f>HEX2DEC(Table1[[#This Row],[utf8]])</f>
        <v>129489</v>
      </c>
      <c r="J3515" t="str">
        <f>_xlfn.UNICHAR(HEX2DEC(Table1[[#This Row],[utf8]]))</f>
        <v>🧑</v>
      </c>
      <c r="K3515" s="3" t="str" cm="1">
        <f t="array" ref="K3515">"Case "&amp;wRandomLetter()&amp;wRandomLetter()&amp;I3515&amp;":    UniConst = ChrW(" &amp; I3515 &amp;")"</f>
        <v>Case Rg129489:    UniConst = ChrW(129489)</v>
      </c>
    </row>
    <row r="3516" spans="1:11" hidden="1">
      <c r="A3516" t="s">
        <v>1558</v>
      </c>
      <c r="B3516" t="str">
        <f t="shared" si="326"/>
        <v>1F9D1 1F3FF 200D 1F37C ; fully-qualified # 🧑🏿‍🍼 E13.0 person feeding baby: dark skin tone</v>
      </c>
      <c r="C3516" t="str">
        <f t="shared" si="327"/>
        <v xml:space="preserve">1F9D1 1F3FF 200D 1F37C </v>
      </c>
      <c r="D3516">
        <f t="shared" si="328"/>
        <v>23</v>
      </c>
      <c r="E3516" t="str">
        <f t="shared" si="324"/>
        <v xml:space="preserve"> 🧑🏿‍🍼 E13.0 person feeding baby: dark skin tone</v>
      </c>
      <c r="F3516" t="b">
        <f t="shared" si="329"/>
        <v>1</v>
      </c>
      <c r="G3516" t="str">
        <f t="shared" si="325"/>
        <v>1F9D1</v>
      </c>
      <c r="I3516">
        <f>HEX2DEC(Table1[[#This Row],[utf8]])</f>
        <v>129489</v>
      </c>
      <c r="J3516" t="str">
        <f>_xlfn.UNICHAR(HEX2DEC(Table1[[#This Row],[utf8]]))</f>
        <v>🧑</v>
      </c>
      <c r="K3516" s="3" t="str" cm="1">
        <f t="array" ref="K3516">"Case "&amp;wRandomLetter()&amp;wRandomLetter()&amp;I3516&amp;":    UniConst = ChrW(" &amp; I3516 &amp;")"</f>
        <v>Case nM129489:    UniConst = ChrW(129489)</v>
      </c>
    </row>
    <row r="3517" spans="1:11" hidden="1">
      <c r="A3517" t="s">
        <v>1583</v>
      </c>
      <c r="B3517" t="str">
        <f t="shared" si="326"/>
        <v>1F9D1 1F3FF 200D 1F384 ; fully-qualified # 🧑🏿‍🎄 E13.0 mx claus: dark skin tone</v>
      </c>
      <c r="C3517" t="str">
        <f t="shared" si="327"/>
        <v xml:space="preserve">1F9D1 1F3FF 200D 1F384 </v>
      </c>
      <c r="D3517">
        <f t="shared" si="328"/>
        <v>23</v>
      </c>
      <c r="E3517" t="str">
        <f t="shared" si="324"/>
        <v xml:space="preserve"> 🧑🏿‍🎄 E13.0 mx claus: dark skin tone</v>
      </c>
      <c r="F3517" t="b">
        <f t="shared" si="329"/>
        <v>1</v>
      </c>
      <c r="G3517" t="str">
        <f t="shared" si="325"/>
        <v>1F9D1</v>
      </c>
      <c r="I3517">
        <f>HEX2DEC(Table1[[#This Row],[utf8]])</f>
        <v>129489</v>
      </c>
      <c r="J3517" t="str">
        <f>_xlfn.UNICHAR(HEX2DEC(Table1[[#This Row],[utf8]]))</f>
        <v>🧑</v>
      </c>
      <c r="K3517" s="3" t="str" cm="1">
        <f t="array" ref="K3517">"Case "&amp;wRandomLetter()&amp;wRandomLetter()&amp;I3517&amp;":    UniConst = ChrW(" &amp; I3517 &amp;")"</f>
        <v>Case fG129489:    UniConst = ChrW(129489)</v>
      </c>
    </row>
    <row r="3518" spans="1:11" hidden="1">
      <c r="A3518" t="s">
        <v>983</v>
      </c>
      <c r="B3518" t="str">
        <f t="shared" si="326"/>
        <v>1F9D1 1F3FF 200D 1F393 ; fully-qualified # 🧑🏿‍🎓 E12.1 student: dark skin tone</v>
      </c>
      <c r="C3518" t="str">
        <f t="shared" si="327"/>
        <v xml:space="preserve">1F9D1 1F3FF 200D 1F393 </v>
      </c>
      <c r="D3518">
        <f t="shared" si="328"/>
        <v>23</v>
      </c>
      <c r="E3518" t="str">
        <f t="shared" si="324"/>
        <v xml:space="preserve"> 🧑🏿‍🎓 E12.1 student: dark skin tone</v>
      </c>
      <c r="F3518" t="b">
        <f t="shared" si="329"/>
        <v>1</v>
      </c>
      <c r="G3518" t="str">
        <f t="shared" si="325"/>
        <v>1F9D1</v>
      </c>
      <c r="I3518">
        <f>HEX2DEC(Table1[[#This Row],[utf8]])</f>
        <v>129489</v>
      </c>
      <c r="J3518" t="str">
        <f>_xlfn.UNICHAR(HEX2DEC(Table1[[#This Row],[utf8]]))</f>
        <v>🧑</v>
      </c>
      <c r="K3518" s="3" t="str" cm="1">
        <f t="array" ref="K3518">"Case "&amp;wRandomLetter()&amp;wRandomLetter()&amp;I3518&amp;":    UniConst = ChrW(" &amp; I3518 &amp;")"</f>
        <v>Case ZO129489:    UniConst = ChrW(129489)</v>
      </c>
    </row>
    <row r="3519" spans="1:11" hidden="1">
      <c r="A3519" t="s">
        <v>1181</v>
      </c>
      <c r="B3519" t="str">
        <f t="shared" si="326"/>
        <v>1F9D1 1F3FF 200D 1F3A4 ; fully-qualified # 🧑🏿‍🎤 E12.1 singer: dark skin tone</v>
      </c>
      <c r="C3519" t="str">
        <f t="shared" si="327"/>
        <v xml:space="preserve">1F9D1 1F3FF 200D 1F3A4 </v>
      </c>
      <c r="D3519">
        <f t="shared" si="328"/>
        <v>23</v>
      </c>
      <c r="E3519" t="str">
        <f t="shared" si="324"/>
        <v xml:space="preserve"> 🧑🏿‍🎤 E12.1 singer: dark skin tone</v>
      </c>
      <c r="F3519" t="b">
        <f t="shared" si="329"/>
        <v>1</v>
      </c>
      <c r="G3519" t="str">
        <f t="shared" si="325"/>
        <v>1F9D1</v>
      </c>
      <c r="I3519">
        <f>HEX2DEC(Table1[[#This Row],[utf8]])</f>
        <v>129489</v>
      </c>
      <c r="J3519" t="str">
        <f>_xlfn.UNICHAR(HEX2DEC(Table1[[#This Row],[utf8]]))</f>
        <v>🧑</v>
      </c>
      <c r="K3519" s="3" t="str" cm="1">
        <f t="array" ref="K3519">"Case "&amp;wRandomLetter()&amp;wRandomLetter()&amp;I3519&amp;":    UniConst = ChrW(" &amp; I3519 &amp;")"</f>
        <v>Case qU129489:    UniConst = ChrW(129489)</v>
      </c>
    </row>
    <row r="3520" spans="1:11" hidden="1">
      <c r="A3520" t="s">
        <v>1199</v>
      </c>
      <c r="B3520" t="str">
        <f t="shared" si="326"/>
        <v>1F9D1 1F3FF 200D 1F3A8 ; fully-qualified # 🧑🏿‍🎨 E12.1 artist: dark skin tone</v>
      </c>
      <c r="C3520" t="str">
        <f t="shared" si="327"/>
        <v xml:space="preserve">1F9D1 1F3FF 200D 1F3A8 </v>
      </c>
      <c r="D3520">
        <f t="shared" si="328"/>
        <v>23</v>
      </c>
      <c r="E3520" t="str">
        <f t="shared" si="324"/>
        <v xml:space="preserve"> 🧑🏿‍🎨 E12.1 artist: dark skin tone</v>
      </c>
      <c r="F3520" t="b">
        <f t="shared" si="329"/>
        <v>1</v>
      </c>
      <c r="G3520" t="str">
        <f t="shared" si="325"/>
        <v>1F9D1</v>
      </c>
      <c r="I3520">
        <f>HEX2DEC(Table1[[#This Row],[utf8]])</f>
        <v>129489</v>
      </c>
      <c r="J3520" t="str">
        <f>_xlfn.UNICHAR(HEX2DEC(Table1[[#This Row],[utf8]]))</f>
        <v>🧑</v>
      </c>
      <c r="K3520" s="3" t="str" cm="1">
        <f t="array" ref="K3520">"Case "&amp;wRandomLetter()&amp;wRandomLetter()&amp;I3520&amp;":    UniConst = ChrW(" &amp; I3520 &amp;")"</f>
        <v>Case yU129489:    UniConst = ChrW(129489)</v>
      </c>
    </row>
    <row r="3521" spans="1:11" hidden="1">
      <c r="A3521" t="s">
        <v>1001</v>
      </c>
      <c r="B3521" t="str">
        <f t="shared" si="326"/>
        <v>1F9D1 1F3FF 200D 1F3EB ; fully-qualified # 🧑🏿‍🏫 E12.1 teacher: dark skin tone</v>
      </c>
      <c r="C3521" t="str">
        <f t="shared" si="327"/>
        <v xml:space="preserve">1F9D1 1F3FF 200D 1F3EB </v>
      </c>
      <c r="D3521">
        <f t="shared" si="328"/>
        <v>23</v>
      </c>
      <c r="E3521" t="str">
        <f t="shared" si="324"/>
        <v xml:space="preserve"> 🧑🏿‍🏫 E12.1 teacher: dark skin tone</v>
      </c>
      <c r="F3521" t="b">
        <f t="shared" si="329"/>
        <v>1</v>
      </c>
      <c r="G3521" t="str">
        <f t="shared" si="325"/>
        <v>1F9D1</v>
      </c>
      <c r="I3521">
        <f>HEX2DEC(Table1[[#This Row],[utf8]])</f>
        <v>129489</v>
      </c>
      <c r="J3521" t="str">
        <f>_xlfn.UNICHAR(HEX2DEC(Table1[[#This Row],[utf8]]))</f>
        <v>🧑</v>
      </c>
      <c r="K3521" s="3" t="str" cm="1">
        <f t="array" ref="K3521">"Case "&amp;wRandomLetter()&amp;wRandomLetter()&amp;I3521&amp;":    UniConst = ChrW(" &amp; I3521 &amp;")"</f>
        <v>Case Nb129489:    UniConst = ChrW(129489)</v>
      </c>
    </row>
    <row r="3522" spans="1:11" hidden="1">
      <c r="A3522" t="s">
        <v>1109</v>
      </c>
      <c r="B3522" t="str">
        <f t="shared" si="326"/>
        <v>1F9D1 1F3FF 200D 1F3ED ; fully-qualified # 🧑🏿‍🏭 E12.1 factory worker: dark skin tone</v>
      </c>
      <c r="C3522" t="str">
        <f t="shared" si="327"/>
        <v xml:space="preserve">1F9D1 1F3FF 200D 1F3ED </v>
      </c>
      <c r="D3522">
        <f t="shared" si="328"/>
        <v>23</v>
      </c>
      <c r="E3522" t="str">
        <f t="shared" ref="E3522:E3585" si="330">MID(A3522,FIND("#",A3522)+1,256)</f>
        <v xml:space="preserve"> 🧑🏿‍🏭 E12.1 factory worker: dark skin tone</v>
      </c>
      <c r="F3522" t="b">
        <f t="shared" si="329"/>
        <v>1</v>
      </c>
      <c r="G3522" t="str">
        <f t="shared" ref="G3522:G3585" si="331">LEFT(C3522,(FIND(" ",C3522,1)-1))</f>
        <v>1F9D1</v>
      </c>
      <c r="I3522">
        <f>HEX2DEC(Table1[[#This Row],[utf8]])</f>
        <v>129489</v>
      </c>
      <c r="J3522" t="str">
        <f>_xlfn.UNICHAR(HEX2DEC(Table1[[#This Row],[utf8]]))</f>
        <v>🧑</v>
      </c>
      <c r="K3522" s="3" t="str" cm="1">
        <f t="array" ref="K3522">"Case "&amp;wRandomLetter()&amp;wRandomLetter()&amp;I3522&amp;":    UniConst = ChrW(" &amp; I3522 &amp;")"</f>
        <v>Case my129489:    UniConst = ChrW(129489)</v>
      </c>
    </row>
    <row r="3523" spans="1:11" hidden="1">
      <c r="A3523" t="s">
        <v>1163</v>
      </c>
      <c r="B3523" t="str">
        <f t="shared" ref="B3523:B3586" si="332">TRIM(A3523)</f>
        <v>1F9D1 1F3FF 200D 1F4BB ; fully-qualified # 🧑🏿‍💻 E12.1 technologist: dark skin tone</v>
      </c>
      <c r="C3523" t="str">
        <f t="shared" ref="C3523:C3586" si="333">LEFT(B3523,(FIND(";",B3523,1)-1))</f>
        <v xml:space="preserve">1F9D1 1F3FF 200D 1F4BB </v>
      </c>
      <c r="D3523">
        <f t="shared" ref="D3523:D3586" si="334">LEN(C3523)</f>
        <v>23</v>
      </c>
      <c r="E3523" t="str">
        <f t="shared" si="330"/>
        <v xml:space="preserve"> 🧑🏿‍💻 E12.1 technologist: dark skin tone</v>
      </c>
      <c r="F3523" t="b">
        <f t="shared" ref="F3523:F3586" si="335">IF(LEFT(C3523,2)="1F",TRUE,FALSE)</f>
        <v>1</v>
      </c>
      <c r="G3523" t="str">
        <f t="shared" si="331"/>
        <v>1F9D1</v>
      </c>
      <c r="I3523">
        <f>HEX2DEC(Table1[[#This Row],[utf8]])</f>
        <v>129489</v>
      </c>
      <c r="J3523" t="str">
        <f>_xlfn.UNICHAR(HEX2DEC(Table1[[#This Row],[utf8]]))</f>
        <v>🧑</v>
      </c>
      <c r="K3523" s="3" t="str" cm="1">
        <f t="array" ref="K3523">"Case "&amp;wRandomLetter()&amp;wRandomLetter()&amp;I3523&amp;":    UniConst = ChrW(" &amp; I3523 &amp;")"</f>
        <v>Case yK129489:    UniConst = ChrW(129489)</v>
      </c>
    </row>
    <row r="3524" spans="1:11" hidden="1">
      <c r="A3524" t="s">
        <v>1127</v>
      </c>
      <c r="B3524" t="str">
        <f t="shared" si="332"/>
        <v>1F9D1 1F3FF 200D 1F4BC ; fully-qualified # 🧑🏿‍💼 E12.1 office worker: dark skin tone</v>
      </c>
      <c r="C3524" t="str">
        <f t="shared" si="333"/>
        <v xml:space="preserve">1F9D1 1F3FF 200D 1F4BC </v>
      </c>
      <c r="D3524">
        <f t="shared" si="334"/>
        <v>23</v>
      </c>
      <c r="E3524" t="str">
        <f t="shared" si="330"/>
        <v xml:space="preserve"> 🧑🏿‍💼 E12.1 office worker: dark skin tone</v>
      </c>
      <c r="F3524" t="b">
        <f t="shared" si="335"/>
        <v>1</v>
      </c>
      <c r="G3524" t="str">
        <f t="shared" si="331"/>
        <v>1F9D1</v>
      </c>
      <c r="I3524">
        <f>HEX2DEC(Table1[[#This Row],[utf8]])</f>
        <v>129489</v>
      </c>
      <c r="J3524" t="str">
        <f>_xlfn.UNICHAR(HEX2DEC(Table1[[#This Row],[utf8]]))</f>
        <v>🧑</v>
      </c>
      <c r="K3524" s="3" t="str" cm="1">
        <f t="array" ref="K3524">"Case "&amp;wRandomLetter()&amp;wRandomLetter()&amp;I3524&amp;":    UniConst = ChrW(" &amp; I3524 &amp;")"</f>
        <v>Case XC129489:    UniConst = ChrW(129489)</v>
      </c>
    </row>
    <row r="3525" spans="1:11" hidden="1">
      <c r="A3525" t="s">
        <v>1091</v>
      </c>
      <c r="B3525" t="str">
        <f t="shared" si="332"/>
        <v>1F9D1 1F3FF 200D 1F527 ; fully-qualified # 🧑🏿‍🔧 E12.1 mechanic: dark skin tone</v>
      </c>
      <c r="C3525" t="str">
        <f t="shared" si="333"/>
        <v xml:space="preserve">1F9D1 1F3FF 200D 1F527 </v>
      </c>
      <c r="D3525">
        <f t="shared" si="334"/>
        <v>23</v>
      </c>
      <c r="E3525" t="str">
        <f t="shared" si="330"/>
        <v xml:space="preserve"> 🧑🏿‍🔧 E12.1 mechanic: dark skin tone</v>
      </c>
      <c r="F3525" t="b">
        <f t="shared" si="335"/>
        <v>1</v>
      </c>
      <c r="G3525" t="str">
        <f t="shared" si="331"/>
        <v>1F9D1</v>
      </c>
      <c r="I3525">
        <f>HEX2DEC(Table1[[#This Row],[utf8]])</f>
        <v>129489</v>
      </c>
      <c r="J3525" t="str">
        <f>_xlfn.UNICHAR(HEX2DEC(Table1[[#This Row],[utf8]]))</f>
        <v>🧑</v>
      </c>
      <c r="K3525" s="3" t="str" cm="1">
        <f t="array" ref="K3525">"Case "&amp;wRandomLetter()&amp;wRandomLetter()&amp;I3525&amp;":    UniConst = ChrW(" &amp; I3525 &amp;")"</f>
        <v>Case AE129489:    UniConst = ChrW(129489)</v>
      </c>
    </row>
    <row r="3526" spans="1:11" hidden="1">
      <c r="A3526" t="s">
        <v>1145</v>
      </c>
      <c r="B3526" t="str">
        <f t="shared" si="332"/>
        <v>1F9D1 1F3FF 200D 1F52C ; fully-qualified # 🧑🏿‍🔬 E12.1 scientist: dark skin tone</v>
      </c>
      <c r="C3526" t="str">
        <f t="shared" si="333"/>
        <v xml:space="preserve">1F9D1 1F3FF 200D 1F52C </v>
      </c>
      <c r="D3526">
        <f t="shared" si="334"/>
        <v>23</v>
      </c>
      <c r="E3526" t="str">
        <f t="shared" si="330"/>
        <v xml:space="preserve"> 🧑🏿‍🔬 E12.1 scientist: dark skin tone</v>
      </c>
      <c r="F3526" t="b">
        <f t="shared" si="335"/>
        <v>1</v>
      </c>
      <c r="G3526" t="str">
        <f t="shared" si="331"/>
        <v>1F9D1</v>
      </c>
      <c r="I3526">
        <f>HEX2DEC(Table1[[#This Row],[utf8]])</f>
        <v>129489</v>
      </c>
      <c r="J3526" t="str">
        <f>_xlfn.UNICHAR(HEX2DEC(Table1[[#This Row],[utf8]]))</f>
        <v>🧑</v>
      </c>
      <c r="K3526" s="3" t="str" cm="1">
        <f t="array" ref="K3526">"Case "&amp;wRandomLetter()&amp;wRandomLetter()&amp;I3526&amp;":    UniConst = ChrW(" &amp; I3526 &amp;")"</f>
        <v>Case QA129489:    UniConst = ChrW(129489)</v>
      </c>
    </row>
    <row r="3527" spans="1:11" hidden="1">
      <c r="A3527" t="s">
        <v>1253</v>
      </c>
      <c r="B3527" t="str">
        <f t="shared" si="332"/>
        <v>1F9D1 1F3FF 200D 1F680 ; fully-qualified # 🧑🏿‍🚀 E12.1 astronaut: dark skin tone</v>
      </c>
      <c r="C3527" t="str">
        <f t="shared" si="333"/>
        <v xml:space="preserve">1F9D1 1F3FF 200D 1F680 </v>
      </c>
      <c r="D3527">
        <f t="shared" si="334"/>
        <v>23</v>
      </c>
      <c r="E3527" t="str">
        <f t="shared" si="330"/>
        <v xml:space="preserve"> 🧑🏿‍🚀 E12.1 astronaut: dark skin tone</v>
      </c>
      <c r="F3527" t="b">
        <f t="shared" si="335"/>
        <v>1</v>
      </c>
      <c r="G3527" t="str">
        <f t="shared" si="331"/>
        <v>1F9D1</v>
      </c>
      <c r="I3527">
        <f>HEX2DEC(Table1[[#This Row],[utf8]])</f>
        <v>129489</v>
      </c>
      <c r="J3527" t="str">
        <f>_xlfn.UNICHAR(HEX2DEC(Table1[[#This Row],[utf8]]))</f>
        <v>🧑</v>
      </c>
      <c r="K3527" s="3" t="str" cm="1">
        <f t="array" ref="K3527">"Case "&amp;wRandomLetter()&amp;wRandomLetter()&amp;I3527&amp;":    UniConst = ChrW(" &amp; I3527 &amp;")"</f>
        <v>Case co129489:    UniConst = ChrW(129489)</v>
      </c>
    </row>
    <row r="3528" spans="1:11" hidden="1">
      <c r="A3528" t="s">
        <v>1271</v>
      </c>
      <c r="B3528" t="str">
        <f t="shared" si="332"/>
        <v>1F9D1 1F3FF 200D 1F692 ; fully-qualified # 🧑🏿‍🚒 E12.1 firefighter: dark skin tone</v>
      </c>
      <c r="C3528" t="str">
        <f t="shared" si="333"/>
        <v xml:space="preserve">1F9D1 1F3FF 200D 1F692 </v>
      </c>
      <c r="D3528">
        <f t="shared" si="334"/>
        <v>23</v>
      </c>
      <c r="E3528" t="str">
        <f t="shared" si="330"/>
        <v xml:space="preserve"> 🧑🏿‍🚒 E12.1 firefighter: dark skin tone</v>
      </c>
      <c r="F3528" t="b">
        <f t="shared" si="335"/>
        <v>1</v>
      </c>
      <c r="G3528" t="str">
        <f t="shared" si="331"/>
        <v>1F9D1</v>
      </c>
      <c r="I3528">
        <f>HEX2DEC(Table1[[#This Row],[utf8]])</f>
        <v>129489</v>
      </c>
      <c r="J3528" t="str">
        <f>_xlfn.UNICHAR(HEX2DEC(Table1[[#This Row],[utf8]]))</f>
        <v>🧑</v>
      </c>
      <c r="K3528" s="3" t="str" cm="1">
        <f t="array" ref="K3528">"Case "&amp;wRandomLetter()&amp;wRandomLetter()&amp;I3528&amp;":    UniConst = ChrW(" &amp; I3528 &amp;")"</f>
        <v>Case bG129489:    UniConst = ChrW(129489)</v>
      </c>
    </row>
    <row r="3529" spans="1:11" hidden="1">
      <c r="A3529" t="s">
        <v>2584</v>
      </c>
      <c r="B3529" t="str">
        <f t="shared" si="332"/>
        <v>1F9D1 1F3FF 200D 1F91D 200D 1F9D1 1F3FB ; fully-qualified # 🧑🏿‍🤝‍🧑🏻 E12.0 people holding hands: dark skin tone, light skin tone</v>
      </c>
      <c r="C3529" t="str">
        <f t="shared" si="333"/>
        <v xml:space="preserve">1F9D1 1F3FF 200D 1F91D 200D 1F9D1 1F3FB </v>
      </c>
      <c r="D3529">
        <f t="shared" si="334"/>
        <v>40</v>
      </c>
      <c r="E3529" t="str">
        <f t="shared" si="330"/>
        <v xml:space="preserve"> 🧑🏿‍🤝‍🧑🏻 E12.0 people holding hands: dark skin tone, light skin tone</v>
      </c>
      <c r="F3529" t="b">
        <f t="shared" si="335"/>
        <v>1</v>
      </c>
      <c r="G3529" t="str">
        <f t="shared" si="331"/>
        <v>1F9D1</v>
      </c>
      <c r="I3529">
        <f>HEX2DEC(Table1[[#This Row],[utf8]])</f>
        <v>129489</v>
      </c>
      <c r="J3529" t="str">
        <f>_xlfn.UNICHAR(HEX2DEC(Table1[[#This Row],[utf8]]))</f>
        <v>🧑</v>
      </c>
      <c r="K3529" s="3" t="str" cm="1">
        <f t="array" ref="K3529">"Case "&amp;wRandomLetter()&amp;wRandomLetter()&amp;I3529&amp;":    UniConst = ChrW(" &amp; I3529 &amp;")"</f>
        <v>Case IK129489:    UniConst = ChrW(129489)</v>
      </c>
    </row>
    <row r="3530" spans="1:11" hidden="1">
      <c r="A3530" t="s">
        <v>2585</v>
      </c>
      <c r="B3530" t="str">
        <f t="shared" si="332"/>
        <v>1F9D1 1F3FF 200D 1F91D 200D 1F9D1 1F3FC ; fully-qualified # 🧑🏿‍🤝‍🧑🏼 E12.0 people holding hands: dark skin tone, medium-light skin tone</v>
      </c>
      <c r="C3530" t="str">
        <f t="shared" si="333"/>
        <v xml:space="preserve">1F9D1 1F3FF 200D 1F91D 200D 1F9D1 1F3FC </v>
      </c>
      <c r="D3530">
        <f t="shared" si="334"/>
        <v>40</v>
      </c>
      <c r="E3530" t="str">
        <f t="shared" si="330"/>
        <v xml:space="preserve"> 🧑🏿‍🤝‍🧑🏼 E12.0 people holding hands: dark skin tone, medium-light skin tone</v>
      </c>
      <c r="F3530" t="b">
        <f t="shared" si="335"/>
        <v>1</v>
      </c>
      <c r="G3530" t="str">
        <f t="shared" si="331"/>
        <v>1F9D1</v>
      </c>
      <c r="I3530">
        <f>HEX2DEC(Table1[[#This Row],[utf8]])</f>
        <v>129489</v>
      </c>
      <c r="J3530" t="str">
        <f>_xlfn.UNICHAR(HEX2DEC(Table1[[#This Row],[utf8]]))</f>
        <v>🧑</v>
      </c>
      <c r="K3530" s="3" t="str" cm="1">
        <f t="array" ref="K3530">"Case "&amp;wRandomLetter()&amp;wRandomLetter()&amp;I3530&amp;":    UniConst = ChrW(" &amp; I3530 &amp;")"</f>
        <v>Case Zo129489:    UniConst = ChrW(129489)</v>
      </c>
    </row>
    <row r="3531" spans="1:11" hidden="1">
      <c r="A3531" t="s">
        <v>2586</v>
      </c>
      <c r="B3531" t="str">
        <f t="shared" si="332"/>
        <v>1F9D1 1F3FF 200D 1F91D 200D 1F9D1 1F3FD ; fully-qualified # 🧑🏿‍🤝‍🧑🏽 E12.0 people holding hands: dark skin tone, medium skin tone</v>
      </c>
      <c r="C3531" t="str">
        <f t="shared" si="333"/>
        <v xml:space="preserve">1F9D1 1F3FF 200D 1F91D 200D 1F9D1 1F3FD </v>
      </c>
      <c r="D3531">
        <f t="shared" si="334"/>
        <v>40</v>
      </c>
      <c r="E3531" t="str">
        <f t="shared" si="330"/>
        <v xml:space="preserve"> 🧑🏿‍🤝‍🧑🏽 E12.0 people holding hands: dark skin tone, medium skin tone</v>
      </c>
      <c r="F3531" t="b">
        <f t="shared" si="335"/>
        <v>1</v>
      </c>
      <c r="G3531" t="str">
        <f t="shared" si="331"/>
        <v>1F9D1</v>
      </c>
      <c r="I3531">
        <f>HEX2DEC(Table1[[#This Row],[utf8]])</f>
        <v>129489</v>
      </c>
      <c r="J3531" t="str">
        <f>_xlfn.UNICHAR(HEX2DEC(Table1[[#This Row],[utf8]]))</f>
        <v>🧑</v>
      </c>
      <c r="K3531" s="3" t="str" cm="1">
        <f t="array" ref="K3531">"Case "&amp;wRandomLetter()&amp;wRandomLetter()&amp;I3531&amp;":    UniConst = ChrW(" &amp; I3531 &amp;")"</f>
        <v>Case Ro129489:    UniConst = ChrW(129489)</v>
      </c>
    </row>
    <row r="3532" spans="1:11" hidden="1">
      <c r="A3532" t="s">
        <v>2587</v>
      </c>
      <c r="B3532" t="str">
        <f t="shared" si="332"/>
        <v>1F9D1 1F3FF 200D 1F91D 200D 1F9D1 1F3FE ; fully-qualified # 🧑🏿‍🤝‍🧑🏾 E12.0 people holding hands: dark skin tone, medium-dark skin tone</v>
      </c>
      <c r="C3532" t="str">
        <f t="shared" si="333"/>
        <v xml:space="preserve">1F9D1 1F3FF 200D 1F91D 200D 1F9D1 1F3FE </v>
      </c>
      <c r="D3532">
        <f t="shared" si="334"/>
        <v>40</v>
      </c>
      <c r="E3532" t="str">
        <f t="shared" si="330"/>
        <v xml:space="preserve"> 🧑🏿‍🤝‍🧑🏾 E12.0 people holding hands: dark skin tone, medium-dark skin tone</v>
      </c>
      <c r="F3532" t="b">
        <f t="shared" si="335"/>
        <v>1</v>
      </c>
      <c r="G3532" t="str">
        <f t="shared" si="331"/>
        <v>1F9D1</v>
      </c>
      <c r="I3532">
        <f>HEX2DEC(Table1[[#This Row],[utf8]])</f>
        <v>129489</v>
      </c>
      <c r="J3532" t="str">
        <f>_xlfn.UNICHAR(HEX2DEC(Table1[[#This Row],[utf8]]))</f>
        <v>🧑</v>
      </c>
      <c r="K3532" s="3" t="str" cm="1">
        <f t="array" ref="K3532">"Case "&amp;wRandomLetter()&amp;wRandomLetter()&amp;I3532&amp;":    UniConst = ChrW(" &amp; I3532 &amp;")"</f>
        <v>Case pW129489:    UniConst = ChrW(129489)</v>
      </c>
    </row>
    <row r="3533" spans="1:11" hidden="1">
      <c r="A3533" t="s">
        <v>2588</v>
      </c>
      <c r="B3533" t="str">
        <f t="shared" si="332"/>
        <v>1F9D1 1F3FF 200D 1F91D 200D 1F9D1 1F3FF ; fully-qualified # 🧑🏿‍🤝‍🧑🏿 E12.0 people holding hands: dark skin tone</v>
      </c>
      <c r="C3533" t="str">
        <f t="shared" si="333"/>
        <v xml:space="preserve">1F9D1 1F3FF 200D 1F91D 200D 1F9D1 1F3FF </v>
      </c>
      <c r="D3533">
        <f t="shared" si="334"/>
        <v>40</v>
      </c>
      <c r="E3533" t="str">
        <f t="shared" si="330"/>
        <v xml:space="preserve"> 🧑🏿‍🤝‍🧑🏿 E12.0 people holding hands: dark skin tone</v>
      </c>
      <c r="F3533" t="b">
        <f t="shared" si="335"/>
        <v>1</v>
      </c>
      <c r="G3533" t="str">
        <f t="shared" si="331"/>
        <v>1F9D1</v>
      </c>
      <c r="I3533">
        <f>HEX2DEC(Table1[[#This Row],[utf8]])</f>
        <v>129489</v>
      </c>
      <c r="J3533" t="str">
        <f>_xlfn.UNICHAR(HEX2DEC(Table1[[#This Row],[utf8]]))</f>
        <v>🧑</v>
      </c>
      <c r="K3533" s="3" t="str" cm="1">
        <f t="array" ref="K3533">"Case "&amp;wRandomLetter()&amp;wRandomLetter()&amp;I3533&amp;":    UniConst = ChrW(" &amp; I3533 &amp;")"</f>
        <v>Case Wh129489:    UniConst = ChrW(129489)</v>
      </c>
    </row>
    <row r="3534" spans="1:11" hidden="1">
      <c r="A3534" t="s">
        <v>1960</v>
      </c>
      <c r="B3534" t="str">
        <f t="shared" si="332"/>
        <v>1F9D1 1F3FF 200D 1F9AF ; fully-qualified # 🧑🏿‍🦯 E12.1 person with white cane: dark skin tone</v>
      </c>
      <c r="C3534" t="str">
        <f t="shared" si="333"/>
        <v xml:space="preserve">1F9D1 1F3FF 200D 1F9AF </v>
      </c>
      <c r="D3534">
        <f t="shared" si="334"/>
        <v>23</v>
      </c>
      <c r="E3534" t="str">
        <f t="shared" si="330"/>
        <v xml:space="preserve"> 🧑🏿‍🦯 E12.1 person with white cane: dark skin tone</v>
      </c>
      <c r="F3534" t="b">
        <f t="shared" si="335"/>
        <v>1</v>
      </c>
      <c r="G3534" t="str">
        <f t="shared" si="331"/>
        <v>1F9D1</v>
      </c>
      <c r="I3534">
        <f>HEX2DEC(Table1[[#This Row],[utf8]])</f>
        <v>129489</v>
      </c>
      <c r="J3534" t="str">
        <f>_xlfn.UNICHAR(HEX2DEC(Table1[[#This Row],[utf8]]))</f>
        <v>🧑</v>
      </c>
      <c r="K3534" s="3" t="str" cm="1">
        <f t="array" ref="K3534">"Case "&amp;wRandomLetter()&amp;wRandomLetter()&amp;I3534&amp;":    UniConst = ChrW(" &amp; I3534 &amp;")"</f>
        <v>Case hq129489:    UniConst = ChrW(129489)</v>
      </c>
    </row>
    <row r="3535" spans="1:11" hidden="1">
      <c r="A3535" t="s">
        <v>561</v>
      </c>
      <c r="B3535" t="str">
        <f t="shared" si="332"/>
        <v>1F9D1 1F3FF 200D 1F9B0 ; fully-qualified # 🧑🏿‍🦰 E12.1 person: dark skin tone, red hair</v>
      </c>
      <c r="C3535" t="str">
        <f t="shared" si="333"/>
        <v xml:space="preserve">1F9D1 1F3FF 200D 1F9B0 </v>
      </c>
      <c r="D3535">
        <f t="shared" si="334"/>
        <v>23</v>
      </c>
      <c r="E3535" t="str">
        <f t="shared" si="330"/>
        <v xml:space="preserve"> 🧑🏿‍🦰 E12.1 person: dark skin tone, red hair</v>
      </c>
      <c r="F3535" t="b">
        <f t="shared" si="335"/>
        <v>1</v>
      </c>
      <c r="G3535" t="str">
        <f t="shared" si="331"/>
        <v>1F9D1</v>
      </c>
      <c r="I3535">
        <f>HEX2DEC(Table1[[#This Row],[utf8]])</f>
        <v>129489</v>
      </c>
      <c r="J3535" t="str">
        <f>_xlfn.UNICHAR(HEX2DEC(Table1[[#This Row],[utf8]]))</f>
        <v>🧑</v>
      </c>
      <c r="K3535" s="3" t="str" cm="1">
        <f t="array" ref="K3535">"Case "&amp;wRandomLetter()&amp;wRandomLetter()&amp;I3535&amp;":    UniConst = ChrW(" &amp; I3535 &amp;")"</f>
        <v>Case kt129489:    UniConst = ChrW(129489)</v>
      </c>
    </row>
    <row r="3536" spans="1:11" hidden="1">
      <c r="A3536" t="s">
        <v>573</v>
      </c>
      <c r="B3536" t="str">
        <f t="shared" si="332"/>
        <v>1F9D1 1F3FF 200D 1F9B1 ; fully-qualified # 🧑🏿‍🦱 E12.1 person: dark skin tone, curly hair</v>
      </c>
      <c r="C3536" t="str">
        <f t="shared" si="333"/>
        <v xml:space="preserve">1F9D1 1F3FF 200D 1F9B1 </v>
      </c>
      <c r="D3536">
        <f t="shared" si="334"/>
        <v>23</v>
      </c>
      <c r="E3536" t="str">
        <f t="shared" si="330"/>
        <v xml:space="preserve"> 🧑🏿‍🦱 E12.1 person: dark skin tone, curly hair</v>
      </c>
      <c r="F3536" t="b">
        <f t="shared" si="335"/>
        <v>1</v>
      </c>
      <c r="G3536" t="str">
        <f t="shared" si="331"/>
        <v>1F9D1</v>
      </c>
      <c r="I3536">
        <f>HEX2DEC(Table1[[#This Row],[utf8]])</f>
        <v>129489</v>
      </c>
      <c r="J3536" t="str">
        <f>_xlfn.UNICHAR(HEX2DEC(Table1[[#This Row],[utf8]]))</f>
        <v>🧑</v>
      </c>
      <c r="K3536" s="3" t="str" cm="1">
        <f t="array" ref="K3536">"Case "&amp;wRandomLetter()&amp;wRandomLetter()&amp;I3536&amp;":    UniConst = ChrW(" &amp; I3536 &amp;")"</f>
        <v>Case mO129489:    UniConst = ChrW(129489)</v>
      </c>
    </row>
    <row r="3537" spans="1:11" hidden="1">
      <c r="A3537" t="s">
        <v>597</v>
      </c>
      <c r="B3537" t="str">
        <f t="shared" si="332"/>
        <v>1F9D1 1F3FF 200D 1F9B2 ; fully-qualified # 🧑🏿‍🦲 E12.1 person: dark skin tone, bald</v>
      </c>
      <c r="C3537" t="str">
        <f t="shared" si="333"/>
        <v xml:space="preserve">1F9D1 1F3FF 200D 1F9B2 </v>
      </c>
      <c r="D3537">
        <f t="shared" si="334"/>
        <v>23</v>
      </c>
      <c r="E3537" t="str">
        <f t="shared" si="330"/>
        <v xml:space="preserve"> 🧑🏿‍🦲 E12.1 person: dark skin tone, bald</v>
      </c>
      <c r="F3537" t="b">
        <f t="shared" si="335"/>
        <v>1</v>
      </c>
      <c r="G3537" t="str">
        <f t="shared" si="331"/>
        <v>1F9D1</v>
      </c>
      <c r="I3537">
        <f>HEX2DEC(Table1[[#This Row],[utf8]])</f>
        <v>129489</v>
      </c>
      <c r="J3537" t="str">
        <f>_xlfn.UNICHAR(HEX2DEC(Table1[[#This Row],[utf8]]))</f>
        <v>🧑</v>
      </c>
      <c r="K3537" s="3" t="str" cm="1">
        <f t="array" ref="K3537">"Case "&amp;wRandomLetter()&amp;wRandomLetter()&amp;I3537&amp;":    UniConst = ChrW(" &amp; I3537 &amp;")"</f>
        <v>Case MG129489:    UniConst = ChrW(129489)</v>
      </c>
    </row>
    <row r="3538" spans="1:11" hidden="1">
      <c r="A3538" t="s">
        <v>585</v>
      </c>
      <c r="B3538" t="str">
        <f t="shared" si="332"/>
        <v>1F9D1 1F3FF 200D 1F9B3 ; fully-qualified # 🧑🏿‍🦳 E12.1 person: dark skin tone, white hair</v>
      </c>
      <c r="C3538" t="str">
        <f t="shared" si="333"/>
        <v xml:space="preserve">1F9D1 1F3FF 200D 1F9B3 </v>
      </c>
      <c r="D3538">
        <f t="shared" si="334"/>
        <v>23</v>
      </c>
      <c r="E3538" t="str">
        <f t="shared" si="330"/>
        <v xml:space="preserve"> 🧑🏿‍🦳 E12.1 person: dark skin tone, white hair</v>
      </c>
      <c r="F3538" t="b">
        <f t="shared" si="335"/>
        <v>1</v>
      </c>
      <c r="G3538" t="str">
        <f t="shared" si="331"/>
        <v>1F9D1</v>
      </c>
      <c r="I3538">
        <f>HEX2DEC(Table1[[#This Row],[utf8]])</f>
        <v>129489</v>
      </c>
      <c r="J3538" t="str">
        <f>_xlfn.UNICHAR(HEX2DEC(Table1[[#This Row],[utf8]]))</f>
        <v>🧑</v>
      </c>
      <c r="K3538" s="3" t="str" cm="1">
        <f t="array" ref="K3538">"Case "&amp;wRandomLetter()&amp;wRandomLetter()&amp;I3538&amp;":    UniConst = ChrW(" &amp; I3538 &amp;")"</f>
        <v>Case Gh129489:    UniConst = ChrW(129489)</v>
      </c>
    </row>
    <row r="3539" spans="1:11" hidden="1">
      <c r="A3539" t="s">
        <v>1978</v>
      </c>
      <c r="B3539" t="str">
        <f t="shared" si="332"/>
        <v>1F9D1 1F3FF 200D 1F9BC ; fully-qualified # 🧑🏿‍🦼 E12.1 person in motorized wheelchair: dark skin tone</v>
      </c>
      <c r="C3539" t="str">
        <f t="shared" si="333"/>
        <v xml:space="preserve">1F9D1 1F3FF 200D 1F9BC </v>
      </c>
      <c r="D3539">
        <f t="shared" si="334"/>
        <v>23</v>
      </c>
      <c r="E3539" t="str">
        <f t="shared" si="330"/>
        <v xml:space="preserve"> 🧑🏿‍🦼 E12.1 person in motorized wheelchair: dark skin tone</v>
      </c>
      <c r="F3539" t="b">
        <f t="shared" si="335"/>
        <v>1</v>
      </c>
      <c r="G3539" t="str">
        <f t="shared" si="331"/>
        <v>1F9D1</v>
      </c>
      <c r="I3539">
        <f>HEX2DEC(Table1[[#This Row],[utf8]])</f>
        <v>129489</v>
      </c>
      <c r="J3539" t="str">
        <f>_xlfn.UNICHAR(HEX2DEC(Table1[[#This Row],[utf8]]))</f>
        <v>🧑</v>
      </c>
      <c r="K3539" s="3" t="str" cm="1">
        <f t="array" ref="K3539">"Case "&amp;wRandomLetter()&amp;wRandomLetter()&amp;I3539&amp;":    UniConst = ChrW(" &amp; I3539 &amp;")"</f>
        <v>Case rP129489:    UniConst = ChrW(129489)</v>
      </c>
    </row>
    <row r="3540" spans="1:11" hidden="1">
      <c r="A3540" t="s">
        <v>1996</v>
      </c>
      <c r="B3540" t="str">
        <f t="shared" si="332"/>
        <v>1F9D1 1F3FF 200D 1F9BD ; fully-qualified # 🧑🏿‍🦽 E12.1 person in manual wheelchair: dark skin tone</v>
      </c>
      <c r="C3540" t="str">
        <f t="shared" si="333"/>
        <v xml:space="preserve">1F9D1 1F3FF 200D 1F9BD </v>
      </c>
      <c r="D3540">
        <f t="shared" si="334"/>
        <v>23</v>
      </c>
      <c r="E3540" t="str">
        <f t="shared" si="330"/>
        <v xml:space="preserve"> 🧑🏿‍🦽 E12.1 person in manual wheelchair: dark skin tone</v>
      </c>
      <c r="F3540" t="b">
        <f t="shared" si="335"/>
        <v>1</v>
      </c>
      <c r="G3540" t="str">
        <f t="shared" si="331"/>
        <v>1F9D1</v>
      </c>
      <c r="I3540">
        <f>HEX2DEC(Table1[[#This Row],[utf8]])</f>
        <v>129489</v>
      </c>
      <c r="J3540" t="str">
        <f>_xlfn.UNICHAR(HEX2DEC(Table1[[#This Row],[utf8]]))</f>
        <v>🧑</v>
      </c>
      <c r="K3540" s="3" t="str" cm="1">
        <f t="array" ref="K3540">"Case "&amp;wRandomLetter()&amp;wRandomLetter()&amp;I3540&amp;":    UniConst = ChrW(" &amp; I3540 &amp;")"</f>
        <v>Case xx129489:    UniConst = ChrW(129489)</v>
      </c>
    </row>
    <row r="3541" spans="1:11" hidden="1">
      <c r="A3541" t="s">
        <v>953</v>
      </c>
      <c r="B3541" t="str">
        <f t="shared" si="332"/>
        <v>1F9D1 1F3FF 200D 2695 ; minimally-qualified # 🧑🏿‍⚕ E12.1 health worker: dark skin tone</v>
      </c>
      <c r="C3541" t="str">
        <f t="shared" si="333"/>
        <v xml:space="preserve">1F9D1 1F3FF 200D 2695 </v>
      </c>
      <c r="D3541">
        <f t="shared" si="334"/>
        <v>22</v>
      </c>
      <c r="E3541" t="str">
        <f t="shared" si="330"/>
        <v xml:space="preserve"> 🧑🏿‍⚕ E12.1 health worker: dark skin tone</v>
      </c>
      <c r="F3541" t="b">
        <f t="shared" si="335"/>
        <v>1</v>
      </c>
      <c r="G3541" t="str">
        <f t="shared" si="331"/>
        <v>1F9D1</v>
      </c>
      <c r="I3541">
        <f>HEX2DEC(Table1[[#This Row],[utf8]])</f>
        <v>129489</v>
      </c>
      <c r="J3541" t="str">
        <f>_xlfn.UNICHAR(HEX2DEC(Table1[[#This Row],[utf8]]))</f>
        <v>🧑</v>
      </c>
      <c r="K3541" s="3" t="str" cm="1">
        <f t="array" ref="K3541">"Case "&amp;wRandomLetter()&amp;wRandomLetter()&amp;I3541&amp;":    UniConst = ChrW(" &amp; I3541 &amp;")"</f>
        <v>Case Qk129489:    UniConst = ChrW(129489)</v>
      </c>
    </row>
    <row r="3542" spans="1:11" hidden="1">
      <c r="A3542" t="s">
        <v>952</v>
      </c>
      <c r="B3542" t="str">
        <f t="shared" si="332"/>
        <v>1F9D1 1F3FF 200D 2695 FE0F ; fully-qualified # 🧑🏿‍⚕️ E12.1 health worker: dark skin tone</v>
      </c>
      <c r="C3542" t="str">
        <f t="shared" si="333"/>
        <v xml:space="preserve">1F9D1 1F3FF 200D 2695 FE0F </v>
      </c>
      <c r="D3542">
        <f t="shared" si="334"/>
        <v>27</v>
      </c>
      <c r="E3542" t="str">
        <f t="shared" si="330"/>
        <v xml:space="preserve"> 🧑🏿‍⚕️ E12.1 health worker: dark skin tone</v>
      </c>
      <c r="F3542" t="b">
        <f t="shared" si="335"/>
        <v>1</v>
      </c>
      <c r="G3542" t="str">
        <f t="shared" si="331"/>
        <v>1F9D1</v>
      </c>
      <c r="I3542">
        <f>HEX2DEC(Table1[[#This Row],[utf8]])</f>
        <v>129489</v>
      </c>
      <c r="J3542" t="str">
        <f>_xlfn.UNICHAR(HEX2DEC(Table1[[#This Row],[utf8]]))</f>
        <v>🧑</v>
      </c>
      <c r="K3542" s="3" t="str" cm="1">
        <f t="array" ref="K3542">"Case "&amp;wRandomLetter()&amp;wRandomLetter()&amp;I3542&amp;":    UniConst = ChrW(" &amp; I3542 &amp;")"</f>
        <v>Case xx129489:    UniConst = ChrW(129489)</v>
      </c>
    </row>
    <row r="3543" spans="1:11" hidden="1">
      <c r="A3543" t="s">
        <v>1025</v>
      </c>
      <c r="B3543" t="str">
        <f t="shared" si="332"/>
        <v>1F9D1 1F3FF 200D 2696 ; minimally-qualified # 🧑🏿‍⚖ E12.1 judge: dark skin tone</v>
      </c>
      <c r="C3543" t="str">
        <f t="shared" si="333"/>
        <v xml:space="preserve">1F9D1 1F3FF 200D 2696 </v>
      </c>
      <c r="D3543">
        <f t="shared" si="334"/>
        <v>22</v>
      </c>
      <c r="E3543" t="str">
        <f t="shared" si="330"/>
        <v xml:space="preserve"> 🧑🏿‍⚖ E12.1 judge: dark skin tone</v>
      </c>
      <c r="F3543" t="b">
        <f t="shared" si="335"/>
        <v>1</v>
      </c>
      <c r="G3543" t="str">
        <f t="shared" si="331"/>
        <v>1F9D1</v>
      </c>
      <c r="I3543">
        <f>HEX2DEC(Table1[[#This Row],[utf8]])</f>
        <v>129489</v>
      </c>
      <c r="J3543" t="str">
        <f>_xlfn.UNICHAR(HEX2DEC(Table1[[#This Row],[utf8]]))</f>
        <v>🧑</v>
      </c>
      <c r="K3543" s="3" t="str" cm="1">
        <f t="array" ref="K3543">"Case "&amp;wRandomLetter()&amp;wRandomLetter()&amp;I3543&amp;":    UniConst = ChrW(" &amp; I3543 &amp;")"</f>
        <v>Case ga129489:    UniConst = ChrW(129489)</v>
      </c>
    </row>
    <row r="3544" spans="1:11" hidden="1">
      <c r="A3544" t="s">
        <v>1024</v>
      </c>
      <c r="B3544" t="str">
        <f t="shared" si="332"/>
        <v>1F9D1 1F3FF 200D 2696 FE0F ; fully-qualified # 🧑🏿‍⚖️ E12.1 judge: dark skin tone</v>
      </c>
      <c r="C3544" t="str">
        <f t="shared" si="333"/>
        <v xml:space="preserve">1F9D1 1F3FF 200D 2696 FE0F </v>
      </c>
      <c r="D3544">
        <f t="shared" si="334"/>
        <v>27</v>
      </c>
      <c r="E3544" t="str">
        <f t="shared" si="330"/>
        <v xml:space="preserve"> 🧑🏿‍⚖️ E12.1 judge: dark skin tone</v>
      </c>
      <c r="F3544" t="b">
        <f t="shared" si="335"/>
        <v>1</v>
      </c>
      <c r="G3544" t="str">
        <f t="shared" si="331"/>
        <v>1F9D1</v>
      </c>
      <c r="I3544">
        <f>HEX2DEC(Table1[[#This Row],[utf8]])</f>
        <v>129489</v>
      </c>
      <c r="J3544" t="str">
        <f>_xlfn.UNICHAR(HEX2DEC(Table1[[#This Row],[utf8]]))</f>
        <v>🧑</v>
      </c>
      <c r="K3544" s="3" t="str" cm="1">
        <f t="array" ref="K3544">"Case "&amp;wRandomLetter()&amp;wRandomLetter()&amp;I3544&amp;":    UniConst = ChrW(" &amp; I3544 &amp;")"</f>
        <v>Case Jj129489:    UniConst = ChrW(129489)</v>
      </c>
    </row>
    <row r="3545" spans="1:11" hidden="1">
      <c r="A3545" t="s">
        <v>1223</v>
      </c>
      <c r="B3545" t="str">
        <f t="shared" si="332"/>
        <v>1F9D1 1F3FF 200D 2708 ; minimally-qualified # 🧑🏿‍✈ E12.1 pilot: dark skin tone</v>
      </c>
      <c r="C3545" t="str">
        <f t="shared" si="333"/>
        <v xml:space="preserve">1F9D1 1F3FF 200D 2708 </v>
      </c>
      <c r="D3545">
        <f t="shared" si="334"/>
        <v>22</v>
      </c>
      <c r="E3545" t="str">
        <f t="shared" si="330"/>
        <v xml:space="preserve"> 🧑🏿‍✈ E12.1 pilot: dark skin tone</v>
      </c>
      <c r="F3545" t="b">
        <f t="shared" si="335"/>
        <v>1</v>
      </c>
      <c r="G3545" t="str">
        <f t="shared" si="331"/>
        <v>1F9D1</v>
      </c>
      <c r="I3545">
        <f>HEX2DEC(Table1[[#This Row],[utf8]])</f>
        <v>129489</v>
      </c>
      <c r="J3545" t="str">
        <f>_xlfn.UNICHAR(HEX2DEC(Table1[[#This Row],[utf8]]))</f>
        <v>🧑</v>
      </c>
      <c r="K3545" s="3" t="str" cm="1">
        <f t="array" ref="K3545">"Case "&amp;wRandomLetter()&amp;wRandomLetter()&amp;I3545&amp;":    UniConst = ChrW(" &amp; I3545 &amp;")"</f>
        <v>Case SC129489:    UniConst = ChrW(129489)</v>
      </c>
    </row>
    <row r="3546" spans="1:11" hidden="1">
      <c r="A3546" t="s">
        <v>1222</v>
      </c>
      <c r="B3546" t="str">
        <f t="shared" si="332"/>
        <v>1F9D1 1F3FF 200D 2708 FE0F ; fully-qualified # 🧑🏿‍✈️ E12.1 pilot: dark skin tone</v>
      </c>
      <c r="C3546" t="str">
        <f t="shared" si="333"/>
        <v xml:space="preserve">1F9D1 1F3FF 200D 2708 FE0F </v>
      </c>
      <c r="D3546">
        <f t="shared" si="334"/>
        <v>27</v>
      </c>
      <c r="E3546" t="str">
        <f t="shared" si="330"/>
        <v xml:space="preserve"> 🧑🏿‍✈️ E12.1 pilot: dark skin tone</v>
      </c>
      <c r="F3546" t="b">
        <f t="shared" si="335"/>
        <v>1</v>
      </c>
      <c r="G3546" t="str">
        <f t="shared" si="331"/>
        <v>1F9D1</v>
      </c>
      <c r="I3546">
        <f>HEX2DEC(Table1[[#This Row],[utf8]])</f>
        <v>129489</v>
      </c>
      <c r="J3546" t="str">
        <f>_xlfn.UNICHAR(HEX2DEC(Table1[[#This Row],[utf8]]))</f>
        <v>🧑</v>
      </c>
      <c r="K3546" s="3" t="str" cm="1">
        <f t="array" ref="K3546">"Case "&amp;wRandomLetter()&amp;wRandomLetter()&amp;I3546&amp;":    UniConst = ChrW(" &amp; I3546 &amp;")"</f>
        <v>Case tM129489:    UniConst = ChrW(129489)</v>
      </c>
    </row>
    <row r="3547" spans="1:11" hidden="1">
      <c r="A3547" t="s">
        <v>2706</v>
      </c>
      <c r="B3547" t="str">
        <f t="shared" si="332"/>
        <v>1F9D1 1F3FF 200D 2764 200D 1F48B 200D 1F9D1 1F3FB ; minimally-qualified # 🧑🏿‍❤‍💋‍🧑🏻 E13.1 kiss: person, person, dark skin tone, light skin tone</v>
      </c>
      <c r="C3547" t="str">
        <f t="shared" si="333"/>
        <v xml:space="preserve">1F9D1 1F3FF 200D 2764 200D 1F48B 200D 1F9D1 1F3FB </v>
      </c>
      <c r="D3547">
        <f t="shared" si="334"/>
        <v>50</v>
      </c>
      <c r="E3547" t="str">
        <f t="shared" si="330"/>
        <v xml:space="preserve"> 🧑🏿‍❤‍💋‍🧑🏻 E13.1 kiss: person, person, dark skin tone, light skin tone</v>
      </c>
      <c r="F3547" t="b">
        <f t="shared" si="335"/>
        <v>1</v>
      </c>
      <c r="G3547" t="str">
        <f t="shared" si="331"/>
        <v>1F9D1</v>
      </c>
      <c r="I3547">
        <f>HEX2DEC(Table1[[#This Row],[utf8]])</f>
        <v>129489</v>
      </c>
      <c r="J3547" t="str">
        <f>_xlfn.UNICHAR(HEX2DEC(Table1[[#This Row],[utf8]]))</f>
        <v>🧑</v>
      </c>
      <c r="K3547" s="3" t="str" cm="1">
        <f t="array" ref="K3547">"Case "&amp;wRandomLetter()&amp;wRandomLetter()&amp;I3547&amp;":    UniConst = ChrW(" &amp; I3547 &amp;")"</f>
        <v>Case nz129489:    UniConst = ChrW(129489)</v>
      </c>
    </row>
    <row r="3548" spans="1:11" hidden="1">
      <c r="A3548" t="s">
        <v>2708</v>
      </c>
      <c r="B3548" t="str">
        <f t="shared" si="332"/>
        <v>1F9D1 1F3FF 200D 2764 200D 1F48B 200D 1F9D1 1F3FC ; minimally-qualified # 🧑🏿‍❤‍💋‍🧑🏼 E13.1 kiss: person, person, dark skin tone, medium-light skin tone</v>
      </c>
      <c r="C3548" t="str">
        <f t="shared" si="333"/>
        <v xml:space="preserve">1F9D1 1F3FF 200D 2764 200D 1F48B 200D 1F9D1 1F3FC </v>
      </c>
      <c r="D3548">
        <f t="shared" si="334"/>
        <v>50</v>
      </c>
      <c r="E3548" t="str">
        <f t="shared" si="330"/>
        <v xml:space="preserve"> 🧑🏿‍❤‍💋‍🧑🏼 E13.1 kiss: person, person, dark skin tone, medium-light skin tone</v>
      </c>
      <c r="F3548" t="b">
        <f t="shared" si="335"/>
        <v>1</v>
      </c>
      <c r="G3548" t="str">
        <f t="shared" si="331"/>
        <v>1F9D1</v>
      </c>
      <c r="I3548">
        <f>HEX2DEC(Table1[[#This Row],[utf8]])</f>
        <v>129489</v>
      </c>
      <c r="J3548" t="str">
        <f>_xlfn.UNICHAR(HEX2DEC(Table1[[#This Row],[utf8]]))</f>
        <v>🧑</v>
      </c>
      <c r="K3548" s="3" t="str" cm="1">
        <f t="array" ref="K3548">"Case "&amp;wRandomLetter()&amp;wRandomLetter()&amp;I3548&amp;":    UniConst = ChrW(" &amp; I3548 &amp;")"</f>
        <v>Case AS129489:    UniConst = ChrW(129489)</v>
      </c>
    </row>
    <row r="3549" spans="1:11" hidden="1">
      <c r="A3549" t="s">
        <v>2710</v>
      </c>
      <c r="B3549" t="str">
        <f t="shared" si="332"/>
        <v>1F9D1 1F3FF 200D 2764 200D 1F48B 200D 1F9D1 1F3FD ; minimally-qualified # 🧑🏿‍❤‍💋‍🧑🏽 E13.1 kiss: person, person, dark skin tone, medium skin tone</v>
      </c>
      <c r="C3549" t="str">
        <f t="shared" si="333"/>
        <v xml:space="preserve">1F9D1 1F3FF 200D 2764 200D 1F48B 200D 1F9D1 1F3FD </v>
      </c>
      <c r="D3549">
        <f t="shared" si="334"/>
        <v>50</v>
      </c>
      <c r="E3549" t="str">
        <f t="shared" si="330"/>
        <v xml:space="preserve"> 🧑🏿‍❤‍💋‍🧑🏽 E13.1 kiss: person, person, dark skin tone, medium skin tone</v>
      </c>
      <c r="F3549" t="b">
        <f t="shared" si="335"/>
        <v>1</v>
      </c>
      <c r="G3549" t="str">
        <f t="shared" si="331"/>
        <v>1F9D1</v>
      </c>
      <c r="I3549">
        <f>HEX2DEC(Table1[[#This Row],[utf8]])</f>
        <v>129489</v>
      </c>
      <c r="J3549" t="str">
        <f>_xlfn.UNICHAR(HEX2DEC(Table1[[#This Row],[utf8]]))</f>
        <v>🧑</v>
      </c>
      <c r="K3549" s="3" t="str" cm="1">
        <f t="array" ref="K3549">"Case "&amp;wRandomLetter()&amp;wRandomLetter()&amp;I3549&amp;":    UniConst = ChrW(" &amp; I3549 &amp;")"</f>
        <v>Case PS129489:    UniConst = ChrW(129489)</v>
      </c>
    </row>
    <row r="3550" spans="1:11" hidden="1">
      <c r="A3550" t="s">
        <v>2712</v>
      </c>
      <c r="B3550" t="str">
        <f t="shared" si="332"/>
        <v>1F9D1 1F3FF 200D 2764 200D 1F48B 200D 1F9D1 1F3FE ; minimally-qualified # 🧑🏿‍❤‍💋‍🧑🏾 E13.1 kiss: person, person, dark skin tone, medium-dark skin tone</v>
      </c>
      <c r="C3550" t="str">
        <f t="shared" si="333"/>
        <v xml:space="preserve">1F9D1 1F3FF 200D 2764 200D 1F48B 200D 1F9D1 1F3FE </v>
      </c>
      <c r="D3550">
        <f t="shared" si="334"/>
        <v>50</v>
      </c>
      <c r="E3550" t="str">
        <f t="shared" si="330"/>
        <v xml:space="preserve"> 🧑🏿‍❤‍💋‍🧑🏾 E13.1 kiss: person, person, dark skin tone, medium-dark skin tone</v>
      </c>
      <c r="F3550" t="b">
        <f t="shared" si="335"/>
        <v>1</v>
      </c>
      <c r="G3550" t="str">
        <f t="shared" si="331"/>
        <v>1F9D1</v>
      </c>
      <c r="I3550">
        <f>HEX2DEC(Table1[[#This Row],[utf8]])</f>
        <v>129489</v>
      </c>
      <c r="J3550" t="str">
        <f>_xlfn.UNICHAR(HEX2DEC(Table1[[#This Row],[utf8]]))</f>
        <v>🧑</v>
      </c>
      <c r="K3550" s="3" t="str" cm="1">
        <f t="array" ref="K3550">"Case "&amp;wRandomLetter()&amp;wRandomLetter()&amp;I3550&amp;":    UniConst = ChrW(" &amp; I3550 &amp;")"</f>
        <v>Case ku129489:    UniConst = ChrW(129489)</v>
      </c>
    </row>
    <row r="3551" spans="1:11" hidden="1">
      <c r="A3551" t="s">
        <v>2908</v>
      </c>
      <c r="B3551" t="str">
        <f t="shared" si="332"/>
        <v>1F9D1 1F3FF 200D 2764 200D 1F9D1 1F3FB ; minimally-qualified # 🧑🏿‍❤‍🧑🏻 E13.1 couple with heart: person, person, dark skin tone, light skin tone</v>
      </c>
      <c r="C3551" t="str">
        <f t="shared" si="333"/>
        <v xml:space="preserve">1F9D1 1F3FF 200D 2764 200D 1F9D1 1F3FB </v>
      </c>
      <c r="D3551">
        <f t="shared" si="334"/>
        <v>39</v>
      </c>
      <c r="E3551" t="str">
        <f t="shared" si="330"/>
        <v xml:space="preserve"> 🧑🏿‍❤‍🧑🏻 E13.1 couple with heart: person, person, dark skin tone, light skin tone</v>
      </c>
      <c r="F3551" t="b">
        <f t="shared" si="335"/>
        <v>1</v>
      </c>
      <c r="G3551" t="str">
        <f t="shared" si="331"/>
        <v>1F9D1</v>
      </c>
      <c r="I3551">
        <f>HEX2DEC(Table1[[#This Row],[utf8]])</f>
        <v>129489</v>
      </c>
      <c r="J3551" t="str">
        <f>_xlfn.UNICHAR(HEX2DEC(Table1[[#This Row],[utf8]]))</f>
        <v>🧑</v>
      </c>
      <c r="K3551" s="3" t="str" cm="1">
        <f t="array" ref="K3551">"Case "&amp;wRandomLetter()&amp;wRandomLetter()&amp;I3551&amp;":    UniConst = ChrW(" &amp; I3551 &amp;")"</f>
        <v>Case wL129489:    UniConst = ChrW(129489)</v>
      </c>
    </row>
    <row r="3552" spans="1:11" hidden="1">
      <c r="A3552" t="s">
        <v>2910</v>
      </c>
      <c r="B3552" t="str">
        <f t="shared" si="332"/>
        <v>1F9D1 1F3FF 200D 2764 200D 1F9D1 1F3FC ; minimally-qualified # 🧑🏿‍❤‍🧑🏼 E13.1 couple with heart: person, person, dark skin tone, medium-light skin tone</v>
      </c>
      <c r="C3552" t="str">
        <f t="shared" si="333"/>
        <v xml:space="preserve">1F9D1 1F3FF 200D 2764 200D 1F9D1 1F3FC </v>
      </c>
      <c r="D3552">
        <f t="shared" si="334"/>
        <v>39</v>
      </c>
      <c r="E3552" t="str">
        <f t="shared" si="330"/>
        <v xml:space="preserve"> 🧑🏿‍❤‍🧑🏼 E13.1 couple with heart: person, person, dark skin tone, medium-light skin tone</v>
      </c>
      <c r="F3552" t="b">
        <f t="shared" si="335"/>
        <v>1</v>
      </c>
      <c r="G3552" t="str">
        <f t="shared" si="331"/>
        <v>1F9D1</v>
      </c>
      <c r="I3552">
        <f>HEX2DEC(Table1[[#This Row],[utf8]])</f>
        <v>129489</v>
      </c>
      <c r="J3552" t="str">
        <f>_xlfn.UNICHAR(HEX2DEC(Table1[[#This Row],[utf8]]))</f>
        <v>🧑</v>
      </c>
      <c r="K3552" s="3" t="str" cm="1">
        <f t="array" ref="K3552">"Case "&amp;wRandomLetter()&amp;wRandomLetter()&amp;I3552&amp;":    UniConst = ChrW(" &amp; I3552 &amp;")"</f>
        <v>Case ej129489:    UniConst = ChrW(129489)</v>
      </c>
    </row>
    <row r="3553" spans="1:11" hidden="1">
      <c r="A3553" t="s">
        <v>2912</v>
      </c>
      <c r="B3553" t="str">
        <f t="shared" si="332"/>
        <v>1F9D1 1F3FF 200D 2764 200D 1F9D1 1F3FD ; minimally-qualified # 🧑🏿‍❤‍🧑🏽 E13.1 couple with heart: person, person, dark skin tone, medium skin tone</v>
      </c>
      <c r="C3553" t="str">
        <f t="shared" si="333"/>
        <v xml:space="preserve">1F9D1 1F3FF 200D 2764 200D 1F9D1 1F3FD </v>
      </c>
      <c r="D3553">
        <f t="shared" si="334"/>
        <v>39</v>
      </c>
      <c r="E3553" t="str">
        <f t="shared" si="330"/>
        <v xml:space="preserve"> 🧑🏿‍❤‍🧑🏽 E13.1 couple with heart: person, person, dark skin tone, medium skin tone</v>
      </c>
      <c r="F3553" t="b">
        <f t="shared" si="335"/>
        <v>1</v>
      </c>
      <c r="G3553" t="str">
        <f t="shared" si="331"/>
        <v>1F9D1</v>
      </c>
      <c r="I3553">
        <f>HEX2DEC(Table1[[#This Row],[utf8]])</f>
        <v>129489</v>
      </c>
      <c r="J3553" t="str">
        <f>_xlfn.UNICHAR(HEX2DEC(Table1[[#This Row],[utf8]]))</f>
        <v>🧑</v>
      </c>
      <c r="K3553" s="3" t="str" cm="1">
        <f t="array" ref="K3553">"Case "&amp;wRandomLetter()&amp;wRandomLetter()&amp;I3553&amp;":    UniConst = ChrW(" &amp; I3553 &amp;")"</f>
        <v>Case yt129489:    UniConst = ChrW(129489)</v>
      </c>
    </row>
    <row r="3554" spans="1:11" hidden="1">
      <c r="A3554" t="s">
        <v>2914</v>
      </c>
      <c r="B3554" t="str">
        <f t="shared" si="332"/>
        <v>1F9D1 1F3FF 200D 2764 200D 1F9D1 1F3FE ; minimally-qualified # 🧑🏿‍❤‍🧑🏾 E13.1 couple with heart: person, person, dark skin tone, medium-dark skin tone</v>
      </c>
      <c r="C3554" t="str">
        <f t="shared" si="333"/>
        <v xml:space="preserve">1F9D1 1F3FF 200D 2764 200D 1F9D1 1F3FE </v>
      </c>
      <c r="D3554">
        <f t="shared" si="334"/>
        <v>39</v>
      </c>
      <c r="E3554" t="str">
        <f t="shared" si="330"/>
        <v xml:space="preserve"> 🧑🏿‍❤‍🧑🏾 E13.1 couple with heart: person, person, dark skin tone, medium-dark skin tone</v>
      </c>
      <c r="F3554" t="b">
        <f t="shared" si="335"/>
        <v>1</v>
      </c>
      <c r="G3554" t="str">
        <f t="shared" si="331"/>
        <v>1F9D1</v>
      </c>
      <c r="I3554">
        <f>HEX2DEC(Table1[[#This Row],[utf8]])</f>
        <v>129489</v>
      </c>
      <c r="J3554" t="str">
        <f>_xlfn.UNICHAR(HEX2DEC(Table1[[#This Row],[utf8]]))</f>
        <v>🧑</v>
      </c>
      <c r="K3554" s="3" t="str" cm="1">
        <f t="array" ref="K3554">"Case "&amp;wRandomLetter()&amp;wRandomLetter()&amp;I3554&amp;":    UniConst = ChrW(" &amp; I3554 &amp;")"</f>
        <v>Case iI129489:    UniConst = ChrW(129489)</v>
      </c>
    </row>
    <row r="3555" spans="1:11" hidden="1">
      <c r="A3555" t="s">
        <v>2705</v>
      </c>
      <c r="B3555" t="str">
        <f t="shared" si="332"/>
        <v>1F9D1 1F3FF 200D 2764 FE0F 200D 1F48B 200D 1F9D1 1F3FB ; fully-qualified # 🧑🏿‍❤️‍💋‍🧑🏻 E13.1 kiss: person, person, dark skin tone, light skin tone</v>
      </c>
      <c r="C3555" t="str">
        <f t="shared" si="333"/>
        <v xml:space="preserve">1F9D1 1F3FF 200D 2764 FE0F 200D 1F48B 200D 1F9D1 1F3FB </v>
      </c>
      <c r="D3555">
        <f t="shared" si="334"/>
        <v>55</v>
      </c>
      <c r="E3555" t="str">
        <f t="shared" si="330"/>
        <v xml:space="preserve"> 🧑🏿‍❤️‍💋‍🧑🏻 E13.1 kiss: person, person, dark skin tone, light skin tone</v>
      </c>
      <c r="F3555" t="b">
        <f t="shared" si="335"/>
        <v>1</v>
      </c>
      <c r="G3555" t="str">
        <f t="shared" si="331"/>
        <v>1F9D1</v>
      </c>
      <c r="I3555">
        <f>HEX2DEC(Table1[[#This Row],[utf8]])</f>
        <v>129489</v>
      </c>
      <c r="J3555" t="str">
        <f>_xlfn.UNICHAR(HEX2DEC(Table1[[#This Row],[utf8]]))</f>
        <v>🧑</v>
      </c>
      <c r="K3555" s="3" t="str" cm="1">
        <f t="array" ref="K3555">"Case "&amp;wRandomLetter()&amp;wRandomLetter()&amp;I3555&amp;":    UniConst = ChrW(" &amp; I3555 &amp;")"</f>
        <v>Case Tk129489:    UniConst = ChrW(129489)</v>
      </c>
    </row>
    <row r="3556" spans="1:11" hidden="1">
      <c r="A3556" t="s">
        <v>2707</v>
      </c>
      <c r="B3556" t="str">
        <f t="shared" si="332"/>
        <v>1F9D1 1F3FF 200D 2764 FE0F 200D 1F48B 200D 1F9D1 1F3FC ; fully-qualified # 🧑🏿‍❤️‍💋‍🧑🏼 E13.1 kiss: person, person, dark skin tone, medium-light skin tone</v>
      </c>
      <c r="C3556" t="str">
        <f t="shared" si="333"/>
        <v xml:space="preserve">1F9D1 1F3FF 200D 2764 FE0F 200D 1F48B 200D 1F9D1 1F3FC </v>
      </c>
      <c r="D3556">
        <f t="shared" si="334"/>
        <v>55</v>
      </c>
      <c r="E3556" t="str">
        <f t="shared" si="330"/>
        <v xml:space="preserve"> 🧑🏿‍❤️‍💋‍🧑🏼 E13.1 kiss: person, person, dark skin tone, medium-light skin tone</v>
      </c>
      <c r="F3556" t="b">
        <f t="shared" si="335"/>
        <v>1</v>
      </c>
      <c r="G3556" t="str">
        <f t="shared" si="331"/>
        <v>1F9D1</v>
      </c>
      <c r="I3556">
        <f>HEX2DEC(Table1[[#This Row],[utf8]])</f>
        <v>129489</v>
      </c>
      <c r="J3556" t="str">
        <f>_xlfn.UNICHAR(HEX2DEC(Table1[[#This Row],[utf8]]))</f>
        <v>🧑</v>
      </c>
      <c r="K3556" s="3" t="str" cm="1">
        <f t="array" ref="K3556">"Case "&amp;wRandomLetter()&amp;wRandomLetter()&amp;I3556&amp;":    UniConst = ChrW(" &amp; I3556 &amp;")"</f>
        <v>Case aM129489:    UniConst = ChrW(129489)</v>
      </c>
    </row>
    <row r="3557" spans="1:11" hidden="1">
      <c r="A3557" t="s">
        <v>2709</v>
      </c>
      <c r="B3557" t="str">
        <f t="shared" si="332"/>
        <v>1F9D1 1F3FF 200D 2764 FE0F 200D 1F48B 200D 1F9D1 1F3FD ; fully-qualified # 🧑🏿‍❤️‍💋‍🧑🏽 E13.1 kiss: person, person, dark skin tone, medium skin tone</v>
      </c>
      <c r="C3557" t="str">
        <f t="shared" si="333"/>
        <v xml:space="preserve">1F9D1 1F3FF 200D 2764 FE0F 200D 1F48B 200D 1F9D1 1F3FD </v>
      </c>
      <c r="D3557">
        <f t="shared" si="334"/>
        <v>55</v>
      </c>
      <c r="E3557" t="str">
        <f t="shared" si="330"/>
        <v xml:space="preserve"> 🧑🏿‍❤️‍💋‍🧑🏽 E13.1 kiss: person, person, dark skin tone, medium skin tone</v>
      </c>
      <c r="F3557" t="b">
        <f t="shared" si="335"/>
        <v>1</v>
      </c>
      <c r="G3557" t="str">
        <f t="shared" si="331"/>
        <v>1F9D1</v>
      </c>
      <c r="I3557">
        <f>HEX2DEC(Table1[[#This Row],[utf8]])</f>
        <v>129489</v>
      </c>
      <c r="J3557" t="str">
        <f>_xlfn.UNICHAR(HEX2DEC(Table1[[#This Row],[utf8]]))</f>
        <v>🧑</v>
      </c>
      <c r="K3557" s="3" t="str" cm="1">
        <f t="array" ref="K3557">"Case "&amp;wRandomLetter()&amp;wRandomLetter()&amp;I3557&amp;":    UniConst = ChrW(" &amp; I3557 &amp;")"</f>
        <v>Case wR129489:    UniConst = ChrW(129489)</v>
      </c>
    </row>
    <row r="3558" spans="1:11" hidden="1">
      <c r="A3558" t="s">
        <v>2711</v>
      </c>
      <c r="B3558" t="str">
        <f t="shared" si="332"/>
        <v>1F9D1 1F3FF 200D 2764 FE0F 200D 1F48B 200D 1F9D1 1F3FE ; fully-qualified # 🧑🏿‍❤️‍💋‍🧑🏾 E13.1 kiss: person, person, dark skin tone, medium-dark skin tone</v>
      </c>
      <c r="C3558" t="str">
        <f t="shared" si="333"/>
        <v xml:space="preserve">1F9D1 1F3FF 200D 2764 FE0F 200D 1F48B 200D 1F9D1 1F3FE </v>
      </c>
      <c r="D3558">
        <f t="shared" si="334"/>
        <v>55</v>
      </c>
      <c r="E3558" t="str">
        <f t="shared" si="330"/>
        <v xml:space="preserve"> 🧑🏿‍❤️‍💋‍🧑🏾 E13.1 kiss: person, person, dark skin tone, medium-dark skin tone</v>
      </c>
      <c r="F3558" t="b">
        <f t="shared" si="335"/>
        <v>1</v>
      </c>
      <c r="G3558" t="str">
        <f t="shared" si="331"/>
        <v>1F9D1</v>
      </c>
      <c r="I3558">
        <f>HEX2DEC(Table1[[#This Row],[utf8]])</f>
        <v>129489</v>
      </c>
      <c r="J3558" t="str">
        <f>_xlfn.UNICHAR(HEX2DEC(Table1[[#This Row],[utf8]]))</f>
        <v>🧑</v>
      </c>
      <c r="K3558" s="3" t="str" cm="1">
        <f t="array" ref="K3558">"Case "&amp;wRandomLetter()&amp;wRandomLetter()&amp;I3558&amp;":    UniConst = ChrW(" &amp; I3558 &amp;")"</f>
        <v>Case uc129489:    UniConst = ChrW(129489)</v>
      </c>
    </row>
    <row r="3559" spans="1:11" hidden="1">
      <c r="A3559" t="s">
        <v>2907</v>
      </c>
      <c r="B3559" t="str">
        <f t="shared" si="332"/>
        <v>1F9D1 1F3FF 200D 2764 FE0F 200D 1F9D1 1F3FB ; fully-qualified # 🧑🏿‍❤️‍🧑🏻 E13.1 couple with heart: person, person, dark skin tone, light skin tone</v>
      </c>
      <c r="C3559" t="str">
        <f t="shared" si="333"/>
        <v xml:space="preserve">1F9D1 1F3FF 200D 2764 FE0F 200D 1F9D1 1F3FB </v>
      </c>
      <c r="D3559">
        <f t="shared" si="334"/>
        <v>44</v>
      </c>
      <c r="E3559" t="str">
        <f t="shared" si="330"/>
        <v xml:space="preserve"> 🧑🏿‍❤️‍🧑🏻 E13.1 couple with heart: person, person, dark skin tone, light skin tone</v>
      </c>
      <c r="F3559" t="b">
        <f t="shared" si="335"/>
        <v>1</v>
      </c>
      <c r="G3559" t="str">
        <f t="shared" si="331"/>
        <v>1F9D1</v>
      </c>
      <c r="I3559">
        <f>HEX2DEC(Table1[[#This Row],[utf8]])</f>
        <v>129489</v>
      </c>
      <c r="J3559" t="str">
        <f>_xlfn.UNICHAR(HEX2DEC(Table1[[#This Row],[utf8]]))</f>
        <v>🧑</v>
      </c>
      <c r="K3559" s="3" t="str" cm="1">
        <f t="array" ref="K3559">"Case "&amp;wRandomLetter()&amp;wRandomLetter()&amp;I3559&amp;":    UniConst = ChrW(" &amp; I3559 &amp;")"</f>
        <v>Case Iw129489:    UniConst = ChrW(129489)</v>
      </c>
    </row>
    <row r="3560" spans="1:11" hidden="1">
      <c r="A3560" t="s">
        <v>2909</v>
      </c>
      <c r="B3560" t="str">
        <f t="shared" si="332"/>
        <v>1F9D1 1F3FF 200D 2764 FE0F 200D 1F9D1 1F3FC ; fully-qualified # 🧑🏿‍❤️‍🧑🏼 E13.1 couple with heart: person, person, dark skin tone, medium-light skin tone</v>
      </c>
      <c r="C3560" t="str">
        <f t="shared" si="333"/>
        <v xml:space="preserve">1F9D1 1F3FF 200D 2764 FE0F 200D 1F9D1 1F3FC </v>
      </c>
      <c r="D3560">
        <f t="shared" si="334"/>
        <v>44</v>
      </c>
      <c r="E3560" t="str">
        <f t="shared" si="330"/>
        <v xml:space="preserve"> 🧑🏿‍❤️‍🧑🏼 E13.1 couple with heart: person, person, dark skin tone, medium-light skin tone</v>
      </c>
      <c r="F3560" t="b">
        <f t="shared" si="335"/>
        <v>1</v>
      </c>
      <c r="G3560" t="str">
        <f t="shared" si="331"/>
        <v>1F9D1</v>
      </c>
      <c r="I3560">
        <f>HEX2DEC(Table1[[#This Row],[utf8]])</f>
        <v>129489</v>
      </c>
      <c r="J3560" t="str">
        <f>_xlfn.UNICHAR(HEX2DEC(Table1[[#This Row],[utf8]]))</f>
        <v>🧑</v>
      </c>
      <c r="K3560" s="3" t="str" cm="1">
        <f t="array" ref="K3560">"Case "&amp;wRandomLetter()&amp;wRandomLetter()&amp;I3560&amp;":    UniConst = ChrW(" &amp; I3560 &amp;")"</f>
        <v>Case gd129489:    UniConst = ChrW(129489)</v>
      </c>
    </row>
    <row r="3561" spans="1:11" hidden="1">
      <c r="A3561" t="s">
        <v>2911</v>
      </c>
      <c r="B3561" t="str">
        <f t="shared" si="332"/>
        <v>1F9D1 1F3FF 200D 2764 FE0F 200D 1F9D1 1F3FD ; fully-qualified # 🧑🏿‍❤️‍🧑🏽 E13.1 couple with heart: person, person, dark skin tone, medium skin tone</v>
      </c>
      <c r="C3561" t="str">
        <f t="shared" si="333"/>
        <v xml:space="preserve">1F9D1 1F3FF 200D 2764 FE0F 200D 1F9D1 1F3FD </v>
      </c>
      <c r="D3561">
        <f t="shared" si="334"/>
        <v>44</v>
      </c>
      <c r="E3561" t="str">
        <f t="shared" si="330"/>
        <v xml:space="preserve"> 🧑🏿‍❤️‍🧑🏽 E13.1 couple with heart: person, person, dark skin tone, medium skin tone</v>
      </c>
      <c r="F3561" t="b">
        <f t="shared" si="335"/>
        <v>1</v>
      </c>
      <c r="G3561" t="str">
        <f t="shared" si="331"/>
        <v>1F9D1</v>
      </c>
      <c r="I3561">
        <f>HEX2DEC(Table1[[#This Row],[utf8]])</f>
        <v>129489</v>
      </c>
      <c r="J3561" t="str">
        <f>_xlfn.UNICHAR(HEX2DEC(Table1[[#This Row],[utf8]]))</f>
        <v>🧑</v>
      </c>
      <c r="K3561" s="3" t="str" cm="1">
        <f t="array" ref="K3561">"Case "&amp;wRandomLetter()&amp;wRandomLetter()&amp;I3561&amp;":    UniConst = ChrW(" &amp; I3561 &amp;")"</f>
        <v>Case CM129489:    UniConst = ChrW(129489)</v>
      </c>
    </row>
    <row r="3562" spans="1:11" hidden="1">
      <c r="A3562" t="s">
        <v>2913</v>
      </c>
      <c r="B3562" t="str">
        <f t="shared" si="332"/>
        <v>1F9D1 1F3FF 200D 2764 FE0F 200D 1F9D1 1F3FE ; fully-qualified # 🧑🏿‍❤️‍🧑🏾 E13.1 couple with heart: person, person, dark skin tone, medium-dark skin tone</v>
      </c>
      <c r="C3562" t="str">
        <f t="shared" si="333"/>
        <v xml:space="preserve">1F9D1 1F3FF 200D 2764 FE0F 200D 1F9D1 1F3FE </v>
      </c>
      <c r="D3562">
        <f t="shared" si="334"/>
        <v>44</v>
      </c>
      <c r="E3562" t="str">
        <f t="shared" si="330"/>
        <v xml:space="preserve"> 🧑🏿‍❤️‍🧑🏾 E13.1 couple with heart: person, person, dark skin tone, medium-dark skin tone</v>
      </c>
      <c r="F3562" t="b">
        <f t="shared" si="335"/>
        <v>1</v>
      </c>
      <c r="G3562" t="str">
        <f t="shared" si="331"/>
        <v>1F9D1</v>
      </c>
      <c r="I3562">
        <f>HEX2DEC(Table1[[#This Row],[utf8]])</f>
        <v>129489</v>
      </c>
      <c r="J3562" t="str">
        <f>_xlfn.UNICHAR(HEX2DEC(Table1[[#This Row],[utf8]]))</f>
        <v>🧑</v>
      </c>
      <c r="K3562" s="3" t="str" cm="1">
        <f t="array" ref="K3562">"Case "&amp;wRandomLetter()&amp;wRandomLetter()&amp;I3562&amp;":    UniConst = ChrW(" &amp; I3562 &amp;")"</f>
        <v>Case rz129489:    UniConst = ChrW(129489)</v>
      </c>
    </row>
    <row r="3563" spans="1:11" hidden="1">
      <c r="A3563" t="s">
        <v>1050</v>
      </c>
      <c r="B3563" t="str">
        <f t="shared" si="332"/>
        <v>1F9D1 200D 1F33E ; fully-qualified # 🧑‍🌾 E12.1 farmer</v>
      </c>
      <c r="C3563" t="str">
        <f t="shared" si="333"/>
        <v xml:space="preserve">1F9D1 200D 1F33E </v>
      </c>
      <c r="D3563">
        <f t="shared" si="334"/>
        <v>17</v>
      </c>
      <c r="E3563" t="str">
        <f t="shared" si="330"/>
        <v xml:space="preserve"> 🧑‍🌾 E12.1 farmer</v>
      </c>
      <c r="F3563" t="b">
        <f t="shared" si="335"/>
        <v>1</v>
      </c>
      <c r="G3563" t="str">
        <f t="shared" si="331"/>
        <v>1F9D1</v>
      </c>
      <c r="I3563">
        <f>HEX2DEC(Table1[[#This Row],[utf8]])</f>
        <v>129489</v>
      </c>
      <c r="J3563" t="str">
        <f>_xlfn.UNICHAR(HEX2DEC(Table1[[#This Row],[utf8]]))</f>
        <v>🧑</v>
      </c>
      <c r="K3563" s="3" t="str" cm="1">
        <f t="array" ref="K3563">"Case "&amp;wRandomLetter()&amp;wRandomLetter()&amp;I3563&amp;":    UniConst = ChrW(" &amp; I3563 &amp;")"</f>
        <v>Case NW129489:    UniConst = ChrW(129489)</v>
      </c>
    </row>
    <row r="3564" spans="1:11" hidden="1">
      <c r="A3564" t="s">
        <v>1068</v>
      </c>
      <c r="B3564" t="str">
        <f t="shared" si="332"/>
        <v>1F9D1 200D 1F373 ; fully-qualified # 🧑‍🍳 E12.1 cook</v>
      </c>
      <c r="C3564" t="str">
        <f t="shared" si="333"/>
        <v xml:space="preserve">1F9D1 200D 1F373 </v>
      </c>
      <c r="D3564">
        <f t="shared" si="334"/>
        <v>17</v>
      </c>
      <c r="E3564" t="str">
        <f t="shared" si="330"/>
        <v xml:space="preserve"> 🧑‍🍳 E12.1 cook</v>
      </c>
      <c r="F3564" t="b">
        <f t="shared" si="335"/>
        <v>1</v>
      </c>
      <c r="G3564" t="str">
        <f t="shared" si="331"/>
        <v>1F9D1</v>
      </c>
      <c r="I3564">
        <f>HEX2DEC(Table1[[#This Row],[utf8]])</f>
        <v>129489</v>
      </c>
      <c r="J3564" t="str">
        <f>_xlfn.UNICHAR(HEX2DEC(Table1[[#This Row],[utf8]]))</f>
        <v>🧑</v>
      </c>
      <c r="K3564" s="3" t="str" cm="1">
        <f t="array" ref="K3564">"Case "&amp;wRandomLetter()&amp;wRandomLetter()&amp;I3564&amp;":    UniConst = ChrW(" &amp; I3564 &amp;")"</f>
        <v>Case aM129489:    UniConst = ChrW(129489)</v>
      </c>
    </row>
    <row r="3565" spans="1:11" hidden="1">
      <c r="A3565" t="s">
        <v>1553</v>
      </c>
      <c r="B3565" t="str">
        <f t="shared" si="332"/>
        <v>1F9D1 200D 1F37C ; fully-qualified # 🧑‍🍼 E13.0 person feeding baby</v>
      </c>
      <c r="C3565" t="str">
        <f t="shared" si="333"/>
        <v xml:space="preserve">1F9D1 200D 1F37C </v>
      </c>
      <c r="D3565">
        <f t="shared" si="334"/>
        <v>17</v>
      </c>
      <c r="E3565" t="str">
        <f t="shared" si="330"/>
        <v xml:space="preserve"> 🧑‍🍼 E13.0 person feeding baby</v>
      </c>
      <c r="F3565" t="b">
        <f t="shared" si="335"/>
        <v>1</v>
      </c>
      <c r="G3565" t="str">
        <f t="shared" si="331"/>
        <v>1F9D1</v>
      </c>
      <c r="I3565">
        <f>HEX2DEC(Table1[[#This Row],[utf8]])</f>
        <v>129489</v>
      </c>
      <c r="J3565" t="str">
        <f>_xlfn.UNICHAR(HEX2DEC(Table1[[#This Row],[utf8]]))</f>
        <v>🧑</v>
      </c>
      <c r="K3565" s="3" t="str" cm="1">
        <f t="array" ref="K3565">"Case "&amp;wRandomLetter()&amp;wRandomLetter()&amp;I3565&amp;":    UniConst = ChrW(" &amp; I3565 &amp;")"</f>
        <v>Case sx129489:    UniConst = ChrW(129489)</v>
      </c>
    </row>
    <row r="3566" spans="1:11" hidden="1">
      <c r="A3566" t="s">
        <v>1578</v>
      </c>
      <c r="B3566" t="str">
        <f t="shared" si="332"/>
        <v>1F9D1 200D 1F384 ; fully-qualified # 🧑‍🎄 E13.0 mx claus</v>
      </c>
      <c r="C3566" t="str">
        <f t="shared" si="333"/>
        <v xml:space="preserve">1F9D1 200D 1F384 </v>
      </c>
      <c r="D3566">
        <f t="shared" si="334"/>
        <v>17</v>
      </c>
      <c r="E3566" t="str">
        <f t="shared" si="330"/>
        <v xml:space="preserve"> 🧑‍🎄 E13.0 mx claus</v>
      </c>
      <c r="F3566" t="b">
        <f t="shared" si="335"/>
        <v>1</v>
      </c>
      <c r="G3566" t="str">
        <f t="shared" si="331"/>
        <v>1F9D1</v>
      </c>
      <c r="I3566">
        <f>HEX2DEC(Table1[[#This Row],[utf8]])</f>
        <v>129489</v>
      </c>
      <c r="J3566" t="str">
        <f>_xlfn.UNICHAR(HEX2DEC(Table1[[#This Row],[utf8]]))</f>
        <v>🧑</v>
      </c>
      <c r="K3566" s="3" t="str" cm="1">
        <f t="array" ref="K3566">"Case "&amp;wRandomLetter()&amp;wRandomLetter()&amp;I3566&amp;":    UniConst = ChrW(" &amp; I3566 &amp;")"</f>
        <v>Case Hy129489:    UniConst = ChrW(129489)</v>
      </c>
    </row>
    <row r="3567" spans="1:11" hidden="1">
      <c r="A3567" t="s">
        <v>978</v>
      </c>
      <c r="B3567" t="str">
        <f t="shared" si="332"/>
        <v>1F9D1 200D 1F393 ; fully-qualified # 🧑‍🎓 E12.1 student</v>
      </c>
      <c r="C3567" t="str">
        <f t="shared" si="333"/>
        <v xml:space="preserve">1F9D1 200D 1F393 </v>
      </c>
      <c r="D3567">
        <f t="shared" si="334"/>
        <v>17</v>
      </c>
      <c r="E3567" t="str">
        <f t="shared" si="330"/>
        <v xml:space="preserve"> 🧑‍🎓 E12.1 student</v>
      </c>
      <c r="F3567" t="b">
        <f t="shared" si="335"/>
        <v>1</v>
      </c>
      <c r="G3567" t="str">
        <f t="shared" si="331"/>
        <v>1F9D1</v>
      </c>
      <c r="I3567">
        <f>HEX2DEC(Table1[[#This Row],[utf8]])</f>
        <v>129489</v>
      </c>
      <c r="J3567" t="str">
        <f>_xlfn.UNICHAR(HEX2DEC(Table1[[#This Row],[utf8]]))</f>
        <v>🧑</v>
      </c>
      <c r="K3567" s="3" t="str" cm="1">
        <f t="array" ref="K3567">"Case "&amp;wRandomLetter()&amp;wRandomLetter()&amp;I3567&amp;":    UniConst = ChrW(" &amp; I3567 &amp;")"</f>
        <v>Case eN129489:    UniConst = ChrW(129489)</v>
      </c>
    </row>
    <row r="3568" spans="1:11" hidden="1">
      <c r="A3568" t="s">
        <v>1176</v>
      </c>
      <c r="B3568" t="str">
        <f t="shared" si="332"/>
        <v>1F9D1 200D 1F3A4 ; fully-qualified # 🧑‍🎤 E12.1 singer</v>
      </c>
      <c r="C3568" t="str">
        <f t="shared" si="333"/>
        <v xml:space="preserve">1F9D1 200D 1F3A4 </v>
      </c>
      <c r="D3568">
        <f t="shared" si="334"/>
        <v>17</v>
      </c>
      <c r="E3568" t="str">
        <f t="shared" si="330"/>
        <v xml:space="preserve"> 🧑‍🎤 E12.1 singer</v>
      </c>
      <c r="F3568" t="b">
        <f t="shared" si="335"/>
        <v>1</v>
      </c>
      <c r="G3568" t="str">
        <f t="shared" si="331"/>
        <v>1F9D1</v>
      </c>
      <c r="I3568">
        <f>HEX2DEC(Table1[[#This Row],[utf8]])</f>
        <v>129489</v>
      </c>
      <c r="J3568" t="str">
        <f>_xlfn.UNICHAR(HEX2DEC(Table1[[#This Row],[utf8]]))</f>
        <v>🧑</v>
      </c>
      <c r="K3568" s="3" t="str" cm="1">
        <f t="array" ref="K3568">"Case "&amp;wRandomLetter()&amp;wRandomLetter()&amp;I3568&amp;":    UniConst = ChrW(" &amp; I3568 &amp;")"</f>
        <v>Case LK129489:    UniConst = ChrW(129489)</v>
      </c>
    </row>
    <row r="3569" spans="1:11" hidden="1">
      <c r="A3569" t="s">
        <v>1194</v>
      </c>
      <c r="B3569" t="str">
        <f t="shared" si="332"/>
        <v>1F9D1 200D 1F3A8 ; fully-qualified # 🧑‍🎨 E12.1 artist</v>
      </c>
      <c r="C3569" t="str">
        <f t="shared" si="333"/>
        <v xml:space="preserve">1F9D1 200D 1F3A8 </v>
      </c>
      <c r="D3569">
        <f t="shared" si="334"/>
        <v>17</v>
      </c>
      <c r="E3569" t="str">
        <f t="shared" si="330"/>
        <v xml:space="preserve"> 🧑‍🎨 E12.1 artist</v>
      </c>
      <c r="F3569" t="b">
        <f t="shared" si="335"/>
        <v>1</v>
      </c>
      <c r="G3569" t="str">
        <f t="shared" si="331"/>
        <v>1F9D1</v>
      </c>
      <c r="I3569">
        <f>HEX2DEC(Table1[[#This Row],[utf8]])</f>
        <v>129489</v>
      </c>
      <c r="J3569" t="str">
        <f>_xlfn.UNICHAR(HEX2DEC(Table1[[#This Row],[utf8]]))</f>
        <v>🧑</v>
      </c>
      <c r="K3569" s="3" t="str" cm="1">
        <f t="array" ref="K3569">"Case "&amp;wRandomLetter()&amp;wRandomLetter()&amp;I3569&amp;":    UniConst = ChrW(" &amp; I3569 &amp;")"</f>
        <v>Case ZQ129489:    UniConst = ChrW(129489)</v>
      </c>
    </row>
    <row r="3570" spans="1:11" hidden="1">
      <c r="A3570" t="s">
        <v>996</v>
      </c>
      <c r="B3570" t="str">
        <f t="shared" si="332"/>
        <v>1F9D1 200D 1F3EB ; fully-qualified # 🧑‍🏫 E12.1 teacher</v>
      </c>
      <c r="C3570" t="str">
        <f t="shared" si="333"/>
        <v xml:space="preserve">1F9D1 200D 1F3EB </v>
      </c>
      <c r="D3570">
        <f t="shared" si="334"/>
        <v>17</v>
      </c>
      <c r="E3570" t="str">
        <f t="shared" si="330"/>
        <v xml:space="preserve"> 🧑‍🏫 E12.1 teacher</v>
      </c>
      <c r="F3570" t="b">
        <f t="shared" si="335"/>
        <v>1</v>
      </c>
      <c r="G3570" t="str">
        <f t="shared" si="331"/>
        <v>1F9D1</v>
      </c>
      <c r="I3570">
        <f>HEX2DEC(Table1[[#This Row],[utf8]])</f>
        <v>129489</v>
      </c>
      <c r="J3570" t="str">
        <f>_xlfn.UNICHAR(HEX2DEC(Table1[[#This Row],[utf8]]))</f>
        <v>🧑</v>
      </c>
      <c r="K3570" s="3" t="str" cm="1">
        <f t="array" ref="K3570">"Case "&amp;wRandomLetter()&amp;wRandomLetter()&amp;I3570&amp;":    UniConst = ChrW(" &amp; I3570 &amp;")"</f>
        <v>Case Mg129489:    UniConst = ChrW(129489)</v>
      </c>
    </row>
    <row r="3571" spans="1:11" hidden="1">
      <c r="A3571" t="s">
        <v>1104</v>
      </c>
      <c r="B3571" t="str">
        <f t="shared" si="332"/>
        <v>1F9D1 200D 1F3ED ; fully-qualified # 🧑‍🏭 E12.1 factory worker</v>
      </c>
      <c r="C3571" t="str">
        <f t="shared" si="333"/>
        <v xml:space="preserve">1F9D1 200D 1F3ED </v>
      </c>
      <c r="D3571">
        <f t="shared" si="334"/>
        <v>17</v>
      </c>
      <c r="E3571" t="str">
        <f t="shared" si="330"/>
        <v xml:space="preserve"> 🧑‍🏭 E12.1 factory worker</v>
      </c>
      <c r="F3571" t="b">
        <f t="shared" si="335"/>
        <v>1</v>
      </c>
      <c r="G3571" t="str">
        <f t="shared" si="331"/>
        <v>1F9D1</v>
      </c>
      <c r="I3571">
        <f>HEX2DEC(Table1[[#This Row],[utf8]])</f>
        <v>129489</v>
      </c>
      <c r="J3571" t="str">
        <f>_xlfn.UNICHAR(HEX2DEC(Table1[[#This Row],[utf8]]))</f>
        <v>🧑</v>
      </c>
      <c r="K3571" s="3" t="str" cm="1">
        <f t="array" ref="K3571">"Case "&amp;wRandomLetter()&amp;wRandomLetter()&amp;I3571&amp;":    UniConst = ChrW(" &amp; I3571 &amp;")"</f>
        <v>Case ET129489:    UniConst = ChrW(129489)</v>
      </c>
    </row>
    <row r="3572" spans="1:11" hidden="1">
      <c r="A3572" t="s">
        <v>1158</v>
      </c>
      <c r="B3572" t="str">
        <f t="shared" si="332"/>
        <v>1F9D1 200D 1F4BB ; fully-qualified # 🧑‍💻 E12.1 technologist</v>
      </c>
      <c r="C3572" t="str">
        <f t="shared" si="333"/>
        <v xml:space="preserve">1F9D1 200D 1F4BB </v>
      </c>
      <c r="D3572">
        <f t="shared" si="334"/>
        <v>17</v>
      </c>
      <c r="E3572" t="str">
        <f t="shared" si="330"/>
        <v xml:space="preserve"> 🧑‍💻 E12.1 technologist</v>
      </c>
      <c r="F3572" t="b">
        <f t="shared" si="335"/>
        <v>1</v>
      </c>
      <c r="G3572" t="str">
        <f t="shared" si="331"/>
        <v>1F9D1</v>
      </c>
      <c r="I3572">
        <f>HEX2DEC(Table1[[#This Row],[utf8]])</f>
        <v>129489</v>
      </c>
      <c r="J3572" t="str">
        <f>_xlfn.UNICHAR(HEX2DEC(Table1[[#This Row],[utf8]]))</f>
        <v>🧑</v>
      </c>
      <c r="K3572" s="3" t="str" cm="1">
        <f t="array" ref="K3572">"Case "&amp;wRandomLetter()&amp;wRandomLetter()&amp;I3572&amp;":    UniConst = ChrW(" &amp; I3572 &amp;")"</f>
        <v>Case HN129489:    UniConst = ChrW(129489)</v>
      </c>
    </row>
    <row r="3573" spans="1:11" hidden="1">
      <c r="A3573" t="s">
        <v>1122</v>
      </c>
      <c r="B3573" t="str">
        <f t="shared" si="332"/>
        <v>1F9D1 200D 1F4BC ; fully-qualified # 🧑‍💼 E12.1 office worker</v>
      </c>
      <c r="C3573" t="str">
        <f t="shared" si="333"/>
        <v xml:space="preserve">1F9D1 200D 1F4BC </v>
      </c>
      <c r="D3573">
        <f t="shared" si="334"/>
        <v>17</v>
      </c>
      <c r="E3573" t="str">
        <f t="shared" si="330"/>
        <v xml:space="preserve"> 🧑‍💼 E12.1 office worker</v>
      </c>
      <c r="F3573" t="b">
        <f t="shared" si="335"/>
        <v>1</v>
      </c>
      <c r="G3573" t="str">
        <f t="shared" si="331"/>
        <v>1F9D1</v>
      </c>
      <c r="I3573">
        <f>HEX2DEC(Table1[[#This Row],[utf8]])</f>
        <v>129489</v>
      </c>
      <c r="J3573" t="str">
        <f>_xlfn.UNICHAR(HEX2DEC(Table1[[#This Row],[utf8]]))</f>
        <v>🧑</v>
      </c>
      <c r="K3573" s="3" t="str" cm="1">
        <f t="array" ref="K3573">"Case "&amp;wRandomLetter()&amp;wRandomLetter()&amp;I3573&amp;":    UniConst = ChrW(" &amp; I3573 &amp;")"</f>
        <v>Case gC129489:    UniConst = ChrW(129489)</v>
      </c>
    </row>
    <row r="3574" spans="1:11" hidden="1">
      <c r="A3574" t="s">
        <v>1086</v>
      </c>
      <c r="B3574" t="str">
        <f t="shared" si="332"/>
        <v>1F9D1 200D 1F527 ; fully-qualified # 🧑‍🔧 E12.1 mechanic</v>
      </c>
      <c r="C3574" t="str">
        <f t="shared" si="333"/>
        <v xml:space="preserve">1F9D1 200D 1F527 </v>
      </c>
      <c r="D3574">
        <f t="shared" si="334"/>
        <v>17</v>
      </c>
      <c r="E3574" t="str">
        <f t="shared" si="330"/>
        <v xml:space="preserve"> 🧑‍🔧 E12.1 mechanic</v>
      </c>
      <c r="F3574" t="b">
        <f t="shared" si="335"/>
        <v>1</v>
      </c>
      <c r="G3574" t="str">
        <f t="shared" si="331"/>
        <v>1F9D1</v>
      </c>
      <c r="I3574">
        <f>HEX2DEC(Table1[[#This Row],[utf8]])</f>
        <v>129489</v>
      </c>
      <c r="J3574" t="str">
        <f>_xlfn.UNICHAR(HEX2DEC(Table1[[#This Row],[utf8]]))</f>
        <v>🧑</v>
      </c>
      <c r="K3574" s="3" t="str" cm="1">
        <f t="array" ref="K3574">"Case "&amp;wRandomLetter()&amp;wRandomLetter()&amp;I3574&amp;":    UniConst = ChrW(" &amp; I3574 &amp;")"</f>
        <v>Case lb129489:    UniConst = ChrW(129489)</v>
      </c>
    </row>
    <row r="3575" spans="1:11" hidden="1">
      <c r="A3575" t="s">
        <v>1140</v>
      </c>
      <c r="B3575" t="str">
        <f t="shared" si="332"/>
        <v>1F9D1 200D 1F52C ; fully-qualified # 🧑‍🔬 E12.1 scientist</v>
      </c>
      <c r="C3575" t="str">
        <f t="shared" si="333"/>
        <v xml:space="preserve">1F9D1 200D 1F52C </v>
      </c>
      <c r="D3575">
        <f t="shared" si="334"/>
        <v>17</v>
      </c>
      <c r="E3575" t="str">
        <f t="shared" si="330"/>
        <v xml:space="preserve"> 🧑‍🔬 E12.1 scientist</v>
      </c>
      <c r="F3575" t="b">
        <f t="shared" si="335"/>
        <v>1</v>
      </c>
      <c r="G3575" t="str">
        <f t="shared" si="331"/>
        <v>1F9D1</v>
      </c>
      <c r="I3575">
        <f>HEX2DEC(Table1[[#This Row],[utf8]])</f>
        <v>129489</v>
      </c>
      <c r="J3575" t="str">
        <f>_xlfn.UNICHAR(HEX2DEC(Table1[[#This Row],[utf8]]))</f>
        <v>🧑</v>
      </c>
      <c r="K3575" s="3" t="str" cm="1">
        <f t="array" ref="K3575">"Case "&amp;wRandomLetter()&amp;wRandomLetter()&amp;I3575&amp;":    UniConst = ChrW(" &amp; I3575 &amp;")"</f>
        <v>Case vb129489:    UniConst = ChrW(129489)</v>
      </c>
    </row>
    <row r="3576" spans="1:11" hidden="1">
      <c r="A3576" t="s">
        <v>1248</v>
      </c>
      <c r="B3576" t="str">
        <f t="shared" si="332"/>
        <v>1F9D1 200D 1F680 ; fully-qualified # 🧑‍🚀 E12.1 astronaut</v>
      </c>
      <c r="C3576" t="str">
        <f t="shared" si="333"/>
        <v xml:space="preserve">1F9D1 200D 1F680 </v>
      </c>
      <c r="D3576">
        <f t="shared" si="334"/>
        <v>17</v>
      </c>
      <c r="E3576" t="str">
        <f t="shared" si="330"/>
        <v xml:space="preserve"> 🧑‍🚀 E12.1 astronaut</v>
      </c>
      <c r="F3576" t="b">
        <f t="shared" si="335"/>
        <v>1</v>
      </c>
      <c r="G3576" t="str">
        <f t="shared" si="331"/>
        <v>1F9D1</v>
      </c>
      <c r="I3576">
        <f>HEX2DEC(Table1[[#This Row],[utf8]])</f>
        <v>129489</v>
      </c>
      <c r="J3576" t="str">
        <f>_xlfn.UNICHAR(HEX2DEC(Table1[[#This Row],[utf8]]))</f>
        <v>🧑</v>
      </c>
      <c r="K3576" s="3" t="str" cm="1">
        <f t="array" ref="K3576">"Case "&amp;wRandomLetter()&amp;wRandomLetter()&amp;I3576&amp;":    UniConst = ChrW(" &amp; I3576 &amp;")"</f>
        <v>Case VE129489:    UniConst = ChrW(129489)</v>
      </c>
    </row>
    <row r="3577" spans="1:11" hidden="1">
      <c r="A3577" t="s">
        <v>1266</v>
      </c>
      <c r="B3577" t="str">
        <f t="shared" si="332"/>
        <v>1F9D1 200D 1F692 ; fully-qualified # 🧑‍🚒 E12.1 firefighter</v>
      </c>
      <c r="C3577" t="str">
        <f t="shared" si="333"/>
        <v xml:space="preserve">1F9D1 200D 1F692 </v>
      </c>
      <c r="D3577">
        <f t="shared" si="334"/>
        <v>17</v>
      </c>
      <c r="E3577" t="str">
        <f t="shared" si="330"/>
        <v xml:space="preserve"> 🧑‍🚒 E12.1 firefighter</v>
      </c>
      <c r="F3577" t="b">
        <f t="shared" si="335"/>
        <v>1</v>
      </c>
      <c r="G3577" t="str">
        <f t="shared" si="331"/>
        <v>1F9D1</v>
      </c>
      <c r="I3577">
        <f>HEX2DEC(Table1[[#This Row],[utf8]])</f>
        <v>129489</v>
      </c>
      <c r="J3577" t="str">
        <f>_xlfn.UNICHAR(HEX2DEC(Table1[[#This Row],[utf8]]))</f>
        <v>🧑</v>
      </c>
      <c r="K3577" s="3" t="str" cm="1">
        <f t="array" ref="K3577">"Case "&amp;wRandomLetter()&amp;wRandomLetter()&amp;I3577&amp;":    UniConst = ChrW(" &amp; I3577 &amp;")"</f>
        <v>Case GC129489:    UniConst = ChrW(129489)</v>
      </c>
    </row>
    <row r="3578" spans="1:11" hidden="1">
      <c r="A3578" t="s">
        <v>2563</v>
      </c>
      <c r="B3578" t="str">
        <f t="shared" si="332"/>
        <v>1F9D1 200D 1F91D 200D 1F9D1 ; fully-qualified # 🧑‍🤝‍🧑 E12.0 people holding hands</v>
      </c>
      <c r="C3578" t="str">
        <f t="shared" si="333"/>
        <v xml:space="preserve">1F9D1 200D 1F91D 200D 1F9D1 </v>
      </c>
      <c r="D3578">
        <f t="shared" si="334"/>
        <v>28</v>
      </c>
      <c r="E3578" t="str">
        <f t="shared" si="330"/>
        <v xml:space="preserve"> 🧑‍🤝‍🧑 E12.0 people holding hands</v>
      </c>
      <c r="F3578" t="b">
        <f t="shared" si="335"/>
        <v>1</v>
      </c>
      <c r="G3578" t="str">
        <f t="shared" si="331"/>
        <v>1F9D1</v>
      </c>
      <c r="I3578">
        <f>HEX2DEC(Table1[[#This Row],[utf8]])</f>
        <v>129489</v>
      </c>
      <c r="J3578" t="str">
        <f>_xlfn.UNICHAR(HEX2DEC(Table1[[#This Row],[utf8]]))</f>
        <v>🧑</v>
      </c>
      <c r="K3578" s="3" t="str" cm="1">
        <f t="array" ref="K3578">"Case "&amp;wRandomLetter()&amp;wRandomLetter()&amp;I3578&amp;":    UniConst = ChrW(" &amp; I3578 &amp;")"</f>
        <v>Case Ow129489:    UniConst = ChrW(129489)</v>
      </c>
    </row>
    <row r="3579" spans="1:11" hidden="1">
      <c r="A3579" t="s">
        <v>1955</v>
      </c>
      <c r="B3579" t="str">
        <f t="shared" si="332"/>
        <v>1F9D1 200D 1F9AF ; fully-qualified # 🧑‍🦯 E12.1 person with white cane</v>
      </c>
      <c r="C3579" t="str">
        <f t="shared" si="333"/>
        <v xml:space="preserve">1F9D1 200D 1F9AF </v>
      </c>
      <c r="D3579">
        <f t="shared" si="334"/>
        <v>17</v>
      </c>
      <c r="E3579" t="str">
        <f t="shared" si="330"/>
        <v xml:space="preserve"> 🧑‍🦯 E12.1 person with white cane</v>
      </c>
      <c r="F3579" t="b">
        <f t="shared" si="335"/>
        <v>1</v>
      </c>
      <c r="G3579" t="str">
        <f t="shared" si="331"/>
        <v>1F9D1</v>
      </c>
      <c r="I3579">
        <f>HEX2DEC(Table1[[#This Row],[utf8]])</f>
        <v>129489</v>
      </c>
      <c r="J3579" t="str">
        <f>_xlfn.UNICHAR(HEX2DEC(Table1[[#This Row],[utf8]]))</f>
        <v>🧑</v>
      </c>
      <c r="K3579" s="3" t="str" cm="1">
        <f t="array" ref="K3579">"Case "&amp;wRandomLetter()&amp;wRandomLetter()&amp;I3579&amp;":    UniConst = ChrW(" &amp; I3579 &amp;")"</f>
        <v>Case uU129489:    UniConst = ChrW(129489)</v>
      </c>
    </row>
    <row r="3580" spans="1:11" hidden="1">
      <c r="A3580" t="s">
        <v>556</v>
      </c>
      <c r="B3580" t="str">
        <f t="shared" si="332"/>
        <v>1F9D1 200D 1F9B0 ; fully-qualified # 🧑‍🦰 E12.1 person: red hair</v>
      </c>
      <c r="C3580" t="str">
        <f t="shared" si="333"/>
        <v xml:space="preserve">1F9D1 200D 1F9B0 </v>
      </c>
      <c r="D3580">
        <f t="shared" si="334"/>
        <v>17</v>
      </c>
      <c r="E3580" t="str">
        <f t="shared" si="330"/>
        <v xml:space="preserve"> 🧑‍🦰 E12.1 person: red hair</v>
      </c>
      <c r="F3580" t="b">
        <f t="shared" si="335"/>
        <v>1</v>
      </c>
      <c r="G3580" t="str">
        <f t="shared" si="331"/>
        <v>1F9D1</v>
      </c>
      <c r="I3580">
        <f>HEX2DEC(Table1[[#This Row],[utf8]])</f>
        <v>129489</v>
      </c>
      <c r="J3580" t="str">
        <f>_xlfn.UNICHAR(HEX2DEC(Table1[[#This Row],[utf8]]))</f>
        <v>🧑</v>
      </c>
      <c r="K3580" s="3" t="str" cm="1">
        <f t="array" ref="K3580">"Case "&amp;wRandomLetter()&amp;wRandomLetter()&amp;I3580&amp;":    UniConst = ChrW(" &amp; I3580 &amp;")"</f>
        <v>Case Yc129489:    UniConst = ChrW(129489)</v>
      </c>
    </row>
    <row r="3581" spans="1:11" hidden="1">
      <c r="A3581" t="s">
        <v>568</v>
      </c>
      <c r="B3581" t="str">
        <f t="shared" si="332"/>
        <v>1F9D1 200D 1F9B1 ; fully-qualified # 🧑‍🦱 E12.1 person: curly hair</v>
      </c>
      <c r="C3581" t="str">
        <f t="shared" si="333"/>
        <v xml:space="preserve">1F9D1 200D 1F9B1 </v>
      </c>
      <c r="D3581">
        <f t="shared" si="334"/>
        <v>17</v>
      </c>
      <c r="E3581" t="str">
        <f t="shared" si="330"/>
        <v xml:space="preserve"> 🧑‍🦱 E12.1 person: curly hair</v>
      </c>
      <c r="F3581" t="b">
        <f t="shared" si="335"/>
        <v>1</v>
      </c>
      <c r="G3581" t="str">
        <f t="shared" si="331"/>
        <v>1F9D1</v>
      </c>
      <c r="I3581">
        <f>HEX2DEC(Table1[[#This Row],[utf8]])</f>
        <v>129489</v>
      </c>
      <c r="J3581" t="str">
        <f>_xlfn.UNICHAR(HEX2DEC(Table1[[#This Row],[utf8]]))</f>
        <v>🧑</v>
      </c>
      <c r="K3581" s="3" t="str" cm="1">
        <f t="array" ref="K3581">"Case "&amp;wRandomLetter()&amp;wRandomLetter()&amp;I3581&amp;":    UniConst = ChrW(" &amp; I3581 &amp;")"</f>
        <v>Case nz129489:    UniConst = ChrW(129489)</v>
      </c>
    </row>
    <row r="3582" spans="1:11" hidden="1">
      <c r="A3582" t="s">
        <v>592</v>
      </c>
      <c r="B3582" t="str">
        <f t="shared" si="332"/>
        <v>1F9D1 200D 1F9B2 ; fully-qualified # 🧑‍🦲 E12.1 person: bald</v>
      </c>
      <c r="C3582" t="str">
        <f t="shared" si="333"/>
        <v xml:space="preserve">1F9D1 200D 1F9B2 </v>
      </c>
      <c r="D3582">
        <f t="shared" si="334"/>
        <v>17</v>
      </c>
      <c r="E3582" t="str">
        <f t="shared" si="330"/>
        <v xml:space="preserve"> 🧑‍🦲 E12.1 person: bald</v>
      </c>
      <c r="F3582" t="b">
        <f t="shared" si="335"/>
        <v>1</v>
      </c>
      <c r="G3582" t="str">
        <f t="shared" si="331"/>
        <v>1F9D1</v>
      </c>
      <c r="I3582">
        <f>HEX2DEC(Table1[[#This Row],[utf8]])</f>
        <v>129489</v>
      </c>
      <c r="J3582" t="str">
        <f>_xlfn.UNICHAR(HEX2DEC(Table1[[#This Row],[utf8]]))</f>
        <v>🧑</v>
      </c>
      <c r="K3582" s="3" t="str" cm="1">
        <f t="array" ref="K3582">"Case "&amp;wRandomLetter()&amp;wRandomLetter()&amp;I3582&amp;":    UniConst = ChrW(" &amp; I3582 &amp;")"</f>
        <v>Case ej129489:    UniConst = ChrW(129489)</v>
      </c>
    </row>
    <row r="3583" spans="1:11" hidden="1">
      <c r="A3583" t="s">
        <v>580</v>
      </c>
      <c r="B3583" t="str">
        <f t="shared" si="332"/>
        <v>1F9D1 200D 1F9B3 ; fully-qualified # 🧑‍🦳 E12.1 person: white hair</v>
      </c>
      <c r="C3583" t="str">
        <f t="shared" si="333"/>
        <v xml:space="preserve">1F9D1 200D 1F9B3 </v>
      </c>
      <c r="D3583">
        <f t="shared" si="334"/>
        <v>17</v>
      </c>
      <c r="E3583" t="str">
        <f t="shared" si="330"/>
        <v xml:space="preserve"> 🧑‍🦳 E12.1 person: white hair</v>
      </c>
      <c r="F3583" t="b">
        <f t="shared" si="335"/>
        <v>1</v>
      </c>
      <c r="G3583" t="str">
        <f t="shared" si="331"/>
        <v>1F9D1</v>
      </c>
      <c r="I3583">
        <f>HEX2DEC(Table1[[#This Row],[utf8]])</f>
        <v>129489</v>
      </c>
      <c r="J3583" t="str">
        <f>_xlfn.UNICHAR(HEX2DEC(Table1[[#This Row],[utf8]]))</f>
        <v>🧑</v>
      </c>
      <c r="K3583" s="3" t="str" cm="1">
        <f t="array" ref="K3583">"Case "&amp;wRandomLetter()&amp;wRandomLetter()&amp;I3583&amp;":    UniConst = ChrW(" &amp; I3583 &amp;")"</f>
        <v>Case SL129489:    UniConst = ChrW(129489)</v>
      </c>
    </row>
    <row r="3584" spans="1:11" hidden="1">
      <c r="A3584" t="s">
        <v>1973</v>
      </c>
      <c r="B3584" t="str">
        <f t="shared" si="332"/>
        <v>1F9D1 200D 1F9BC ; fully-qualified # 🧑‍🦼 E12.1 person in motorized wheelchair</v>
      </c>
      <c r="C3584" t="str">
        <f t="shared" si="333"/>
        <v xml:space="preserve">1F9D1 200D 1F9BC </v>
      </c>
      <c r="D3584">
        <f t="shared" si="334"/>
        <v>17</v>
      </c>
      <c r="E3584" t="str">
        <f t="shared" si="330"/>
        <v xml:space="preserve"> 🧑‍🦼 E12.1 person in motorized wheelchair</v>
      </c>
      <c r="F3584" t="b">
        <f t="shared" si="335"/>
        <v>1</v>
      </c>
      <c r="G3584" t="str">
        <f t="shared" si="331"/>
        <v>1F9D1</v>
      </c>
      <c r="I3584">
        <f>HEX2DEC(Table1[[#This Row],[utf8]])</f>
        <v>129489</v>
      </c>
      <c r="J3584" t="str">
        <f>_xlfn.UNICHAR(HEX2DEC(Table1[[#This Row],[utf8]]))</f>
        <v>🧑</v>
      </c>
      <c r="K3584" s="3" t="str" cm="1">
        <f t="array" ref="K3584">"Case "&amp;wRandomLetter()&amp;wRandomLetter()&amp;I3584&amp;":    UniConst = ChrW(" &amp; I3584 &amp;")"</f>
        <v>Case ix129489:    UniConst = ChrW(129489)</v>
      </c>
    </row>
    <row r="3585" spans="1:11" hidden="1">
      <c r="A3585" t="s">
        <v>1991</v>
      </c>
      <c r="B3585" t="str">
        <f t="shared" si="332"/>
        <v>1F9D1 200D 1F9BD ; fully-qualified # 🧑‍🦽 E12.1 person in manual wheelchair</v>
      </c>
      <c r="C3585" t="str">
        <f t="shared" si="333"/>
        <v xml:space="preserve">1F9D1 200D 1F9BD </v>
      </c>
      <c r="D3585">
        <f t="shared" si="334"/>
        <v>17</v>
      </c>
      <c r="E3585" t="str">
        <f t="shared" si="330"/>
        <v xml:space="preserve"> 🧑‍🦽 E12.1 person in manual wheelchair</v>
      </c>
      <c r="F3585" t="b">
        <f t="shared" si="335"/>
        <v>1</v>
      </c>
      <c r="G3585" t="str">
        <f t="shared" si="331"/>
        <v>1F9D1</v>
      </c>
      <c r="I3585">
        <f>HEX2DEC(Table1[[#This Row],[utf8]])</f>
        <v>129489</v>
      </c>
      <c r="J3585" t="str">
        <f>_xlfn.UNICHAR(HEX2DEC(Table1[[#This Row],[utf8]]))</f>
        <v>🧑</v>
      </c>
      <c r="K3585" s="3" t="str" cm="1">
        <f t="array" ref="K3585">"Case "&amp;wRandomLetter()&amp;wRandomLetter()&amp;I3585&amp;":    UniConst = ChrW(" &amp; I3585 &amp;")"</f>
        <v>Case ML129489:    UniConst = ChrW(129489)</v>
      </c>
    </row>
    <row r="3586" spans="1:11" hidden="1">
      <c r="A3586" t="s">
        <v>943</v>
      </c>
      <c r="B3586" t="str">
        <f t="shared" si="332"/>
        <v>1F9D1 200D 2695 ; minimally-qualified # 🧑‍⚕ E12.1 health worker</v>
      </c>
      <c r="C3586" t="str">
        <f t="shared" si="333"/>
        <v xml:space="preserve">1F9D1 200D 2695 </v>
      </c>
      <c r="D3586">
        <f t="shared" si="334"/>
        <v>16</v>
      </c>
      <c r="E3586" t="str">
        <f t="shared" ref="E3586:E3649" si="336">MID(A3586,FIND("#",A3586)+1,256)</f>
        <v xml:space="preserve"> 🧑‍⚕ E12.1 health worker</v>
      </c>
      <c r="F3586" t="b">
        <f t="shared" si="335"/>
        <v>1</v>
      </c>
      <c r="G3586" t="str">
        <f t="shared" ref="G3586:G3649" si="337">LEFT(C3586,(FIND(" ",C3586,1)-1))</f>
        <v>1F9D1</v>
      </c>
      <c r="I3586">
        <f>HEX2DEC(Table1[[#This Row],[utf8]])</f>
        <v>129489</v>
      </c>
      <c r="J3586" t="str">
        <f>_xlfn.UNICHAR(HEX2DEC(Table1[[#This Row],[utf8]]))</f>
        <v>🧑</v>
      </c>
      <c r="K3586" s="3" t="str" cm="1">
        <f t="array" ref="K3586">"Case "&amp;wRandomLetter()&amp;wRandomLetter()&amp;I3586&amp;":    UniConst = ChrW(" &amp; I3586 &amp;")"</f>
        <v>Case UQ129489:    UniConst = ChrW(129489)</v>
      </c>
    </row>
    <row r="3587" spans="1:11" hidden="1">
      <c r="A3587" t="s">
        <v>942</v>
      </c>
      <c r="B3587" t="str">
        <f t="shared" ref="B3587:B3650" si="338">TRIM(A3587)</f>
        <v>1F9D1 200D 2695 FE0F ; fully-qualified # 🧑‍⚕️ E12.1 health worker</v>
      </c>
      <c r="C3587" t="str">
        <f t="shared" ref="C3587:C3650" si="339">LEFT(B3587,(FIND(";",B3587,1)-1))</f>
        <v xml:space="preserve">1F9D1 200D 2695 FE0F </v>
      </c>
      <c r="D3587">
        <f t="shared" ref="D3587:D3650" si="340">LEN(C3587)</f>
        <v>21</v>
      </c>
      <c r="E3587" t="str">
        <f t="shared" si="336"/>
        <v xml:space="preserve"> 🧑‍⚕️ E12.1 health worker</v>
      </c>
      <c r="F3587" t="b">
        <f t="shared" ref="F3587:F3650" si="341">IF(LEFT(C3587,2)="1F",TRUE,FALSE)</f>
        <v>1</v>
      </c>
      <c r="G3587" t="str">
        <f t="shared" si="337"/>
        <v>1F9D1</v>
      </c>
      <c r="I3587">
        <f>HEX2DEC(Table1[[#This Row],[utf8]])</f>
        <v>129489</v>
      </c>
      <c r="J3587" t="str">
        <f>_xlfn.UNICHAR(HEX2DEC(Table1[[#This Row],[utf8]]))</f>
        <v>🧑</v>
      </c>
      <c r="K3587" s="3" t="str" cm="1">
        <f t="array" ref="K3587">"Case "&amp;wRandomLetter()&amp;wRandomLetter()&amp;I3587&amp;":    UniConst = ChrW(" &amp; I3587 &amp;")"</f>
        <v>Case ba129489:    UniConst = ChrW(129489)</v>
      </c>
    </row>
    <row r="3588" spans="1:11" hidden="1">
      <c r="A3588" t="s">
        <v>1015</v>
      </c>
      <c r="B3588" t="str">
        <f t="shared" si="338"/>
        <v>1F9D1 200D 2696 ; minimally-qualified # 🧑‍⚖ E12.1 judge</v>
      </c>
      <c r="C3588" t="str">
        <f t="shared" si="339"/>
        <v xml:space="preserve">1F9D1 200D 2696 </v>
      </c>
      <c r="D3588">
        <f t="shared" si="340"/>
        <v>16</v>
      </c>
      <c r="E3588" t="str">
        <f t="shared" si="336"/>
        <v xml:space="preserve"> 🧑‍⚖ E12.1 judge</v>
      </c>
      <c r="F3588" t="b">
        <f t="shared" si="341"/>
        <v>1</v>
      </c>
      <c r="G3588" t="str">
        <f t="shared" si="337"/>
        <v>1F9D1</v>
      </c>
      <c r="I3588">
        <f>HEX2DEC(Table1[[#This Row],[utf8]])</f>
        <v>129489</v>
      </c>
      <c r="J3588" t="str">
        <f>_xlfn.UNICHAR(HEX2DEC(Table1[[#This Row],[utf8]]))</f>
        <v>🧑</v>
      </c>
      <c r="K3588" s="3" t="str" cm="1">
        <f t="array" ref="K3588">"Case "&amp;wRandomLetter()&amp;wRandomLetter()&amp;I3588&amp;":    UniConst = ChrW(" &amp; I3588 &amp;")"</f>
        <v>Case Rw129489:    UniConst = ChrW(129489)</v>
      </c>
    </row>
    <row r="3589" spans="1:11" hidden="1">
      <c r="A3589" t="s">
        <v>1014</v>
      </c>
      <c r="B3589" t="str">
        <f t="shared" si="338"/>
        <v>1F9D1 200D 2696 FE0F ; fully-qualified # 🧑‍⚖️ E12.1 judge</v>
      </c>
      <c r="C3589" t="str">
        <f t="shared" si="339"/>
        <v xml:space="preserve">1F9D1 200D 2696 FE0F </v>
      </c>
      <c r="D3589">
        <f t="shared" si="340"/>
        <v>21</v>
      </c>
      <c r="E3589" t="str">
        <f t="shared" si="336"/>
        <v xml:space="preserve"> 🧑‍⚖️ E12.1 judge</v>
      </c>
      <c r="F3589" t="b">
        <f t="shared" si="341"/>
        <v>1</v>
      </c>
      <c r="G3589" t="str">
        <f t="shared" si="337"/>
        <v>1F9D1</v>
      </c>
      <c r="I3589">
        <f>HEX2DEC(Table1[[#This Row],[utf8]])</f>
        <v>129489</v>
      </c>
      <c r="J3589" t="str">
        <f>_xlfn.UNICHAR(HEX2DEC(Table1[[#This Row],[utf8]]))</f>
        <v>🧑</v>
      </c>
      <c r="K3589" s="3" t="str" cm="1">
        <f t="array" ref="K3589">"Case "&amp;wRandomLetter()&amp;wRandomLetter()&amp;I3589&amp;":    UniConst = ChrW(" &amp; I3589 &amp;")"</f>
        <v>Case Jq129489:    UniConst = ChrW(129489)</v>
      </c>
    </row>
    <row r="3590" spans="1:11" hidden="1">
      <c r="A3590" t="s">
        <v>1213</v>
      </c>
      <c r="B3590" t="str">
        <f t="shared" si="338"/>
        <v>1F9D1 200D 2708 ; minimally-qualified # 🧑‍✈ E12.1 pilot</v>
      </c>
      <c r="C3590" t="str">
        <f t="shared" si="339"/>
        <v xml:space="preserve">1F9D1 200D 2708 </v>
      </c>
      <c r="D3590">
        <f t="shared" si="340"/>
        <v>16</v>
      </c>
      <c r="E3590" t="str">
        <f t="shared" si="336"/>
        <v xml:space="preserve"> 🧑‍✈ E12.1 pilot</v>
      </c>
      <c r="F3590" t="b">
        <f t="shared" si="341"/>
        <v>1</v>
      </c>
      <c r="G3590" t="str">
        <f t="shared" si="337"/>
        <v>1F9D1</v>
      </c>
      <c r="I3590">
        <f>HEX2DEC(Table1[[#This Row],[utf8]])</f>
        <v>129489</v>
      </c>
      <c r="J3590" t="str">
        <f>_xlfn.UNICHAR(HEX2DEC(Table1[[#This Row],[utf8]]))</f>
        <v>🧑</v>
      </c>
      <c r="K3590" s="3" t="str" cm="1">
        <f t="array" ref="K3590">"Case "&amp;wRandomLetter()&amp;wRandomLetter()&amp;I3590&amp;":    UniConst = ChrW(" &amp; I3590 &amp;")"</f>
        <v>Case sW129489:    UniConst = ChrW(129489)</v>
      </c>
    </row>
    <row r="3591" spans="1:11" hidden="1">
      <c r="A3591" t="s">
        <v>1212</v>
      </c>
      <c r="B3591" t="str">
        <f t="shared" si="338"/>
        <v>1F9D1 200D 2708 FE0F ; fully-qualified # 🧑‍✈️ E12.1 pilot</v>
      </c>
      <c r="C3591" t="str">
        <f t="shared" si="339"/>
        <v xml:space="preserve">1F9D1 200D 2708 FE0F </v>
      </c>
      <c r="D3591">
        <f t="shared" si="340"/>
        <v>21</v>
      </c>
      <c r="E3591" t="str">
        <f t="shared" si="336"/>
        <v xml:space="preserve"> 🧑‍✈️ E12.1 pilot</v>
      </c>
      <c r="F3591" t="b">
        <f t="shared" si="341"/>
        <v>1</v>
      </c>
      <c r="G3591" t="str">
        <f t="shared" si="337"/>
        <v>1F9D1</v>
      </c>
      <c r="I3591">
        <f>HEX2DEC(Table1[[#This Row],[utf8]])</f>
        <v>129489</v>
      </c>
      <c r="J3591" t="str">
        <f>_xlfn.UNICHAR(HEX2DEC(Table1[[#This Row],[utf8]]))</f>
        <v>🧑</v>
      </c>
      <c r="K3591" s="3" t="str" cm="1">
        <f t="array" ref="K3591">"Case "&amp;wRandomLetter()&amp;wRandomLetter()&amp;I3591&amp;":    UniConst = ChrW(" &amp; I3591 &amp;")"</f>
        <v>Case Ay129489:    UniConst = ChrW(129489)</v>
      </c>
    </row>
    <row r="3592" spans="1:11" hidden="1">
      <c r="A3592" t="s">
        <v>454</v>
      </c>
      <c r="B3592" t="str">
        <f t="shared" si="338"/>
        <v>1F9D2 ; fully-qualified # 🧒 E5.0 child</v>
      </c>
      <c r="C3592" t="str">
        <f t="shared" si="339"/>
        <v xml:space="preserve">1F9D2 </v>
      </c>
      <c r="D3592">
        <f t="shared" si="340"/>
        <v>6</v>
      </c>
      <c r="E3592" t="str">
        <f t="shared" si="336"/>
        <v xml:space="preserve"> 🧒 E5.0 child</v>
      </c>
      <c r="F3592" t="b">
        <f t="shared" si="341"/>
        <v>1</v>
      </c>
      <c r="G3592" t="str">
        <f t="shared" si="337"/>
        <v>1F9D2</v>
      </c>
      <c r="I3592">
        <f>HEX2DEC(Table1[[#This Row],[utf8]])</f>
        <v>129490</v>
      </c>
      <c r="J3592" t="str">
        <f>_xlfn.UNICHAR(HEX2DEC(Table1[[#This Row],[utf8]]))</f>
        <v>🧒</v>
      </c>
      <c r="K3592" s="3" t="str" cm="1">
        <f t="array" ref="K3592">"Case "&amp;wRandomLetter()&amp;wRandomLetter()&amp;I3592&amp;":    UniConst = ChrW(" &amp; I3592 &amp;")"</f>
        <v>Case Un129490:    UniConst = ChrW(129490)</v>
      </c>
    </row>
    <row r="3593" spans="1:11" hidden="1">
      <c r="A3593" t="s">
        <v>455</v>
      </c>
      <c r="B3593" t="str">
        <f t="shared" si="338"/>
        <v>1F9D2 1F3FB ; fully-qualified # 🧒🏻 E5.0 child: light skin tone</v>
      </c>
      <c r="C3593" t="str">
        <f t="shared" si="339"/>
        <v xml:space="preserve">1F9D2 1F3FB </v>
      </c>
      <c r="D3593">
        <f t="shared" si="340"/>
        <v>12</v>
      </c>
      <c r="E3593" t="str">
        <f t="shared" si="336"/>
        <v xml:space="preserve"> 🧒🏻 E5.0 child: light skin tone</v>
      </c>
      <c r="F3593" t="b">
        <f t="shared" si="341"/>
        <v>1</v>
      </c>
      <c r="G3593" t="str">
        <f t="shared" si="337"/>
        <v>1F9D2</v>
      </c>
      <c r="I3593">
        <f>HEX2DEC(Table1[[#This Row],[utf8]])</f>
        <v>129490</v>
      </c>
      <c r="J3593" t="str">
        <f>_xlfn.UNICHAR(HEX2DEC(Table1[[#This Row],[utf8]]))</f>
        <v>🧒</v>
      </c>
      <c r="K3593" s="3" t="str" cm="1">
        <f t="array" ref="K3593">"Case "&amp;wRandomLetter()&amp;wRandomLetter()&amp;I3593&amp;":    UniConst = ChrW(" &amp; I3593 &amp;")"</f>
        <v>Case Se129490:    UniConst = ChrW(129490)</v>
      </c>
    </row>
    <row r="3594" spans="1:11" hidden="1">
      <c r="A3594" t="s">
        <v>456</v>
      </c>
      <c r="B3594" t="str">
        <f t="shared" si="338"/>
        <v>1F9D2 1F3FC ; fully-qualified # 🧒🏼 E5.0 child: medium-light skin tone</v>
      </c>
      <c r="C3594" t="str">
        <f t="shared" si="339"/>
        <v xml:space="preserve">1F9D2 1F3FC </v>
      </c>
      <c r="D3594">
        <f t="shared" si="340"/>
        <v>12</v>
      </c>
      <c r="E3594" t="str">
        <f t="shared" si="336"/>
        <v xml:space="preserve"> 🧒🏼 E5.0 child: medium-light skin tone</v>
      </c>
      <c r="F3594" t="b">
        <f t="shared" si="341"/>
        <v>1</v>
      </c>
      <c r="G3594" t="str">
        <f t="shared" si="337"/>
        <v>1F9D2</v>
      </c>
      <c r="I3594">
        <f>HEX2DEC(Table1[[#This Row],[utf8]])</f>
        <v>129490</v>
      </c>
      <c r="J3594" t="str">
        <f>_xlfn.UNICHAR(HEX2DEC(Table1[[#This Row],[utf8]]))</f>
        <v>🧒</v>
      </c>
      <c r="K3594" s="3" t="str" cm="1">
        <f t="array" ref="K3594">"Case "&amp;wRandomLetter()&amp;wRandomLetter()&amp;I3594&amp;":    UniConst = ChrW(" &amp; I3594 &amp;")"</f>
        <v>Case lc129490:    UniConst = ChrW(129490)</v>
      </c>
    </row>
    <row r="3595" spans="1:11" hidden="1">
      <c r="A3595" t="s">
        <v>457</v>
      </c>
      <c r="B3595" t="str">
        <f t="shared" si="338"/>
        <v>1F9D2 1F3FD ; fully-qualified # 🧒🏽 E5.0 child: medium skin tone</v>
      </c>
      <c r="C3595" t="str">
        <f t="shared" si="339"/>
        <v xml:space="preserve">1F9D2 1F3FD </v>
      </c>
      <c r="D3595">
        <f t="shared" si="340"/>
        <v>12</v>
      </c>
      <c r="E3595" t="str">
        <f t="shared" si="336"/>
        <v xml:space="preserve"> 🧒🏽 E5.0 child: medium skin tone</v>
      </c>
      <c r="F3595" t="b">
        <f t="shared" si="341"/>
        <v>1</v>
      </c>
      <c r="G3595" t="str">
        <f t="shared" si="337"/>
        <v>1F9D2</v>
      </c>
      <c r="I3595">
        <f>HEX2DEC(Table1[[#This Row],[utf8]])</f>
        <v>129490</v>
      </c>
      <c r="J3595" t="str">
        <f>_xlfn.UNICHAR(HEX2DEC(Table1[[#This Row],[utf8]]))</f>
        <v>🧒</v>
      </c>
      <c r="K3595" s="3" t="str" cm="1">
        <f t="array" ref="K3595">"Case "&amp;wRandomLetter()&amp;wRandomLetter()&amp;I3595&amp;":    UniConst = ChrW(" &amp; I3595 &amp;")"</f>
        <v>Case gU129490:    UniConst = ChrW(129490)</v>
      </c>
    </row>
    <row r="3596" spans="1:11" hidden="1">
      <c r="A3596" t="s">
        <v>458</v>
      </c>
      <c r="B3596" t="str">
        <f t="shared" si="338"/>
        <v>1F9D2 1F3FE ; fully-qualified # 🧒🏾 E5.0 child: medium-dark skin tone</v>
      </c>
      <c r="C3596" t="str">
        <f t="shared" si="339"/>
        <v xml:space="preserve">1F9D2 1F3FE </v>
      </c>
      <c r="D3596">
        <f t="shared" si="340"/>
        <v>12</v>
      </c>
      <c r="E3596" t="str">
        <f t="shared" si="336"/>
        <v xml:space="preserve"> 🧒🏾 E5.0 child: medium-dark skin tone</v>
      </c>
      <c r="F3596" t="b">
        <f t="shared" si="341"/>
        <v>1</v>
      </c>
      <c r="G3596" t="str">
        <f t="shared" si="337"/>
        <v>1F9D2</v>
      </c>
      <c r="I3596">
        <f>HEX2DEC(Table1[[#This Row],[utf8]])</f>
        <v>129490</v>
      </c>
      <c r="J3596" t="str">
        <f>_xlfn.UNICHAR(HEX2DEC(Table1[[#This Row],[utf8]]))</f>
        <v>🧒</v>
      </c>
      <c r="K3596" s="3" t="str" cm="1">
        <f t="array" ref="K3596">"Case "&amp;wRandomLetter()&amp;wRandomLetter()&amp;I3596&amp;":    UniConst = ChrW(" &amp; I3596 &amp;")"</f>
        <v>Case sM129490:    UniConst = ChrW(129490)</v>
      </c>
    </row>
    <row r="3597" spans="1:11" hidden="1">
      <c r="A3597" t="s">
        <v>459</v>
      </c>
      <c r="B3597" t="str">
        <f t="shared" si="338"/>
        <v>1F9D2 1F3FF ; fully-qualified # 🧒🏿 E5.0 child: dark skin tone</v>
      </c>
      <c r="C3597" t="str">
        <f t="shared" si="339"/>
        <v xml:space="preserve">1F9D2 1F3FF </v>
      </c>
      <c r="D3597">
        <f t="shared" si="340"/>
        <v>12</v>
      </c>
      <c r="E3597" t="str">
        <f t="shared" si="336"/>
        <v xml:space="preserve"> 🧒🏿 E5.0 child: dark skin tone</v>
      </c>
      <c r="F3597" t="b">
        <f t="shared" si="341"/>
        <v>1</v>
      </c>
      <c r="G3597" t="str">
        <f t="shared" si="337"/>
        <v>1F9D2</v>
      </c>
      <c r="I3597">
        <f>HEX2DEC(Table1[[#This Row],[utf8]])</f>
        <v>129490</v>
      </c>
      <c r="J3597" t="str">
        <f>_xlfn.UNICHAR(HEX2DEC(Table1[[#This Row],[utf8]]))</f>
        <v>🧒</v>
      </c>
      <c r="K3597" s="3" t="str" cm="1">
        <f t="array" ref="K3597">"Case "&amp;wRandomLetter()&amp;wRandomLetter()&amp;I3597&amp;":    UniConst = ChrW(" &amp; I3597 &amp;")"</f>
        <v>Case SY129490:    UniConst = ChrW(129490)</v>
      </c>
    </row>
    <row r="3598" spans="1:11" hidden="1">
      <c r="A3598" t="s">
        <v>622</v>
      </c>
      <c r="B3598" t="str">
        <f t="shared" si="338"/>
        <v>1F9D3 ; fully-qualified # 🧓 E5.0 older person</v>
      </c>
      <c r="C3598" t="str">
        <f t="shared" si="339"/>
        <v xml:space="preserve">1F9D3 </v>
      </c>
      <c r="D3598">
        <f t="shared" si="340"/>
        <v>6</v>
      </c>
      <c r="E3598" t="str">
        <f t="shared" si="336"/>
        <v xml:space="preserve"> 🧓 E5.0 older person</v>
      </c>
      <c r="F3598" t="b">
        <f t="shared" si="341"/>
        <v>1</v>
      </c>
      <c r="G3598" t="str">
        <f t="shared" si="337"/>
        <v>1F9D3</v>
      </c>
      <c r="I3598">
        <f>HEX2DEC(Table1[[#This Row],[utf8]])</f>
        <v>129491</v>
      </c>
      <c r="J3598" t="str">
        <f>_xlfn.UNICHAR(HEX2DEC(Table1[[#This Row],[utf8]]))</f>
        <v>🧓</v>
      </c>
      <c r="K3598" s="3" t="str" cm="1">
        <f t="array" ref="K3598">"Case "&amp;wRandomLetter()&amp;wRandomLetter()&amp;I3598&amp;":    UniConst = ChrW(" &amp; I3598 &amp;")"</f>
        <v>Case Yl129491:    UniConst = ChrW(129491)</v>
      </c>
    </row>
    <row r="3599" spans="1:11" hidden="1">
      <c r="A3599" t="s">
        <v>623</v>
      </c>
      <c r="B3599" t="str">
        <f t="shared" si="338"/>
        <v>1F9D3 1F3FB ; fully-qualified # 🧓🏻 E5.0 older person: light skin tone</v>
      </c>
      <c r="C3599" t="str">
        <f t="shared" si="339"/>
        <v xml:space="preserve">1F9D3 1F3FB </v>
      </c>
      <c r="D3599">
        <f t="shared" si="340"/>
        <v>12</v>
      </c>
      <c r="E3599" t="str">
        <f t="shared" si="336"/>
        <v xml:space="preserve"> 🧓🏻 E5.0 older person: light skin tone</v>
      </c>
      <c r="F3599" t="b">
        <f t="shared" si="341"/>
        <v>1</v>
      </c>
      <c r="G3599" t="str">
        <f t="shared" si="337"/>
        <v>1F9D3</v>
      </c>
      <c r="I3599">
        <f>HEX2DEC(Table1[[#This Row],[utf8]])</f>
        <v>129491</v>
      </c>
      <c r="J3599" t="str">
        <f>_xlfn.UNICHAR(HEX2DEC(Table1[[#This Row],[utf8]]))</f>
        <v>🧓</v>
      </c>
      <c r="K3599" s="3" t="str" cm="1">
        <f t="array" ref="K3599">"Case "&amp;wRandomLetter()&amp;wRandomLetter()&amp;I3599&amp;":    UniConst = ChrW(" &amp; I3599 &amp;")"</f>
        <v>Case aM129491:    UniConst = ChrW(129491)</v>
      </c>
    </row>
    <row r="3600" spans="1:11" hidden="1">
      <c r="A3600" t="s">
        <v>624</v>
      </c>
      <c r="B3600" t="str">
        <f t="shared" si="338"/>
        <v>1F9D3 1F3FC ; fully-qualified # 🧓🏼 E5.0 older person: medium-light skin tone</v>
      </c>
      <c r="C3600" t="str">
        <f t="shared" si="339"/>
        <v xml:space="preserve">1F9D3 1F3FC </v>
      </c>
      <c r="D3600">
        <f t="shared" si="340"/>
        <v>12</v>
      </c>
      <c r="E3600" t="str">
        <f t="shared" si="336"/>
        <v xml:space="preserve"> 🧓🏼 E5.0 older person: medium-light skin tone</v>
      </c>
      <c r="F3600" t="b">
        <f t="shared" si="341"/>
        <v>1</v>
      </c>
      <c r="G3600" t="str">
        <f t="shared" si="337"/>
        <v>1F9D3</v>
      </c>
      <c r="I3600">
        <f>HEX2DEC(Table1[[#This Row],[utf8]])</f>
        <v>129491</v>
      </c>
      <c r="J3600" t="str">
        <f>_xlfn.UNICHAR(HEX2DEC(Table1[[#This Row],[utf8]]))</f>
        <v>🧓</v>
      </c>
      <c r="K3600" s="3" t="str" cm="1">
        <f t="array" ref="K3600">"Case "&amp;wRandomLetter()&amp;wRandomLetter()&amp;I3600&amp;":    UniConst = ChrW(" &amp; I3600 &amp;")"</f>
        <v>Case Jd129491:    UniConst = ChrW(129491)</v>
      </c>
    </row>
    <row r="3601" spans="1:11" hidden="1">
      <c r="A3601" t="s">
        <v>625</v>
      </c>
      <c r="B3601" t="str">
        <f t="shared" si="338"/>
        <v>1F9D3 1F3FD ; fully-qualified # 🧓🏽 E5.0 older person: medium skin tone</v>
      </c>
      <c r="C3601" t="str">
        <f t="shared" si="339"/>
        <v xml:space="preserve">1F9D3 1F3FD </v>
      </c>
      <c r="D3601">
        <f t="shared" si="340"/>
        <v>12</v>
      </c>
      <c r="E3601" t="str">
        <f t="shared" si="336"/>
        <v xml:space="preserve"> 🧓🏽 E5.0 older person: medium skin tone</v>
      </c>
      <c r="F3601" t="b">
        <f t="shared" si="341"/>
        <v>1</v>
      </c>
      <c r="G3601" t="str">
        <f t="shared" si="337"/>
        <v>1F9D3</v>
      </c>
      <c r="I3601">
        <f>HEX2DEC(Table1[[#This Row],[utf8]])</f>
        <v>129491</v>
      </c>
      <c r="J3601" t="str">
        <f>_xlfn.UNICHAR(HEX2DEC(Table1[[#This Row],[utf8]]))</f>
        <v>🧓</v>
      </c>
      <c r="K3601" s="3" t="str" cm="1">
        <f t="array" ref="K3601">"Case "&amp;wRandomLetter()&amp;wRandomLetter()&amp;I3601&amp;":    UniConst = ChrW(" &amp; I3601 &amp;")"</f>
        <v>Case AE129491:    UniConst = ChrW(129491)</v>
      </c>
    </row>
    <row r="3602" spans="1:11" hidden="1">
      <c r="A3602" t="s">
        <v>626</v>
      </c>
      <c r="B3602" t="str">
        <f t="shared" si="338"/>
        <v>1F9D3 1F3FE ; fully-qualified # 🧓🏾 E5.0 older person: medium-dark skin tone</v>
      </c>
      <c r="C3602" t="str">
        <f t="shared" si="339"/>
        <v xml:space="preserve">1F9D3 1F3FE </v>
      </c>
      <c r="D3602">
        <f t="shared" si="340"/>
        <v>12</v>
      </c>
      <c r="E3602" t="str">
        <f t="shared" si="336"/>
        <v xml:space="preserve"> 🧓🏾 E5.0 older person: medium-dark skin tone</v>
      </c>
      <c r="F3602" t="b">
        <f t="shared" si="341"/>
        <v>1</v>
      </c>
      <c r="G3602" t="str">
        <f t="shared" si="337"/>
        <v>1F9D3</v>
      </c>
      <c r="I3602">
        <f>HEX2DEC(Table1[[#This Row],[utf8]])</f>
        <v>129491</v>
      </c>
      <c r="J3602" t="str">
        <f>_xlfn.UNICHAR(HEX2DEC(Table1[[#This Row],[utf8]]))</f>
        <v>🧓</v>
      </c>
      <c r="K3602" s="3" t="str" cm="1">
        <f t="array" ref="K3602">"Case "&amp;wRandomLetter()&amp;wRandomLetter()&amp;I3602&amp;":    UniConst = ChrW(" &amp; I3602 &amp;")"</f>
        <v>Case qD129491:    UniConst = ChrW(129491)</v>
      </c>
    </row>
    <row r="3603" spans="1:11" hidden="1">
      <c r="A3603" t="s">
        <v>627</v>
      </c>
      <c r="B3603" t="str">
        <f t="shared" si="338"/>
        <v>1F9D3 1F3FF ; fully-qualified # 🧓🏿 E5.0 older person: dark skin tone</v>
      </c>
      <c r="C3603" t="str">
        <f t="shared" si="339"/>
        <v xml:space="preserve">1F9D3 1F3FF </v>
      </c>
      <c r="D3603">
        <f t="shared" si="340"/>
        <v>12</v>
      </c>
      <c r="E3603" t="str">
        <f t="shared" si="336"/>
        <v xml:space="preserve"> 🧓🏿 E5.0 older person: dark skin tone</v>
      </c>
      <c r="F3603" t="b">
        <f t="shared" si="341"/>
        <v>1</v>
      </c>
      <c r="G3603" t="str">
        <f t="shared" si="337"/>
        <v>1F9D3</v>
      </c>
      <c r="I3603">
        <f>HEX2DEC(Table1[[#This Row],[utf8]])</f>
        <v>129491</v>
      </c>
      <c r="J3603" t="str">
        <f>_xlfn.UNICHAR(HEX2DEC(Table1[[#This Row],[utf8]]))</f>
        <v>🧓</v>
      </c>
      <c r="K3603" s="3" t="str" cm="1">
        <f t="array" ref="K3603">"Case "&amp;wRandomLetter()&amp;wRandomLetter()&amp;I3603&amp;":    UniConst = ChrW(" &amp; I3603 &amp;")"</f>
        <v>Case hS129491:    UniConst = ChrW(129491)</v>
      </c>
    </row>
    <row r="3604" spans="1:11" hidden="1">
      <c r="A3604" t="s">
        <v>490</v>
      </c>
      <c r="B3604" t="str">
        <f t="shared" si="338"/>
        <v>1F9D4 ; fully-qualified # 🧔 E5.0 person: beard</v>
      </c>
      <c r="C3604" t="str">
        <f t="shared" si="339"/>
        <v xml:space="preserve">1F9D4 </v>
      </c>
      <c r="D3604">
        <f t="shared" si="340"/>
        <v>6</v>
      </c>
      <c r="E3604" t="str">
        <f t="shared" si="336"/>
        <v xml:space="preserve"> 🧔 E5.0 person: beard</v>
      </c>
      <c r="F3604" t="b">
        <f t="shared" si="341"/>
        <v>1</v>
      </c>
      <c r="G3604" t="str">
        <f t="shared" si="337"/>
        <v>1F9D4</v>
      </c>
      <c r="I3604">
        <f>HEX2DEC(Table1[[#This Row],[utf8]])</f>
        <v>129492</v>
      </c>
      <c r="J3604" t="str">
        <f>_xlfn.UNICHAR(HEX2DEC(Table1[[#This Row],[utf8]]))</f>
        <v>🧔</v>
      </c>
      <c r="K3604" s="3" t="str" cm="1">
        <f t="array" ref="K3604">"Case "&amp;wRandomLetter()&amp;wRandomLetter()&amp;I3604&amp;":    UniConst = ChrW(" &amp; I3604 &amp;")"</f>
        <v>Case CN129492:    UniConst = ChrW(129492)</v>
      </c>
    </row>
    <row r="3605" spans="1:11" hidden="1">
      <c r="A3605" t="s">
        <v>491</v>
      </c>
      <c r="B3605" t="str">
        <f t="shared" si="338"/>
        <v>1F9D4 1F3FB ; fully-qualified # 🧔🏻 E5.0 person: light skin tone, beard</v>
      </c>
      <c r="C3605" t="str">
        <f t="shared" si="339"/>
        <v xml:space="preserve">1F9D4 1F3FB </v>
      </c>
      <c r="D3605">
        <f t="shared" si="340"/>
        <v>12</v>
      </c>
      <c r="E3605" t="str">
        <f t="shared" si="336"/>
        <v xml:space="preserve"> 🧔🏻 E5.0 person: light skin tone, beard</v>
      </c>
      <c r="F3605" t="b">
        <f t="shared" si="341"/>
        <v>1</v>
      </c>
      <c r="G3605" t="str">
        <f t="shared" si="337"/>
        <v>1F9D4</v>
      </c>
      <c r="I3605">
        <f>HEX2DEC(Table1[[#This Row],[utf8]])</f>
        <v>129492</v>
      </c>
      <c r="J3605" t="str">
        <f>_xlfn.UNICHAR(HEX2DEC(Table1[[#This Row],[utf8]]))</f>
        <v>🧔</v>
      </c>
      <c r="K3605" s="3" t="str" cm="1">
        <f t="array" ref="K3605">"Case "&amp;wRandomLetter()&amp;wRandomLetter()&amp;I3605&amp;":    UniConst = ChrW(" &amp; I3605 &amp;")"</f>
        <v>Case KZ129492:    UniConst = ChrW(129492)</v>
      </c>
    </row>
    <row r="3606" spans="1:11" hidden="1">
      <c r="A3606" t="s">
        <v>511</v>
      </c>
      <c r="B3606" t="str">
        <f t="shared" si="338"/>
        <v>1F9D4 1F3FB 200D 2640 ; minimally-qualified # 🧔🏻‍♀ E13.1 woman: light skin tone, beard</v>
      </c>
      <c r="C3606" t="str">
        <f t="shared" si="339"/>
        <v xml:space="preserve">1F9D4 1F3FB 200D 2640 </v>
      </c>
      <c r="D3606">
        <f t="shared" si="340"/>
        <v>22</v>
      </c>
      <c r="E3606" t="str">
        <f t="shared" si="336"/>
        <v xml:space="preserve"> 🧔🏻‍♀ E13.1 woman: light skin tone, beard</v>
      </c>
      <c r="F3606" t="b">
        <f t="shared" si="341"/>
        <v>1</v>
      </c>
      <c r="G3606" t="str">
        <f t="shared" si="337"/>
        <v>1F9D4</v>
      </c>
      <c r="I3606">
        <f>HEX2DEC(Table1[[#This Row],[utf8]])</f>
        <v>129492</v>
      </c>
      <c r="J3606" t="str">
        <f>_xlfn.UNICHAR(HEX2DEC(Table1[[#This Row],[utf8]]))</f>
        <v>🧔</v>
      </c>
      <c r="K3606" s="3" t="str" cm="1">
        <f t="array" ref="K3606">"Case "&amp;wRandomLetter()&amp;wRandomLetter()&amp;I3606&amp;":    UniConst = ChrW(" &amp; I3606 &amp;")"</f>
        <v>Case Ho129492:    UniConst = ChrW(129492)</v>
      </c>
    </row>
    <row r="3607" spans="1:11" hidden="1">
      <c r="A3607" t="s">
        <v>510</v>
      </c>
      <c r="B3607" t="str">
        <f t="shared" si="338"/>
        <v>1F9D4 1F3FB 200D 2640 FE0F ; fully-qualified # 🧔🏻‍♀️ E13.1 woman: light skin tone, beard</v>
      </c>
      <c r="C3607" t="str">
        <f t="shared" si="339"/>
        <v xml:space="preserve">1F9D4 1F3FB 200D 2640 FE0F </v>
      </c>
      <c r="D3607">
        <f t="shared" si="340"/>
        <v>27</v>
      </c>
      <c r="E3607" t="str">
        <f t="shared" si="336"/>
        <v xml:space="preserve"> 🧔🏻‍♀️ E13.1 woman: light skin tone, beard</v>
      </c>
      <c r="F3607" t="b">
        <f t="shared" si="341"/>
        <v>1</v>
      </c>
      <c r="G3607" t="str">
        <f t="shared" si="337"/>
        <v>1F9D4</v>
      </c>
      <c r="I3607">
        <f>HEX2DEC(Table1[[#This Row],[utf8]])</f>
        <v>129492</v>
      </c>
      <c r="J3607" t="str">
        <f>_xlfn.UNICHAR(HEX2DEC(Table1[[#This Row],[utf8]]))</f>
        <v>🧔</v>
      </c>
      <c r="K3607" s="3" t="str" cm="1">
        <f t="array" ref="K3607">"Case "&amp;wRandomLetter()&amp;wRandomLetter()&amp;I3607&amp;":    UniConst = ChrW(" &amp; I3607 &amp;")"</f>
        <v>Case wR129492:    UniConst = ChrW(129492)</v>
      </c>
    </row>
    <row r="3608" spans="1:11" hidden="1">
      <c r="A3608" t="s">
        <v>499</v>
      </c>
      <c r="B3608" t="str">
        <f t="shared" si="338"/>
        <v>1F9D4 1F3FB 200D 2642 ; minimally-qualified # 🧔🏻‍♂ E13.1 man: light skin tone, beard</v>
      </c>
      <c r="C3608" t="str">
        <f t="shared" si="339"/>
        <v xml:space="preserve">1F9D4 1F3FB 200D 2642 </v>
      </c>
      <c r="D3608">
        <f t="shared" si="340"/>
        <v>22</v>
      </c>
      <c r="E3608" t="str">
        <f t="shared" si="336"/>
        <v xml:space="preserve"> 🧔🏻‍♂ E13.1 man: light skin tone, beard</v>
      </c>
      <c r="F3608" t="b">
        <f t="shared" si="341"/>
        <v>1</v>
      </c>
      <c r="G3608" t="str">
        <f t="shared" si="337"/>
        <v>1F9D4</v>
      </c>
      <c r="I3608">
        <f>HEX2DEC(Table1[[#This Row],[utf8]])</f>
        <v>129492</v>
      </c>
      <c r="J3608" t="str">
        <f>_xlfn.UNICHAR(HEX2DEC(Table1[[#This Row],[utf8]]))</f>
        <v>🧔</v>
      </c>
      <c r="K3608" s="3" t="str" cm="1">
        <f t="array" ref="K3608">"Case "&amp;wRandomLetter()&amp;wRandomLetter()&amp;I3608&amp;":    UniConst = ChrW(" &amp; I3608 &amp;")"</f>
        <v>Case Op129492:    UniConst = ChrW(129492)</v>
      </c>
    </row>
    <row r="3609" spans="1:11" hidden="1">
      <c r="A3609" t="s">
        <v>498</v>
      </c>
      <c r="B3609" t="str">
        <f t="shared" si="338"/>
        <v>1F9D4 1F3FB 200D 2642 FE0F ; fully-qualified # 🧔🏻‍♂️ E13.1 man: light skin tone, beard</v>
      </c>
      <c r="C3609" t="str">
        <f t="shared" si="339"/>
        <v xml:space="preserve">1F9D4 1F3FB 200D 2642 FE0F </v>
      </c>
      <c r="D3609">
        <f t="shared" si="340"/>
        <v>27</v>
      </c>
      <c r="E3609" t="str">
        <f t="shared" si="336"/>
        <v xml:space="preserve"> 🧔🏻‍♂️ E13.1 man: light skin tone, beard</v>
      </c>
      <c r="F3609" t="b">
        <f t="shared" si="341"/>
        <v>1</v>
      </c>
      <c r="G3609" t="str">
        <f t="shared" si="337"/>
        <v>1F9D4</v>
      </c>
      <c r="I3609">
        <f>HEX2DEC(Table1[[#This Row],[utf8]])</f>
        <v>129492</v>
      </c>
      <c r="J3609" t="str">
        <f>_xlfn.UNICHAR(HEX2DEC(Table1[[#This Row],[utf8]]))</f>
        <v>🧔</v>
      </c>
      <c r="K3609" s="3" t="str" cm="1">
        <f t="array" ref="K3609">"Case "&amp;wRandomLetter()&amp;wRandomLetter()&amp;I3609&amp;":    UniConst = ChrW(" &amp; I3609 &amp;")"</f>
        <v>Case wB129492:    UniConst = ChrW(129492)</v>
      </c>
    </row>
    <row r="3610" spans="1:11" hidden="1">
      <c r="A3610" t="s">
        <v>492</v>
      </c>
      <c r="B3610" t="str">
        <f t="shared" si="338"/>
        <v>1F9D4 1F3FC ; fully-qualified # 🧔🏼 E5.0 person: medium-light skin tone, beard</v>
      </c>
      <c r="C3610" t="str">
        <f t="shared" si="339"/>
        <v xml:space="preserve">1F9D4 1F3FC </v>
      </c>
      <c r="D3610">
        <f t="shared" si="340"/>
        <v>12</v>
      </c>
      <c r="E3610" t="str">
        <f t="shared" si="336"/>
        <v xml:space="preserve"> 🧔🏼 E5.0 person: medium-light skin tone, beard</v>
      </c>
      <c r="F3610" t="b">
        <f t="shared" si="341"/>
        <v>1</v>
      </c>
      <c r="G3610" t="str">
        <f t="shared" si="337"/>
        <v>1F9D4</v>
      </c>
      <c r="I3610">
        <f>HEX2DEC(Table1[[#This Row],[utf8]])</f>
        <v>129492</v>
      </c>
      <c r="J3610" t="str">
        <f>_xlfn.UNICHAR(HEX2DEC(Table1[[#This Row],[utf8]]))</f>
        <v>🧔</v>
      </c>
      <c r="K3610" s="3" t="str" cm="1">
        <f t="array" ref="K3610">"Case "&amp;wRandomLetter()&amp;wRandomLetter()&amp;I3610&amp;":    UniConst = ChrW(" &amp; I3610 &amp;")"</f>
        <v>Case qQ129492:    UniConst = ChrW(129492)</v>
      </c>
    </row>
    <row r="3611" spans="1:11" hidden="1">
      <c r="A3611" t="s">
        <v>513</v>
      </c>
      <c r="B3611" t="str">
        <f t="shared" si="338"/>
        <v>1F9D4 1F3FC 200D 2640 ; minimally-qualified # 🧔🏼‍♀ E13.1 woman: medium-light skin tone, beard</v>
      </c>
      <c r="C3611" t="str">
        <f t="shared" si="339"/>
        <v xml:space="preserve">1F9D4 1F3FC 200D 2640 </v>
      </c>
      <c r="D3611">
        <f t="shared" si="340"/>
        <v>22</v>
      </c>
      <c r="E3611" t="str">
        <f t="shared" si="336"/>
        <v xml:space="preserve"> 🧔🏼‍♀ E13.1 woman: medium-light skin tone, beard</v>
      </c>
      <c r="F3611" t="b">
        <f t="shared" si="341"/>
        <v>1</v>
      </c>
      <c r="G3611" t="str">
        <f t="shared" si="337"/>
        <v>1F9D4</v>
      </c>
      <c r="I3611">
        <f>HEX2DEC(Table1[[#This Row],[utf8]])</f>
        <v>129492</v>
      </c>
      <c r="J3611" t="str">
        <f>_xlfn.UNICHAR(HEX2DEC(Table1[[#This Row],[utf8]]))</f>
        <v>🧔</v>
      </c>
      <c r="K3611" s="3" t="str" cm="1">
        <f t="array" ref="K3611">"Case "&amp;wRandomLetter()&amp;wRandomLetter()&amp;I3611&amp;":    UniConst = ChrW(" &amp; I3611 &amp;")"</f>
        <v>Case aJ129492:    UniConst = ChrW(129492)</v>
      </c>
    </row>
    <row r="3612" spans="1:11" hidden="1">
      <c r="A3612" t="s">
        <v>512</v>
      </c>
      <c r="B3612" t="str">
        <f t="shared" si="338"/>
        <v>1F9D4 1F3FC 200D 2640 FE0F ; fully-qualified # 🧔🏼‍♀️ E13.1 woman: medium-light skin tone, beard</v>
      </c>
      <c r="C3612" t="str">
        <f t="shared" si="339"/>
        <v xml:space="preserve">1F9D4 1F3FC 200D 2640 FE0F </v>
      </c>
      <c r="D3612">
        <f t="shared" si="340"/>
        <v>27</v>
      </c>
      <c r="E3612" t="str">
        <f t="shared" si="336"/>
        <v xml:space="preserve"> 🧔🏼‍♀️ E13.1 woman: medium-light skin tone, beard</v>
      </c>
      <c r="F3612" t="b">
        <f t="shared" si="341"/>
        <v>1</v>
      </c>
      <c r="G3612" t="str">
        <f t="shared" si="337"/>
        <v>1F9D4</v>
      </c>
      <c r="I3612">
        <f>HEX2DEC(Table1[[#This Row],[utf8]])</f>
        <v>129492</v>
      </c>
      <c r="J3612" t="str">
        <f>_xlfn.UNICHAR(HEX2DEC(Table1[[#This Row],[utf8]]))</f>
        <v>🧔</v>
      </c>
      <c r="K3612" s="3" t="str" cm="1">
        <f t="array" ref="K3612">"Case "&amp;wRandomLetter()&amp;wRandomLetter()&amp;I3612&amp;":    UniConst = ChrW(" &amp; I3612 &amp;")"</f>
        <v>Case vo129492:    UniConst = ChrW(129492)</v>
      </c>
    </row>
    <row r="3613" spans="1:11" hidden="1">
      <c r="A3613" t="s">
        <v>501</v>
      </c>
      <c r="B3613" t="str">
        <f t="shared" si="338"/>
        <v>1F9D4 1F3FC 200D 2642 ; minimally-qualified # 🧔🏼‍♂ E13.1 man: medium-light skin tone, beard</v>
      </c>
      <c r="C3613" t="str">
        <f t="shared" si="339"/>
        <v xml:space="preserve">1F9D4 1F3FC 200D 2642 </v>
      </c>
      <c r="D3613">
        <f t="shared" si="340"/>
        <v>22</v>
      </c>
      <c r="E3613" t="str">
        <f t="shared" si="336"/>
        <v xml:space="preserve"> 🧔🏼‍♂ E13.1 man: medium-light skin tone, beard</v>
      </c>
      <c r="F3613" t="b">
        <f t="shared" si="341"/>
        <v>1</v>
      </c>
      <c r="G3613" t="str">
        <f t="shared" si="337"/>
        <v>1F9D4</v>
      </c>
      <c r="I3613">
        <f>HEX2DEC(Table1[[#This Row],[utf8]])</f>
        <v>129492</v>
      </c>
      <c r="J3613" t="str">
        <f>_xlfn.UNICHAR(HEX2DEC(Table1[[#This Row],[utf8]]))</f>
        <v>🧔</v>
      </c>
      <c r="K3613" s="3" t="str" cm="1">
        <f t="array" ref="K3613">"Case "&amp;wRandomLetter()&amp;wRandomLetter()&amp;I3613&amp;":    UniConst = ChrW(" &amp; I3613 &amp;")"</f>
        <v>Case dB129492:    UniConst = ChrW(129492)</v>
      </c>
    </row>
    <row r="3614" spans="1:11" hidden="1">
      <c r="A3614" t="s">
        <v>500</v>
      </c>
      <c r="B3614" t="str">
        <f t="shared" si="338"/>
        <v>1F9D4 1F3FC 200D 2642 FE0F ; fully-qualified # 🧔🏼‍♂️ E13.1 man: medium-light skin tone, beard</v>
      </c>
      <c r="C3614" t="str">
        <f t="shared" si="339"/>
        <v xml:space="preserve">1F9D4 1F3FC 200D 2642 FE0F </v>
      </c>
      <c r="D3614">
        <f t="shared" si="340"/>
        <v>27</v>
      </c>
      <c r="E3614" t="str">
        <f t="shared" si="336"/>
        <v xml:space="preserve"> 🧔🏼‍♂️ E13.1 man: medium-light skin tone, beard</v>
      </c>
      <c r="F3614" t="b">
        <f t="shared" si="341"/>
        <v>1</v>
      </c>
      <c r="G3614" t="str">
        <f t="shared" si="337"/>
        <v>1F9D4</v>
      </c>
      <c r="I3614">
        <f>HEX2DEC(Table1[[#This Row],[utf8]])</f>
        <v>129492</v>
      </c>
      <c r="J3614" t="str">
        <f>_xlfn.UNICHAR(HEX2DEC(Table1[[#This Row],[utf8]]))</f>
        <v>🧔</v>
      </c>
      <c r="K3614" s="3" t="str" cm="1">
        <f t="array" ref="K3614">"Case "&amp;wRandomLetter()&amp;wRandomLetter()&amp;I3614&amp;":    UniConst = ChrW(" &amp; I3614 &amp;")"</f>
        <v>Case TS129492:    UniConst = ChrW(129492)</v>
      </c>
    </row>
    <row r="3615" spans="1:11" hidden="1">
      <c r="A3615" t="s">
        <v>493</v>
      </c>
      <c r="B3615" t="str">
        <f t="shared" si="338"/>
        <v>1F9D4 1F3FD ; fully-qualified # 🧔🏽 E5.0 person: medium skin tone, beard</v>
      </c>
      <c r="C3615" t="str">
        <f t="shared" si="339"/>
        <v xml:space="preserve">1F9D4 1F3FD </v>
      </c>
      <c r="D3615">
        <f t="shared" si="340"/>
        <v>12</v>
      </c>
      <c r="E3615" t="str">
        <f t="shared" si="336"/>
        <v xml:space="preserve"> 🧔🏽 E5.0 person: medium skin tone, beard</v>
      </c>
      <c r="F3615" t="b">
        <f t="shared" si="341"/>
        <v>1</v>
      </c>
      <c r="G3615" t="str">
        <f t="shared" si="337"/>
        <v>1F9D4</v>
      </c>
      <c r="I3615">
        <f>HEX2DEC(Table1[[#This Row],[utf8]])</f>
        <v>129492</v>
      </c>
      <c r="J3615" t="str">
        <f>_xlfn.UNICHAR(HEX2DEC(Table1[[#This Row],[utf8]]))</f>
        <v>🧔</v>
      </c>
      <c r="K3615" s="3" t="str" cm="1">
        <f t="array" ref="K3615">"Case "&amp;wRandomLetter()&amp;wRandomLetter()&amp;I3615&amp;":    UniConst = ChrW(" &amp; I3615 &amp;")"</f>
        <v>Case nO129492:    UniConst = ChrW(129492)</v>
      </c>
    </row>
    <row r="3616" spans="1:11" hidden="1">
      <c r="A3616" t="s">
        <v>515</v>
      </c>
      <c r="B3616" t="str">
        <f t="shared" si="338"/>
        <v>1F9D4 1F3FD 200D 2640 ; minimally-qualified # 🧔🏽‍♀ E13.1 woman: medium skin tone, beard</v>
      </c>
      <c r="C3616" t="str">
        <f t="shared" si="339"/>
        <v xml:space="preserve">1F9D4 1F3FD 200D 2640 </v>
      </c>
      <c r="D3616">
        <f t="shared" si="340"/>
        <v>22</v>
      </c>
      <c r="E3616" t="str">
        <f t="shared" si="336"/>
        <v xml:space="preserve"> 🧔🏽‍♀ E13.1 woman: medium skin tone, beard</v>
      </c>
      <c r="F3616" t="b">
        <f t="shared" si="341"/>
        <v>1</v>
      </c>
      <c r="G3616" t="str">
        <f t="shared" si="337"/>
        <v>1F9D4</v>
      </c>
      <c r="I3616">
        <f>HEX2DEC(Table1[[#This Row],[utf8]])</f>
        <v>129492</v>
      </c>
      <c r="J3616" t="str">
        <f>_xlfn.UNICHAR(HEX2DEC(Table1[[#This Row],[utf8]]))</f>
        <v>🧔</v>
      </c>
      <c r="K3616" s="3" t="str" cm="1">
        <f t="array" ref="K3616">"Case "&amp;wRandomLetter()&amp;wRandomLetter()&amp;I3616&amp;":    UniConst = ChrW(" &amp; I3616 &amp;")"</f>
        <v>Case Gi129492:    UniConst = ChrW(129492)</v>
      </c>
    </row>
    <row r="3617" spans="1:11" hidden="1">
      <c r="A3617" t="s">
        <v>514</v>
      </c>
      <c r="B3617" t="str">
        <f t="shared" si="338"/>
        <v>1F9D4 1F3FD 200D 2640 FE0F ; fully-qualified # 🧔🏽‍♀️ E13.1 woman: medium skin tone, beard</v>
      </c>
      <c r="C3617" t="str">
        <f t="shared" si="339"/>
        <v xml:space="preserve">1F9D4 1F3FD 200D 2640 FE0F </v>
      </c>
      <c r="D3617">
        <f t="shared" si="340"/>
        <v>27</v>
      </c>
      <c r="E3617" t="str">
        <f t="shared" si="336"/>
        <v xml:space="preserve"> 🧔🏽‍♀️ E13.1 woman: medium skin tone, beard</v>
      </c>
      <c r="F3617" t="b">
        <f t="shared" si="341"/>
        <v>1</v>
      </c>
      <c r="G3617" t="str">
        <f t="shared" si="337"/>
        <v>1F9D4</v>
      </c>
      <c r="I3617">
        <f>HEX2DEC(Table1[[#This Row],[utf8]])</f>
        <v>129492</v>
      </c>
      <c r="J3617" t="str">
        <f>_xlfn.UNICHAR(HEX2DEC(Table1[[#This Row],[utf8]]))</f>
        <v>🧔</v>
      </c>
      <c r="K3617" s="3" t="str" cm="1">
        <f t="array" ref="K3617">"Case "&amp;wRandomLetter()&amp;wRandomLetter()&amp;I3617&amp;":    UniConst = ChrW(" &amp; I3617 &amp;")"</f>
        <v>Case xA129492:    UniConst = ChrW(129492)</v>
      </c>
    </row>
    <row r="3618" spans="1:11" hidden="1">
      <c r="A3618" t="s">
        <v>503</v>
      </c>
      <c r="B3618" t="str">
        <f t="shared" si="338"/>
        <v>1F9D4 1F3FD 200D 2642 ; minimally-qualified # 🧔🏽‍♂ E13.1 man: medium skin tone, beard</v>
      </c>
      <c r="C3618" t="str">
        <f t="shared" si="339"/>
        <v xml:space="preserve">1F9D4 1F3FD 200D 2642 </v>
      </c>
      <c r="D3618">
        <f t="shared" si="340"/>
        <v>22</v>
      </c>
      <c r="E3618" t="str">
        <f t="shared" si="336"/>
        <v xml:space="preserve"> 🧔🏽‍♂ E13.1 man: medium skin tone, beard</v>
      </c>
      <c r="F3618" t="b">
        <f t="shared" si="341"/>
        <v>1</v>
      </c>
      <c r="G3618" t="str">
        <f t="shared" si="337"/>
        <v>1F9D4</v>
      </c>
      <c r="I3618">
        <f>HEX2DEC(Table1[[#This Row],[utf8]])</f>
        <v>129492</v>
      </c>
      <c r="J3618" t="str">
        <f>_xlfn.UNICHAR(HEX2DEC(Table1[[#This Row],[utf8]]))</f>
        <v>🧔</v>
      </c>
      <c r="K3618" s="3" t="str" cm="1">
        <f t="array" ref="K3618">"Case "&amp;wRandomLetter()&amp;wRandomLetter()&amp;I3618&amp;":    UniConst = ChrW(" &amp; I3618 &amp;")"</f>
        <v>Case KD129492:    UniConst = ChrW(129492)</v>
      </c>
    </row>
    <row r="3619" spans="1:11" hidden="1">
      <c r="A3619" t="s">
        <v>502</v>
      </c>
      <c r="B3619" t="str">
        <f t="shared" si="338"/>
        <v>1F9D4 1F3FD 200D 2642 FE0F ; fully-qualified # 🧔🏽‍♂️ E13.1 man: medium skin tone, beard</v>
      </c>
      <c r="C3619" t="str">
        <f t="shared" si="339"/>
        <v xml:space="preserve">1F9D4 1F3FD 200D 2642 FE0F </v>
      </c>
      <c r="D3619">
        <f t="shared" si="340"/>
        <v>27</v>
      </c>
      <c r="E3619" t="str">
        <f t="shared" si="336"/>
        <v xml:space="preserve"> 🧔🏽‍♂️ E13.1 man: medium skin tone, beard</v>
      </c>
      <c r="F3619" t="b">
        <f t="shared" si="341"/>
        <v>1</v>
      </c>
      <c r="G3619" t="str">
        <f t="shared" si="337"/>
        <v>1F9D4</v>
      </c>
      <c r="I3619">
        <f>HEX2DEC(Table1[[#This Row],[utf8]])</f>
        <v>129492</v>
      </c>
      <c r="J3619" t="str">
        <f>_xlfn.UNICHAR(HEX2DEC(Table1[[#This Row],[utf8]]))</f>
        <v>🧔</v>
      </c>
      <c r="K3619" s="3" t="str" cm="1">
        <f t="array" ref="K3619">"Case "&amp;wRandomLetter()&amp;wRandomLetter()&amp;I3619&amp;":    UniConst = ChrW(" &amp; I3619 &amp;")"</f>
        <v>Case HK129492:    UniConst = ChrW(129492)</v>
      </c>
    </row>
    <row r="3620" spans="1:11" hidden="1">
      <c r="A3620" t="s">
        <v>494</v>
      </c>
      <c r="B3620" t="str">
        <f t="shared" si="338"/>
        <v>1F9D4 1F3FE ; fully-qualified # 🧔🏾 E5.0 person: medium-dark skin tone, beard</v>
      </c>
      <c r="C3620" t="str">
        <f t="shared" si="339"/>
        <v xml:space="preserve">1F9D4 1F3FE </v>
      </c>
      <c r="D3620">
        <f t="shared" si="340"/>
        <v>12</v>
      </c>
      <c r="E3620" t="str">
        <f t="shared" si="336"/>
        <v xml:space="preserve"> 🧔🏾 E5.0 person: medium-dark skin tone, beard</v>
      </c>
      <c r="F3620" t="b">
        <f t="shared" si="341"/>
        <v>1</v>
      </c>
      <c r="G3620" t="str">
        <f t="shared" si="337"/>
        <v>1F9D4</v>
      </c>
      <c r="I3620">
        <f>HEX2DEC(Table1[[#This Row],[utf8]])</f>
        <v>129492</v>
      </c>
      <c r="J3620" t="str">
        <f>_xlfn.UNICHAR(HEX2DEC(Table1[[#This Row],[utf8]]))</f>
        <v>🧔</v>
      </c>
      <c r="K3620" s="3" t="str" cm="1">
        <f t="array" ref="K3620">"Case "&amp;wRandomLetter()&amp;wRandomLetter()&amp;I3620&amp;":    UniConst = ChrW(" &amp; I3620 &amp;")"</f>
        <v>Case wz129492:    UniConst = ChrW(129492)</v>
      </c>
    </row>
    <row r="3621" spans="1:11" hidden="1">
      <c r="A3621" t="s">
        <v>517</v>
      </c>
      <c r="B3621" t="str">
        <f t="shared" si="338"/>
        <v>1F9D4 1F3FE 200D 2640 ; minimally-qualified # 🧔🏾‍♀ E13.1 woman: medium-dark skin tone, beard</v>
      </c>
      <c r="C3621" t="str">
        <f t="shared" si="339"/>
        <v xml:space="preserve">1F9D4 1F3FE 200D 2640 </v>
      </c>
      <c r="D3621">
        <f t="shared" si="340"/>
        <v>22</v>
      </c>
      <c r="E3621" t="str">
        <f t="shared" si="336"/>
        <v xml:space="preserve"> 🧔🏾‍♀ E13.1 woman: medium-dark skin tone, beard</v>
      </c>
      <c r="F3621" t="b">
        <f t="shared" si="341"/>
        <v>1</v>
      </c>
      <c r="G3621" t="str">
        <f t="shared" si="337"/>
        <v>1F9D4</v>
      </c>
      <c r="I3621">
        <f>HEX2DEC(Table1[[#This Row],[utf8]])</f>
        <v>129492</v>
      </c>
      <c r="J3621" t="str">
        <f>_xlfn.UNICHAR(HEX2DEC(Table1[[#This Row],[utf8]]))</f>
        <v>🧔</v>
      </c>
      <c r="K3621" s="3" t="str" cm="1">
        <f t="array" ref="K3621">"Case "&amp;wRandomLetter()&amp;wRandomLetter()&amp;I3621&amp;":    UniConst = ChrW(" &amp; I3621 &amp;")"</f>
        <v>Case Hx129492:    UniConst = ChrW(129492)</v>
      </c>
    </row>
    <row r="3622" spans="1:11" hidden="1">
      <c r="A3622" t="s">
        <v>516</v>
      </c>
      <c r="B3622" t="str">
        <f t="shared" si="338"/>
        <v>1F9D4 1F3FE 200D 2640 FE0F ; fully-qualified # 🧔🏾‍♀️ E13.1 woman: medium-dark skin tone, beard</v>
      </c>
      <c r="C3622" t="str">
        <f t="shared" si="339"/>
        <v xml:space="preserve">1F9D4 1F3FE 200D 2640 FE0F </v>
      </c>
      <c r="D3622">
        <f t="shared" si="340"/>
        <v>27</v>
      </c>
      <c r="E3622" t="str">
        <f t="shared" si="336"/>
        <v xml:space="preserve"> 🧔🏾‍♀️ E13.1 woman: medium-dark skin tone, beard</v>
      </c>
      <c r="F3622" t="b">
        <f t="shared" si="341"/>
        <v>1</v>
      </c>
      <c r="G3622" t="str">
        <f t="shared" si="337"/>
        <v>1F9D4</v>
      </c>
      <c r="I3622">
        <f>HEX2DEC(Table1[[#This Row],[utf8]])</f>
        <v>129492</v>
      </c>
      <c r="J3622" t="str">
        <f>_xlfn.UNICHAR(HEX2DEC(Table1[[#This Row],[utf8]]))</f>
        <v>🧔</v>
      </c>
      <c r="K3622" s="3" t="str" cm="1">
        <f t="array" ref="K3622">"Case "&amp;wRandomLetter()&amp;wRandomLetter()&amp;I3622&amp;":    UniConst = ChrW(" &amp; I3622 &amp;")"</f>
        <v>Case cT129492:    UniConst = ChrW(129492)</v>
      </c>
    </row>
    <row r="3623" spans="1:11" hidden="1">
      <c r="A3623" t="s">
        <v>505</v>
      </c>
      <c r="B3623" t="str">
        <f t="shared" si="338"/>
        <v>1F9D4 1F3FE 200D 2642 ; minimally-qualified # 🧔🏾‍♂ E13.1 man: medium-dark skin tone, beard</v>
      </c>
      <c r="C3623" t="str">
        <f t="shared" si="339"/>
        <v xml:space="preserve">1F9D4 1F3FE 200D 2642 </v>
      </c>
      <c r="D3623">
        <f t="shared" si="340"/>
        <v>22</v>
      </c>
      <c r="E3623" t="str">
        <f t="shared" si="336"/>
        <v xml:space="preserve"> 🧔🏾‍♂ E13.1 man: medium-dark skin tone, beard</v>
      </c>
      <c r="F3623" t="b">
        <f t="shared" si="341"/>
        <v>1</v>
      </c>
      <c r="G3623" t="str">
        <f t="shared" si="337"/>
        <v>1F9D4</v>
      </c>
      <c r="I3623">
        <f>HEX2DEC(Table1[[#This Row],[utf8]])</f>
        <v>129492</v>
      </c>
      <c r="J3623" t="str">
        <f>_xlfn.UNICHAR(HEX2DEC(Table1[[#This Row],[utf8]]))</f>
        <v>🧔</v>
      </c>
      <c r="K3623" s="3" t="str" cm="1">
        <f t="array" ref="K3623">"Case "&amp;wRandomLetter()&amp;wRandomLetter()&amp;I3623&amp;":    UniConst = ChrW(" &amp; I3623 &amp;")"</f>
        <v>Case KS129492:    UniConst = ChrW(129492)</v>
      </c>
    </row>
    <row r="3624" spans="1:11" hidden="1">
      <c r="A3624" t="s">
        <v>504</v>
      </c>
      <c r="B3624" t="str">
        <f t="shared" si="338"/>
        <v>1F9D4 1F3FE 200D 2642 FE0F ; fully-qualified # 🧔🏾‍♂️ E13.1 man: medium-dark skin tone, beard</v>
      </c>
      <c r="C3624" t="str">
        <f t="shared" si="339"/>
        <v xml:space="preserve">1F9D4 1F3FE 200D 2642 FE0F </v>
      </c>
      <c r="D3624">
        <f t="shared" si="340"/>
        <v>27</v>
      </c>
      <c r="E3624" t="str">
        <f t="shared" si="336"/>
        <v xml:space="preserve"> 🧔🏾‍♂️ E13.1 man: medium-dark skin tone, beard</v>
      </c>
      <c r="F3624" t="b">
        <f t="shared" si="341"/>
        <v>1</v>
      </c>
      <c r="G3624" t="str">
        <f t="shared" si="337"/>
        <v>1F9D4</v>
      </c>
      <c r="I3624">
        <f>HEX2DEC(Table1[[#This Row],[utf8]])</f>
        <v>129492</v>
      </c>
      <c r="J3624" t="str">
        <f>_xlfn.UNICHAR(HEX2DEC(Table1[[#This Row],[utf8]]))</f>
        <v>🧔</v>
      </c>
      <c r="K3624" s="3" t="str" cm="1">
        <f t="array" ref="K3624">"Case "&amp;wRandomLetter()&amp;wRandomLetter()&amp;I3624&amp;":    UniConst = ChrW(" &amp; I3624 &amp;")"</f>
        <v>Case PS129492:    UniConst = ChrW(129492)</v>
      </c>
    </row>
    <row r="3625" spans="1:11" hidden="1">
      <c r="A3625" t="s">
        <v>495</v>
      </c>
      <c r="B3625" t="str">
        <f t="shared" si="338"/>
        <v>1F9D4 1F3FF ; fully-qualified # 🧔🏿 E5.0 person: dark skin tone, beard</v>
      </c>
      <c r="C3625" t="str">
        <f t="shared" si="339"/>
        <v xml:space="preserve">1F9D4 1F3FF </v>
      </c>
      <c r="D3625">
        <f t="shared" si="340"/>
        <v>12</v>
      </c>
      <c r="E3625" t="str">
        <f t="shared" si="336"/>
        <v xml:space="preserve"> 🧔🏿 E5.0 person: dark skin tone, beard</v>
      </c>
      <c r="F3625" t="b">
        <f t="shared" si="341"/>
        <v>1</v>
      </c>
      <c r="G3625" t="str">
        <f t="shared" si="337"/>
        <v>1F9D4</v>
      </c>
      <c r="I3625">
        <f>HEX2DEC(Table1[[#This Row],[utf8]])</f>
        <v>129492</v>
      </c>
      <c r="J3625" t="str">
        <f>_xlfn.UNICHAR(HEX2DEC(Table1[[#This Row],[utf8]]))</f>
        <v>🧔</v>
      </c>
      <c r="K3625" s="3" t="str" cm="1">
        <f t="array" ref="K3625">"Case "&amp;wRandomLetter()&amp;wRandomLetter()&amp;I3625&amp;":    UniConst = ChrW(" &amp; I3625 &amp;")"</f>
        <v>Case PS129492:    UniConst = ChrW(129492)</v>
      </c>
    </row>
    <row r="3626" spans="1:11" hidden="1">
      <c r="A3626" t="s">
        <v>519</v>
      </c>
      <c r="B3626" t="str">
        <f t="shared" si="338"/>
        <v>1F9D4 1F3FF 200D 2640 ; minimally-qualified # 🧔🏿‍♀ E13.1 woman: dark skin tone, beard</v>
      </c>
      <c r="C3626" t="str">
        <f t="shared" si="339"/>
        <v xml:space="preserve">1F9D4 1F3FF 200D 2640 </v>
      </c>
      <c r="D3626">
        <f t="shared" si="340"/>
        <v>22</v>
      </c>
      <c r="E3626" t="str">
        <f t="shared" si="336"/>
        <v xml:space="preserve"> 🧔🏿‍♀ E13.1 woman: dark skin tone, beard</v>
      </c>
      <c r="F3626" t="b">
        <f t="shared" si="341"/>
        <v>1</v>
      </c>
      <c r="G3626" t="str">
        <f t="shared" si="337"/>
        <v>1F9D4</v>
      </c>
      <c r="I3626">
        <f>HEX2DEC(Table1[[#This Row],[utf8]])</f>
        <v>129492</v>
      </c>
      <c r="J3626" t="str">
        <f>_xlfn.UNICHAR(HEX2DEC(Table1[[#This Row],[utf8]]))</f>
        <v>🧔</v>
      </c>
      <c r="K3626" s="3" t="str" cm="1">
        <f t="array" ref="K3626">"Case "&amp;wRandomLetter()&amp;wRandomLetter()&amp;I3626&amp;":    UniConst = ChrW(" &amp; I3626 &amp;")"</f>
        <v>Case NN129492:    UniConst = ChrW(129492)</v>
      </c>
    </row>
    <row r="3627" spans="1:11" hidden="1">
      <c r="A3627" t="s">
        <v>518</v>
      </c>
      <c r="B3627" t="str">
        <f t="shared" si="338"/>
        <v>1F9D4 1F3FF 200D 2640 FE0F ; fully-qualified # 🧔🏿‍♀️ E13.1 woman: dark skin tone, beard</v>
      </c>
      <c r="C3627" t="str">
        <f t="shared" si="339"/>
        <v xml:space="preserve">1F9D4 1F3FF 200D 2640 FE0F </v>
      </c>
      <c r="D3627">
        <f t="shared" si="340"/>
        <v>27</v>
      </c>
      <c r="E3627" t="str">
        <f t="shared" si="336"/>
        <v xml:space="preserve"> 🧔🏿‍♀️ E13.1 woman: dark skin tone, beard</v>
      </c>
      <c r="F3627" t="b">
        <f t="shared" si="341"/>
        <v>1</v>
      </c>
      <c r="G3627" t="str">
        <f t="shared" si="337"/>
        <v>1F9D4</v>
      </c>
      <c r="I3627">
        <f>HEX2DEC(Table1[[#This Row],[utf8]])</f>
        <v>129492</v>
      </c>
      <c r="J3627" t="str">
        <f>_xlfn.UNICHAR(HEX2DEC(Table1[[#This Row],[utf8]]))</f>
        <v>🧔</v>
      </c>
      <c r="K3627" s="3" t="str" cm="1">
        <f t="array" ref="K3627">"Case "&amp;wRandomLetter()&amp;wRandomLetter()&amp;I3627&amp;":    UniConst = ChrW(" &amp; I3627 &amp;")"</f>
        <v>Case iM129492:    UniConst = ChrW(129492)</v>
      </c>
    </row>
    <row r="3628" spans="1:11" hidden="1">
      <c r="A3628" t="s">
        <v>507</v>
      </c>
      <c r="B3628" t="str">
        <f t="shared" si="338"/>
        <v>1F9D4 1F3FF 200D 2642 ; minimally-qualified # 🧔🏿‍♂ E13.1 man: dark skin tone, beard</v>
      </c>
      <c r="C3628" t="str">
        <f t="shared" si="339"/>
        <v xml:space="preserve">1F9D4 1F3FF 200D 2642 </v>
      </c>
      <c r="D3628">
        <f t="shared" si="340"/>
        <v>22</v>
      </c>
      <c r="E3628" t="str">
        <f t="shared" si="336"/>
        <v xml:space="preserve"> 🧔🏿‍♂ E13.1 man: dark skin tone, beard</v>
      </c>
      <c r="F3628" t="b">
        <f t="shared" si="341"/>
        <v>1</v>
      </c>
      <c r="G3628" t="str">
        <f t="shared" si="337"/>
        <v>1F9D4</v>
      </c>
      <c r="I3628">
        <f>HEX2DEC(Table1[[#This Row],[utf8]])</f>
        <v>129492</v>
      </c>
      <c r="J3628" t="str">
        <f>_xlfn.UNICHAR(HEX2DEC(Table1[[#This Row],[utf8]]))</f>
        <v>🧔</v>
      </c>
      <c r="K3628" s="3" t="str" cm="1">
        <f t="array" ref="K3628">"Case "&amp;wRandomLetter()&amp;wRandomLetter()&amp;I3628&amp;":    UniConst = ChrW(" &amp; I3628 &amp;")"</f>
        <v>Case uX129492:    UniConst = ChrW(129492)</v>
      </c>
    </row>
    <row r="3629" spans="1:11" hidden="1">
      <c r="A3629" t="s">
        <v>506</v>
      </c>
      <c r="B3629" t="str">
        <f t="shared" si="338"/>
        <v>1F9D4 1F3FF 200D 2642 FE0F ; fully-qualified # 🧔🏿‍♂️ E13.1 man: dark skin tone, beard</v>
      </c>
      <c r="C3629" t="str">
        <f t="shared" si="339"/>
        <v xml:space="preserve">1F9D4 1F3FF 200D 2642 FE0F </v>
      </c>
      <c r="D3629">
        <f t="shared" si="340"/>
        <v>27</v>
      </c>
      <c r="E3629" t="str">
        <f t="shared" si="336"/>
        <v xml:space="preserve"> 🧔🏿‍♂️ E13.1 man: dark skin tone, beard</v>
      </c>
      <c r="F3629" t="b">
        <f t="shared" si="341"/>
        <v>1</v>
      </c>
      <c r="G3629" t="str">
        <f t="shared" si="337"/>
        <v>1F9D4</v>
      </c>
      <c r="I3629">
        <f>HEX2DEC(Table1[[#This Row],[utf8]])</f>
        <v>129492</v>
      </c>
      <c r="J3629" t="str">
        <f>_xlfn.UNICHAR(HEX2DEC(Table1[[#This Row],[utf8]]))</f>
        <v>🧔</v>
      </c>
      <c r="K3629" s="3" t="str" cm="1">
        <f t="array" ref="K3629">"Case "&amp;wRandomLetter()&amp;wRandomLetter()&amp;I3629&amp;":    UniConst = ChrW(" &amp; I3629 &amp;")"</f>
        <v>Case MV129492:    UniConst = ChrW(129492)</v>
      </c>
    </row>
    <row r="3630" spans="1:11" hidden="1">
      <c r="A3630" t="s">
        <v>509</v>
      </c>
      <c r="B3630" t="str">
        <f t="shared" si="338"/>
        <v>1F9D4 200D 2640 ; minimally-qualified # 🧔‍♀ E13.1 woman: beard</v>
      </c>
      <c r="C3630" t="str">
        <f t="shared" si="339"/>
        <v xml:space="preserve">1F9D4 200D 2640 </v>
      </c>
      <c r="D3630">
        <f t="shared" si="340"/>
        <v>16</v>
      </c>
      <c r="E3630" t="str">
        <f t="shared" si="336"/>
        <v xml:space="preserve"> 🧔‍♀ E13.1 woman: beard</v>
      </c>
      <c r="F3630" t="b">
        <f t="shared" si="341"/>
        <v>1</v>
      </c>
      <c r="G3630" t="str">
        <f t="shared" si="337"/>
        <v>1F9D4</v>
      </c>
      <c r="I3630">
        <f>HEX2DEC(Table1[[#This Row],[utf8]])</f>
        <v>129492</v>
      </c>
      <c r="J3630" t="str">
        <f>_xlfn.UNICHAR(HEX2DEC(Table1[[#This Row],[utf8]]))</f>
        <v>🧔</v>
      </c>
      <c r="K3630" s="3" t="str" cm="1">
        <f t="array" ref="K3630">"Case "&amp;wRandomLetter()&amp;wRandomLetter()&amp;I3630&amp;":    UniConst = ChrW(" &amp; I3630 &amp;")"</f>
        <v>Case Pu129492:    UniConst = ChrW(129492)</v>
      </c>
    </row>
    <row r="3631" spans="1:11" hidden="1">
      <c r="A3631" t="s">
        <v>508</v>
      </c>
      <c r="B3631" t="str">
        <f t="shared" si="338"/>
        <v>1F9D4 200D 2640 FE0F ; fully-qualified # 🧔‍♀️ E13.1 woman: beard</v>
      </c>
      <c r="C3631" t="str">
        <f t="shared" si="339"/>
        <v xml:space="preserve">1F9D4 200D 2640 FE0F </v>
      </c>
      <c r="D3631">
        <f t="shared" si="340"/>
        <v>21</v>
      </c>
      <c r="E3631" t="str">
        <f t="shared" si="336"/>
        <v xml:space="preserve"> 🧔‍♀️ E13.1 woman: beard</v>
      </c>
      <c r="F3631" t="b">
        <f t="shared" si="341"/>
        <v>1</v>
      </c>
      <c r="G3631" t="str">
        <f t="shared" si="337"/>
        <v>1F9D4</v>
      </c>
      <c r="I3631">
        <f>HEX2DEC(Table1[[#This Row],[utf8]])</f>
        <v>129492</v>
      </c>
      <c r="J3631" t="str">
        <f>_xlfn.UNICHAR(HEX2DEC(Table1[[#This Row],[utf8]]))</f>
        <v>🧔</v>
      </c>
      <c r="K3631" s="3" t="str" cm="1">
        <f t="array" ref="K3631">"Case "&amp;wRandomLetter()&amp;wRandomLetter()&amp;I3631&amp;":    UniConst = ChrW(" &amp; I3631 &amp;")"</f>
        <v>Case nx129492:    UniConst = ChrW(129492)</v>
      </c>
    </row>
    <row r="3632" spans="1:11" hidden="1">
      <c r="A3632" t="s">
        <v>497</v>
      </c>
      <c r="B3632" t="str">
        <f t="shared" si="338"/>
        <v>1F9D4 200D 2642 ; minimally-qualified # 🧔‍♂ E13.1 man: beard</v>
      </c>
      <c r="C3632" t="str">
        <f t="shared" si="339"/>
        <v xml:space="preserve">1F9D4 200D 2642 </v>
      </c>
      <c r="D3632">
        <f t="shared" si="340"/>
        <v>16</v>
      </c>
      <c r="E3632" t="str">
        <f t="shared" si="336"/>
        <v xml:space="preserve"> 🧔‍♂ E13.1 man: beard</v>
      </c>
      <c r="F3632" t="b">
        <f t="shared" si="341"/>
        <v>1</v>
      </c>
      <c r="G3632" t="str">
        <f t="shared" si="337"/>
        <v>1F9D4</v>
      </c>
      <c r="I3632">
        <f>HEX2DEC(Table1[[#This Row],[utf8]])</f>
        <v>129492</v>
      </c>
      <c r="J3632" t="str">
        <f>_xlfn.UNICHAR(HEX2DEC(Table1[[#This Row],[utf8]]))</f>
        <v>🧔</v>
      </c>
      <c r="K3632" s="3" t="str" cm="1">
        <f t="array" ref="K3632">"Case "&amp;wRandomLetter()&amp;wRandomLetter()&amp;I3632&amp;":    UniConst = ChrW(" &amp; I3632 &amp;")"</f>
        <v>Case gp129492:    UniConst = ChrW(129492)</v>
      </c>
    </row>
    <row r="3633" spans="1:11" hidden="1">
      <c r="A3633" t="s">
        <v>496</v>
      </c>
      <c r="B3633" t="str">
        <f t="shared" si="338"/>
        <v>1F9D4 200D 2642 FE0F ; fully-qualified # 🧔‍♂️ E13.1 man: beard</v>
      </c>
      <c r="C3633" t="str">
        <f t="shared" si="339"/>
        <v xml:space="preserve">1F9D4 200D 2642 FE0F </v>
      </c>
      <c r="D3633">
        <f t="shared" si="340"/>
        <v>21</v>
      </c>
      <c r="E3633" t="str">
        <f t="shared" si="336"/>
        <v xml:space="preserve"> 🧔‍♂️ E13.1 man: beard</v>
      </c>
      <c r="F3633" t="b">
        <f t="shared" si="341"/>
        <v>1</v>
      </c>
      <c r="G3633" t="str">
        <f t="shared" si="337"/>
        <v>1F9D4</v>
      </c>
      <c r="I3633">
        <f>HEX2DEC(Table1[[#This Row],[utf8]])</f>
        <v>129492</v>
      </c>
      <c r="J3633" t="str">
        <f>_xlfn.UNICHAR(HEX2DEC(Table1[[#This Row],[utf8]]))</f>
        <v>🧔</v>
      </c>
      <c r="K3633" s="3" t="str" cm="1">
        <f t="array" ref="K3633">"Case "&amp;wRandomLetter()&amp;wRandomLetter()&amp;I3633&amp;":    UniConst = ChrW(" &amp; I3633 &amp;")"</f>
        <v>Case Jf129492:    UniConst = ChrW(129492)</v>
      </c>
    </row>
    <row r="3634" spans="1:11" hidden="1">
      <c r="A3634" t="s">
        <v>1463</v>
      </c>
      <c r="B3634" t="str">
        <f t="shared" si="338"/>
        <v>1F9D5 ; fully-qualified # 🧕 E5.0 woman with headscarf</v>
      </c>
      <c r="C3634" t="str">
        <f t="shared" si="339"/>
        <v xml:space="preserve">1F9D5 </v>
      </c>
      <c r="D3634">
        <f t="shared" si="340"/>
        <v>6</v>
      </c>
      <c r="E3634" t="str">
        <f t="shared" si="336"/>
        <v xml:space="preserve"> 🧕 E5.0 woman with headscarf</v>
      </c>
      <c r="F3634" t="b">
        <f t="shared" si="341"/>
        <v>1</v>
      </c>
      <c r="G3634" t="str">
        <f t="shared" si="337"/>
        <v>1F9D5</v>
      </c>
      <c r="I3634">
        <f>HEX2DEC(Table1[[#This Row],[utf8]])</f>
        <v>129493</v>
      </c>
      <c r="J3634" t="str">
        <f>_xlfn.UNICHAR(HEX2DEC(Table1[[#This Row],[utf8]]))</f>
        <v>🧕</v>
      </c>
      <c r="K3634" s="3" t="str" cm="1">
        <f t="array" ref="K3634">"Case "&amp;wRandomLetter()&amp;wRandomLetter()&amp;I3634&amp;":    UniConst = ChrW(" &amp; I3634 &amp;")"</f>
        <v>Case yX129493:    UniConst = ChrW(129493)</v>
      </c>
    </row>
    <row r="3635" spans="1:11" hidden="1">
      <c r="A3635" t="s">
        <v>1464</v>
      </c>
      <c r="B3635" t="str">
        <f t="shared" si="338"/>
        <v>1F9D5 1F3FB ; fully-qualified # 🧕🏻 E5.0 woman with headscarf: light skin tone</v>
      </c>
      <c r="C3635" t="str">
        <f t="shared" si="339"/>
        <v xml:space="preserve">1F9D5 1F3FB </v>
      </c>
      <c r="D3635">
        <f t="shared" si="340"/>
        <v>12</v>
      </c>
      <c r="E3635" t="str">
        <f t="shared" si="336"/>
        <v xml:space="preserve"> 🧕🏻 E5.0 woman with headscarf: light skin tone</v>
      </c>
      <c r="F3635" t="b">
        <f t="shared" si="341"/>
        <v>1</v>
      </c>
      <c r="G3635" t="str">
        <f t="shared" si="337"/>
        <v>1F9D5</v>
      </c>
      <c r="I3635">
        <f>HEX2DEC(Table1[[#This Row],[utf8]])</f>
        <v>129493</v>
      </c>
      <c r="J3635" t="str">
        <f>_xlfn.UNICHAR(HEX2DEC(Table1[[#This Row],[utf8]]))</f>
        <v>🧕</v>
      </c>
      <c r="K3635" s="3" t="str" cm="1">
        <f t="array" ref="K3635">"Case "&amp;wRandomLetter()&amp;wRandomLetter()&amp;I3635&amp;":    UniConst = ChrW(" &amp; I3635 &amp;")"</f>
        <v>Case Ui129493:    UniConst = ChrW(129493)</v>
      </c>
    </row>
    <row r="3636" spans="1:11" hidden="1">
      <c r="A3636" t="s">
        <v>1465</v>
      </c>
      <c r="B3636" t="str">
        <f t="shared" si="338"/>
        <v>1F9D5 1F3FC ; fully-qualified # 🧕🏼 E5.0 woman with headscarf: medium-light skin tone</v>
      </c>
      <c r="C3636" t="str">
        <f t="shared" si="339"/>
        <v xml:space="preserve">1F9D5 1F3FC </v>
      </c>
      <c r="D3636">
        <f t="shared" si="340"/>
        <v>12</v>
      </c>
      <c r="E3636" t="str">
        <f t="shared" si="336"/>
        <v xml:space="preserve"> 🧕🏼 E5.0 woman with headscarf: medium-light skin tone</v>
      </c>
      <c r="F3636" t="b">
        <f t="shared" si="341"/>
        <v>1</v>
      </c>
      <c r="G3636" t="str">
        <f t="shared" si="337"/>
        <v>1F9D5</v>
      </c>
      <c r="I3636">
        <f>HEX2DEC(Table1[[#This Row],[utf8]])</f>
        <v>129493</v>
      </c>
      <c r="J3636" t="str">
        <f>_xlfn.UNICHAR(HEX2DEC(Table1[[#This Row],[utf8]]))</f>
        <v>🧕</v>
      </c>
      <c r="K3636" s="3" t="str" cm="1">
        <f t="array" ref="K3636">"Case "&amp;wRandomLetter()&amp;wRandomLetter()&amp;I3636&amp;":    UniConst = ChrW(" &amp; I3636 &amp;")"</f>
        <v>Case Kx129493:    UniConst = ChrW(129493)</v>
      </c>
    </row>
    <row r="3637" spans="1:11" hidden="1">
      <c r="A3637" t="s">
        <v>1466</v>
      </c>
      <c r="B3637" t="str">
        <f t="shared" si="338"/>
        <v>1F9D5 1F3FD ; fully-qualified # 🧕🏽 E5.0 woman with headscarf: medium skin tone</v>
      </c>
      <c r="C3637" t="str">
        <f t="shared" si="339"/>
        <v xml:space="preserve">1F9D5 1F3FD </v>
      </c>
      <c r="D3637">
        <f t="shared" si="340"/>
        <v>12</v>
      </c>
      <c r="E3637" t="str">
        <f t="shared" si="336"/>
        <v xml:space="preserve"> 🧕🏽 E5.0 woman with headscarf: medium skin tone</v>
      </c>
      <c r="F3637" t="b">
        <f t="shared" si="341"/>
        <v>1</v>
      </c>
      <c r="G3637" t="str">
        <f t="shared" si="337"/>
        <v>1F9D5</v>
      </c>
      <c r="I3637">
        <f>HEX2DEC(Table1[[#This Row],[utf8]])</f>
        <v>129493</v>
      </c>
      <c r="J3637" t="str">
        <f>_xlfn.UNICHAR(HEX2DEC(Table1[[#This Row],[utf8]]))</f>
        <v>🧕</v>
      </c>
      <c r="K3637" s="3" t="str" cm="1">
        <f t="array" ref="K3637">"Case "&amp;wRandomLetter()&amp;wRandomLetter()&amp;I3637&amp;":    UniConst = ChrW(" &amp; I3637 &amp;")"</f>
        <v>Case qS129493:    UniConst = ChrW(129493)</v>
      </c>
    </row>
    <row r="3638" spans="1:11" hidden="1">
      <c r="A3638" t="s">
        <v>1467</v>
      </c>
      <c r="B3638" t="str">
        <f t="shared" si="338"/>
        <v>1F9D5 1F3FE ; fully-qualified # 🧕🏾 E5.0 woman with headscarf: medium-dark skin tone</v>
      </c>
      <c r="C3638" t="str">
        <f t="shared" si="339"/>
        <v xml:space="preserve">1F9D5 1F3FE </v>
      </c>
      <c r="D3638">
        <f t="shared" si="340"/>
        <v>12</v>
      </c>
      <c r="E3638" t="str">
        <f t="shared" si="336"/>
        <v xml:space="preserve"> 🧕🏾 E5.0 woman with headscarf: medium-dark skin tone</v>
      </c>
      <c r="F3638" t="b">
        <f t="shared" si="341"/>
        <v>1</v>
      </c>
      <c r="G3638" t="str">
        <f t="shared" si="337"/>
        <v>1F9D5</v>
      </c>
      <c r="I3638">
        <f>HEX2DEC(Table1[[#This Row],[utf8]])</f>
        <v>129493</v>
      </c>
      <c r="J3638" t="str">
        <f>_xlfn.UNICHAR(HEX2DEC(Table1[[#This Row],[utf8]]))</f>
        <v>🧕</v>
      </c>
      <c r="K3638" s="3" t="str" cm="1">
        <f t="array" ref="K3638">"Case "&amp;wRandomLetter()&amp;wRandomLetter()&amp;I3638&amp;":    UniConst = ChrW(" &amp; I3638 &amp;")"</f>
        <v>Case fv129493:    UniConst = ChrW(129493)</v>
      </c>
    </row>
    <row r="3639" spans="1:11" hidden="1">
      <c r="A3639" t="s">
        <v>1468</v>
      </c>
      <c r="B3639" t="str">
        <f t="shared" si="338"/>
        <v>1F9D5 1F3FF ; fully-qualified # 🧕🏿 E5.0 woman with headscarf: dark skin tone</v>
      </c>
      <c r="C3639" t="str">
        <f t="shared" si="339"/>
        <v xml:space="preserve">1F9D5 1F3FF </v>
      </c>
      <c r="D3639">
        <f t="shared" si="340"/>
        <v>12</v>
      </c>
      <c r="E3639" t="str">
        <f t="shared" si="336"/>
        <v xml:space="preserve"> 🧕🏿 E5.0 woman with headscarf: dark skin tone</v>
      </c>
      <c r="F3639" t="b">
        <f t="shared" si="341"/>
        <v>1</v>
      </c>
      <c r="G3639" t="str">
        <f t="shared" si="337"/>
        <v>1F9D5</v>
      </c>
      <c r="I3639">
        <f>HEX2DEC(Table1[[#This Row],[utf8]])</f>
        <v>129493</v>
      </c>
      <c r="J3639" t="str">
        <f>_xlfn.UNICHAR(HEX2DEC(Table1[[#This Row],[utf8]]))</f>
        <v>🧕</v>
      </c>
      <c r="K3639" s="3" t="str" cm="1">
        <f t="array" ref="K3639">"Case "&amp;wRandomLetter()&amp;wRandomLetter()&amp;I3639&amp;":    UniConst = ChrW(" &amp; I3639 &amp;")"</f>
        <v>Case zq129493:    UniConst = ChrW(129493)</v>
      </c>
    </row>
    <row r="3640" spans="1:11" hidden="1">
      <c r="A3640" t="s">
        <v>2063</v>
      </c>
      <c r="B3640" t="str">
        <f t="shared" si="338"/>
        <v>1F9D6 ; fully-qualified # 🧖 E5.0 person in steamy room</v>
      </c>
      <c r="C3640" t="str">
        <f t="shared" si="339"/>
        <v xml:space="preserve">1F9D6 </v>
      </c>
      <c r="D3640">
        <f t="shared" si="340"/>
        <v>6</v>
      </c>
      <c r="E3640" t="str">
        <f t="shared" si="336"/>
        <v xml:space="preserve"> 🧖 E5.0 person in steamy room</v>
      </c>
      <c r="F3640" t="b">
        <f t="shared" si="341"/>
        <v>1</v>
      </c>
      <c r="G3640" t="str">
        <f t="shared" si="337"/>
        <v>1F9D6</v>
      </c>
      <c r="I3640">
        <f>HEX2DEC(Table1[[#This Row],[utf8]])</f>
        <v>129494</v>
      </c>
      <c r="J3640" t="str">
        <f>_xlfn.UNICHAR(HEX2DEC(Table1[[#This Row],[utf8]]))</f>
        <v>🧖</v>
      </c>
      <c r="K3640" s="3" t="str" cm="1">
        <f t="array" ref="K3640">"Case "&amp;wRandomLetter()&amp;wRandomLetter()&amp;I3640&amp;":    UniConst = ChrW(" &amp; I3640 &amp;")"</f>
        <v>Case Op129494:    UniConst = ChrW(129494)</v>
      </c>
    </row>
    <row r="3641" spans="1:11" hidden="1">
      <c r="A3641" t="s">
        <v>2064</v>
      </c>
      <c r="B3641" t="str">
        <f t="shared" si="338"/>
        <v>1F9D6 1F3FB ; fully-qualified # 🧖🏻 E5.0 person in steamy room: light skin tone</v>
      </c>
      <c r="C3641" t="str">
        <f t="shared" si="339"/>
        <v xml:space="preserve">1F9D6 1F3FB </v>
      </c>
      <c r="D3641">
        <f t="shared" si="340"/>
        <v>12</v>
      </c>
      <c r="E3641" t="str">
        <f t="shared" si="336"/>
        <v xml:space="preserve"> 🧖🏻 E5.0 person in steamy room: light skin tone</v>
      </c>
      <c r="F3641" t="b">
        <f t="shared" si="341"/>
        <v>1</v>
      </c>
      <c r="G3641" t="str">
        <f t="shared" si="337"/>
        <v>1F9D6</v>
      </c>
      <c r="I3641">
        <f>HEX2DEC(Table1[[#This Row],[utf8]])</f>
        <v>129494</v>
      </c>
      <c r="J3641" t="str">
        <f>_xlfn.UNICHAR(HEX2DEC(Table1[[#This Row],[utf8]]))</f>
        <v>🧖</v>
      </c>
      <c r="K3641" s="3" t="str" cm="1">
        <f t="array" ref="K3641">"Case "&amp;wRandomLetter()&amp;wRandomLetter()&amp;I3641&amp;":    UniConst = ChrW(" &amp; I3641 &amp;")"</f>
        <v>Case wP129494:    UniConst = ChrW(129494)</v>
      </c>
    </row>
    <row r="3642" spans="1:11" hidden="1">
      <c r="A3642" t="s">
        <v>2084</v>
      </c>
      <c r="B3642" t="str">
        <f t="shared" si="338"/>
        <v>1F9D6 1F3FB 200D 2640 ; minimally-qualified # 🧖🏻‍♀ E5.0 woman in steamy room: light skin tone</v>
      </c>
      <c r="C3642" t="str">
        <f t="shared" si="339"/>
        <v xml:space="preserve">1F9D6 1F3FB 200D 2640 </v>
      </c>
      <c r="D3642">
        <f t="shared" si="340"/>
        <v>22</v>
      </c>
      <c r="E3642" t="str">
        <f t="shared" si="336"/>
        <v xml:space="preserve"> 🧖🏻‍♀ E5.0 woman in steamy room: light skin tone</v>
      </c>
      <c r="F3642" t="b">
        <f t="shared" si="341"/>
        <v>1</v>
      </c>
      <c r="G3642" t="str">
        <f t="shared" si="337"/>
        <v>1F9D6</v>
      </c>
      <c r="I3642">
        <f>HEX2DEC(Table1[[#This Row],[utf8]])</f>
        <v>129494</v>
      </c>
      <c r="J3642" t="str">
        <f>_xlfn.UNICHAR(HEX2DEC(Table1[[#This Row],[utf8]]))</f>
        <v>🧖</v>
      </c>
      <c r="K3642" s="3" t="str" cm="1">
        <f t="array" ref="K3642">"Case "&amp;wRandomLetter()&amp;wRandomLetter()&amp;I3642&amp;":    UniConst = ChrW(" &amp; I3642 &amp;")"</f>
        <v>Case CP129494:    UniConst = ChrW(129494)</v>
      </c>
    </row>
    <row r="3643" spans="1:11" hidden="1">
      <c r="A3643" t="s">
        <v>2083</v>
      </c>
      <c r="B3643" t="str">
        <f t="shared" si="338"/>
        <v>1F9D6 1F3FB 200D 2640 FE0F ; fully-qualified # 🧖🏻‍♀️ E5.0 woman in steamy room: light skin tone</v>
      </c>
      <c r="C3643" t="str">
        <f t="shared" si="339"/>
        <v xml:space="preserve">1F9D6 1F3FB 200D 2640 FE0F </v>
      </c>
      <c r="D3643">
        <f t="shared" si="340"/>
        <v>27</v>
      </c>
      <c r="E3643" t="str">
        <f t="shared" si="336"/>
        <v xml:space="preserve"> 🧖🏻‍♀️ E5.0 woman in steamy room: light skin tone</v>
      </c>
      <c r="F3643" t="b">
        <f t="shared" si="341"/>
        <v>1</v>
      </c>
      <c r="G3643" t="str">
        <f t="shared" si="337"/>
        <v>1F9D6</v>
      </c>
      <c r="I3643">
        <f>HEX2DEC(Table1[[#This Row],[utf8]])</f>
        <v>129494</v>
      </c>
      <c r="J3643" t="str">
        <f>_xlfn.UNICHAR(HEX2DEC(Table1[[#This Row],[utf8]]))</f>
        <v>🧖</v>
      </c>
      <c r="K3643" s="3" t="str" cm="1">
        <f t="array" ref="K3643">"Case "&amp;wRandomLetter()&amp;wRandomLetter()&amp;I3643&amp;":    UniConst = ChrW(" &amp; I3643 &amp;")"</f>
        <v>Case mO129494:    UniConst = ChrW(129494)</v>
      </c>
    </row>
    <row r="3644" spans="1:11" hidden="1">
      <c r="A3644" t="s">
        <v>2072</v>
      </c>
      <c r="B3644" t="str">
        <f t="shared" si="338"/>
        <v>1F9D6 1F3FB 200D 2642 ; minimally-qualified # 🧖🏻‍♂ E5.0 man in steamy room: light skin tone</v>
      </c>
      <c r="C3644" t="str">
        <f t="shared" si="339"/>
        <v xml:space="preserve">1F9D6 1F3FB 200D 2642 </v>
      </c>
      <c r="D3644">
        <f t="shared" si="340"/>
        <v>22</v>
      </c>
      <c r="E3644" t="str">
        <f t="shared" si="336"/>
        <v xml:space="preserve"> 🧖🏻‍♂ E5.0 man in steamy room: light skin tone</v>
      </c>
      <c r="F3644" t="b">
        <f t="shared" si="341"/>
        <v>1</v>
      </c>
      <c r="G3644" t="str">
        <f t="shared" si="337"/>
        <v>1F9D6</v>
      </c>
      <c r="I3644">
        <f>HEX2DEC(Table1[[#This Row],[utf8]])</f>
        <v>129494</v>
      </c>
      <c r="J3644" t="str">
        <f>_xlfn.UNICHAR(HEX2DEC(Table1[[#This Row],[utf8]]))</f>
        <v>🧖</v>
      </c>
      <c r="K3644" s="3" t="str" cm="1">
        <f t="array" ref="K3644">"Case "&amp;wRandomLetter()&amp;wRandomLetter()&amp;I3644&amp;":    UniConst = ChrW(" &amp; I3644 &amp;")"</f>
        <v>Case QN129494:    UniConst = ChrW(129494)</v>
      </c>
    </row>
    <row r="3645" spans="1:11" hidden="1">
      <c r="A3645" t="s">
        <v>2071</v>
      </c>
      <c r="B3645" t="str">
        <f t="shared" si="338"/>
        <v>1F9D6 1F3FB 200D 2642 FE0F ; fully-qualified # 🧖🏻‍♂️ E5.0 man in steamy room: light skin tone</v>
      </c>
      <c r="C3645" t="str">
        <f t="shared" si="339"/>
        <v xml:space="preserve">1F9D6 1F3FB 200D 2642 FE0F </v>
      </c>
      <c r="D3645">
        <f t="shared" si="340"/>
        <v>27</v>
      </c>
      <c r="E3645" t="str">
        <f t="shared" si="336"/>
        <v xml:space="preserve"> 🧖🏻‍♂️ E5.0 man in steamy room: light skin tone</v>
      </c>
      <c r="F3645" t="b">
        <f t="shared" si="341"/>
        <v>1</v>
      </c>
      <c r="G3645" t="str">
        <f t="shared" si="337"/>
        <v>1F9D6</v>
      </c>
      <c r="I3645">
        <f>HEX2DEC(Table1[[#This Row],[utf8]])</f>
        <v>129494</v>
      </c>
      <c r="J3645" t="str">
        <f>_xlfn.UNICHAR(HEX2DEC(Table1[[#This Row],[utf8]]))</f>
        <v>🧖</v>
      </c>
      <c r="K3645" s="3" t="str" cm="1">
        <f t="array" ref="K3645">"Case "&amp;wRandomLetter()&amp;wRandomLetter()&amp;I3645&amp;":    UniConst = ChrW(" &amp; I3645 &amp;")"</f>
        <v>Case JU129494:    UniConst = ChrW(129494)</v>
      </c>
    </row>
    <row r="3646" spans="1:11" hidden="1">
      <c r="A3646" t="s">
        <v>2065</v>
      </c>
      <c r="B3646" t="str">
        <f t="shared" si="338"/>
        <v>1F9D6 1F3FC ; fully-qualified # 🧖🏼 E5.0 person in steamy room: medium-light skin tone</v>
      </c>
      <c r="C3646" t="str">
        <f t="shared" si="339"/>
        <v xml:space="preserve">1F9D6 1F3FC </v>
      </c>
      <c r="D3646">
        <f t="shared" si="340"/>
        <v>12</v>
      </c>
      <c r="E3646" t="str">
        <f t="shared" si="336"/>
        <v xml:space="preserve"> 🧖🏼 E5.0 person in steamy room: medium-light skin tone</v>
      </c>
      <c r="F3646" t="b">
        <f t="shared" si="341"/>
        <v>1</v>
      </c>
      <c r="G3646" t="str">
        <f t="shared" si="337"/>
        <v>1F9D6</v>
      </c>
      <c r="I3646">
        <f>HEX2DEC(Table1[[#This Row],[utf8]])</f>
        <v>129494</v>
      </c>
      <c r="J3646" t="str">
        <f>_xlfn.UNICHAR(HEX2DEC(Table1[[#This Row],[utf8]]))</f>
        <v>🧖</v>
      </c>
      <c r="K3646" s="3" t="str" cm="1">
        <f t="array" ref="K3646">"Case "&amp;wRandomLetter()&amp;wRandomLetter()&amp;I3646&amp;":    UniConst = ChrW(" &amp; I3646 &amp;")"</f>
        <v>Case MV129494:    UniConst = ChrW(129494)</v>
      </c>
    </row>
    <row r="3647" spans="1:11" hidden="1">
      <c r="A3647" t="s">
        <v>2086</v>
      </c>
      <c r="B3647" t="str">
        <f t="shared" si="338"/>
        <v>1F9D6 1F3FC 200D 2640 ; minimally-qualified # 🧖🏼‍♀ E5.0 woman in steamy room: medium-light skin tone</v>
      </c>
      <c r="C3647" t="str">
        <f t="shared" si="339"/>
        <v xml:space="preserve">1F9D6 1F3FC 200D 2640 </v>
      </c>
      <c r="D3647">
        <f t="shared" si="340"/>
        <v>22</v>
      </c>
      <c r="E3647" t="str">
        <f t="shared" si="336"/>
        <v xml:space="preserve"> 🧖🏼‍♀ E5.0 woman in steamy room: medium-light skin tone</v>
      </c>
      <c r="F3647" t="b">
        <f t="shared" si="341"/>
        <v>1</v>
      </c>
      <c r="G3647" t="str">
        <f t="shared" si="337"/>
        <v>1F9D6</v>
      </c>
      <c r="I3647">
        <f>HEX2DEC(Table1[[#This Row],[utf8]])</f>
        <v>129494</v>
      </c>
      <c r="J3647" t="str">
        <f>_xlfn.UNICHAR(HEX2DEC(Table1[[#This Row],[utf8]]))</f>
        <v>🧖</v>
      </c>
      <c r="K3647" s="3" t="str" cm="1">
        <f t="array" ref="K3647">"Case "&amp;wRandomLetter()&amp;wRandomLetter()&amp;I3647&amp;":    UniConst = ChrW(" &amp; I3647 &amp;")"</f>
        <v>Case Ko129494:    UniConst = ChrW(129494)</v>
      </c>
    </row>
    <row r="3648" spans="1:11" hidden="1">
      <c r="A3648" t="s">
        <v>2085</v>
      </c>
      <c r="B3648" t="str">
        <f t="shared" si="338"/>
        <v>1F9D6 1F3FC 200D 2640 FE0F ; fully-qualified # 🧖🏼‍♀️ E5.0 woman in steamy room: medium-light skin tone</v>
      </c>
      <c r="C3648" t="str">
        <f t="shared" si="339"/>
        <v xml:space="preserve">1F9D6 1F3FC 200D 2640 FE0F </v>
      </c>
      <c r="D3648">
        <f t="shared" si="340"/>
        <v>27</v>
      </c>
      <c r="E3648" t="str">
        <f t="shared" si="336"/>
        <v xml:space="preserve"> 🧖🏼‍♀️ E5.0 woman in steamy room: medium-light skin tone</v>
      </c>
      <c r="F3648" t="b">
        <f t="shared" si="341"/>
        <v>1</v>
      </c>
      <c r="G3648" t="str">
        <f t="shared" si="337"/>
        <v>1F9D6</v>
      </c>
      <c r="I3648">
        <f>HEX2DEC(Table1[[#This Row],[utf8]])</f>
        <v>129494</v>
      </c>
      <c r="J3648" t="str">
        <f>_xlfn.UNICHAR(HEX2DEC(Table1[[#This Row],[utf8]]))</f>
        <v>🧖</v>
      </c>
      <c r="K3648" s="3" t="str" cm="1">
        <f t="array" ref="K3648">"Case "&amp;wRandomLetter()&amp;wRandomLetter()&amp;I3648&amp;":    UniConst = ChrW(" &amp; I3648 &amp;")"</f>
        <v>Case JF129494:    UniConst = ChrW(129494)</v>
      </c>
    </row>
    <row r="3649" spans="1:11" hidden="1">
      <c r="A3649" t="s">
        <v>2074</v>
      </c>
      <c r="B3649" t="str">
        <f t="shared" si="338"/>
        <v>1F9D6 1F3FC 200D 2642 ; minimally-qualified # 🧖🏼‍♂ E5.0 man in steamy room: medium-light skin tone</v>
      </c>
      <c r="C3649" t="str">
        <f t="shared" si="339"/>
        <v xml:space="preserve">1F9D6 1F3FC 200D 2642 </v>
      </c>
      <c r="D3649">
        <f t="shared" si="340"/>
        <v>22</v>
      </c>
      <c r="E3649" t="str">
        <f t="shared" si="336"/>
        <v xml:space="preserve"> 🧖🏼‍♂ E5.0 man in steamy room: medium-light skin tone</v>
      </c>
      <c r="F3649" t="b">
        <f t="shared" si="341"/>
        <v>1</v>
      </c>
      <c r="G3649" t="str">
        <f t="shared" si="337"/>
        <v>1F9D6</v>
      </c>
      <c r="I3649">
        <f>HEX2DEC(Table1[[#This Row],[utf8]])</f>
        <v>129494</v>
      </c>
      <c r="J3649" t="str">
        <f>_xlfn.UNICHAR(HEX2DEC(Table1[[#This Row],[utf8]]))</f>
        <v>🧖</v>
      </c>
      <c r="K3649" s="3" t="str" cm="1">
        <f t="array" ref="K3649">"Case "&amp;wRandomLetter()&amp;wRandomLetter()&amp;I3649&amp;":    UniConst = ChrW(" &amp; I3649 &amp;")"</f>
        <v>Case AU129494:    UniConst = ChrW(129494)</v>
      </c>
    </row>
    <row r="3650" spans="1:11" hidden="1">
      <c r="A3650" t="s">
        <v>2073</v>
      </c>
      <c r="B3650" t="str">
        <f t="shared" si="338"/>
        <v>1F9D6 1F3FC 200D 2642 FE0F ; fully-qualified # 🧖🏼‍♂️ E5.0 man in steamy room: medium-light skin tone</v>
      </c>
      <c r="C3650" t="str">
        <f t="shared" si="339"/>
        <v xml:space="preserve">1F9D6 1F3FC 200D 2642 FE0F </v>
      </c>
      <c r="D3650">
        <f t="shared" si="340"/>
        <v>27</v>
      </c>
      <c r="E3650" t="str">
        <f t="shared" ref="E3650:E3713" si="342">MID(A3650,FIND("#",A3650)+1,256)</f>
        <v xml:space="preserve"> 🧖🏼‍♂️ E5.0 man in steamy room: medium-light skin tone</v>
      </c>
      <c r="F3650" t="b">
        <f t="shared" si="341"/>
        <v>1</v>
      </c>
      <c r="G3650" t="str">
        <f t="shared" ref="G3650:G3713" si="343">LEFT(C3650,(FIND(" ",C3650,1)-1))</f>
        <v>1F9D6</v>
      </c>
      <c r="I3650">
        <f>HEX2DEC(Table1[[#This Row],[utf8]])</f>
        <v>129494</v>
      </c>
      <c r="J3650" t="str">
        <f>_xlfn.UNICHAR(HEX2DEC(Table1[[#This Row],[utf8]]))</f>
        <v>🧖</v>
      </c>
      <c r="K3650" s="3" t="str" cm="1">
        <f t="array" ref="K3650">"Case "&amp;wRandomLetter()&amp;wRandomLetter()&amp;I3650&amp;":    UniConst = ChrW(" &amp; I3650 &amp;")"</f>
        <v>Case JW129494:    UniConst = ChrW(129494)</v>
      </c>
    </row>
    <row r="3651" spans="1:11" hidden="1">
      <c r="A3651" t="s">
        <v>2066</v>
      </c>
      <c r="B3651" t="str">
        <f t="shared" ref="B3651:B3714" si="344">TRIM(A3651)</f>
        <v>1F9D6 1F3FD ; fully-qualified # 🧖🏽 E5.0 person in steamy room: medium skin tone</v>
      </c>
      <c r="C3651" t="str">
        <f t="shared" ref="C3651:C3714" si="345">LEFT(B3651,(FIND(";",B3651,1)-1))</f>
        <v xml:space="preserve">1F9D6 1F3FD </v>
      </c>
      <c r="D3651">
        <f t="shared" ref="D3651:D3714" si="346">LEN(C3651)</f>
        <v>12</v>
      </c>
      <c r="E3651" t="str">
        <f t="shared" si="342"/>
        <v xml:space="preserve"> 🧖🏽 E5.0 person in steamy room: medium skin tone</v>
      </c>
      <c r="F3651" t="b">
        <f t="shared" ref="F3651:F3714" si="347">IF(LEFT(C3651,2)="1F",TRUE,FALSE)</f>
        <v>1</v>
      </c>
      <c r="G3651" t="str">
        <f t="shared" si="343"/>
        <v>1F9D6</v>
      </c>
      <c r="I3651">
        <f>HEX2DEC(Table1[[#This Row],[utf8]])</f>
        <v>129494</v>
      </c>
      <c r="J3651" t="str">
        <f>_xlfn.UNICHAR(HEX2DEC(Table1[[#This Row],[utf8]]))</f>
        <v>🧖</v>
      </c>
      <c r="K3651" s="3" t="str" cm="1">
        <f t="array" ref="K3651">"Case "&amp;wRandomLetter()&amp;wRandomLetter()&amp;I3651&amp;":    UniConst = ChrW(" &amp; I3651 &amp;")"</f>
        <v>Case KQ129494:    UniConst = ChrW(129494)</v>
      </c>
    </row>
    <row r="3652" spans="1:11" hidden="1">
      <c r="A3652" t="s">
        <v>2088</v>
      </c>
      <c r="B3652" t="str">
        <f t="shared" si="344"/>
        <v>1F9D6 1F3FD 200D 2640 ; minimally-qualified # 🧖🏽‍♀ E5.0 woman in steamy room: medium skin tone</v>
      </c>
      <c r="C3652" t="str">
        <f t="shared" si="345"/>
        <v xml:space="preserve">1F9D6 1F3FD 200D 2640 </v>
      </c>
      <c r="D3652">
        <f t="shared" si="346"/>
        <v>22</v>
      </c>
      <c r="E3652" t="str">
        <f t="shared" si="342"/>
        <v xml:space="preserve"> 🧖🏽‍♀ E5.0 woman in steamy room: medium skin tone</v>
      </c>
      <c r="F3652" t="b">
        <f t="shared" si="347"/>
        <v>1</v>
      </c>
      <c r="G3652" t="str">
        <f t="shared" si="343"/>
        <v>1F9D6</v>
      </c>
      <c r="I3652">
        <f>HEX2DEC(Table1[[#This Row],[utf8]])</f>
        <v>129494</v>
      </c>
      <c r="J3652" t="str">
        <f>_xlfn.UNICHAR(HEX2DEC(Table1[[#This Row],[utf8]]))</f>
        <v>🧖</v>
      </c>
      <c r="K3652" s="3" t="str" cm="1">
        <f t="array" ref="K3652">"Case "&amp;wRandomLetter()&amp;wRandomLetter()&amp;I3652&amp;":    UniConst = ChrW(" &amp; I3652 &amp;")"</f>
        <v>Case Sf129494:    UniConst = ChrW(129494)</v>
      </c>
    </row>
    <row r="3653" spans="1:11" hidden="1">
      <c r="A3653" t="s">
        <v>2087</v>
      </c>
      <c r="B3653" t="str">
        <f t="shared" si="344"/>
        <v>1F9D6 1F3FD 200D 2640 FE0F ; fully-qualified # 🧖🏽‍♀️ E5.0 woman in steamy room: medium skin tone</v>
      </c>
      <c r="C3653" t="str">
        <f t="shared" si="345"/>
        <v xml:space="preserve">1F9D6 1F3FD 200D 2640 FE0F </v>
      </c>
      <c r="D3653">
        <f t="shared" si="346"/>
        <v>27</v>
      </c>
      <c r="E3653" t="str">
        <f t="shared" si="342"/>
        <v xml:space="preserve"> 🧖🏽‍♀️ E5.0 woman in steamy room: medium skin tone</v>
      </c>
      <c r="F3653" t="b">
        <f t="shared" si="347"/>
        <v>1</v>
      </c>
      <c r="G3653" t="str">
        <f t="shared" si="343"/>
        <v>1F9D6</v>
      </c>
      <c r="I3653">
        <f>HEX2DEC(Table1[[#This Row],[utf8]])</f>
        <v>129494</v>
      </c>
      <c r="J3653" t="str">
        <f>_xlfn.UNICHAR(HEX2DEC(Table1[[#This Row],[utf8]]))</f>
        <v>🧖</v>
      </c>
      <c r="K3653" s="3" t="str" cm="1">
        <f t="array" ref="K3653">"Case "&amp;wRandomLetter()&amp;wRandomLetter()&amp;I3653&amp;":    UniConst = ChrW(" &amp; I3653 &amp;")"</f>
        <v>Case sx129494:    UniConst = ChrW(129494)</v>
      </c>
    </row>
    <row r="3654" spans="1:11" hidden="1">
      <c r="A3654" t="s">
        <v>2076</v>
      </c>
      <c r="B3654" t="str">
        <f t="shared" si="344"/>
        <v>1F9D6 1F3FD 200D 2642 ; minimally-qualified # 🧖🏽‍♂ E5.0 man in steamy room: medium skin tone</v>
      </c>
      <c r="C3654" t="str">
        <f t="shared" si="345"/>
        <v xml:space="preserve">1F9D6 1F3FD 200D 2642 </v>
      </c>
      <c r="D3654">
        <f t="shared" si="346"/>
        <v>22</v>
      </c>
      <c r="E3654" t="str">
        <f t="shared" si="342"/>
        <v xml:space="preserve"> 🧖🏽‍♂ E5.0 man in steamy room: medium skin tone</v>
      </c>
      <c r="F3654" t="b">
        <f t="shared" si="347"/>
        <v>1</v>
      </c>
      <c r="G3654" t="str">
        <f t="shared" si="343"/>
        <v>1F9D6</v>
      </c>
      <c r="I3654">
        <f>HEX2DEC(Table1[[#This Row],[utf8]])</f>
        <v>129494</v>
      </c>
      <c r="J3654" t="str">
        <f>_xlfn.UNICHAR(HEX2DEC(Table1[[#This Row],[utf8]]))</f>
        <v>🧖</v>
      </c>
      <c r="K3654" s="3" t="str" cm="1">
        <f t="array" ref="K3654">"Case "&amp;wRandomLetter()&amp;wRandomLetter()&amp;I3654&amp;":    UniConst = ChrW(" &amp; I3654 &amp;")"</f>
        <v>Case il129494:    UniConst = ChrW(129494)</v>
      </c>
    </row>
    <row r="3655" spans="1:11" hidden="1">
      <c r="A3655" t="s">
        <v>2075</v>
      </c>
      <c r="B3655" t="str">
        <f t="shared" si="344"/>
        <v>1F9D6 1F3FD 200D 2642 FE0F ; fully-qualified # 🧖🏽‍♂️ E5.0 man in steamy room: medium skin tone</v>
      </c>
      <c r="C3655" t="str">
        <f t="shared" si="345"/>
        <v xml:space="preserve">1F9D6 1F3FD 200D 2642 FE0F </v>
      </c>
      <c r="D3655">
        <f t="shared" si="346"/>
        <v>27</v>
      </c>
      <c r="E3655" t="str">
        <f t="shared" si="342"/>
        <v xml:space="preserve"> 🧖🏽‍♂️ E5.0 man in steamy room: medium skin tone</v>
      </c>
      <c r="F3655" t="b">
        <f t="shared" si="347"/>
        <v>1</v>
      </c>
      <c r="G3655" t="str">
        <f t="shared" si="343"/>
        <v>1F9D6</v>
      </c>
      <c r="I3655">
        <f>HEX2DEC(Table1[[#This Row],[utf8]])</f>
        <v>129494</v>
      </c>
      <c r="J3655" t="str">
        <f>_xlfn.UNICHAR(HEX2DEC(Table1[[#This Row],[utf8]]))</f>
        <v>🧖</v>
      </c>
      <c r="K3655" s="3" t="str" cm="1">
        <f t="array" ref="K3655">"Case "&amp;wRandomLetter()&amp;wRandomLetter()&amp;I3655&amp;":    UniConst = ChrW(" &amp; I3655 &amp;")"</f>
        <v>Case rt129494:    UniConst = ChrW(129494)</v>
      </c>
    </row>
    <row r="3656" spans="1:11" hidden="1">
      <c r="A3656" t="s">
        <v>2067</v>
      </c>
      <c r="B3656" t="str">
        <f t="shared" si="344"/>
        <v>1F9D6 1F3FE ; fully-qualified # 🧖🏾 E5.0 person in steamy room: medium-dark skin tone</v>
      </c>
      <c r="C3656" t="str">
        <f t="shared" si="345"/>
        <v xml:space="preserve">1F9D6 1F3FE </v>
      </c>
      <c r="D3656">
        <f t="shared" si="346"/>
        <v>12</v>
      </c>
      <c r="E3656" t="str">
        <f t="shared" si="342"/>
        <v xml:space="preserve"> 🧖🏾 E5.0 person in steamy room: medium-dark skin tone</v>
      </c>
      <c r="F3656" t="b">
        <f t="shared" si="347"/>
        <v>1</v>
      </c>
      <c r="G3656" t="str">
        <f t="shared" si="343"/>
        <v>1F9D6</v>
      </c>
      <c r="I3656">
        <f>HEX2DEC(Table1[[#This Row],[utf8]])</f>
        <v>129494</v>
      </c>
      <c r="J3656" t="str">
        <f>_xlfn.UNICHAR(HEX2DEC(Table1[[#This Row],[utf8]]))</f>
        <v>🧖</v>
      </c>
      <c r="K3656" s="3" t="str" cm="1">
        <f t="array" ref="K3656">"Case "&amp;wRandomLetter()&amp;wRandomLetter()&amp;I3656&amp;":    UniConst = ChrW(" &amp; I3656 &amp;")"</f>
        <v>Case Wc129494:    UniConst = ChrW(129494)</v>
      </c>
    </row>
    <row r="3657" spans="1:11" hidden="1">
      <c r="A3657" t="s">
        <v>2090</v>
      </c>
      <c r="B3657" t="str">
        <f t="shared" si="344"/>
        <v>1F9D6 1F3FE 200D 2640 ; minimally-qualified # 🧖🏾‍♀ E5.0 woman in steamy room: medium-dark skin tone</v>
      </c>
      <c r="C3657" t="str">
        <f t="shared" si="345"/>
        <v xml:space="preserve">1F9D6 1F3FE 200D 2640 </v>
      </c>
      <c r="D3657">
        <f t="shared" si="346"/>
        <v>22</v>
      </c>
      <c r="E3657" t="str">
        <f t="shared" si="342"/>
        <v xml:space="preserve"> 🧖🏾‍♀ E5.0 woman in steamy room: medium-dark skin tone</v>
      </c>
      <c r="F3657" t="b">
        <f t="shared" si="347"/>
        <v>1</v>
      </c>
      <c r="G3657" t="str">
        <f t="shared" si="343"/>
        <v>1F9D6</v>
      </c>
      <c r="I3657">
        <f>HEX2DEC(Table1[[#This Row],[utf8]])</f>
        <v>129494</v>
      </c>
      <c r="J3657" t="str">
        <f>_xlfn.UNICHAR(HEX2DEC(Table1[[#This Row],[utf8]]))</f>
        <v>🧖</v>
      </c>
      <c r="K3657" s="3" t="str" cm="1">
        <f t="array" ref="K3657">"Case "&amp;wRandomLetter()&amp;wRandomLetter()&amp;I3657&amp;":    UniConst = ChrW(" &amp; I3657 &amp;")"</f>
        <v>Case vF129494:    UniConst = ChrW(129494)</v>
      </c>
    </row>
    <row r="3658" spans="1:11" hidden="1">
      <c r="A3658" t="s">
        <v>2089</v>
      </c>
      <c r="B3658" t="str">
        <f t="shared" si="344"/>
        <v>1F9D6 1F3FE 200D 2640 FE0F ; fully-qualified # 🧖🏾‍♀️ E5.0 woman in steamy room: medium-dark skin tone</v>
      </c>
      <c r="C3658" t="str">
        <f t="shared" si="345"/>
        <v xml:space="preserve">1F9D6 1F3FE 200D 2640 FE0F </v>
      </c>
      <c r="D3658">
        <f t="shared" si="346"/>
        <v>27</v>
      </c>
      <c r="E3658" t="str">
        <f t="shared" si="342"/>
        <v xml:space="preserve"> 🧖🏾‍♀️ E5.0 woman in steamy room: medium-dark skin tone</v>
      </c>
      <c r="F3658" t="b">
        <f t="shared" si="347"/>
        <v>1</v>
      </c>
      <c r="G3658" t="str">
        <f t="shared" si="343"/>
        <v>1F9D6</v>
      </c>
      <c r="I3658">
        <f>HEX2DEC(Table1[[#This Row],[utf8]])</f>
        <v>129494</v>
      </c>
      <c r="J3658" t="str">
        <f>_xlfn.UNICHAR(HEX2DEC(Table1[[#This Row],[utf8]]))</f>
        <v>🧖</v>
      </c>
      <c r="K3658" s="3" t="str" cm="1">
        <f t="array" ref="K3658">"Case "&amp;wRandomLetter()&amp;wRandomLetter()&amp;I3658&amp;":    UniConst = ChrW(" &amp; I3658 &amp;")"</f>
        <v>Case dC129494:    UniConst = ChrW(129494)</v>
      </c>
    </row>
    <row r="3659" spans="1:11" hidden="1">
      <c r="A3659" t="s">
        <v>2078</v>
      </c>
      <c r="B3659" t="str">
        <f t="shared" si="344"/>
        <v>1F9D6 1F3FE 200D 2642 ; minimally-qualified # 🧖🏾‍♂ E5.0 man in steamy room: medium-dark skin tone</v>
      </c>
      <c r="C3659" t="str">
        <f t="shared" si="345"/>
        <v xml:space="preserve">1F9D6 1F3FE 200D 2642 </v>
      </c>
      <c r="D3659">
        <f t="shared" si="346"/>
        <v>22</v>
      </c>
      <c r="E3659" t="str">
        <f t="shared" si="342"/>
        <v xml:space="preserve"> 🧖🏾‍♂ E5.0 man in steamy room: medium-dark skin tone</v>
      </c>
      <c r="F3659" t="b">
        <f t="shared" si="347"/>
        <v>1</v>
      </c>
      <c r="G3659" t="str">
        <f t="shared" si="343"/>
        <v>1F9D6</v>
      </c>
      <c r="I3659">
        <f>HEX2DEC(Table1[[#This Row],[utf8]])</f>
        <v>129494</v>
      </c>
      <c r="J3659" t="str">
        <f>_xlfn.UNICHAR(HEX2DEC(Table1[[#This Row],[utf8]]))</f>
        <v>🧖</v>
      </c>
      <c r="K3659" s="3" t="str" cm="1">
        <f t="array" ref="K3659">"Case "&amp;wRandomLetter()&amp;wRandomLetter()&amp;I3659&amp;":    UniConst = ChrW(" &amp; I3659 &amp;")"</f>
        <v>Case rt129494:    UniConst = ChrW(129494)</v>
      </c>
    </row>
    <row r="3660" spans="1:11" hidden="1">
      <c r="A3660" t="s">
        <v>2077</v>
      </c>
      <c r="B3660" t="str">
        <f t="shared" si="344"/>
        <v>1F9D6 1F3FE 200D 2642 FE0F ; fully-qualified # 🧖🏾‍♂️ E5.0 man in steamy room: medium-dark skin tone</v>
      </c>
      <c r="C3660" t="str">
        <f t="shared" si="345"/>
        <v xml:space="preserve">1F9D6 1F3FE 200D 2642 FE0F </v>
      </c>
      <c r="D3660">
        <f t="shared" si="346"/>
        <v>27</v>
      </c>
      <c r="E3660" t="str">
        <f t="shared" si="342"/>
        <v xml:space="preserve"> 🧖🏾‍♂️ E5.0 man in steamy room: medium-dark skin tone</v>
      </c>
      <c r="F3660" t="b">
        <f t="shared" si="347"/>
        <v>1</v>
      </c>
      <c r="G3660" t="str">
        <f t="shared" si="343"/>
        <v>1F9D6</v>
      </c>
      <c r="I3660">
        <f>HEX2DEC(Table1[[#This Row],[utf8]])</f>
        <v>129494</v>
      </c>
      <c r="J3660" t="str">
        <f>_xlfn.UNICHAR(HEX2DEC(Table1[[#This Row],[utf8]]))</f>
        <v>🧖</v>
      </c>
      <c r="K3660" s="3" t="str" cm="1">
        <f t="array" ref="K3660">"Case "&amp;wRandomLetter()&amp;wRandomLetter()&amp;I3660&amp;":    UniConst = ChrW(" &amp; I3660 &amp;")"</f>
        <v>Case EV129494:    UniConst = ChrW(129494)</v>
      </c>
    </row>
    <row r="3661" spans="1:11" hidden="1">
      <c r="A3661" t="s">
        <v>2068</v>
      </c>
      <c r="B3661" t="str">
        <f t="shared" si="344"/>
        <v>1F9D6 1F3FF ; fully-qualified # 🧖🏿 E5.0 person in steamy room: dark skin tone</v>
      </c>
      <c r="C3661" t="str">
        <f t="shared" si="345"/>
        <v xml:space="preserve">1F9D6 1F3FF </v>
      </c>
      <c r="D3661">
        <f t="shared" si="346"/>
        <v>12</v>
      </c>
      <c r="E3661" t="str">
        <f t="shared" si="342"/>
        <v xml:space="preserve"> 🧖🏿 E5.0 person in steamy room: dark skin tone</v>
      </c>
      <c r="F3661" t="b">
        <f t="shared" si="347"/>
        <v>1</v>
      </c>
      <c r="G3661" t="str">
        <f t="shared" si="343"/>
        <v>1F9D6</v>
      </c>
      <c r="I3661">
        <f>HEX2DEC(Table1[[#This Row],[utf8]])</f>
        <v>129494</v>
      </c>
      <c r="J3661" t="str">
        <f>_xlfn.UNICHAR(HEX2DEC(Table1[[#This Row],[utf8]]))</f>
        <v>🧖</v>
      </c>
      <c r="K3661" s="3" t="str" cm="1">
        <f t="array" ref="K3661">"Case "&amp;wRandomLetter()&amp;wRandomLetter()&amp;I3661&amp;":    UniConst = ChrW(" &amp; I3661 &amp;")"</f>
        <v>Case TA129494:    UniConst = ChrW(129494)</v>
      </c>
    </row>
    <row r="3662" spans="1:11" hidden="1">
      <c r="A3662" t="s">
        <v>2092</v>
      </c>
      <c r="B3662" t="str">
        <f t="shared" si="344"/>
        <v>1F9D6 1F3FF 200D 2640 ; minimally-qualified # 🧖🏿‍♀ E5.0 woman in steamy room: dark skin tone</v>
      </c>
      <c r="C3662" t="str">
        <f t="shared" si="345"/>
        <v xml:space="preserve">1F9D6 1F3FF 200D 2640 </v>
      </c>
      <c r="D3662">
        <f t="shared" si="346"/>
        <v>22</v>
      </c>
      <c r="E3662" t="str">
        <f t="shared" si="342"/>
        <v xml:space="preserve"> 🧖🏿‍♀ E5.0 woman in steamy room: dark skin tone</v>
      </c>
      <c r="F3662" t="b">
        <f t="shared" si="347"/>
        <v>1</v>
      </c>
      <c r="G3662" t="str">
        <f t="shared" si="343"/>
        <v>1F9D6</v>
      </c>
      <c r="I3662">
        <f>HEX2DEC(Table1[[#This Row],[utf8]])</f>
        <v>129494</v>
      </c>
      <c r="J3662" t="str">
        <f>_xlfn.UNICHAR(HEX2DEC(Table1[[#This Row],[utf8]]))</f>
        <v>🧖</v>
      </c>
      <c r="K3662" s="3" t="str" cm="1">
        <f t="array" ref="K3662">"Case "&amp;wRandomLetter()&amp;wRandomLetter()&amp;I3662&amp;":    UniConst = ChrW(" &amp; I3662 &amp;")"</f>
        <v>Case qP129494:    UniConst = ChrW(129494)</v>
      </c>
    </row>
    <row r="3663" spans="1:11" hidden="1">
      <c r="A3663" t="s">
        <v>2091</v>
      </c>
      <c r="B3663" t="str">
        <f t="shared" si="344"/>
        <v>1F9D6 1F3FF 200D 2640 FE0F ; fully-qualified # 🧖🏿‍♀️ E5.0 woman in steamy room: dark skin tone</v>
      </c>
      <c r="C3663" t="str">
        <f t="shared" si="345"/>
        <v xml:space="preserve">1F9D6 1F3FF 200D 2640 FE0F </v>
      </c>
      <c r="D3663">
        <f t="shared" si="346"/>
        <v>27</v>
      </c>
      <c r="E3663" t="str">
        <f t="shared" si="342"/>
        <v xml:space="preserve"> 🧖🏿‍♀️ E5.0 woman in steamy room: dark skin tone</v>
      </c>
      <c r="F3663" t="b">
        <f t="shared" si="347"/>
        <v>1</v>
      </c>
      <c r="G3663" t="str">
        <f t="shared" si="343"/>
        <v>1F9D6</v>
      </c>
      <c r="I3663">
        <f>HEX2DEC(Table1[[#This Row],[utf8]])</f>
        <v>129494</v>
      </c>
      <c r="J3663" t="str">
        <f>_xlfn.UNICHAR(HEX2DEC(Table1[[#This Row],[utf8]]))</f>
        <v>🧖</v>
      </c>
      <c r="K3663" s="3" t="str" cm="1">
        <f t="array" ref="K3663">"Case "&amp;wRandomLetter()&amp;wRandomLetter()&amp;I3663&amp;":    UniConst = ChrW(" &amp; I3663 &amp;")"</f>
        <v>Case AS129494:    UniConst = ChrW(129494)</v>
      </c>
    </row>
    <row r="3664" spans="1:11" hidden="1">
      <c r="A3664" t="s">
        <v>2080</v>
      </c>
      <c r="B3664" t="str">
        <f t="shared" si="344"/>
        <v>1F9D6 1F3FF 200D 2642 ; minimally-qualified # 🧖🏿‍♂ E5.0 man in steamy room: dark skin tone</v>
      </c>
      <c r="C3664" t="str">
        <f t="shared" si="345"/>
        <v xml:space="preserve">1F9D6 1F3FF 200D 2642 </v>
      </c>
      <c r="D3664">
        <f t="shared" si="346"/>
        <v>22</v>
      </c>
      <c r="E3664" t="str">
        <f t="shared" si="342"/>
        <v xml:space="preserve"> 🧖🏿‍♂ E5.0 man in steamy room: dark skin tone</v>
      </c>
      <c r="F3664" t="b">
        <f t="shared" si="347"/>
        <v>1</v>
      </c>
      <c r="G3664" t="str">
        <f t="shared" si="343"/>
        <v>1F9D6</v>
      </c>
      <c r="I3664">
        <f>HEX2DEC(Table1[[#This Row],[utf8]])</f>
        <v>129494</v>
      </c>
      <c r="J3664" t="str">
        <f>_xlfn.UNICHAR(HEX2DEC(Table1[[#This Row],[utf8]]))</f>
        <v>🧖</v>
      </c>
      <c r="K3664" s="3" t="str" cm="1">
        <f t="array" ref="K3664">"Case "&amp;wRandomLetter()&amp;wRandomLetter()&amp;I3664&amp;":    UniConst = ChrW(" &amp; I3664 &amp;")"</f>
        <v>Case Iw129494:    UniConst = ChrW(129494)</v>
      </c>
    </row>
    <row r="3665" spans="1:11" hidden="1">
      <c r="A3665" t="s">
        <v>2079</v>
      </c>
      <c r="B3665" t="str">
        <f t="shared" si="344"/>
        <v>1F9D6 1F3FF 200D 2642 FE0F ; fully-qualified # 🧖🏿‍♂️ E5.0 man in steamy room: dark skin tone</v>
      </c>
      <c r="C3665" t="str">
        <f t="shared" si="345"/>
        <v xml:space="preserve">1F9D6 1F3FF 200D 2642 FE0F </v>
      </c>
      <c r="D3665">
        <f t="shared" si="346"/>
        <v>27</v>
      </c>
      <c r="E3665" t="str">
        <f t="shared" si="342"/>
        <v xml:space="preserve"> 🧖🏿‍♂️ E5.0 man in steamy room: dark skin tone</v>
      </c>
      <c r="F3665" t="b">
        <f t="shared" si="347"/>
        <v>1</v>
      </c>
      <c r="G3665" t="str">
        <f t="shared" si="343"/>
        <v>1F9D6</v>
      </c>
      <c r="I3665">
        <f>HEX2DEC(Table1[[#This Row],[utf8]])</f>
        <v>129494</v>
      </c>
      <c r="J3665" t="str">
        <f>_xlfn.UNICHAR(HEX2DEC(Table1[[#This Row],[utf8]]))</f>
        <v>🧖</v>
      </c>
      <c r="K3665" s="3" t="str" cm="1">
        <f t="array" ref="K3665">"Case "&amp;wRandomLetter()&amp;wRandomLetter()&amp;I3665&amp;":    UniConst = ChrW(" &amp; I3665 &amp;")"</f>
        <v>Case En129494:    UniConst = ChrW(129494)</v>
      </c>
    </row>
    <row r="3666" spans="1:11" hidden="1">
      <c r="A3666" t="s">
        <v>2082</v>
      </c>
      <c r="B3666" t="str">
        <f t="shared" si="344"/>
        <v>1F9D6 200D 2640 ; minimally-qualified # 🧖‍♀ E5.0 woman in steamy room</v>
      </c>
      <c r="C3666" t="str">
        <f t="shared" si="345"/>
        <v xml:space="preserve">1F9D6 200D 2640 </v>
      </c>
      <c r="D3666">
        <f t="shared" si="346"/>
        <v>16</v>
      </c>
      <c r="E3666" t="str">
        <f t="shared" si="342"/>
        <v xml:space="preserve"> 🧖‍♀ E5.0 woman in steamy room</v>
      </c>
      <c r="F3666" t="b">
        <f t="shared" si="347"/>
        <v>1</v>
      </c>
      <c r="G3666" t="str">
        <f t="shared" si="343"/>
        <v>1F9D6</v>
      </c>
      <c r="I3666">
        <f>HEX2DEC(Table1[[#This Row],[utf8]])</f>
        <v>129494</v>
      </c>
      <c r="J3666" t="str">
        <f>_xlfn.UNICHAR(HEX2DEC(Table1[[#This Row],[utf8]]))</f>
        <v>🧖</v>
      </c>
      <c r="K3666" s="3" t="str" cm="1">
        <f t="array" ref="K3666">"Case "&amp;wRandomLetter()&amp;wRandomLetter()&amp;I3666&amp;":    UniConst = ChrW(" &amp; I3666 &amp;")"</f>
        <v>Case dE129494:    UniConst = ChrW(129494)</v>
      </c>
    </row>
    <row r="3667" spans="1:11" hidden="1">
      <c r="A3667" t="s">
        <v>2081</v>
      </c>
      <c r="B3667" t="str">
        <f t="shared" si="344"/>
        <v>1F9D6 200D 2640 FE0F ; fully-qualified # 🧖‍♀️ E5.0 woman in steamy room</v>
      </c>
      <c r="C3667" t="str">
        <f t="shared" si="345"/>
        <v xml:space="preserve">1F9D6 200D 2640 FE0F </v>
      </c>
      <c r="D3667">
        <f t="shared" si="346"/>
        <v>21</v>
      </c>
      <c r="E3667" t="str">
        <f t="shared" si="342"/>
        <v xml:space="preserve"> 🧖‍♀️ E5.0 woman in steamy room</v>
      </c>
      <c r="F3667" t="b">
        <f t="shared" si="347"/>
        <v>1</v>
      </c>
      <c r="G3667" t="str">
        <f t="shared" si="343"/>
        <v>1F9D6</v>
      </c>
      <c r="I3667">
        <f>HEX2DEC(Table1[[#This Row],[utf8]])</f>
        <v>129494</v>
      </c>
      <c r="J3667" t="str">
        <f>_xlfn.UNICHAR(HEX2DEC(Table1[[#This Row],[utf8]]))</f>
        <v>🧖</v>
      </c>
      <c r="K3667" s="3" t="str" cm="1">
        <f t="array" ref="K3667">"Case "&amp;wRandomLetter()&amp;wRandomLetter()&amp;I3667&amp;":    UniConst = ChrW(" &amp; I3667 &amp;")"</f>
        <v>Case Zx129494:    UniConst = ChrW(129494)</v>
      </c>
    </row>
    <row r="3668" spans="1:11" hidden="1">
      <c r="A3668" t="s">
        <v>2070</v>
      </c>
      <c r="B3668" t="str">
        <f t="shared" si="344"/>
        <v>1F9D6 200D 2642 ; minimally-qualified # 🧖‍♂ E5.0 man in steamy room</v>
      </c>
      <c r="C3668" t="str">
        <f t="shared" si="345"/>
        <v xml:space="preserve">1F9D6 200D 2642 </v>
      </c>
      <c r="D3668">
        <f t="shared" si="346"/>
        <v>16</v>
      </c>
      <c r="E3668" t="str">
        <f t="shared" si="342"/>
        <v xml:space="preserve"> 🧖‍♂ E5.0 man in steamy room</v>
      </c>
      <c r="F3668" t="b">
        <f t="shared" si="347"/>
        <v>1</v>
      </c>
      <c r="G3668" t="str">
        <f t="shared" si="343"/>
        <v>1F9D6</v>
      </c>
      <c r="I3668">
        <f>HEX2DEC(Table1[[#This Row],[utf8]])</f>
        <v>129494</v>
      </c>
      <c r="J3668" t="str">
        <f>_xlfn.UNICHAR(HEX2DEC(Table1[[#This Row],[utf8]]))</f>
        <v>🧖</v>
      </c>
      <c r="K3668" s="3" t="str" cm="1">
        <f t="array" ref="K3668">"Case "&amp;wRandomLetter()&amp;wRandomLetter()&amp;I3668&amp;":    UniConst = ChrW(" &amp; I3668 &amp;")"</f>
        <v>Case Pp129494:    UniConst = ChrW(129494)</v>
      </c>
    </row>
    <row r="3669" spans="1:11" hidden="1">
      <c r="A3669" t="s">
        <v>2069</v>
      </c>
      <c r="B3669" t="str">
        <f t="shared" si="344"/>
        <v>1F9D6 200D 2642 FE0F ; fully-qualified # 🧖‍♂️ E5.0 man in steamy room</v>
      </c>
      <c r="C3669" t="str">
        <f t="shared" si="345"/>
        <v xml:space="preserve">1F9D6 200D 2642 FE0F </v>
      </c>
      <c r="D3669">
        <f t="shared" si="346"/>
        <v>21</v>
      </c>
      <c r="E3669" t="str">
        <f t="shared" si="342"/>
        <v xml:space="preserve"> 🧖‍♂️ E5.0 man in steamy room</v>
      </c>
      <c r="F3669" t="b">
        <f t="shared" si="347"/>
        <v>1</v>
      </c>
      <c r="G3669" t="str">
        <f t="shared" si="343"/>
        <v>1F9D6</v>
      </c>
      <c r="I3669">
        <f>HEX2DEC(Table1[[#This Row],[utf8]])</f>
        <v>129494</v>
      </c>
      <c r="J3669" t="str">
        <f>_xlfn.UNICHAR(HEX2DEC(Table1[[#This Row],[utf8]]))</f>
        <v>🧖</v>
      </c>
      <c r="K3669" s="3" t="str" cm="1">
        <f t="array" ref="K3669">"Case "&amp;wRandomLetter()&amp;wRandomLetter()&amp;I3669&amp;":    UniConst = ChrW(" &amp; I3669 &amp;")"</f>
        <v>Case vB129494:    UniConst = ChrW(129494)</v>
      </c>
    </row>
    <row r="3670" spans="1:11" hidden="1">
      <c r="A3670" t="s">
        <v>2093</v>
      </c>
      <c r="B3670" t="str">
        <f t="shared" si="344"/>
        <v>1F9D7 ; fully-qualified # 🧗 E5.0 person climbing</v>
      </c>
      <c r="C3670" t="str">
        <f t="shared" si="345"/>
        <v xml:space="preserve">1F9D7 </v>
      </c>
      <c r="D3670">
        <f t="shared" si="346"/>
        <v>6</v>
      </c>
      <c r="E3670" t="str">
        <f t="shared" si="342"/>
        <v xml:space="preserve"> 🧗 E5.0 person climbing</v>
      </c>
      <c r="F3670" t="b">
        <f t="shared" si="347"/>
        <v>1</v>
      </c>
      <c r="G3670" t="str">
        <f t="shared" si="343"/>
        <v>1F9D7</v>
      </c>
      <c r="I3670">
        <f>HEX2DEC(Table1[[#This Row],[utf8]])</f>
        <v>129495</v>
      </c>
      <c r="J3670" t="str">
        <f>_xlfn.UNICHAR(HEX2DEC(Table1[[#This Row],[utf8]]))</f>
        <v>🧗</v>
      </c>
      <c r="K3670" s="3" t="str" cm="1">
        <f t="array" ref="K3670">"Case "&amp;wRandomLetter()&amp;wRandomLetter()&amp;I3670&amp;":    UniConst = ChrW(" &amp; I3670 &amp;")"</f>
        <v>Case NJ129495:    UniConst = ChrW(129495)</v>
      </c>
    </row>
    <row r="3671" spans="1:11" hidden="1">
      <c r="A3671" t="s">
        <v>2094</v>
      </c>
      <c r="B3671" t="str">
        <f t="shared" si="344"/>
        <v>1F9D7 1F3FB ; fully-qualified # 🧗🏻 E5.0 person climbing: light skin tone</v>
      </c>
      <c r="C3671" t="str">
        <f t="shared" si="345"/>
        <v xml:space="preserve">1F9D7 1F3FB </v>
      </c>
      <c r="D3671">
        <f t="shared" si="346"/>
        <v>12</v>
      </c>
      <c r="E3671" t="str">
        <f t="shared" si="342"/>
        <v xml:space="preserve"> 🧗🏻 E5.0 person climbing: light skin tone</v>
      </c>
      <c r="F3671" t="b">
        <f t="shared" si="347"/>
        <v>1</v>
      </c>
      <c r="G3671" t="str">
        <f t="shared" si="343"/>
        <v>1F9D7</v>
      </c>
      <c r="I3671">
        <f>HEX2DEC(Table1[[#This Row],[utf8]])</f>
        <v>129495</v>
      </c>
      <c r="J3671" t="str">
        <f>_xlfn.UNICHAR(HEX2DEC(Table1[[#This Row],[utf8]]))</f>
        <v>🧗</v>
      </c>
      <c r="K3671" s="3" t="str" cm="1">
        <f t="array" ref="K3671">"Case "&amp;wRandomLetter()&amp;wRandomLetter()&amp;I3671&amp;":    UniConst = ChrW(" &amp; I3671 &amp;")"</f>
        <v>Case WJ129495:    UniConst = ChrW(129495)</v>
      </c>
    </row>
    <row r="3672" spans="1:11" hidden="1">
      <c r="A3672" t="s">
        <v>2114</v>
      </c>
      <c r="B3672" t="str">
        <f t="shared" si="344"/>
        <v>1F9D7 1F3FB 200D 2640 ; minimally-qualified # 🧗🏻‍♀ E5.0 woman climbing: light skin tone</v>
      </c>
      <c r="C3672" t="str">
        <f t="shared" si="345"/>
        <v xml:space="preserve">1F9D7 1F3FB 200D 2640 </v>
      </c>
      <c r="D3672">
        <f t="shared" si="346"/>
        <v>22</v>
      </c>
      <c r="E3672" t="str">
        <f t="shared" si="342"/>
        <v xml:space="preserve"> 🧗🏻‍♀ E5.0 woman climbing: light skin tone</v>
      </c>
      <c r="F3672" t="b">
        <f t="shared" si="347"/>
        <v>1</v>
      </c>
      <c r="G3672" t="str">
        <f t="shared" si="343"/>
        <v>1F9D7</v>
      </c>
      <c r="I3672">
        <f>HEX2DEC(Table1[[#This Row],[utf8]])</f>
        <v>129495</v>
      </c>
      <c r="J3672" t="str">
        <f>_xlfn.UNICHAR(HEX2DEC(Table1[[#This Row],[utf8]]))</f>
        <v>🧗</v>
      </c>
      <c r="K3672" s="3" t="str" cm="1">
        <f t="array" ref="K3672">"Case "&amp;wRandomLetter()&amp;wRandomLetter()&amp;I3672&amp;":    UniConst = ChrW(" &amp; I3672 &amp;")"</f>
        <v>Case bd129495:    UniConst = ChrW(129495)</v>
      </c>
    </row>
    <row r="3673" spans="1:11" hidden="1">
      <c r="A3673" t="s">
        <v>2113</v>
      </c>
      <c r="B3673" t="str">
        <f t="shared" si="344"/>
        <v>1F9D7 1F3FB 200D 2640 FE0F ; fully-qualified # 🧗🏻‍♀️ E5.0 woman climbing: light skin tone</v>
      </c>
      <c r="C3673" t="str">
        <f t="shared" si="345"/>
        <v xml:space="preserve">1F9D7 1F3FB 200D 2640 FE0F </v>
      </c>
      <c r="D3673">
        <f t="shared" si="346"/>
        <v>27</v>
      </c>
      <c r="E3673" t="str">
        <f t="shared" si="342"/>
        <v xml:space="preserve"> 🧗🏻‍♀️ E5.0 woman climbing: light skin tone</v>
      </c>
      <c r="F3673" t="b">
        <f t="shared" si="347"/>
        <v>1</v>
      </c>
      <c r="G3673" t="str">
        <f t="shared" si="343"/>
        <v>1F9D7</v>
      </c>
      <c r="I3673">
        <f>HEX2DEC(Table1[[#This Row],[utf8]])</f>
        <v>129495</v>
      </c>
      <c r="J3673" t="str">
        <f>_xlfn.UNICHAR(HEX2DEC(Table1[[#This Row],[utf8]]))</f>
        <v>🧗</v>
      </c>
      <c r="K3673" s="3" t="str" cm="1">
        <f t="array" ref="K3673">"Case "&amp;wRandomLetter()&amp;wRandomLetter()&amp;I3673&amp;":    UniConst = ChrW(" &amp; I3673 &amp;")"</f>
        <v>Case bU129495:    UniConst = ChrW(129495)</v>
      </c>
    </row>
    <row r="3674" spans="1:11" hidden="1">
      <c r="A3674" t="s">
        <v>2102</v>
      </c>
      <c r="B3674" t="str">
        <f t="shared" si="344"/>
        <v>1F9D7 1F3FB 200D 2642 ; minimally-qualified # 🧗🏻‍♂ E5.0 man climbing: light skin tone</v>
      </c>
      <c r="C3674" t="str">
        <f t="shared" si="345"/>
        <v xml:space="preserve">1F9D7 1F3FB 200D 2642 </v>
      </c>
      <c r="D3674">
        <f t="shared" si="346"/>
        <v>22</v>
      </c>
      <c r="E3674" t="str">
        <f t="shared" si="342"/>
        <v xml:space="preserve"> 🧗🏻‍♂ E5.0 man climbing: light skin tone</v>
      </c>
      <c r="F3674" t="b">
        <f t="shared" si="347"/>
        <v>1</v>
      </c>
      <c r="G3674" t="str">
        <f t="shared" si="343"/>
        <v>1F9D7</v>
      </c>
      <c r="I3674">
        <f>HEX2DEC(Table1[[#This Row],[utf8]])</f>
        <v>129495</v>
      </c>
      <c r="J3674" t="str">
        <f>_xlfn.UNICHAR(HEX2DEC(Table1[[#This Row],[utf8]]))</f>
        <v>🧗</v>
      </c>
      <c r="K3674" s="3" t="str" cm="1">
        <f t="array" ref="K3674">"Case "&amp;wRandomLetter()&amp;wRandomLetter()&amp;I3674&amp;":    UniConst = ChrW(" &amp; I3674 &amp;")"</f>
        <v>Case xx129495:    UniConst = ChrW(129495)</v>
      </c>
    </row>
    <row r="3675" spans="1:11" hidden="1">
      <c r="A3675" t="s">
        <v>2101</v>
      </c>
      <c r="B3675" t="str">
        <f t="shared" si="344"/>
        <v>1F9D7 1F3FB 200D 2642 FE0F ; fully-qualified # 🧗🏻‍♂️ E5.0 man climbing: light skin tone</v>
      </c>
      <c r="C3675" t="str">
        <f t="shared" si="345"/>
        <v xml:space="preserve">1F9D7 1F3FB 200D 2642 FE0F </v>
      </c>
      <c r="D3675">
        <f t="shared" si="346"/>
        <v>27</v>
      </c>
      <c r="E3675" t="str">
        <f t="shared" si="342"/>
        <v xml:space="preserve"> 🧗🏻‍♂️ E5.0 man climbing: light skin tone</v>
      </c>
      <c r="F3675" t="b">
        <f t="shared" si="347"/>
        <v>1</v>
      </c>
      <c r="G3675" t="str">
        <f t="shared" si="343"/>
        <v>1F9D7</v>
      </c>
      <c r="I3675">
        <f>HEX2DEC(Table1[[#This Row],[utf8]])</f>
        <v>129495</v>
      </c>
      <c r="J3675" t="str">
        <f>_xlfn.UNICHAR(HEX2DEC(Table1[[#This Row],[utf8]]))</f>
        <v>🧗</v>
      </c>
      <c r="K3675" s="3" t="str" cm="1">
        <f t="array" ref="K3675">"Case "&amp;wRandomLetter()&amp;wRandomLetter()&amp;I3675&amp;":    UniConst = ChrW(" &amp; I3675 &amp;")"</f>
        <v>Case Iu129495:    UniConst = ChrW(129495)</v>
      </c>
    </row>
    <row r="3676" spans="1:11" hidden="1">
      <c r="A3676" t="s">
        <v>2095</v>
      </c>
      <c r="B3676" t="str">
        <f t="shared" si="344"/>
        <v>1F9D7 1F3FC ; fully-qualified # 🧗🏼 E5.0 person climbing: medium-light skin tone</v>
      </c>
      <c r="C3676" t="str">
        <f t="shared" si="345"/>
        <v xml:space="preserve">1F9D7 1F3FC </v>
      </c>
      <c r="D3676">
        <f t="shared" si="346"/>
        <v>12</v>
      </c>
      <c r="E3676" t="str">
        <f t="shared" si="342"/>
        <v xml:space="preserve"> 🧗🏼 E5.0 person climbing: medium-light skin tone</v>
      </c>
      <c r="F3676" t="b">
        <f t="shared" si="347"/>
        <v>1</v>
      </c>
      <c r="G3676" t="str">
        <f t="shared" si="343"/>
        <v>1F9D7</v>
      </c>
      <c r="I3676">
        <f>HEX2DEC(Table1[[#This Row],[utf8]])</f>
        <v>129495</v>
      </c>
      <c r="J3676" t="str">
        <f>_xlfn.UNICHAR(HEX2DEC(Table1[[#This Row],[utf8]]))</f>
        <v>🧗</v>
      </c>
      <c r="K3676" s="3" t="str" cm="1">
        <f t="array" ref="K3676">"Case "&amp;wRandomLetter()&amp;wRandomLetter()&amp;I3676&amp;":    UniConst = ChrW(" &amp; I3676 &amp;")"</f>
        <v>Case SL129495:    UniConst = ChrW(129495)</v>
      </c>
    </row>
    <row r="3677" spans="1:11" hidden="1">
      <c r="A3677" t="s">
        <v>2116</v>
      </c>
      <c r="B3677" t="str">
        <f t="shared" si="344"/>
        <v>1F9D7 1F3FC 200D 2640 ; minimally-qualified # 🧗🏼‍♀ E5.0 woman climbing: medium-light skin tone</v>
      </c>
      <c r="C3677" t="str">
        <f t="shared" si="345"/>
        <v xml:space="preserve">1F9D7 1F3FC 200D 2640 </v>
      </c>
      <c r="D3677">
        <f t="shared" si="346"/>
        <v>22</v>
      </c>
      <c r="E3677" t="str">
        <f t="shared" si="342"/>
        <v xml:space="preserve"> 🧗🏼‍♀ E5.0 woman climbing: medium-light skin tone</v>
      </c>
      <c r="F3677" t="b">
        <f t="shared" si="347"/>
        <v>1</v>
      </c>
      <c r="G3677" t="str">
        <f t="shared" si="343"/>
        <v>1F9D7</v>
      </c>
      <c r="I3677">
        <f>HEX2DEC(Table1[[#This Row],[utf8]])</f>
        <v>129495</v>
      </c>
      <c r="J3677" t="str">
        <f>_xlfn.UNICHAR(HEX2DEC(Table1[[#This Row],[utf8]]))</f>
        <v>🧗</v>
      </c>
      <c r="K3677" s="3" t="str" cm="1">
        <f t="array" ref="K3677">"Case "&amp;wRandomLetter()&amp;wRandomLetter()&amp;I3677&amp;":    UniConst = ChrW(" &amp; I3677 &amp;")"</f>
        <v>Case EV129495:    UniConst = ChrW(129495)</v>
      </c>
    </row>
    <row r="3678" spans="1:11" hidden="1">
      <c r="A3678" t="s">
        <v>2115</v>
      </c>
      <c r="B3678" t="str">
        <f t="shared" si="344"/>
        <v>1F9D7 1F3FC 200D 2640 FE0F ; fully-qualified # 🧗🏼‍♀️ E5.0 woman climbing: medium-light skin tone</v>
      </c>
      <c r="C3678" t="str">
        <f t="shared" si="345"/>
        <v xml:space="preserve">1F9D7 1F3FC 200D 2640 FE0F </v>
      </c>
      <c r="D3678">
        <f t="shared" si="346"/>
        <v>27</v>
      </c>
      <c r="E3678" t="str">
        <f t="shared" si="342"/>
        <v xml:space="preserve"> 🧗🏼‍♀️ E5.0 woman climbing: medium-light skin tone</v>
      </c>
      <c r="F3678" t="b">
        <f t="shared" si="347"/>
        <v>1</v>
      </c>
      <c r="G3678" t="str">
        <f t="shared" si="343"/>
        <v>1F9D7</v>
      </c>
      <c r="I3678">
        <f>HEX2DEC(Table1[[#This Row],[utf8]])</f>
        <v>129495</v>
      </c>
      <c r="J3678" t="str">
        <f>_xlfn.UNICHAR(HEX2DEC(Table1[[#This Row],[utf8]]))</f>
        <v>🧗</v>
      </c>
      <c r="K3678" s="3" t="str" cm="1">
        <f t="array" ref="K3678">"Case "&amp;wRandomLetter()&amp;wRandomLetter()&amp;I3678&amp;":    UniConst = ChrW(" &amp; I3678 &amp;")"</f>
        <v>Case uS129495:    UniConst = ChrW(129495)</v>
      </c>
    </row>
    <row r="3679" spans="1:11" hidden="1">
      <c r="A3679" t="s">
        <v>2104</v>
      </c>
      <c r="B3679" t="str">
        <f t="shared" si="344"/>
        <v>1F9D7 1F3FC 200D 2642 ; minimally-qualified # 🧗🏼‍♂ E5.0 man climbing: medium-light skin tone</v>
      </c>
      <c r="C3679" t="str">
        <f t="shared" si="345"/>
        <v xml:space="preserve">1F9D7 1F3FC 200D 2642 </v>
      </c>
      <c r="D3679">
        <f t="shared" si="346"/>
        <v>22</v>
      </c>
      <c r="E3679" t="str">
        <f t="shared" si="342"/>
        <v xml:space="preserve"> 🧗🏼‍♂ E5.0 man climbing: medium-light skin tone</v>
      </c>
      <c r="F3679" t="b">
        <f t="shared" si="347"/>
        <v>1</v>
      </c>
      <c r="G3679" t="str">
        <f t="shared" si="343"/>
        <v>1F9D7</v>
      </c>
      <c r="I3679">
        <f>HEX2DEC(Table1[[#This Row],[utf8]])</f>
        <v>129495</v>
      </c>
      <c r="J3679" t="str">
        <f>_xlfn.UNICHAR(HEX2DEC(Table1[[#This Row],[utf8]]))</f>
        <v>🧗</v>
      </c>
      <c r="K3679" s="3" t="str" cm="1">
        <f t="array" ref="K3679">"Case "&amp;wRandomLetter()&amp;wRandomLetter()&amp;I3679&amp;":    UniConst = ChrW(" &amp; I3679 &amp;")"</f>
        <v>Case YT129495:    UniConst = ChrW(129495)</v>
      </c>
    </row>
    <row r="3680" spans="1:11" hidden="1">
      <c r="A3680" t="s">
        <v>2103</v>
      </c>
      <c r="B3680" t="str">
        <f t="shared" si="344"/>
        <v>1F9D7 1F3FC 200D 2642 FE0F ; fully-qualified # 🧗🏼‍♂️ E5.0 man climbing: medium-light skin tone</v>
      </c>
      <c r="C3680" t="str">
        <f t="shared" si="345"/>
        <v xml:space="preserve">1F9D7 1F3FC 200D 2642 FE0F </v>
      </c>
      <c r="D3680">
        <f t="shared" si="346"/>
        <v>27</v>
      </c>
      <c r="E3680" t="str">
        <f t="shared" si="342"/>
        <v xml:space="preserve"> 🧗🏼‍♂️ E5.0 man climbing: medium-light skin tone</v>
      </c>
      <c r="F3680" t="b">
        <f t="shared" si="347"/>
        <v>1</v>
      </c>
      <c r="G3680" t="str">
        <f t="shared" si="343"/>
        <v>1F9D7</v>
      </c>
      <c r="I3680">
        <f>HEX2DEC(Table1[[#This Row],[utf8]])</f>
        <v>129495</v>
      </c>
      <c r="J3680" t="str">
        <f>_xlfn.UNICHAR(HEX2DEC(Table1[[#This Row],[utf8]]))</f>
        <v>🧗</v>
      </c>
      <c r="K3680" s="3" t="str" cm="1">
        <f t="array" ref="K3680">"Case "&amp;wRandomLetter()&amp;wRandomLetter()&amp;I3680&amp;":    UniConst = ChrW(" &amp; I3680 &amp;")"</f>
        <v>Case DX129495:    UniConst = ChrW(129495)</v>
      </c>
    </row>
    <row r="3681" spans="1:11" hidden="1">
      <c r="A3681" t="s">
        <v>2096</v>
      </c>
      <c r="B3681" t="str">
        <f t="shared" si="344"/>
        <v>1F9D7 1F3FD ; fully-qualified # 🧗🏽 E5.0 person climbing: medium skin tone</v>
      </c>
      <c r="C3681" t="str">
        <f t="shared" si="345"/>
        <v xml:space="preserve">1F9D7 1F3FD </v>
      </c>
      <c r="D3681">
        <f t="shared" si="346"/>
        <v>12</v>
      </c>
      <c r="E3681" t="str">
        <f t="shared" si="342"/>
        <v xml:space="preserve"> 🧗🏽 E5.0 person climbing: medium skin tone</v>
      </c>
      <c r="F3681" t="b">
        <f t="shared" si="347"/>
        <v>1</v>
      </c>
      <c r="G3681" t="str">
        <f t="shared" si="343"/>
        <v>1F9D7</v>
      </c>
      <c r="I3681">
        <f>HEX2DEC(Table1[[#This Row],[utf8]])</f>
        <v>129495</v>
      </c>
      <c r="J3681" t="str">
        <f>_xlfn.UNICHAR(HEX2DEC(Table1[[#This Row],[utf8]]))</f>
        <v>🧗</v>
      </c>
      <c r="K3681" s="3" t="str" cm="1">
        <f t="array" ref="K3681">"Case "&amp;wRandomLetter()&amp;wRandomLetter()&amp;I3681&amp;":    UniConst = ChrW(" &amp; I3681 &amp;")"</f>
        <v>Case lS129495:    UniConst = ChrW(129495)</v>
      </c>
    </row>
    <row r="3682" spans="1:11" hidden="1">
      <c r="A3682" t="s">
        <v>2118</v>
      </c>
      <c r="B3682" t="str">
        <f t="shared" si="344"/>
        <v>1F9D7 1F3FD 200D 2640 ; minimally-qualified # 🧗🏽‍♀ E5.0 woman climbing: medium skin tone</v>
      </c>
      <c r="C3682" t="str">
        <f t="shared" si="345"/>
        <v xml:space="preserve">1F9D7 1F3FD 200D 2640 </v>
      </c>
      <c r="D3682">
        <f t="shared" si="346"/>
        <v>22</v>
      </c>
      <c r="E3682" t="str">
        <f t="shared" si="342"/>
        <v xml:space="preserve"> 🧗🏽‍♀ E5.0 woman climbing: medium skin tone</v>
      </c>
      <c r="F3682" t="b">
        <f t="shared" si="347"/>
        <v>1</v>
      </c>
      <c r="G3682" t="str">
        <f t="shared" si="343"/>
        <v>1F9D7</v>
      </c>
      <c r="I3682">
        <f>HEX2DEC(Table1[[#This Row],[utf8]])</f>
        <v>129495</v>
      </c>
      <c r="J3682" t="str">
        <f>_xlfn.UNICHAR(HEX2DEC(Table1[[#This Row],[utf8]]))</f>
        <v>🧗</v>
      </c>
      <c r="K3682" s="3" t="str" cm="1">
        <f t="array" ref="K3682">"Case "&amp;wRandomLetter()&amp;wRandomLetter()&amp;I3682&amp;":    UniConst = ChrW(" &amp; I3682 &amp;")"</f>
        <v>Case sw129495:    UniConst = ChrW(129495)</v>
      </c>
    </row>
    <row r="3683" spans="1:11" hidden="1">
      <c r="A3683" t="s">
        <v>2117</v>
      </c>
      <c r="B3683" t="str">
        <f t="shared" si="344"/>
        <v>1F9D7 1F3FD 200D 2640 FE0F ; fully-qualified # 🧗🏽‍♀️ E5.0 woman climbing: medium skin tone</v>
      </c>
      <c r="C3683" t="str">
        <f t="shared" si="345"/>
        <v xml:space="preserve">1F9D7 1F3FD 200D 2640 FE0F </v>
      </c>
      <c r="D3683">
        <f t="shared" si="346"/>
        <v>27</v>
      </c>
      <c r="E3683" t="str">
        <f t="shared" si="342"/>
        <v xml:space="preserve"> 🧗🏽‍♀️ E5.0 woman climbing: medium skin tone</v>
      </c>
      <c r="F3683" t="b">
        <f t="shared" si="347"/>
        <v>1</v>
      </c>
      <c r="G3683" t="str">
        <f t="shared" si="343"/>
        <v>1F9D7</v>
      </c>
      <c r="I3683">
        <f>HEX2DEC(Table1[[#This Row],[utf8]])</f>
        <v>129495</v>
      </c>
      <c r="J3683" t="str">
        <f>_xlfn.UNICHAR(HEX2DEC(Table1[[#This Row],[utf8]]))</f>
        <v>🧗</v>
      </c>
      <c r="K3683" s="3" t="str" cm="1">
        <f t="array" ref="K3683">"Case "&amp;wRandomLetter()&amp;wRandomLetter()&amp;I3683&amp;":    UniConst = ChrW(" &amp; I3683 &amp;")"</f>
        <v>Case II129495:    UniConst = ChrW(129495)</v>
      </c>
    </row>
    <row r="3684" spans="1:11" hidden="1">
      <c r="A3684" t="s">
        <v>2106</v>
      </c>
      <c r="B3684" t="str">
        <f t="shared" si="344"/>
        <v>1F9D7 1F3FD 200D 2642 ; minimally-qualified # 🧗🏽‍♂ E5.0 man climbing: medium skin tone</v>
      </c>
      <c r="C3684" t="str">
        <f t="shared" si="345"/>
        <v xml:space="preserve">1F9D7 1F3FD 200D 2642 </v>
      </c>
      <c r="D3684">
        <f t="shared" si="346"/>
        <v>22</v>
      </c>
      <c r="E3684" t="str">
        <f t="shared" si="342"/>
        <v xml:space="preserve"> 🧗🏽‍♂ E5.0 man climbing: medium skin tone</v>
      </c>
      <c r="F3684" t="b">
        <f t="shared" si="347"/>
        <v>1</v>
      </c>
      <c r="G3684" t="str">
        <f t="shared" si="343"/>
        <v>1F9D7</v>
      </c>
      <c r="I3684">
        <f>HEX2DEC(Table1[[#This Row],[utf8]])</f>
        <v>129495</v>
      </c>
      <c r="J3684" t="str">
        <f>_xlfn.UNICHAR(HEX2DEC(Table1[[#This Row],[utf8]]))</f>
        <v>🧗</v>
      </c>
      <c r="K3684" s="3" t="str" cm="1">
        <f t="array" ref="K3684">"Case "&amp;wRandomLetter()&amp;wRandomLetter()&amp;I3684&amp;":    UniConst = ChrW(" &amp; I3684 &amp;")"</f>
        <v>Case DV129495:    UniConst = ChrW(129495)</v>
      </c>
    </row>
    <row r="3685" spans="1:11" hidden="1">
      <c r="A3685" t="s">
        <v>2105</v>
      </c>
      <c r="B3685" t="str">
        <f t="shared" si="344"/>
        <v>1F9D7 1F3FD 200D 2642 FE0F ; fully-qualified # 🧗🏽‍♂️ E5.0 man climbing: medium skin tone</v>
      </c>
      <c r="C3685" t="str">
        <f t="shared" si="345"/>
        <v xml:space="preserve">1F9D7 1F3FD 200D 2642 FE0F </v>
      </c>
      <c r="D3685">
        <f t="shared" si="346"/>
        <v>27</v>
      </c>
      <c r="E3685" t="str">
        <f t="shared" si="342"/>
        <v xml:space="preserve"> 🧗🏽‍♂️ E5.0 man climbing: medium skin tone</v>
      </c>
      <c r="F3685" t="b">
        <f t="shared" si="347"/>
        <v>1</v>
      </c>
      <c r="G3685" t="str">
        <f t="shared" si="343"/>
        <v>1F9D7</v>
      </c>
      <c r="I3685">
        <f>HEX2DEC(Table1[[#This Row],[utf8]])</f>
        <v>129495</v>
      </c>
      <c r="J3685" t="str">
        <f>_xlfn.UNICHAR(HEX2DEC(Table1[[#This Row],[utf8]]))</f>
        <v>🧗</v>
      </c>
      <c r="K3685" s="3" t="str" cm="1">
        <f t="array" ref="K3685">"Case "&amp;wRandomLetter()&amp;wRandomLetter()&amp;I3685&amp;":    UniConst = ChrW(" &amp; I3685 &amp;")"</f>
        <v>Case Nc129495:    UniConst = ChrW(129495)</v>
      </c>
    </row>
    <row r="3686" spans="1:11" hidden="1">
      <c r="A3686" t="s">
        <v>2097</v>
      </c>
      <c r="B3686" t="str">
        <f t="shared" si="344"/>
        <v>1F9D7 1F3FE ; fully-qualified # 🧗🏾 E5.0 person climbing: medium-dark skin tone</v>
      </c>
      <c r="C3686" t="str">
        <f t="shared" si="345"/>
        <v xml:space="preserve">1F9D7 1F3FE </v>
      </c>
      <c r="D3686">
        <f t="shared" si="346"/>
        <v>12</v>
      </c>
      <c r="E3686" t="str">
        <f t="shared" si="342"/>
        <v xml:space="preserve"> 🧗🏾 E5.0 person climbing: medium-dark skin tone</v>
      </c>
      <c r="F3686" t="b">
        <f t="shared" si="347"/>
        <v>1</v>
      </c>
      <c r="G3686" t="str">
        <f t="shared" si="343"/>
        <v>1F9D7</v>
      </c>
      <c r="I3686">
        <f>HEX2DEC(Table1[[#This Row],[utf8]])</f>
        <v>129495</v>
      </c>
      <c r="J3686" t="str">
        <f>_xlfn.UNICHAR(HEX2DEC(Table1[[#This Row],[utf8]]))</f>
        <v>🧗</v>
      </c>
      <c r="K3686" s="3" t="str" cm="1">
        <f t="array" ref="K3686">"Case "&amp;wRandomLetter()&amp;wRandomLetter()&amp;I3686&amp;":    UniConst = ChrW(" &amp; I3686 &amp;")"</f>
        <v>Case vB129495:    UniConst = ChrW(129495)</v>
      </c>
    </row>
    <row r="3687" spans="1:11" hidden="1">
      <c r="A3687" t="s">
        <v>2120</v>
      </c>
      <c r="B3687" t="str">
        <f t="shared" si="344"/>
        <v>1F9D7 1F3FE 200D 2640 ; minimally-qualified # 🧗🏾‍♀ E5.0 woman climbing: medium-dark skin tone</v>
      </c>
      <c r="C3687" t="str">
        <f t="shared" si="345"/>
        <v xml:space="preserve">1F9D7 1F3FE 200D 2640 </v>
      </c>
      <c r="D3687">
        <f t="shared" si="346"/>
        <v>22</v>
      </c>
      <c r="E3687" t="str">
        <f t="shared" si="342"/>
        <v xml:space="preserve"> 🧗🏾‍♀ E5.0 woman climbing: medium-dark skin tone</v>
      </c>
      <c r="F3687" t="b">
        <f t="shared" si="347"/>
        <v>1</v>
      </c>
      <c r="G3687" t="str">
        <f t="shared" si="343"/>
        <v>1F9D7</v>
      </c>
      <c r="I3687">
        <f>HEX2DEC(Table1[[#This Row],[utf8]])</f>
        <v>129495</v>
      </c>
      <c r="J3687" t="str">
        <f>_xlfn.UNICHAR(HEX2DEC(Table1[[#This Row],[utf8]]))</f>
        <v>🧗</v>
      </c>
      <c r="K3687" s="3" t="str" cm="1">
        <f t="array" ref="K3687">"Case "&amp;wRandomLetter()&amp;wRandomLetter()&amp;I3687&amp;":    UniConst = ChrW(" &amp; I3687 &amp;")"</f>
        <v>Case FC129495:    UniConst = ChrW(129495)</v>
      </c>
    </row>
    <row r="3688" spans="1:11" hidden="1">
      <c r="A3688" t="s">
        <v>2119</v>
      </c>
      <c r="B3688" t="str">
        <f t="shared" si="344"/>
        <v>1F9D7 1F3FE 200D 2640 FE0F ; fully-qualified # 🧗🏾‍♀️ E5.0 woman climbing: medium-dark skin tone</v>
      </c>
      <c r="C3688" t="str">
        <f t="shared" si="345"/>
        <v xml:space="preserve">1F9D7 1F3FE 200D 2640 FE0F </v>
      </c>
      <c r="D3688">
        <f t="shared" si="346"/>
        <v>27</v>
      </c>
      <c r="E3688" t="str">
        <f t="shared" si="342"/>
        <v xml:space="preserve"> 🧗🏾‍♀️ E5.0 woman climbing: medium-dark skin tone</v>
      </c>
      <c r="F3688" t="b">
        <f t="shared" si="347"/>
        <v>1</v>
      </c>
      <c r="G3688" t="str">
        <f t="shared" si="343"/>
        <v>1F9D7</v>
      </c>
      <c r="I3688">
        <f>HEX2DEC(Table1[[#This Row],[utf8]])</f>
        <v>129495</v>
      </c>
      <c r="J3688" t="str">
        <f>_xlfn.UNICHAR(HEX2DEC(Table1[[#This Row],[utf8]]))</f>
        <v>🧗</v>
      </c>
      <c r="K3688" s="3" t="str" cm="1">
        <f t="array" ref="K3688">"Case "&amp;wRandomLetter()&amp;wRandomLetter()&amp;I3688&amp;":    UniConst = ChrW(" &amp; I3688 &amp;")"</f>
        <v>Case vD129495:    UniConst = ChrW(129495)</v>
      </c>
    </row>
    <row r="3689" spans="1:11" hidden="1">
      <c r="A3689" t="s">
        <v>2108</v>
      </c>
      <c r="B3689" t="str">
        <f t="shared" si="344"/>
        <v>1F9D7 1F3FE 200D 2642 ; minimally-qualified # 🧗🏾‍♂ E5.0 man climbing: medium-dark skin tone</v>
      </c>
      <c r="C3689" t="str">
        <f t="shared" si="345"/>
        <v xml:space="preserve">1F9D7 1F3FE 200D 2642 </v>
      </c>
      <c r="D3689">
        <f t="shared" si="346"/>
        <v>22</v>
      </c>
      <c r="E3689" t="str">
        <f t="shared" si="342"/>
        <v xml:space="preserve"> 🧗🏾‍♂ E5.0 man climbing: medium-dark skin tone</v>
      </c>
      <c r="F3689" t="b">
        <f t="shared" si="347"/>
        <v>1</v>
      </c>
      <c r="G3689" t="str">
        <f t="shared" si="343"/>
        <v>1F9D7</v>
      </c>
      <c r="I3689">
        <f>HEX2DEC(Table1[[#This Row],[utf8]])</f>
        <v>129495</v>
      </c>
      <c r="J3689" t="str">
        <f>_xlfn.UNICHAR(HEX2DEC(Table1[[#This Row],[utf8]]))</f>
        <v>🧗</v>
      </c>
      <c r="K3689" s="3" t="str" cm="1">
        <f t="array" ref="K3689">"Case "&amp;wRandomLetter()&amp;wRandomLetter()&amp;I3689&amp;":    UniConst = ChrW(" &amp; I3689 &amp;")"</f>
        <v>Case oW129495:    UniConst = ChrW(129495)</v>
      </c>
    </row>
    <row r="3690" spans="1:11" hidden="1">
      <c r="A3690" t="s">
        <v>2107</v>
      </c>
      <c r="B3690" t="str">
        <f t="shared" si="344"/>
        <v>1F9D7 1F3FE 200D 2642 FE0F ; fully-qualified # 🧗🏾‍♂️ E5.0 man climbing: medium-dark skin tone</v>
      </c>
      <c r="C3690" t="str">
        <f t="shared" si="345"/>
        <v xml:space="preserve">1F9D7 1F3FE 200D 2642 FE0F </v>
      </c>
      <c r="D3690">
        <f t="shared" si="346"/>
        <v>27</v>
      </c>
      <c r="E3690" t="str">
        <f t="shared" si="342"/>
        <v xml:space="preserve"> 🧗🏾‍♂️ E5.0 man climbing: medium-dark skin tone</v>
      </c>
      <c r="F3690" t="b">
        <f t="shared" si="347"/>
        <v>1</v>
      </c>
      <c r="G3690" t="str">
        <f t="shared" si="343"/>
        <v>1F9D7</v>
      </c>
      <c r="I3690">
        <f>HEX2DEC(Table1[[#This Row],[utf8]])</f>
        <v>129495</v>
      </c>
      <c r="J3690" t="str">
        <f>_xlfn.UNICHAR(HEX2DEC(Table1[[#This Row],[utf8]]))</f>
        <v>🧗</v>
      </c>
      <c r="K3690" s="3" t="str" cm="1">
        <f t="array" ref="K3690">"Case "&amp;wRandomLetter()&amp;wRandomLetter()&amp;I3690&amp;":    UniConst = ChrW(" &amp; I3690 &amp;")"</f>
        <v>Case zY129495:    UniConst = ChrW(129495)</v>
      </c>
    </row>
    <row r="3691" spans="1:11" hidden="1">
      <c r="A3691" t="s">
        <v>2098</v>
      </c>
      <c r="B3691" t="str">
        <f t="shared" si="344"/>
        <v>1F9D7 1F3FF ; fully-qualified # 🧗🏿 E5.0 person climbing: dark skin tone</v>
      </c>
      <c r="C3691" t="str">
        <f t="shared" si="345"/>
        <v xml:space="preserve">1F9D7 1F3FF </v>
      </c>
      <c r="D3691">
        <f t="shared" si="346"/>
        <v>12</v>
      </c>
      <c r="E3691" t="str">
        <f t="shared" si="342"/>
        <v xml:space="preserve"> 🧗🏿 E5.0 person climbing: dark skin tone</v>
      </c>
      <c r="F3691" t="b">
        <f t="shared" si="347"/>
        <v>1</v>
      </c>
      <c r="G3691" t="str">
        <f t="shared" si="343"/>
        <v>1F9D7</v>
      </c>
      <c r="I3691">
        <f>HEX2DEC(Table1[[#This Row],[utf8]])</f>
        <v>129495</v>
      </c>
      <c r="J3691" t="str">
        <f>_xlfn.UNICHAR(HEX2DEC(Table1[[#This Row],[utf8]]))</f>
        <v>🧗</v>
      </c>
      <c r="K3691" s="3" t="str" cm="1">
        <f t="array" ref="K3691">"Case "&amp;wRandomLetter()&amp;wRandomLetter()&amp;I3691&amp;":    UniConst = ChrW(" &amp; I3691 &amp;")"</f>
        <v>Case at129495:    UniConst = ChrW(129495)</v>
      </c>
    </row>
    <row r="3692" spans="1:11" hidden="1">
      <c r="A3692" t="s">
        <v>2122</v>
      </c>
      <c r="B3692" t="str">
        <f t="shared" si="344"/>
        <v>1F9D7 1F3FF 200D 2640 ; minimally-qualified # 🧗🏿‍♀ E5.0 woman climbing: dark skin tone</v>
      </c>
      <c r="C3692" t="str">
        <f t="shared" si="345"/>
        <v xml:space="preserve">1F9D7 1F3FF 200D 2640 </v>
      </c>
      <c r="D3692">
        <f t="shared" si="346"/>
        <v>22</v>
      </c>
      <c r="E3692" t="str">
        <f t="shared" si="342"/>
        <v xml:space="preserve"> 🧗🏿‍♀ E5.0 woman climbing: dark skin tone</v>
      </c>
      <c r="F3692" t="b">
        <f t="shared" si="347"/>
        <v>1</v>
      </c>
      <c r="G3692" t="str">
        <f t="shared" si="343"/>
        <v>1F9D7</v>
      </c>
      <c r="I3692">
        <f>HEX2DEC(Table1[[#This Row],[utf8]])</f>
        <v>129495</v>
      </c>
      <c r="J3692" t="str">
        <f>_xlfn.UNICHAR(HEX2DEC(Table1[[#This Row],[utf8]]))</f>
        <v>🧗</v>
      </c>
      <c r="K3692" s="3" t="str" cm="1">
        <f t="array" ref="K3692">"Case "&amp;wRandomLetter()&amp;wRandomLetter()&amp;I3692&amp;":    UniConst = ChrW(" &amp; I3692 &amp;")"</f>
        <v>Case wz129495:    UniConst = ChrW(129495)</v>
      </c>
    </row>
    <row r="3693" spans="1:11" hidden="1">
      <c r="A3693" t="s">
        <v>2121</v>
      </c>
      <c r="B3693" t="str">
        <f t="shared" si="344"/>
        <v>1F9D7 1F3FF 200D 2640 FE0F ; fully-qualified # 🧗🏿‍♀️ E5.0 woman climbing: dark skin tone</v>
      </c>
      <c r="C3693" t="str">
        <f t="shared" si="345"/>
        <v xml:space="preserve">1F9D7 1F3FF 200D 2640 FE0F </v>
      </c>
      <c r="D3693">
        <f t="shared" si="346"/>
        <v>27</v>
      </c>
      <c r="E3693" t="str">
        <f t="shared" si="342"/>
        <v xml:space="preserve"> 🧗🏿‍♀️ E5.0 woman climbing: dark skin tone</v>
      </c>
      <c r="F3693" t="b">
        <f t="shared" si="347"/>
        <v>1</v>
      </c>
      <c r="G3693" t="str">
        <f t="shared" si="343"/>
        <v>1F9D7</v>
      </c>
      <c r="I3693">
        <f>HEX2DEC(Table1[[#This Row],[utf8]])</f>
        <v>129495</v>
      </c>
      <c r="J3693" t="str">
        <f>_xlfn.UNICHAR(HEX2DEC(Table1[[#This Row],[utf8]]))</f>
        <v>🧗</v>
      </c>
      <c r="K3693" s="3" t="str" cm="1">
        <f t="array" ref="K3693">"Case "&amp;wRandomLetter()&amp;wRandomLetter()&amp;I3693&amp;":    UniConst = ChrW(" &amp; I3693 &amp;")"</f>
        <v>Case nK129495:    UniConst = ChrW(129495)</v>
      </c>
    </row>
    <row r="3694" spans="1:11" hidden="1">
      <c r="A3694" t="s">
        <v>2110</v>
      </c>
      <c r="B3694" t="str">
        <f t="shared" si="344"/>
        <v>1F9D7 1F3FF 200D 2642 ; minimally-qualified # 🧗🏿‍♂ E5.0 man climbing: dark skin tone</v>
      </c>
      <c r="C3694" t="str">
        <f t="shared" si="345"/>
        <v xml:space="preserve">1F9D7 1F3FF 200D 2642 </v>
      </c>
      <c r="D3694">
        <f t="shared" si="346"/>
        <v>22</v>
      </c>
      <c r="E3694" t="str">
        <f t="shared" si="342"/>
        <v xml:space="preserve"> 🧗🏿‍♂ E5.0 man climbing: dark skin tone</v>
      </c>
      <c r="F3694" t="b">
        <f t="shared" si="347"/>
        <v>1</v>
      </c>
      <c r="G3694" t="str">
        <f t="shared" si="343"/>
        <v>1F9D7</v>
      </c>
      <c r="I3694">
        <f>HEX2DEC(Table1[[#This Row],[utf8]])</f>
        <v>129495</v>
      </c>
      <c r="J3694" t="str">
        <f>_xlfn.UNICHAR(HEX2DEC(Table1[[#This Row],[utf8]]))</f>
        <v>🧗</v>
      </c>
      <c r="K3694" s="3" t="str" cm="1">
        <f t="array" ref="K3694">"Case "&amp;wRandomLetter()&amp;wRandomLetter()&amp;I3694&amp;":    UniConst = ChrW(" &amp; I3694 &amp;")"</f>
        <v>Case pH129495:    UniConst = ChrW(129495)</v>
      </c>
    </row>
    <row r="3695" spans="1:11" hidden="1">
      <c r="A3695" t="s">
        <v>2109</v>
      </c>
      <c r="B3695" t="str">
        <f t="shared" si="344"/>
        <v>1F9D7 1F3FF 200D 2642 FE0F ; fully-qualified # 🧗🏿‍♂️ E5.0 man climbing: dark skin tone</v>
      </c>
      <c r="C3695" t="str">
        <f t="shared" si="345"/>
        <v xml:space="preserve">1F9D7 1F3FF 200D 2642 FE0F </v>
      </c>
      <c r="D3695">
        <f t="shared" si="346"/>
        <v>27</v>
      </c>
      <c r="E3695" t="str">
        <f t="shared" si="342"/>
        <v xml:space="preserve"> 🧗🏿‍♂️ E5.0 man climbing: dark skin tone</v>
      </c>
      <c r="F3695" t="b">
        <f t="shared" si="347"/>
        <v>1</v>
      </c>
      <c r="G3695" t="str">
        <f t="shared" si="343"/>
        <v>1F9D7</v>
      </c>
      <c r="I3695">
        <f>HEX2DEC(Table1[[#This Row],[utf8]])</f>
        <v>129495</v>
      </c>
      <c r="J3695" t="str">
        <f>_xlfn.UNICHAR(HEX2DEC(Table1[[#This Row],[utf8]]))</f>
        <v>🧗</v>
      </c>
      <c r="K3695" s="3" t="str" cm="1">
        <f t="array" ref="K3695">"Case "&amp;wRandomLetter()&amp;wRandomLetter()&amp;I3695&amp;":    UniConst = ChrW(" &amp; I3695 &amp;")"</f>
        <v>Case ke129495:    UniConst = ChrW(129495)</v>
      </c>
    </row>
    <row r="3696" spans="1:11" hidden="1">
      <c r="A3696" t="s">
        <v>2112</v>
      </c>
      <c r="B3696" t="str">
        <f t="shared" si="344"/>
        <v>1F9D7 200D 2640 ; minimally-qualified # 🧗‍♀ E5.0 woman climbing</v>
      </c>
      <c r="C3696" t="str">
        <f t="shared" si="345"/>
        <v xml:space="preserve">1F9D7 200D 2640 </v>
      </c>
      <c r="D3696">
        <f t="shared" si="346"/>
        <v>16</v>
      </c>
      <c r="E3696" t="str">
        <f t="shared" si="342"/>
        <v xml:space="preserve"> 🧗‍♀ E5.0 woman climbing</v>
      </c>
      <c r="F3696" t="b">
        <f t="shared" si="347"/>
        <v>1</v>
      </c>
      <c r="G3696" t="str">
        <f t="shared" si="343"/>
        <v>1F9D7</v>
      </c>
      <c r="I3696">
        <f>HEX2DEC(Table1[[#This Row],[utf8]])</f>
        <v>129495</v>
      </c>
      <c r="J3696" t="str">
        <f>_xlfn.UNICHAR(HEX2DEC(Table1[[#This Row],[utf8]]))</f>
        <v>🧗</v>
      </c>
      <c r="K3696" s="3" t="str" cm="1">
        <f t="array" ref="K3696">"Case "&amp;wRandomLetter()&amp;wRandomLetter()&amp;I3696&amp;":    UniConst = ChrW(" &amp; I3696 &amp;")"</f>
        <v>Case LN129495:    UniConst = ChrW(129495)</v>
      </c>
    </row>
    <row r="3697" spans="1:11" hidden="1">
      <c r="A3697" t="s">
        <v>2111</v>
      </c>
      <c r="B3697" t="str">
        <f t="shared" si="344"/>
        <v>1F9D7 200D 2640 FE0F ; fully-qualified # 🧗‍♀️ E5.0 woman climbing</v>
      </c>
      <c r="C3697" t="str">
        <f t="shared" si="345"/>
        <v xml:space="preserve">1F9D7 200D 2640 FE0F </v>
      </c>
      <c r="D3697">
        <f t="shared" si="346"/>
        <v>21</v>
      </c>
      <c r="E3697" t="str">
        <f t="shared" si="342"/>
        <v xml:space="preserve"> 🧗‍♀️ E5.0 woman climbing</v>
      </c>
      <c r="F3697" t="b">
        <f t="shared" si="347"/>
        <v>1</v>
      </c>
      <c r="G3697" t="str">
        <f t="shared" si="343"/>
        <v>1F9D7</v>
      </c>
      <c r="I3697">
        <f>HEX2DEC(Table1[[#This Row],[utf8]])</f>
        <v>129495</v>
      </c>
      <c r="J3697" t="str">
        <f>_xlfn.UNICHAR(HEX2DEC(Table1[[#This Row],[utf8]]))</f>
        <v>🧗</v>
      </c>
      <c r="K3697" s="3" t="str" cm="1">
        <f t="array" ref="K3697">"Case "&amp;wRandomLetter()&amp;wRandomLetter()&amp;I3697&amp;":    UniConst = ChrW(" &amp; I3697 &amp;")"</f>
        <v>Case nW129495:    UniConst = ChrW(129495)</v>
      </c>
    </row>
    <row r="3698" spans="1:11" hidden="1">
      <c r="A3698" t="s">
        <v>2100</v>
      </c>
      <c r="B3698" t="str">
        <f t="shared" si="344"/>
        <v>1F9D7 200D 2642 ; minimally-qualified # 🧗‍♂ E5.0 man climbing</v>
      </c>
      <c r="C3698" t="str">
        <f t="shared" si="345"/>
        <v xml:space="preserve">1F9D7 200D 2642 </v>
      </c>
      <c r="D3698">
        <f t="shared" si="346"/>
        <v>16</v>
      </c>
      <c r="E3698" t="str">
        <f t="shared" si="342"/>
        <v xml:space="preserve"> 🧗‍♂ E5.0 man climbing</v>
      </c>
      <c r="F3698" t="b">
        <f t="shared" si="347"/>
        <v>1</v>
      </c>
      <c r="G3698" t="str">
        <f t="shared" si="343"/>
        <v>1F9D7</v>
      </c>
      <c r="I3698">
        <f>HEX2DEC(Table1[[#This Row],[utf8]])</f>
        <v>129495</v>
      </c>
      <c r="J3698" t="str">
        <f>_xlfn.UNICHAR(HEX2DEC(Table1[[#This Row],[utf8]]))</f>
        <v>🧗</v>
      </c>
      <c r="K3698" s="3" t="str" cm="1">
        <f t="array" ref="K3698">"Case "&amp;wRandomLetter()&amp;wRandomLetter()&amp;I3698&amp;":    UniConst = ChrW(" &amp; I3698 &amp;")"</f>
        <v>Case FD129495:    UniConst = ChrW(129495)</v>
      </c>
    </row>
    <row r="3699" spans="1:11" hidden="1">
      <c r="A3699" t="s">
        <v>2099</v>
      </c>
      <c r="B3699" t="str">
        <f t="shared" si="344"/>
        <v>1F9D7 200D 2642 FE0F ; fully-qualified # 🧗‍♂️ E5.0 man climbing</v>
      </c>
      <c r="C3699" t="str">
        <f t="shared" si="345"/>
        <v xml:space="preserve">1F9D7 200D 2642 FE0F </v>
      </c>
      <c r="D3699">
        <f t="shared" si="346"/>
        <v>21</v>
      </c>
      <c r="E3699" t="str">
        <f t="shared" si="342"/>
        <v xml:space="preserve"> 🧗‍♂️ E5.0 man climbing</v>
      </c>
      <c r="F3699" t="b">
        <f t="shared" si="347"/>
        <v>1</v>
      </c>
      <c r="G3699" t="str">
        <f t="shared" si="343"/>
        <v>1F9D7</v>
      </c>
      <c r="I3699">
        <f>HEX2DEC(Table1[[#This Row],[utf8]])</f>
        <v>129495</v>
      </c>
      <c r="J3699" t="str">
        <f>_xlfn.UNICHAR(HEX2DEC(Table1[[#This Row],[utf8]]))</f>
        <v>🧗</v>
      </c>
      <c r="K3699" s="3" t="str" cm="1">
        <f t="array" ref="K3699">"Case "&amp;wRandomLetter()&amp;wRandomLetter()&amp;I3699&amp;":    UniConst = ChrW(" &amp; I3699 &amp;")"</f>
        <v>Case KE129495:    UniConst = ChrW(129495)</v>
      </c>
    </row>
    <row r="3700" spans="1:11" hidden="1">
      <c r="A3700" t="s">
        <v>2520</v>
      </c>
      <c r="B3700" t="str">
        <f t="shared" si="344"/>
        <v>1F9D8 ; fully-qualified # 🧘 E5.0 person in lotus position</v>
      </c>
      <c r="C3700" t="str">
        <f t="shared" si="345"/>
        <v xml:space="preserve">1F9D8 </v>
      </c>
      <c r="D3700">
        <f t="shared" si="346"/>
        <v>6</v>
      </c>
      <c r="E3700" t="str">
        <f t="shared" si="342"/>
        <v xml:space="preserve"> 🧘 E5.0 person in lotus position</v>
      </c>
      <c r="F3700" t="b">
        <f t="shared" si="347"/>
        <v>1</v>
      </c>
      <c r="G3700" t="str">
        <f t="shared" si="343"/>
        <v>1F9D8</v>
      </c>
      <c r="I3700">
        <f>HEX2DEC(Table1[[#This Row],[utf8]])</f>
        <v>129496</v>
      </c>
      <c r="J3700" t="str">
        <f>_xlfn.UNICHAR(HEX2DEC(Table1[[#This Row],[utf8]]))</f>
        <v>🧘</v>
      </c>
      <c r="K3700" s="3" t="str" cm="1">
        <f t="array" ref="K3700">"Case "&amp;wRandomLetter()&amp;wRandomLetter()&amp;I3700&amp;":    UniConst = ChrW(" &amp; I3700 &amp;")"</f>
        <v>Case QN129496:    UniConst = ChrW(129496)</v>
      </c>
    </row>
    <row r="3701" spans="1:11" hidden="1">
      <c r="A3701" t="s">
        <v>2521</v>
      </c>
      <c r="B3701" t="str">
        <f t="shared" si="344"/>
        <v>1F9D8 1F3FB ; fully-qualified # 🧘🏻 E5.0 person in lotus position: light skin tone</v>
      </c>
      <c r="C3701" t="str">
        <f t="shared" si="345"/>
        <v xml:space="preserve">1F9D8 1F3FB </v>
      </c>
      <c r="D3701">
        <f t="shared" si="346"/>
        <v>12</v>
      </c>
      <c r="E3701" t="str">
        <f t="shared" si="342"/>
        <v xml:space="preserve"> 🧘🏻 E5.0 person in lotus position: light skin tone</v>
      </c>
      <c r="F3701" t="b">
        <f t="shared" si="347"/>
        <v>1</v>
      </c>
      <c r="G3701" t="str">
        <f t="shared" si="343"/>
        <v>1F9D8</v>
      </c>
      <c r="I3701">
        <f>HEX2DEC(Table1[[#This Row],[utf8]])</f>
        <v>129496</v>
      </c>
      <c r="J3701" t="str">
        <f>_xlfn.UNICHAR(HEX2DEC(Table1[[#This Row],[utf8]]))</f>
        <v>🧘</v>
      </c>
      <c r="K3701" s="3" t="str" cm="1">
        <f t="array" ref="K3701">"Case "&amp;wRandomLetter()&amp;wRandomLetter()&amp;I3701&amp;":    UniConst = ChrW(" &amp; I3701 &amp;")"</f>
        <v>Case tH129496:    UniConst = ChrW(129496)</v>
      </c>
    </row>
    <row r="3702" spans="1:11" hidden="1">
      <c r="A3702" t="s">
        <v>2541</v>
      </c>
      <c r="B3702" t="str">
        <f t="shared" si="344"/>
        <v>1F9D8 1F3FB 200D 2640 ; minimally-qualified # 🧘🏻‍♀ E5.0 woman in lotus position: light skin tone</v>
      </c>
      <c r="C3702" t="str">
        <f t="shared" si="345"/>
        <v xml:space="preserve">1F9D8 1F3FB 200D 2640 </v>
      </c>
      <c r="D3702">
        <f t="shared" si="346"/>
        <v>22</v>
      </c>
      <c r="E3702" t="str">
        <f t="shared" si="342"/>
        <v xml:space="preserve"> 🧘🏻‍♀ E5.0 woman in lotus position: light skin tone</v>
      </c>
      <c r="F3702" t="b">
        <f t="shared" si="347"/>
        <v>1</v>
      </c>
      <c r="G3702" t="str">
        <f t="shared" si="343"/>
        <v>1F9D8</v>
      </c>
      <c r="I3702">
        <f>HEX2DEC(Table1[[#This Row],[utf8]])</f>
        <v>129496</v>
      </c>
      <c r="J3702" t="str">
        <f>_xlfn.UNICHAR(HEX2DEC(Table1[[#This Row],[utf8]]))</f>
        <v>🧘</v>
      </c>
      <c r="K3702" s="3" t="str" cm="1">
        <f t="array" ref="K3702">"Case "&amp;wRandomLetter()&amp;wRandomLetter()&amp;I3702&amp;":    UniConst = ChrW(" &amp; I3702 &amp;")"</f>
        <v>Case zc129496:    UniConst = ChrW(129496)</v>
      </c>
    </row>
    <row r="3703" spans="1:11" hidden="1">
      <c r="A3703" t="s">
        <v>2540</v>
      </c>
      <c r="B3703" t="str">
        <f t="shared" si="344"/>
        <v>1F9D8 1F3FB 200D 2640 FE0F ; fully-qualified # 🧘🏻‍♀️ E5.0 woman in lotus position: light skin tone</v>
      </c>
      <c r="C3703" t="str">
        <f t="shared" si="345"/>
        <v xml:space="preserve">1F9D8 1F3FB 200D 2640 FE0F </v>
      </c>
      <c r="D3703">
        <f t="shared" si="346"/>
        <v>27</v>
      </c>
      <c r="E3703" t="str">
        <f t="shared" si="342"/>
        <v xml:space="preserve"> 🧘🏻‍♀️ E5.0 woman in lotus position: light skin tone</v>
      </c>
      <c r="F3703" t="b">
        <f t="shared" si="347"/>
        <v>1</v>
      </c>
      <c r="G3703" t="str">
        <f t="shared" si="343"/>
        <v>1F9D8</v>
      </c>
      <c r="I3703">
        <f>HEX2DEC(Table1[[#This Row],[utf8]])</f>
        <v>129496</v>
      </c>
      <c r="J3703" t="str">
        <f>_xlfn.UNICHAR(HEX2DEC(Table1[[#This Row],[utf8]]))</f>
        <v>🧘</v>
      </c>
      <c r="K3703" s="3" t="str" cm="1">
        <f t="array" ref="K3703">"Case "&amp;wRandomLetter()&amp;wRandomLetter()&amp;I3703&amp;":    UniConst = ChrW(" &amp; I3703 &amp;")"</f>
        <v>Case En129496:    UniConst = ChrW(129496)</v>
      </c>
    </row>
    <row r="3704" spans="1:11" hidden="1">
      <c r="A3704" t="s">
        <v>2529</v>
      </c>
      <c r="B3704" t="str">
        <f t="shared" si="344"/>
        <v>1F9D8 1F3FB 200D 2642 ; minimally-qualified # 🧘🏻‍♂ E5.0 man in lotus position: light skin tone</v>
      </c>
      <c r="C3704" t="str">
        <f t="shared" si="345"/>
        <v xml:space="preserve">1F9D8 1F3FB 200D 2642 </v>
      </c>
      <c r="D3704">
        <f t="shared" si="346"/>
        <v>22</v>
      </c>
      <c r="E3704" t="str">
        <f t="shared" si="342"/>
        <v xml:space="preserve"> 🧘🏻‍♂ E5.0 man in lotus position: light skin tone</v>
      </c>
      <c r="F3704" t="b">
        <f t="shared" si="347"/>
        <v>1</v>
      </c>
      <c r="G3704" t="str">
        <f t="shared" si="343"/>
        <v>1F9D8</v>
      </c>
      <c r="I3704">
        <f>HEX2DEC(Table1[[#This Row],[utf8]])</f>
        <v>129496</v>
      </c>
      <c r="J3704" t="str">
        <f>_xlfn.UNICHAR(HEX2DEC(Table1[[#This Row],[utf8]]))</f>
        <v>🧘</v>
      </c>
      <c r="K3704" s="3" t="str" cm="1">
        <f t="array" ref="K3704">"Case "&amp;wRandomLetter()&amp;wRandomLetter()&amp;I3704&amp;":    UniConst = ChrW(" &amp; I3704 &amp;")"</f>
        <v>Case wS129496:    UniConst = ChrW(129496)</v>
      </c>
    </row>
    <row r="3705" spans="1:11" hidden="1">
      <c r="A3705" t="s">
        <v>2528</v>
      </c>
      <c r="B3705" t="str">
        <f t="shared" si="344"/>
        <v>1F9D8 1F3FB 200D 2642 FE0F ; fully-qualified # 🧘🏻‍♂️ E5.0 man in lotus position: light skin tone</v>
      </c>
      <c r="C3705" t="str">
        <f t="shared" si="345"/>
        <v xml:space="preserve">1F9D8 1F3FB 200D 2642 FE0F </v>
      </c>
      <c r="D3705">
        <f t="shared" si="346"/>
        <v>27</v>
      </c>
      <c r="E3705" t="str">
        <f t="shared" si="342"/>
        <v xml:space="preserve"> 🧘🏻‍♂️ E5.0 man in lotus position: light skin tone</v>
      </c>
      <c r="F3705" t="b">
        <f t="shared" si="347"/>
        <v>1</v>
      </c>
      <c r="G3705" t="str">
        <f t="shared" si="343"/>
        <v>1F9D8</v>
      </c>
      <c r="I3705">
        <f>HEX2DEC(Table1[[#This Row],[utf8]])</f>
        <v>129496</v>
      </c>
      <c r="J3705" t="str">
        <f>_xlfn.UNICHAR(HEX2DEC(Table1[[#This Row],[utf8]]))</f>
        <v>🧘</v>
      </c>
      <c r="K3705" s="3" t="str" cm="1">
        <f t="array" ref="K3705">"Case "&amp;wRandomLetter()&amp;wRandomLetter()&amp;I3705&amp;":    UniConst = ChrW(" &amp; I3705 &amp;")"</f>
        <v>Case ff129496:    UniConst = ChrW(129496)</v>
      </c>
    </row>
    <row r="3706" spans="1:11" hidden="1">
      <c r="A3706" t="s">
        <v>2522</v>
      </c>
      <c r="B3706" t="str">
        <f t="shared" si="344"/>
        <v>1F9D8 1F3FC ; fully-qualified # 🧘🏼 E5.0 person in lotus position: medium-light skin tone</v>
      </c>
      <c r="C3706" t="str">
        <f t="shared" si="345"/>
        <v xml:space="preserve">1F9D8 1F3FC </v>
      </c>
      <c r="D3706">
        <f t="shared" si="346"/>
        <v>12</v>
      </c>
      <c r="E3706" t="str">
        <f t="shared" si="342"/>
        <v xml:space="preserve"> 🧘🏼 E5.0 person in lotus position: medium-light skin tone</v>
      </c>
      <c r="F3706" t="b">
        <f t="shared" si="347"/>
        <v>1</v>
      </c>
      <c r="G3706" t="str">
        <f t="shared" si="343"/>
        <v>1F9D8</v>
      </c>
      <c r="I3706">
        <f>HEX2DEC(Table1[[#This Row],[utf8]])</f>
        <v>129496</v>
      </c>
      <c r="J3706" t="str">
        <f>_xlfn.UNICHAR(HEX2DEC(Table1[[#This Row],[utf8]]))</f>
        <v>🧘</v>
      </c>
      <c r="K3706" s="3" t="str" cm="1">
        <f t="array" ref="K3706">"Case "&amp;wRandomLetter()&amp;wRandomLetter()&amp;I3706&amp;":    UniConst = ChrW(" &amp; I3706 &amp;")"</f>
        <v>Case dE129496:    UniConst = ChrW(129496)</v>
      </c>
    </row>
    <row r="3707" spans="1:11" hidden="1">
      <c r="A3707" t="s">
        <v>2543</v>
      </c>
      <c r="B3707" t="str">
        <f t="shared" si="344"/>
        <v>1F9D8 1F3FC 200D 2640 ; minimally-qualified # 🧘🏼‍♀ E5.0 woman in lotus position: medium-light skin tone</v>
      </c>
      <c r="C3707" t="str">
        <f t="shared" si="345"/>
        <v xml:space="preserve">1F9D8 1F3FC 200D 2640 </v>
      </c>
      <c r="D3707">
        <f t="shared" si="346"/>
        <v>22</v>
      </c>
      <c r="E3707" t="str">
        <f t="shared" si="342"/>
        <v xml:space="preserve"> 🧘🏼‍♀ E5.0 woman in lotus position: medium-light skin tone</v>
      </c>
      <c r="F3707" t="b">
        <f t="shared" si="347"/>
        <v>1</v>
      </c>
      <c r="G3707" t="str">
        <f t="shared" si="343"/>
        <v>1F9D8</v>
      </c>
      <c r="I3707">
        <f>HEX2DEC(Table1[[#This Row],[utf8]])</f>
        <v>129496</v>
      </c>
      <c r="J3707" t="str">
        <f>_xlfn.UNICHAR(HEX2DEC(Table1[[#This Row],[utf8]]))</f>
        <v>🧘</v>
      </c>
      <c r="K3707" s="3" t="str" cm="1">
        <f t="array" ref="K3707">"Case "&amp;wRandomLetter()&amp;wRandomLetter()&amp;I3707&amp;":    UniConst = ChrW(" &amp; I3707 &amp;")"</f>
        <v>Case EF129496:    UniConst = ChrW(129496)</v>
      </c>
    </row>
    <row r="3708" spans="1:11" hidden="1">
      <c r="A3708" t="s">
        <v>2542</v>
      </c>
      <c r="B3708" t="str">
        <f t="shared" si="344"/>
        <v>1F9D8 1F3FC 200D 2640 FE0F ; fully-qualified # 🧘🏼‍♀️ E5.0 woman in lotus position: medium-light skin tone</v>
      </c>
      <c r="C3708" t="str">
        <f t="shared" si="345"/>
        <v xml:space="preserve">1F9D8 1F3FC 200D 2640 FE0F </v>
      </c>
      <c r="D3708">
        <f t="shared" si="346"/>
        <v>27</v>
      </c>
      <c r="E3708" t="str">
        <f t="shared" si="342"/>
        <v xml:space="preserve"> 🧘🏼‍♀️ E5.0 woman in lotus position: medium-light skin tone</v>
      </c>
      <c r="F3708" t="b">
        <f t="shared" si="347"/>
        <v>1</v>
      </c>
      <c r="G3708" t="str">
        <f t="shared" si="343"/>
        <v>1F9D8</v>
      </c>
      <c r="I3708">
        <f>HEX2DEC(Table1[[#This Row],[utf8]])</f>
        <v>129496</v>
      </c>
      <c r="J3708" t="str">
        <f>_xlfn.UNICHAR(HEX2DEC(Table1[[#This Row],[utf8]]))</f>
        <v>🧘</v>
      </c>
      <c r="K3708" s="3" t="str" cm="1">
        <f t="array" ref="K3708">"Case "&amp;wRandomLetter()&amp;wRandomLetter()&amp;I3708&amp;":    UniConst = ChrW(" &amp; I3708 &amp;")"</f>
        <v>Case vG129496:    UniConst = ChrW(129496)</v>
      </c>
    </row>
    <row r="3709" spans="1:11" hidden="1">
      <c r="A3709" t="s">
        <v>2531</v>
      </c>
      <c r="B3709" t="str">
        <f t="shared" si="344"/>
        <v>1F9D8 1F3FC 200D 2642 ; minimally-qualified # 🧘🏼‍♂ E5.0 man in lotus position: medium-light skin tone</v>
      </c>
      <c r="C3709" t="str">
        <f t="shared" si="345"/>
        <v xml:space="preserve">1F9D8 1F3FC 200D 2642 </v>
      </c>
      <c r="D3709">
        <f t="shared" si="346"/>
        <v>22</v>
      </c>
      <c r="E3709" t="str">
        <f t="shared" si="342"/>
        <v xml:space="preserve"> 🧘🏼‍♂ E5.0 man in lotus position: medium-light skin tone</v>
      </c>
      <c r="F3709" t="b">
        <f t="shared" si="347"/>
        <v>1</v>
      </c>
      <c r="G3709" t="str">
        <f t="shared" si="343"/>
        <v>1F9D8</v>
      </c>
      <c r="I3709">
        <f>HEX2DEC(Table1[[#This Row],[utf8]])</f>
        <v>129496</v>
      </c>
      <c r="J3709" t="str">
        <f>_xlfn.UNICHAR(HEX2DEC(Table1[[#This Row],[utf8]]))</f>
        <v>🧘</v>
      </c>
      <c r="K3709" s="3" t="str" cm="1">
        <f t="array" ref="K3709">"Case "&amp;wRandomLetter()&amp;wRandomLetter()&amp;I3709&amp;":    UniConst = ChrW(" &amp; I3709 &amp;")"</f>
        <v>Case Wh129496:    UniConst = ChrW(129496)</v>
      </c>
    </row>
    <row r="3710" spans="1:11" hidden="1">
      <c r="A3710" t="s">
        <v>2530</v>
      </c>
      <c r="B3710" t="str">
        <f t="shared" si="344"/>
        <v>1F9D8 1F3FC 200D 2642 FE0F ; fully-qualified # 🧘🏼‍♂️ E5.0 man in lotus position: medium-light skin tone</v>
      </c>
      <c r="C3710" t="str">
        <f t="shared" si="345"/>
        <v xml:space="preserve">1F9D8 1F3FC 200D 2642 FE0F </v>
      </c>
      <c r="D3710">
        <f t="shared" si="346"/>
        <v>27</v>
      </c>
      <c r="E3710" t="str">
        <f t="shared" si="342"/>
        <v xml:space="preserve"> 🧘🏼‍♂️ E5.0 man in lotus position: medium-light skin tone</v>
      </c>
      <c r="F3710" t="b">
        <f t="shared" si="347"/>
        <v>1</v>
      </c>
      <c r="G3710" t="str">
        <f t="shared" si="343"/>
        <v>1F9D8</v>
      </c>
      <c r="I3710">
        <f>HEX2DEC(Table1[[#This Row],[utf8]])</f>
        <v>129496</v>
      </c>
      <c r="J3710" t="str">
        <f>_xlfn.UNICHAR(HEX2DEC(Table1[[#This Row],[utf8]]))</f>
        <v>🧘</v>
      </c>
      <c r="K3710" s="3" t="str" cm="1">
        <f t="array" ref="K3710">"Case "&amp;wRandomLetter()&amp;wRandomLetter()&amp;I3710&amp;":    UniConst = ChrW(" &amp; I3710 &amp;")"</f>
        <v>Case CN129496:    UniConst = ChrW(129496)</v>
      </c>
    </row>
    <row r="3711" spans="1:11" hidden="1">
      <c r="A3711" t="s">
        <v>2523</v>
      </c>
      <c r="B3711" t="str">
        <f t="shared" si="344"/>
        <v>1F9D8 1F3FD ; fully-qualified # 🧘🏽 E5.0 person in lotus position: medium skin tone</v>
      </c>
      <c r="C3711" t="str">
        <f t="shared" si="345"/>
        <v xml:space="preserve">1F9D8 1F3FD </v>
      </c>
      <c r="D3711">
        <f t="shared" si="346"/>
        <v>12</v>
      </c>
      <c r="E3711" t="str">
        <f t="shared" si="342"/>
        <v xml:space="preserve"> 🧘🏽 E5.0 person in lotus position: medium skin tone</v>
      </c>
      <c r="F3711" t="b">
        <f t="shared" si="347"/>
        <v>1</v>
      </c>
      <c r="G3711" t="str">
        <f t="shared" si="343"/>
        <v>1F9D8</v>
      </c>
      <c r="I3711">
        <f>HEX2DEC(Table1[[#This Row],[utf8]])</f>
        <v>129496</v>
      </c>
      <c r="J3711" t="str">
        <f>_xlfn.UNICHAR(HEX2DEC(Table1[[#This Row],[utf8]]))</f>
        <v>🧘</v>
      </c>
      <c r="K3711" s="3" t="str" cm="1">
        <f t="array" ref="K3711">"Case "&amp;wRandomLetter()&amp;wRandomLetter()&amp;I3711&amp;":    UniConst = ChrW(" &amp; I3711 &amp;")"</f>
        <v>Case PC129496:    UniConst = ChrW(129496)</v>
      </c>
    </row>
    <row r="3712" spans="1:11" hidden="1">
      <c r="A3712" t="s">
        <v>2545</v>
      </c>
      <c r="B3712" t="str">
        <f t="shared" si="344"/>
        <v>1F9D8 1F3FD 200D 2640 ; minimally-qualified # 🧘🏽‍♀ E5.0 woman in lotus position: medium skin tone</v>
      </c>
      <c r="C3712" t="str">
        <f t="shared" si="345"/>
        <v xml:space="preserve">1F9D8 1F3FD 200D 2640 </v>
      </c>
      <c r="D3712">
        <f t="shared" si="346"/>
        <v>22</v>
      </c>
      <c r="E3712" t="str">
        <f t="shared" si="342"/>
        <v xml:space="preserve"> 🧘🏽‍♀ E5.0 woman in lotus position: medium skin tone</v>
      </c>
      <c r="F3712" t="b">
        <f t="shared" si="347"/>
        <v>1</v>
      </c>
      <c r="G3712" t="str">
        <f t="shared" si="343"/>
        <v>1F9D8</v>
      </c>
      <c r="I3712">
        <f>HEX2DEC(Table1[[#This Row],[utf8]])</f>
        <v>129496</v>
      </c>
      <c r="J3712" t="str">
        <f>_xlfn.UNICHAR(HEX2DEC(Table1[[#This Row],[utf8]]))</f>
        <v>🧘</v>
      </c>
      <c r="K3712" s="3" t="str" cm="1">
        <f t="array" ref="K3712">"Case "&amp;wRandomLetter()&amp;wRandomLetter()&amp;I3712&amp;":    UniConst = ChrW(" &amp; I3712 &amp;")"</f>
        <v>Case Gz129496:    UniConst = ChrW(129496)</v>
      </c>
    </row>
    <row r="3713" spans="1:11" hidden="1">
      <c r="A3713" t="s">
        <v>2544</v>
      </c>
      <c r="B3713" t="str">
        <f t="shared" si="344"/>
        <v>1F9D8 1F3FD 200D 2640 FE0F ; fully-qualified # 🧘🏽‍♀️ E5.0 woman in lotus position: medium skin tone</v>
      </c>
      <c r="C3713" t="str">
        <f t="shared" si="345"/>
        <v xml:space="preserve">1F9D8 1F3FD 200D 2640 FE0F </v>
      </c>
      <c r="D3713">
        <f t="shared" si="346"/>
        <v>27</v>
      </c>
      <c r="E3713" t="str">
        <f t="shared" si="342"/>
        <v xml:space="preserve"> 🧘🏽‍♀️ E5.0 woman in lotus position: medium skin tone</v>
      </c>
      <c r="F3713" t="b">
        <f t="shared" si="347"/>
        <v>1</v>
      </c>
      <c r="G3713" t="str">
        <f t="shared" si="343"/>
        <v>1F9D8</v>
      </c>
      <c r="I3713">
        <f>HEX2DEC(Table1[[#This Row],[utf8]])</f>
        <v>129496</v>
      </c>
      <c r="J3713" t="str">
        <f>_xlfn.UNICHAR(HEX2DEC(Table1[[#This Row],[utf8]]))</f>
        <v>🧘</v>
      </c>
      <c r="K3713" s="3" t="str" cm="1">
        <f t="array" ref="K3713">"Case "&amp;wRandomLetter()&amp;wRandomLetter()&amp;I3713&amp;":    UniConst = ChrW(" &amp; I3713 &amp;")"</f>
        <v>Case UZ129496:    UniConst = ChrW(129496)</v>
      </c>
    </row>
    <row r="3714" spans="1:11" hidden="1">
      <c r="A3714" t="s">
        <v>2533</v>
      </c>
      <c r="B3714" t="str">
        <f t="shared" si="344"/>
        <v>1F9D8 1F3FD 200D 2642 ; minimally-qualified # 🧘🏽‍♂ E5.0 man in lotus position: medium skin tone</v>
      </c>
      <c r="C3714" t="str">
        <f t="shared" si="345"/>
        <v xml:space="preserve">1F9D8 1F3FD 200D 2642 </v>
      </c>
      <c r="D3714">
        <f t="shared" si="346"/>
        <v>22</v>
      </c>
      <c r="E3714" t="str">
        <f t="shared" ref="E3714:E3777" si="348">MID(A3714,FIND("#",A3714)+1,256)</f>
        <v xml:space="preserve"> 🧘🏽‍♂ E5.0 man in lotus position: medium skin tone</v>
      </c>
      <c r="F3714" t="b">
        <f t="shared" si="347"/>
        <v>1</v>
      </c>
      <c r="G3714" t="str">
        <f t="shared" ref="G3714:G3777" si="349">LEFT(C3714,(FIND(" ",C3714,1)-1))</f>
        <v>1F9D8</v>
      </c>
      <c r="I3714">
        <f>HEX2DEC(Table1[[#This Row],[utf8]])</f>
        <v>129496</v>
      </c>
      <c r="J3714" t="str">
        <f>_xlfn.UNICHAR(HEX2DEC(Table1[[#This Row],[utf8]]))</f>
        <v>🧘</v>
      </c>
      <c r="K3714" s="3" t="str" cm="1">
        <f t="array" ref="K3714">"Case "&amp;wRandomLetter()&amp;wRandomLetter()&amp;I3714&amp;":    UniConst = ChrW(" &amp; I3714 &amp;")"</f>
        <v>Case SL129496:    UniConst = ChrW(129496)</v>
      </c>
    </row>
    <row r="3715" spans="1:11" hidden="1">
      <c r="A3715" t="s">
        <v>2532</v>
      </c>
      <c r="B3715" t="str">
        <f t="shared" ref="B3715:B3778" si="350">TRIM(A3715)</f>
        <v>1F9D8 1F3FD 200D 2642 FE0F ; fully-qualified # 🧘🏽‍♂️ E5.0 man in lotus position: medium skin tone</v>
      </c>
      <c r="C3715" t="str">
        <f t="shared" ref="C3715:C3778" si="351">LEFT(B3715,(FIND(";",B3715,1)-1))</f>
        <v xml:space="preserve">1F9D8 1F3FD 200D 2642 FE0F </v>
      </c>
      <c r="D3715">
        <f t="shared" ref="D3715:D3778" si="352">LEN(C3715)</f>
        <v>27</v>
      </c>
      <c r="E3715" t="str">
        <f t="shared" si="348"/>
        <v xml:space="preserve"> 🧘🏽‍♂️ E5.0 man in lotus position: medium skin tone</v>
      </c>
      <c r="F3715" t="b">
        <f t="shared" ref="F3715:F3778" si="353">IF(LEFT(C3715,2)="1F",TRUE,FALSE)</f>
        <v>1</v>
      </c>
      <c r="G3715" t="str">
        <f t="shared" si="349"/>
        <v>1F9D8</v>
      </c>
      <c r="I3715">
        <f>HEX2DEC(Table1[[#This Row],[utf8]])</f>
        <v>129496</v>
      </c>
      <c r="J3715" t="str">
        <f>_xlfn.UNICHAR(HEX2DEC(Table1[[#This Row],[utf8]]))</f>
        <v>🧘</v>
      </c>
      <c r="K3715" s="3" t="str" cm="1">
        <f t="array" ref="K3715">"Case "&amp;wRandomLetter()&amp;wRandomLetter()&amp;I3715&amp;":    UniConst = ChrW(" &amp; I3715 &amp;")"</f>
        <v>Case bt129496:    UniConst = ChrW(129496)</v>
      </c>
    </row>
    <row r="3716" spans="1:11" hidden="1">
      <c r="A3716" t="s">
        <v>2524</v>
      </c>
      <c r="B3716" t="str">
        <f t="shared" si="350"/>
        <v>1F9D8 1F3FE ; fully-qualified # 🧘🏾 E5.0 person in lotus position: medium-dark skin tone</v>
      </c>
      <c r="C3716" t="str">
        <f t="shared" si="351"/>
        <v xml:space="preserve">1F9D8 1F3FE </v>
      </c>
      <c r="D3716">
        <f t="shared" si="352"/>
        <v>12</v>
      </c>
      <c r="E3716" t="str">
        <f t="shared" si="348"/>
        <v xml:space="preserve"> 🧘🏾 E5.0 person in lotus position: medium-dark skin tone</v>
      </c>
      <c r="F3716" t="b">
        <f t="shared" si="353"/>
        <v>1</v>
      </c>
      <c r="G3716" t="str">
        <f t="shared" si="349"/>
        <v>1F9D8</v>
      </c>
      <c r="I3716">
        <f>HEX2DEC(Table1[[#This Row],[utf8]])</f>
        <v>129496</v>
      </c>
      <c r="J3716" t="str">
        <f>_xlfn.UNICHAR(HEX2DEC(Table1[[#This Row],[utf8]]))</f>
        <v>🧘</v>
      </c>
      <c r="K3716" s="3" t="str" cm="1">
        <f t="array" ref="K3716">"Case "&amp;wRandomLetter()&amp;wRandomLetter()&amp;I3716&amp;":    UniConst = ChrW(" &amp; I3716 &amp;")"</f>
        <v>Case yZ129496:    UniConst = ChrW(129496)</v>
      </c>
    </row>
    <row r="3717" spans="1:11" hidden="1">
      <c r="A3717" t="s">
        <v>2547</v>
      </c>
      <c r="B3717" t="str">
        <f t="shared" si="350"/>
        <v>1F9D8 1F3FE 200D 2640 ; minimally-qualified # 🧘🏾‍♀ E5.0 woman in lotus position: medium-dark skin tone</v>
      </c>
      <c r="C3717" t="str">
        <f t="shared" si="351"/>
        <v xml:space="preserve">1F9D8 1F3FE 200D 2640 </v>
      </c>
      <c r="D3717">
        <f t="shared" si="352"/>
        <v>22</v>
      </c>
      <c r="E3717" t="str">
        <f t="shared" si="348"/>
        <v xml:space="preserve"> 🧘🏾‍♀ E5.0 woman in lotus position: medium-dark skin tone</v>
      </c>
      <c r="F3717" t="b">
        <f t="shared" si="353"/>
        <v>1</v>
      </c>
      <c r="G3717" t="str">
        <f t="shared" si="349"/>
        <v>1F9D8</v>
      </c>
      <c r="I3717">
        <f>HEX2DEC(Table1[[#This Row],[utf8]])</f>
        <v>129496</v>
      </c>
      <c r="J3717" t="str">
        <f>_xlfn.UNICHAR(HEX2DEC(Table1[[#This Row],[utf8]]))</f>
        <v>🧘</v>
      </c>
      <c r="K3717" s="3" t="str" cm="1">
        <f t="array" ref="K3717">"Case "&amp;wRandomLetter()&amp;wRandomLetter()&amp;I3717&amp;":    UniConst = ChrW(" &amp; I3717 &amp;")"</f>
        <v>Case Lo129496:    UniConst = ChrW(129496)</v>
      </c>
    </row>
    <row r="3718" spans="1:11" hidden="1">
      <c r="A3718" t="s">
        <v>2546</v>
      </c>
      <c r="B3718" t="str">
        <f t="shared" si="350"/>
        <v>1F9D8 1F3FE 200D 2640 FE0F ; fully-qualified # 🧘🏾‍♀️ E5.0 woman in lotus position: medium-dark skin tone</v>
      </c>
      <c r="C3718" t="str">
        <f t="shared" si="351"/>
        <v xml:space="preserve">1F9D8 1F3FE 200D 2640 FE0F </v>
      </c>
      <c r="D3718">
        <f t="shared" si="352"/>
        <v>27</v>
      </c>
      <c r="E3718" t="str">
        <f t="shared" si="348"/>
        <v xml:space="preserve"> 🧘🏾‍♀️ E5.0 woman in lotus position: medium-dark skin tone</v>
      </c>
      <c r="F3718" t="b">
        <f t="shared" si="353"/>
        <v>1</v>
      </c>
      <c r="G3718" t="str">
        <f t="shared" si="349"/>
        <v>1F9D8</v>
      </c>
      <c r="I3718">
        <f>HEX2DEC(Table1[[#This Row],[utf8]])</f>
        <v>129496</v>
      </c>
      <c r="J3718" t="str">
        <f>_xlfn.UNICHAR(HEX2DEC(Table1[[#This Row],[utf8]]))</f>
        <v>🧘</v>
      </c>
      <c r="K3718" s="3" t="str" cm="1">
        <f t="array" ref="K3718">"Case "&amp;wRandomLetter()&amp;wRandomLetter()&amp;I3718&amp;":    UniConst = ChrW(" &amp; I3718 &amp;")"</f>
        <v>Case Sd129496:    UniConst = ChrW(129496)</v>
      </c>
    </row>
    <row r="3719" spans="1:11" hidden="1">
      <c r="A3719" t="s">
        <v>2535</v>
      </c>
      <c r="B3719" t="str">
        <f t="shared" si="350"/>
        <v>1F9D8 1F3FE 200D 2642 ; minimally-qualified # 🧘🏾‍♂ E5.0 man in lotus position: medium-dark skin tone</v>
      </c>
      <c r="C3719" t="str">
        <f t="shared" si="351"/>
        <v xml:space="preserve">1F9D8 1F3FE 200D 2642 </v>
      </c>
      <c r="D3719">
        <f t="shared" si="352"/>
        <v>22</v>
      </c>
      <c r="E3719" t="str">
        <f t="shared" si="348"/>
        <v xml:space="preserve"> 🧘🏾‍♂ E5.0 man in lotus position: medium-dark skin tone</v>
      </c>
      <c r="F3719" t="b">
        <f t="shared" si="353"/>
        <v>1</v>
      </c>
      <c r="G3719" t="str">
        <f t="shared" si="349"/>
        <v>1F9D8</v>
      </c>
      <c r="I3719">
        <f>HEX2DEC(Table1[[#This Row],[utf8]])</f>
        <v>129496</v>
      </c>
      <c r="J3719" t="str">
        <f>_xlfn.UNICHAR(HEX2DEC(Table1[[#This Row],[utf8]]))</f>
        <v>🧘</v>
      </c>
      <c r="K3719" s="3" t="str" cm="1">
        <f t="array" ref="K3719">"Case "&amp;wRandomLetter()&amp;wRandomLetter()&amp;I3719&amp;":    UniConst = ChrW(" &amp; I3719 &amp;")"</f>
        <v>Case Zo129496:    UniConst = ChrW(129496)</v>
      </c>
    </row>
    <row r="3720" spans="1:11" hidden="1">
      <c r="A3720" t="s">
        <v>2534</v>
      </c>
      <c r="B3720" t="str">
        <f t="shared" si="350"/>
        <v>1F9D8 1F3FE 200D 2642 FE0F ; fully-qualified # 🧘🏾‍♂️ E5.0 man in lotus position: medium-dark skin tone</v>
      </c>
      <c r="C3720" t="str">
        <f t="shared" si="351"/>
        <v xml:space="preserve">1F9D8 1F3FE 200D 2642 FE0F </v>
      </c>
      <c r="D3720">
        <f t="shared" si="352"/>
        <v>27</v>
      </c>
      <c r="E3720" t="str">
        <f t="shared" si="348"/>
        <v xml:space="preserve"> 🧘🏾‍♂️ E5.0 man in lotus position: medium-dark skin tone</v>
      </c>
      <c r="F3720" t="b">
        <f t="shared" si="353"/>
        <v>1</v>
      </c>
      <c r="G3720" t="str">
        <f t="shared" si="349"/>
        <v>1F9D8</v>
      </c>
      <c r="I3720">
        <f>HEX2DEC(Table1[[#This Row],[utf8]])</f>
        <v>129496</v>
      </c>
      <c r="J3720" t="str">
        <f>_xlfn.UNICHAR(HEX2DEC(Table1[[#This Row],[utf8]]))</f>
        <v>🧘</v>
      </c>
      <c r="K3720" s="3" t="str" cm="1">
        <f t="array" ref="K3720">"Case "&amp;wRandomLetter()&amp;wRandomLetter()&amp;I3720&amp;":    UniConst = ChrW(" &amp; I3720 &amp;")"</f>
        <v>Case vT129496:    UniConst = ChrW(129496)</v>
      </c>
    </row>
    <row r="3721" spans="1:11" hidden="1">
      <c r="A3721" t="s">
        <v>2525</v>
      </c>
      <c r="B3721" t="str">
        <f t="shared" si="350"/>
        <v>1F9D8 1F3FF ; fully-qualified # 🧘🏿 E5.0 person in lotus position: dark skin tone</v>
      </c>
      <c r="C3721" t="str">
        <f t="shared" si="351"/>
        <v xml:space="preserve">1F9D8 1F3FF </v>
      </c>
      <c r="D3721">
        <f t="shared" si="352"/>
        <v>12</v>
      </c>
      <c r="E3721" t="str">
        <f t="shared" si="348"/>
        <v xml:space="preserve"> 🧘🏿 E5.0 person in lotus position: dark skin tone</v>
      </c>
      <c r="F3721" t="b">
        <f t="shared" si="353"/>
        <v>1</v>
      </c>
      <c r="G3721" t="str">
        <f t="shared" si="349"/>
        <v>1F9D8</v>
      </c>
      <c r="I3721">
        <f>HEX2DEC(Table1[[#This Row],[utf8]])</f>
        <v>129496</v>
      </c>
      <c r="J3721" t="str">
        <f>_xlfn.UNICHAR(HEX2DEC(Table1[[#This Row],[utf8]]))</f>
        <v>🧘</v>
      </c>
      <c r="K3721" s="3" t="str" cm="1">
        <f t="array" ref="K3721">"Case "&amp;wRandomLetter()&amp;wRandomLetter()&amp;I3721&amp;":    UniConst = ChrW(" &amp; I3721 &amp;")"</f>
        <v>Case zp129496:    UniConst = ChrW(129496)</v>
      </c>
    </row>
    <row r="3722" spans="1:11" hidden="1">
      <c r="A3722" t="s">
        <v>2549</v>
      </c>
      <c r="B3722" t="str">
        <f t="shared" si="350"/>
        <v>1F9D8 1F3FF 200D 2640 ; minimally-qualified # 🧘🏿‍♀ E5.0 woman in lotus position: dark skin tone</v>
      </c>
      <c r="C3722" t="str">
        <f t="shared" si="351"/>
        <v xml:space="preserve">1F9D8 1F3FF 200D 2640 </v>
      </c>
      <c r="D3722">
        <f t="shared" si="352"/>
        <v>22</v>
      </c>
      <c r="E3722" t="str">
        <f t="shared" si="348"/>
        <v xml:space="preserve"> 🧘🏿‍♀ E5.0 woman in lotus position: dark skin tone</v>
      </c>
      <c r="F3722" t="b">
        <f t="shared" si="353"/>
        <v>1</v>
      </c>
      <c r="G3722" t="str">
        <f t="shared" si="349"/>
        <v>1F9D8</v>
      </c>
      <c r="I3722">
        <f>HEX2DEC(Table1[[#This Row],[utf8]])</f>
        <v>129496</v>
      </c>
      <c r="J3722" t="str">
        <f>_xlfn.UNICHAR(HEX2DEC(Table1[[#This Row],[utf8]]))</f>
        <v>🧘</v>
      </c>
      <c r="K3722" s="3" t="str" cm="1">
        <f t="array" ref="K3722">"Case "&amp;wRandomLetter()&amp;wRandomLetter()&amp;I3722&amp;":    UniConst = ChrW(" &amp; I3722 &amp;")"</f>
        <v>Case Eu129496:    UniConst = ChrW(129496)</v>
      </c>
    </row>
    <row r="3723" spans="1:11" hidden="1">
      <c r="A3723" t="s">
        <v>2548</v>
      </c>
      <c r="B3723" t="str">
        <f t="shared" si="350"/>
        <v>1F9D8 1F3FF 200D 2640 FE0F ; fully-qualified # 🧘🏿‍♀️ E5.0 woman in lotus position: dark skin tone</v>
      </c>
      <c r="C3723" t="str">
        <f t="shared" si="351"/>
        <v xml:space="preserve">1F9D8 1F3FF 200D 2640 FE0F </v>
      </c>
      <c r="D3723">
        <f t="shared" si="352"/>
        <v>27</v>
      </c>
      <c r="E3723" t="str">
        <f t="shared" si="348"/>
        <v xml:space="preserve"> 🧘🏿‍♀️ E5.0 woman in lotus position: dark skin tone</v>
      </c>
      <c r="F3723" t="b">
        <f t="shared" si="353"/>
        <v>1</v>
      </c>
      <c r="G3723" t="str">
        <f t="shared" si="349"/>
        <v>1F9D8</v>
      </c>
      <c r="I3723">
        <f>HEX2DEC(Table1[[#This Row],[utf8]])</f>
        <v>129496</v>
      </c>
      <c r="J3723" t="str">
        <f>_xlfn.UNICHAR(HEX2DEC(Table1[[#This Row],[utf8]]))</f>
        <v>🧘</v>
      </c>
      <c r="K3723" s="3" t="str" cm="1">
        <f t="array" ref="K3723">"Case "&amp;wRandomLetter()&amp;wRandomLetter()&amp;I3723&amp;":    UniConst = ChrW(" &amp; I3723 &amp;")"</f>
        <v>Case vJ129496:    UniConst = ChrW(129496)</v>
      </c>
    </row>
    <row r="3724" spans="1:11" hidden="1">
      <c r="A3724" t="s">
        <v>2537</v>
      </c>
      <c r="B3724" t="str">
        <f t="shared" si="350"/>
        <v>1F9D8 1F3FF 200D 2642 ; minimally-qualified # 🧘🏿‍♂ E5.0 man in lotus position: dark skin tone</v>
      </c>
      <c r="C3724" t="str">
        <f t="shared" si="351"/>
        <v xml:space="preserve">1F9D8 1F3FF 200D 2642 </v>
      </c>
      <c r="D3724">
        <f t="shared" si="352"/>
        <v>22</v>
      </c>
      <c r="E3724" t="str">
        <f t="shared" si="348"/>
        <v xml:space="preserve"> 🧘🏿‍♂ E5.0 man in lotus position: dark skin tone</v>
      </c>
      <c r="F3724" t="b">
        <f t="shared" si="353"/>
        <v>1</v>
      </c>
      <c r="G3724" t="str">
        <f t="shared" si="349"/>
        <v>1F9D8</v>
      </c>
      <c r="I3724">
        <f>HEX2DEC(Table1[[#This Row],[utf8]])</f>
        <v>129496</v>
      </c>
      <c r="J3724" t="str">
        <f>_xlfn.UNICHAR(HEX2DEC(Table1[[#This Row],[utf8]]))</f>
        <v>🧘</v>
      </c>
      <c r="K3724" s="3" t="str" cm="1">
        <f t="array" ref="K3724">"Case "&amp;wRandomLetter()&amp;wRandomLetter()&amp;I3724&amp;":    UniConst = ChrW(" &amp; I3724 &amp;")"</f>
        <v>Case Zq129496:    UniConst = ChrW(129496)</v>
      </c>
    </row>
    <row r="3725" spans="1:11" hidden="1">
      <c r="A3725" t="s">
        <v>2536</v>
      </c>
      <c r="B3725" t="str">
        <f t="shared" si="350"/>
        <v>1F9D8 1F3FF 200D 2642 FE0F ; fully-qualified # 🧘🏿‍♂️ E5.0 man in lotus position: dark skin tone</v>
      </c>
      <c r="C3725" t="str">
        <f t="shared" si="351"/>
        <v xml:space="preserve">1F9D8 1F3FF 200D 2642 FE0F </v>
      </c>
      <c r="D3725">
        <f t="shared" si="352"/>
        <v>27</v>
      </c>
      <c r="E3725" t="str">
        <f t="shared" si="348"/>
        <v xml:space="preserve"> 🧘🏿‍♂️ E5.0 man in lotus position: dark skin tone</v>
      </c>
      <c r="F3725" t="b">
        <f t="shared" si="353"/>
        <v>1</v>
      </c>
      <c r="G3725" t="str">
        <f t="shared" si="349"/>
        <v>1F9D8</v>
      </c>
      <c r="I3725">
        <f>HEX2DEC(Table1[[#This Row],[utf8]])</f>
        <v>129496</v>
      </c>
      <c r="J3725" t="str">
        <f>_xlfn.UNICHAR(HEX2DEC(Table1[[#This Row],[utf8]]))</f>
        <v>🧘</v>
      </c>
      <c r="K3725" s="3" t="str" cm="1">
        <f t="array" ref="K3725">"Case "&amp;wRandomLetter()&amp;wRandomLetter()&amp;I3725&amp;":    UniConst = ChrW(" &amp; I3725 &amp;")"</f>
        <v>Case MN129496:    UniConst = ChrW(129496)</v>
      </c>
    </row>
    <row r="3726" spans="1:11" hidden="1">
      <c r="A3726" t="s">
        <v>2539</v>
      </c>
      <c r="B3726" t="str">
        <f t="shared" si="350"/>
        <v>1F9D8 200D 2640 ; minimally-qualified # 🧘‍♀ E5.0 woman in lotus position</v>
      </c>
      <c r="C3726" t="str">
        <f t="shared" si="351"/>
        <v xml:space="preserve">1F9D8 200D 2640 </v>
      </c>
      <c r="D3726">
        <f t="shared" si="352"/>
        <v>16</v>
      </c>
      <c r="E3726" t="str">
        <f t="shared" si="348"/>
        <v xml:space="preserve"> 🧘‍♀ E5.0 woman in lotus position</v>
      </c>
      <c r="F3726" t="b">
        <f t="shared" si="353"/>
        <v>1</v>
      </c>
      <c r="G3726" t="str">
        <f t="shared" si="349"/>
        <v>1F9D8</v>
      </c>
      <c r="I3726">
        <f>HEX2DEC(Table1[[#This Row],[utf8]])</f>
        <v>129496</v>
      </c>
      <c r="J3726" t="str">
        <f>_xlfn.UNICHAR(HEX2DEC(Table1[[#This Row],[utf8]]))</f>
        <v>🧘</v>
      </c>
      <c r="K3726" s="3" t="str" cm="1">
        <f t="array" ref="K3726">"Case "&amp;wRandomLetter()&amp;wRandomLetter()&amp;I3726&amp;":    UniConst = ChrW(" &amp; I3726 &amp;")"</f>
        <v>Case JF129496:    UniConst = ChrW(129496)</v>
      </c>
    </row>
    <row r="3727" spans="1:11" hidden="1">
      <c r="A3727" t="s">
        <v>2538</v>
      </c>
      <c r="B3727" t="str">
        <f t="shared" si="350"/>
        <v>1F9D8 200D 2640 FE0F ; fully-qualified # 🧘‍♀️ E5.0 woman in lotus position</v>
      </c>
      <c r="C3727" t="str">
        <f t="shared" si="351"/>
        <v xml:space="preserve">1F9D8 200D 2640 FE0F </v>
      </c>
      <c r="D3727">
        <f t="shared" si="352"/>
        <v>21</v>
      </c>
      <c r="E3727" t="str">
        <f t="shared" si="348"/>
        <v xml:space="preserve"> 🧘‍♀️ E5.0 woman in lotus position</v>
      </c>
      <c r="F3727" t="b">
        <f t="shared" si="353"/>
        <v>1</v>
      </c>
      <c r="G3727" t="str">
        <f t="shared" si="349"/>
        <v>1F9D8</v>
      </c>
      <c r="I3727">
        <f>HEX2DEC(Table1[[#This Row],[utf8]])</f>
        <v>129496</v>
      </c>
      <c r="J3727" t="str">
        <f>_xlfn.UNICHAR(HEX2DEC(Table1[[#This Row],[utf8]]))</f>
        <v>🧘</v>
      </c>
      <c r="K3727" s="3" t="str" cm="1">
        <f t="array" ref="K3727">"Case "&amp;wRandomLetter()&amp;wRandomLetter()&amp;I3727&amp;":    UniConst = ChrW(" &amp; I3727 &amp;")"</f>
        <v>Case LS129496:    UniConst = ChrW(129496)</v>
      </c>
    </row>
    <row r="3728" spans="1:11" hidden="1">
      <c r="A3728" t="s">
        <v>2527</v>
      </c>
      <c r="B3728" t="str">
        <f t="shared" si="350"/>
        <v>1F9D8 200D 2642 ; minimally-qualified # 🧘‍♂ E5.0 man in lotus position</v>
      </c>
      <c r="C3728" t="str">
        <f t="shared" si="351"/>
        <v xml:space="preserve">1F9D8 200D 2642 </v>
      </c>
      <c r="D3728">
        <f t="shared" si="352"/>
        <v>16</v>
      </c>
      <c r="E3728" t="str">
        <f t="shared" si="348"/>
        <v xml:space="preserve"> 🧘‍♂ E5.0 man in lotus position</v>
      </c>
      <c r="F3728" t="b">
        <f t="shared" si="353"/>
        <v>1</v>
      </c>
      <c r="G3728" t="str">
        <f t="shared" si="349"/>
        <v>1F9D8</v>
      </c>
      <c r="I3728">
        <f>HEX2DEC(Table1[[#This Row],[utf8]])</f>
        <v>129496</v>
      </c>
      <c r="J3728" t="str">
        <f>_xlfn.UNICHAR(HEX2DEC(Table1[[#This Row],[utf8]]))</f>
        <v>🧘</v>
      </c>
      <c r="K3728" s="3" t="str" cm="1">
        <f t="array" ref="K3728">"Case "&amp;wRandomLetter()&amp;wRandomLetter()&amp;I3728&amp;":    UniConst = ChrW(" &amp; I3728 &amp;")"</f>
        <v>Case av129496:    UniConst = ChrW(129496)</v>
      </c>
    </row>
    <row r="3729" spans="1:11" hidden="1">
      <c r="A3729" t="s">
        <v>2526</v>
      </c>
      <c r="B3729" t="str">
        <f t="shared" si="350"/>
        <v>1F9D8 200D 2642 FE0F ; fully-qualified # 🧘‍♂️ E5.0 man in lotus position</v>
      </c>
      <c r="C3729" t="str">
        <f t="shared" si="351"/>
        <v xml:space="preserve">1F9D8 200D 2642 FE0F </v>
      </c>
      <c r="D3729">
        <f t="shared" si="352"/>
        <v>21</v>
      </c>
      <c r="E3729" t="str">
        <f t="shared" si="348"/>
        <v xml:space="preserve"> 🧘‍♂️ E5.0 man in lotus position</v>
      </c>
      <c r="F3729" t="b">
        <f t="shared" si="353"/>
        <v>1</v>
      </c>
      <c r="G3729" t="str">
        <f t="shared" si="349"/>
        <v>1F9D8</v>
      </c>
      <c r="I3729">
        <f>HEX2DEC(Table1[[#This Row],[utf8]])</f>
        <v>129496</v>
      </c>
      <c r="J3729" t="str">
        <f>_xlfn.UNICHAR(HEX2DEC(Table1[[#This Row],[utf8]]))</f>
        <v>🧘</v>
      </c>
      <c r="K3729" s="3" t="str" cm="1">
        <f t="array" ref="K3729">"Case "&amp;wRandomLetter()&amp;wRandomLetter()&amp;I3729&amp;":    UniConst = ChrW(" &amp; I3729 &amp;")"</f>
        <v>Case NV129496:    UniConst = ChrW(129496)</v>
      </c>
    </row>
    <row r="3730" spans="1:11" hidden="1">
      <c r="A3730" t="s">
        <v>1644</v>
      </c>
      <c r="B3730" t="str">
        <f t="shared" si="350"/>
        <v>1F9D9 ; fully-qualified # 🧙 E5.0 mage</v>
      </c>
      <c r="C3730" t="str">
        <f t="shared" si="351"/>
        <v xml:space="preserve">1F9D9 </v>
      </c>
      <c r="D3730">
        <f t="shared" si="352"/>
        <v>6</v>
      </c>
      <c r="E3730" t="str">
        <f t="shared" si="348"/>
        <v xml:space="preserve"> 🧙 E5.0 mage</v>
      </c>
      <c r="F3730" t="b">
        <f t="shared" si="353"/>
        <v>1</v>
      </c>
      <c r="G3730" t="str">
        <f t="shared" si="349"/>
        <v>1F9D9</v>
      </c>
      <c r="I3730">
        <f>HEX2DEC(Table1[[#This Row],[utf8]])</f>
        <v>129497</v>
      </c>
      <c r="J3730" t="str">
        <f>_xlfn.UNICHAR(HEX2DEC(Table1[[#This Row],[utf8]]))</f>
        <v>🧙</v>
      </c>
      <c r="K3730" s="3" t="str" cm="1">
        <f t="array" ref="K3730">"Case "&amp;wRandomLetter()&amp;wRandomLetter()&amp;I3730&amp;":    UniConst = ChrW(" &amp; I3730 &amp;")"</f>
        <v>Case Sf129497:    UniConst = ChrW(129497)</v>
      </c>
    </row>
    <row r="3731" spans="1:11" hidden="1">
      <c r="A3731" t="s">
        <v>1645</v>
      </c>
      <c r="B3731" t="str">
        <f t="shared" si="350"/>
        <v>1F9D9 1F3FB ; fully-qualified # 🧙🏻 E5.0 mage: light skin tone</v>
      </c>
      <c r="C3731" t="str">
        <f t="shared" si="351"/>
        <v xml:space="preserve">1F9D9 1F3FB </v>
      </c>
      <c r="D3731">
        <f t="shared" si="352"/>
        <v>12</v>
      </c>
      <c r="E3731" t="str">
        <f t="shared" si="348"/>
        <v xml:space="preserve"> 🧙🏻 E5.0 mage: light skin tone</v>
      </c>
      <c r="F3731" t="b">
        <f t="shared" si="353"/>
        <v>1</v>
      </c>
      <c r="G3731" t="str">
        <f t="shared" si="349"/>
        <v>1F9D9</v>
      </c>
      <c r="I3731">
        <f>HEX2DEC(Table1[[#This Row],[utf8]])</f>
        <v>129497</v>
      </c>
      <c r="J3731" t="str">
        <f>_xlfn.UNICHAR(HEX2DEC(Table1[[#This Row],[utf8]]))</f>
        <v>🧙</v>
      </c>
      <c r="K3731" s="3" t="str" cm="1">
        <f t="array" ref="K3731">"Case "&amp;wRandomLetter()&amp;wRandomLetter()&amp;I3731&amp;":    UniConst = ChrW(" &amp; I3731 &amp;")"</f>
        <v>Case wd129497:    UniConst = ChrW(129497)</v>
      </c>
    </row>
    <row r="3732" spans="1:11" hidden="1">
      <c r="A3732" t="s">
        <v>1665</v>
      </c>
      <c r="B3732" t="str">
        <f t="shared" si="350"/>
        <v>1F9D9 1F3FB 200D 2640 ; minimally-qualified # 🧙🏻‍♀ E5.0 woman mage: light skin tone</v>
      </c>
      <c r="C3732" t="str">
        <f t="shared" si="351"/>
        <v xml:space="preserve">1F9D9 1F3FB 200D 2640 </v>
      </c>
      <c r="D3732">
        <f t="shared" si="352"/>
        <v>22</v>
      </c>
      <c r="E3732" t="str">
        <f t="shared" si="348"/>
        <v xml:space="preserve"> 🧙🏻‍♀ E5.0 woman mage: light skin tone</v>
      </c>
      <c r="F3732" t="b">
        <f t="shared" si="353"/>
        <v>1</v>
      </c>
      <c r="G3732" t="str">
        <f t="shared" si="349"/>
        <v>1F9D9</v>
      </c>
      <c r="I3732">
        <f>HEX2DEC(Table1[[#This Row],[utf8]])</f>
        <v>129497</v>
      </c>
      <c r="J3732" t="str">
        <f>_xlfn.UNICHAR(HEX2DEC(Table1[[#This Row],[utf8]]))</f>
        <v>🧙</v>
      </c>
      <c r="K3732" s="3" t="str" cm="1">
        <f t="array" ref="K3732">"Case "&amp;wRandomLetter()&amp;wRandomLetter()&amp;I3732&amp;":    UniConst = ChrW(" &amp; I3732 &amp;")"</f>
        <v>Case da129497:    UniConst = ChrW(129497)</v>
      </c>
    </row>
    <row r="3733" spans="1:11" hidden="1">
      <c r="A3733" t="s">
        <v>1664</v>
      </c>
      <c r="B3733" t="str">
        <f t="shared" si="350"/>
        <v>1F9D9 1F3FB 200D 2640 FE0F ; fully-qualified # 🧙🏻‍♀️ E5.0 woman mage: light skin tone</v>
      </c>
      <c r="C3733" t="str">
        <f t="shared" si="351"/>
        <v xml:space="preserve">1F9D9 1F3FB 200D 2640 FE0F </v>
      </c>
      <c r="D3733">
        <f t="shared" si="352"/>
        <v>27</v>
      </c>
      <c r="E3733" t="str">
        <f t="shared" si="348"/>
        <v xml:space="preserve"> 🧙🏻‍♀️ E5.0 woman mage: light skin tone</v>
      </c>
      <c r="F3733" t="b">
        <f t="shared" si="353"/>
        <v>1</v>
      </c>
      <c r="G3733" t="str">
        <f t="shared" si="349"/>
        <v>1F9D9</v>
      </c>
      <c r="I3733">
        <f>HEX2DEC(Table1[[#This Row],[utf8]])</f>
        <v>129497</v>
      </c>
      <c r="J3733" t="str">
        <f>_xlfn.UNICHAR(HEX2DEC(Table1[[#This Row],[utf8]]))</f>
        <v>🧙</v>
      </c>
      <c r="K3733" s="3" t="str" cm="1">
        <f t="array" ref="K3733">"Case "&amp;wRandomLetter()&amp;wRandomLetter()&amp;I3733&amp;":    UniConst = ChrW(" &amp; I3733 &amp;")"</f>
        <v>Case sW129497:    UniConst = ChrW(129497)</v>
      </c>
    </row>
    <row r="3734" spans="1:11" hidden="1">
      <c r="A3734" t="s">
        <v>1653</v>
      </c>
      <c r="B3734" t="str">
        <f t="shared" si="350"/>
        <v>1F9D9 1F3FB 200D 2642 ; minimally-qualified # 🧙🏻‍♂ E5.0 man mage: light skin tone</v>
      </c>
      <c r="C3734" t="str">
        <f t="shared" si="351"/>
        <v xml:space="preserve">1F9D9 1F3FB 200D 2642 </v>
      </c>
      <c r="D3734">
        <f t="shared" si="352"/>
        <v>22</v>
      </c>
      <c r="E3734" t="str">
        <f t="shared" si="348"/>
        <v xml:space="preserve"> 🧙🏻‍♂ E5.0 man mage: light skin tone</v>
      </c>
      <c r="F3734" t="b">
        <f t="shared" si="353"/>
        <v>1</v>
      </c>
      <c r="G3734" t="str">
        <f t="shared" si="349"/>
        <v>1F9D9</v>
      </c>
      <c r="I3734">
        <f>HEX2DEC(Table1[[#This Row],[utf8]])</f>
        <v>129497</v>
      </c>
      <c r="J3734" t="str">
        <f>_xlfn.UNICHAR(HEX2DEC(Table1[[#This Row],[utf8]]))</f>
        <v>🧙</v>
      </c>
      <c r="K3734" s="3" t="str" cm="1">
        <f t="array" ref="K3734">"Case "&amp;wRandomLetter()&amp;wRandomLetter()&amp;I3734&amp;":    UniConst = ChrW(" &amp; I3734 &amp;")"</f>
        <v>Case YD129497:    UniConst = ChrW(129497)</v>
      </c>
    </row>
    <row r="3735" spans="1:11" hidden="1">
      <c r="A3735" t="s">
        <v>1652</v>
      </c>
      <c r="B3735" t="str">
        <f t="shared" si="350"/>
        <v>1F9D9 1F3FB 200D 2642 FE0F ; fully-qualified # 🧙🏻‍♂️ E5.0 man mage: light skin tone</v>
      </c>
      <c r="C3735" t="str">
        <f t="shared" si="351"/>
        <v xml:space="preserve">1F9D9 1F3FB 200D 2642 FE0F </v>
      </c>
      <c r="D3735">
        <f t="shared" si="352"/>
        <v>27</v>
      </c>
      <c r="E3735" t="str">
        <f t="shared" si="348"/>
        <v xml:space="preserve"> 🧙🏻‍♂️ E5.0 man mage: light skin tone</v>
      </c>
      <c r="F3735" t="b">
        <f t="shared" si="353"/>
        <v>1</v>
      </c>
      <c r="G3735" t="str">
        <f t="shared" si="349"/>
        <v>1F9D9</v>
      </c>
      <c r="I3735">
        <f>HEX2DEC(Table1[[#This Row],[utf8]])</f>
        <v>129497</v>
      </c>
      <c r="J3735" t="str">
        <f>_xlfn.UNICHAR(HEX2DEC(Table1[[#This Row],[utf8]]))</f>
        <v>🧙</v>
      </c>
      <c r="K3735" s="3" t="str" cm="1">
        <f t="array" ref="K3735">"Case "&amp;wRandomLetter()&amp;wRandomLetter()&amp;I3735&amp;":    UniConst = ChrW(" &amp; I3735 &amp;")"</f>
        <v>Case KS129497:    UniConst = ChrW(129497)</v>
      </c>
    </row>
    <row r="3736" spans="1:11" hidden="1">
      <c r="A3736" t="s">
        <v>1646</v>
      </c>
      <c r="B3736" t="str">
        <f t="shared" si="350"/>
        <v>1F9D9 1F3FC ; fully-qualified # 🧙🏼 E5.0 mage: medium-light skin tone</v>
      </c>
      <c r="C3736" t="str">
        <f t="shared" si="351"/>
        <v xml:space="preserve">1F9D9 1F3FC </v>
      </c>
      <c r="D3736">
        <f t="shared" si="352"/>
        <v>12</v>
      </c>
      <c r="E3736" t="str">
        <f t="shared" si="348"/>
        <v xml:space="preserve"> 🧙🏼 E5.0 mage: medium-light skin tone</v>
      </c>
      <c r="F3736" t="b">
        <f t="shared" si="353"/>
        <v>1</v>
      </c>
      <c r="G3736" t="str">
        <f t="shared" si="349"/>
        <v>1F9D9</v>
      </c>
      <c r="I3736">
        <f>HEX2DEC(Table1[[#This Row],[utf8]])</f>
        <v>129497</v>
      </c>
      <c r="J3736" t="str">
        <f>_xlfn.UNICHAR(HEX2DEC(Table1[[#This Row],[utf8]]))</f>
        <v>🧙</v>
      </c>
      <c r="K3736" s="3" t="str" cm="1">
        <f t="array" ref="K3736">"Case "&amp;wRandomLetter()&amp;wRandomLetter()&amp;I3736&amp;":    UniConst = ChrW(" &amp; I3736 &amp;")"</f>
        <v>Case Ro129497:    UniConst = ChrW(129497)</v>
      </c>
    </row>
    <row r="3737" spans="1:11" hidden="1">
      <c r="A3737" t="s">
        <v>1667</v>
      </c>
      <c r="B3737" t="str">
        <f t="shared" si="350"/>
        <v>1F9D9 1F3FC 200D 2640 ; minimally-qualified # 🧙🏼‍♀ E5.0 woman mage: medium-light skin tone</v>
      </c>
      <c r="C3737" t="str">
        <f t="shared" si="351"/>
        <v xml:space="preserve">1F9D9 1F3FC 200D 2640 </v>
      </c>
      <c r="D3737">
        <f t="shared" si="352"/>
        <v>22</v>
      </c>
      <c r="E3737" t="str">
        <f t="shared" si="348"/>
        <v xml:space="preserve"> 🧙🏼‍♀ E5.0 woman mage: medium-light skin tone</v>
      </c>
      <c r="F3737" t="b">
        <f t="shared" si="353"/>
        <v>1</v>
      </c>
      <c r="G3737" t="str">
        <f t="shared" si="349"/>
        <v>1F9D9</v>
      </c>
      <c r="I3737">
        <f>HEX2DEC(Table1[[#This Row],[utf8]])</f>
        <v>129497</v>
      </c>
      <c r="J3737" t="str">
        <f>_xlfn.UNICHAR(HEX2DEC(Table1[[#This Row],[utf8]]))</f>
        <v>🧙</v>
      </c>
      <c r="K3737" s="3" t="str" cm="1">
        <f t="array" ref="K3737">"Case "&amp;wRandomLetter()&amp;wRandomLetter()&amp;I3737&amp;":    UniConst = ChrW(" &amp; I3737 &amp;")"</f>
        <v>Case GC129497:    UniConst = ChrW(129497)</v>
      </c>
    </row>
    <row r="3738" spans="1:11" hidden="1">
      <c r="A3738" t="s">
        <v>1666</v>
      </c>
      <c r="B3738" t="str">
        <f t="shared" si="350"/>
        <v>1F9D9 1F3FC 200D 2640 FE0F ; fully-qualified # 🧙🏼‍♀️ E5.0 woman mage: medium-light skin tone</v>
      </c>
      <c r="C3738" t="str">
        <f t="shared" si="351"/>
        <v xml:space="preserve">1F9D9 1F3FC 200D 2640 FE0F </v>
      </c>
      <c r="D3738">
        <f t="shared" si="352"/>
        <v>27</v>
      </c>
      <c r="E3738" t="str">
        <f t="shared" si="348"/>
        <v xml:space="preserve"> 🧙🏼‍♀️ E5.0 woman mage: medium-light skin tone</v>
      </c>
      <c r="F3738" t="b">
        <f t="shared" si="353"/>
        <v>1</v>
      </c>
      <c r="G3738" t="str">
        <f t="shared" si="349"/>
        <v>1F9D9</v>
      </c>
      <c r="I3738">
        <f>HEX2DEC(Table1[[#This Row],[utf8]])</f>
        <v>129497</v>
      </c>
      <c r="J3738" t="str">
        <f>_xlfn.UNICHAR(HEX2DEC(Table1[[#This Row],[utf8]]))</f>
        <v>🧙</v>
      </c>
      <c r="K3738" s="3" t="str" cm="1">
        <f t="array" ref="K3738">"Case "&amp;wRandomLetter()&amp;wRandomLetter()&amp;I3738&amp;":    UniConst = ChrW(" &amp; I3738 &amp;")"</f>
        <v>Case TQ129497:    UniConst = ChrW(129497)</v>
      </c>
    </row>
    <row r="3739" spans="1:11" hidden="1">
      <c r="A3739" t="s">
        <v>1655</v>
      </c>
      <c r="B3739" t="str">
        <f t="shared" si="350"/>
        <v>1F9D9 1F3FC 200D 2642 ; minimally-qualified # 🧙🏼‍♂ E5.0 man mage: medium-light skin tone</v>
      </c>
      <c r="C3739" t="str">
        <f t="shared" si="351"/>
        <v xml:space="preserve">1F9D9 1F3FC 200D 2642 </v>
      </c>
      <c r="D3739">
        <f t="shared" si="352"/>
        <v>22</v>
      </c>
      <c r="E3739" t="str">
        <f t="shared" si="348"/>
        <v xml:space="preserve"> 🧙🏼‍♂ E5.0 man mage: medium-light skin tone</v>
      </c>
      <c r="F3739" t="b">
        <f t="shared" si="353"/>
        <v>1</v>
      </c>
      <c r="G3739" t="str">
        <f t="shared" si="349"/>
        <v>1F9D9</v>
      </c>
      <c r="I3739">
        <f>HEX2DEC(Table1[[#This Row],[utf8]])</f>
        <v>129497</v>
      </c>
      <c r="J3739" t="str">
        <f>_xlfn.UNICHAR(HEX2DEC(Table1[[#This Row],[utf8]]))</f>
        <v>🧙</v>
      </c>
      <c r="K3739" s="3" t="str" cm="1">
        <f t="array" ref="K3739">"Case "&amp;wRandomLetter()&amp;wRandomLetter()&amp;I3739&amp;":    UniConst = ChrW(" &amp; I3739 &amp;")"</f>
        <v>Case vR129497:    UniConst = ChrW(129497)</v>
      </c>
    </row>
    <row r="3740" spans="1:11" hidden="1">
      <c r="A3740" t="s">
        <v>1654</v>
      </c>
      <c r="B3740" t="str">
        <f t="shared" si="350"/>
        <v>1F9D9 1F3FC 200D 2642 FE0F ; fully-qualified # 🧙🏼‍♂️ E5.0 man mage: medium-light skin tone</v>
      </c>
      <c r="C3740" t="str">
        <f t="shared" si="351"/>
        <v xml:space="preserve">1F9D9 1F3FC 200D 2642 FE0F </v>
      </c>
      <c r="D3740">
        <f t="shared" si="352"/>
        <v>27</v>
      </c>
      <c r="E3740" t="str">
        <f t="shared" si="348"/>
        <v xml:space="preserve"> 🧙🏼‍♂️ E5.0 man mage: medium-light skin tone</v>
      </c>
      <c r="F3740" t="b">
        <f t="shared" si="353"/>
        <v>1</v>
      </c>
      <c r="G3740" t="str">
        <f t="shared" si="349"/>
        <v>1F9D9</v>
      </c>
      <c r="I3740">
        <f>HEX2DEC(Table1[[#This Row],[utf8]])</f>
        <v>129497</v>
      </c>
      <c r="J3740" t="str">
        <f>_xlfn.UNICHAR(HEX2DEC(Table1[[#This Row],[utf8]]))</f>
        <v>🧙</v>
      </c>
      <c r="K3740" s="3" t="str" cm="1">
        <f t="array" ref="K3740">"Case "&amp;wRandomLetter()&amp;wRandomLetter()&amp;I3740&amp;":    UniConst = ChrW(" &amp; I3740 &amp;")"</f>
        <v>Case FR129497:    UniConst = ChrW(129497)</v>
      </c>
    </row>
    <row r="3741" spans="1:11" hidden="1">
      <c r="A3741" t="s">
        <v>1647</v>
      </c>
      <c r="B3741" t="str">
        <f t="shared" si="350"/>
        <v>1F9D9 1F3FD ; fully-qualified # 🧙🏽 E5.0 mage: medium skin tone</v>
      </c>
      <c r="C3741" t="str">
        <f t="shared" si="351"/>
        <v xml:space="preserve">1F9D9 1F3FD </v>
      </c>
      <c r="D3741">
        <f t="shared" si="352"/>
        <v>12</v>
      </c>
      <c r="E3741" t="str">
        <f t="shared" si="348"/>
        <v xml:space="preserve"> 🧙🏽 E5.0 mage: medium skin tone</v>
      </c>
      <c r="F3741" t="b">
        <f t="shared" si="353"/>
        <v>1</v>
      </c>
      <c r="G3741" t="str">
        <f t="shared" si="349"/>
        <v>1F9D9</v>
      </c>
      <c r="I3741">
        <f>HEX2DEC(Table1[[#This Row],[utf8]])</f>
        <v>129497</v>
      </c>
      <c r="J3741" t="str">
        <f>_xlfn.UNICHAR(HEX2DEC(Table1[[#This Row],[utf8]]))</f>
        <v>🧙</v>
      </c>
      <c r="K3741" s="3" t="str" cm="1">
        <f t="array" ref="K3741">"Case "&amp;wRandomLetter()&amp;wRandomLetter()&amp;I3741&amp;":    UniConst = ChrW(" &amp; I3741 &amp;")"</f>
        <v>Case Nf129497:    UniConst = ChrW(129497)</v>
      </c>
    </row>
    <row r="3742" spans="1:11" hidden="1">
      <c r="A3742" t="s">
        <v>1669</v>
      </c>
      <c r="B3742" t="str">
        <f t="shared" si="350"/>
        <v>1F9D9 1F3FD 200D 2640 ; minimally-qualified # 🧙🏽‍♀ E5.0 woman mage: medium skin tone</v>
      </c>
      <c r="C3742" t="str">
        <f t="shared" si="351"/>
        <v xml:space="preserve">1F9D9 1F3FD 200D 2640 </v>
      </c>
      <c r="D3742">
        <f t="shared" si="352"/>
        <v>22</v>
      </c>
      <c r="E3742" t="str">
        <f t="shared" si="348"/>
        <v xml:space="preserve"> 🧙🏽‍♀ E5.0 woman mage: medium skin tone</v>
      </c>
      <c r="F3742" t="b">
        <f t="shared" si="353"/>
        <v>1</v>
      </c>
      <c r="G3742" t="str">
        <f t="shared" si="349"/>
        <v>1F9D9</v>
      </c>
      <c r="I3742">
        <f>HEX2DEC(Table1[[#This Row],[utf8]])</f>
        <v>129497</v>
      </c>
      <c r="J3742" t="str">
        <f>_xlfn.UNICHAR(HEX2DEC(Table1[[#This Row],[utf8]]))</f>
        <v>🧙</v>
      </c>
      <c r="K3742" s="3" t="str" cm="1">
        <f t="array" ref="K3742">"Case "&amp;wRandomLetter()&amp;wRandomLetter()&amp;I3742&amp;":    UniConst = ChrW(" &amp; I3742 &amp;")"</f>
        <v>Case Xb129497:    UniConst = ChrW(129497)</v>
      </c>
    </row>
    <row r="3743" spans="1:11" hidden="1">
      <c r="A3743" t="s">
        <v>1668</v>
      </c>
      <c r="B3743" t="str">
        <f t="shared" si="350"/>
        <v>1F9D9 1F3FD 200D 2640 FE0F ; fully-qualified # 🧙🏽‍♀️ E5.0 woman mage: medium skin tone</v>
      </c>
      <c r="C3743" t="str">
        <f t="shared" si="351"/>
        <v xml:space="preserve">1F9D9 1F3FD 200D 2640 FE0F </v>
      </c>
      <c r="D3743">
        <f t="shared" si="352"/>
        <v>27</v>
      </c>
      <c r="E3743" t="str">
        <f t="shared" si="348"/>
        <v xml:space="preserve"> 🧙🏽‍♀️ E5.0 woman mage: medium skin tone</v>
      </c>
      <c r="F3743" t="b">
        <f t="shared" si="353"/>
        <v>1</v>
      </c>
      <c r="G3743" t="str">
        <f t="shared" si="349"/>
        <v>1F9D9</v>
      </c>
      <c r="I3743">
        <f>HEX2DEC(Table1[[#This Row],[utf8]])</f>
        <v>129497</v>
      </c>
      <c r="J3743" t="str">
        <f>_xlfn.UNICHAR(HEX2DEC(Table1[[#This Row],[utf8]]))</f>
        <v>🧙</v>
      </c>
      <c r="K3743" s="3" t="str" cm="1">
        <f t="array" ref="K3743">"Case "&amp;wRandomLetter()&amp;wRandomLetter()&amp;I3743&amp;":    UniConst = ChrW(" &amp; I3743 &amp;")"</f>
        <v>Case vT129497:    UniConst = ChrW(129497)</v>
      </c>
    </row>
    <row r="3744" spans="1:11" hidden="1">
      <c r="A3744" t="s">
        <v>1657</v>
      </c>
      <c r="B3744" t="str">
        <f t="shared" si="350"/>
        <v>1F9D9 1F3FD 200D 2642 ; minimally-qualified # 🧙🏽‍♂ E5.0 man mage: medium skin tone</v>
      </c>
      <c r="C3744" t="str">
        <f t="shared" si="351"/>
        <v xml:space="preserve">1F9D9 1F3FD 200D 2642 </v>
      </c>
      <c r="D3744">
        <f t="shared" si="352"/>
        <v>22</v>
      </c>
      <c r="E3744" t="str">
        <f t="shared" si="348"/>
        <v xml:space="preserve"> 🧙🏽‍♂ E5.0 man mage: medium skin tone</v>
      </c>
      <c r="F3744" t="b">
        <f t="shared" si="353"/>
        <v>1</v>
      </c>
      <c r="G3744" t="str">
        <f t="shared" si="349"/>
        <v>1F9D9</v>
      </c>
      <c r="I3744">
        <f>HEX2DEC(Table1[[#This Row],[utf8]])</f>
        <v>129497</v>
      </c>
      <c r="J3744" t="str">
        <f>_xlfn.UNICHAR(HEX2DEC(Table1[[#This Row],[utf8]]))</f>
        <v>🧙</v>
      </c>
      <c r="K3744" s="3" t="str" cm="1">
        <f t="array" ref="K3744">"Case "&amp;wRandomLetter()&amp;wRandomLetter()&amp;I3744&amp;":    UniConst = ChrW(" &amp; I3744 &amp;")"</f>
        <v>Case JA129497:    UniConst = ChrW(129497)</v>
      </c>
    </row>
    <row r="3745" spans="1:11" hidden="1">
      <c r="A3745" t="s">
        <v>1656</v>
      </c>
      <c r="B3745" t="str">
        <f t="shared" si="350"/>
        <v>1F9D9 1F3FD 200D 2642 FE0F ; fully-qualified # 🧙🏽‍♂️ E5.0 man mage: medium skin tone</v>
      </c>
      <c r="C3745" t="str">
        <f t="shared" si="351"/>
        <v xml:space="preserve">1F9D9 1F3FD 200D 2642 FE0F </v>
      </c>
      <c r="D3745">
        <f t="shared" si="352"/>
        <v>27</v>
      </c>
      <c r="E3745" t="str">
        <f t="shared" si="348"/>
        <v xml:space="preserve"> 🧙🏽‍♂️ E5.0 man mage: medium skin tone</v>
      </c>
      <c r="F3745" t="b">
        <f t="shared" si="353"/>
        <v>1</v>
      </c>
      <c r="G3745" t="str">
        <f t="shared" si="349"/>
        <v>1F9D9</v>
      </c>
      <c r="I3745">
        <f>HEX2DEC(Table1[[#This Row],[utf8]])</f>
        <v>129497</v>
      </c>
      <c r="J3745" t="str">
        <f>_xlfn.UNICHAR(HEX2DEC(Table1[[#This Row],[utf8]]))</f>
        <v>🧙</v>
      </c>
      <c r="K3745" s="3" t="str" cm="1">
        <f t="array" ref="K3745">"Case "&amp;wRandomLetter()&amp;wRandomLetter()&amp;I3745&amp;":    UniConst = ChrW(" &amp; I3745 &amp;")"</f>
        <v>Case tV129497:    UniConst = ChrW(129497)</v>
      </c>
    </row>
    <row r="3746" spans="1:11" hidden="1">
      <c r="A3746" t="s">
        <v>1648</v>
      </c>
      <c r="B3746" t="str">
        <f t="shared" si="350"/>
        <v>1F9D9 1F3FE ; fully-qualified # 🧙🏾 E5.0 mage: medium-dark skin tone</v>
      </c>
      <c r="C3746" t="str">
        <f t="shared" si="351"/>
        <v xml:space="preserve">1F9D9 1F3FE </v>
      </c>
      <c r="D3746">
        <f t="shared" si="352"/>
        <v>12</v>
      </c>
      <c r="E3746" t="str">
        <f t="shared" si="348"/>
        <v xml:space="preserve"> 🧙🏾 E5.0 mage: medium-dark skin tone</v>
      </c>
      <c r="F3746" t="b">
        <f t="shared" si="353"/>
        <v>1</v>
      </c>
      <c r="G3746" t="str">
        <f t="shared" si="349"/>
        <v>1F9D9</v>
      </c>
      <c r="I3746">
        <f>HEX2DEC(Table1[[#This Row],[utf8]])</f>
        <v>129497</v>
      </c>
      <c r="J3746" t="str">
        <f>_xlfn.UNICHAR(HEX2DEC(Table1[[#This Row],[utf8]]))</f>
        <v>🧙</v>
      </c>
      <c r="K3746" s="3" t="str" cm="1">
        <f t="array" ref="K3746">"Case "&amp;wRandomLetter()&amp;wRandomLetter()&amp;I3746&amp;":    UniConst = ChrW(" &amp; I3746 &amp;")"</f>
        <v>Case hE129497:    UniConst = ChrW(129497)</v>
      </c>
    </row>
    <row r="3747" spans="1:11" hidden="1">
      <c r="A3747" t="s">
        <v>1671</v>
      </c>
      <c r="B3747" t="str">
        <f t="shared" si="350"/>
        <v>1F9D9 1F3FE 200D 2640 ; minimally-qualified # 🧙🏾‍♀ E5.0 woman mage: medium-dark skin tone</v>
      </c>
      <c r="C3747" t="str">
        <f t="shared" si="351"/>
        <v xml:space="preserve">1F9D9 1F3FE 200D 2640 </v>
      </c>
      <c r="D3747">
        <f t="shared" si="352"/>
        <v>22</v>
      </c>
      <c r="E3747" t="str">
        <f t="shared" si="348"/>
        <v xml:space="preserve"> 🧙🏾‍♀ E5.0 woman mage: medium-dark skin tone</v>
      </c>
      <c r="F3747" t="b">
        <f t="shared" si="353"/>
        <v>1</v>
      </c>
      <c r="G3747" t="str">
        <f t="shared" si="349"/>
        <v>1F9D9</v>
      </c>
      <c r="I3747">
        <f>HEX2DEC(Table1[[#This Row],[utf8]])</f>
        <v>129497</v>
      </c>
      <c r="J3747" t="str">
        <f>_xlfn.UNICHAR(HEX2DEC(Table1[[#This Row],[utf8]]))</f>
        <v>🧙</v>
      </c>
      <c r="K3747" s="3" t="str" cm="1">
        <f t="array" ref="K3747">"Case "&amp;wRandomLetter()&amp;wRandomLetter()&amp;I3747&amp;":    UniConst = ChrW(" &amp; I3747 &amp;")"</f>
        <v>Case bq129497:    UniConst = ChrW(129497)</v>
      </c>
    </row>
    <row r="3748" spans="1:11" hidden="1">
      <c r="A3748" t="s">
        <v>1670</v>
      </c>
      <c r="B3748" t="str">
        <f t="shared" si="350"/>
        <v>1F9D9 1F3FE 200D 2640 FE0F ; fully-qualified # 🧙🏾‍♀️ E5.0 woman mage: medium-dark skin tone</v>
      </c>
      <c r="C3748" t="str">
        <f t="shared" si="351"/>
        <v xml:space="preserve">1F9D9 1F3FE 200D 2640 FE0F </v>
      </c>
      <c r="D3748">
        <f t="shared" si="352"/>
        <v>27</v>
      </c>
      <c r="E3748" t="str">
        <f t="shared" si="348"/>
        <v xml:space="preserve"> 🧙🏾‍♀️ E5.0 woman mage: medium-dark skin tone</v>
      </c>
      <c r="F3748" t="b">
        <f t="shared" si="353"/>
        <v>1</v>
      </c>
      <c r="G3748" t="str">
        <f t="shared" si="349"/>
        <v>1F9D9</v>
      </c>
      <c r="I3748">
        <f>HEX2DEC(Table1[[#This Row],[utf8]])</f>
        <v>129497</v>
      </c>
      <c r="J3748" t="str">
        <f>_xlfn.UNICHAR(HEX2DEC(Table1[[#This Row],[utf8]]))</f>
        <v>🧙</v>
      </c>
      <c r="K3748" s="3" t="str" cm="1">
        <f t="array" ref="K3748">"Case "&amp;wRandomLetter()&amp;wRandomLetter()&amp;I3748&amp;":    UniConst = ChrW(" &amp; I3748 &amp;")"</f>
        <v>Case yg129497:    UniConst = ChrW(129497)</v>
      </c>
    </row>
    <row r="3749" spans="1:11" hidden="1">
      <c r="A3749" t="s">
        <v>1659</v>
      </c>
      <c r="B3749" t="str">
        <f t="shared" si="350"/>
        <v>1F9D9 1F3FE 200D 2642 ; minimally-qualified # 🧙🏾‍♂ E5.0 man mage: medium-dark skin tone</v>
      </c>
      <c r="C3749" t="str">
        <f t="shared" si="351"/>
        <v xml:space="preserve">1F9D9 1F3FE 200D 2642 </v>
      </c>
      <c r="D3749">
        <f t="shared" si="352"/>
        <v>22</v>
      </c>
      <c r="E3749" t="str">
        <f t="shared" si="348"/>
        <v xml:space="preserve"> 🧙🏾‍♂ E5.0 man mage: medium-dark skin tone</v>
      </c>
      <c r="F3749" t="b">
        <f t="shared" si="353"/>
        <v>1</v>
      </c>
      <c r="G3749" t="str">
        <f t="shared" si="349"/>
        <v>1F9D9</v>
      </c>
      <c r="I3749">
        <f>HEX2DEC(Table1[[#This Row],[utf8]])</f>
        <v>129497</v>
      </c>
      <c r="J3749" t="str">
        <f>_xlfn.UNICHAR(HEX2DEC(Table1[[#This Row],[utf8]]))</f>
        <v>🧙</v>
      </c>
      <c r="K3749" s="3" t="str" cm="1">
        <f t="array" ref="K3749">"Case "&amp;wRandomLetter()&amp;wRandomLetter()&amp;I3749&amp;":    UniConst = ChrW(" &amp; I3749 &amp;")"</f>
        <v>Case Zq129497:    UniConst = ChrW(129497)</v>
      </c>
    </row>
    <row r="3750" spans="1:11" hidden="1">
      <c r="A3750" t="s">
        <v>1658</v>
      </c>
      <c r="B3750" t="str">
        <f t="shared" si="350"/>
        <v>1F9D9 1F3FE 200D 2642 FE0F ; fully-qualified # 🧙🏾‍♂️ E5.0 man mage: medium-dark skin tone</v>
      </c>
      <c r="C3750" t="str">
        <f t="shared" si="351"/>
        <v xml:space="preserve">1F9D9 1F3FE 200D 2642 FE0F </v>
      </c>
      <c r="D3750">
        <f t="shared" si="352"/>
        <v>27</v>
      </c>
      <c r="E3750" t="str">
        <f t="shared" si="348"/>
        <v xml:space="preserve"> 🧙🏾‍♂️ E5.0 man mage: medium-dark skin tone</v>
      </c>
      <c r="F3750" t="b">
        <f t="shared" si="353"/>
        <v>1</v>
      </c>
      <c r="G3750" t="str">
        <f t="shared" si="349"/>
        <v>1F9D9</v>
      </c>
      <c r="I3750">
        <f>HEX2DEC(Table1[[#This Row],[utf8]])</f>
        <v>129497</v>
      </c>
      <c r="J3750" t="str">
        <f>_xlfn.UNICHAR(HEX2DEC(Table1[[#This Row],[utf8]]))</f>
        <v>🧙</v>
      </c>
      <c r="K3750" s="3" t="str" cm="1">
        <f t="array" ref="K3750">"Case "&amp;wRandomLetter()&amp;wRandomLetter()&amp;I3750&amp;":    UniConst = ChrW(" &amp; I3750 &amp;")"</f>
        <v>Case IX129497:    UniConst = ChrW(129497)</v>
      </c>
    </row>
    <row r="3751" spans="1:11" hidden="1">
      <c r="A3751" t="s">
        <v>1649</v>
      </c>
      <c r="B3751" t="str">
        <f t="shared" si="350"/>
        <v>1F9D9 1F3FF ; fully-qualified # 🧙🏿 E5.0 mage: dark skin tone</v>
      </c>
      <c r="C3751" t="str">
        <f t="shared" si="351"/>
        <v xml:space="preserve">1F9D9 1F3FF </v>
      </c>
      <c r="D3751">
        <f t="shared" si="352"/>
        <v>12</v>
      </c>
      <c r="E3751" t="str">
        <f t="shared" si="348"/>
        <v xml:space="preserve"> 🧙🏿 E5.0 mage: dark skin tone</v>
      </c>
      <c r="F3751" t="b">
        <f t="shared" si="353"/>
        <v>1</v>
      </c>
      <c r="G3751" t="str">
        <f t="shared" si="349"/>
        <v>1F9D9</v>
      </c>
      <c r="I3751">
        <f>HEX2DEC(Table1[[#This Row],[utf8]])</f>
        <v>129497</v>
      </c>
      <c r="J3751" t="str">
        <f>_xlfn.UNICHAR(HEX2DEC(Table1[[#This Row],[utf8]]))</f>
        <v>🧙</v>
      </c>
      <c r="K3751" s="3" t="str" cm="1">
        <f t="array" ref="K3751">"Case "&amp;wRandomLetter()&amp;wRandomLetter()&amp;I3751&amp;":    UniConst = ChrW(" &amp; I3751 &amp;")"</f>
        <v>Case dC129497:    UniConst = ChrW(129497)</v>
      </c>
    </row>
    <row r="3752" spans="1:11" hidden="1">
      <c r="A3752" t="s">
        <v>1673</v>
      </c>
      <c r="B3752" t="str">
        <f t="shared" si="350"/>
        <v>1F9D9 1F3FF 200D 2640 ; minimally-qualified # 🧙🏿‍♀ E5.0 woman mage: dark skin tone</v>
      </c>
      <c r="C3752" t="str">
        <f t="shared" si="351"/>
        <v xml:space="preserve">1F9D9 1F3FF 200D 2640 </v>
      </c>
      <c r="D3752">
        <f t="shared" si="352"/>
        <v>22</v>
      </c>
      <c r="E3752" t="str">
        <f t="shared" si="348"/>
        <v xml:space="preserve"> 🧙🏿‍♀ E5.0 woman mage: dark skin tone</v>
      </c>
      <c r="F3752" t="b">
        <f t="shared" si="353"/>
        <v>1</v>
      </c>
      <c r="G3752" t="str">
        <f t="shared" si="349"/>
        <v>1F9D9</v>
      </c>
      <c r="I3752">
        <f>HEX2DEC(Table1[[#This Row],[utf8]])</f>
        <v>129497</v>
      </c>
      <c r="J3752" t="str">
        <f>_xlfn.UNICHAR(HEX2DEC(Table1[[#This Row],[utf8]]))</f>
        <v>🧙</v>
      </c>
      <c r="K3752" s="3" t="str" cm="1">
        <f t="array" ref="K3752">"Case "&amp;wRandomLetter()&amp;wRandomLetter()&amp;I3752&amp;":    UniConst = ChrW(" &amp; I3752 &amp;")"</f>
        <v>Case Bw129497:    UniConst = ChrW(129497)</v>
      </c>
    </row>
    <row r="3753" spans="1:11" hidden="1">
      <c r="A3753" t="s">
        <v>1672</v>
      </c>
      <c r="B3753" t="str">
        <f t="shared" si="350"/>
        <v>1F9D9 1F3FF 200D 2640 FE0F ; fully-qualified # 🧙🏿‍♀️ E5.0 woman mage: dark skin tone</v>
      </c>
      <c r="C3753" t="str">
        <f t="shared" si="351"/>
        <v xml:space="preserve">1F9D9 1F3FF 200D 2640 FE0F </v>
      </c>
      <c r="D3753">
        <f t="shared" si="352"/>
        <v>27</v>
      </c>
      <c r="E3753" t="str">
        <f t="shared" si="348"/>
        <v xml:space="preserve"> 🧙🏿‍♀️ E5.0 woman mage: dark skin tone</v>
      </c>
      <c r="F3753" t="b">
        <f t="shared" si="353"/>
        <v>1</v>
      </c>
      <c r="G3753" t="str">
        <f t="shared" si="349"/>
        <v>1F9D9</v>
      </c>
      <c r="I3753">
        <f>HEX2DEC(Table1[[#This Row],[utf8]])</f>
        <v>129497</v>
      </c>
      <c r="J3753" t="str">
        <f>_xlfn.UNICHAR(HEX2DEC(Table1[[#This Row],[utf8]]))</f>
        <v>🧙</v>
      </c>
      <c r="K3753" s="3" t="str" cm="1">
        <f t="array" ref="K3753">"Case "&amp;wRandomLetter()&amp;wRandomLetter()&amp;I3753&amp;":    UniConst = ChrW(" &amp; I3753 &amp;")"</f>
        <v>Case Fy129497:    UniConst = ChrW(129497)</v>
      </c>
    </row>
    <row r="3754" spans="1:11" hidden="1">
      <c r="A3754" t="s">
        <v>1661</v>
      </c>
      <c r="B3754" t="str">
        <f t="shared" si="350"/>
        <v>1F9D9 1F3FF 200D 2642 ; minimally-qualified # 🧙🏿‍♂ E5.0 man mage: dark skin tone</v>
      </c>
      <c r="C3754" t="str">
        <f t="shared" si="351"/>
        <v xml:space="preserve">1F9D9 1F3FF 200D 2642 </v>
      </c>
      <c r="D3754">
        <f t="shared" si="352"/>
        <v>22</v>
      </c>
      <c r="E3754" t="str">
        <f t="shared" si="348"/>
        <v xml:space="preserve"> 🧙🏿‍♂ E5.0 man mage: dark skin tone</v>
      </c>
      <c r="F3754" t="b">
        <f t="shared" si="353"/>
        <v>1</v>
      </c>
      <c r="G3754" t="str">
        <f t="shared" si="349"/>
        <v>1F9D9</v>
      </c>
      <c r="I3754">
        <f>HEX2DEC(Table1[[#This Row],[utf8]])</f>
        <v>129497</v>
      </c>
      <c r="J3754" t="str">
        <f>_xlfn.UNICHAR(HEX2DEC(Table1[[#This Row],[utf8]]))</f>
        <v>🧙</v>
      </c>
      <c r="K3754" s="3" t="str" cm="1">
        <f t="array" ref="K3754">"Case "&amp;wRandomLetter()&amp;wRandomLetter()&amp;I3754&amp;":    UniConst = ChrW(" &amp; I3754 &amp;")"</f>
        <v>Case DH129497:    UniConst = ChrW(129497)</v>
      </c>
    </row>
    <row r="3755" spans="1:11" hidden="1">
      <c r="A3755" t="s">
        <v>1660</v>
      </c>
      <c r="B3755" t="str">
        <f t="shared" si="350"/>
        <v>1F9D9 1F3FF 200D 2642 FE0F ; fully-qualified # 🧙🏿‍♂️ E5.0 man mage: dark skin tone</v>
      </c>
      <c r="C3755" t="str">
        <f t="shared" si="351"/>
        <v xml:space="preserve">1F9D9 1F3FF 200D 2642 FE0F </v>
      </c>
      <c r="D3755">
        <f t="shared" si="352"/>
        <v>27</v>
      </c>
      <c r="E3755" t="str">
        <f t="shared" si="348"/>
        <v xml:space="preserve"> 🧙🏿‍♂️ E5.0 man mage: dark skin tone</v>
      </c>
      <c r="F3755" t="b">
        <f t="shared" si="353"/>
        <v>1</v>
      </c>
      <c r="G3755" t="str">
        <f t="shared" si="349"/>
        <v>1F9D9</v>
      </c>
      <c r="I3755">
        <f>HEX2DEC(Table1[[#This Row],[utf8]])</f>
        <v>129497</v>
      </c>
      <c r="J3755" t="str">
        <f>_xlfn.UNICHAR(HEX2DEC(Table1[[#This Row],[utf8]]))</f>
        <v>🧙</v>
      </c>
      <c r="K3755" s="3" t="str" cm="1">
        <f t="array" ref="K3755">"Case "&amp;wRandomLetter()&amp;wRandomLetter()&amp;I3755&amp;":    UniConst = ChrW(" &amp; I3755 &amp;")"</f>
        <v>Case cp129497:    UniConst = ChrW(129497)</v>
      </c>
    </row>
    <row r="3756" spans="1:11" hidden="1">
      <c r="A3756" t="s">
        <v>1663</v>
      </c>
      <c r="B3756" t="str">
        <f t="shared" si="350"/>
        <v>1F9D9 200D 2640 ; minimally-qualified # 🧙‍♀ E5.0 woman mage</v>
      </c>
      <c r="C3756" t="str">
        <f t="shared" si="351"/>
        <v xml:space="preserve">1F9D9 200D 2640 </v>
      </c>
      <c r="D3756">
        <f t="shared" si="352"/>
        <v>16</v>
      </c>
      <c r="E3756" t="str">
        <f t="shared" si="348"/>
        <v xml:space="preserve"> 🧙‍♀ E5.0 woman mage</v>
      </c>
      <c r="F3756" t="b">
        <f t="shared" si="353"/>
        <v>1</v>
      </c>
      <c r="G3756" t="str">
        <f t="shared" si="349"/>
        <v>1F9D9</v>
      </c>
      <c r="I3756">
        <f>HEX2DEC(Table1[[#This Row],[utf8]])</f>
        <v>129497</v>
      </c>
      <c r="J3756" t="str">
        <f>_xlfn.UNICHAR(HEX2DEC(Table1[[#This Row],[utf8]]))</f>
        <v>🧙</v>
      </c>
      <c r="K3756" s="3" t="str" cm="1">
        <f t="array" ref="K3756">"Case "&amp;wRandomLetter()&amp;wRandomLetter()&amp;I3756&amp;":    UniConst = ChrW(" &amp; I3756 &amp;")"</f>
        <v>Case Fb129497:    UniConst = ChrW(129497)</v>
      </c>
    </row>
    <row r="3757" spans="1:11" hidden="1">
      <c r="A3757" t="s">
        <v>1662</v>
      </c>
      <c r="B3757" t="str">
        <f t="shared" si="350"/>
        <v>1F9D9 200D 2640 FE0F ; fully-qualified # 🧙‍♀️ E5.0 woman mage</v>
      </c>
      <c r="C3757" t="str">
        <f t="shared" si="351"/>
        <v xml:space="preserve">1F9D9 200D 2640 FE0F </v>
      </c>
      <c r="D3757">
        <f t="shared" si="352"/>
        <v>21</v>
      </c>
      <c r="E3757" t="str">
        <f t="shared" si="348"/>
        <v xml:space="preserve"> 🧙‍♀️ E5.0 woman mage</v>
      </c>
      <c r="F3757" t="b">
        <f t="shared" si="353"/>
        <v>1</v>
      </c>
      <c r="G3757" t="str">
        <f t="shared" si="349"/>
        <v>1F9D9</v>
      </c>
      <c r="I3757">
        <f>HEX2DEC(Table1[[#This Row],[utf8]])</f>
        <v>129497</v>
      </c>
      <c r="J3757" t="str">
        <f>_xlfn.UNICHAR(HEX2DEC(Table1[[#This Row],[utf8]]))</f>
        <v>🧙</v>
      </c>
      <c r="K3757" s="3" t="str" cm="1">
        <f t="array" ref="K3757">"Case "&amp;wRandomLetter()&amp;wRandomLetter()&amp;I3757&amp;":    UniConst = ChrW(" &amp; I3757 &amp;")"</f>
        <v>Case CK129497:    UniConst = ChrW(129497)</v>
      </c>
    </row>
    <row r="3758" spans="1:11" hidden="1">
      <c r="A3758" t="s">
        <v>1651</v>
      </c>
      <c r="B3758" t="str">
        <f t="shared" si="350"/>
        <v>1F9D9 200D 2642 ; minimally-qualified # 🧙‍♂ E5.0 man mage</v>
      </c>
      <c r="C3758" t="str">
        <f t="shared" si="351"/>
        <v xml:space="preserve">1F9D9 200D 2642 </v>
      </c>
      <c r="D3758">
        <f t="shared" si="352"/>
        <v>16</v>
      </c>
      <c r="E3758" t="str">
        <f t="shared" si="348"/>
        <v xml:space="preserve"> 🧙‍♂ E5.0 man mage</v>
      </c>
      <c r="F3758" t="b">
        <f t="shared" si="353"/>
        <v>1</v>
      </c>
      <c r="G3758" t="str">
        <f t="shared" si="349"/>
        <v>1F9D9</v>
      </c>
      <c r="I3758">
        <f>HEX2DEC(Table1[[#This Row],[utf8]])</f>
        <v>129497</v>
      </c>
      <c r="J3758" t="str">
        <f>_xlfn.UNICHAR(HEX2DEC(Table1[[#This Row],[utf8]]))</f>
        <v>🧙</v>
      </c>
      <c r="K3758" s="3" t="str" cm="1">
        <f t="array" ref="K3758">"Case "&amp;wRandomLetter()&amp;wRandomLetter()&amp;I3758&amp;":    UniConst = ChrW(" &amp; I3758 &amp;")"</f>
        <v>Case ax129497:    UniConst = ChrW(129497)</v>
      </c>
    </row>
    <row r="3759" spans="1:11" hidden="1">
      <c r="A3759" t="s">
        <v>1650</v>
      </c>
      <c r="B3759" t="str">
        <f t="shared" si="350"/>
        <v>1F9D9 200D 2642 FE0F ; fully-qualified # 🧙‍♂️ E5.0 man mage</v>
      </c>
      <c r="C3759" t="str">
        <f t="shared" si="351"/>
        <v xml:space="preserve">1F9D9 200D 2642 FE0F </v>
      </c>
      <c r="D3759">
        <f t="shared" si="352"/>
        <v>21</v>
      </c>
      <c r="E3759" t="str">
        <f t="shared" si="348"/>
        <v xml:space="preserve"> 🧙‍♂️ E5.0 man mage</v>
      </c>
      <c r="F3759" t="b">
        <f t="shared" si="353"/>
        <v>1</v>
      </c>
      <c r="G3759" t="str">
        <f t="shared" si="349"/>
        <v>1F9D9</v>
      </c>
      <c r="I3759">
        <f>HEX2DEC(Table1[[#This Row],[utf8]])</f>
        <v>129497</v>
      </c>
      <c r="J3759" t="str">
        <f>_xlfn.UNICHAR(HEX2DEC(Table1[[#This Row],[utf8]]))</f>
        <v>🧙</v>
      </c>
      <c r="K3759" s="3" t="str" cm="1">
        <f t="array" ref="K3759">"Case "&amp;wRandomLetter()&amp;wRandomLetter()&amp;I3759&amp;":    UniConst = ChrW(" &amp; I3759 &amp;")"</f>
        <v>Case AU129497:    UniConst = ChrW(129497)</v>
      </c>
    </row>
    <row r="3760" spans="1:11" hidden="1">
      <c r="A3760" t="s">
        <v>1674</v>
      </c>
      <c r="B3760" t="str">
        <f t="shared" si="350"/>
        <v>1F9DA ; fully-qualified # 🧚 E5.0 fairy</v>
      </c>
      <c r="C3760" t="str">
        <f t="shared" si="351"/>
        <v xml:space="preserve">1F9DA </v>
      </c>
      <c r="D3760">
        <f t="shared" si="352"/>
        <v>6</v>
      </c>
      <c r="E3760" t="str">
        <f t="shared" si="348"/>
        <v xml:space="preserve"> 🧚 E5.0 fairy</v>
      </c>
      <c r="F3760" t="b">
        <f t="shared" si="353"/>
        <v>1</v>
      </c>
      <c r="G3760" t="str">
        <f t="shared" si="349"/>
        <v>1F9DA</v>
      </c>
      <c r="I3760">
        <f>HEX2DEC(Table1[[#This Row],[utf8]])</f>
        <v>129498</v>
      </c>
      <c r="J3760" t="str">
        <f>_xlfn.UNICHAR(HEX2DEC(Table1[[#This Row],[utf8]]))</f>
        <v>🧚</v>
      </c>
      <c r="K3760" s="3" t="str" cm="1">
        <f t="array" ref="K3760">"Case "&amp;wRandomLetter()&amp;wRandomLetter()&amp;I3760&amp;":    UniConst = ChrW(" &amp; I3760 &amp;")"</f>
        <v>Case tK129498:    UniConst = ChrW(129498)</v>
      </c>
    </row>
    <row r="3761" spans="1:11" hidden="1">
      <c r="A3761" t="s">
        <v>1675</v>
      </c>
      <c r="B3761" t="str">
        <f t="shared" si="350"/>
        <v>1F9DA 1F3FB ; fully-qualified # 🧚🏻 E5.0 fairy: light skin tone</v>
      </c>
      <c r="C3761" t="str">
        <f t="shared" si="351"/>
        <v xml:space="preserve">1F9DA 1F3FB </v>
      </c>
      <c r="D3761">
        <f t="shared" si="352"/>
        <v>12</v>
      </c>
      <c r="E3761" t="str">
        <f t="shared" si="348"/>
        <v xml:space="preserve"> 🧚🏻 E5.0 fairy: light skin tone</v>
      </c>
      <c r="F3761" t="b">
        <f t="shared" si="353"/>
        <v>1</v>
      </c>
      <c r="G3761" t="str">
        <f t="shared" si="349"/>
        <v>1F9DA</v>
      </c>
      <c r="I3761">
        <f>HEX2DEC(Table1[[#This Row],[utf8]])</f>
        <v>129498</v>
      </c>
      <c r="J3761" t="str">
        <f>_xlfn.UNICHAR(HEX2DEC(Table1[[#This Row],[utf8]]))</f>
        <v>🧚</v>
      </c>
      <c r="K3761" s="3" t="str" cm="1">
        <f t="array" ref="K3761">"Case "&amp;wRandomLetter()&amp;wRandomLetter()&amp;I3761&amp;":    UniConst = ChrW(" &amp; I3761 &amp;")"</f>
        <v>Case HK129498:    UniConst = ChrW(129498)</v>
      </c>
    </row>
    <row r="3762" spans="1:11" hidden="1">
      <c r="A3762" t="s">
        <v>1695</v>
      </c>
      <c r="B3762" t="str">
        <f t="shared" si="350"/>
        <v>1F9DA 1F3FB 200D 2640 ; minimally-qualified # 🧚🏻‍♀ E5.0 woman fairy: light skin tone</v>
      </c>
      <c r="C3762" t="str">
        <f t="shared" si="351"/>
        <v xml:space="preserve">1F9DA 1F3FB 200D 2640 </v>
      </c>
      <c r="D3762">
        <f t="shared" si="352"/>
        <v>22</v>
      </c>
      <c r="E3762" t="str">
        <f t="shared" si="348"/>
        <v xml:space="preserve"> 🧚🏻‍♀ E5.0 woman fairy: light skin tone</v>
      </c>
      <c r="F3762" t="b">
        <f t="shared" si="353"/>
        <v>1</v>
      </c>
      <c r="G3762" t="str">
        <f t="shared" si="349"/>
        <v>1F9DA</v>
      </c>
      <c r="I3762">
        <f>HEX2DEC(Table1[[#This Row],[utf8]])</f>
        <v>129498</v>
      </c>
      <c r="J3762" t="str">
        <f>_xlfn.UNICHAR(HEX2DEC(Table1[[#This Row],[utf8]]))</f>
        <v>🧚</v>
      </c>
      <c r="K3762" s="3" t="str" cm="1">
        <f t="array" ref="K3762">"Case "&amp;wRandomLetter()&amp;wRandomLetter()&amp;I3762&amp;":    UniConst = ChrW(" &amp; I3762 &amp;")"</f>
        <v>Case Li129498:    UniConst = ChrW(129498)</v>
      </c>
    </row>
    <row r="3763" spans="1:11" hidden="1">
      <c r="A3763" t="s">
        <v>1694</v>
      </c>
      <c r="B3763" t="str">
        <f t="shared" si="350"/>
        <v>1F9DA 1F3FB 200D 2640 FE0F ; fully-qualified # 🧚🏻‍♀️ E5.0 woman fairy: light skin tone</v>
      </c>
      <c r="C3763" t="str">
        <f t="shared" si="351"/>
        <v xml:space="preserve">1F9DA 1F3FB 200D 2640 FE0F </v>
      </c>
      <c r="D3763">
        <f t="shared" si="352"/>
        <v>27</v>
      </c>
      <c r="E3763" t="str">
        <f t="shared" si="348"/>
        <v xml:space="preserve"> 🧚🏻‍♀️ E5.0 woman fairy: light skin tone</v>
      </c>
      <c r="F3763" t="b">
        <f t="shared" si="353"/>
        <v>1</v>
      </c>
      <c r="G3763" t="str">
        <f t="shared" si="349"/>
        <v>1F9DA</v>
      </c>
      <c r="I3763">
        <f>HEX2DEC(Table1[[#This Row],[utf8]])</f>
        <v>129498</v>
      </c>
      <c r="J3763" t="str">
        <f>_xlfn.UNICHAR(HEX2DEC(Table1[[#This Row],[utf8]]))</f>
        <v>🧚</v>
      </c>
      <c r="K3763" s="3" t="str" cm="1">
        <f t="array" ref="K3763">"Case "&amp;wRandomLetter()&amp;wRandomLetter()&amp;I3763&amp;":    UniConst = ChrW(" &amp; I3763 &amp;")"</f>
        <v>Case fd129498:    UniConst = ChrW(129498)</v>
      </c>
    </row>
    <row r="3764" spans="1:11" hidden="1">
      <c r="A3764" t="s">
        <v>1683</v>
      </c>
      <c r="B3764" t="str">
        <f t="shared" si="350"/>
        <v>1F9DA 1F3FB 200D 2642 ; minimally-qualified # 🧚🏻‍♂ E5.0 man fairy: light skin tone</v>
      </c>
      <c r="C3764" t="str">
        <f t="shared" si="351"/>
        <v xml:space="preserve">1F9DA 1F3FB 200D 2642 </v>
      </c>
      <c r="D3764">
        <f t="shared" si="352"/>
        <v>22</v>
      </c>
      <c r="E3764" t="str">
        <f t="shared" si="348"/>
        <v xml:space="preserve"> 🧚🏻‍♂ E5.0 man fairy: light skin tone</v>
      </c>
      <c r="F3764" t="b">
        <f t="shared" si="353"/>
        <v>1</v>
      </c>
      <c r="G3764" t="str">
        <f t="shared" si="349"/>
        <v>1F9DA</v>
      </c>
      <c r="I3764">
        <f>HEX2DEC(Table1[[#This Row],[utf8]])</f>
        <v>129498</v>
      </c>
      <c r="J3764" t="str">
        <f>_xlfn.UNICHAR(HEX2DEC(Table1[[#This Row],[utf8]]))</f>
        <v>🧚</v>
      </c>
      <c r="K3764" s="3" t="str" cm="1">
        <f t="array" ref="K3764">"Case "&amp;wRandomLetter()&amp;wRandomLetter()&amp;I3764&amp;":    UniConst = ChrW(" &amp; I3764 &amp;")"</f>
        <v>Case TD129498:    UniConst = ChrW(129498)</v>
      </c>
    </row>
    <row r="3765" spans="1:11" hidden="1">
      <c r="A3765" t="s">
        <v>1682</v>
      </c>
      <c r="B3765" t="str">
        <f t="shared" si="350"/>
        <v>1F9DA 1F3FB 200D 2642 FE0F ; fully-qualified # 🧚🏻‍♂️ E5.0 man fairy: light skin tone</v>
      </c>
      <c r="C3765" t="str">
        <f t="shared" si="351"/>
        <v xml:space="preserve">1F9DA 1F3FB 200D 2642 FE0F </v>
      </c>
      <c r="D3765">
        <f t="shared" si="352"/>
        <v>27</v>
      </c>
      <c r="E3765" t="str">
        <f t="shared" si="348"/>
        <v xml:space="preserve"> 🧚🏻‍♂️ E5.0 man fairy: light skin tone</v>
      </c>
      <c r="F3765" t="b">
        <f t="shared" si="353"/>
        <v>1</v>
      </c>
      <c r="G3765" t="str">
        <f t="shared" si="349"/>
        <v>1F9DA</v>
      </c>
      <c r="I3765">
        <f>HEX2DEC(Table1[[#This Row],[utf8]])</f>
        <v>129498</v>
      </c>
      <c r="J3765" t="str">
        <f>_xlfn.UNICHAR(HEX2DEC(Table1[[#This Row],[utf8]]))</f>
        <v>🧚</v>
      </c>
      <c r="K3765" s="3" t="str" cm="1">
        <f t="array" ref="K3765">"Case "&amp;wRandomLetter()&amp;wRandomLetter()&amp;I3765&amp;":    UniConst = ChrW(" &amp; I3765 &amp;")"</f>
        <v>Case cq129498:    UniConst = ChrW(129498)</v>
      </c>
    </row>
    <row r="3766" spans="1:11" hidden="1">
      <c r="A3766" t="s">
        <v>1676</v>
      </c>
      <c r="B3766" t="str">
        <f t="shared" si="350"/>
        <v>1F9DA 1F3FC ; fully-qualified # 🧚🏼 E5.0 fairy: medium-light skin tone</v>
      </c>
      <c r="C3766" t="str">
        <f t="shared" si="351"/>
        <v xml:space="preserve">1F9DA 1F3FC </v>
      </c>
      <c r="D3766">
        <f t="shared" si="352"/>
        <v>12</v>
      </c>
      <c r="E3766" t="str">
        <f t="shared" si="348"/>
        <v xml:space="preserve"> 🧚🏼 E5.0 fairy: medium-light skin tone</v>
      </c>
      <c r="F3766" t="b">
        <f t="shared" si="353"/>
        <v>1</v>
      </c>
      <c r="G3766" t="str">
        <f t="shared" si="349"/>
        <v>1F9DA</v>
      </c>
      <c r="I3766">
        <f>HEX2DEC(Table1[[#This Row],[utf8]])</f>
        <v>129498</v>
      </c>
      <c r="J3766" t="str">
        <f>_xlfn.UNICHAR(HEX2DEC(Table1[[#This Row],[utf8]]))</f>
        <v>🧚</v>
      </c>
      <c r="K3766" s="3" t="str" cm="1">
        <f t="array" ref="K3766">"Case "&amp;wRandomLetter()&amp;wRandomLetter()&amp;I3766&amp;":    UniConst = ChrW(" &amp; I3766 &amp;")"</f>
        <v>Case IJ129498:    UniConst = ChrW(129498)</v>
      </c>
    </row>
    <row r="3767" spans="1:11" hidden="1">
      <c r="A3767" t="s">
        <v>1697</v>
      </c>
      <c r="B3767" t="str">
        <f t="shared" si="350"/>
        <v>1F9DA 1F3FC 200D 2640 ; minimally-qualified # 🧚🏼‍♀ E5.0 woman fairy: medium-light skin tone</v>
      </c>
      <c r="C3767" t="str">
        <f t="shared" si="351"/>
        <v xml:space="preserve">1F9DA 1F3FC 200D 2640 </v>
      </c>
      <c r="D3767">
        <f t="shared" si="352"/>
        <v>22</v>
      </c>
      <c r="E3767" t="str">
        <f t="shared" si="348"/>
        <v xml:space="preserve"> 🧚🏼‍♀ E5.0 woman fairy: medium-light skin tone</v>
      </c>
      <c r="F3767" t="b">
        <f t="shared" si="353"/>
        <v>1</v>
      </c>
      <c r="G3767" t="str">
        <f t="shared" si="349"/>
        <v>1F9DA</v>
      </c>
      <c r="I3767">
        <f>HEX2DEC(Table1[[#This Row],[utf8]])</f>
        <v>129498</v>
      </c>
      <c r="J3767" t="str">
        <f>_xlfn.UNICHAR(HEX2DEC(Table1[[#This Row],[utf8]]))</f>
        <v>🧚</v>
      </c>
      <c r="K3767" s="3" t="str" cm="1">
        <f t="array" ref="K3767">"Case "&amp;wRandomLetter()&amp;wRandomLetter()&amp;I3767&amp;":    UniConst = ChrW(" &amp; I3767 &amp;")"</f>
        <v>Case TA129498:    UniConst = ChrW(129498)</v>
      </c>
    </row>
    <row r="3768" spans="1:11" hidden="1">
      <c r="A3768" t="s">
        <v>1696</v>
      </c>
      <c r="B3768" t="str">
        <f t="shared" si="350"/>
        <v>1F9DA 1F3FC 200D 2640 FE0F ; fully-qualified # 🧚🏼‍♀️ E5.0 woman fairy: medium-light skin tone</v>
      </c>
      <c r="C3768" t="str">
        <f t="shared" si="351"/>
        <v xml:space="preserve">1F9DA 1F3FC 200D 2640 FE0F </v>
      </c>
      <c r="D3768">
        <f t="shared" si="352"/>
        <v>27</v>
      </c>
      <c r="E3768" t="str">
        <f t="shared" si="348"/>
        <v xml:space="preserve"> 🧚🏼‍♀️ E5.0 woman fairy: medium-light skin tone</v>
      </c>
      <c r="F3768" t="b">
        <f t="shared" si="353"/>
        <v>1</v>
      </c>
      <c r="G3768" t="str">
        <f t="shared" si="349"/>
        <v>1F9DA</v>
      </c>
      <c r="I3768">
        <f>HEX2DEC(Table1[[#This Row],[utf8]])</f>
        <v>129498</v>
      </c>
      <c r="J3768" t="str">
        <f>_xlfn.UNICHAR(HEX2DEC(Table1[[#This Row],[utf8]]))</f>
        <v>🧚</v>
      </c>
      <c r="K3768" s="3" t="str" cm="1">
        <f t="array" ref="K3768">"Case "&amp;wRandomLetter()&amp;wRandomLetter()&amp;I3768&amp;":    UniConst = ChrW(" &amp; I3768 &amp;")"</f>
        <v>Case XH129498:    UniConst = ChrW(129498)</v>
      </c>
    </row>
    <row r="3769" spans="1:11" hidden="1">
      <c r="A3769" t="s">
        <v>1685</v>
      </c>
      <c r="B3769" t="str">
        <f t="shared" si="350"/>
        <v>1F9DA 1F3FC 200D 2642 ; minimally-qualified # 🧚🏼‍♂ E5.0 man fairy: medium-light skin tone</v>
      </c>
      <c r="C3769" t="str">
        <f t="shared" si="351"/>
        <v xml:space="preserve">1F9DA 1F3FC 200D 2642 </v>
      </c>
      <c r="D3769">
        <f t="shared" si="352"/>
        <v>22</v>
      </c>
      <c r="E3769" t="str">
        <f t="shared" si="348"/>
        <v xml:space="preserve"> 🧚🏼‍♂ E5.0 man fairy: medium-light skin tone</v>
      </c>
      <c r="F3769" t="b">
        <f t="shared" si="353"/>
        <v>1</v>
      </c>
      <c r="G3769" t="str">
        <f t="shared" si="349"/>
        <v>1F9DA</v>
      </c>
      <c r="I3769">
        <f>HEX2DEC(Table1[[#This Row],[utf8]])</f>
        <v>129498</v>
      </c>
      <c r="J3769" t="str">
        <f>_xlfn.UNICHAR(HEX2DEC(Table1[[#This Row],[utf8]]))</f>
        <v>🧚</v>
      </c>
      <c r="K3769" s="3" t="str" cm="1">
        <f t="array" ref="K3769">"Case "&amp;wRandomLetter()&amp;wRandomLetter()&amp;I3769&amp;":    UniConst = ChrW(" &amp; I3769 &amp;")"</f>
        <v>Case uS129498:    UniConst = ChrW(129498)</v>
      </c>
    </row>
    <row r="3770" spans="1:11" hidden="1">
      <c r="A3770" t="s">
        <v>1684</v>
      </c>
      <c r="B3770" t="str">
        <f t="shared" si="350"/>
        <v>1F9DA 1F3FC 200D 2642 FE0F ; fully-qualified # 🧚🏼‍♂️ E5.0 man fairy: medium-light skin tone</v>
      </c>
      <c r="C3770" t="str">
        <f t="shared" si="351"/>
        <v xml:space="preserve">1F9DA 1F3FC 200D 2642 FE0F </v>
      </c>
      <c r="D3770">
        <f t="shared" si="352"/>
        <v>27</v>
      </c>
      <c r="E3770" t="str">
        <f t="shared" si="348"/>
        <v xml:space="preserve"> 🧚🏼‍♂️ E5.0 man fairy: medium-light skin tone</v>
      </c>
      <c r="F3770" t="b">
        <f t="shared" si="353"/>
        <v>1</v>
      </c>
      <c r="G3770" t="str">
        <f t="shared" si="349"/>
        <v>1F9DA</v>
      </c>
      <c r="I3770">
        <f>HEX2DEC(Table1[[#This Row],[utf8]])</f>
        <v>129498</v>
      </c>
      <c r="J3770" t="str">
        <f>_xlfn.UNICHAR(HEX2DEC(Table1[[#This Row],[utf8]]))</f>
        <v>🧚</v>
      </c>
      <c r="K3770" s="3" t="str" cm="1">
        <f t="array" ref="K3770">"Case "&amp;wRandomLetter()&amp;wRandomLetter()&amp;I3770&amp;":    UniConst = ChrW(" &amp; I3770 &amp;")"</f>
        <v>Case LZ129498:    UniConst = ChrW(129498)</v>
      </c>
    </row>
    <row r="3771" spans="1:11" hidden="1">
      <c r="A3771" t="s">
        <v>1677</v>
      </c>
      <c r="B3771" t="str">
        <f t="shared" si="350"/>
        <v>1F9DA 1F3FD ; fully-qualified # 🧚🏽 E5.0 fairy: medium skin tone</v>
      </c>
      <c r="C3771" t="str">
        <f t="shared" si="351"/>
        <v xml:space="preserve">1F9DA 1F3FD </v>
      </c>
      <c r="D3771">
        <f t="shared" si="352"/>
        <v>12</v>
      </c>
      <c r="E3771" t="str">
        <f t="shared" si="348"/>
        <v xml:space="preserve"> 🧚🏽 E5.0 fairy: medium skin tone</v>
      </c>
      <c r="F3771" t="b">
        <f t="shared" si="353"/>
        <v>1</v>
      </c>
      <c r="G3771" t="str">
        <f t="shared" si="349"/>
        <v>1F9DA</v>
      </c>
      <c r="I3771">
        <f>HEX2DEC(Table1[[#This Row],[utf8]])</f>
        <v>129498</v>
      </c>
      <c r="J3771" t="str">
        <f>_xlfn.UNICHAR(HEX2DEC(Table1[[#This Row],[utf8]]))</f>
        <v>🧚</v>
      </c>
      <c r="K3771" s="3" t="str" cm="1">
        <f t="array" ref="K3771">"Case "&amp;wRandomLetter()&amp;wRandomLetter()&amp;I3771&amp;":    UniConst = ChrW(" &amp; I3771 &amp;")"</f>
        <v>Case zH129498:    UniConst = ChrW(129498)</v>
      </c>
    </row>
    <row r="3772" spans="1:11" hidden="1">
      <c r="A3772" t="s">
        <v>1699</v>
      </c>
      <c r="B3772" t="str">
        <f t="shared" si="350"/>
        <v>1F9DA 1F3FD 200D 2640 ; minimally-qualified # 🧚🏽‍♀ E5.0 woman fairy: medium skin tone</v>
      </c>
      <c r="C3772" t="str">
        <f t="shared" si="351"/>
        <v xml:space="preserve">1F9DA 1F3FD 200D 2640 </v>
      </c>
      <c r="D3772">
        <f t="shared" si="352"/>
        <v>22</v>
      </c>
      <c r="E3772" t="str">
        <f t="shared" si="348"/>
        <v xml:space="preserve"> 🧚🏽‍♀ E5.0 woman fairy: medium skin tone</v>
      </c>
      <c r="F3772" t="b">
        <f t="shared" si="353"/>
        <v>1</v>
      </c>
      <c r="G3772" t="str">
        <f t="shared" si="349"/>
        <v>1F9DA</v>
      </c>
      <c r="I3772">
        <f>HEX2DEC(Table1[[#This Row],[utf8]])</f>
        <v>129498</v>
      </c>
      <c r="J3772" t="str">
        <f>_xlfn.UNICHAR(HEX2DEC(Table1[[#This Row],[utf8]]))</f>
        <v>🧚</v>
      </c>
      <c r="K3772" s="3" t="str" cm="1">
        <f t="array" ref="K3772">"Case "&amp;wRandomLetter()&amp;wRandomLetter()&amp;I3772&amp;":    UniConst = ChrW(" &amp; I3772 &amp;")"</f>
        <v>Case hT129498:    UniConst = ChrW(129498)</v>
      </c>
    </row>
    <row r="3773" spans="1:11" hidden="1">
      <c r="A3773" t="s">
        <v>1698</v>
      </c>
      <c r="B3773" t="str">
        <f t="shared" si="350"/>
        <v>1F9DA 1F3FD 200D 2640 FE0F ; fully-qualified # 🧚🏽‍♀️ E5.0 woman fairy: medium skin tone</v>
      </c>
      <c r="C3773" t="str">
        <f t="shared" si="351"/>
        <v xml:space="preserve">1F9DA 1F3FD 200D 2640 FE0F </v>
      </c>
      <c r="D3773">
        <f t="shared" si="352"/>
        <v>27</v>
      </c>
      <c r="E3773" t="str">
        <f t="shared" si="348"/>
        <v xml:space="preserve"> 🧚🏽‍♀️ E5.0 woman fairy: medium skin tone</v>
      </c>
      <c r="F3773" t="b">
        <f t="shared" si="353"/>
        <v>1</v>
      </c>
      <c r="G3773" t="str">
        <f t="shared" si="349"/>
        <v>1F9DA</v>
      </c>
      <c r="I3773">
        <f>HEX2DEC(Table1[[#This Row],[utf8]])</f>
        <v>129498</v>
      </c>
      <c r="J3773" t="str">
        <f>_xlfn.UNICHAR(HEX2DEC(Table1[[#This Row],[utf8]]))</f>
        <v>🧚</v>
      </c>
      <c r="K3773" s="3" t="str" cm="1">
        <f t="array" ref="K3773">"Case "&amp;wRandomLetter()&amp;wRandomLetter()&amp;I3773&amp;":    UniConst = ChrW(" &amp; I3773 &amp;")"</f>
        <v>Case vI129498:    UniConst = ChrW(129498)</v>
      </c>
    </row>
    <row r="3774" spans="1:11" hidden="1">
      <c r="A3774" t="s">
        <v>1687</v>
      </c>
      <c r="B3774" t="str">
        <f t="shared" si="350"/>
        <v>1F9DA 1F3FD 200D 2642 ; minimally-qualified # 🧚🏽‍♂ E5.0 man fairy: medium skin tone</v>
      </c>
      <c r="C3774" t="str">
        <f t="shared" si="351"/>
        <v xml:space="preserve">1F9DA 1F3FD 200D 2642 </v>
      </c>
      <c r="D3774">
        <f t="shared" si="352"/>
        <v>22</v>
      </c>
      <c r="E3774" t="str">
        <f t="shared" si="348"/>
        <v xml:space="preserve"> 🧚🏽‍♂ E5.0 man fairy: medium skin tone</v>
      </c>
      <c r="F3774" t="b">
        <f t="shared" si="353"/>
        <v>1</v>
      </c>
      <c r="G3774" t="str">
        <f t="shared" si="349"/>
        <v>1F9DA</v>
      </c>
      <c r="I3774">
        <f>HEX2DEC(Table1[[#This Row],[utf8]])</f>
        <v>129498</v>
      </c>
      <c r="J3774" t="str">
        <f>_xlfn.UNICHAR(HEX2DEC(Table1[[#This Row],[utf8]]))</f>
        <v>🧚</v>
      </c>
      <c r="K3774" s="3" t="str" cm="1">
        <f t="array" ref="K3774">"Case "&amp;wRandomLetter()&amp;wRandomLetter()&amp;I3774&amp;":    UniConst = ChrW(" &amp; I3774 &amp;")"</f>
        <v>Case fe129498:    UniConst = ChrW(129498)</v>
      </c>
    </row>
    <row r="3775" spans="1:11" hidden="1">
      <c r="A3775" t="s">
        <v>1686</v>
      </c>
      <c r="B3775" t="str">
        <f t="shared" si="350"/>
        <v>1F9DA 1F3FD 200D 2642 FE0F ; fully-qualified # 🧚🏽‍♂️ E5.0 man fairy: medium skin tone</v>
      </c>
      <c r="C3775" t="str">
        <f t="shared" si="351"/>
        <v xml:space="preserve">1F9DA 1F3FD 200D 2642 FE0F </v>
      </c>
      <c r="D3775">
        <f t="shared" si="352"/>
        <v>27</v>
      </c>
      <c r="E3775" t="str">
        <f t="shared" si="348"/>
        <v xml:space="preserve"> 🧚🏽‍♂️ E5.0 man fairy: medium skin tone</v>
      </c>
      <c r="F3775" t="b">
        <f t="shared" si="353"/>
        <v>1</v>
      </c>
      <c r="G3775" t="str">
        <f t="shared" si="349"/>
        <v>1F9DA</v>
      </c>
      <c r="I3775">
        <f>HEX2DEC(Table1[[#This Row],[utf8]])</f>
        <v>129498</v>
      </c>
      <c r="J3775" t="str">
        <f>_xlfn.UNICHAR(HEX2DEC(Table1[[#This Row],[utf8]]))</f>
        <v>🧚</v>
      </c>
      <c r="K3775" s="3" t="str" cm="1">
        <f t="array" ref="K3775">"Case "&amp;wRandomLetter()&amp;wRandomLetter()&amp;I3775&amp;":    UniConst = ChrW(" &amp; I3775 &amp;")"</f>
        <v>Case Iq129498:    UniConst = ChrW(129498)</v>
      </c>
    </row>
    <row r="3776" spans="1:11" hidden="1">
      <c r="A3776" t="s">
        <v>1678</v>
      </c>
      <c r="B3776" t="str">
        <f t="shared" si="350"/>
        <v>1F9DA 1F3FE ; fully-qualified # 🧚🏾 E5.0 fairy: medium-dark skin tone</v>
      </c>
      <c r="C3776" t="str">
        <f t="shared" si="351"/>
        <v xml:space="preserve">1F9DA 1F3FE </v>
      </c>
      <c r="D3776">
        <f t="shared" si="352"/>
        <v>12</v>
      </c>
      <c r="E3776" t="str">
        <f t="shared" si="348"/>
        <v xml:space="preserve"> 🧚🏾 E5.0 fairy: medium-dark skin tone</v>
      </c>
      <c r="F3776" t="b">
        <f t="shared" si="353"/>
        <v>1</v>
      </c>
      <c r="G3776" t="str">
        <f t="shared" si="349"/>
        <v>1F9DA</v>
      </c>
      <c r="I3776">
        <f>HEX2DEC(Table1[[#This Row],[utf8]])</f>
        <v>129498</v>
      </c>
      <c r="J3776" t="str">
        <f>_xlfn.UNICHAR(HEX2DEC(Table1[[#This Row],[utf8]]))</f>
        <v>🧚</v>
      </c>
      <c r="K3776" s="3" t="str" cm="1">
        <f t="array" ref="K3776">"Case "&amp;wRandomLetter()&amp;wRandomLetter()&amp;I3776&amp;":    UniConst = ChrW(" &amp; I3776 &amp;")"</f>
        <v>Case vI129498:    UniConst = ChrW(129498)</v>
      </c>
    </row>
    <row r="3777" spans="1:11" hidden="1">
      <c r="A3777" t="s">
        <v>1701</v>
      </c>
      <c r="B3777" t="str">
        <f t="shared" si="350"/>
        <v>1F9DA 1F3FE 200D 2640 ; minimally-qualified # 🧚🏾‍♀ E5.0 woman fairy: medium-dark skin tone</v>
      </c>
      <c r="C3777" t="str">
        <f t="shared" si="351"/>
        <v xml:space="preserve">1F9DA 1F3FE 200D 2640 </v>
      </c>
      <c r="D3777">
        <f t="shared" si="352"/>
        <v>22</v>
      </c>
      <c r="E3777" t="str">
        <f t="shared" si="348"/>
        <v xml:space="preserve"> 🧚🏾‍♀ E5.0 woman fairy: medium-dark skin tone</v>
      </c>
      <c r="F3777" t="b">
        <f t="shared" si="353"/>
        <v>1</v>
      </c>
      <c r="G3777" t="str">
        <f t="shared" si="349"/>
        <v>1F9DA</v>
      </c>
      <c r="I3777">
        <f>HEX2DEC(Table1[[#This Row],[utf8]])</f>
        <v>129498</v>
      </c>
      <c r="J3777" t="str">
        <f>_xlfn.UNICHAR(HEX2DEC(Table1[[#This Row],[utf8]]))</f>
        <v>🧚</v>
      </c>
      <c r="K3777" s="3" t="str" cm="1">
        <f t="array" ref="K3777">"Case "&amp;wRandomLetter()&amp;wRandomLetter()&amp;I3777&amp;":    UniConst = ChrW(" &amp; I3777 &amp;")"</f>
        <v>Case MW129498:    UniConst = ChrW(129498)</v>
      </c>
    </row>
    <row r="3778" spans="1:11" hidden="1">
      <c r="A3778" t="s">
        <v>1700</v>
      </c>
      <c r="B3778" t="str">
        <f t="shared" si="350"/>
        <v>1F9DA 1F3FE 200D 2640 FE0F ; fully-qualified # 🧚🏾‍♀️ E5.0 woman fairy: medium-dark skin tone</v>
      </c>
      <c r="C3778" t="str">
        <f t="shared" si="351"/>
        <v xml:space="preserve">1F9DA 1F3FE 200D 2640 FE0F </v>
      </c>
      <c r="D3778">
        <f t="shared" si="352"/>
        <v>27</v>
      </c>
      <c r="E3778" t="str">
        <f t="shared" ref="E3778:E3841" si="354">MID(A3778,FIND("#",A3778)+1,256)</f>
        <v xml:space="preserve"> 🧚🏾‍♀️ E5.0 woman fairy: medium-dark skin tone</v>
      </c>
      <c r="F3778" t="b">
        <f t="shared" si="353"/>
        <v>1</v>
      </c>
      <c r="G3778" t="str">
        <f t="shared" ref="G3778:G3841" si="355">LEFT(C3778,(FIND(" ",C3778,1)-1))</f>
        <v>1F9DA</v>
      </c>
      <c r="I3778">
        <f>HEX2DEC(Table1[[#This Row],[utf8]])</f>
        <v>129498</v>
      </c>
      <c r="J3778" t="str">
        <f>_xlfn.UNICHAR(HEX2DEC(Table1[[#This Row],[utf8]]))</f>
        <v>🧚</v>
      </c>
      <c r="K3778" s="3" t="str" cm="1">
        <f t="array" ref="K3778">"Case "&amp;wRandomLetter()&amp;wRandomLetter()&amp;I3778&amp;":    UniConst = ChrW(" &amp; I3778 &amp;")"</f>
        <v>Case co129498:    UniConst = ChrW(129498)</v>
      </c>
    </row>
    <row r="3779" spans="1:11" hidden="1">
      <c r="A3779" t="s">
        <v>1689</v>
      </c>
      <c r="B3779" t="str">
        <f t="shared" ref="B3779:B3842" si="356">TRIM(A3779)</f>
        <v>1F9DA 1F3FE 200D 2642 ; minimally-qualified # 🧚🏾‍♂ E5.0 man fairy: medium-dark skin tone</v>
      </c>
      <c r="C3779" t="str">
        <f t="shared" ref="C3779:C3842" si="357">LEFT(B3779,(FIND(";",B3779,1)-1))</f>
        <v xml:space="preserve">1F9DA 1F3FE 200D 2642 </v>
      </c>
      <c r="D3779">
        <f t="shared" ref="D3779:D3842" si="358">LEN(C3779)</f>
        <v>22</v>
      </c>
      <c r="E3779" t="str">
        <f t="shared" si="354"/>
        <v xml:space="preserve"> 🧚🏾‍♂ E5.0 man fairy: medium-dark skin tone</v>
      </c>
      <c r="F3779" t="b">
        <f t="shared" ref="F3779:F3842" si="359">IF(LEFT(C3779,2)="1F",TRUE,FALSE)</f>
        <v>1</v>
      </c>
      <c r="G3779" t="str">
        <f t="shared" si="355"/>
        <v>1F9DA</v>
      </c>
      <c r="I3779">
        <f>HEX2DEC(Table1[[#This Row],[utf8]])</f>
        <v>129498</v>
      </c>
      <c r="J3779" t="str">
        <f>_xlfn.UNICHAR(HEX2DEC(Table1[[#This Row],[utf8]]))</f>
        <v>🧚</v>
      </c>
      <c r="K3779" s="3" t="str" cm="1">
        <f t="array" ref="K3779">"Case "&amp;wRandomLetter()&amp;wRandomLetter()&amp;I3779&amp;":    UniConst = ChrW(" &amp; I3779 &amp;")"</f>
        <v>Case Eq129498:    UniConst = ChrW(129498)</v>
      </c>
    </row>
    <row r="3780" spans="1:11" hidden="1">
      <c r="A3780" t="s">
        <v>1688</v>
      </c>
      <c r="B3780" t="str">
        <f t="shared" si="356"/>
        <v>1F9DA 1F3FE 200D 2642 FE0F ; fully-qualified # 🧚🏾‍♂️ E5.0 man fairy: medium-dark skin tone</v>
      </c>
      <c r="C3780" t="str">
        <f t="shared" si="357"/>
        <v xml:space="preserve">1F9DA 1F3FE 200D 2642 FE0F </v>
      </c>
      <c r="D3780">
        <f t="shared" si="358"/>
        <v>27</v>
      </c>
      <c r="E3780" t="str">
        <f t="shared" si="354"/>
        <v xml:space="preserve"> 🧚🏾‍♂️ E5.0 man fairy: medium-dark skin tone</v>
      </c>
      <c r="F3780" t="b">
        <f t="shared" si="359"/>
        <v>1</v>
      </c>
      <c r="G3780" t="str">
        <f t="shared" si="355"/>
        <v>1F9DA</v>
      </c>
      <c r="I3780">
        <f>HEX2DEC(Table1[[#This Row],[utf8]])</f>
        <v>129498</v>
      </c>
      <c r="J3780" t="str">
        <f>_xlfn.UNICHAR(HEX2DEC(Table1[[#This Row],[utf8]]))</f>
        <v>🧚</v>
      </c>
      <c r="K3780" s="3" t="str" cm="1">
        <f t="array" ref="K3780">"Case "&amp;wRandomLetter()&amp;wRandomLetter()&amp;I3780&amp;":    UniConst = ChrW(" &amp; I3780 &amp;")"</f>
        <v>Case rP129498:    UniConst = ChrW(129498)</v>
      </c>
    </row>
    <row r="3781" spans="1:11" hidden="1">
      <c r="A3781" t="s">
        <v>1679</v>
      </c>
      <c r="B3781" t="str">
        <f t="shared" si="356"/>
        <v>1F9DA 1F3FF ; fully-qualified # 🧚🏿 E5.0 fairy: dark skin tone</v>
      </c>
      <c r="C3781" t="str">
        <f t="shared" si="357"/>
        <v xml:space="preserve">1F9DA 1F3FF </v>
      </c>
      <c r="D3781">
        <f t="shared" si="358"/>
        <v>12</v>
      </c>
      <c r="E3781" t="str">
        <f t="shared" si="354"/>
        <v xml:space="preserve"> 🧚🏿 E5.0 fairy: dark skin tone</v>
      </c>
      <c r="F3781" t="b">
        <f t="shared" si="359"/>
        <v>1</v>
      </c>
      <c r="G3781" t="str">
        <f t="shared" si="355"/>
        <v>1F9DA</v>
      </c>
      <c r="I3781">
        <f>HEX2DEC(Table1[[#This Row],[utf8]])</f>
        <v>129498</v>
      </c>
      <c r="J3781" t="str">
        <f>_xlfn.UNICHAR(HEX2DEC(Table1[[#This Row],[utf8]]))</f>
        <v>🧚</v>
      </c>
      <c r="K3781" s="3" t="str" cm="1">
        <f t="array" ref="K3781">"Case "&amp;wRandomLetter()&amp;wRandomLetter()&amp;I3781&amp;":    UniConst = ChrW(" &amp; I3781 &amp;")"</f>
        <v>Case pu129498:    UniConst = ChrW(129498)</v>
      </c>
    </row>
    <row r="3782" spans="1:11" hidden="1">
      <c r="A3782" t="s">
        <v>1703</v>
      </c>
      <c r="B3782" t="str">
        <f t="shared" si="356"/>
        <v>1F9DA 1F3FF 200D 2640 ; minimally-qualified # 🧚🏿‍♀ E5.0 woman fairy: dark skin tone</v>
      </c>
      <c r="C3782" t="str">
        <f t="shared" si="357"/>
        <v xml:space="preserve">1F9DA 1F3FF 200D 2640 </v>
      </c>
      <c r="D3782">
        <f t="shared" si="358"/>
        <v>22</v>
      </c>
      <c r="E3782" t="str">
        <f t="shared" si="354"/>
        <v xml:space="preserve"> 🧚🏿‍♀ E5.0 woman fairy: dark skin tone</v>
      </c>
      <c r="F3782" t="b">
        <f t="shared" si="359"/>
        <v>1</v>
      </c>
      <c r="G3782" t="str">
        <f t="shared" si="355"/>
        <v>1F9DA</v>
      </c>
      <c r="I3782">
        <f>HEX2DEC(Table1[[#This Row],[utf8]])</f>
        <v>129498</v>
      </c>
      <c r="J3782" t="str">
        <f>_xlfn.UNICHAR(HEX2DEC(Table1[[#This Row],[utf8]]))</f>
        <v>🧚</v>
      </c>
      <c r="K3782" s="3" t="str" cm="1">
        <f t="array" ref="K3782">"Case "&amp;wRandomLetter()&amp;wRandomLetter()&amp;I3782&amp;":    UniConst = ChrW(" &amp; I3782 &amp;")"</f>
        <v>Case Uw129498:    UniConst = ChrW(129498)</v>
      </c>
    </row>
    <row r="3783" spans="1:11" hidden="1">
      <c r="A3783" t="s">
        <v>1702</v>
      </c>
      <c r="B3783" t="str">
        <f t="shared" si="356"/>
        <v>1F9DA 1F3FF 200D 2640 FE0F ; fully-qualified # 🧚🏿‍♀️ E5.0 woman fairy: dark skin tone</v>
      </c>
      <c r="C3783" t="str">
        <f t="shared" si="357"/>
        <v xml:space="preserve">1F9DA 1F3FF 200D 2640 FE0F </v>
      </c>
      <c r="D3783">
        <f t="shared" si="358"/>
        <v>27</v>
      </c>
      <c r="E3783" t="str">
        <f t="shared" si="354"/>
        <v xml:space="preserve"> 🧚🏿‍♀️ E5.0 woman fairy: dark skin tone</v>
      </c>
      <c r="F3783" t="b">
        <f t="shared" si="359"/>
        <v>1</v>
      </c>
      <c r="G3783" t="str">
        <f t="shared" si="355"/>
        <v>1F9DA</v>
      </c>
      <c r="I3783">
        <f>HEX2DEC(Table1[[#This Row],[utf8]])</f>
        <v>129498</v>
      </c>
      <c r="J3783" t="str">
        <f>_xlfn.UNICHAR(HEX2DEC(Table1[[#This Row],[utf8]]))</f>
        <v>🧚</v>
      </c>
      <c r="K3783" s="3" t="str" cm="1">
        <f t="array" ref="K3783">"Case "&amp;wRandomLetter()&amp;wRandomLetter()&amp;I3783&amp;":    UniConst = ChrW(" &amp; I3783 &amp;")"</f>
        <v>Case NH129498:    UniConst = ChrW(129498)</v>
      </c>
    </row>
    <row r="3784" spans="1:11" hidden="1">
      <c r="A3784" t="s">
        <v>1691</v>
      </c>
      <c r="B3784" t="str">
        <f t="shared" si="356"/>
        <v>1F9DA 1F3FF 200D 2642 ; minimally-qualified # 🧚🏿‍♂ E5.0 man fairy: dark skin tone</v>
      </c>
      <c r="C3784" t="str">
        <f t="shared" si="357"/>
        <v xml:space="preserve">1F9DA 1F3FF 200D 2642 </v>
      </c>
      <c r="D3784">
        <f t="shared" si="358"/>
        <v>22</v>
      </c>
      <c r="E3784" t="str">
        <f t="shared" si="354"/>
        <v xml:space="preserve"> 🧚🏿‍♂ E5.0 man fairy: dark skin tone</v>
      </c>
      <c r="F3784" t="b">
        <f t="shared" si="359"/>
        <v>1</v>
      </c>
      <c r="G3784" t="str">
        <f t="shared" si="355"/>
        <v>1F9DA</v>
      </c>
      <c r="I3784">
        <f>HEX2DEC(Table1[[#This Row],[utf8]])</f>
        <v>129498</v>
      </c>
      <c r="J3784" t="str">
        <f>_xlfn.UNICHAR(HEX2DEC(Table1[[#This Row],[utf8]]))</f>
        <v>🧚</v>
      </c>
      <c r="K3784" s="3" t="str" cm="1">
        <f t="array" ref="K3784">"Case "&amp;wRandomLetter()&amp;wRandomLetter()&amp;I3784&amp;":    UniConst = ChrW(" &amp; I3784 &amp;")"</f>
        <v>Case nz129498:    UniConst = ChrW(129498)</v>
      </c>
    </row>
    <row r="3785" spans="1:11" hidden="1">
      <c r="A3785" t="s">
        <v>1690</v>
      </c>
      <c r="B3785" t="str">
        <f t="shared" si="356"/>
        <v>1F9DA 1F3FF 200D 2642 FE0F ; fully-qualified # 🧚🏿‍♂️ E5.0 man fairy: dark skin tone</v>
      </c>
      <c r="C3785" t="str">
        <f t="shared" si="357"/>
        <v xml:space="preserve">1F9DA 1F3FF 200D 2642 FE0F </v>
      </c>
      <c r="D3785">
        <f t="shared" si="358"/>
        <v>27</v>
      </c>
      <c r="E3785" t="str">
        <f t="shared" si="354"/>
        <v xml:space="preserve"> 🧚🏿‍♂️ E5.0 man fairy: dark skin tone</v>
      </c>
      <c r="F3785" t="b">
        <f t="shared" si="359"/>
        <v>1</v>
      </c>
      <c r="G3785" t="str">
        <f t="shared" si="355"/>
        <v>1F9DA</v>
      </c>
      <c r="I3785">
        <f>HEX2DEC(Table1[[#This Row],[utf8]])</f>
        <v>129498</v>
      </c>
      <c r="J3785" t="str">
        <f>_xlfn.UNICHAR(HEX2DEC(Table1[[#This Row],[utf8]]))</f>
        <v>🧚</v>
      </c>
      <c r="K3785" s="3" t="str" cm="1">
        <f t="array" ref="K3785">"Case "&amp;wRandomLetter()&amp;wRandomLetter()&amp;I3785&amp;":    UniConst = ChrW(" &amp; I3785 &amp;")"</f>
        <v>Case Zj129498:    UniConst = ChrW(129498)</v>
      </c>
    </row>
    <row r="3786" spans="1:11" hidden="1">
      <c r="A3786" t="s">
        <v>1693</v>
      </c>
      <c r="B3786" t="str">
        <f t="shared" si="356"/>
        <v>1F9DA 200D 2640 ; minimally-qualified # 🧚‍♀ E5.0 woman fairy</v>
      </c>
      <c r="C3786" t="str">
        <f t="shared" si="357"/>
        <v xml:space="preserve">1F9DA 200D 2640 </v>
      </c>
      <c r="D3786">
        <f t="shared" si="358"/>
        <v>16</v>
      </c>
      <c r="E3786" t="str">
        <f t="shared" si="354"/>
        <v xml:space="preserve"> 🧚‍♀ E5.0 woman fairy</v>
      </c>
      <c r="F3786" t="b">
        <f t="shared" si="359"/>
        <v>1</v>
      </c>
      <c r="G3786" t="str">
        <f t="shared" si="355"/>
        <v>1F9DA</v>
      </c>
      <c r="I3786">
        <f>HEX2DEC(Table1[[#This Row],[utf8]])</f>
        <v>129498</v>
      </c>
      <c r="J3786" t="str">
        <f>_xlfn.UNICHAR(HEX2DEC(Table1[[#This Row],[utf8]]))</f>
        <v>🧚</v>
      </c>
      <c r="K3786" s="3" t="str" cm="1">
        <f t="array" ref="K3786">"Case "&amp;wRandomLetter()&amp;wRandomLetter()&amp;I3786&amp;":    UniConst = ChrW(" &amp; I3786 &amp;")"</f>
        <v>Case Bz129498:    UniConst = ChrW(129498)</v>
      </c>
    </row>
    <row r="3787" spans="1:11" hidden="1">
      <c r="A3787" t="s">
        <v>1692</v>
      </c>
      <c r="B3787" t="str">
        <f t="shared" si="356"/>
        <v>1F9DA 200D 2640 FE0F ; fully-qualified # 🧚‍♀️ E5.0 woman fairy</v>
      </c>
      <c r="C3787" t="str">
        <f t="shared" si="357"/>
        <v xml:space="preserve">1F9DA 200D 2640 FE0F </v>
      </c>
      <c r="D3787">
        <f t="shared" si="358"/>
        <v>21</v>
      </c>
      <c r="E3787" t="str">
        <f t="shared" si="354"/>
        <v xml:space="preserve"> 🧚‍♀️ E5.0 woman fairy</v>
      </c>
      <c r="F3787" t="b">
        <f t="shared" si="359"/>
        <v>1</v>
      </c>
      <c r="G3787" t="str">
        <f t="shared" si="355"/>
        <v>1F9DA</v>
      </c>
      <c r="I3787">
        <f>HEX2DEC(Table1[[#This Row],[utf8]])</f>
        <v>129498</v>
      </c>
      <c r="J3787" t="str">
        <f>_xlfn.UNICHAR(HEX2DEC(Table1[[#This Row],[utf8]]))</f>
        <v>🧚</v>
      </c>
      <c r="K3787" s="3" t="str" cm="1">
        <f t="array" ref="K3787">"Case "&amp;wRandomLetter()&amp;wRandomLetter()&amp;I3787&amp;":    UniConst = ChrW(" &amp; I3787 &amp;")"</f>
        <v>Case qG129498:    UniConst = ChrW(129498)</v>
      </c>
    </row>
    <row r="3788" spans="1:11" hidden="1">
      <c r="A3788" t="s">
        <v>1681</v>
      </c>
      <c r="B3788" t="str">
        <f t="shared" si="356"/>
        <v>1F9DA 200D 2642 ; minimally-qualified # 🧚‍♂ E5.0 man fairy</v>
      </c>
      <c r="C3788" t="str">
        <f t="shared" si="357"/>
        <v xml:space="preserve">1F9DA 200D 2642 </v>
      </c>
      <c r="D3788">
        <f t="shared" si="358"/>
        <v>16</v>
      </c>
      <c r="E3788" t="str">
        <f t="shared" si="354"/>
        <v xml:space="preserve"> 🧚‍♂ E5.0 man fairy</v>
      </c>
      <c r="F3788" t="b">
        <f t="shared" si="359"/>
        <v>1</v>
      </c>
      <c r="G3788" t="str">
        <f t="shared" si="355"/>
        <v>1F9DA</v>
      </c>
      <c r="I3788">
        <f>HEX2DEC(Table1[[#This Row],[utf8]])</f>
        <v>129498</v>
      </c>
      <c r="J3788" t="str">
        <f>_xlfn.UNICHAR(HEX2DEC(Table1[[#This Row],[utf8]]))</f>
        <v>🧚</v>
      </c>
      <c r="K3788" s="3" t="str" cm="1">
        <f t="array" ref="K3788">"Case "&amp;wRandomLetter()&amp;wRandomLetter()&amp;I3788&amp;":    UniConst = ChrW(" &amp; I3788 &amp;")"</f>
        <v>Case lU129498:    UniConst = ChrW(129498)</v>
      </c>
    </row>
    <row r="3789" spans="1:11" hidden="1">
      <c r="A3789" t="s">
        <v>1680</v>
      </c>
      <c r="B3789" t="str">
        <f t="shared" si="356"/>
        <v>1F9DA 200D 2642 FE0F ; fully-qualified # 🧚‍♂️ E5.0 man fairy</v>
      </c>
      <c r="C3789" t="str">
        <f t="shared" si="357"/>
        <v xml:space="preserve">1F9DA 200D 2642 FE0F </v>
      </c>
      <c r="D3789">
        <f t="shared" si="358"/>
        <v>21</v>
      </c>
      <c r="E3789" t="str">
        <f t="shared" si="354"/>
        <v xml:space="preserve"> 🧚‍♂️ E5.0 man fairy</v>
      </c>
      <c r="F3789" t="b">
        <f t="shared" si="359"/>
        <v>1</v>
      </c>
      <c r="G3789" t="str">
        <f t="shared" si="355"/>
        <v>1F9DA</v>
      </c>
      <c r="I3789">
        <f>HEX2DEC(Table1[[#This Row],[utf8]])</f>
        <v>129498</v>
      </c>
      <c r="J3789" t="str">
        <f>_xlfn.UNICHAR(HEX2DEC(Table1[[#This Row],[utf8]]))</f>
        <v>🧚</v>
      </c>
      <c r="K3789" s="3" t="str" cm="1">
        <f t="array" ref="K3789">"Case "&amp;wRandomLetter()&amp;wRandomLetter()&amp;I3789&amp;":    UniConst = ChrW(" &amp; I3789 &amp;")"</f>
        <v>Case YF129498:    UniConst = ChrW(129498)</v>
      </c>
    </row>
    <row r="3790" spans="1:11" hidden="1">
      <c r="A3790" t="s">
        <v>1704</v>
      </c>
      <c r="B3790" t="str">
        <f t="shared" si="356"/>
        <v>1F9DB ; fully-qualified # 🧛 E5.0 vampire</v>
      </c>
      <c r="C3790" t="str">
        <f t="shared" si="357"/>
        <v xml:space="preserve">1F9DB </v>
      </c>
      <c r="D3790">
        <f t="shared" si="358"/>
        <v>6</v>
      </c>
      <c r="E3790" t="str">
        <f t="shared" si="354"/>
        <v xml:space="preserve"> 🧛 E5.0 vampire</v>
      </c>
      <c r="F3790" t="b">
        <f t="shared" si="359"/>
        <v>1</v>
      </c>
      <c r="G3790" t="str">
        <f t="shared" si="355"/>
        <v>1F9DB</v>
      </c>
      <c r="I3790">
        <f>HEX2DEC(Table1[[#This Row],[utf8]])</f>
        <v>129499</v>
      </c>
      <c r="J3790" t="str">
        <f>_xlfn.UNICHAR(HEX2DEC(Table1[[#This Row],[utf8]]))</f>
        <v>🧛</v>
      </c>
      <c r="K3790" s="3" t="str" cm="1">
        <f t="array" ref="K3790">"Case "&amp;wRandomLetter()&amp;wRandomLetter()&amp;I3790&amp;":    UniConst = ChrW(" &amp; I3790 &amp;")"</f>
        <v>Case Jd129499:    UniConst = ChrW(129499)</v>
      </c>
    </row>
    <row r="3791" spans="1:11" hidden="1">
      <c r="A3791" t="s">
        <v>1705</v>
      </c>
      <c r="B3791" t="str">
        <f t="shared" si="356"/>
        <v>1F9DB 1F3FB ; fully-qualified # 🧛🏻 E5.0 vampire: light skin tone</v>
      </c>
      <c r="C3791" t="str">
        <f t="shared" si="357"/>
        <v xml:space="preserve">1F9DB 1F3FB </v>
      </c>
      <c r="D3791">
        <f t="shared" si="358"/>
        <v>12</v>
      </c>
      <c r="E3791" t="str">
        <f t="shared" si="354"/>
        <v xml:space="preserve"> 🧛🏻 E5.0 vampire: light skin tone</v>
      </c>
      <c r="F3791" t="b">
        <f t="shared" si="359"/>
        <v>1</v>
      </c>
      <c r="G3791" t="str">
        <f t="shared" si="355"/>
        <v>1F9DB</v>
      </c>
      <c r="I3791">
        <f>HEX2DEC(Table1[[#This Row],[utf8]])</f>
        <v>129499</v>
      </c>
      <c r="J3791" t="str">
        <f>_xlfn.UNICHAR(HEX2DEC(Table1[[#This Row],[utf8]]))</f>
        <v>🧛</v>
      </c>
      <c r="K3791" s="3" t="str" cm="1">
        <f t="array" ref="K3791">"Case "&amp;wRandomLetter()&amp;wRandomLetter()&amp;I3791&amp;":    UniConst = ChrW(" &amp; I3791 &amp;")"</f>
        <v>Case LN129499:    UniConst = ChrW(129499)</v>
      </c>
    </row>
    <row r="3792" spans="1:11" hidden="1">
      <c r="A3792" t="s">
        <v>1725</v>
      </c>
      <c r="B3792" t="str">
        <f t="shared" si="356"/>
        <v>1F9DB 1F3FB 200D 2640 ; minimally-qualified # 🧛🏻‍♀ E5.0 woman vampire: light skin tone</v>
      </c>
      <c r="C3792" t="str">
        <f t="shared" si="357"/>
        <v xml:space="preserve">1F9DB 1F3FB 200D 2640 </v>
      </c>
      <c r="D3792">
        <f t="shared" si="358"/>
        <v>22</v>
      </c>
      <c r="E3792" t="str">
        <f t="shared" si="354"/>
        <v xml:space="preserve"> 🧛🏻‍♀ E5.0 woman vampire: light skin tone</v>
      </c>
      <c r="F3792" t="b">
        <f t="shared" si="359"/>
        <v>1</v>
      </c>
      <c r="G3792" t="str">
        <f t="shared" si="355"/>
        <v>1F9DB</v>
      </c>
      <c r="I3792">
        <f>HEX2DEC(Table1[[#This Row],[utf8]])</f>
        <v>129499</v>
      </c>
      <c r="J3792" t="str">
        <f>_xlfn.UNICHAR(HEX2DEC(Table1[[#This Row],[utf8]]))</f>
        <v>🧛</v>
      </c>
      <c r="K3792" s="3" t="str" cm="1">
        <f t="array" ref="K3792">"Case "&amp;wRandomLetter()&amp;wRandomLetter()&amp;I3792&amp;":    UniConst = ChrW(" &amp; I3792 &amp;")"</f>
        <v>Case ff129499:    UniConst = ChrW(129499)</v>
      </c>
    </row>
    <row r="3793" spans="1:11" hidden="1">
      <c r="A3793" t="s">
        <v>1724</v>
      </c>
      <c r="B3793" t="str">
        <f t="shared" si="356"/>
        <v>1F9DB 1F3FB 200D 2640 FE0F ; fully-qualified # 🧛🏻‍♀️ E5.0 woman vampire: light skin tone</v>
      </c>
      <c r="C3793" t="str">
        <f t="shared" si="357"/>
        <v xml:space="preserve">1F9DB 1F3FB 200D 2640 FE0F </v>
      </c>
      <c r="D3793">
        <f t="shared" si="358"/>
        <v>27</v>
      </c>
      <c r="E3793" t="str">
        <f t="shared" si="354"/>
        <v xml:space="preserve"> 🧛🏻‍♀️ E5.0 woman vampire: light skin tone</v>
      </c>
      <c r="F3793" t="b">
        <f t="shared" si="359"/>
        <v>1</v>
      </c>
      <c r="G3793" t="str">
        <f t="shared" si="355"/>
        <v>1F9DB</v>
      </c>
      <c r="I3793">
        <f>HEX2DEC(Table1[[#This Row],[utf8]])</f>
        <v>129499</v>
      </c>
      <c r="J3793" t="str">
        <f>_xlfn.UNICHAR(HEX2DEC(Table1[[#This Row],[utf8]]))</f>
        <v>🧛</v>
      </c>
      <c r="K3793" s="3" t="str" cm="1">
        <f t="array" ref="K3793">"Case "&amp;wRandomLetter()&amp;wRandomLetter()&amp;I3793&amp;":    UniConst = ChrW(" &amp; I3793 &amp;")"</f>
        <v>Case il129499:    UniConst = ChrW(129499)</v>
      </c>
    </row>
    <row r="3794" spans="1:11" hidden="1">
      <c r="A3794" t="s">
        <v>1713</v>
      </c>
      <c r="B3794" t="str">
        <f t="shared" si="356"/>
        <v>1F9DB 1F3FB 200D 2642 ; minimally-qualified # 🧛🏻‍♂ E5.0 man vampire: light skin tone</v>
      </c>
      <c r="C3794" t="str">
        <f t="shared" si="357"/>
        <v xml:space="preserve">1F9DB 1F3FB 200D 2642 </v>
      </c>
      <c r="D3794">
        <f t="shared" si="358"/>
        <v>22</v>
      </c>
      <c r="E3794" t="str">
        <f t="shared" si="354"/>
        <v xml:space="preserve"> 🧛🏻‍♂ E5.0 man vampire: light skin tone</v>
      </c>
      <c r="F3794" t="b">
        <f t="shared" si="359"/>
        <v>1</v>
      </c>
      <c r="G3794" t="str">
        <f t="shared" si="355"/>
        <v>1F9DB</v>
      </c>
      <c r="I3794">
        <f>HEX2DEC(Table1[[#This Row],[utf8]])</f>
        <v>129499</v>
      </c>
      <c r="J3794" t="str">
        <f>_xlfn.UNICHAR(HEX2DEC(Table1[[#This Row],[utf8]]))</f>
        <v>🧛</v>
      </c>
      <c r="K3794" s="3" t="str" cm="1">
        <f t="array" ref="K3794">"Case "&amp;wRandomLetter()&amp;wRandomLetter()&amp;I3794&amp;":    UniConst = ChrW(" &amp; I3794 &amp;")"</f>
        <v>Case wB129499:    UniConst = ChrW(129499)</v>
      </c>
    </row>
    <row r="3795" spans="1:11" hidden="1">
      <c r="A3795" t="s">
        <v>1712</v>
      </c>
      <c r="B3795" t="str">
        <f t="shared" si="356"/>
        <v>1F9DB 1F3FB 200D 2642 FE0F ; fully-qualified # 🧛🏻‍♂️ E5.0 man vampire: light skin tone</v>
      </c>
      <c r="C3795" t="str">
        <f t="shared" si="357"/>
        <v xml:space="preserve">1F9DB 1F3FB 200D 2642 FE0F </v>
      </c>
      <c r="D3795">
        <f t="shared" si="358"/>
        <v>27</v>
      </c>
      <c r="E3795" t="str">
        <f t="shared" si="354"/>
        <v xml:space="preserve"> 🧛🏻‍♂️ E5.0 man vampire: light skin tone</v>
      </c>
      <c r="F3795" t="b">
        <f t="shared" si="359"/>
        <v>1</v>
      </c>
      <c r="G3795" t="str">
        <f t="shared" si="355"/>
        <v>1F9DB</v>
      </c>
      <c r="I3795">
        <f>HEX2DEC(Table1[[#This Row],[utf8]])</f>
        <v>129499</v>
      </c>
      <c r="J3795" t="str">
        <f>_xlfn.UNICHAR(HEX2DEC(Table1[[#This Row],[utf8]]))</f>
        <v>🧛</v>
      </c>
      <c r="K3795" s="3" t="str" cm="1">
        <f t="array" ref="K3795">"Case "&amp;wRandomLetter()&amp;wRandomLetter()&amp;I3795&amp;":    UniConst = ChrW(" &amp; I3795 &amp;")"</f>
        <v>Case rV129499:    UniConst = ChrW(129499)</v>
      </c>
    </row>
    <row r="3796" spans="1:11" hidden="1">
      <c r="A3796" t="s">
        <v>1706</v>
      </c>
      <c r="B3796" t="str">
        <f t="shared" si="356"/>
        <v>1F9DB 1F3FC ; fully-qualified # 🧛🏼 E5.0 vampire: medium-light skin tone</v>
      </c>
      <c r="C3796" t="str">
        <f t="shared" si="357"/>
        <v xml:space="preserve">1F9DB 1F3FC </v>
      </c>
      <c r="D3796">
        <f t="shared" si="358"/>
        <v>12</v>
      </c>
      <c r="E3796" t="str">
        <f t="shared" si="354"/>
        <v xml:space="preserve"> 🧛🏼 E5.0 vampire: medium-light skin tone</v>
      </c>
      <c r="F3796" t="b">
        <f t="shared" si="359"/>
        <v>1</v>
      </c>
      <c r="G3796" t="str">
        <f t="shared" si="355"/>
        <v>1F9DB</v>
      </c>
      <c r="I3796">
        <f>HEX2DEC(Table1[[#This Row],[utf8]])</f>
        <v>129499</v>
      </c>
      <c r="J3796" t="str">
        <f>_xlfn.UNICHAR(HEX2DEC(Table1[[#This Row],[utf8]]))</f>
        <v>🧛</v>
      </c>
      <c r="K3796" s="3" t="str" cm="1">
        <f t="array" ref="K3796">"Case "&amp;wRandomLetter()&amp;wRandomLetter()&amp;I3796&amp;":    UniConst = ChrW(" &amp; I3796 &amp;")"</f>
        <v>Case VL129499:    UniConst = ChrW(129499)</v>
      </c>
    </row>
    <row r="3797" spans="1:11" hidden="1">
      <c r="A3797" t="s">
        <v>1727</v>
      </c>
      <c r="B3797" t="str">
        <f t="shared" si="356"/>
        <v>1F9DB 1F3FC 200D 2640 ; minimally-qualified # 🧛🏼‍♀ E5.0 woman vampire: medium-light skin tone</v>
      </c>
      <c r="C3797" t="str">
        <f t="shared" si="357"/>
        <v xml:space="preserve">1F9DB 1F3FC 200D 2640 </v>
      </c>
      <c r="D3797">
        <f t="shared" si="358"/>
        <v>22</v>
      </c>
      <c r="E3797" t="str">
        <f t="shared" si="354"/>
        <v xml:space="preserve"> 🧛🏼‍♀ E5.0 woman vampire: medium-light skin tone</v>
      </c>
      <c r="F3797" t="b">
        <f t="shared" si="359"/>
        <v>1</v>
      </c>
      <c r="G3797" t="str">
        <f t="shared" si="355"/>
        <v>1F9DB</v>
      </c>
      <c r="I3797">
        <f>HEX2DEC(Table1[[#This Row],[utf8]])</f>
        <v>129499</v>
      </c>
      <c r="J3797" t="str">
        <f>_xlfn.UNICHAR(HEX2DEC(Table1[[#This Row],[utf8]]))</f>
        <v>🧛</v>
      </c>
      <c r="K3797" s="3" t="str" cm="1">
        <f t="array" ref="K3797">"Case "&amp;wRandomLetter()&amp;wRandomLetter()&amp;I3797&amp;":    UniConst = ChrW(" &amp; I3797 &amp;")"</f>
        <v>Case Km129499:    UniConst = ChrW(129499)</v>
      </c>
    </row>
    <row r="3798" spans="1:11" hidden="1">
      <c r="A3798" t="s">
        <v>1726</v>
      </c>
      <c r="B3798" t="str">
        <f t="shared" si="356"/>
        <v>1F9DB 1F3FC 200D 2640 FE0F ; fully-qualified # 🧛🏼‍♀️ E5.0 woman vampire: medium-light skin tone</v>
      </c>
      <c r="C3798" t="str">
        <f t="shared" si="357"/>
        <v xml:space="preserve">1F9DB 1F3FC 200D 2640 FE0F </v>
      </c>
      <c r="D3798">
        <f t="shared" si="358"/>
        <v>27</v>
      </c>
      <c r="E3798" t="str">
        <f t="shared" si="354"/>
        <v xml:space="preserve"> 🧛🏼‍♀️ E5.0 woman vampire: medium-light skin tone</v>
      </c>
      <c r="F3798" t="b">
        <f t="shared" si="359"/>
        <v>1</v>
      </c>
      <c r="G3798" t="str">
        <f t="shared" si="355"/>
        <v>1F9DB</v>
      </c>
      <c r="I3798">
        <f>HEX2DEC(Table1[[#This Row],[utf8]])</f>
        <v>129499</v>
      </c>
      <c r="J3798" t="str">
        <f>_xlfn.UNICHAR(HEX2DEC(Table1[[#This Row],[utf8]]))</f>
        <v>🧛</v>
      </c>
      <c r="K3798" s="3" t="str" cm="1">
        <f t="array" ref="K3798">"Case "&amp;wRandomLetter()&amp;wRandomLetter()&amp;I3798&amp;":    UniConst = ChrW(" &amp; I3798 &amp;")"</f>
        <v>Case qU129499:    UniConst = ChrW(129499)</v>
      </c>
    </row>
    <row r="3799" spans="1:11" hidden="1">
      <c r="A3799" t="s">
        <v>1715</v>
      </c>
      <c r="B3799" t="str">
        <f t="shared" si="356"/>
        <v>1F9DB 1F3FC 200D 2642 ; minimally-qualified # 🧛🏼‍♂ E5.0 man vampire: medium-light skin tone</v>
      </c>
      <c r="C3799" t="str">
        <f t="shared" si="357"/>
        <v xml:space="preserve">1F9DB 1F3FC 200D 2642 </v>
      </c>
      <c r="D3799">
        <f t="shared" si="358"/>
        <v>22</v>
      </c>
      <c r="E3799" t="str">
        <f t="shared" si="354"/>
        <v xml:space="preserve"> 🧛🏼‍♂ E5.0 man vampire: medium-light skin tone</v>
      </c>
      <c r="F3799" t="b">
        <f t="shared" si="359"/>
        <v>1</v>
      </c>
      <c r="G3799" t="str">
        <f t="shared" si="355"/>
        <v>1F9DB</v>
      </c>
      <c r="I3799">
        <f>HEX2DEC(Table1[[#This Row],[utf8]])</f>
        <v>129499</v>
      </c>
      <c r="J3799" t="str">
        <f>_xlfn.UNICHAR(HEX2DEC(Table1[[#This Row],[utf8]]))</f>
        <v>🧛</v>
      </c>
      <c r="K3799" s="3" t="str" cm="1">
        <f t="array" ref="K3799">"Case "&amp;wRandomLetter()&amp;wRandomLetter()&amp;I3799&amp;":    UniConst = ChrW(" &amp; I3799 &amp;")"</f>
        <v>Case qS129499:    UniConst = ChrW(129499)</v>
      </c>
    </row>
    <row r="3800" spans="1:11" hidden="1">
      <c r="A3800" t="s">
        <v>1714</v>
      </c>
      <c r="B3800" t="str">
        <f t="shared" si="356"/>
        <v>1F9DB 1F3FC 200D 2642 FE0F ; fully-qualified # 🧛🏼‍♂️ E5.0 man vampire: medium-light skin tone</v>
      </c>
      <c r="C3800" t="str">
        <f t="shared" si="357"/>
        <v xml:space="preserve">1F9DB 1F3FC 200D 2642 FE0F </v>
      </c>
      <c r="D3800">
        <f t="shared" si="358"/>
        <v>27</v>
      </c>
      <c r="E3800" t="str">
        <f t="shared" si="354"/>
        <v xml:space="preserve"> 🧛🏼‍♂️ E5.0 man vampire: medium-light skin tone</v>
      </c>
      <c r="F3800" t="b">
        <f t="shared" si="359"/>
        <v>1</v>
      </c>
      <c r="G3800" t="str">
        <f t="shared" si="355"/>
        <v>1F9DB</v>
      </c>
      <c r="I3800">
        <f>HEX2DEC(Table1[[#This Row],[utf8]])</f>
        <v>129499</v>
      </c>
      <c r="J3800" t="str">
        <f>_xlfn.UNICHAR(HEX2DEC(Table1[[#This Row],[utf8]]))</f>
        <v>🧛</v>
      </c>
      <c r="K3800" s="3" t="str" cm="1">
        <f t="array" ref="K3800">"Case "&amp;wRandomLetter()&amp;wRandomLetter()&amp;I3800&amp;":    UniConst = ChrW(" &amp; I3800 &amp;")"</f>
        <v>Case Xs129499:    UniConst = ChrW(129499)</v>
      </c>
    </row>
    <row r="3801" spans="1:11" hidden="1">
      <c r="A3801" t="s">
        <v>1707</v>
      </c>
      <c r="B3801" t="str">
        <f t="shared" si="356"/>
        <v>1F9DB 1F3FD ; fully-qualified # 🧛🏽 E5.0 vampire: medium skin tone</v>
      </c>
      <c r="C3801" t="str">
        <f t="shared" si="357"/>
        <v xml:space="preserve">1F9DB 1F3FD </v>
      </c>
      <c r="D3801">
        <f t="shared" si="358"/>
        <v>12</v>
      </c>
      <c r="E3801" t="str">
        <f t="shared" si="354"/>
        <v xml:space="preserve"> 🧛🏽 E5.0 vampire: medium skin tone</v>
      </c>
      <c r="F3801" t="b">
        <f t="shared" si="359"/>
        <v>1</v>
      </c>
      <c r="G3801" t="str">
        <f t="shared" si="355"/>
        <v>1F9DB</v>
      </c>
      <c r="I3801">
        <f>HEX2DEC(Table1[[#This Row],[utf8]])</f>
        <v>129499</v>
      </c>
      <c r="J3801" t="str">
        <f>_xlfn.UNICHAR(HEX2DEC(Table1[[#This Row],[utf8]]))</f>
        <v>🧛</v>
      </c>
      <c r="K3801" s="3" t="str" cm="1">
        <f t="array" ref="K3801">"Case "&amp;wRandomLetter()&amp;wRandomLetter()&amp;I3801&amp;":    UniConst = ChrW(" &amp; I3801 &amp;")"</f>
        <v>Case RE129499:    UniConst = ChrW(129499)</v>
      </c>
    </row>
    <row r="3802" spans="1:11" hidden="1">
      <c r="A3802" t="s">
        <v>1729</v>
      </c>
      <c r="B3802" t="str">
        <f t="shared" si="356"/>
        <v>1F9DB 1F3FD 200D 2640 ; minimally-qualified # 🧛🏽‍♀ E5.0 woman vampire: medium skin tone</v>
      </c>
      <c r="C3802" t="str">
        <f t="shared" si="357"/>
        <v xml:space="preserve">1F9DB 1F3FD 200D 2640 </v>
      </c>
      <c r="D3802">
        <f t="shared" si="358"/>
        <v>22</v>
      </c>
      <c r="E3802" t="str">
        <f t="shared" si="354"/>
        <v xml:space="preserve"> 🧛🏽‍♀ E5.0 woman vampire: medium skin tone</v>
      </c>
      <c r="F3802" t="b">
        <f t="shared" si="359"/>
        <v>1</v>
      </c>
      <c r="G3802" t="str">
        <f t="shared" si="355"/>
        <v>1F9DB</v>
      </c>
      <c r="I3802">
        <f>HEX2DEC(Table1[[#This Row],[utf8]])</f>
        <v>129499</v>
      </c>
      <c r="J3802" t="str">
        <f>_xlfn.UNICHAR(HEX2DEC(Table1[[#This Row],[utf8]]))</f>
        <v>🧛</v>
      </c>
      <c r="K3802" s="3" t="str" cm="1">
        <f t="array" ref="K3802">"Case "&amp;wRandomLetter()&amp;wRandomLetter()&amp;I3802&amp;":    UniConst = ChrW(" &amp; I3802 &amp;")"</f>
        <v>Case yt129499:    UniConst = ChrW(129499)</v>
      </c>
    </row>
    <row r="3803" spans="1:11" hidden="1">
      <c r="A3803" t="s">
        <v>1728</v>
      </c>
      <c r="B3803" t="str">
        <f t="shared" si="356"/>
        <v>1F9DB 1F3FD 200D 2640 FE0F ; fully-qualified # 🧛🏽‍♀️ E5.0 woman vampire: medium skin tone</v>
      </c>
      <c r="C3803" t="str">
        <f t="shared" si="357"/>
        <v xml:space="preserve">1F9DB 1F3FD 200D 2640 FE0F </v>
      </c>
      <c r="D3803">
        <f t="shared" si="358"/>
        <v>27</v>
      </c>
      <c r="E3803" t="str">
        <f t="shared" si="354"/>
        <v xml:space="preserve"> 🧛🏽‍♀️ E5.0 woman vampire: medium skin tone</v>
      </c>
      <c r="F3803" t="b">
        <f t="shared" si="359"/>
        <v>1</v>
      </c>
      <c r="G3803" t="str">
        <f t="shared" si="355"/>
        <v>1F9DB</v>
      </c>
      <c r="I3803">
        <f>HEX2DEC(Table1[[#This Row],[utf8]])</f>
        <v>129499</v>
      </c>
      <c r="J3803" t="str">
        <f>_xlfn.UNICHAR(HEX2DEC(Table1[[#This Row],[utf8]]))</f>
        <v>🧛</v>
      </c>
      <c r="K3803" s="3" t="str" cm="1">
        <f t="array" ref="K3803">"Case "&amp;wRandomLetter()&amp;wRandomLetter()&amp;I3803&amp;":    UniConst = ChrW(" &amp; I3803 &amp;")"</f>
        <v>Case as129499:    UniConst = ChrW(129499)</v>
      </c>
    </row>
    <row r="3804" spans="1:11" hidden="1">
      <c r="A3804" t="s">
        <v>1717</v>
      </c>
      <c r="B3804" t="str">
        <f t="shared" si="356"/>
        <v>1F9DB 1F3FD 200D 2642 ; minimally-qualified # 🧛🏽‍♂ E5.0 man vampire: medium skin tone</v>
      </c>
      <c r="C3804" t="str">
        <f t="shared" si="357"/>
        <v xml:space="preserve">1F9DB 1F3FD 200D 2642 </v>
      </c>
      <c r="D3804">
        <f t="shared" si="358"/>
        <v>22</v>
      </c>
      <c r="E3804" t="str">
        <f t="shared" si="354"/>
        <v xml:space="preserve"> 🧛🏽‍♂ E5.0 man vampire: medium skin tone</v>
      </c>
      <c r="F3804" t="b">
        <f t="shared" si="359"/>
        <v>1</v>
      </c>
      <c r="G3804" t="str">
        <f t="shared" si="355"/>
        <v>1F9DB</v>
      </c>
      <c r="I3804">
        <f>HEX2DEC(Table1[[#This Row],[utf8]])</f>
        <v>129499</v>
      </c>
      <c r="J3804" t="str">
        <f>_xlfn.UNICHAR(HEX2DEC(Table1[[#This Row],[utf8]]))</f>
        <v>🧛</v>
      </c>
      <c r="K3804" s="3" t="str" cm="1">
        <f t="array" ref="K3804">"Case "&amp;wRandomLetter()&amp;wRandomLetter()&amp;I3804&amp;":    UniConst = ChrW(" &amp; I3804 &amp;")"</f>
        <v>Case dm129499:    UniConst = ChrW(129499)</v>
      </c>
    </row>
    <row r="3805" spans="1:11" hidden="1">
      <c r="A3805" t="s">
        <v>1716</v>
      </c>
      <c r="B3805" t="str">
        <f t="shared" si="356"/>
        <v>1F9DB 1F3FD 200D 2642 FE0F ; fully-qualified # 🧛🏽‍♂️ E5.0 man vampire: medium skin tone</v>
      </c>
      <c r="C3805" t="str">
        <f t="shared" si="357"/>
        <v xml:space="preserve">1F9DB 1F3FD 200D 2642 FE0F </v>
      </c>
      <c r="D3805">
        <f t="shared" si="358"/>
        <v>27</v>
      </c>
      <c r="E3805" t="str">
        <f t="shared" si="354"/>
        <v xml:space="preserve"> 🧛🏽‍♂️ E5.0 man vampire: medium skin tone</v>
      </c>
      <c r="F3805" t="b">
        <f t="shared" si="359"/>
        <v>1</v>
      </c>
      <c r="G3805" t="str">
        <f t="shared" si="355"/>
        <v>1F9DB</v>
      </c>
      <c r="I3805">
        <f>HEX2DEC(Table1[[#This Row],[utf8]])</f>
        <v>129499</v>
      </c>
      <c r="J3805" t="str">
        <f>_xlfn.UNICHAR(HEX2DEC(Table1[[#This Row],[utf8]]))</f>
        <v>🧛</v>
      </c>
      <c r="K3805" s="3" t="str" cm="1">
        <f t="array" ref="K3805">"Case "&amp;wRandomLetter()&amp;wRandomLetter()&amp;I3805&amp;":    UniConst = ChrW(" &amp; I3805 &amp;")"</f>
        <v>Case Qi129499:    UniConst = ChrW(129499)</v>
      </c>
    </row>
    <row r="3806" spans="1:11" hidden="1">
      <c r="A3806" t="s">
        <v>1708</v>
      </c>
      <c r="B3806" t="str">
        <f t="shared" si="356"/>
        <v>1F9DB 1F3FE ; fully-qualified # 🧛🏾 E5.0 vampire: medium-dark skin tone</v>
      </c>
      <c r="C3806" t="str">
        <f t="shared" si="357"/>
        <v xml:space="preserve">1F9DB 1F3FE </v>
      </c>
      <c r="D3806">
        <f t="shared" si="358"/>
        <v>12</v>
      </c>
      <c r="E3806" t="str">
        <f t="shared" si="354"/>
        <v xml:space="preserve"> 🧛🏾 E5.0 vampire: medium-dark skin tone</v>
      </c>
      <c r="F3806" t="b">
        <f t="shared" si="359"/>
        <v>1</v>
      </c>
      <c r="G3806" t="str">
        <f t="shared" si="355"/>
        <v>1F9DB</v>
      </c>
      <c r="I3806">
        <f>HEX2DEC(Table1[[#This Row],[utf8]])</f>
        <v>129499</v>
      </c>
      <c r="J3806" t="str">
        <f>_xlfn.UNICHAR(HEX2DEC(Table1[[#This Row],[utf8]]))</f>
        <v>🧛</v>
      </c>
      <c r="K3806" s="3" t="str" cm="1">
        <f t="array" ref="K3806">"Case "&amp;wRandomLetter()&amp;wRandomLetter()&amp;I3806&amp;":    UniConst = ChrW(" &amp; I3806 &amp;")"</f>
        <v>Case Xu129499:    UniConst = ChrW(129499)</v>
      </c>
    </row>
    <row r="3807" spans="1:11" hidden="1">
      <c r="A3807" t="s">
        <v>1731</v>
      </c>
      <c r="B3807" t="str">
        <f t="shared" si="356"/>
        <v>1F9DB 1F3FE 200D 2640 ; minimally-qualified # 🧛🏾‍♀ E5.0 woman vampire: medium-dark skin tone</v>
      </c>
      <c r="C3807" t="str">
        <f t="shared" si="357"/>
        <v xml:space="preserve">1F9DB 1F3FE 200D 2640 </v>
      </c>
      <c r="D3807">
        <f t="shared" si="358"/>
        <v>22</v>
      </c>
      <c r="E3807" t="str">
        <f t="shared" si="354"/>
        <v xml:space="preserve"> 🧛🏾‍♀ E5.0 woman vampire: medium-dark skin tone</v>
      </c>
      <c r="F3807" t="b">
        <f t="shared" si="359"/>
        <v>1</v>
      </c>
      <c r="G3807" t="str">
        <f t="shared" si="355"/>
        <v>1F9DB</v>
      </c>
      <c r="I3807">
        <f>HEX2DEC(Table1[[#This Row],[utf8]])</f>
        <v>129499</v>
      </c>
      <c r="J3807" t="str">
        <f>_xlfn.UNICHAR(HEX2DEC(Table1[[#This Row],[utf8]]))</f>
        <v>🧛</v>
      </c>
      <c r="K3807" s="3" t="str" cm="1">
        <f t="array" ref="K3807">"Case "&amp;wRandomLetter()&amp;wRandomLetter()&amp;I3807&amp;":    UniConst = ChrW(" &amp; I3807 &amp;")"</f>
        <v>Case tI129499:    UniConst = ChrW(129499)</v>
      </c>
    </row>
    <row r="3808" spans="1:11" hidden="1">
      <c r="A3808" t="s">
        <v>1730</v>
      </c>
      <c r="B3808" t="str">
        <f t="shared" si="356"/>
        <v>1F9DB 1F3FE 200D 2640 FE0F ; fully-qualified # 🧛🏾‍♀️ E5.0 woman vampire: medium-dark skin tone</v>
      </c>
      <c r="C3808" t="str">
        <f t="shared" si="357"/>
        <v xml:space="preserve">1F9DB 1F3FE 200D 2640 FE0F </v>
      </c>
      <c r="D3808">
        <f t="shared" si="358"/>
        <v>27</v>
      </c>
      <c r="E3808" t="str">
        <f t="shared" si="354"/>
        <v xml:space="preserve"> 🧛🏾‍♀️ E5.0 woman vampire: medium-dark skin tone</v>
      </c>
      <c r="F3808" t="b">
        <f t="shared" si="359"/>
        <v>1</v>
      </c>
      <c r="G3808" t="str">
        <f t="shared" si="355"/>
        <v>1F9DB</v>
      </c>
      <c r="I3808">
        <f>HEX2DEC(Table1[[#This Row],[utf8]])</f>
        <v>129499</v>
      </c>
      <c r="J3808" t="str">
        <f>_xlfn.UNICHAR(HEX2DEC(Table1[[#This Row],[utf8]]))</f>
        <v>🧛</v>
      </c>
      <c r="K3808" s="3" t="str" cm="1">
        <f t="array" ref="K3808">"Case "&amp;wRandomLetter()&amp;wRandomLetter()&amp;I3808&amp;":    UniConst = ChrW(" &amp; I3808 &amp;")"</f>
        <v>Case qD129499:    UniConst = ChrW(129499)</v>
      </c>
    </row>
    <row r="3809" spans="1:11" hidden="1">
      <c r="A3809" t="s">
        <v>1719</v>
      </c>
      <c r="B3809" t="str">
        <f t="shared" si="356"/>
        <v>1F9DB 1F3FE 200D 2642 ; minimally-qualified # 🧛🏾‍♂ E5.0 man vampire: medium-dark skin tone</v>
      </c>
      <c r="C3809" t="str">
        <f t="shared" si="357"/>
        <v xml:space="preserve">1F9DB 1F3FE 200D 2642 </v>
      </c>
      <c r="D3809">
        <f t="shared" si="358"/>
        <v>22</v>
      </c>
      <c r="E3809" t="str">
        <f t="shared" si="354"/>
        <v xml:space="preserve"> 🧛🏾‍♂ E5.0 man vampire: medium-dark skin tone</v>
      </c>
      <c r="F3809" t="b">
        <f t="shared" si="359"/>
        <v>1</v>
      </c>
      <c r="G3809" t="str">
        <f t="shared" si="355"/>
        <v>1F9DB</v>
      </c>
      <c r="I3809">
        <f>HEX2DEC(Table1[[#This Row],[utf8]])</f>
        <v>129499</v>
      </c>
      <c r="J3809" t="str">
        <f>_xlfn.UNICHAR(HEX2DEC(Table1[[#This Row],[utf8]]))</f>
        <v>🧛</v>
      </c>
      <c r="K3809" s="3" t="str" cm="1">
        <f t="array" ref="K3809">"Case "&amp;wRandomLetter()&amp;wRandomLetter()&amp;I3809&amp;":    UniConst = ChrW(" &amp; I3809 &amp;")"</f>
        <v>Case tK129499:    UniConst = ChrW(129499)</v>
      </c>
    </row>
    <row r="3810" spans="1:11" hidden="1">
      <c r="A3810" t="s">
        <v>1718</v>
      </c>
      <c r="B3810" t="str">
        <f t="shared" si="356"/>
        <v>1F9DB 1F3FE 200D 2642 FE0F ; fully-qualified # 🧛🏾‍♂️ E5.0 man vampire: medium-dark skin tone</v>
      </c>
      <c r="C3810" t="str">
        <f t="shared" si="357"/>
        <v xml:space="preserve">1F9DB 1F3FE 200D 2642 FE0F </v>
      </c>
      <c r="D3810">
        <f t="shared" si="358"/>
        <v>27</v>
      </c>
      <c r="E3810" t="str">
        <f t="shared" si="354"/>
        <v xml:space="preserve"> 🧛🏾‍♂️ E5.0 man vampire: medium-dark skin tone</v>
      </c>
      <c r="F3810" t="b">
        <f t="shared" si="359"/>
        <v>1</v>
      </c>
      <c r="G3810" t="str">
        <f t="shared" si="355"/>
        <v>1F9DB</v>
      </c>
      <c r="I3810">
        <f>HEX2DEC(Table1[[#This Row],[utf8]])</f>
        <v>129499</v>
      </c>
      <c r="J3810" t="str">
        <f>_xlfn.UNICHAR(HEX2DEC(Table1[[#This Row],[utf8]]))</f>
        <v>🧛</v>
      </c>
      <c r="K3810" s="3" t="str" cm="1">
        <f t="array" ref="K3810">"Case "&amp;wRandomLetter()&amp;wRandomLetter()&amp;I3810&amp;":    UniConst = ChrW(" &amp; I3810 &amp;")"</f>
        <v>Case Kl129499:    UniConst = ChrW(129499)</v>
      </c>
    </row>
    <row r="3811" spans="1:11" hidden="1">
      <c r="A3811" t="s">
        <v>1709</v>
      </c>
      <c r="B3811" t="str">
        <f t="shared" si="356"/>
        <v>1F9DB 1F3FF ; fully-qualified # 🧛🏿 E5.0 vampire: dark skin tone</v>
      </c>
      <c r="C3811" t="str">
        <f t="shared" si="357"/>
        <v xml:space="preserve">1F9DB 1F3FF </v>
      </c>
      <c r="D3811">
        <f t="shared" si="358"/>
        <v>12</v>
      </c>
      <c r="E3811" t="str">
        <f t="shared" si="354"/>
        <v xml:space="preserve"> 🧛🏿 E5.0 vampire: dark skin tone</v>
      </c>
      <c r="F3811" t="b">
        <f t="shared" si="359"/>
        <v>1</v>
      </c>
      <c r="G3811" t="str">
        <f t="shared" si="355"/>
        <v>1F9DB</v>
      </c>
      <c r="I3811">
        <f>HEX2DEC(Table1[[#This Row],[utf8]])</f>
        <v>129499</v>
      </c>
      <c r="J3811" t="str">
        <f>_xlfn.UNICHAR(HEX2DEC(Table1[[#This Row],[utf8]]))</f>
        <v>🧛</v>
      </c>
      <c r="K3811" s="3" t="str" cm="1">
        <f t="array" ref="K3811">"Case "&amp;wRandomLetter()&amp;wRandomLetter()&amp;I3811&amp;":    UniConst = ChrW(" &amp; I3811 &amp;")"</f>
        <v>Case SW129499:    UniConst = ChrW(129499)</v>
      </c>
    </row>
    <row r="3812" spans="1:11" hidden="1">
      <c r="A3812" t="s">
        <v>1733</v>
      </c>
      <c r="B3812" t="str">
        <f t="shared" si="356"/>
        <v>1F9DB 1F3FF 200D 2640 ; minimally-qualified # 🧛🏿‍♀ E5.0 woman vampire: dark skin tone</v>
      </c>
      <c r="C3812" t="str">
        <f t="shared" si="357"/>
        <v xml:space="preserve">1F9DB 1F3FF 200D 2640 </v>
      </c>
      <c r="D3812">
        <f t="shared" si="358"/>
        <v>22</v>
      </c>
      <c r="E3812" t="str">
        <f t="shared" si="354"/>
        <v xml:space="preserve"> 🧛🏿‍♀ E5.0 woman vampire: dark skin tone</v>
      </c>
      <c r="F3812" t="b">
        <f t="shared" si="359"/>
        <v>1</v>
      </c>
      <c r="G3812" t="str">
        <f t="shared" si="355"/>
        <v>1F9DB</v>
      </c>
      <c r="I3812">
        <f>HEX2DEC(Table1[[#This Row],[utf8]])</f>
        <v>129499</v>
      </c>
      <c r="J3812" t="str">
        <f>_xlfn.UNICHAR(HEX2DEC(Table1[[#This Row],[utf8]]))</f>
        <v>🧛</v>
      </c>
      <c r="K3812" s="3" t="str" cm="1">
        <f t="array" ref="K3812">"Case "&amp;wRandomLetter()&amp;wRandomLetter()&amp;I3812&amp;":    UniConst = ChrW(" &amp; I3812 &amp;")"</f>
        <v>Case fv129499:    UniConst = ChrW(129499)</v>
      </c>
    </row>
    <row r="3813" spans="1:11" hidden="1">
      <c r="A3813" t="s">
        <v>1732</v>
      </c>
      <c r="B3813" t="str">
        <f t="shared" si="356"/>
        <v>1F9DB 1F3FF 200D 2640 FE0F ; fully-qualified # 🧛🏿‍♀️ E5.0 woman vampire: dark skin tone</v>
      </c>
      <c r="C3813" t="str">
        <f t="shared" si="357"/>
        <v xml:space="preserve">1F9DB 1F3FF 200D 2640 FE0F </v>
      </c>
      <c r="D3813">
        <f t="shared" si="358"/>
        <v>27</v>
      </c>
      <c r="E3813" t="str">
        <f t="shared" si="354"/>
        <v xml:space="preserve"> 🧛🏿‍♀️ E5.0 woman vampire: dark skin tone</v>
      </c>
      <c r="F3813" t="b">
        <f t="shared" si="359"/>
        <v>1</v>
      </c>
      <c r="G3813" t="str">
        <f t="shared" si="355"/>
        <v>1F9DB</v>
      </c>
      <c r="I3813">
        <f>HEX2DEC(Table1[[#This Row],[utf8]])</f>
        <v>129499</v>
      </c>
      <c r="J3813" t="str">
        <f>_xlfn.UNICHAR(HEX2DEC(Table1[[#This Row],[utf8]]))</f>
        <v>🧛</v>
      </c>
      <c r="K3813" s="3" t="str" cm="1">
        <f t="array" ref="K3813">"Case "&amp;wRandomLetter()&amp;wRandomLetter()&amp;I3813&amp;":    UniConst = ChrW(" &amp; I3813 &amp;")"</f>
        <v>Case ej129499:    UniConst = ChrW(129499)</v>
      </c>
    </row>
    <row r="3814" spans="1:11" hidden="1">
      <c r="A3814" t="s">
        <v>1721</v>
      </c>
      <c r="B3814" t="str">
        <f t="shared" si="356"/>
        <v>1F9DB 1F3FF 200D 2642 ; minimally-qualified # 🧛🏿‍♂ E5.0 man vampire: dark skin tone</v>
      </c>
      <c r="C3814" t="str">
        <f t="shared" si="357"/>
        <v xml:space="preserve">1F9DB 1F3FF 200D 2642 </v>
      </c>
      <c r="D3814">
        <f t="shared" si="358"/>
        <v>22</v>
      </c>
      <c r="E3814" t="str">
        <f t="shared" si="354"/>
        <v xml:space="preserve"> 🧛🏿‍♂ E5.0 man vampire: dark skin tone</v>
      </c>
      <c r="F3814" t="b">
        <f t="shared" si="359"/>
        <v>1</v>
      </c>
      <c r="G3814" t="str">
        <f t="shared" si="355"/>
        <v>1F9DB</v>
      </c>
      <c r="I3814">
        <f>HEX2DEC(Table1[[#This Row],[utf8]])</f>
        <v>129499</v>
      </c>
      <c r="J3814" t="str">
        <f>_xlfn.UNICHAR(HEX2DEC(Table1[[#This Row],[utf8]]))</f>
        <v>🧛</v>
      </c>
      <c r="K3814" s="3" t="str" cm="1">
        <f t="array" ref="K3814">"Case "&amp;wRandomLetter()&amp;wRandomLetter()&amp;I3814&amp;":    UniConst = ChrW(" &amp; I3814 &amp;")"</f>
        <v>Case hn129499:    UniConst = ChrW(129499)</v>
      </c>
    </row>
    <row r="3815" spans="1:11" hidden="1">
      <c r="A3815" t="s">
        <v>1720</v>
      </c>
      <c r="B3815" t="str">
        <f t="shared" si="356"/>
        <v>1F9DB 1F3FF 200D 2642 FE0F ; fully-qualified # 🧛🏿‍♂️ E5.0 man vampire: dark skin tone</v>
      </c>
      <c r="C3815" t="str">
        <f t="shared" si="357"/>
        <v xml:space="preserve">1F9DB 1F3FF 200D 2642 FE0F </v>
      </c>
      <c r="D3815">
        <f t="shared" si="358"/>
        <v>27</v>
      </c>
      <c r="E3815" t="str">
        <f t="shared" si="354"/>
        <v xml:space="preserve"> 🧛🏿‍♂️ E5.0 man vampire: dark skin tone</v>
      </c>
      <c r="F3815" t="b">
        <f t="shared" si="359"/>
        <v>1</v>
      </c>
      <c r="G3815" t="str">
        <f t="shared" si="355"/>
        <v>1F9DB</v>
      </c>
      <c r="I3815">
        <f>HEX2DEC(Table1[[#This Row],[utf8]])</f>
        <v>129499</v>
      </c>
      <c r="J3815" t="str">
        <f>_xlfn.UNICHAR(HEX2DEC(Table1[[#This Row],[utf8]]))</f>
        <v>🧛</v>
      </c>
      <c r="K3815" s="3" t="str" cm="1">
        <f t="array" ref="K3815">"Case "&amp;wRandomLetter()&amp;wRandomLetter()&amp;I3815&amp;":    UniConst = ChrW(" &amp; I3815 &amp;")"</f>
        <v>Case jy129499:    UniConst = ChrW(129499)</v>
      </c>
    </row>
    <row r="3816" spans="1:11" hidden="1">
      <c r="A3816" t="s">
        <v>1723</v>
      </c>
      <c r="B3816" t="str">
        <f t="shared" si="356"/>
        <v>1F9DB 200D 2640 ; minimally-qualified # 🧛‍♀ E5.0 woman vampire</v>
      </c>
      <c r="C3816" t="str">
        <f t="shared" si="357"/>
        <v xml:space="preserve">1F9DB 200D 2640 </v>
      </c>
      <c r="D3816">
        <f t="shared" si="358"/>
        <v>16</v>
      </c>
      <c r="E3816" t="str">
        <f t="shared" si="354"/>
        <v xml:space="preserve"> 🧛‍♀ E5.0 woman vampire</v>
      </c>
      <c r="F3816" t="b">
        <f t="shared" si="359"/>
        <v>1</v>
      </c>
      <c r="G3816" t="str">
        <f t="shared" si="355"/>
        <v>1F9DB</v>
      </c>
      <c r="I3816">
        <f>HEX2DEC(Table1[[#This Row],[utf8]])</f>
        <v>129499</v>
      </c>
      <c r="J3816" t="str">
        <f>_xlfn.UNICHAR(HEX2DEC(Table1[[#This Row],[utf8]]))</f>
        <v>🧛</v>
      </c>
      <c r="K3816" s="3" t="str" cm="1">
        <f t="array" ref="K3816">"Case "&amp;wRandomLetter()&amp;wRandomLetter()&amp;I3816&amp;":    UniConst = ChrW(" &amp; I3816 &amp;")"</f>
        <v>Case Xf129499:    UniConst = ChrW(129499)</v>
      </c>
    </row>
    <row r="3817" spans="1:11" hidden="1">
      <c r="A3817" t="s">
        <v>1722</v>
      </c>
      <c r="B3817" t="str">
        <f t="shared" si="356"/>
        <v>1F9DB 200D 2640 FE0F ; fully-qualified # 🧛‍♀️ E5.0 woman vampire</v>
      </c>
      <c r="C3817" t="str">
        <f t="shared" si="357"/>
        <v xml:space="preserve">1F9DB 200D 2640 FE0F </v>
      </c>
      <c r="D3817">
        <f t="shared" si="358"/>
        <v>21</v>
      </c>
      <c r="E3817" t="str">
        <f t="shared" si="354"/>
        <v xml:space="preserve"> 🧛‍♀️ E5.0 woman vampire</v>
      </c>
      <c r="F3817" t="b">
        <f t="shared" si="359"/>
        <v>1</v>
      </c>
      <c r="G3817" t="str">
        <f t="shared" si="355"/>
        <v>1F9DB</v>
      </c>
      <c r="I3817">
        <f>HEX2DEC(Table1[[#This Row],[utf8]])</f>
        <v>129499</v>
      </c>
      <c r="J3817" t="str">
        <f>_xlfn.UNICHAR(HEX2DEC(Table1[[#This Row],[utf8]]))</f>
        <v>🧛</v>
      </c>
      <c r="K3817" s="3" t="str" cm="1">
        <f t="array" ref="K3817">"Case "&amp;wRandomLetter()&amp;wRandomLetter()&amp;I3817&amp;":    UniConst = ChrW(" &amp; I3817 &amp;")"</f>
        <v>Case KP129499:    UniConst = ChrW(129499)</v>
      </c>
    </row>
    <row r="3818" spans="1:11" hidden="1">
      <c r="A3818" t="s">
        <v>1711</v>
      </c>
      <c r="B3818" t="str">
        <f t="shared" si="356"/>
        <v>1F9DB 200D 2642 ; minimally-qualified # 🧛‍♂ E5.0 man vampire</v>
      </c>
      <c r="C3818" t="str">
        <f t="shared" si="357"/>
        <v xml:space="preserve">1F9DB 200D 2642 </v>
      </c>
      <c r="D3818">
        <f t="shared" si="358"/>
        <v>16</v>
      </c>
      <c r="E3818" t="str">
        <f t="shared" si="354"/>
        <v xml:space="preserve"> 🧛‍♂ E5.0 man vampire</v>
      </c>
      <c r="F3818" t="b">
        <f t="shared" si="359"/>
        <v>1</v>
      </c>
      <c r="G3818" t="str">
        <f t="shared" si="355"/>
        <v>1F9DB</v>
      </c>
      <c r="I3818">
        <f>HEX2DEC(Table1[[#This Row],[utf8]])</f>
        <v>129499</v>
      </c>
      <c r="J3818" t="str">
        <f>_xlfn.UNICHAR(HEX2DEC(Table1[[#This Row],[utf8]]))</f>
        <v>🧛</v>
      </c>
      <c r="K3818" s="3" t="str" cm="1">
        <f t="array" ref="K3818">"Case "&amp;wRandomLetter()&amp;wRandomLetter()&amp;I3818&amp;":    UniConst = ChrW(" &amp; I3818 &amp;")"</f>
        <v>Case Gj129499:    UniConst = ChrW(129499)</v>
      </c>
    </row>
    <row r="3819" spans="1:11" hidden="1">
      <c r="A3819" t="s">
        <v>1710</v>
      </c>
      <c r="B3819" t="str">
        <f t="shared" si="356"/>
        <v>1F9DB 200D 2642 FE0F ; fully-qualified # 🧛‍♂️ E5.0 man vampire</v>
      </c>
      <c r="C3819" t="str">
        <f t="shared" si="357"/>
        <v xml:space="preserve">1F9DB 200D 2642 FE0F </v>
      </c>
      <c r="D3819">
        <f t="shared" si="358"/>
        <v>21</v>
      </c>
      <c r="E3819" t="str">
        <f t="shared" si="354"/>
        <v xml:space="preserve"> 🧛‍♂️ E5.0 man vampire</v>
      </c>
      <c r="F3819" t="b">
        <f t="shared" si="359"/>
        <v>1</v>
      </c>
      <c r="G3819" t="str">
        <f t="shared" si="355"/>
        <v>1F9DB</v>
      </c>
      <c r="I3819">
        <f>HEX2DEC(Table1[[#This Row],[utf8]])</f>
        <v>129499</v>
      </c>
      <c r="J3819" t="str">
        <f>_xlfn.UNICHAR(HEX2DEC(Table1[[#This Row],[utf8]]))</f>
        <v>🧛</v>
      </c>
      <c r="K3819" s="3" t="str" cm="1">
        <f t="array" ref="K3819">"Case "&amp;wRandomLetter()&amp;wRandomLetter()&amp;I3819&amp;":    UniConst = ChrW(" &amp; I3819 &amp;")"</f>
        <v>Case Px129499:    UniConst = ChrW(129499)</v>
      </c>
    </row>
    <row r="3820" spans="1:11" hidden="1">
      <c r="A3820" t="s">
        <v>1734</v>
      </c>
      <c r="B3820" t="str">
        <f t="shared" si="356"/>
        <v>1F9DC ; fully-qualified # 🧜 E5.0 merperson</v>
      </c>
      <c r="C3820" t="str">
        <f t="shared" si="357"/>
        <v xml:space="preserve">1F9DC </v>
      </c>
      <c r="D3820">
        <f t="shared" si="358"/>
        <v>6</v>
      </c>
      <c r="E3820" t="str">
        <f t="shared" si="354"/>
        <v xml:space="preserve"> 🧜 E5.0 merperson</v>
      </c>
      <c r="F3820" t="b">
        <f t="shared" si="359"/>
        <v>1</v>
      </c>
      <c r="G3820" t="str">
        <f t="shared" si="355"/>
        <v>1F9DC</v>
      </c>
      <c r="I3820">
        <f>HEX2DEC(Table1[[#This Row],[utf8]])</f>
        <v>129500</v>
      </c>
      <c r="J3820" t="str">
        <f>_xlfn.UNICHAR(HEX2DEC(Table1[[#This Row],[utf8]]))</f>
        <v>🧜</v>
      </c>
      <c r="K3820" s="3" t="str" cm="1">
        <f t="array" ref="K3820">"Case "&amp;wRandomLetter()&amp;wRandomLetter()&amp;I3820&amp;":    UniConst = ChrW(" &amp; I3820 &amp;")"</f>
        <v>Case Fo129500:    UniConst = ChrW(129500)</v>
      </c>
    </row>
    <row r="3821" spans="1:11" hidden="1">
      <c r="A3821" t="s">
        <v>1735</v>
      </c>
      <c r="B3821" t="str">
        <f t="shared" si="356"/>
        <v>1F9DC 1F3FB ; fully-qualified # 🧜🏻 E5.0 merperson: light skin tone</v>
      </c>
      <c r="C3821" t="str">
        <f t="shared" si="357"/>
        <v xml:space="preserve">1F9DC 1F3FB </v>
      </c>
      <c r="D3821">
        <f t="shared" si="358"/>
        <v>12</v>
      </c>
      <c r="E3821" t="str">
        <f t="shared" si="354"/>
        <v xml:space="preserve"> 🧜🏻 E5.0 merperson: light skin tone</v>
      </c>
      <c r="F3821" t="b">
        <f t="shared" si="359"/>
        <v>1</v>
      </c>
      <c r="G3821" t="str">
        <f t="shared" si="355"/>
        <v>1F9DC</v>
      </c>
      <c r="I3821">
        <f>HEX2DEC(Table1[[#This Row],[utf8]])</f>
        <v>129500</v>
      </c>
      <c r="J3821" t="str">
        <f>_xlfn.UNICHAR(HEX2DEC(Table1[[#This Row],[utf8]]))</f>
        <v>🧜</v>
      </c>
      <c r="K3821" s="3" t="str" cm="1">
        <f t="array" ref="K3821">"Case "&amp;wRandomLetter()&amp;wRandomLetter()&amp;I3821&amp;":    UniConst = ChrW(" &amp; I3821 &amp;")"</f>
        <v>Case zb129500:    UniConst = ChrW(129500)</v>
      </c>
    </row>
    <row r="3822" spans="1:11" hidden="1">
      <c r="A3822" t="s">
        <v>1755</v>
      </c>
      <c r="B3822" t="str">
        <f t="shared" si="356"/>
        <v>1F9DC 1F3FB 200D 2640 ; minimally-qualified # 🧜🏻‍♀ E5.0 mermaid: light skin tone</v>
      </c>
      <c r="C3822" t="str">
        <f t="shared" si="357"/>
        <v xml:space="preserve">1F9DC 1F3FB 200D 2640 </v>
      </c>
      <c r="D3822">
        <f t="shared" si="358"/>
        <v>22</v>
      </c>
      <c r="E3822" t="str">
        <f t="shared" si="354"/>
        <v xml:space="preserve"> 🧜🏻‍♀ E5.0 mermaid: light skin tone</v>
      </c>
      <c r="F3822" t="b">
        <f t="shared" si="359"/>
        <v>1</v>
      </c>
      <c r="G3822" t="str">
        <f t="shared" si="355"/>
        <v>1F9DC</v>
      </c>
      <c r="I3822">
        <f>HEX2DEC(Table1[[#This Row],[utf8]])</f>
        <v>129500</v>
      </c>
      <c r="J3822" t="str">
        <f>_xlfn.UNICHAR(HEX2DEC(Table1[[#This Row],[utf8]]))</f>
        <v>🧜</v>
      </c>
      <c r="K3822" s="3" t="str" cm="1">
        <f t="array" ref="K3822">"Case "&amp;wRandomLetter()&amp;wRandomLetter()&amp;I3822&amp;":    UniConst = ChrW(" &amp; I3822 &amp;")"</f>
        <v>Case HK129500:    UniConst = ChrW(129500)</v>
      </c>
    </row>
    <row r="3823" spans="1:11" hidden="1">
      <c r="A3823" t="s">
        <v>1754</v>
      </c>
      <c r="B3823" t="str">
        <f t="shared" si="356"/>
        <v>1F9DC 1F3FB 200D 2640 FE0F ; fully-qualified # 🧜🏻‍♀️ E5.0 mermaid: light skin tone</v>
      </c>
      <c r="C3823" t="str">
        <f t="shared" si="357"/>
        <v xml:space="preserve">1F9DC 1F3FB 200D 2640 FE0F </v>
      </c>
      <c r="D3823">
        <f t="shared" si="358"/>
        <v>27</v>
      </c>
      <c r="E3823" t="str">
        <f t="shared" si="354"/>
        <v xml:space="preserve"> 🧜🏻‍♀️ E5.0 mermaid: light skin tone</v>
      </c>
      <c r="F3823" t="b">
        <f t="shared" si="359"/>
        <v>1</v>
      </c>
      <c r="G3823" t="str">
        <f t="shared" si="355"/>
        <v>1F9DC</v>
      </c>
      <c r="I3823">
        <f>HEX2DEC(Table1[[#This Row],[utf8]])</f>
        <v>129500</v>
      </c>
      <c r="J3823" t="str">
        <f>_xlfn.UNICHAR(HEX2DEC(Table1[[#This Row],[utf8]]))</f>
        <v>🧜</v>
      </c>
      <c r="K3823" s="3" t="str" cm="1">
        <f t="array" ref="K3823">"Case "&amp;wRandomLetter()&amp;wRandomLetter()&amp;I3823&amp;":    UniConst = ChrW(" &amp; I3823 &amp;")"</f>
        <v>Case Ss129500:    UniConst = ChrW(129500)</v>
      </c>
    </row>
    <row r="3824" spans="1:11" hidden="1">
      <c r="A3824" t="s">
        <v>1743</v>
      </c>
      <c r="B3824" t="str">
        <f t="shared" si="356"/>
        <v>1F9DC 1F3FB 200D 2642 ; minimally-qualified # 🧜🏻‍♂ E5.0 merman: light skin tone</v>
      </c>
      <c r="C3824" t="str">
        <f t="shared" si="357"/>
        <v xml:space="preserve">1F9DC 1F3FB 200D 2642 </v>
      </c>
      <c r="D3824">
        <f t="shared" si="358"/>
        <v>22</v>
      </c>
      <c r="E3824" t="str">
        <f t="shared" si="354"/>
        <v xml:space="preserve"> 🧜🏻‍♂ E5.0 merman: light skin tone</v>
      </c>
      <c r="F3824" t="b">
        <f t="shared" si="359"/>
        <v>1</v>
      </c>
      <c r="G3824" t="str">
        <f t="shared" si="355"/>
        <v>1F9DC</v>
      </c>
      <c r="I3824">
        <f>HEX2DEC(Table1[[#This Row],[utf8]])</f>
        <v>129500</v>
      </c>
      <c r="J3824" t="str">
        <f>_xlfn.UNICHAR(HEX2DEC(Table1[[#This Row],[utf8]]))</f>
        <v>🧜</v>
      </c>
      <c r="K3824" s="3" t="str" cm="1">
        <f t="array" ref="K3824">"Case "&amp;wRandomLetter()&amp;wRandomLetter()&amp;I3824&amp;":    UniConst = ChrW(" &amp; I3824 &amp;")"</f>
        <v>Case Sp129500:    UniConst = ChrW(129500)</v>
      </c>
    </row>
    <row r="3825" spans="1:11" hidden="1">
      <c r="A3825" t="s">
        <v>1742</v>
      </c>
      <c r="B3825" t="str">
        <f t="shared" si="356"/>
        <v>1F9DC 1F3FB 200D 2642 FE0F ; fully-qualified # 🧜🏻‍♂️ E5.0 merman: light skin tone</v>
      </c>
      <c r="C3825" t="str">
        <f t="shared" si="357"/>
        <v xml:space="preserve">1F9DC 1F3FB 200D 2642 FE0F </v>
      </c>
      <c r="D3825">
        <f t="shared" si="358"/>
        <v>27</v>
      </c>
      <c r="E3825" t="str">
        <f t="shared" si="354"/>
        <v xml:space="preserve"> 🧜🏻‍♂️ E5.0 merman: light skin tone</v>
      </c>
      <c r="F3825" t="b">
        <f t="shared" si="359"/>
        <v>1</v>
      </c>
      <c r="G3825" t="str">
        <f t="shared" si="355"/>
        <v>1F9DC</v>
      </c>
      <c r="I3825">
        <f>HEX2DEC(Table1[[#This Row],[utf8]])</f>
        <v>129500</v>
      </c>
      <c r="J3825" t="str">
        <f>_xlfn.UNICHAR(HEX2DEC(Table1[[#This Row],[utf8]]))</f>
        <v>🧜</v>
      </c>
      <c r="K3825" s="3" t="str" cm="1">
        <f t="array" ref="K3825">"Case "&amp;wRandomLetter()&amp;wRandomLetter()&amp;I3825&amp;":    UniConst = ChrW(" &amp; I3825 &amp;")"</f>
        <v>Case GK129500:    UniConst = ChrW(129500)</v>
      </c>
    </row>
    <row r="3826" spans="1:11" hidden="1">
      <c r="A3826" t="s">
        <v>1736</v>
      </c>
      <c r="B3826" t="str">
        <f t="shared" si="356"/>
        <v>1F9DC 1F3FC ; fully-qualified # 🧜🏼 E5.0 merperson: medium-light skin tone</v>
      </c>
      <c r="C3826" t="str">
        <f t="shared" si="357"/>
        <v xml:space="preserve">1F9DC 1F3FC </v>
      </c>
      <c r="D3826">
        <f t="shared" si="358"/>
        <v>12</v>
      </c>
      <c r="E3826" t="str">
        <f t="shared" si="354"/>
        <v xml:space="preserve"> 🧜🏼 E5.0 merperson: medium-light skin tone</v>
      </c>
      <c r="F3826" t="b">
        <f t="shared" si="359"/>
        <v>1</v>
      </c>
      <c r="G3826" t="str">
        <f t="shared" si="355"/>
        <v>1F9DC</v>
      </c>
      <c r="I3826">
        <f>HEX2DEC(Table1[[#This Row],[utf8]])</f>
        <v>129500</v>
      </c>
      <c r="J3826" t="str">
        <f>_xlfn.UNICHAR(HEX2DEC(Table1[[#This Row],[utf8]]))</f>
        <v>🧜</v>
      </c>
      <c r="K3826" s="3" t="str" cm="1">
        <f t="array" ref="K3826">"Case "&amp;wRandomLetter()&amp;wRandomLetter()&amp;I3826&amp;":    UniConst = ChrW(" &amp; I3826 &amp;")"</f>
        <v>Case ET129500:    UniConst = ChrW(129500)</v>
      </c>
    </row>
    <row r="3827" spans="1:11" hidden="1">
      <c r="A3827" t="s">
        <v>1757</v>
      </c>
      <c r="B3827" t="str">
        <f t="shared" si="356"/>
        <v>1F9DC 1F3FC 200D 2640 ; minimally-qualified # 🧜🏼‍♀ E5.0 mermaid: medium-light skin tone</v>
      </c>
      <c r="C3827" t="str">
        <f t="shared" si="357"/>
        <v xml:space="preserve">1F9DC 1F3FC 200D 2640 </v>
      </c>
      <c r="D3827">
        <f t="shared" si="358"/>
        <v>22</v>
      </c>
      <c r="E3827" t="str">
        <f t="shared" si="354"/>
        <v xml:space="preserve"> 🧜🏼‍♀ E5.0 mermaid: medium-light skin tone</v>
      </c>
      <c r="F3827" t="b">
        <f t="shared" si="359"/>
        <v>1</v>
      </c>
      <c r="G3827" t="str">
        <f t="shared" si="355"/>
        <v>1F9DC</v>
      </c>
      <c r="I3827">
        <f>HEX2DEC(Table1[[#This Row],[utf8]])</f>
        <v>129500</v>
      </c>
      <c r="J3827" t="str">
        <f>_xlfn.UNICHAR(HEX2DEC(Table1[[#This Row],[utf8]]))</f>
        <v>🧜</v>
      </c>
      <c r="K3827" s="3" t="str" cm="1">
        <f t="array" ref="K3827">"Case "&amp;wRandomLetter()&amp;wRandomLetter()&amp;I3827&amp;":    UniConst = ChrW(" &amp; I3827 &amp;")"</f>
        <v>Case LA129500:    UniConst = ChrW(129500)</v>
      </c>
    </row>
    <row r="3828" spans="1:11" hidden="1">
      <c r="A3828" t="s">
        <v>1756</v>
      </c>
      <c r="B3828" t="str">
        <f t="shared" si="356"/>
        <v>1F9DC 1F3FC 200D 2640 FE0F ; fully-qualified # 🧜🏼‍♀️ E5.0 mermaid: medium-light skin tone</v>
      </c>
      <c r="C3828" t="str">
        <f t="shared" si="357"/>
        <v xml:space="preserve">1F9DC 1F3FC 200D 2640 FE0F </v>
      </c>
      <c r="D3828">
        <f t="shared" si="358"/>
        <v>27</v>
      </c>
      <c r="E3828" t="str">
        <f t="shared" si="354"/>
        <v xml:space="preserve"> 🧜🏼‍♀️ E5.0 mermaid: medium-light skin tone</v>
      </c>
      <c r="F3828" t="b">
        <f t="shared" si="359"/>
        <v>1</v>
      </c>
      <c r="G3828" t="str">
        <f t="shared" si="355"/>
        <v>1F9DC</v>
      </c>
      <c r="I3828">
        <f>HEX2DEC(Table1[[#This Row],[utf8]])</f>
        <v>129500</v>
      </c>
      <c r="J3828" t="str">
        <f>_xlfn.UNICHAR(HEX2DEC(Table1[[#This Row],[utf8]]))</f>
        <v>🧜</v>
      </c>
      <c r="K3828" s="3" t="str" cm="1">
        <f t="array" ref="K3828">"Case "&amp;wRandomLetter()&amp;wRandomLetter()&amp;I3828&amp;":    UniConst = ChrW(" &amp; I3828 &amp;")"</f>
        <v>Case wA129500:    UniConst = ChrW(129500)</v>
      </c>
    </row>
    <row r="3829" spans="1:11" hidden="1">
      <c r="A3829" t="s">
        <v>1745</v>
      </c>
      <c r="B3829" t="str">
        <f t="shared" si="356"/>
        <v>1F9DC 1F3FC 200D 2642 ; minimally-qualified # 🧜🏼‍♂ E5.0 merman: medium-light skin tone</v>
      </c>
      <c r="C3829" t="str">
        <f t="shared" si="357"/>
        <v xml:space="preserve">1F9DC 1F3FC 200D 2642 </v>
      </c>
      <c r="D3829">
        <f t="shared" si="358"/>
        <v>22</v>
      </c>
      <c r="E3829" t="str">
        <f t="shared" si="354"/>
        <v xml:space="preserve"> 🧜🏼‍♂ E5.0 merman: medium-light skin tone</v>
      </c>
      <c r="F3829" t="b">
        <f t="shared" si="359"/>
        <v>1</v>
      </c>
      <c r="G3829" t="str">
        <f t="shared" si="355"/>
        <v>1F9DC</v>
      </c>
      <c r="I3829">
        <f>HEX2DEC(Table1[[#This Row],[utf8]])</f>
        <v>129500</v>
      </c>
      <c r="J3829" t="str">
        <f>_xlfn.UNICHAR(HEX2DEC(Table1[[#This Row],[utf8]]))</f>
        <v>🧜</v>
      </c>
      <c r="K3829" s="3" t="str" cm="1">
        <f t="array" ref="K3829">"Case "&amp;wRandomLetter()&amp;wRandomLetter()&amp;I3829&amp;":    UniConst = ChrW(" &amp; I3829 &amp;")"</f>
        <v>Case NU129500:    UniConst = ChrW(129500)</v>
      </c>
    </row>
    <row r="3830" spans="1:11" hidden="1">
      <c r="A3830" t="s">
        <v>1744</v>
      </c>
      <c r="B3830" t="str">
        <f t="shared" si="356"/>
        <v>1F9DC 1F3FC 200D 2642 FE0F ; fully-qualified # 🧜🏼‍♂️ E5.0 merman: medium-light skin tone</v>
      </c>
      <c r="C3830" t="str">
        <f t="shared" si="357"/>
        <v xml:space="preserve">1F9DC 1F3FC 200D 2642 FE0F </v>
      </c>
      <c r="D3830">
        <f t="shared" si="358"/>
        <v>27</v>
      </c>
      <c r="E3830" t="str">
        <f t="shared" si="354"/>
        <v xml:space="preserve"> 🧜🏼‍♂️ E5.0 merman: medium-light skin tone</v>
      </c>
      <c r="F3830" t="b">
        <f t="shared" si="359"/>
        <v>1</v>
      </c>
      <c r="G3830" t="str">
        <f t="shared" si="355"/>
        <v>1F9DC</v>
      </c>
      <c r="I3830">
        <f>HEX2DEC(Table1[[#This Row],[utf8]])</f>
        <v>129500</v>
      </c>
      <c r="J3830" t="str">
        <f>_xlfn.UNICHAR(HEX2DEC(Table1[[#This Row],[utf8]]))</f>
        <v>🧜</v>
      </c>
      <c r="K3830" s="3" t="str" cm="1">
        <f t="array" ref="K3830">"Case "&amp;wRandomLetter()&amp;wRandomLetter()&amp;I3830&amp;":    UniConst = ChrW(" &amp; I3830 &amp;")"</f>
        <v>Case Ho129500:    UniConst = ChrW(129500)</v>
      </c>
    </row>
    <row r="3831" spans="1:11" hidden="1">
      <c r="A3831" t="s">
        <v>1737</v>
      </c>
      <c r="B3831" t="str">
        <f t="shared" si="356"/>
        <v>1F9DC 1F3FD ; fully-qualified # 🧜🏽 E5.0 merperson: medium skin tone</v>
      </c>
      <c r="C3831" t="str">
        <f t="shared" si="357"/>
        <v xml:space="preserve">1F9DC 1F3FD </v>
      </c>
      <c r="D3831">
        <f t="shared" si="358"/>
        <v>12</v>
      </c>
      <c r="E3831" t="str">
        <f t="shared" si="354"/>
        <v xml:space="preserve"> 🧜🏽 E5.0 merperson: medium skin tone</v>
      </c>
      <c r="F3831" t="b">
        <f t="shared" si="359"/>
        <v>1</v>
      </c>
      <c r="G3831" t="str">
        <f t="shared" si="355"/>
        <v>1F9DC</v>
      </c>
      <c r="I3831">
        <f>HEX2DEC(Table1[[#This Row],[utf8]])</f>
        <v>129500</v>
      </c>
      <c r="J3831" t="str">
        <f>_xlfn.UNICHAR(HEX2DEC(Table1[[#This Row],[utf8]]))</f>
        <v>🧜</v>
      </c>
      <c r="K3831" s="3" t="str" cm="1">
        <f t="array" ref="K3831">"Case "&amp;wRandomLetter()&amp;wRandomLetter()&amp;I3831&amp;":    UniConst = ChrW(" &amp; I3831 &amp;")"</f>
        <v>Case VE129500:    UniConst = ChrW(129500)</v>
      </c>
    </row>
    <row r="3832" spans="1:11" hidden="1">
      <c r="A3832" t="s">
        <v>1759</v>
      </c>
      <c r="B3832" t="str">
        <f t="shared" si="356"/>
        <v>1F9DC 1F3FD 200D 2640 ; minimally-qualified # 🧜🏽‍♀ E5.0 mermaid: medium skin tone</v>
      </c>
      <c r="C3832" t="str">
        <f t="shared" si="357"/>
        <v xml:space="preserve">1F9DC 1F3FD 200D 2640 </v>
      </c>
      <c r="D3832">
        <f t="shared" si="358"/>
        <v>22</v>
      </c>
      <c r="E3832" t="str">
        <f t="shared" si="354"/>
        <v xml:space="preserve"> 🧜🏽‍♀ E5.0 mermaid: medium skin tone</v>
      </c>
      <c r="F3832" t="b">
        <f t="shared" si="359"/>
        <v>1</v>
      </c>
      <c r="G3832" t="str">
        <f t="shared" si="355"/>
        <v>1F9DC</v>
      </c>
      <c r="I3832">
        <f>HEX2DEC(Table1[[#This Row],[utf8]])</f>
        <v>129500</v>
      </c>
      <c r="J3832" t="str">
        <f>_xlfn.UNICHAR(HEX2DEC(Table1[[#This Row],[utf8]]))</f>
        <v>🧜</v>
      </c>
      <c r="K3832" s="3" t="str" cm="1">
        <f t="array" ref="K3832">"Case "&amp;wRandomLetter()&amp;wRandomLetter()&amp;I3832&amp;":    UniConst = ChrW(" &amp; I3832 &amp;")"</f>
        <v>Case vy129500:    UniConst = ChrW(129500)</v>
      </c>
    </row>
    <row r="3833" spans="1:11" hidden="1">
      <c r="A3833" t="s">
        <v>1758</v>
      </c>
      <c r="B3833" t="str">
        <f t="shared" si="356"/>
        <v>1F9DC 1F3FD 200D 2640 FE0F ; fully-qualified # 🧜🏽‍♀️ E5.0 mermaid: medium skin tone</v>
      </c>
      <c r="C3833" t="str">
        <f t="shared" si="357"/>
        <v xml:space="preserve">1F9DC 1F3FD 200D 2640 FE0F </v>
      </c>
      <c r="D3833">
        <f t="shared" si="358"/>
        <v>27</v>
      </c>
      <c r="E3833" t="str">
        <f t="shared" si="354"/>
        <v xml:space="preserve"> 🧜🏽‍♀️ E5.0 mermaid: medium skin tone</v>
      </c>
      <c r="F3833" t="b">
        <f t="shared" si="359"/>
        <v>1</v>
      </c>
      <c r="G3833" t="str">
        <f t="shared" si="355"/>
        <v>1F9DC</v>
      </c>
      <c r="I3833">
        <f>HEX2DEC(Table1[[#This Row],[utf8]])</f>
        <v>129500</v>
      </c>
      <c r="J3833" t="str">
        <f>_xlfn.UNICHAR(HEX2DEC(Table1[[#This Row],[utf8]]))</f>
        <v>🧜</v>
      </c>
      <c r="K3833" s="3" t="str" cm="1">
        <f t="array" ref="K3833">"Case "&amp;wRandomLetter()&amp;wRandomLetter()&amp;I3833&amp;":    UniConst = ChrW(" &amp; I3833 &amp;")"</f>
        <v>Case Wi129500:    UniConst = ChrW(129500)</v>
      </c>
    </row>
    <row r="3834" spans="1:11" hidden="1">
      <c r="A3834" t="s">
        <v>1747</v>
      </c>
      <c r="B3834" t="str">
        <f t="shared" si="356"/>
        <v>1F9DC 1F3FD 200D 2642 ; minimally-qualified # 🧜🏽‍♂ E5.0 merman: medium skin tone</v>
      </c>
      <c r="C3834" t="str">
        <f t="shared" si="357"/>
        <v xml:space="preserve">1F9DC 1F3FD 200D 2642 </v>
      </c>
      <c r="D3834">
        <f t="shared" si="358"/>
        <v>22</v>
      </c>
      <c r="E3834" t="str">
        <f t="shared" si="354"/>
        <v xml:space="preserve"> 🧜🏽‍♂ E5.0 merman: medium skin tone</v>
      </c>
      <c r="F3834" t="b">
        <f t="shared" si="359"/>
        <v>1</v>
      </c>
      <c r="G3834" t="str">
        <f t="shared" si="355"/>
        <v>1F9DC</v>
      </c>
      <c r="I3834">
        <f>HEX2DEC(Table1[[#This Row],[utf8]])</f>
        <v>129500</v>
      </c>
      <c r="J3834" t="str">
        <f>_xlfn.UNICHAR(HEX2DEC(Table1[[#This Row],[utf8]]))</f>
        <v>🧜</v>
      </c>
      <c r="K3834" s="3" t="str" cm="1">
        <f t="array" ref="K3834">"Case "&amp;wRandomLetter()&amp;wRandomLetter()&amp;I3834&amp;":    UniConst = ChrW(" &amp; I3834 &amp;")"</f>
        <v>Case Xu129500:    UniConst = ChrW(129500)</v>
      </c>
    </row>
    <row r="3835" spans="1:11" hidden="1">
      <c r="A3835" t="s">
        <v>1746</v>
      </c>
      <c r="B3835" t="str">
        <f t="shared" si="356"/>
        <v>1F9DC 1F3FD 200D 2642 FE0F ; fully-qualified # 🧜🏽‍♂️ E5.0 merman: medium skin tone</v>
      </c>
      <c r="C3835" t="str">
        <f t="shared" si="357"/>
        <v xml:space="preserve">1F9DC 1F3FD 200D 2642 FE0F </v>
      </c>
      <c r="D3835">
        <f t="shared" si="358"/>
        <v>27</v>
      </c>
      <c r="E3835" t="str">
        <f t="shared" si="354"/>
        <v xml:space="preserve"> 🧜🏽‍♂️ E5.0 merman: medium skin tone</v>
      </c>
      <c r="F3835" t="b">
        <f t="shared" si="359"/>
        <v>1</v>
      </c>
      <c r="G3835" t="str">
        <f t="shared" si="355"/>
        <v>1F9DC</v>
      </c>
      <c r="I3835">
        <f>HEX2DEC(Table1[[#This Row],[utf8]])</f>
        <v>129500</v>
      </c>
      <c r="J3835" t="str">
        <f>_xlfn.UNICHAR(HEX2DEC(Table1[[#This Row],[utf8]]))</f>
        <v>🧜</v>
      </c>
      <c r="K3835" s="3" t="str" cm="1">
        <f t="array" ref="K3835">"Case "&amp;wRandomLetter()&amp;wRandomLetter()&amp;I3835&amp;":    UniConst = ChrW(" &amp; I3835 &amp;")"</f>
        <v>Case gp129500:    UniConst = ChrW(129500)</v>
      </c>
    </row>
    <row r="3836" spans="1:11" hidden="1">
      <c r="A3836" t="s">
        <v>1738</v>
      </c>
      <c r="B3836" t="str">
        <f t="shared" si="356"/>
        <v>1F9DC 1F3FE ; fully-qualified # 🧜🏾 E5.0 merperson: medium-dark skin tone</v>
      </c>
      <c r="C3836" t="str">
        <f t="shared" si="357"/>
        <v xml:space="preserve">1F9DC 1F3FE </v>
      </c>
      <c r="D3836">
        <f t="shared" si="358"/>
        <v>12</v>
      </c>
      <c r="E3836" t="str">
        <f t="shared" si="354"/>
        <v xml:space="preserve"> 🧜🏾 E5.0 merperson: medium-dark skin tone</v>
      </c>
      <c r="F3836" t="b">
        <f t="shared" si="359"/>
        <v>1</v>
      </c>
      <c r="G3836" t="str">
        <f t="shared" si="355"/>
        <v>1F9DC</v>
      </c>
      <c r="I3836">
        <f>HEX2DEC(Table1[[#This Row],[utf8]])</f>
        <v>129500</v>
      </c>
      <c r="J3836" t="str">
        <f>_xlfn.UNICHAR(HEX2DEC(Table1[[#This Row],[utf8]]))</f>
        <v>🧜</v>
      </c>
      <c r="K3836" s="3" t="str" cm="1">
        <f t="array" ref="K3836">"Case "&amp;wRandomLetter()&amp;wRandomLetter()&amp;I3836&amp;":    UniConst = ChrW(" &amp; I3836 &amp;")"</f>
        <v>Case NW129500:    UniConst = ChrW(129500)</v>
      </c>
    </row>
    <row r="3837" spans="1:11" hidden="1">
      <c r="A3837" t="s">
        <v>1761</v>
      </c>
      <c r="B3837" t="str">
        <f t="shared" si="356"/>
        <v>1F9DC 1F3FE 200D 2640 ; minimally-qualified # 🧜🏾‍♀ E5.0 mermaid: medium-dark skin tone</v>
      </c>
      <c r="C3837" t="str">
        <f t="shared" si="357"/>
        <v xml:space="preserve">1F9DC 1F3FE 200D 2640 </v>
      </c>
      <c r="D3837">
        <f t="shared" si="358"/>
        <v>22</v>
      </c>
      <c r="E3837" t="str">
        <f t="shared" si="354"/>
        <v xml:space="preserve"> 🧜🏾‍♀ E5.0 mermaid: medium-dark skin tone</v>
      </c>
      <c r="F3837" t="b">
        <f t="shared" si="359"/>
        <v>1</v>
      </c>
      <c r="G3837" t="str">
        <f t="shared" si="355"/>
        <v>1F9DC</v>
      </c>
      <c r="I3837">
        <f>HEX2DEC(Table1[[#This Row],[utf8]])</f>
        <v>129500</v>
      </c>
      <c r="J3837" t="str">
        <f>_xlfn.UNICHAR(HEX2DEC(Table1[[#This Row],[utf8]]))</f>
        <v>🧜</v>
      </c>
      <c r="K3837" s="3" t="str" cm="1">
        <f t="array" ref="K3837">"Case "&amp;wRandomLetter()&amp;wRandomLetter()&amp;I3837&amp;":    UniConst = ChrW(" &amp; I3837 &amp;")"</f>
        <v>Case JF129500:    UniConst = ChrW(129500)</v>
      </c>
    </row>
    <row r="3838" spans="1:11" hidden="1">
      <c r="A3838" t="s">
        <v>1760</v>
      </c>
      <c r="B3838" t="str">
        <f t="shared" si="356"/>
        <v>1F9DC 1F3FE 200D 2640 FE0F ; fully-qualified # 🧜🏾‍♀️ E5.0 mermaid: medium-dark skin tone</v>
      </c>
      <c r="C3838" t="str">
        <f t="shared" si="357"/>
        <v xml:space="preserve">1F9DC 1F3FE 200D 2640 FE0F </v>
      </c>
      <c r="D3838">
        <f t="shared" si="358"/>
        <v>27</v>
      </c>
      <c r="E3838" t="str">
        <f t="shared" si="354"/>
        <v xml:space="preserve"> 🧜🏾‍♀️ E5.0 mermaid: medium-dark skin tone</v>
      </c>
      <c r="F3838" t="b">
        <f t="shared" si="359"/>
        <v>1</v>
      </c>
      <c r="G3838" t="str">
        <f t="shared" si="355"/>
        <v>1F9DC</v>
      </c>
      <c r="I3838">
        <f>HEX2DEC(Table1[[#This Row],[utf8]])</f>
        <v>129500</v>
      </c>
      <c r="J3838" t="str">
        <f>_xlfn.UNICHAR(HEX2DEC(Table1[[#This Row],[utf8]]))</f>
        <v>🧜</v>
      </c>
      <c r="K3838" s="3" t="str" cm="1">
        <f t="array" ref="K3838">"Case "&amp;wRandomLetter()&amp;wRandomLetter()&amp;I3838&amp;":    UniConst = ChrW(" &amp; I3838 &amp;")"</f>
        <v>Case xP129500:    UniConst = ChrW(129500)</v>
      </c>
    </row>
    <row r="3839" spans="1:11" hidden="1">
      <c r="A3839" t="s">
        <v>1749</v>
      </c>
      <c r="B3839" t="str">
        <f t="shared" si="356"/>
        <v>1F9DC 1F3FE 200D 2642 ; minimally-qualified # 🧜🏾‍♂ E5.0 merman: medium-dark skin tone</v>
      </c>
      <c r="C3839" t="str">
        <f t="shared" si="357"/>
        <v xml:space="preserve">1F9DC 1F3FE 200D 2642 </v>
      </c>
      <c r="D3839">
        <f t="shared" si="358"/>
        <v>22</v>
      </c>
      <c r="E3839" t="str">
        <f t="shared" si="354"/>
        <v xml:space="preserve"> 🧜🏾‍♂ E5.0 merman: medium-dark skin tone</v>
      </c>
      <c r="F3839" t="b">
        <f t="shared" si="359"/>
        <v>1</v>
      </c>
      <c r="G3839" t="str">
        <f t="shared" si="355"/>
        <v>1F9DC</v>
      </c>
      <c r="I3839">
        <f>HEX2DEC(Table1[[#This Row],[utf8]])</f>
        <v>129500</v>
      </c>
      <c r="J3839" t="str">
        <f>_xlfn.UNICHAR(HEX2DEC(Table1[[#This Row],[utf8]]))</f>
        <v>🧜</v>
      </c>
      <c r="K3839" s="3" t="str" cm="1">
        <f t="array" ref="K3839">"Case "&amp;wRandomLetter()&amp;wRandomLetter()&amp;I3839&amp;":    UniConst = ChrW(" &amp; I3839 &amp;")"</f>
        <v>Case rR129500:    UniConst = ChrW(129500)</v>
      </c>
    </row>
    <row r="3840" spans="1:11" hidden="1">
      <c r="A3840" t="s">
        <v>1748</v>
      </c>
      <c r="B3840" t="str">
        <f t="shared" si="356"/>
        <v>1F9DC 1F3FE 200D 2642 FE0F ; fully-qualified # 🧜🏾‍♂️ E5.0 merman: medium-dark skin tone</v>
      </c>
      <c r="C3840" t="str">
        <f t="shared" si="357"/>
        <v xml:space="preserve">1F9DC 1F3FE 200D 2642 FE0F </v>
      </c>
      <c r="D3840">
        <f t="shared" si="358"/>
        <v>27</v>
      </c>
      <c r="E3840" t="str">
        <f t="shared" si="354"/>
        <v xml:space="preserve"> 🧜🏾‍♂️ E5.0 merman: medium-dark skin tone</v>
      </c>
      <c r="F3840" t="b">
        <f t="shared" si="359"/>
        <v>1</v>
      </c>
      <c r="G3840" t="str">
        <f t="shared" si="355"/>
        <v>1F9DC</v>
      </c>
      <c r="I3840">
        <f>HEX2DEC(Table1[[#This Row],[utf8]])</f>
        <v>129500</v>
      </c>
      <c r="J3840" t="str">
        <f>_xlfn.UNICHAR(HEX2DEC(Table1[[#This Row],[utf8]]))</f>
        <v>🧜</v>
      </c>
      <c r="K3840" s="3" t="str" cm="1">
        <f t="array" ref="K3840">"Case "&amp;wRandomLetter()&amp;wRandomLetter()&amp;I3840&amp;":    UniConst = ChrW(" &amp; I3840 &amp;")"</f>
        <v>Case ZO129500:    UniConst = ChrW(129500)</v>
      </c>
    </row>
    <row r="3841" spans="1:11" hidden="1">
      <c r="A3841" t="s">
        <v>1739</v>
      </c>
      <c r="B3841" t="str">
        <f t="shared" si="356"/>
        <v>1F9DC 1F3FF ; fully-qualified # 🧜🏿 E5.0 merperson: dark skin tone</v>
      </c>
      <c r="C3841" t="str">
        <f t="shared" si="357"/>
        <v xml:space="preserve">1F9DC 1F3FF </v>
      </c>
      <c r="D3841">
        <f t="shared" si="358"/>
        <v>12</v>
      </c>
      <c r="E3841" t="str">
        <f t="shared" si="354"/>
        <v xml:space="preserve"> 🧜🏿 E5.0 merperson: dark skin tone</v>
      </c>
      <c r="F3841" t="b">
        <f t="shared" si="359"/>
        <v>1</v>
      </c>
      <c r="G3841" t="str">
        <f t="shared" si="355"/>
        <v>1F9DC</v>
      </c>
      <c r="I3841">
        <f>HEX2DEC(Table1[[#This Row],[utf8]])</f>
        <v>129500</v>
      </c>
      <c r="J3841" t="str">
        <f>_xlfn.UNICHAR(HEX2DEC(Table1[[#This Row],[utf8]]))</f>
        <v>🧜</v>
      </c>
      <c r="K3841" s="3" t="str" cm="1">
        <f t="array" ref="K3841">"Case "&amp;wRandomLetter()&amp;wRandomLetter()&amp;I3841&amp;":    UniConst = ChrW(" &amp; I3841 &amp;")"</f>
        <v>Case Ff129500:    UniConst = ChrW(129500)</v>
      </c>
    </row>
    <row r="3842" spans="1:11" hidden="1">
      <c r="A3842" t="s">
        <v>1763</v>
      </c>
      <c r="B3842" t="str">
        <f t="shared" si="356"/>
        <v>1F9DC 1F3FF 200D 2640 ; minimally-qualified # 🧜🏿‍♀ E5.0 mermaid: dark skin tone</v>
      </c>
      <c r="C3842" t="str">
        <f t="shared" si="357"/>
        <v xml:space="preserve">1F9DC 1F3FF 200D 2640 </v>
      </c>
      <c r="D3842">
        <f t="shared" si="358"/>
        <v>22</v>
      </c>
      <c r="E3842" t="str">
        <f t="shared" ref="E3842:E3905" si="360">MID(A3842,FIND("#",A3842)+1,256)</f>
        <v xml:space="preserve"> 🧜🏿‍♀ E5.0 mermaid: dark skin tone</v>
      </c>
      <c r="F3842" t="b">
        <f t="shared" si="359"/>
        <v>1</v>
      </c>
      <c r="G3842" t="str">
        <f t="shared" ref="G3842:G3905" si="361">LEFT(C3842,(FIND(" ",C3842,1)-1))</f>
        <v>1F9DC</v>
      </c>
      <c r="I3842">
        <f>HEX2DEC(Table1[[#This Row],[utf8]])</f>
        <v>129500</v>
      </c>
      <c r="J3842" t="str">
        <f>_xlfn.UNICHAR(HEX2DEC(Table1[[#This Row],[utf8]]))</f>
        <v>🧜</v>
      </c>
      <c r="K3842" s="3" t="str" cm="1">
        <f t="array" ref="K3842">"Case "&amp;wRandomLetter()&amp;wRandomLetter()&amp;I3842&amp;":    UniConst = ChrW(" &amp; I3842 &amp;")"</f>
        <v>Case uH129500:    UniConst = ChrW(129500)</v>
      </c>
    </row>
    <row r="3843" spans="1:11" hidden="1">
      <c r="A3843" t="s">
        <v>1762</v>
      </c>
      <c r="B3843" t="str">
        <f t="shared" ref="B3843:B3906" si="362">TRIM(A3843)</f>
        <v>1F9DC 1F3FF 200D 2640 FE0F ; fully-qualified # 🧜🏿‍♀️ E5.0 mermaid: dark skin tone</v>
      </c>
      <c r="C3843" t="str">
        <f t="shared" ref="C3843:C3906" si="363">LEFT(B3843,(FIND(";",B3843,1)-1))</f>
        <v xml:space="preserve">1F9DC 1F3FF 200D 2640 FE0F </v>
      </c>
      <c r="D3843">
        <f t="shared" ref="D3843:D3906" si="364">LEN(C3843)</f>
        <v>27</v>
      </c>
      <c r="E3843" t="str">
        <f t="shared" si="360"/>
        <v xml:space="preserve"> 🧜🏿‍♀️ E5.0 mermaid: dark skin tone</v>
      </c>
      <c r="F3843" t="b">
        <f t="shared" ref="F3843:F3906" si="365">IF(LEFT(C3843,2)="1F",TRUE,FALSE)</f>
        <v>1</v>
      </c>
      <c r="G3843" t="str">
        <f t="shared" si="361"/>
        <v>1F9DC</v>
      </c>
      <c r="I3843">
        <f>HEX2DEC(Table1[[#This Row],[utf8]])</f>
        <v>129500</v>
      </c>
      <c r="J3843" t="str">
        <f>_xlfn.UNICHAR(HEX2DEC(Table1[[#This Row],[utf8]]))</f>
        <v>🧜</v>
      </c>
      <c r="K3843" s="3" t="str" cm="1">
        <f t="array" ref="K3843">"Case "&amp;wRandomLetter()&amp;wRandomLetter()&amp;I3843&amp;":    UniConst = ChrW(" &amp; I3843 &amp;")"</f>
        <v>Case QN129500:    UniConst = ChrW(129500)</v>
      </c>
    </row>
    <row r="3844" spans="1:11" hidden="1">
      <c r="A3844" t="s">
        <v>1751</v>
      </c>
      <c r="B3844" t="str">
        <f t="shared" si="362"/>
        <v>1F9DC 1F3FF 200D 2642 ; minimally-qualified # 🧜🏿‍♂ E5.0 merman: dark skin tone</v>
      </c>
      <c r="C3844" t="str">
        <f t="shared" si="363"/>
        <v xml:space="preserve">1F9DC 1F3FF 200D 2642 </v>
      </c>
      <c r="D3844">
        <f t="shared" si="364"/>
        <v>22</v>
      </c>
      <c r="E3844" t="str">
        <f t="shared" si="360"/>
        <v xml:space="preserve"> 🧜🏿‍♂ E5.0 merman: dark skin tone</v>
      </c>
      <c r="F3844" t="b">
        <f t="shared" si="365"/>
        <v>1</v>
      </c>
      <c r="G3844" t="str">
        <f t="shared" si="361"/>
        <v>1F9DC</v>
      </c>
      <c r="I3844">
        <f>HEX2DEC(Table1[[#This Row],[utf8]])</f>
        <v>129500</v>
      </c>
      <c r="J3844" t="str">
        <f>_xlfn.UNICHAR(HEX2DEC(Table1[[#This Row],[utf8]]))</f>
        <v>🧜</v>
      </c>
      <c r="K3844" s="3" t="str" cm="1">
        <f t="array" ref="K3844">"Case "&amp;wRandomLetter()&amp;wRandomLetter()&amp;I3844&amp;":    UniConst = ChrW(" &amp; I3844 &amp;")"</f>
        <v>Case Qi129500:    UniConst = ChrW(129500)</v>
      </c>
    </row>
    <row r="3845" spans="1:11" hidden="1">
      <c r="A3845" t="s">
        <v>1750</v>
      </c>
      <c r="B3845" t="str">
        <f t="shared" si="362"/>
        <v>1F9DC 1F3FF 200D 2642 FE0F ; fully-qualified # 🧜🏿‍♂️ E5.0 merman: dark skin tone</v>
      </c>
      <c r="C3845" t="str">
        <f t="shared" si="363"/>
        <v xml:space="preserve">1F9DC 1F3FF 200D 2642 FE0F </v>
      </c>
      <c r="D3845">
        <f t="shared" si="364"/>
        <v>27</v>
      </c>
      <c r="E3845" t="str">
        <f t="shared" si="360"/>
        <v xml:space="preserve"> 🧜🏿‍♂️ E5.0 merman: dark skin tone</v>
      </c>
      <c r="F3845" t="b">
        <f t="shared" si="365"/>
        <v>1</v>
      </c>
      <c r="G3845" t="str">
        <f t="shared" si="361"/>
        <v>1F9DC</v>
      </c>
      <c r="I3845">
        <f>HEX2DEC(Table1[[#This Row],[utf8]])</f>
        <v>129500</v>
      </c>
      <c r="J3845" t="str">
        <f>_xlfn.UNICHAR(HEX2DEC(Table1[[#This Row],[utf8]]))</f>
        <v>🧜</v>
      </c>
      <c r="K3845" s="3" t="str" cm="1">
        <f t="array" ref="K3845">"Case "&amp;wRandomLetter()&amp;wRandomLetter()&amp;I3845&amp;":    UniConst = ChrW(" &amp; I3845 &amp;")"</f>
        <v>Case WK129500:    UniConst = ChrW(129500)</v>
      </c>
    </row>
    <row r="3846" spans="1:11" hidden="1">
      <c r="A3846" t="s">
        <v>1753</v>
      </c>
      <c r="B3846" t="str">
        <f t="shared" si="362"/>
        <v>1F9DC 200D 2640 ; minimally-qualified # 🧜‍♀ E5.0 mermaid</v>
      </c>
      <c r="C3846" t="str">
        <f t="shared" si="363"/>
        <v xml:space="preserve">1F9DC 200D 2640 </v>
      </c>
      <c r="D3846">
        <f t="shared" si="364"/>
        <v>16</v>
      </c>
      <c r="E3846" t="str">
        <f t="shared" si="360"/>
        <v xml:space="preserve"> 🧜‍♀ E5.0 mermaid</v>
      </c>
      <c r="F3846" t="b">
        <f t="shared" si="365"/>
        <v>1</v>
      </c>
      <c r="G3846" t="str">
        <f t="shared" si="361"/>
        <v>1F9DC</v>
      </c>
      <c r="I3846">
        <f>HEX2DEC(Table1[[#This Row],[utf8]])</f>
        <v>129500</v>
      </c>
      <c r="J3846" t="str">
        <f>_xlfn.UNICHAR(HEX2DEC(Table1[[#This Row],[utf8]]))</f>
        <v>🧜</v>
      </c>
      <c r="K3846" s="3" t="str" cm="1">
        <f t="array" ref="K3846">"Case "&amp;wRandomLetter()&amp;wRandomLetter()&amp;I3846&amp;":    UniConst = ChrW(" &amp; I3846 &amp;")"</f>
        <v>Case nJ129500:    UniConst = ChrW(129500)</v>
      </c>
    </row>
    <row r="3847" spans="1:11" hidden="1">
      <c r="A3847" t="s">
        <v>1752</v>
      </c>
      <c r="B3847" t="str">
        <f t="shared" si="362"/>
        <v>1F9DC 200D 2640 FE0F ; fully-qualified # 🧜‍♀️ E5.0 mermaid</v>
      </c>
      <c r="C3847" t="str">
        <f t="shared" si="363"/>
        <v xml:space="preserve">1F9DC 200D 2640 FE0F </v>
      </c>
      <c r="D3847">
        <f t="shared" si="364"/>
        <v>21</v>
      </c>
      <c r="E3847" t="str">
        <f t="shared" si="360"/>
        <v xml:space="preserve"> 🧜‍♀️ E5.0 mermaid</v>
      </c>
      <c r="F3847" t="b">
        <f t="shared" si="365"/>
        <v>1</v>
      </c>
      <c r="G3847" t="str">
        <f t="shared" si="361"/>
        <v>1F9DC</v>
      </c>
      <c r="I3847">
        <f>HEX2DEC(Table1[[#This Row],[utf8]])</f>
        <v>129500</v>
      </c>
      <c r="J3847" t="str">
        <f>_xlfn.UNICHAR(HEX2DEC(Table1[[#This Row],[utf8]]))</f>
        <v>🧜</v>
      </c>
      <c r="K3847" s="3" t="str" cm="1">
        <f t="array" ref="K3847">"Case "&amp;wRandomLetter()&amp;wRandomLetter()&amp;I3847&amp;":    UniConst = ChrW(" &amp; I3847 &amp;")"</f>
        <v>Case ML129500:    UniConst = ChrW(129500)</v>
      </c>
    </row>
    <row r="3848" spans="1:11" hidden="1">
      <c r="A3848" t="s">
        <v>1741</v>
      </c>
      <c r="B3848" t="str">
        <f t="shared" si="362"/>
        <v>1F9DC 200D 2642 ; minimally-qualified # 🧜‍♂ E5.0 merman</v>
      </c>
      <c r="C3848" t="str">
        <f t="shared" si="363"/>
        <v xml:space="preserve">1F9DC 200D 2642 </v>
      </c>
      <c r="D3848">
        <f t="shared" si="364"/>
        <v>16</v>
      </c>
      <c r="E3848" t="str">
        <f t="shared" si="360"/>
        <v xml:space="preserve"> 🧜‍♂ E5.0 merman</v>
      </c>
      <c r="F3848" t="b">
        <f t="shared" si="365"/>
        <v>1</v>
      </c>
      <c r="G3848" t="str">
        <f t="shared" si="361"/>
        <v>1F9DC</v>
      </c>
      <c r="I3848">
        <f>HEX2DEC(Table1[[#This Row],[utf8]])</f>
        <v>129500</v>
      </c>
      <c r="J3848" t="str">
        <f>_xlfn.UNICHAR(HEX2DEC(Table1[[#This Row],[utf8]]))</f>
        <v>🧜</v>
      </c>
      <c r="K3848" s="3" t="str" cm="1">
        <f t="array" ref="K3848">"Case "&amp;wRandomLetter()&amp;wRandomLetter()&amp;I3848&amp;":    UniConst = ChrW(" &amp; I3848 &amp;")"</f>
        <v>Case uH129500:    UniConst = ChrW(129500)</v>
      </c>
    </row>
    <row r="3849" spans="1:11" hidden="1">
      <c r="A3849" t="s">
        <v>1740</v>
      </c>
      <c r="B3849" t="str">
        <f t="shared" si="362"/>
        <v>1F9DC 200D 2642 FE0F ; fully-qualified # 🧜‍♂️ E5.0 merman</v>
      </c>
      <c r="C3849" t="str">
        <f t="shared" si="363"/>
        <v xml:space="preserve">1F9DC 200D 2642 FE0F </v>
      </c>
      <c r="D3849">
        <f t="shared" si="364"/>
        <v>21</v>
      </c>
      <c r="E3849" t="str">
        <f t="shared" si="360"/>
        <v xml:space="preserve"> 🧜‍♂️ E5.0 merman</v>
      </c>
      <c r="F3849" t="b">
        <f t="shared" si="365"/>
        <v>1</v>
      </c>
      <c r="G3849" t="str">
        <f t="shared" si="361"/>
        <v>1F9DC</v>
      </c>
      <c r="I3849">
        <f>HEX2DEC(Table1[[#This Row],[utf8]])</f>
        <v>129500</v>
      </c>
      <c r="J3849" t="str">
        <f>_xlfn.UNICHAR(HEX2DEC(Table1[[#This Row],[utf8]]))</f>
        <v>🧜</v>
      </c>
      <c r="K3849" s="3" t="str" cm="1">
        <f t="array" ref="K3849">"Case "&amp;wRandomLetter()&amp;wRandomLetter()&amp;I3849&amp;":    UniConst = ChrW(" &amp; I3849 &amp;")"</f>
        <v>Case GM129500:    UniConst = ChrW(129500)</v>
      </c>
    </row>
    <row r="3850" spans="1:11" hidden="1">
      <c r="A3850" t="s">
        <v>1764</v>
      </c>
      <c r="B3850" t="str">
        <f t="shared" si="362"/>
        <v>1F9DD ; fully-qualified # 🧝 E5.0 elf</v>
      </c>
      <c r="C3850" t="str">
        <f t="shared" si="363"/>
        <v xml:space="preserve">1F9DD </v>
      </c>
      <c r="D3850">
        <f t="shared" si="364"/>
        <v>6</v>
      </c>
      <c r="E3850" t="str">
        <f t="shared" si="360"/>
        <v xml:space="preserve"> 🧝 E5.0 elf</v>
      </c>
      <c r="F3850" t="b">
        <f t="shared" si="365"/>
        <v>1</v>
      </c>
      <c r="G3850" t="str">
        <f t="shared" si="361"/>
        <v>1F9DD</v>
      </c>
      <c r="I3850">
        <f>HEX2DEC(Table1[[#This Row],[utf8]])</f>
        <v>129501</v>
      </c>
      <c r="J3850" t="str">
        <f>_xlfn.UNICHAR(HEX2DEC(Table1[[#This Row],[utf8]]))</f>
        <v>🧝</v>
      </c>
      <c r="K3850" s="3" t="str" cm="1">
        <f t="array" ref="K3850">"Case "&amp;wRandomLetter()&amp;wRandomLetter()&amp;I3850&amp;":    UniConst = ChrW(" &amp; I3850 &amp;")"</f>
        <v>Case Cx129501:    UniConst = ChrW(129501)</v>
      </c>
    </row>
    <row r="3851" spans="1:11" hidden="1">
      <c r="A3851" t="s">
        <v>1765</v>
      </c>
      <c r="B3851" t="str">
        <f t="shared" si="362"/>
        <v>1F9DD 1F3FB ; fully-qualified # 🧝🏻 E5.0 elf: light skin tone</v>
      </c>
      <c r="C3851" t="str">
        <f t="shared" si="363"/>
        <v xml:space="preserve">1F9DD 1F3FB </v>
      </c>
      <c r="D3851">
        <f t="shared" si="364"/>
        <v>12</v>
      </c>
      <c r="E3851" t="str">
        <f t="shared" si="360"/>
        <v xml:space="preserve"> 🧝🏻 E5.0 elf: light skin tone</v>
      </c>
      <c r="F3851" t="b">
        <f t="shared" si="365"/>
        <v>1</v>
      </c>
      <c r="G3851" t="str">
        <f t="shared" si="361"/>
        <v>1F9DD</v>
      </c>
      <c r="I3851">
        <f>HEX2DEC(Table1[[#This Row],[utf8]])</f>
        <v>129501</v>
      </c>
      <c r="J3851" t="str">
        <f>_xlfn.UNICHAR(HEX2DEC(Table1[[#This Row],[utf8]]))</f>
        <v>🧝</v>
      </c>
      <c r="K3851" s="3" t="str" cm="1">
        <f t="array" ref="K3851">"Case "&amp;wRandomLetter()&amp;wRandomLetter()&amp;I3851&amp;":    UniConst = ChrW(" &amp; I3851 &amp;")"</f>
        <v>Case YD129501:    UniConst = ChrW(129501)</v>
      </c>
    </row>
    <row r="3852" spans="1:11" hidden="1">
      <c r="A3852" t="s">
        <v>1785</v>
      </c>
      <c r="B3852" t="str">
        <f t="shared" si="362"/>
        <v>1F9DD 1F3FB 200D 2640 ; minimally-qualified # 🧝🏻‍♀ E5.0 woman elf: light skin tone</v>
      </c>
      <c r="C3852" t="str">
        <f t="shared" si="363"/>
        <v xml:space="preserve">1F9DD 1F3FB 200D 2640 </v>
      </c>
      <c r="D3852">
        <f t="shared" si="364"/>
        <v>22</v>
      </c>
      <c r="E3852" t="str">
        <f t="shared" si="360"/>
        <v xml:space="preserve"> 🧝🏻‍♀ E5.0 woman elf: light skin tone</v>
      </c>
      <c r="F3852" t="b">
        <f t="shared" si="365"/>
        <v>1</v>
      </c>
      <c r="G3852" t="str">
        <f t="shared" si="361"/>
        <v>1F9DD</v>
      </c>
      <c r="I3852">
        <f>HEX2DEC(Table1[[#This Row],[utf8]])</f>
        <v>129501</v>
      </c>
      <c r="J3852" t="str">
        <f>_xlfn.UNICHAR(HEX2DEC(Table1[[#This Row],[utf8]]))</f>
        <v>🧝</v>
      </c>
      <c r="K3852" s="3" t="str" cm="1">
        <f t="array" ref="K3852">"Case "&amp;wRandomLetter()&amp;wRandomLetter()&amp;I3852&amp;":    UniConst = ChrW(" &amp; I3852 &amp;")"</f>
        <v>Case CN129501:    UniConst = ChrW(129501)</v>
      </c>
    </row>
    <row r="3853" spans="1:11" hidden="1">
      <c r="A3853" t="s">
        <v>1784</v>
      </c>
      <c r="B3853" t="str">
        <f t="shared" si="362"/>
        <v>1F9DD 1F3FB 200D 2640 FE0F ; fully-qualified # 🧝🏻‍♀️ E5.0 woman elf: light skin tone</v>
      </c>
      <c r="C3853" t="str">
        <f t="shared" si="363"/>
        <v xml:space="preserve">1F9DD 1F3FB 200D 2640 FE0F </v>
      </c>
      <c r="D3853">
        <f t="shared" si="364"/>
        <v>27</v>
      </c>
      <c r="E3853" t="str">
        <f t="shared" si="360"/>
        <v xml:space="preserve"> 🧝🏻‍♀️ E5.0 woman elf: light skin tone</v>
      </c>
      <c r="F3853" t="b">
        <f t="shared" si="365"/>
        <v>1</v>
      </c>
      <c r="G3853" t="str">
        <f t="shared" si="361"/>
        <v>1F9DD</v>
      </c>
      <c r="I3853">
        <f>HEX2DEC(Table1[[#This Row],[utf8]])</f>
        <v>129501</v>
      </c>
      <c r="J3853" t="str">
        <f>_xlfn.UNICHAR(HEX2DEC(Table1[[#This Row],[utf8]]))</f>
        <v>🧝</v>
      </c>
      <c r="K3853" s="3" t="str" cm="1">
        <f t="array" ref="K3853">"Case "&amp;wRandomLetter()&amp;wRandomLetter()&amp;I3853&amp;":    UniConst = ChrW(" &amp; I3853 &amp;")"</f>
        <v>Case av129501:    UniConst = ChrW(129501)</v>
      </c>
    </row>
    <row r="3854" spans="1:11" hidden="1">
      <c r="A3854" t="s">
        <v>1773</v>
      </c>
      <c r="B3854" t="str">
        <f t="shared" si="362"/>
        <v>1F9DD 1F3FB 200D 2642 ; minimally-qualified # 🧝🏻‍♂ E5.0 man elf: light skin tone</v>
      </c>
      <c r="C3854" t="str">
        <f t="shared" si="363"/>
        <v xml:space="preserve">1F9DD 1F3FB 200D 2642 </v>
      </c>
      <c r="D3854">
        <f t="shared" si="364"/>
        <v>22</v>
      </c>
      <c r="E3854" t="str">
        <f t="shared" si="360"/>
        <v xml:space="preserve"> 🧝🏻‍♂ E5.0 man elf: light skin tone</v>
      </c>
      <c r="F3854" t="b">
        <f t="shared" si="365"/>
        <v>1</v>
      </c>
      <c r="G3854" t="str">
        <f t="shared" si="361"/>
        <v>1F9DD</v>
      </c>
      <c r="I3854">
        <f>HEX2DEC(Table1[[#This Row],[utf8]])</f>
        <v>129501</v>
      </c>
      <c r="J3854" t="str">
        <f>_xlfn.UNICHAR(HEX2DEC(Table1[[#This Row],[utf8]]))</f>
        <v>🧝</v>
      </c>
      <c r="K3854" s="3" t="str" cm="1">
        <f t="array" ref="K3854">"Case "&amp;wRandomLetter()&amp;wRandomLetter()&amp;I3854&amp;":    UniConst = ChrW(" &amp; I3854 &amp;")"</f>
        <v>Case bG129501:    UniConst = ChrW(129501)</v>
      </c>
    </row>
    <row r="3855" spans="1:11" hidden="1">
      <c r="A3855" t="s">
        <v>1772</v>
      </c>
      <c r="B3855" t="str">
        <f t="shared" si="362"/>
        <v>1F9DD 1F3FB 200D 2642 FE0F ; fully-qualified # 🧝🏻‍♂️ E5.0 man elf: light skin tone</v>
      </c>
      <c r="C3855" t="str">
        <f t="shared" si="363"/>
        <v xml:space="preserve">1F9DD 1F3FB 200D 2642 FE0F </v>
      </c>
      <c r="D3855">
        <f t="shared" si="364"/>
        <v>27</v>
      </c>
      <c r="E3855" t="str">
        <f t="shared" si="360"/>
        <v xml:space="preserve"> 🧝🏻‍♂️ E5.0 man elf: light skin tone</v>
      </c>
      <c r="F3855" t="b">
        <f t="shared" si="365"/>
        <v>1</v>
      </c>
      <c r="G3855" t="str">
        <f t="shared" si="361"/>
        <v>1F9DD</v>
      </c>
      <c r="I3855">
        <f>HEX2DEC(Table1[[#This Row],[utf8]])</f>
        <v>129501</v>
      </c>
      <c r="J3855" t="str">
        <f>_xlfn.UNICHAR(HEX2DEC(Table1[[#This Row],[utf8]]))</f>
        <v>🧝</v>
      </c>
      <c r="K3855" s="3" t="str" cm="1">
        <f t="array" ref="K3855">"Case "&amp;wRandomLetter()&amp;wRandomLetter()&amp;I3855&amp;":    UniConst = ChrW(" &amp; I3855 &amp;")"</f>
        <v>Case QD129501:    UniConst = ChrW(129501)</v>
      </c>
    </row>
    <row r="3856" spans="1:11" hidden="1">
      <c r="A3856" t="s">
        <v>1766</v>
      </c>
      <c r="B3856" t="str">
        <f t="shared" si="362"/>
        <v>1F9DD 1F3FC ; fully-qualified # 🧝🏼 E5.0 elf: medium-light skin tone</v>
      </c>
      <c r="C3856" t="str">
        <f t="shared" si="363"/>
        <v xml:space="preserve">1F9DD 1F3FC </v>
      </c>
      <c r="D3856">
        <f t="shared" si="364"/>
        <v>12</v>
      </c>
      <c r="E3856" t="str">
        <f t="shared" si="360"/>
        <v xml:space="preserve"> 🧝🏼 E5.0 elf: medium-light skin tone</v>
      </c>
      <c r="F3856" t="b">
        <f t="shared" si="365"/>
        <v>1</v>
      </c>
      <c r="G3856" t="str">
        <f t="shared" si="361"/>
        <v>1F9DD</v>
      </c>
      <c r="I3856">
        <f>HEX2DEC(Table1[[#This Row],[utf8]])</f>
        <v>129501</v>
      </c>
      <c r="J3856" t="str">
        <f>_xlfn.UNICHAR(HEX2DEC(Table1[[#This Row],[utf8]]))</f>
        <v>🧝</v>
      </c>
      <c r="K3856" s="3" t="str" cm="1">
        <f t="array" ref="K3856">"Case "&amp;wRandomLetter()&amp;wRandomLetter()&amp;I3856&amp;":    UniConst = ChrW(" &amp; I3856 &amp;")"</f>
        <v>Case Oo129501:    UniConst = ChrW(129501)</v>
      </c>
    </row>
    <row r="3857" spans="1:11" hidden="1">
      <c r="A3857" t="s">
        <v>1787</v>
      </c>
      <c r="B3857" t="str">
        <f t="shared" si="362"/>
        <v>1F9DD 1F3FC 200D 2640 ; minimally-qualified # 🧝🏼‍♀ E5.0 woman elf: medium-light skin tone</v>
      </c>
      <c r="C3857" t="str">
        <f t="shared" si="363"/>
        <v xml:space="preserve">1F9DD 1F3FC 200D 2640 </v>
      </c>
      <c r="D3857">
        <f t="shared" si="364"/>
        <v>22</v>
      </c>
      <c r="E3857" t="str">
        <f t="shared" si="360"/>
        <v xml:space="preserve"> 🧝🏼‍♀ E5.0 woman elf: medium-light skin tone</v>
      </c>
      <c r="F3857" t="b">
        <f t="shared" si="365"/>
        <v>1</v>
      </c>
      <c r="G3857" t="str">
        <f t="shared" si="361"/>
        <v>1F9DD</v>
      </c>
      <c r="I3857">
        <f>HEX2DEC(Table1[[#This Row],[utf8]])</f>
        <v>129501</v>
      </c>
      <c r="J3857" t="str">
        <f>_xlfn.UNICHAR(HEX2DEC(Table1[[#This Row],[utf8]]))</f>
        <v>🧝</v>
      </c>
      <c r="K3857" s="3" t="str" cm="1">
        <f t="array" ref="K3857">"Case "&amp;wRandomLetter()&amp;wRandomLetter()&amp;I3857&amp;":    UniConst = ChrW(" &amp; I3857 &amp;")"</f>
        <v>Case Wi129501:    UniConst = ChrW(129501)</v>
      </c>
    </row>
    <row r="3858" spans="1:11" hidden="1">
      <c r="A3858" t="s">
        <v>1786</v>
      </c>
      <c r="B3858" t="str">
        <f t="shared" si="362"/>
        <v>1F9DD 1F3FC 200D 2640 FE0F ; fully-qualified # 🧝🏼‍♀️ E5.0 woman elf: medium-light skin tone</v>
      </c>
      <c r="C3858" t="str">
        <f t="shared" si="363"/>
        <v xml:space="preserve">1F9DD 1F3FC 200D 2640 FE0F </v>
      </c>
      <c r="D3858">
        <f t="shared" si="364"/>
        <v>27</v>
      </c>
      <c r="E3858" t="str">
        <f t="shared" si="360"/>
        <v xml:space="preserve"> 🧝🏼‍♀️ E5.0 woman elf: medium-light skin tone</v>
      </c>
      <c r="F3858" t="b">
        <f t="shared" si="365"/>
        <v>1</v>
      </c>
      <c r="G3858" t="str">
        <f t="shared" si="361"/>
        <v>1F9DD</v>
      </c>
      <c r="I3858">
        <f>HEX2DEC(Table1[[#This Row],[utf8]])</f>
        <v>129501</v>
      </c>
      <c r="J3858" t="str">
        <f>_xlfn.UNICHAR(HEX2DEC(Table1[[#This Row],[utf8]]))</f>
        <v>🧝</v>
      </c>
      <c r="K3858" s="3" t="str" cm="1">
        <f t="array" ref="K3858">"Case "&amp;wRandomLetter()&amp;wRandomLetter()&amp;I3858&amp;":    UniConst = ChrW(" &amp; I3858 &amp;")"</f>
        <v>Case Ul129501:    UniConst = ChrW(129501)</v>
      </c>
    </row>
    <row r="3859" spans="1:11" hidden="1">
      <c r="A3859" t="s">
        <v>1775</v>
      </c>
      <c r="B3859" t="str">
        <f t="shared" si="362"/>
        <v>1F9DD 1F3FC 200D 2642 ; minimally-qualified # 🧝🏼‍♂ E5.0 man elf: medium-light skin tone</v>
      </c>
      <c r="C3859" t="str">
        <f t="shared" si="363"/>
        <v xml:space="preserve">1F9DD 1F3FC 200D 2642 </v>
      </c>
      <c r="D3859">
        <f t="shared" si="364"/>
        <v>22</v>
      </c>
      <c r="E3859" t="str">
        <f t="shared" si="360"/>
        <v xml:space="preserve"> 🧝🏼‍♂ E5.0 man elf: medium-light skin tone</v>
      </c>
      <c r="F3859" t="b">
        <f t="shared" si="365"/>
        <v>1</v>
      </c>
      <c r="G3859" t="str">
        <f t="shared" si="361"/>
        <v>1F9DD</v>
      </c>
      <c r="I3859">
        <f>HEX2DEC(Table1[[#This Row],[utf8]])</f>
        <v>129501</v>
      </c>
      <c r="J3859" t="str">
        <f>_xlfn.UNICHAR(HEX2DEC(Table1[[#This Row],[utf8]]))</f>
        <v>🧝</v>
      </c>
      <c r="K3859" s="3" t="str" cm="1">
        <f t="array" ref="K3859">"Case "&amp;wRandomLetter()&amp;wRandomLetter()&amp;I3859&amp;":    UniConst = ChrW(" &amp; I3859 &amp;")"</f>
        <v>Case ff129501:    UniConst = ChrW(129501)</v>
      </c>
    </row>
    <row r="3860" spans="1:11" hidden="1">
      <c r="A3860" t="s">
        <v>1774</v>
      </c>
      <c r="B3860" t="str">
        <f t="shared" si="362"/>
        <v>1F9DD 1F3FC 200D 2642 FE0F ; fully-qualified # 🧝🏼‍♂️ E5.0 man elf: medium-light skin tone</v>
      </c>
      <c r="C3860" t="str">
        <f t="shared" si="363"/>
        <v xml:space="preserve">1F9DD 1F3FC 200D 2642 FE0F </v>
      </c>
      <c r="D3860">
        <f t="shared" si="364"/>
        <v>27</v>
      </c>
      <c r="E3860" t="str">
        <f t="shared" si="360"/>
        <v xml:space="preserve"> 🧝🏼‍♂️ E5.0 man elf: medium-light skin tone</v>
      </c>
      <c r="F3860" t="b">
        <f t="shared" si="365"/>
        <v>1</v>
      </c>
      <c r="G3860" t="str">
        <f t="shared" si="361"/>
        <v>1F9DD</v>
      </c>
      <c r="I3860">
        <f>HEX2DEC(Table1[[#This Row],[utf8]])</f>
        <v>129501</v>
      </c>
      <c r="J3860" t="str">
        <f>_xlfn.UNICHAR(HEX2DEC(Table1[[#This Row],[utf8]]))</f>
        <v>🧝</v>
      </c>
      <c r="K3860" s="3" t="str" cm="1">
        <f t="array" ref="K3860">"Case "&amp;wRandomLetter()&amp;wRandomLetter()&amp;I3860&amp;":    UniConst = ChrW(" &amp; I3860 &amp;")"</f>
        <v>Case Vy129501:    UniConst = ChrW(129501)</v>
      </c>
    </row>
    <row r="3861" spans="1:11" hidden="1">
      <c r="A3861" t="s">
        <v>1767</v>
      </c>
      <c r="B3861" t="str">
        <f t="shared" si="362"/>
        <v>1F9DD 1F3FD ; fully-qualified # 🧝🏽 E5.0 elf: medium skin tone</v>
      </c>
      <c r="C3861" t="str">
        <f t="shared" si="363"/>
        <v xml:space="preserve">1F9DD 1F3FD </v>
      </c>
      <c r="D3861">
        <f t="shared" si="364"/>
        <v>12</v>
      </c>
      <c r="E3861" t="str">
        <f t="shared" si="360"/>
        <v xml:space="preserve"> 🧝🏽 E5.0 elf: medium skin tone</v>
      </c>
      <c r="F3861" t="b">
        <f t="shared" si="365"/>
        <v>1</v>
      </c>
      <c r="G3861" t="str">
        <f t="shared" si="361"/>
        <v>1F9DD</v>
      </c>
      <c r="I3861">
        <f>HEX2DEC(Table1[[#This Row],[utf8]])</f>
        <v>129501</v>
      </c>
      <c r="J3861" t="str">
        <f>_xlfn.UNICHAR(HEX2DEC(Table1[[#This Row],[utf8]]))</f>
        <v>🧝</v>
      </c>
      <c r="K3861" s="3" t="str" cm="1">
        <f t="array" ref="K3861">"Case "&amp;wRandomLetter()&amp;wRandomLetter()&amp;I3861&amp;":    UniConst = ChrW(" &amp; I3861 &amp;")"</f>
        <v>Case ar129501:    UniConst = ChrW(129501)</v>
      </c>
    </row>
    <row r="3862" spans="1:11" hidden="1">
      <c r="A3862" t="s">
        <v>1789</v>
      </c>
      <c r="B3862" t="str">
        <f t="shared" si="362"/>
        <v>1F9DD 1F3FD 200D 2640 ; minimally-qualified # 🧝🏽‍♀ E5.0 woman elf: medium skin tone</v>
      </c>
      <c r="C3862" t="str">
        <f t="shared" si="363"/>
        <v xml:space="preserve">1F9DD 1F3FD 200D 2640 </v>
      </c>
      <c r="D3862">
        <f t="shared" si="364"/>
        <v>22</v>
      </c>
      <c r="E3862" t="str">
        <f t="shared" si="360"/>
        <v xml:space="preserve"> 🧝🏽‍♀ E5.0 woman elf: medium skin tone</v>
      </c>
      <c r="F3862" t="b">
        <f t="shared" si="365"/>
        <v>1</v>
      </c>
      <c r="G3862" t="str">
        <f t="shared" si="361"/>
        <v>1F9DD</v>
      </c>
      <c r="I3862">
        <f>HEX2DEC(Table1[[#This Row],[utf8]])</f>
        <v>129501</v>
      </c>
      <c r="J3862" t="str">
        <f>_xlfn.UNICHAR(HEX2DEC(Table1[[#This Row],[utf8]]))</f>
        <v>🧝</v>
      </c>
      <c r="K3862" s="3" t="str" cm="1">
        <f t="array" ref="K3862">"Case "&amp;wRandomLetter()&amp;wRandomLetter()&amp;I3862&amp;":    UniConst = ChrW(" &amp; I3862 &amp;")"</f>
        <v>Case CM129501:    UniConst = ChrW(129501)</v>
      </c>
    </row>
    <row r="3863" spans="1:11" hidden="1">
      <c r="A3863" t="s">
        <v>1788</v>
      </c>
      <c r="B3863" t="str">
        <f t="shared" si="362"/>
        <v>1F9DD 1F3FD 200D 2640 FE0F ; fully-qualified # 🧝🏽‍♀️ E5.0 woman elf: medium skin tone</v>
      </c>
      <c r="C3863" t="str">
        <f t="shared" si="363"/>
        <v xml:space="preserve">1F9DD 1F3FD 200D 2640 FE0F </v>
      </c>
      <c r="D3863">
        <f t="shared" si="364"/>
        <v>27</v>
      </c>
      <c r="E3863" t="str">
        <f t="shared" si="360"/>
        <v xml:space="preserve"> 🧝🏽‍♀️ E5.0 woman elf: medium skin tone</v>
      </c>
      <c r="F3863" t="b">
        <f t="shared" si="365"/>
        <v>1</v>
      </c>
      <c r="G3863" t="str">
        <f t="shared" si="361"/>
        <v>1F9DD</v>
      </c>
      <c r="I3863">
        <f>HEX2DEC(Table1[[#This Row],[utf8]])</f>
        <v>129501</v>
      </c>
      <c r="J3863" t="str">
        <f>_xlfn.UNICHAR(HEX2DEC(Table1[[#This Row],[utf8]]))</f>
        <v>🧝</v>
      </c>
      <c r="K3863" s="3" t="str" cm="1">
        <f t="array" ref="K3863">"Case "&amp;wRandomLetter()&amp;wRandomLetter()&amp;I3863&amp;":    UniConst = ChrW(" &amp; I3863 &amp;")"</f>
        <v>Case wP129501:    UniConst = ChrW(129501)</v>
      </c>
    </row>
    <row r="3864" spans="1:11" hidden="1">
      <c r="A3864" t="s">
        <v>1777</v>
      </c>
      <c r="B3864" t="str">
        <f t="shared" si="362"/>
        <v>1F9DD 1F3FD 200D 2642 ; minimally-qualified # 🧝🏽‍♂ E5.0 man elf: medium skin tone</v>
      </c>
      <c r="C3864" t="str">
        <f t="shared" si="363"/>
        <v xml:space="preserve">1F9DD 1F3FD 200D 2642 </v>
      </c>
      <c r="D3864">
        <f t="shared" si="364"/>
        <v>22</v>
      </c>
      <c r="E3864" t="str">
        <f t="shared" si="360"/>
        <v xml:space="preserve"> 🧝🏽‍♂ E5.0 man elf: medium skin tone</v>
      </c>
      <c r="F3864" t="b">
        <f t="shared" si="365"/>
        <v>1</v>
      </c>
      <c r="G3864" t="str">
        <f t="shared" si="361"/>
        <v>1F9DD</v>
      </c>
      <c r="I3864">
        <f>HEX2DEC(Table1[[#This Row],[utf8]])</f>
        <v>129501</v>
      </c>
      <c r="J3864" t="str">
        <f>_xlfn.UNICHAR(HEX2DEC(Table1[[#This Row],[utf8]]))</f>
        <v>🧝</v>
      </c>
      <c r="K3864" s="3" t="str" cm="1">
        <f t="array" ref="K3864">"Case "&amp;wRandomLetter()&amp;wRandomLetter()&amp;I3864&amp;":    UniConst = ChrW(" &amp; I3864 &amp;")"</f>
        <v>Case Ob129501:    UniConst = ChrW(129501)</v>
      </c>
    </row>
    <row r="3865" spans="1:11" hidden="1">
      <c r="A3865" t="s">
        <v>1776</v>
      </c>
      <c r="B3865" t="str">
        <f t="shared" si="362"/>
        <v>1F9DD 1F3FD 200D 2642 FE0F ; fully-qualified # 🧝🏽‍♂️ E5.0 man elf: medium skin tone</v>
      </c>
      <c r="C3865" t="str">
        <f t="shared" si="363"/>
        <v xml:space="preserve">1F9DD 1F3FD 200D 2642 FE0F </v>
      </c>
      <c r="D3865">
        <f t="shared" si="364"/>
        <v>27</v>
      </c>
      <c r="E3865" t="str">
        <f t="shared" si="360"/>
        <v xml:space="preserve"> 🧝🏽‍♂️ E5.0 man elf: medium skin tone</v>
      </c>
      <c r="F3865" t="b">
        <f t="shared" si="365"/>
        <v>1</v>
      </c>
      <c r="G3865" t="str">
        <f t="shared" si="361"/>
        <v>1F9DD</v>
      </c>
      <c r="I3865">
        <f>HEX2DEC(Table1[[#This Row],[utf8]])</f>
        <v>129501</v>
      </c>
      <c r="J3865" t="str">
        <f>_xlfn.UNICHAR(HEX2DEC(Table1[[#This Row],[utf8]]))</f>
        <v>🧝</v>
      </c>
      <c r="K3865" s="3" t="str" cm="1">
        <f t="array" ref="K3865">"Case "&amp;wRandomLetter()&amp;wRandomLetter()&amp;I3865&amp;":    UniConst = ChrW(" &amp; I3865 &amp;")"</f>
        <v>Case nO129501:    UniConst = ChrW(129501)</v>
      </c>
    </row>
    <row r="3866" spans="1:11" hidden="1">
      <c r="A3866" t="s">
        <v>1768</v>
      </c>
      <c r="B3866" t="str">
        <f t="shared" si="362"/>
        <v>1F9DD 1F3FE ; fully-qualified # 🧝🏾 E5.0 elf: medium-dark skin tone</v>
      </c>
      <c r="C3866" t="str">
        <f t="shared" si="363"/>
        <v xml:space="preserve">1F9DD 1F3FE </v>
      </c>
      <c r="D3866">
        <f t="shared" si="364"/>
        <v>12</v>
      </c>
      <c r="E3866" t="str">
        <f t="shared" si="360"/>
        <v xml:space="preserve"> 🧝🏾 E5.0 elf: medium-dark skin tone</v>
      </c>
      <c r="F3866" t="b">
        <f t="shared" si="365"/>
        <v>1</v>
      </c>
      <c r="G3866" t="str">
        <f t="shared" si="361"/>
        <v>1F9DD</v>
      </c>
      <c r="I3866">
        <f>HEX2DEC(Table1[[#This Row],[utf8]])</f>
        <v>129501</v>
      </c>
      <c r="J3866" t="str">
        <f>_xlfn.UNICHAR(HEX2DEC(Table1[[#This Row],[utf8]]))</f>
        <v>🧝</v>
      </c>
      <c r="K3866" s="3" t="str" cm="1">
        <f t="array" ref="K3866">"Case "&amp;wRandomLetter()&amp;wRandomLetter()&amp;I3866&amp;":    UniConst = ChrW(" &amp; I3866 &amp;")"</f>
        <v>Case ON129501:    UniConst = ChrW(129501)</v>
      </c>
    </row>
    <row r="3867" spans="1:11" hidden="1">
      <c r="A3867" t="s">
        <v>1791</v>
      </c>
      <c r="B3867" t="str">
        <f t="shared" si="362"/>
        <v>1F9DD 1F3FE 200D 2640 ; minimally-qualified # 🧝🏾‍♀ E5.0 woman elf: medium-dark skin tone</v>
      </c>
      <c r="C3867" t="str">
        <f t="shared" si="363"/>
        <v xml:space="preserve">1F9DD 1F3FE 200D 2640 </v>
      </c>
      <c r="D3867">
        <f t="shared" si="364"/>
        <v>22</v>
      </c>
      <c r="E3867" t="str">
        <f t="shared" si="360"/>
        <v xml:space="preserve"> 🧝🏾‍♀ E5.0 woman elf: medium-dark skin tone</v>
      </c>
      <c r="F3867" t="b">
        <f t="shared" si="365"/>
        <v>1</v>
      </c>
      <c r="G3867" t="str">
        <f t="shared" si="361"/>
        <v>1F9DD</v>
      </c>
      <c r="I3867">
        <f>HEX2DEC(Table1[[#This Row],[utf8]])</f>
        <v>129501</v>
      </c>
      <c r="J3867" t="str">
        <f>_xlfn.UNICHAR(HEX2DEC(Table1[[#This Row],[utf8]]))</f>
        <v>🧝</v>
      </c>
      <c r="K3867" s="3" t="str" cm="1">
        <f t="array" ref="K3867">"Case "&amp;wRandomLetter()&amp;wRandomLetter()&amp;I3867&amp;":    UniConst = ChrW(" &amp; I3867 &amp;")"</f>
        <v>Case Cy129501:    UniConst = ChrW(129501)</v>
      </c>
    </row>
    <row r="3868" spans="1:11" hidden="1">
      <c r="A3868" t="s">
        <v>1790</v>
      </c>
      <c r="B3868" t="str">
        <f t="shared" si="362"/>
        <v>1F9DD 1F3FE 200D 2640 FE0F ; fully-qualified # 🧝🏾‍♀️ E5.0 woman elf: medium-dark skin tone</v>
      </c>
      <c r="C3868" t="str">
        <f t="shared" si="363"/>
        <v xml:space="preserve">1F9DD 1F3FE 200D 2640 FE0F </v>
      </c>
      <c r="D3868">
        <f t="shared" si="364"/>
        <v>27</v>
      </c>
      <c r="E3868" t="str">
        <f t="shared" si="360"/>
        <v xml:space="preserve"> 🧝🏾‍♀️ E5.0 woman elf: medium-dark skin tone</v>
      </c>
      <c r="F3868" t="b">
        <f t="shared" si="365"/>
        <v>1</v>
      </c>
      <c r="G3868" t="str">
        <f t="shared" si="361"/>
        <v>1F9DD</v>
      </c>
      <c r="I3868">
        <f>HEX2DEC(Table1[[#This Row],[utf8]])</f>
        <v>129501</v>
      </c>
      <c r="J3868" t="str">
        <f>_xlfn.UNICHAR(HEX2DEC(Table1[[#This Row],[utf8]]))</f>
        <v>🧝</v>
      </c>
      <c r="K3868" s="3" t="str" cm="1">
        <f t="array" ref="K3868">"Case "&amp;wRandomLetter()&amp;wRandomLetter()&amp;I3868&amp;":    UniConst = ChrW(" &amp; I3868 &amp;")"</f>
        <v>Case BS129501:    UniConst = ChrW(129501)</v>
      </c>
    </row>
    <row r="3869" spans="1:11" hidden="1">
      <c r="A3869" t="s">
        <v>1779</v>
      </c>
      <c r="B3869" t="str">
        <f t="shared" si="362"/>
        <v>1F9DD 1F3FE 200D 2642 ; minimally-qualified # 🧝🏾‍♂ E5.0 man elf: medium-dark skin tone</v>
      </c>
      <c r="C3869" t="str">
        <f t="shared" si="363"/>
        <v xml:space="preserve">1F9DD 1F3FE 200D 2642 </v>
      </c>
      <c r="D3869">
        <f t="shared" si="364"/>
        <v>22</v>
      </c>
      <c r="E3869" t="str">
        <f t="shared" si="360"/>
        <v xml:space="preserve"> 🧝🏾‍♂ E5.0 man elf: medium-dark skin tone</v>
      </c>
      <c r="F3869" t="b">
        <f t="shared" si="365"/>
        <v>1</v>
      </c>
      <c r="G3869" t="str">
        <f t="shared" si="361"/>
        <v>1F9DD</v>
      </c>
      <c r="I3869">
        <f>HEX2DEC(Table1[[#This Row],[utf8]])</f>
        <v>129501</v>
      </c>
      <c r="J3869" t="str">
        <f>_xlfn.UNICHAR(HEX2DEC(Table1[[#This Row],[utf8]]))</f>
        <v>🧝</v>
      </c>
      <c r="K3869" s="3" t="str" cm="1">
        <f t="array" ref="K3869">"Case "&amp;wRandomLetter()&amp;wRandomLetter()&amp;I3869&amp;":    UniConst = ChrW(" &amp; I3869 &amp;")"</f>
        <v>Case gH129501:    UniConst = ChrW(129501)</v>
      </c>
    </row>
    <row r="3870" spans="1:11" hidden="1">
      <c r="A3870" t="s">
        <v>1778</v>
      </c>
      <c r="B3870" t="str">
        <f t="shared" si="362"/>
        <v>1F9DD 1F3FE 200D 2642 FE0F ; fully-qualified # 🧝🏾‍♂️ E5.0 man elf: medium-dark skin tone</v>
      </c>
      <c r="C3870" t="str">
        <f t="shared" si="363"/>
        <v xml:space="preserve">1F9DD 1F3FE 200D 2642 FE0F </v>
      </c>
      <c r="D3870">
        <f t="shared" si="364"/>
        <v>27</v>
      </c>
      <c r="E3870" t="str">
        <f t="shared" si="360"/>
        <v xml:space="preserve"> 🧝🏾‍♂️ E5.0 man elf: medium-dark skin tone</v>
      </c>
      <c r="F3870" t="b">
        <f t="shared" si="365"/>
        <v>1</v>
      </c>
      <c r="G3870" t="str">
        <f t="shared" si="361"/>
        <v>1F9DD</v>
      </c>
      <c r="I3870">
        <f>HEX2DEC(Table1[[#This Row],[utf8]])</f>
        <v>129501</v>
      </c>
      <c r="J3870" t="str">
        <f>_xlfn.UNICHAR(HEX2DEC(Table1[[#This Row],[utf8]]))</f>
        <v>🧝</v>
      </c>
      <c r="K3870" s="3" t="str" cm="1">
        <f t="array" ref="K3870">"Case "&amp;wRandomLetter()&amp;wRandomLetter()&amp;I3870&amp;":    UniConst = ChrW(" &amp; I3870 &amp;")"</f>
        <v>Case Wt129501:    UniConst = ChrW(129501)</v>
      </c>
    </row>
    <row r="3871" spans="1:11" hidden="1">
      <c r="A3871" t="s">
        <v>1769</v>
      </c>
      <c r="B3871" t="str">
        <f t="shared" si="362"/>
        <v>1F9DD 1F3FF ; fully-qualified # 🧝🏿 E5.0 elf: dark skin tone</v>
      </c>
      <c r="C3871" t="str">
        <f t="shared" si="363"/>
        <v xml:space="preserve">1F9DD 1F3FF </v>
      </c>
      <c r="D3871">
        <f t="shared" si="364"/>
        <v>12</v>
      </c>
      <c r="E3871" t="str">
        <f t="shared" si="360"/>
        <v xml:space="preserve"> 🧝🏿 E5.0 elf: dark skin tone</v>
      </c>
      <c r="F3871" t="b">
        <f t="shared" si="365"/>
        <v>1</v>
      </c>
      <c r="G3871" t="str">
        <f t="shared" si="361"/>
        <v>1F9DD</v>
      </c>
      <c r="I3871">
        <f>HEX2DEC(Table1[[#This Row],[utf8]])</f>
        <v>129501</v>
      </c>
      <c r="J3871" t="str">
        <f>_xlfn.UNICHAR(HEX2DEC(Table1[[#This Row],[utf8]]))</f>
        <v>🧝</v>
      </c>
      <c r="K3871" s="3" t="str" cm="1">
        <f t="array" ref="K3871">"Case "&amp;wRandomLetter()&amp;wRandomLetter()&amp;I3871&amp;":    UniConst = ChrW(" &amp; I3871 &amp;")"</f>
        <v>Case Yy129501:    UniConst = ChrW(129501)</v>
      </c>
    </row>
    <row r="3872" spans="1:11" hidden="1">
      <c r="A3872" t="s">
        <v>1793</v>
      </c>
      <c r="B3872" t="str">
        <f t="shared" si="362"/>
        <v>1F9DD 1F3FF 200D 2640 ; minimally-qualified # 🧝🏿‍♀ E5.0 woman elf: dark skin tone</v>
      </c>
      <c r="C3872" t="str">
        <f t="shared" si="363"/>
        <v xml:space="preserve">1F9DD 1F3FF 200D 2640 </v>
      </c>
      <c r="D3872">
        <f t="shared" si="364"/>
        <v>22</v>
      </c>
      <c r="E3872" t="str">
        <f t="shared" si="360"/>
        <v xml:space="preserve"> 🧝🏿‍♀ E5.0 woman elf: dark skin tone</v>
      </c>
      <c r="F3872" t="b">
        <f t="shared" si="365"/>
        <v>1</v>
      </c>
      <c r="G3872" t="str">
        <f t="shared" si="361"/>
        <v>1F9DD</v>
      </c>
      <c r="I3872">
        <f>HEX2DEC(Table1[[#This Row],[utf8]])</f>
        <v>129501</v>
      </c>
      <c r="J3872" t="str">
        <f>_xlfn.UNICHAR(HEX2DEC(Table1[[#This Row],[utf8]]))</f>
        <v>🧝</v>
      </c>
      <c r="K3872" s="3" t="str" cm="1">
        <f t="array" ref="K3872">"Case "&amp;wRandomLetter()&amp;wRandomLetter()&amp;I3872&amp;":    UniConst = ChrW(" &amp; I3872 &amp;")"</f>
        <v>Case lU129501:    UniConst = ChrW(129501)</v>
      </c>
    </row>
    <row r="3873" spans="1:11" hidden="1">
      <c r="A3873" t="s">
        <v>1792</v>
      </c>
      <c r="B3873" t="str">
        <f t="shared" si="362"/>
        <v>1F9DD 1F3FF 200D 2640 FE0F ; fully-qualified # 🧝🏿‍♀️ E5.0 woman elf: dark skin tone</v>
      </c>
      <c r="C3873" t="str">
        <f t="shared" si="363"/>
        <v xml:space="preserve">1F9DD 1F3FF 200D 2640 FE0F </v>
      </c>
      <c r="D3873">
        <f t="shared" si="364"/>
        <v>27</v>
      </c>
      <c r="E3873" t="str">
        <f t="shared" si="360"/>
        <v xml:space="preserve"> 🧝🏿‍♀️ E5.0 woman elf: dark skin tone</v>
      </c>
      <c r="F3873" t="b">
        <f t="shared" si="365"/>
        <v>1</v>
      </c>
      <c r="G3873" t="str">
        <f t="shared" si="361"/>
        <v>1F9DD</v>
      </c>
      <c r="I3873">
        <f>HEX2DEC(Table1[[#This Row],[utf8]])</f>
        <v>129501</v>
      </c>
      <c r="J3873" t="str">
        <f>_xlfn.UNICHAR(HEX2DEC(Table1[[#This Row],[utf8]]))</f>
        <v>🧝</v>
      </c>
      <c r="K3873" s="3" t="str" cm="1">
        <f t="array" ref="K3873">"Case "&amp;wRandomLetter()&amp;wRandomLetter()&amp;I3873&amp;":    UniConst = ChrW(" &amp; I3873 &amp;")"</f>
        <v>Case Hv129501:    UniConst = ChrW(129501)</v>
      </c>
    </row>
    <row r="3874" spans="1:11" hidden="1">
      <c r="A3874" t="s">
        <v>1781</v>
      </c>
      <c r="B3874" t="str">
        <f t="shared" si="362"/>
        <v>1F9DD 1F3FF 200D 2642 ; minimally-qualified # 🧝🏿‍♂ E5.0 man elf: dark skin tone</v>
      </c>
      <c r="C3874" t="str">
        <f t="shared" si="363"/>
        <v xml:space="preserve">1F9DD 1F3FF 200D 2642 </v>
      </c>
      <c r="D3874">
        <f t="shared" si="364"/>
        <v>22</v>
      </c>
      <c r="E3874" t="str">
        <f t="shared" si="360"/>
        <v xml:space="preserve"> 🧝🏿‍♂ E5.0 man elf: dark skin tone</v>
      </c>
      <c r="F3874" t="b">
        <f t="shared" si="365"/>
        <v>1</v>
      </c>
      <c r="G3874" t="str">
        <f t="shared" si="361"/>
        <v>1F9DD</v>
      </c>
      <c r="I3874">
        <f>HEX2DEC(Table1[[#This Row],[utf8]])</f>
        <v>129501</v>
      </c>
      <c r="J3874" t="str">
        <f>_xlfn.UNICHAR(HEX2DEC(Table1[[#This Row],[utf8]]))</f>
        <v>🧝</v>
      </c>
      <c r="K3874" s="3" t="str" cm="1">
        <f t="array" ref="K3874">"Case "&amp;wRandomLetter()&amp;wRandomLetter()&amp;I3874&amp;":    UniConst = ChrW(" &amp; I3874 &amp;")"</f>
        <v>Case FQ129501:    UniConst = ChrW(129501)</v>
      </c>
    </row>
    <row r="3875" spans="1:11" hidden="1">
      <c r="A3875" t="s">
        <v>1780</v>
      </c>
      <c r="B3875" t="str">
        <f t="shared" si="362"/>
        <v>1F9DD 1F3FF 200D 2642 FE0F ; fully-qualified # 🧝🏿‍♂️ E5.0 man elf: dark skin tone</v>
      </c>
      <c r="C3875" t="str">
        <f t="shared" si="363"/>
        <v xml:space="preserve">1F9DD 1F3FF 200D 2642 FE0F </v>
      </c>
      <c r="D3875">
        <f t="shared" si="364"/>
        <v>27</v>
      </c>
      <c r="E3875" t="str">
        <f t="shared" si="360"/>
        <v xml:space="preserve"> 🧝🏿‍♂️ E5.0 man elf: dark skin tone</v>
      </c>
      <c r="F3875" t="b">
        <f t="shared" si="365"/>
        <v>1</v>
      </c>
      <c r="G3875" t="str">
        <f t="shared" si="361"/>
        <v>1F9DD</v>
      </c>
      <c r="I3875">
        <f>HEX2DEC(Table1[[#This Row],[utf8]])</f>
        <v>129501</v>
      </c>
      <c r="J3875" t="str">
        <f>_xlfn.UNICHAR(HEX2DEC(Table1[[#This Row],[utf8]]))</f>
        <v>🧝</v>
      </c>
      <c r="K3875" s="3" t="str" cm="1">
        <f t="array" ref="K3875">"Case "&amp;wRandomLetter()&amp;wRandomLetter()&amp;I3875&amp;":    UniConst = ChrW(" &amp; I3875 &amp;")"</f>
        <v>Case WI129501:    UniConst = ChrW(129501)</v>
      </c>
    </row>
    <row r="3876" spans="1:11" hidden="1">
      <c r="A3876" t="s">
        <v>1783</v>
      </c>
      <c r="B3876" t="str">
        <f t="shared" si="362"/>
        <v>1F9DD 200D 2640 ; minimally-qualified # 🧝‍♀ E5.0 woman elf</v>
      </c>
      <c r="C3876" t="str">
        <f t="shared" si="363"/>
        <v xml:space="preserve">1F9DD 200D 2640 </v>
      </c>
      <c r="D3876">
        <f t="shared" si="364"/>
        <v>16</v>
      </c>
      <c r="E3876" t="str">
        <f t="shared" si="360"/>
        <v xml:space="preserve"> 🧝‍♀ E5.0 woman elf</v>
      </c>
      <c r="F3876" t="b">
        <f t="shared" si="365"/>
        <v>1</v>
      </c>
      <c r="G3876" t="str">
        <f t="shared" si="361"/>
        <v>1F9DD</v>
      </c>
      <c r="I3876">
        <f>HEX2DEC(Table1[[#This Row],[utf8]])</f>
        <v>129501</v>
      </c>
      <c r="J3876" t="str">
        <f>_xlfn.UNICHAR(HEX2DEC(Table1[[#This Row],[utf8]]))</f>
        <v>🧝</v>
      </c>
      <c r="K3876" s="3" t="str" cm="1">
        <f t="array" ref="K3876">"Case "&amp;wRandomLetter()&amp;wRandomLetter()&amp;I3876&amp;":    UniConst = ChrW(" &amp; I3876 &amp;")"</f>
        <v>Case uH129501:    UniConst = ChrW(129501)</v>
      </c>
    </row>
    <row r="3877" spans="1:11" hidden="1">
      <c r="A3877" t="s">
        <v>1782</v>
      </c>
      <c r="B3877" t="str">
        <f t="shared" si="362"/>
        <v>1F9DD 200D 2640 FE0F ; fully-qualified # 🧝‍♀️ E5.0 woman elf</v>
      </c>
      <c r="C3877" t="str">
        <f t="shared" si="363"/>
        <v xml:space="preserve">1F9DD 200D 2640 FE0F </v>
      </c>
      <c r="D3877">
        <f t="shared" si="364"/>
        <v>21</v>
      </c>
      <c r="E3877" t="str">
        <f t="shared" si="360"/>
        <v xml:space="preserve"> 🧝‍♀️ E5.0 woman elf</v>
      </c>
      <c r="F3877" t="b">
        <f t="shared" si="365"/>
        <v>1</v>
      </c>
      <c r="G3877" t="str">
        <f t="shared" si="361"/>
        <v>1F9DD</v>
      </c>
      <c r="I3877">
        <f>HEX2DEC(Table1[[#This Row],[utf8]])</f>
        <v>129501</v>
      </c>
      <c r="J3877" t="str">
        <f>_xlfn.UNICHAR(HEX2DEC(Table1[[#This Row],[utf8]]))</f>
        <v>🧝</v>
      </c>
      <c r="K3877" s="3" t="str" cm="1">
        <f t="array" ref="K3877">"Case "&amp;wRandomLetter()&amp;wRandomLetter()&amp;I3877&amp;":    UniConst = ChrW(" &amp; I3877 &amp;")"</f>
        <v>Case cj129501:    UniConst = ChrW(129501)</v>
      </c>
    </row>
    <row r="3878" spans="1:11" hidden="1">
      <c r="A3878" t="s">
        <v>1771</v>
      </c>
      <c r="B3878" t="str">
        <f t="shared" si="362"/>
        <v>1F9DD 200D 2642 ; minimally-qualified # 🧝‍♂ E5.0 man elf</v>
      </c>
      <c r="C3878" t="str">
        <f t="shared" si="363"/>
        <v xml:space="preserve">1F9DD 200D 2642 </v>
      </c>
      <c r="D3878">
        <f t="shared" si="364"/>
        <v>16</v>
      </c>
      <c r="E3878" t="str">
        <f t="shared" si="360"/>
        <v xml:space="preserve"> 🧝‍♂ E5.0 man elf</v>
      </c>
      <c r="F3878" t="b">
        <f t="shared" si="365"/>
        <v>1</v>
      </c>
      <c r="G3878" t="str">
        <f t="shared" si="361"/>
        <v>1F9DD</v>
      </c>
      <c r="I3878">
        <f>HEX2DEC(Table1[[#This Row],[utf8]])</f>
        <v>129501</v>
      </c>
      <c r="J3878" t="str">
        <f>_xlfn.UNICHAR(HEX2DEC(Table1[[#This Row],[utf8]]))</f>
        <v>🧝</v>
      </c>
      <c r="K3878" s="3" t="str" cm="1">
        <f t="array" ref="K3878">"Case "&amp;wRandomLetter()&amp;wRandomLetter()&amp;I3878&amp;":    UniConst = ChrW(" &amp; I3878 &amp;")"</f>
        <v>Case xJ129501:    UniConst = ChrW(129501)</v>
      </c>
    </row>
    <row r="3879" spans="1:11" hidden="1">
      <c r="A3879" t="s">
        <v>1770</v>
      </c>
      <c r="B3879" t="str">
        <f t="shared" si="362"/>
        <v>1F9DD 200D 2642 FE0F ; fully-qualified # 🧝‍♂️ E5.0 man elf</v>
      </c>
      <c r="C3879" t="str">
        <f t="shared" si="363"/>
        <v xml:space="preserve">1F9DD 200D 2642 FE0F </v>
      </c>
      <c r="D3879">
        <f t="shared" si="364"/>
        <v>21</v>
      </c>
      <c r="E3879" t="str">
        <f t="shared" si="360"/>
        <v xml:space="preserve"> 🧝‍♂️ E5.0 man elf</v>
      </c>
      <c r="F3879" t="b">
        <f t="shared" si="365"/>
        <v>1</v>
      </c>
      <c r="G3879" t="str">
        <f t="shared" si="361"/>
        <v>1F9DD</v>
      </c>
      <c r="I3879">
        <f>HEX2DEC(Table1[[#This Row],[utf8]])</f>
        <v>129501</v>
      </c>
      <c r="J3879" t="str">
        <f>_xlfn.UNICHAR(HEX2DEC(Table1[[#This Row],[utf8]]))</f>
        <v>🧝</v>
      </c>
      <c r="K3879" s="3" t="str" cm="1">
        <f t="array" ref="K3879">"Case "&amp;wRandomLetter()&amp;wRandomLetter()&amp;I3879&amp;":    UniConst = ChrW(" &amp; I3879 &amp;")"</f>
        <v>Case AS129501:    UniConst = ChrW(129501)</v>
      </c>
    </row>
    <row r="3880" spans="1:11" hidden="1">
      <c r="A3880" t="s">
        <v>1794</v>
      </c>
      <c r="B3880" t="str">
        <f t="shared" si="362"/>
        <v>1F9DE ; fully-qualified # 🧞 E5.0 genie</v>
      </c>
      <c r="C3880" t="str">
        <f t="shared" si="363"/>
        <v xml:space="preserve">1F9DE </v>
      </c>
      <c r="D3880">
        <f t="shared" si="364"/>
        <v>6</v>
      </c>
      <c r="E3880" t="str">
        <f t="shared" si="360"/>
        <v xml:space="preserve"> 🧞 E5.0 genie</v>
      </c>
      <c r="F3880" t="b">
        <f t="shared" si="365"/>
        <v>1</v>
      </c>
      <c r="G3880" t="str">
        <f t="shared" si="361"/>
        <v>1F9DE</v>
      </c>
      <c r="I3880">
        <f>HEX2DEC(Table1[[#This Row],[utf8]])</f>
        <v>129502</v>
      </c>
      <c r="J3880" t="str">
        <f>_xlfn.UNICHAR(HEX2DEC(Table1[[#This Row],[utf8]]))</f>
        <v>🧞</v>
      </c>
      <c r="K3880" s="3" t="str" cm="1">
        <f t="array" ref="K3880">"Case "&amp;wRandomLetter()&amp;wRandomLetter()&amp;I3880&amp;":    UniConst = ChrW(" &amp; I3880 &amp;")"</f>
        <v>Case YR129502:    UniConst = ChrW(129502)</v>
      </c>
    </row>
    <row r="3881" spans="1:11" hidden="1">
      <c r="A3881" t="s">
        <v>1798</v>
      </c>
      <c r="B3881" t="str">
        <f t="shared" si="362"/>
        <v>1F9DE 200D 2640 ; minimally-qualified # 🧞‍♀ E5.0 woman genie</v>
      </c>
      <c r="C3881" t="str">
        <f t="shared" si="363"/>
        <v xml:space="preserve">1F9DE 200D 2640 </v>
      </c>
      <c r="D3881">
        <f t="shared" si="364"/>
        <v>16</v>
      </c>
      <c r="E3881" t="str">
        <f t="shared" si="360"/>
        <v xml:space="preserve"> 🧞‍♀ E5.0 woman genie</v>
      </c>
      <c r="F3881" t="b">
        <f t="shared" si="365"/>
        <v>1</v>
      </c>
      <c r="G3881" t="str">
        <f t="shared" si="361"/>
        <v>1F9DE</v>
      </c>
      <c r="I3881">
        <f>HEX2DEC(Table1[[#This Row],[utf8]])</f>
        <v>129502</v>
      </c>
      <c r="J3881" t="str">
        <f>_xlfn.UNICHAR(HEX2DEC(Table1[[#This Row],[utf8]]))</f>
        <v>🧞</v>
      </c>
      <c r="K3881" s="3" t="str" cm="1">
        <f t="array" ref="K3881">"Case "&amp;wRandomLetter()&amp;wRandomLetter()&amp;I3881&amp;":    UniConst = ChrW(" &amp; I3881 &amp;")"</f>
        <v>Case jG129502:    UniConst = ChrW(129502)</v>
      </c>
    </row>
    <row r="3882" spans="1:11" hidden="1">
      <c r="A3882" t="s">
        <v>1797</v>
      </c>
      <c r="B3882" t="str">
        <f t="shared" si="362"/>
        <v>1F9DE 200D 2640 FE0F ; fully-qualified # 🧞‍♀️ E5.0 woman genie</v>
      </c>
      <c r="C3882" t="str">
        <f t="shared" si="363"/>
        <v xml:space="preserve">1F9DE 200D 2640 FE0F </v>
      </c>
      <c r="D3882">
        <f t="shared" si="364"/>
        <v>21</v>
      </c>
      <c r="E3882" t="str">
        <f t="shared" si="360"/>
        <v xml:space="preserve"> 🧞‍♀️ E5.0 woman genie</v>
      </c>
      <c r="F3882" t="b">
        <f t="shared" si="365"/>
        <v>1</v>
      </c>
      <c r="G3882" t="str">
        <f t="shared" si="361"/>
        <v>1F9DE</v>
      </c>
      <c r="I3882">
        <f>HEX2DEC(Table1[[#This Row],[utf8]])</f>
        <v>129502</v>
      </c>
      <c r="J3882" t="str">
        <f>_xlfn.UNICHAR(HEX2DEC(Table1[[#This Row],[utf8]]))</f>
        <v>🧞</v>
      </c>
      <c r="K3882" s="3" t="str" cm="1">
        <f t="array" ref="K3882">"Case "&amp;wRandomLetter()&amp;wRandomLetter()&amp;I3882&amp;":    UniConst = ChrW(" &amp; I3882 &amp;")"</f>
        <v>Case ba129502:    UniConst = ChrW(129502)</v>
      </c>
    </row>
    <row r="3883" spans="1:11" hidden="1">
      <c r="A3883" t="s">
        <v>1796</v>
      </c>
      <c r="B3883" t="str">
        <f t="shared" si="362"/>
        <v>1F9DE 200D 2642 ; minimally-qualified # 🧞‍♂ E5.0 man genie</v>
      </c>
      <c r="C3883" t="str">
        <f t="shared" si="363"/>
        <v xml:space="preserve">1F9DE 200D 2642 </v>
      </c>
      <c r="D3883">
        <f t="shared" si="364"/>
        <v>16</v>
      </c>
      <c r="E3883" t="str">
        <f t="shared" si="360"/>
        <v xml:space="preserve"> 🧞‍♂ E5.0 man genie</v>
      </c>
      <c r="F3883" t="b">
        <f t="shared" si="365"/>
        <v>1</v>
      </c>
      <c r="G3883" t="str">
        <f t="shared" si="361"/>
        <v>1F9DE</v>
      </c>
      <c r="I3883">
        <f>HEX2DEC(Table1[[#This Row],[utf8]])</f>
        <v>129502</v>
      </c>
      <c r="J3883" t="str">
        <f>_xlfn.UNICHAR(HEX2DEC(Table1[[#This Row],[utf8]]))</f>
        <v>🧞</v>
      </c>
      <c r="K3883" s="3" t="str" cm="1">
        <f t="array" ref="K3883">"Case "&amp;wRandomLetter()&amp;wRandomLetter()&amp;I3883&amp;":    UniConst = ChrW(" &amp; I3883 &amp;")"</f>
        <v>Case rB129502:    UniConst = ChrW(129502)</v>
      </c>
    </row>
    <row r="3884" spans="1:11" hidden="1">
      <c r="A3884" t="s">
        <v>1795</v>
      </c>
      <c r="B3884" t="str">
        <f t="shared" si="362"/>
        <v>1F9DE 200D 2642 FE0F ; fully-qualified # 🧞‍♂️ E5.0 man genie</v>
      </c>
      <c r="C3884" t="str">
        <f t="shared" si="363"/>
        <v xml:space="preserve">1F9DE 200D 2642 FE0F </v>
      </c>
      <c r="D3884">
        <f t="shared" si="364"/>
        <v>21</v>
      </c>
      <c r="E3884" t="str">
        <f t="shared" si="360"/>
        <v xml:space="preserve"> 🧞‍♂️ E5.0 man genie</v>
      </c>
      <c r="F3884" t="b">
        <f t="shared" si="365"/>
        <v>1</v>
      </c>
      <c r="G3884" t="str">
        <f t="shared" si="361"/>
        <v>1F9DE</v>
      </c>
      <c r="I3884">
        <f>HEX2DEC(Table1[[#This Row],[utf8]])</f>
        <v>129502</v>
      </c>
      <c r="J3884" t="str">
        <f>_xlfn.UNICHAR(HEX2DEC(Table1[[#This Row],[utf8]]))</f>
        <v>🧞</v>
      </c>
      <c r="K3884" s="3" t="str" cm="1">
        <f t="array" ref="K3884">"Case "&amp;wRandomLetter()&amp;wRandomLetter()&amp;I3884&amp;":    UniConst = ChrW(" &amp; I3884 &amp;")"</f>
        <v>Case lT129502:    UniConst = ChrW(129502)</v>
      </c>
    </row>
    <row r="3885" spans="1:11" hidden="1">
      <c r="A3885" t="s">
        <v>1799</v>
      </c>
      <c r="B3885" t="str">
        <f t="shared" si="362"/>
        <v>1F9DF ; fully-qualified # 🧟 E5.0 zombie</v>
      </c>
      <c r="C3885" t="str">
        <f t="shared" si="363"/>
        <v xml:space="preserve">1F9DF </v>
      </c>
      <c r="D3885">
        <f t="shared" si="364"/>
        <v>6</v>
      </c>
      <c r="E3885" t="str">
        <f t="shared" si="360"/>
        <v xml:space="preserve"> 🧟 E5.0 zombie</v>
      </c>
      <c r="F3885" t="b">
        <f t="shared" si="365"/>
        <v>1</v>
      </c>
      <c r="G3885" t="str">
        <f t="shared" si="361"/>
        <v>1F9DF</v>
      </c>
      <c r="I3885">
        <f>HEX2DEC(Table1[[#This Row],[utf8]])</f>
        <v>129503</v>
      </c>
      <c r="J3885" t="str">
        <f>_xlfn.UNICHAR(HEX2DEC(Table1[[#This Row],[utf8]]))</f>
        <v>🧟</v>
      </c>
      <c r="K3885" s="3" t="str" cm="1">
        <f t="array" ref="K3885">"Case "&amp;wRandomLetter()&amp;wRandomLetter()&amp;I3885&amp;":    UniConst = ChrW(" &amp; I3885 &amp;")"</f>
        <v>Case ks129503:    UniConst = ChrW(129503)</v>
      </c>
    </row>
    <row r="3886" spans="1:11" hidden="1">
      <c r="A3886" t="s">
        <v>1803</v>
      </c>
      <c r="B3886" t="str">
        <f t="shared" si="362"/>
        <v>1F9DF 200D 2640 ; minimally-qualified # 🧟‍♀ E5.0 woman zombie</v>
      </c>
      <c r="C3886" t="str">
        <f t="shared" si="363"/>
        <v xml:space="preserve">1F9DF 200D 2640 </v>
      </c>
      <c r="D3886">
        <f t="shared" si="364"/>
        <v>16</v>
      </c>
      <c r="E3886" t="str">
        <f t="shared" si="360"/>
        <v xml:space="preserve"> 🧟‍♀ E5.0 woman zombie</v>
      </c>
      <c r="F3886" t="b">
        <f t="shared" si="365"/>
        <v>1</v>
      </c>
      <c r="G3886" t="str">
        <f t="shared" si="361"/>
        <v>1F9DF</v>
      </c>
      <c r="I3886">
        <f>HEX2DEC(Table1[[#This Row],[utf8]])</f>
        <v>129503</v>
      </c>
      <c r="J3886" t="str">
        <f>_xlfn.UNICHAR(HEX2DEC(Table1[[#This Row],[utf8]]))</f>
        <v>🧟</v>
      </c>
      <c r="K3886" s="3" t="str" cm="1">
        <f t="array" ref="K3886">"Case "&amp;wRandomLetter()&amp;wRandomLetter()&amp;I3886&amp;":    UniConst = ChrW(" &amp; I3886 &amp;")"</f>
        <v>Case mO129503:    UniConst = ChrW(129503)</v>
      </c>
    </row>
    <row r="3887" spans="1:11" hidden="1">
      <c r="A3887" t="s">
        <v>1802</v>
      </c>
      <c r="B3887" t="str">
        <f t="shared" si="362"/>
        <v>1F9DF 200D 2640 FE0F ; fully-qualified # 🧟‍♀️ E5.0 woman zombie</v>
      </c>
      <c r="C3887" t="str">
        <f t="shared" si="363"/>
        <v xml:space="preserve">1F9DF 200D 2640 FE0F </v>
      </c>
      <c r="D3887">
        <f t="shared" si="364"/>
        <v>21</v>
      </c>
      <c r="E3887" t="str">
        <f t="shared" si="360"/>
        <v xml:space="preserve"> 🧟‍♀️ E5.0 woman zombie</v>
      </c>
      <c r="F3887" t="b">
        <f t="shared" si="365"/>
        <v>1</v>
      </c>
      <c r="G3887" t="str">
        <f t="shared" si="361"/>
        <v>1F9DF</v>
      </c>
      <c r="I3887">
        <f>HEX2DEC(Table1[[#This Row],[utf8]])</f>
        <v>129503</v>
      </c>
      <c r="J3887" t="str">
        <f>_xlfn.UNICHAR(HEX2DEC(Table1[[#This Row],[utf8]]))</f>
        <v>🧟</v>
      </c>
      <c r="K3887" s="3" t="str" cm="1">
        <f t="array" ref="K3887">"Case "&amp;wRandomLetter()&amp;wRandomLetter()&amp;I3887&amp;":    UniConst = ChrW(" &amp; I3887 &amp;")"</f>
        <v>Case lF129503:    UniConst = ChrW(129503)</v>
      </c>
    </row>
    <row r="3888" spans="1:11" hidden="1">
      <c r="A3888" t="s">
        <v>1801</v>
      </c>
      <c r="B3888" t="str">
        <f t="shared" si="362"/>
        <v>1F9DF 200D 2642 ; minimally-qualified # 🧟‍♂ E5.0 man zombie</v>
      </c>
      <c r="C3888" t="str">
        <f t="shared" si="363"/>
        <v xml:space="preserve">1F9DF 200D 2642 </v>
      </c>
      <c r="D3888">
        <f t="shared" si="364"/>
        <v>16</v>
      </c>
      <c r="E3888" t="str">
        <f t="shared" si="360"/>
        <v xml:space="preserve"> 🧟‍♂ E5.0 man zombie</v>
      </c>
      <c r="F3888" t="b">
        <f t="shared" si="365"/>
        <v>1</v>
      </c>
      <c r="G3888" t="str">
        <f t="shared" si="361"/>
        <v>1F9DF</v>
      </c>
      <c r="I3888">
        <f>HEX2DEC(Table1[[#This Row],[utf8]])</f>
        <v>129503</v>
      </c>
      <c r="J3888" t="str">
        <f>_xlfn.UNICHAR(HEX2DEC(Table1[[#This Row],[utf8]]))</f>
        <v>🧟</v>
      </c>
      <c r="K3888" s="3" t="str" cm="1">
        <f t="array" ref="K3888">"Case "&amp;wRandomLetter()&amp;wRandomLetter()&amp;I3888&amp;":    UniConst = ChrW(" &amp; I3888 &amp;")"</f>
        <v>Case qV129503:    UniConst = ChrW(129503)</v>
      </c>
    </row>
    <row r="3889" spans="1:11" hidden="1">
      <c r="A3889" t="s">
        <v>1800</v>
      </c>
      <c r="B3889" t="str">
        <f t="shared" si="362"/>
        <v>1F9DF 200D 2642 FE0F ; fully-qualified # 🧟‍♂️ E5.0 man zombie</v>
      </c>
      <c r="C3889" t="str">
        <f t="shared" si="363"/>
        <v xml:space="preserve">1F9DF 200D 2642 FE0F </v>
      </c>
      <c r="D3889">
        <f t="shared" si="364"/>
        <v>21</v>
      </c>
      <c r="E3889" t="str">
        <f t="shared" si="360"/>
        <v xml:space="preserve"> 🧟‍♂️ E5.0 man zombie</v>
      </c>
      <c r="F3889" t="b">
        <f t="shared" si="365"/>
        <v>1</v>
      </c>
      <c r="G3889" t="str">
        <f t="shared" si="361"/>
        <v>1F9DF</v>
      </c>
      <c r="I3889">
        <f>HEX2DEC(Table1[[#This Row],[utf8]])</f>
        <v>129503</v>
      </c>
      <c r="J3889" t="str">
        <f>_xlfn.UNICHAR(HEX2DEC(Table1[[#This Row],[utf8]]))</f>
        <v>🧟</v>
      </c>
      <c r="K3889" s="3" t="str" cm="1">
        <f t="array" ref="K3889">"Case "&amp;wRandomLetter()&amp;wRandomLetter()&amp;I3889&amp;":    UniConst = ChrW(" &amp; I3889 &amp;")"</f>
        <v>Case wB129503:    UniConst = ChrW(129503)</v>
      </c>
    </row>
    <row r="3890" spans="1:11" hidden="1">
      <c r="A3890" t="s">
        <v>437</v>
      </c>
      <c r="B3890" t="str">
        <f t="shared" si="362"/>
        <v>1F9E0 ; fully-qualified # 🧠 E5.0 brain</v>
      </c>
      <c r="C3890" t="str">
        <f t="shared" si="363"/>
        <v xml:space="preserve">1F9E0 </v>
      </c>
      <c r="D3890">
        <f t="shared" si="364"/>
        <v>6</v>
      </c>
      <c r="E3890" t="str">
        <f t="shared" si="360"/>
        <v xml:space="preserve"> 🧠 E5.0 brain</v>
      </c>
      <c r="F3890" t="b">
        <f t="shared" si="365"/>
        <v>1</v>
      </c>
      <c r="G3890" t="str">
        <f t="shared" si="361"/>
        <v>1F9E0</v>
      </c>
      <c r="I3890">
        <f>HEX2DEC(Table1[[#This Row],[utf8]])</f>
        <v>129504</v>
      </c>
      <c r="J3890" t="str">
        <f>_xlfn.UNICHAR(HEX2DEC(Table1[[#This Row],[utf8]]))</f>
        <v>🧠</v>
      </c>
      <c r="K3890" s="3" t="str" cm="1">
        <f t="array" ref="K3890">"Case "&amp;wRandomLetter()&amp;wRandomLetter()&amp;I3890&amp;":    UniConst = ChrW(" &amp; I3890 &amp;")"</f>
        <v>Case af129504:    UniConst = ChrW(129504)</v>
      </c>
    </row>
    <row r="3891" spans="1:11" hidden="1">
      <c r="A3891" t="s">
        <v>158</v>
      </c>
      <c r="B3891" t="str">
        <f t="shared" si="362"/>
        <v>1F9E1 ; fully-qualified # 🧡 E5.0 orange heart</v>
      </c>
      <c r="C3891" t="str">
        <f t="shared" si="363"/>
        <v xml:space="preserve">1F9E1 </v>
      </c>
      <c r="D3891">
        <f t="shared" si="364"/>
        <v>6</v>
      </c>
      <c r="E3891" t="str">
        <f t="shared" si="360"/>
        <v xml:space="preserve"> 🧡 E5.0 orange heart</v>
      </c>
      <c r="F3891" t="b">
        <f t="shared" si="365"/>
        <v>1</v>
      </c>
      <c r="G3891" t="str">
        <f t="shared" si="361"/>
        <v>1F9E1</v>
      </c>
      <c r="I3891">
        <f>HEX2DEC(Table1[[#This Row],[utf8]])</f>
        <v>129505</v>
      </c>
      <c r="J3891" t="str">
        <f>_xlfn.UNICHAR(HEX2DEC(Table1[[#This Row],[utf8]]))</f>
        <v>🧡</v>
      </c>
      <c r="K3891" s="3" t="str" cm="1">
        <f t="array" ref="K3891">"Case "&amp;wRandomLetter()&amp;wRandomLetter()&amp;I3891&amp;":    UniConst = ChrW(" &amp; I3891 &amp;")"</f>
        <v>Case cb129505:    UniConst = ChrW(129505)</v>
      </c>
    </row>
    <row r="3892" spans="1:11" hidden="1">
      <c r="A3892" t="s">
        <v>3843</v>
      </c>
      <c r="B3892" t="str">
        <f t="shared" si="362"/>
        <v>1F9E2 ; fully-qualified # 🧢 E5.0 billed cap</v>
      </c>
      <c r="C3892" t="str">
        <f t="shared" si="363"/>
        <v xml:space="preserve">1F9E2 </v>
      </c>
      <c r="D3892">
        <f t="shared" si="364"/>
        <v>6</v>
      </c>
      <c r="E3892" t="str">
        <f t="shared" si="360"/>
        <v xml:space="preserve"> 🧢 E5.0 billed cap</v>
      </c>
      <c r="F3892" t="b">
        <f t="shared" si="365"/>
        <v>1</v>
      </c>
      <c r="G3892" t="str">
        <f t="shared" si="361"/>
        <v>1F9E2</v>
      </c>
      <c r="I3892">
        <f>HEX2DEC(Table1[[#This Row],[utf8]])</f>
        <v>129506</v>
      </c>
      <c r="J3892" t="str">
        <f>_xlfn.UNICHAR(HEX2DEC(Table1[[#This Row],[utf8]]))</f>
        <v>🧢</v>
      </c>
      <c r="K3892" s="3" t="str" cm="1">
        <f t="array" ref="K3892">"Case "&amp;wRandomLetter()&amp;wRandomLetter()&amp;I3892&amp;":    UniConst = ChrW(" &amp; I3892 &amp;")"</f>
        <v>Case VL129506:    UniConst = ChrW(129506)</v>
      </c>
    </row>
    <row r="3893" spans="1:11" hidden="1">
      <c r="A3893" t="s">
        <v>3812</v>
      </c>
      <c r="B3893" t="str">
        <f t="shared" si="362"/>
        <v>1F9E3 ; fully-qualified # 🧣 E5.0 scarf</v>
      </c>
      <c r="C3893" t="str">
        <f t="shared" si="363"/>
        <v xml:space="preserve">1F9E3 </v>
      </c>
      <c r="D3893">
        <f t="shared" si="364"/>
        <v>6</v>
      </c>
      <c r="E3893" t="str">
        <f t="shared" si="360"/>
        <v xml:space="preserve"> 🧣 E5.0 scarf</v>
      </c>
      <c r="F3893" t="b">
        <f t="shared" si="365"/>
        <v>1</v>
      </c>
      <c r="G3893" t="str">
        <f t="shared" si="361"/>
        <v>1F9E3</v>
      </c>
      <c r="I3893">
        <f>HEX2DEC(Table1[[#This Row],[utf8]])</f>
        <v>129507</v>
      </c>
      <c r="J3893" t="str">
        <f>_xlfn.UNICHAR(HEX2DEC(Table1[[#This Row],[utf8]]))</f>
        <v>🧣</v>
      </c>
      <c r="K3893" s="3" t="str" cm="1">
        <f t="array" ref="K3893">"Case "&amp;wRandomLetter()&amp;wRandomLetter()&amp;I3893&amp;":    UniConst = ChrW(" &amp; I3893 &amp;")"</f>
        <v>Case FB129507:    UniConst = ChrW(129507)</v>
      </c>
    </row>
    <row r="3894" spans="1:11" hidden="1">
      <c r="A3894" t="s">
        <v>3813</v>
      </c>
      <c r="B3894" t="str">
        <f t="shared" si="362"/>
        <v>1F9E4 ; fully-qualified # 🧤 E5.0 gloves</v>
      </c>
      <c r="C3894" t="str">
        <f t="shared" si="363"/>
        <v xml:space="preserve">1F9E4 </v>
      </c>
      <c r="D3894">
        <f t="shared" si="364"/>
        <v>6</v>
      </c>
      <c r="E3894" t="str">
        <f t="shared" si="360"/>
        <v xml:space="preserve"> 🧤 E5.0 gloves</v>
      </c>
      <c r="F3894" t="b">
        <f t="shared" si="365"/>
        <v>1</v>
      </c>
      <c r="G3894" t="str">
        <f t="shared" si="361"/>
        <v>1F9E4</v>
      </c>
      <c r="I3894">
        <f>HEX2DEC(Table1[[#This Row],[utf8]])</f>
        <v>129508</v>
      </c>
      <c r="J3894" t="str">
        <f>_xlfn.UNICHAR(HEX2DEC(Table1[[#This Row],[utf8]]))</f>
        <v>🧤</v>
      </c>
      <c r="K3894" s="3" t="str" cm="1">
        <f t="array" ref="K3894">"Case "&amp;wRandomLetter()&amp;wRandomLetter()&amp;I3894&amp;":    UniConst = ChrW(" &amp; I3894 &amp;")"</f>
        <v>Case Ko129508:    UniConst = ChrW(129508)</v>
      </c>
    </row>
    <row r="3895" spans="1:11" hidden="1">
      <c r="A3895" t="s">
        <v>3814</v>
      </c>
      <c r="B3895" t="str">
        <f t="shared" si="362"/>
        <v>1F9E5 ; fully-qualified # 🧥 E5.0 coat</v>
      </c>
      <c r="C3895" t="str">
        <f t="shared" si="363"/>
        <v xml:space="preserve">1F9E5 </v>
      </c>
      <c r="D3895">
        <f t="shared" si="364"/>
        <v>6</v>
      </c>
      <c r="E3895" t="str">
        <f t="shared" si="360"/>
        <v xml:space="preserve"> 🧥 E5.0 coat</v>
      </c>
      <c r="F3895" t="b">
        <f t="shared" si="365"/>
        <v>1</v>
      </c>
      <c r="G3895" t="str">
        <f t="shared" si="361"/>
        <v>1F9E5</v>
      </c>
      <c r="I3895">
        <f>HEX2DEC(Table1[[#This Row],[utf8]])</f>
        <v>129509</v>
      </c>
      <c r="J3895" t="str">
        <f>_xlfn.UNICHAR(HEX2DEC(Table1[[#This Row],[utf8]]))</f>
        <v>🧥</v>
      </c>
      <c r="K3895" s="3" t="str" cm="1">
        <f t="array" ref="K3895">"Case "&amp;wRandomLetter()&amp;wRandomLetter()&amp;I3895&amp;":    UniConst = ChrW(" &amp; I3895 &amp;")"</f>
        <v>Case tT129509:    UniConst = ChrW(129509)</v>
      </c>
    </row>
    <row r="3896" spans="1:11" hidden="1">
      <c r="A3896" t="s">
        <v>3815</v>
      </c>
      <c r="B3896" t="str">
        <f t="shared" si="362"/>
        <v>1F9E6 ; fully-qualified # 🧦 E5.0 socks</v>
      </c>
      <c r="C3896" t="str">
        <f t="shared" si="363"/>
        <v xml:space="preserve">1F9E6 </v>
      </c>
      <c r="D3896">
        <f t="shared" si="364"/>
        <v>6</v>
      </c>
      <c r="E3896" t="str">
        <f t="shared" si="360"/>
        <v xml:space="preserve"> 🧦 E5.0 socks</v>
      </c>
      <c r="F3896" t="b">
        <f t="shared" si="365"/>
        <v>1</v>
      </c>
      <c r="G3896" t="str">
        <f t="shared" si="361"/>
        <v>1F9E6</v>
      </c>
      <c r="I3896">
        <f>HEX2DEC(Table1[[#This Row],[utf8]])</f>
        <v>129510</v>
      </c>
      <c r="J3896" t="str">
        <f>_xlfn.UNICHAR(HEX2DEC(Table1[[#This Row],[utf8]]))</f>
        <v>🧦</v>
      </c>
      <c r="K3896" s="3" t="str" cm="1">
        <f t="array" ref="K3896">"Case "&amp;wRandomLetter()&amp;wRandomLetter()&amp;I3896&amp;":    UniConst = ChrW(" &amp; I3896 &amp;")"</f>
        <v>Case Es129510:    UniConst = ChrW(129510)</v>
      </c>
    </row>
    <row r="3897" spans="1:11" hidden="1">
      <c r="A3897" t="s">
        <v>3715</v>
      </c>
      <c r="B3897" t="str">
        <f t="shared" si="362"/>
        <v>1F9E7 ; fully-qualified # 🧧 E11.0 red envelope</v>
      </c>
      <c r="C3897" t="str">
        <f t="shared" si="363"/>
        <v xml:space="preserve">1F9E7 </v>
      </c>
      <c r="D3897">
        <f t="shared" si="364"/>
        <v>6</v>
      </c>
      <c r="E3897" t="str">
        <f t="shared" si="360"/>
        <v xml:space="preserve"> 🧧 E11.0 red envelope</v>
      </c>
      <c r="F3897" t="b">
        <f t="shared" si="365"/>
        <v>1</v>
      </c>
      <c r="G3897" t="str">
        <f t="shared" si="361"/>
        <v>1F9E7</v>
      </c>
      <c r="I3897">
        <f>HEX2DEC(Table1[[#This Row],[utf8]])</f>
        <v>129511</v>
      </c>
      <c r="J3897" t="str">
        <f>_xlfn.UNICHAR(HEX2DEC(Table1[[#This Row],[utf8]]))</f>
        <v>🧧</v>
      </c>
      <c r="K3897" s="3" t="str" cm="1">
        <f t="array" ref="K3897">"Case "&amp;wRandomLetter()&amp;wRandomLetter()&amp;I3897&amp;":    UniConst = ChrW(" &amp; I3897 &amp;")"</f>
        <v>Case Tq129511:    UniConst = ChrW(129511)</v>
      </c>
    </row>
    <row r="3898" spans="1:11" hidden="1">
      <c r="A3898" t="s">
        <v>3704</v>
      </c>
      <c r="B3898" t="str">
        <f t="shared" si="362"/>
        <v>1F9E8 ; fully-qualified # 🧨 E11.0 firecracker</v>
      </c>
      <c r="C3898" t="str">
        <f t="shared" si="363"/>
        <v xml:space="preserve">1F9E8 </v>
      </c>
      <c r="D3898">
        <f t="shared" si="364"/>
        <v>6</v>
      </c>
      <c r="E3898" t="str">
        <f t="shared" si="360"/>
        <v xml:space="preserve"> 🧨 E11.0 firecracker</v>
      </c>
      <c r="F3898" t="b">
        <f t="shared" si="365"/>
        <v>1</v>
      </c>
      <c r="G3898" t="str">
        <f t="shared" si="361"/>
        <v>1F9E8</v>
      </c>
      <c r="I3898">
        <f>HEX2DEC(Table1[[#This Row],[utf8]])</f>
        <v>129512</v>
      </c>
      <c r="J3898" t="str">
        <f>_xlfn.UNICHAR(HEX2DEC(Table1[[#This Row],[utf8]]))</f>
        <v>🧨</v>
      </c>
      <c r="K3898" s="3" t="str" cm="1">
        <f t="array" ref="K3898">"Case "&amp;wRandomLetter()&amp;wRandomLetter()&amp;I3898&amp;":    UniConst = ChrW(" &amp; I3898 &amp;")"</f>
        <v>Case uu129512:    UniConst = ChrW(129512)</v>
      </c>
    </row>
    <row r="3899" spans="1:11" hidden="1">
      <c r="A3899" t="s">
        <v>3773</v>
      </c>
      <c r="B3899" t="str">
        <f t="shared" si="362"/>
        <v>1F9E9 ; fully-qualified # 🧩 E11.0 puzzle piece</v>
      </c>
      <c r="C3899" t="str">
        <f t="shared" si="363"/>
        <v xml:space="preserve">1F9E9 </v>
      </c>
      <c r="D3899">
        <f t="shared" si="364"/>
        <v>6</v>
      </c>
      <c r="E3899" t="str">
        <f t="shared" si="360"/>
        <v xml:space="preserve"> 🧩 E11.0 puzzle piece</v>
      </c>
      <c r="F3899" t="b">
        <f t="shared" si="365"/>
        <v>1</v>
      </c>
      <c r="G3899" t="str">
        <f t="shared" si="361"/>
        <v>1F9E9</v>
      </c>
      <c r="I3899">
        <f>HEX2DEC(Table1[[#This Row],[utf8]])</f>
        <v>129513</v>
      </c>
      <c r="J3899" t="str">
        <f>_xlfn.UNICHAR(HEX2DEC(Table1[[#This Row],[utf8]]))</f>
        <v>🧩</v>
      </c>
      <c r="K3899" s="3" t="str" cm="1">
        <f t="array" ref="K3899">"Case "&amp;wRandomLetter()&amp;wRandomLetter()&amp;I3899&amp;":    UniConst = ChrW(" &amp; I3899 &amp;")"</f>
        <v>Case KM129513:    UniConst = ChrW(129513)</v>
      </c>
    </row>
    <row r="3900" spans="1:11" hidden="1">
      <c r="A3900" t="s">
        <v>4071</v>
      </c>
      <c r="B3900" t="str">
        <f t="shared" si="362"/>
        <v>1F9EA ; fully-qualified # 🧪 E11.0 test tube</v>
      </c>
      <c r="C3900" t="str">
        <f t="shared" si="363"/>
        <v xml:space="preserve">1F9EA </v>
      </c>
      <c r="D3900">
        <f t="shared" si="364"/>
        <v>6</v>
      </c>
      <c r="E3900" t="str">
        <f t="shared" si="360"/>
        <v xml:space="preserve"> 🧪 E11.0 test tube</v>
      </c>
      <c r="F3900" t="b">
        <f t="shared" si="365"/>
        <v>1</v>
      </c>
      <c r="G3900" t="str">
        <f t="shared" si="361"/>
        <v>1F9EA</v>
      </c>
      <c r="I3900">
        <f>HEX2DEC(Table1[[#This Row],[utf8]])</f>
        <v>129514</v>
      </c>
      <c r="J3900" t="str">
        <f>_xlfn.UNICHAR(HEX2DEC(Table1[[#This Row],[utf8]]))</f>
        <v>🧪</v>
      </c>
      <c r="K3900" s="3" t="str" cm="1">
        <f t="array" ref="K3900">"Case "&amp;wRandomLetter()&amp;wRandomLetter()&amp;I3900&amp;":    UniConst = ChrW(" &amp; I3900 &amp;")"</f>
        <v>Case UD129514:    UniConst = ChrW(129514)</v>
      </c>
    </row>
    <row r="3901" spans="1:11" hidden="1">
      <c r="A3901" t="s">
        <v>4072</v>
      </c>
      <c r="B3901" t="str">
        <f t="shared" si="362"/>
        <v>1F9EB ; fully-qualified # 🧫 E11.0 petri dish</v>
      </c>
      <c r="C3901" t="str">
        <f t="shared" si="363"/>
        <v xml:space="preserve">1F9EB </v>
      </c>
      <c r="D3901">
        <f t="shared" si="364"/>
        <v>6</v>
      </c>
      <c r="E3901" t="str">
        <f t="shared" si="360"/>
        <v xml:space="preserve"> 🧫 E11.0 petri dish</v>
      </c>
      <c r="F3901" t="b">
        <f t="shared" si="365"/>
        <v>1</v>
      </c>
      <c r="G3901" t="str">
        <f t="shared" si="361"/>
        <v>1F9EB</v>
      </c>
      <c r="I3901">
        <f>HEX2DEC(Table1[[#This Row],[utf8]])</f>
        <v>129515</v>
      </c>
      <c r="J3901" t="str">
        <f>_xlfn.UNICHAR(HEX2DEC(Table1[[#This Row],[utf8]]))</f>
        <v>🧫</v>
      </c>
      <c r="K3901" s="3" t="str" cm="1">
        <f t="array" ref="K3901">"Case "&amp;wRandomLetter()&amp;wRandomLetter()&amp;I3901&amp;":    UniConst = ChrW(" &amp; I3901 &amp;")"</f>
        <v>Case mO129515:    UniConst = ChrW(129515)</v>
      </c>
    </row>
    <row r="3902" spans="1:11" hidden="1">
      <c r="A3902" t="s">
        <v>4073</v>
      </c>
      <c r="B3902" t="str">
        <f t="shared" si="362"/>
        <v>1F9EC ; fully-qualified # 🧬 E11.0 dna</v>
      </c>
      <c r="C3902" t="str">
        <f t="shared" si="363"/>
        <v xml:space="preserve">1F9EC </v>
      </c>
      <c r="D3902">
        <f t="shared" si="364"/>
        <v>6</v>
      </c>
      <c r="E3902" t="str">
        <f t="shared" si="360"/>
        <v xml:space="preserve"> 🧬 E11.0 dna</v>
      </c>
      <c r="F3902" t="b">
        <f t="shared" si="365"/>
        <v>1</v>
      </c>
      <c r="G3902" t="str">
        <f t="shared" si="361"/>
        <v>1F9EC</v>
      </c>
      <c r="I3902">
        <f>HEX2DEC(Table1[[#This Row],[utf8]])</f>
        <v>129516</v>
      </c>
      <c r="J3902" t="str">
        <f>_xlfn.UNICHAR(HEX2DEC(Table1[[#This Row],[utf8]]))</f>
        <v>🧬</v>
      </c>
      <c r="K3902" s="3" t="str" cm="1">
        <f t="array" ref="K3902">"Case "&amp;wRandomLetter()&amp;wRandomLetter()&amp;I3902&amp;":    UniConst = ChrW(" &amp; I3902 &amp;")"</f>
        <v>Case Sf129516:    UniConst = ChrW(129516)</v>
      </c>
    </row>
    <row r="3903" spans="1:11" hidden="1">
      <c r="A3903" t="s">
        <v>3429</v>
      </c>
      <c r="B3903" t="str">
        <f t="shared" si="362"/>
        <v>1F9ED ; fully-qualified # 🧭 E11.0 compass</v>
      </c>
      <c r="C3903" t="str">
        <f t="shared" si="363"/>
        <v xml:space="preserve">1F9ED </v>
      </c>
      <c r="D3903">
        <f t="shared" si="364"/>
        <v>6</v>
      </c>
      <c r="E3903" t="str">
        <f t="shared" si="360"/>
        <v xml:space="preserve"> 🧭 E11.0 compass</v>
      </c>
      <c r="F3903" t="b">
        <f t="shared" si="365"/>
        <v>1</v>
      </c>
      <c r="G3903" t="str">
        <f t="shared" si="361"/>
        <v>1F9ED</v>
      </c>
      <c r="I3903">
        <f>HEX2DEC(Table1[[#This Row],[utf8]])</f>
        <v>129517</v>
      </c>
      <c r="J3903" t="str">
        <f>_xlfn.UNICHAR(HEX2DEC(Table1[[#This Row],[utf8]]))</f>
        <v>🧭</v>
      </c>
      <c r="K3903" s="3" t="str" cm="1">
        <f t="array" ref="K3903">"Case "&amp;wRandomLetter()&amp;wRandomLetter()&amp;I3903&amp;":    UniConst = ChrW(" &amp; I3903 &amp;")"</f>
        <v>Case YT129517:    UniConst = ChrW(129517)</v>
      </c>
    </row>
    <row r="3904" spans="1:11" hidden="1">
      <c r="A3904" t="s">
        <v>3910</v>
      </c>
      <c r="B3904" t="str">
        <f t="shared" si="362"/>
        <v>1F9EE ; fully-qualified # 🧮 E11.0 abacus</v>
      </c>
      <c r="C3904" t="str">
        <f t="shared" si="363"/>
        <v xml:space="preserve">1F9EE </v>
      </c>
      <c r="D3904">
        <f t="shared" si="364"/>
        <v>6</v>
      </c>
      <c r="E3904" t="str">
        <f t="shared" si="360"/>
        <v xml:space="preserve"> 🧮 E11.0 abacus</v>
      </c>
      <c r="F3904" t="b">
        <f t="shared" si="365"/>
        <v>1</v>
      </c>
      <c r="G3904" t="str">
        <f t="shared" si="361"/>
        <v>1F9EE</v>
      </c>
      <c r="I3904">
        <f>HEX2DEC(Table1[[#This Row],[utf8]])</f>
        <v>129518</v>
      </c>
      <c r="J3904" t="str">
        <f>_xlfn.UNICHAR(HEX2DEC(Table1[[#This Row],[utf8]]))</f>
        <v>🧮</v>
      </c>
      <c r="K3904" s="3" t="str" cm="1">
        <f t="array" ref="K3904">"Case "&amp;wRandomLetter()&amp;wRandomLetter()&amp;I3904&amp;":    UniConst = ChrW(" &amp; I3904 &amp;")"</f>
        <v>Case YB129518:    UniConst = ChrW(129518)</v>
      </c>
    </row>
    <row r="3905" spans="1:11" hidden="1">
      <c r="A3905" t="s">
        <v>4108</v>
      </c>
      <c r="B3905" t="str">
        <f t="shared" si="362"/>
        <v>1F9EF ; fully-qualified # 🧯 E11.0 fire extinguisher</v>
      </c>
      <c r="C3905" t="str">
        <f t="shared" si="363"/>
        <v xml:space="preserve">1F9EF </v>
      </c>
      <c r="D3905">
        <f t="shared" si="364"/>
        <v>6</v>
      </c>
      <c r="E3905" t="str">
        <f t="shared" si="360"/>
        <v xml:space="preserve"> 🧯 E11.0 fire extinguisher</v>
      </c>
      <c r="F3905" t="b">
        <f t="shared" si="365"/>
        <v>1</v>
      </c>
      <c r="G3905" t="str">
        <f t="shared" si="361"/>
        <v>1F9EF</v>
      </c>
      <c r="I3905">
        <f>HEX2DEC(Table1[[#This Row],[utf8]])</f>
        <v>129519</v>
      </c>
      <c r="J3905" t="str">
        <f>_xlfn.UNICHAR(HEX2DEC(Table1[[#This Row],[utf8]]))</f>
        <v>🧯</v>
      </c>
      <c r="K3905" s="3" t="str" cm="1">
        <f t="array" ref="K3905">"Case "&amp;wRandomLetter()&amp;wRandomLetter()&amp;I3905&amp;":    UniConst = ChrW(" &amp; I3905 &amp;")"</f>
        <v>Case Zn129519:    UniConst = ChrW(129519)</v>
      </c>
    </row>
    <row r="3906" spans="1:11" hidden="1">
      <c r="A3906" t="s">
        <v>4065</v>
      </c>
      <c r="B3906" t="str">
        <f t="shared" si="362"/>
        <v>1F9F0 ; fully-qualified # 🧰 E11.0 toolbox</v>
      </c>
      <c r="C3906" t="str">
        <f t="shared" si="363"/>
        <v xml:space="preserve">1F9F0 </v>
      </c>
      <c r="D3906">
        <f t="shared" si="364"/>
        <v>6</v>
      </c>
      <c r="E3906" t="str">
        <f t="shared" ref="E3906:E3969" si="366">MID(A3906,FIND("#",A3906)+1,256)</f>
        <v xml:space="preserve"> 🧰 E11.0 toolbox</v>
      </c>
      <c r="F3906" t="b">
        <f t="shared" si="365"/>
        <v>1</v>
      </c>
      <c r="G3906" t="str">
        <f t="shared" ref="G3906:G3969" si="367">LEFT(C3906,(FIND(" ",C3906,1)-1))</f>
        <v>1F9F0</v>
      </c>
      <c r="I3906">
        <f>HEX2DEC(Table1[[#This Row],[utf8]])</f>
        <v>129520</v>
      </c>
      <c r="J3906" t="str">
        <f>_xlfn.UNICHAR(HEX2DEC(Table1[[#This Row],[utf8]]))</f>
        <v>🧰</v>
      </c>
      <c r="K3906" s="3" t="str" cm="1">
        <f t="array" ref="K3906">"Case "&amp;wRandomLetter()&amp;wRandomLetter()&amp;I3906&amp;":    UniConst = ChrW(" &amp; I3906 &amp;")"</f>
        <v>Case Zo129520:    UniConst = ChrW(129520)</v>
      </c>
    </row>
    <row r="3907" spans="1:11" hidden="1">
      <c r="A3907" t="s">
        <v>3454</v>
      </c>
      <c r="B3907" t="str">
        <f t="shared" ref="B3907:B3970" si="368">TRIM(A3907)</f>
        <v>1F9F1 ; fully-qualified # 🧱 E11.0 brick</v>
      </c>
      <c r="C3907" t="str">
        <f t="shared" ref="C3907:C3970" si="369">LEFT(B3907,(FIND(";",B3907,1)-1))</f>
        <v xml:space="preserve">1F9F1 </v>
      </c>
      <c r="D3907">
        <f t="shared" ref="D3907:D3970" si="370">LEN(C3907)</f>
        <v>6</v>
      </c>
      <c r="E3907" t="str">
        <f t="shared" si="366"/>
        <v xml:space="preserve"> 🧱 E11.0 brick</v>
      </c>
      <c r="F3907" t="b">
        <f t="shared" ref="F3907:F3970" si="371">IF(LEFT(C3907,2)="1F",TRUE,FALSE)</f>
        <v>1</v>
      </c>
      <c r="G3907" t="str">
        <f t="shared" si="367"/>
        <v>1F9F1</v>
      </c>
      <c r="I3907">
        <f>HEX2DEC(Table1[[#This Row],[utf8]])</f>
        <v>129521</v>
      </c>
      <c r="J3907" t="str">
        <f>_xlfn.UNICHAR(HEX2DEC(Table1[[#This Row],[utf8]]))</f>
        <v>🧱</v>
      </c>
      <c r="K3907" s="3" t="str" cm="1">
        <f t="array" ref="K3907">"Case "&amp;wRandomLetter()&amp;wRandomLetter()&amp;I3907&amp;":    UniConst = ChrW(" &amp; I3907 &amp;")"</f>
        <v>Case Iw129521:    UniConst = ChrW(129521)</v>
      </c>
    </row>
    <row r="3908" spans="1:11" hidden="1">
      <c r="A3908" t="s">
        <v>4066</v>
      </c>
      <c r="B3908" t="str">
        <f t="shared" si="368"/>
        <v>1F9F2 ; fully-qualified # 🧲 E11.0 magnet</v>
      </c>
      <c r="C3908" t="str">
        <f t="shared" si="369"/>
        <v xml:space="preserve">1F9F2 </v>
      </c>
      <c r="D3908">
        <f t="shared" si="370"/>
        <v>6</v>
      </c>
      <c r="E3908" t="str">
        <f t="shared" si="366"/>
        <v xml:space="preserve"> 🧲 E11.0 magnet</v>
      </c>
      <c r="F3908" t="b">
        <f t="shared" si="371"/>
        <v>1</v>
      </c>
      <c r="G3908" t="str">
        <f t="shared" si="367"/>
        <v>1F9F2</v>
      </c>
      <c r="I3908">
        <f>HEX2DEC(Table1[[#This Row],[utf8]])</f>
        <v>129522</v>
      </c>
      <c r="J3908" t="str">
        <f>_xlfn.UNICHAR(HEX2DEC(Table1[[#This Row],[utf8]]))</f>
        <v>🧲</v>
      </c>
      <c r="K3908" s="3" t="str" cm="1">
        <f t="array" ref="K3908">"Case "&amp;wRandomLetter()&amp;wRandomLetter()&amp;I3908&amp;":    UniConst = ChrW(" &amp; I3908 &amp;")"</f>
        <v>Case rC129522:    UniConst = ChrW(129522)</v>
      </c>
    </row>
    <row r="3909" spans="1:11" hidden="1">
      <c r="A3909" t="s">
        <v>3594</v>
      </c>
      <c r="B3909" t="str">
        <f t="shared" si="368"/>
        <v>1F9F3 ; fully-qualified # 🧳 E11.0 luggage</v>
      </c>
      <c r="C3909" t="str">
        <f t="shared" si="369"/>
        <v xml:space="preserve">1F9F3 </v>
      </c>
      <c r="D3909">
        <f t="shared" si="370"/>
        <v>6</v>
      </c>
      <c r="E3909" t="str">
        <f t="shared" si="366"/>
        <v xml:space="preserve"> 🧳 E11.0 luggage</v>
      </c>
      <c r="F3909" t="b">
        <f t="shared" si="371"/>
        <v>1</v>
      </c>
      <c r="G3909" t="str">
        <f t="shared" si="367"/>
        <v>1F9F3</v>
      </c>
      <c r="I3909">
        <f>HEX2DEC(Table1[[#This Row],[utf8]])</f>
        <v>129523</v>
      </c>
      <c r="J3909" t="str">
        <f>_xlfn.UNICHAR(HEX2DEC(Table1[[#This Row],[utf8]]))</f>
        <v>🧳</v>
      </c>
      <c r="K3909" s="3" t="str" cm="1">
        <f t="array" ref="K3909">"Case "&amp;wRandomLetter()&amp;wRandomLetter()&amp;I3909&amp;":    UniConst = ChrW(" &amp; I3909 &amp;")"</f>
        <v>Case oj129523:    UniConst = ChrW(129523)</v>
      </c>
    </row>
    <row r="3910" spans="1:11" hidden="1">
      <c r="A3910" t="s">
        <v>4099</v>
      </c>
      <c r="B3910" t="str">
        <f t="shared" si="368"/>
        <v>1F9F4 ; fully-qualified # 🧴 E11.0 lotion bottle</v>
      </c>
      <c r="C3910" t="str">
        <f t="shared" si="369"/>
        <v xml:space="preserve">1F9F4 </v>
      </c>
      <c r="D3910">
        <f t="shared" si="370"/>
        <v>6</v>
      </c>
      <c r="E3910" t="str">
        <f t="shared" si="366"/>
        <v xml:space="preserve"> 🧴 E11.0 lotion bottle</v>
      </c>
      <c r="F3910" t="b">
        <f t="shared" si="371"/>
        <v>1</v>
      </c>
      <c r="G3910" t="str">
        <f t="shared" si="367"/>
        <v>1F9F4</v>
      </c>
      <c r="I3910">
        <f>HEX2DEC(Table1[[#This Row],[utf8]])</f>
        <v>129524</v>
      </c>
      <c r="J3910" t="str">
        <f>_xlfn.UNICHAR(HEX2DEC(Table1[[#This Row],[utf8]]))</f>
        <v>🧴</v>
      </c>
      <c r="K3910" s="3" t="str" cm="1">
        <f t="array" ref="K3910">"Case "&amp;wRandomLetter()&amp;wRandomLetter()&amp;I3910&amp;":    UniConst = ChrW(" &amp; I3910 &amp;")"</f>
        <v>Case rL129524:    UniConst = ChrW(129524)</v>
      </c>
    </row>
    <row r="3911" spans="1:11" hidden="1">
      <c r="A3911" t="s">
        <v>3795</v>
      </c>
      <c r="B3911" t="str">
        <f t="shared" si="368"/>
        <v>1F9F5 ; fully-qualified # 🧵 E11.0 thread</v>
      </c>
      <c r="C3911" t="str">
        <f t="shared" si="369"/>
        <v xml:space="preserve">1F9F5 </v>
      </c>
      <c r="D3911">
        <f t="shared" si="370"/>
        <v>6</v>
      </c>
      <c r="E3911" t="str">
        <f t="shared" si="366"/>
        <v xml:space="preserve"> 🧵 E11.0 thread</v>
      </c>
      <c r="F3911" t="b">
        <f t="shared" si="371"/>
        <v>1</v>
      </c>
      <c r="G3911" t="str">
        <f t="shared" si="367"/>
        <v>1F9F5</v>
      </c>
      <c r="I3911">
        <f>HEX2DEC(Table1[[#This Row],[utf8]])</f>
        <v>129525</v>
      </c>
      <c r="J3911" t="str">
        <f>_xlfn.UNICHAR(HEX2DEC(Table1[[#This Row],[utf8]]))</f>
        <v>🧵</v>
      </c>
      <c r="K3911" s="3" t="str" cm="1">
        <f t="array" ref="K3911">"Case "&amp;wRandomLetter()&amp;wRandomLetter()&amp;I3911&amp;":    UniConst = ChrW(" &amp; I3911 &amp;")"</f>
        <v>Case bG129525:    UniConst = ChrW(129525)</v>
      </c>
    </row>
    <row r="3912" spans="1:11" hidden="1">
      <c r="A3912" t="s">
        <v>3797</v>
      </c>
      <c r="B3912" t="str">
        <f t="shared" si="368"/>
        <v>1F9F6 ; fully-qualified # 🧶 E11.0 yarn</v>
      </c>
      <c r="C3912" t="str">
        <f t="shared" si="369"/>
        <v xml:space="preserve">1F9F6 </v>
      </c>
      <c r="D3912">
        <f t="shared" si="370"/>
        <v>6</v>
      </c>
      <c r="E3912" t="str">
        <f t="shared" si="366"/>
        <v xml:space="preserve"> 🧶 E11.0 yarn</v>
      </c>
      <c r="F3912" t="b">
        <f t="shared" si="371"/>
        <v>1</v>
      </c>
      <c r="G3912" t="str">
        <f t="shared" si="367"/>
        <v>1F9F6</v>
      </c>
      <c r="I3912">
        <f>HEX2DEC(Table1[[#This Row],[utf8]])</f>
        <v>129526</v>
      </c>
      <c r="J3912" t="str">
        <f>_xlfn.UNICHAR(HEX2DEC(Table1[[#This Row],[utf8]]))</f>
        <v>🧶</v>
      </c>
      <c r="K3912" s="3" t="str" cm="1">
        <f t="array" ref="K3912">"Case "&amp;wRandomLetter()&amp;wRandomLetter()&amp;I3912&amp;":    UniConst = ChrW(" &amp; I3912 &amp;")"</f>
        <v>Case KB129526:    UniConst = ChrW(129526)</v>
      </c>
    </row>
    <row r="3913" spans="1:11" hidden="1">
      <c r="A3913" t="s">
        <v>4100</v>
      </c>
      <c r="B3913" t="str">
        <f t="shared" si="368"/>
        <v>1F9F7 ; fully-qualified # 🧷 E11.0 safety pin</v>
      </c>
      <c r="C3913" t="str">
        <f t="shared" si="369"/>
        <v xml:space="preserve">1F9F7 </v>
      </c>
      <c r="D3913">
        <f t="shared" si="370"/>
        <v>6</v>
      </c>
      <c r="E3913" t="str">
        <f t="shared" si="366"/>
        <v xml:space="preserve"> 🧷 E11.0 safety pin</v>
      </c>
      <c r="F3913" t="b">
        <f t="shared" si="371"/>
        <v>1</v>
      </c>
      <c r="G3913" t="str">
        <f t="shared" si="367"/>
        <v>1F9F7</v>
      </c>
      <c r="I3913">
        <f>HEX2DEC(Table1[[#This Row],[utf8]])</f>
        <v>129527</v>
      </c>
      <c r="J3913" t="str">
        <f>_xlfn.UNICHAR(HEX2DEC(Table1[[#This Row],[utf8]]))</f>
        <v>🧷</v>
      </c>
      <c r="K3913" s="3" t="str" cm="1">
        <f t="array" ref="K3913">"Case "&amp;wRandomLetter()&amp;wRandomLetter()&amp;I3913&amp;":    UniConst = ChrW(" &amp; I3913 &amp;")"</f>
        <v>Case wk129527:    UniConst = ChrW(129527)</v>
      </c>
    </row>
    <row r="3914" spans="1:11" hidden="1">
      <c r="A3914" t="s">
        <v>3774</v>
      </c>
      <c r="B3914" t="str">
        <f t="shared" si="368"/>
        <v>1F9F8 ; fully-qualified # 🧸 E11.0 teddy bear</v>
      </c>
      <c r="C3914" t="str">
        <f t="shared" si="369"/>
        <v xml:space="preserve">1F9F8 </v>
      </c>
      <c r="D3914">
        <f t="shared" si="370"/>
        <v>6</v>
      </c>
      <c r="E3914" t="str">
        <f t="shared" si="366"/>
        <v xml:space="preserve"> 🧸 E11.0 teddy bear</v>
      </c>
      <c r="F3914" t="b">
        <f t="shared" si="371"/>
        <v>1</v>
      </c>
      <c r="G3914" t="str">
        <f t="shared" si="367"/>
        <v>1F9F8</v>
      </c>
      <c r="I3914">
        <f>HEX2DEC(Table1[[#This Row],[utf8]])</f>
        <v>129528</v>
      </c>
      <c r="J3914" t="str">
        <f>_xlfn.UNICHAR(HEX2DEC(Table1[[#This Row],[utf8]]))</f>
        <v>🧸</v>
      </c>
      <c r="K3914" s="3" t="str" cm="1">
        <f t="array" ref="K3914">"Case "&amp;wRandomLetter()&amp;wRandomLetter()&amp;I3914&amp;":    UniConst = ChrW(" &amp; I3914 &amp;")"</f>
        <v>Case HW129528:    UniConst = ChrW(129528)</v>
      </c>
    </row>
    <row r="3915" spans="1:11" hidden="1">
      <c r="A3915" t="s">
        <v>4101</v>
      </c>
      <c r="B3915" t="str">
        <f t="shared" si="368"/>
        <v>1F9F9 ; fully-qualified # 🧹 E11.0 broom</v>
      </c>
      <c r="C3915" t="str">
        <f t="shared" si="369"/>
        <v xml:space="preserve">1F9F9 </v>
      </c>
      <c r="D3915">
        <f t="shared" si="370"/>
        <v>6</v>
      </c>
      <c r="E3915" t="str">
        <f t="shared" si="366"/>
        <v xml:space="preserve"> 🧹 E11.0 broom</v>
      </c>
      <c r="F3915" t="b">
        <f t="shared" si="371"/>
        <v>1</v>
      </c>
      <c r="G3915" t="str">
        <f t="shared" si="367"/>
        <v>1F9F9</v>
      </c>
      <c r="I3915">
        <f>HEX2DEC(Table1[[#This Row],[utf8]])</f>
        <v>129529</v>
      </c>
      <c r="J3915" t="str">
        <f>_xlfn.UNICHAR(HEX2DEC(Table1[[#This Row],[utf8]]))</f>
        <v>🧹</v>
      </c>
      <c r="K3915" s="3" t="str" cm="1">
        <f t="array" ref="K3915">"Case "&amp;wRandomLetter()&amp;wRandomLetter()&amp;I3915&amp;":    UniConst = ChrW(" &amp; I3915 &amp;")"</f>
        <v>Case uX129529:    UniConst = ChrW(129529)</v>
      </c>
    </row>
    <row r="3916" spans="1:11" hidden="1">
      <c r="A3916" t="s">
        <v>4102</v>
      </c>
      <c r="B3916" t="str">
        <f t="shared" si="368"/>
        <v>1F9FA ; fully-qualified # 🧺 E11.0 basket</v>
      </c>
      <c r="C3916" t="str">
        <f t="shared" si="369"/>
        <v xml:space="preserve">1F9FA </v>
      </c>
      <c r="D3916">
        <f t="shared" si="370"/>
        <v>6</v>
      </c>
      <c r="E3916" t="str">
        <f t="shared" si="366"/>
        <v xml:space="preserve"> 🧺 E11.0 basket</v>
      </c>
      <c r="F3916" t="b">
        <f t="shared" si="371"/>
        <v>1</v>
      </c>
      <c r="G3916" t="str">
        <f t="shared" si="367"/>
        <v>1F9FA</v>
      </c>
      <c r="I3916">
        <f>HEX2DEC(Table1[[#This Row],[utf8]])</f>
        <v>129530</v>
      </c>
      <c r="J3916" t="str">
        <f>_xlfn.UNICHAR(HEX2DEC(Table1[[#This Row],[utf8]]))</f>
        <v>🧺</v>
      </c>
      <c r="K3916" s="3" t="str" cm="1">
        <f t="array" ref="K3916">"Case "&amp;wRandomLetter()&amp;wRandomLetter()&amp;I3916&amp;":    UniConst = ChrW(" &amp; I3916 &amp;")"</f>
        <v>Case ei129530:    UniConst = ChrW(129530)</v>
      </c>
    </row>
    <row r="3917" spans="1:11" hidden="1">
      <c r="A3917" t="s">
        <v>4103</v>
      </c>
      <c r="B3917" t="str">
        <f t="shared" si="368"/>
        <v>1F9FB ; fully-qualified # 🧻 E11.0 roll of paper</v>
      </c>
      <c r="C3917" t="str">
        <f t="shared" si="369"/>
        <v xml:space="preserve">1F9FB </v>
      </c>
      <c r="D3917">
        <f t="shared" si="370"/>
        <v>6</v>
      </c>
      <c r="E3917" t="str">
        <f t="shared" si="366"/>
        <v xml:space="preserve"> 🧻 E11.0 roll of paper</v>
      </c>
      <c r="F3917" t="b">
        <f t="shared" si="371"/>
        <v>1</v>
      </c>
      <c r="G3917" t="str">
        <f t="shared" si="367"/>
        <v>1F9FB</v>
      </c>
      <c r="I3917">
        <f>HEX2DEC(Table1[[#This Row],[utf8]])</f>
        <v>129531</v>
      </c>
      <c r="J3917" t="str">
        <f>_xlfn.UNICHAR(HEX2DEC(Table1[[#This Row],[utf8]]))</f>
        <v>🧻</v>
      </c>
      <c r="K3917" s="3" t="str" cm="1">
        <f t="array" ref="K3917">"Case "&amp;wRandomLetter()&amp;wRandomLetter()&amp;I3917&amp;":    UniConst = ChrW(" &amp; I3917 &amp;")"</f>
        <v>Case Da129531:    UniConst = ChrW(129531)</v>
      </c>
    </row>
    <row r="3918" spans="1:11" hidden="1">
      <c r="A3918" t="s">
        <v>4105</v>
      </c>
      <c r="B3918" t="str">
        <f t="shared" si="368"/>
        <v>1F9FC ; fully-qualified # 🧼 E11.0 soap</v>
      </c>
      <c r="C3918" t="str">
        <f t="shared" si="369"/>
        <v xml:space="preserve">1F9FC </v>
      </c>
      <c r="D3918">
        <f t="shared" si="370"/>
        <v>6</v>
      </c>
      <c r="E3918" t="str">
        <f t="shared" si="366"/>
        <v xml:space="preserve"> 🧼 E11.0 soap</v>
      </c>
      <c r="F3918" t="b">
        <f t="shared" si="371"/>
        <v>1</v>
      </c>
      <c r="G3918" t="str">
        <f t="shared" si="367"/>
        <v>1F9FC</v>
      </c>
      <c r="I3918">
        <f>HEX2DEC(Table1[[#This Row],[utf8]])</f>
        <v>129532</v>
      </c>
      <c r="J3918" t="str">
        <f>_xlfn.UNICHAR(HEX2DEC(Table1[[#This Row],[utf8]]))</f>
        <v>🧼</v>
      </c>
      <c r="K3918" s="3" t="str" cm="1">
        <f t="array" ref="K3918">"Case "&amp;wRandomLetter()&amp;wRandomLetter()&amp;I3918&amp;":    UniConst = ChrW(" &amp; I3918 &amp;")"</f>
        <v>Case zq129532:    UniConst = ChrW(129532)</v>
      </c>
    </row>
    <row r="3919" spans="1:11" hidden="1">
      <c r="A3919" t="s">
        <v>4107</v>
      </c>
      <c r="B3919" t="str">
        <f t="shared" si="368"/>
        <v>1F9FD ; fully-qualified # 🧽 E11.0 sponge</v>
      </c>
      <c r="C3919" t="str">
        <f t="shared" si="369"/>
        <v xml:space="preserve">1F9FD </v>
      </c>
      <c r="D3919">
        <f t="shared" si="370"/>
        <v>6</v>
      </c>
      <c r="E3919" t="str">
        <f t="shared" si="366"/>
        <v xml:space="preserve"> 🧽 E11.0 sponge</v>
      </c>
      <c r="F3919" t="b">
        <f t="shared" si="371"/>
        <v>1</v>
      </c>
      <c r="G3919" t="str">
        <f t="shared" si="367"/>
        <v>1F9FD</v>
      </c>
      <c r="I3919">
        <f>HEX2DEC(Table1[[#This Row],[utf8]])</f>
        <v>129533</v>
      </c>
      <c r="J3919" t="str">
        <f>_xlfn.UNICHAR(HEX2DEC(Table1[[#This Row],[utf8]]))</f>
        <v>🧽</v>
      </c>
      <c r="K3919" s="3" t="str" cm="1">
        <f t="array" ref="K3919">"Case "&amp;wRandomLetter()&amp;wRandomLetter()&amp;I3919&amp;":    UniConst = ChrW(" &amp; I3919 &amp;")"</f>
        <v>Case WY129533:    UniConst = ChrW(129533)</v>
      </c>
    </row>
    <row r="3920" spans="1:11" hidden="1">
      <c r="A3920" t="s">
        <v>3960</v>
      </c>
      <c r="B3920" t="str">
        <f t="shared" si="368"/>
        <v>1F9FE ; fully-qualified # 🧾 E11.0 receipt</v>
      </c>
      <c r="C3920" t="str">
        <f t="shared" si="369"/>
        <v xml:space="preserve">1F9FE </v>
      </c>
      <c r="D3920">
        <f t="shared" si="370"/>
        <v>6</v>
      </c>
      <c r="E3920" t="str">
        <f t="shared" si="366"/>
        <v xml:space="preserve"> 🧾 E11.0 receipt</v>
      </c>
      <c r="F3920" t="b">
        <f t="shared" si="371"/>
        <v>1</v>
      </c>
      <c r="G3920" t="str">
        <f t="shared" si="367"/>
        <v>1F9FE</v>
      </c>
      <c r="I3920">
        <f>HEX2DEC(Table1[[#This Row],[utf8]])</f>
        <v>129534</v>
      </c>
      <c r="J3920" t="str">
        <f>_xlfn.UNICHAR(HEX2DEC(Table1[[#This Row],[utf8]]))</f>
        <v>🧾</v>
      </c>
      <c r="K3920" s="3" t="str" cm="1">
        <f t="array" ref="K3920">"Case "&amp;wRandomLetter()&amp;wRandomLetter()&amp;I3920&amp;":    UniConst = ChrW(" &amp; I3920 &amp;")"</f>
        <v>Case Xd129534:    UniConst = ChrW(129534)</v>
      </c>
    </row>
    <row r="3921" spans="1:11" hidden="1">
      <c r="A3921" t="s">
        <v>3767</v>
      </c>
      <c r="B3921" t="str">
        <f t="shared" si="368"/>
        <v>1F9FF ; fully-qualified # 🧿 E11.0 nazar amulet</v>
      </c>
      <c r="C3921" t="str">
        <f t="shared" si="369"/>
        <v xml:space="preserve">1F9FF </v>
      </c>
      <c r="D3921">
        <f t="shared" si="370"/>
        <v>6</v>
      </c>
      <c r="E3921" t="str">
        <f t="shared" si="366"/>
        <v xml:space="preserve"> 🧿 E11.0 nazar amulet</v>
      </c>
      <c r="F3921" t="b">
        <f t="shared" si="371"/>
        <v>1</v>
      </c>
      <c r="G3921" t="str">
        <f t="shared" si="367"/>
        <v>1F9FF</v>
      </c>
      <c r="I3921">
        <f>HEX2DEC(Table1[[#This Row],[utf8]])</f>
        <v>129535</v>
      </c>
      <c r="J3921" t="str">
        <f>_xlfn.UNICHAR(HEX2DEC(Table1[[#This Row],[utf8]]))</f>
        <v>🧿</v>
      </c>
      <c r="K3921" s="3" t="str" cm="1">
        <f t="array" ref="K3921">"Case "&amp;wRandomLetter()&amp;wRandomLetter()&amp;I3921&amp;":    UniConst = ChrW(" &amp; I3921 &amp;")"</f>
        <v>Case YB129535:    UniConst = ChrW(129535)</v>
      </c>
    </row>
    <row r="3922" spans="1:11" hidden="1">
      <c r="A3922" t="s">
        <v>3837</v>
      </c>
      <c r="B3922" t="str">
        <f t="shared" si="368"/>
        <v>1FA70 ; fully-qualified # 🩰 E12.0 ballet shoes</v>
      </c>
      <c r="C3922" t="str">
        <f t="shared" si="369"/>
        <v xml:space="preserve">1FA70 </v>
      </c>
      <c r="D3922">
        <f t="shared" si="370"/>
        <v>6</v>
      </c>
      <c r="E3922" t="str">
        <f t="shared" si="366"/>
        <v xml:space="preserve"> 🩰 E12.0 ballet shoes</v>
      </c>
      <c r="F3922" t="b">
        <f t="shared" si="371"/>
        <v>1</v>
      </c>
      <c r="G3922" t="str">
        <f t="shared" si="367"/>
        <v>1FA70</v>
      </c>
      <c r="I3922">
        <f>HEX2DEC(Table1[[#This Row],[utf8]])</f>
        <v>129648</v>
      </c>
      <c r="J3922" t="str">
        <f>_xlfn.UNICHAR(HEX2DEC(Table1[[#This Row],[utf8]]))</f>
        <v>🩰</v>
      </c>
      <c r="K3922" s="3" t="str" cm="1">
        <f t="array" ref="K3922">"Case "&amp;wRandomLetter()&amp;wRandomLetter()&amp;I3922&amp;":    UniConst = ChrW(" &amp; I3922 &amp;")"</f>
        <v>Case FQ129648:    UniConst = ChrW(129648)</v>
      </c>
    </row>
    <row r="3923" spans="1:11" hidden="1">
      <c r="A3923" t="s">
        <v>3819</v>
      </c>
      <c r="B3923" t="str">
        <f t="shared" si="368"/>
        <v>1FA71 ; fully-qualified # 🩱 E12.0 one-piece swimsuit</v>
      </c>
      <c r="C3923" t="str">
        <f t="shared" si="369"/>
        <v xml:space="preserve">1FA71 </v>
      </c>
      <c r="D3923">
        <f t="shared" si="370"/>
        <v>6</v>
      </c>
      <c r="E3923" t="str">
        <f t="shared" si="366"/>
        <v xml:space="preserve"> 🩱 E12.0 one-piece swimsuit</v>
      </c>
      <c r="F3923" t="b">
        <f t="shared" si="371"/>
        <v>1</v>
      </c>
      <c r="G3923" t="str">
        <f t="shared" si="367"/>
        <v>1FA71</v>
      </c>
      <c r="I3923">
        <f>HEX2DEC(Table1[[#This Row],[utf8]])</f>
        <v>129649</v>
      </c>
      <c r="J3923" t="str">
        <f>_xlfn.UNICHAR(HEX2DEC(Table1[[#This Row],[utf8]]))</f>
        <v>🩱</v>
      </c>
      <c r="K3923" s="3" t="str" cm="1">
        <f t="array" ref="K3923">"Case "&amp;wRandomLetter()&amp;wRandomLetter()&amp;I3923&amp;":    UniConst = ChrW(" &amp; I3923 &amp;")"</f>
        <v>Case UD129649:    UniConst = ChrW(129649)</v>
      </c>
    </row>
    <row r="3924" spans="1:11" hidden="1">
      <c r="A3924" t="s">
        <v>3820</v>
      </c>
      <c r="B3924" t="str">
        <f t="shared" si="368"/>
        <v>1FA72 ; fully-qualified # 🩲 E12.0 briefs</v>
      </c>
      <c r="C3924" t="str">
        <f t="shared" si="369"/>
        <v xml:space="preserve">1FA72 </v>
      </c>
      <c r="D3924">
        <f t="shared" si="370"/>
        <v>6</v>
      </c>
      <c r="E3924" t="str">
        <f t="shared" si="366"/>
        <v xml:space="preserve"> 🩲 E12.0 briefs</v>
      </c>
      <c r="F3924" t="b">
        <f t="shared" si="371"/>
        <v>1</v>
      </c>
      <c r="G3924" t="str">
        <f t="shared" si="367"/>
        <v>1FA72</v>
      </c>
      <c r="I3924">
        <f>HEX2DEC(Table1[[#This Row],[utf8]])</f>
        <v>129650</v>
      </c>
      <c r="J3924" t="str">
        <f>_xlfn.UNICHAR(HEX2DEC(Table1[[#This Row],[utf8]]))</f>
        <v>🩲</v>
      </c>
      <c r="K3924" s="3" t="str" cm="1">
        <f t="array" ref="K3924">"Case "&amp;wRandomLetter()&amp;wRandomLetter()&amp;I3924&amp;":    UniConst = ChrW(" &amp; I3924 &amp;")"</f>
        <v>Case qV129650:    UniConst = ChrW(129650)</v>
      </c>
    </row>
    <row r="3925" spans="1:11" hidden="1">
      <c r="A3925" t="s">
        <v>3821</v>
      </c>
      <c r="B3925" t="str">
        <f t="shared" si="368"/>
        <v>1FA73 ; fully-qualified # 🩳 E12.0 shorts</v>
      </c>
      <c r="C3925" t="str">
        <f t="shared" si="369"/>
        <v xml:space="preserve">1FA73 </v>
      </c>
      <c r="D3925">
        <f t="shared" si="370"/>
        <v>6</v>
      </c>
      <c r="E3925" t="str">
        <f t="shared" si="366"/>
        <v xml:space="preserve"> 🩳 E12.0 shorts</v>
      </c>
      <c r="F3925" t="b">
        <f t="shared" si="371"/>
        <v>1</v>
      </c>
      <c r="G3925" t="str">
        <f t="shared" si="367"/>
        <v>1FA73</v>
      </c>
      <c r="I3925">
        <f>HEX2DEC(Table1[[#This Row],[utf8]])</f>
        <v>129651</v>
      </c>
      <c r="J3925" t="str">
        <f>_xlfn.UNICHAR(HEX2DEC(Table1[[#This Row],[utf8]]))</f>
        <v>🩳</v>
      </c>
      <c r="K3925" s="3" t="str" cm="1">
        <f t="array" ref="K3925">"Case "&amp;wRandomLetter()&amp;wRandomLetter()&amp;I3925&amp;":    UniConst = ChrW(" &amp; I3925 &amp;")"</f>
        <v>Case Fl129651:    UniConst = ChrW(129651)</v>
      </c>
    </row>
    <row r="3926" spans="1:11" hidden="1">
      <c r="A3926" t="s">
        <v>3830</v>
      </c>
      <c r="B3926" t="str">
        <f t="shared" si="368"/>
        <v>1FA74 ; fully-qualified # 🩴 E13.0 thong sandal</v>
      </c>
      <c r="C3926" t="str">
        <f t="shared" si="369"/>
        <v xml:space="preserve">1FA74 </v>
      </c>
      <c r="D3926">
        <f t="shared" si="370"/>
        <v>6</v>
      </c>
      <c r="E3926" t="str">
        <f t="shared" si="366"/>
        <v xml:space="preserve"> 🩴 E13.0 thong sandal</v>
      </c>
      <c r="F3926" t="b">
        <f t="shared" si="371"/>
        <v>1</v>
      </c>
      <c r="G3926" t="str">
        <f t="shared" si="367"/>
        <v>1FA74</v>
      </c>
      <c r="I3926">
        <f>HEX2DEC(Table1[[#This Row],[utf8]])</f>
        <v>129652</v>
      </c>
      <c r="J3926" t="str">
        <f>_xlfn.UNICHAR(HEX2DEC(Table1[[#This Row],[utf8]]))</f>
        <v>🩴</v>
      </c>
      <c r="K3926" s="3" t="str" cm="1">
        <f t="array" ref="K3926">"Case "&amp;wRandomLetter()&amp;wRandomLetter()&amp;I3926&amp;":    UniConst = ChrW(" &amp; I3926 &amp;")"</f>
        <v>Case jZ129652:    UniConst = ChrW(129652)</v>
      </c>
    </row>
    <row r="3927" spans="1:11" hidden="1">
      <c r="A3927" t="s">
        <v>4079</v>
      </c>
      <c r="B3927" t="str">
        <f t="shared" si="368"/>
        <v>1FA78 ; fully-qualified # 🩸 E12.0 drop of blood</v>
      </c>
      <c r="C3927" t="str">
        <f t="shared" si="369"/>
        <v xml:space="preserve">1FA78 </v>
      </c>
      <c r="D3927">
        <f t="shared" si="370"/>
        <v>6</v>
      </c>
      <c r="E3927" t="str">
        <f t="shared" si="366"/>
        <v xml:space="preserve"> 🩸 E12.0 drop of blood</v>
      </c>
      <c r="F3927" t="b">
        <f t="shared" si="371"/>
        <v>1</v>
      </c>
      <c r="G3927" t="str">
        <f t="shared" si="367"/>
        <v>1FA78</v>
      </c>
      <c r="I3927">
        <f>HEX2DEC(Table1[[#This Row],[utf8]])</f>
        <v>129656</v>
      </c>
      <c r="J3927" t="str">
        <f>_xlfn.UNICHAR(HEX2DEC(Table1[[#This Row],[utf8]]))</f>
        <v>🩸</v>
      </c>
      <c r="K3927" s="3" t="str" cm="1">
        <f t="array" ref="K3927">"Case "&amp;wRandomLetter()&amp;wRandomLetter()&amp;I3927&amp;":    UniConst = ChrW(" &amp; I3927 &amp;")"</f>
        <v>Case ew129656:    UniConst = ChrW(129656)</v>
      </c>
    </row>
    <row r="3928" spans="1:11" hidden="1">
      <c r="A3928" t="s">
        <v>4081</v>
      </c>
      <c r="B3928" t="str">
        <f t="shared" si="368"/>
        <v>1FA79 ; fully-qualified # 🩹 E12.0 adhesive bandage</v>
      </c>
      <c r="C3928" t="str">
        <f t="shared" si="369"/>
        <v xml:space="preserve">1FA79 </v>
      </c>
      <c r="D3928">
        <f t="shared" si="370"/>
        <v>6</v>
      </c>
      <c r="E3928" t="str">
        <f t="shared" si="366"/>
        <v xml:space="preserve"> 🩹 E12.0 adhesive bandage</v>
      </c>
      <c r="F3928" t="b">
        <f t="shared" si="371"/>
        <v>1</v>
      </c>
      <c r="G3928" t="str">
        <f t="shared" si="367"/>
        <v>1FA79</v>
      </c>
      <c r="I3928">
        <f>HEX2DEC(Table1[[#This Row],[utf8]])</f>
        <v>129657</v>
      </c>
      <c r="J3928" t="str">
        <f>_xlfn.UNICHAR(HEX2DEC(Table1[[#This Row],[utf8]]))</f>
        <v>🩹</v>
      </c>
      <c r="K3928" s="3" t="str" cm="1">
        <f t="array" ref="K3928">"Case "&amp;wRandomLetter()&amp;wRandomLetter()&amp;I3928&amp;":    UniConst = ChrW(" &amp; I3928 &amp;")"</f>
        <v>Case VE129657:    UniConst = ChrW(129657)</v>
      </c>
    </row>
    <row r="3929" spans="1:11" hidden="1">
      <c r="A3929" t="s">
        <v>4082</v>
      </c>
      <c r="B3929" t="str">
        <f t="shared" si="368"/>
        <v>1FA7A ; fully-qualified # 🩺 E12.0 stethoscope</v>
      </c>
      <c r="C3929" t="str">
        <f t="shared" si="369"/>
        <v xml:space="preserve">1FA7A </v>
      </c>
      <c r="D3929">
        <f t="shared" si="370"/>
        <v>6</v>
      </c>
      <c r="E3929" t="str">
        <f t="shared" si="366"/>
        <v xml:space="preserve"> 🩺 E12.0 stethoscope</v>
      </c>
      <c r="F3929" t="b">
        <f t="shared" si="371"/>
        <v>1</v>
      </c>
      <c r="G3929" t="str">
        <f t="shared" si="367"/>
        <v>1FA7A</v>
      </c>
      <c r="I3929">
        <f>HEX2DEC(Table1[[#This Row],[utf8]])</f>
        <v>129658</v>
      </c>
      <c r="J3929" t="str">
        <f>_xlfn.UNICHAR(HEX2DEC(Table1[[#This Row],[utf8]]))</f>
        <v>🩺</v>
      </c>
      <c r="K3929" s="3" t="str" cm="1">
        <f t="array" ref="K3929">"Case "&amp;wRandomLetter()&amp;wRandomLetter()&amp;I3929&amp;":    UniConst = ChrW(" &amp; I3929 &amp;")"</f>
        <v>Case iI129658:    UniConst = ChrW(129658)</v>
      </c>
    </row>
    <row r="3930" spans="1:11" hidden="1">
      <c r="A3930" t="s">
        <v>3762</v>
      </c>
      <c r="B3930" t="str">
        <f t="shared" si="368"/>
        <v>1FA80 ; fully-qualified # 🪀 E12.0 yo-yo</v>
      </c>
      <c r="C3930" t="str">
        <f t="shared" si="369"/>
        <v xml:space="preserve">1FA80 </v>
      </c>
      <c r="D3930">
        <f t="shared" si="370"/>
        <v>6</v>
      </c>
      <c r="E3930" t="str">
        <f t="shared" si="366"/>
        <v xml:space="preserve"> 🪀 E12.0 yo-yo</v>
      </c>
      <c r="F3930" t="b">
        <f t="shared" si="371"/>
        <v>1</v>
      </c>
      <c r="G3930" t="str">
        <f t="shared" si="367"/>
        <v>1FA80</v>
      </c>
      <c r="I3930">
        <f>HEX2DEC(Table1[[#This Row],[utf8]])</f>
        <v>129664</v>
      </c>
      <c r="J3930" t="str">
        <f>_xlfn.UNICHAR(HEX2DEC(Table1[[#This Row],[utf8]]))</f>
        <v>🪀</v>
      </c>
      <c r="K3930" s="3" t="str" cm="1">
        <f t="array" ref="K3930">"Case "&amp;wRandomLetter()&amp;wRandomLetter()&amp;I3930&amp;":    UniConst = ChrW(" &amp; I3930 &amp;")"</f>
        <v>Case Re129664:    UniConst = ChrW(129664)</v>
      </c>
    </row>
    <row r="3931" spans="1:11" hidden="1">
      <c r="A3931" t="s">
        <v>3763</v>
      </c>
      <c r="B3931" t="str">
        <f t="shared" si="368"/>
        <v>1FA81 ; fully-qualified # 🪁 E12.0 kite</v>
      </c>
      <c r="C3931" t="str">
        <f t="shared" si="369"/>
        <v xml:space="preserve">1FA81 </v>
      </c>
      <c r="D3931">
        <f t="shared" si="370"/>
        <v>6</v>
      </c>
      <c r="E3931" t="str">
        <f t="shared" si="366"/>
        <v xml:space="preserve"> 🪁 E12.0 kite</v>
      </c>
      <c r="F3931" t="b">
        <f t="shared" si="371"/>
        <v>1</v>
      </c>
      <c r="G3931" t="str">
        <f t="shared" si="367"/>
        <v>1FA81</v>
      </c>
      <c r="I3931">
        <f>HEX2DEC(Table1[[#This Row],[utf8]])</f>
        <v>129665</v>
      </c>
      <c r="J3931" t="str">
        <f>_xlfn.UNICHAR(HEX2DEC(Table1[[#This Row],[utf8]]))</f>
        <v>🪁</v>
      </c>
      <c r="K3931" s="3" t="str" cm="1">
        <f t="array" ref="K3931">"Case "&amp;wRandomLetter()&amp;wRandomLetter()&amp;I3931&amp;":    UniConst = ChrW(" &amp; I3931 &amp;")"</f>
        <v>Case Or129665:    UniConst = ChrW(129665)</v>
      </c>
    </row>
    <row r="3932" spans="1:11" hidden="1">
      <c r="A3932" t="s">
        <v>3581</v>
      </c>
      <c r="B3932" t="str">
        <f t="shared" si="368"/>
        <v>1FA82 ; fully-qualified # 🪂 E12.0 parachute</v>
      </c>
      <c r="C3932" t="str">
        <f t="shared" si="369"/>
        <v xml:space="preserve">1FA82 </v>
      </c>
      <c r="D3932">
        <f t="shared" si="370"/>
        <v>6</v>
      </c>
      <c r="E3932" t="str">
        <f t="shared" si="366"/>
        <v xml:space="preserve"> 🪂 E12.0 parachute</v>
      </c>
      <c r="F3932" t="b">
        <f t="shared" si="371"/>
        <v>1</v>
      </c>
      <c r="G3932" t="str">
        <f t="shared" si="367"/>
        <v>1FA82</v>
      </c>
      <c r="I3932">
        <f>HEX2DEC(Table1[[#This Row],[utf8]])</f>
        <v>129666</v>
      </c>
      <c r="J3932" t="str">
        <f>_xlfn.UNICHAR(HEX2DEC(Table1[[#This Row],[utf8]]))</f>
        <v>🪂</v>
      </c>
      <c r="K3932" s="3" t="str" cm="1">
        <f t="array" ref="K3932">"Case "&amp;wRandomLetter()&amp;wRandomLetter()&amp;I3932&amp;":    UniConst = ChrW(" &amp; I3932 &amp;")"</f>
        <v>Case uY129666:    UniConst = ChrW(129666)</v>
      </c>
    </row>
    <row r="3933" spans="1:11" hidden="1">
      <c r="A3933" t="s">
        <v>4046</v>
      </c>
      <c r="B3933" t="str">
        <f t="shared" si="368"/>
        <v>1FA83 ; fully-qualified # 🪃 E13.0 boomerang</v>
      </c>
      <c r="C3933" t="str">
        <f t="shared" si="369"/>
        <v xml:space="preserve">1FA83 </v>
      </c>
      <c r="D3933">
        <f t="shared" si="370"/>
        <v>6</v>
      </c>
      <c r="E3933" t="str">
        <f t="shared" si="366"/>
        <v xml:space="preserve"> 🪃 E13.0 boomerang</v>
      </c>
      <c r="F3933" t="b">
        <f t="shared" si="371"/>
        <v>1</v>
      </c>
      <c r="G3933" t="str">
        <f t="shared" si="367"/>
        <v>1FA83</v>
      </c>
      <c r="I3933">
        <f>HEX2DEC(Table1[[#This Row],[utf8]])</f>
        <v>129667</v>
      </c>
      <c r="J3933" t="str">
        <f>_xlfn.UNICHAR(HEX2DEC(Table1[[#This Row],[utf8]]))</f>
        <v>🪃</v>
      </c>
      <c r="K3933" s="3" t="str" cm="1">
        <f t="array" ref="K3933">"Case "&amp;wRandomLetter()&amp;wRandomLetter()&amp;I3933&amp;":    UniConst = ChrW(" &amp; I3933 &amp;")"</f>
        <v>Case SW129667:    UniConst = ChrW(129667)</v>
      </c>
    </row>
    <row r="3934" spans="1:11" hidden="1">
      <c r="A3934" t="s">
        <v>3766</v>
      </c>
      <c r="B3934" t="str">
        <f t="shared" si="368"/>
        <v>1FA84 ; fully-qualified # 🪄 E13.0 magic wand</v>
      </c>
      <c r="C3934" t="str">
        <f t="shared" si="369"/>
        <v xml:space="preserve">1FA84 </v>
      </c>
      <c r="D3934">
        <f t="shared" si="370"/>
        <v>6</v>
      </c>
      <c r="E3934" t="str">
        <f t="shared" si="366"/>
        <v xml:space="preserve"> 🪄 E13.0 magic wand</v>
      </c>
      <c r="F3934" t="b">
        <f t="shared" si="371"/>
        <v>1</v>
      </c>
      <c r="G3934" t="str">
        <f t="shared" si="367"/>
        <v>1FA84</v>
      </c>
      <c r="I3934">
        <f>HEX2DEC(Table1[[#This Row],[utf8]])</f>
        <v>129668</v>
      </c>
      <c r="J3934" t="str">
        <f>_xlfn.UNICHAR(HEX2DEC(Table1[[#This Row],[utf8]]))</f>
        <v>🪄</v>
      </c>
      <c r="K3934" s="3" t="str" cm="1">
        <f t="array" ref="K3934">"Case "&amp;wRandomLetter()&amp;wRandomLetter()&amp;I3934&amp;":    UniConst = ChrW(" &amp; I3934 &amp;")"</f>
        <v>Case wZ129668:    UniConst = ChrW(129668)</v>
      </c>
    </row>
    <row r="3935" spans="1:11" hidden="1">
      <c r="A3935" t="s">
        <v>3775</v>
      </c>
      <c r="B3935" t="str">
        <f t="shared" si="368"/>
        <v>1FA85 ; fully-qualified # 🪅 E13.0 piñata</v>
      </c>
      <c r="C3935" t="str">
        <f t="shared" si="369"/>
        <v xml:space="preserve">1FA85 </v>
      </c>
      <c r="D3935">
        <f t="shared" si="370"/>
        <v>6</v>
      </c>
      <c r="E3935" t="str">
        <f t="shared" si="366"/>
        <v xml:space="preserve"> 🪅 E13.0 piñata</v>
      </c>
      <c r="F3935" t="b">
        <f t="shared" si="371"/>
        <v>1</v>
      </c>
      <c r="G3935" t="str">
        <f t="shared" si="367"/>
        <v>1FA85</v>
      </c>
      <c r="I3935">
        <f>HEX2DEC(Table1[[#This Row],[utf8]])</f>
        <v>129669</v>
      </c>
      <c r="J3935" t="str">
        <f>_xlfn.UNICHAR(HEX2DEC(Table1[[#This Row],[utf8]]))</f>
        <v>🪅</v>
      </c>
      <c r="K3935" s="3" t="str" cm="1">
        <f t="array" ref="K3935">"Case "&amp;wRandomLetter()&amp;wRandomLetter()&amp;I3935&amp;":    UniConst = ChrW(" &amp; I3935 &amp;")"</f>
        <v>Case UQ129669:    UniConst = ChrW(129669)</v>
      </c>
    </row>
    <row r="3936" spans="1:11" hidden="1">
      <c r="A3936" t="s">
        <v>3776</v>
      </c>
      <c r="B3936" t="str">
        <f t="shared" si="368"/>
        <v>1FA86 ; fully-qualified # 🪆 E13.0 nesting dolls</v>
      </c>
      <c r="C3936" t="str">
        <f t="shared" si="369"/>
        <v xml:space="preserve">1FA86 </v>
      </c>
      <c r="D3936">
        <f t="shared" si="370"/>
        <v>6</v>
      </c>
      <c r="E3936" t="str">
        <f t="shared" si="366"/>
        <v xml:space="preserve"> 🪆 E13.0 nesting dolls</v>
      </c>
      <c r="F3936" t="b">
        <f t="shared" si="371"/>
        <v>1</v>
      </c>
      <c r="G3936" t="str">
        <f t="shared" si="367"/>
        <v>1FA86</v>
      </c>
      <c r="I3936">
        <f>HEX2DEC(Table1[[#This Row],[utf8]])</f>
        <v>129670</v>
      </c>
      <c r="J3936" t="str">
        <f>_xlfn.UNICHAR(HEX2DEC(Table1[[#This Row],[utf8]]))</f>
        <v>🪆</v>
      </c>
      <c r="K3936" s="3" t="str" cm="1">
        <f t="array" ref="K3936">"Case "&amp;wRandomLetter()&amp;wRandomLetter()&amp;I3936&amp;":    UniConst = ChrW(" &amp; I3936 &amp;")"</f>
        <v>Case Pm129670:    UniConst = ChrW(129670)</v>
      </c>
    </row>
    <row r="3937" spans="1:11" hidden="1">
      <c r="A3937" t="s">
        <v>3649</v>
      </c>
      <c r="B3937" t="str">
        <f t="shared" si="368"/>
        <v>1FA90 ; fully-qualified # 🪐 E12.0 ringed planet</v>
      </c>
      <c r="C3937" t="str">
        <f t="shared" si="369"/>
        <v xml:space="preserve">1FA90 </v>
      </c>
      <c r="D3937">
        <f t="shared" si="370"/>
        <v>6</v>
      </c>
      <c r="E3937" t="str">
        <f t="shared" si="366"/>
        <v xml:space="preserve"> 🪐 E12.0 ringed planet</v>
      </c>
      <c r="F3937" t="b">
        <f t="shared" si="371"/>
        <v>1</v>
      </c>
      <c r="G3937" t="str">
        <f t="shared" si="367"/>
        <v>1FA90</v>
      </c>
      <c r="I3937">
        <f>HEX2DEC(Table1[[#This Row],[utf8]])</f>
        <v>129680</v>
      </c>
      <c r="J3937" t="str">
        <f>_xlfn.UNICHAR(HEX2DEC(Table1[[#This Row],[utf8]]))</f>
        <v>🪐</v>
      </c>
      <c r="K3937" s="3" t="str" cm="1">
        <f t="array" ref="K3937">"Case "&amp;wRandomLetter()&amp;wRandomLetter()&amp;I3937&amp;":    UniConst = ChrW(" &amp; I3937 &amp;")"</f>
        <v>Case PO129680:    UniConst = ChrW(129680)</v>
      </c>
    </row>
    <row r="3938" spans="1:11" hidden="1">
      <c r="A3938" t="s">
        <v>4092</v>
      </c>
      <c r="B3938" t="str">
        <f t="shared" si="368"/>
        <v>1FA91 ; fully-qualified # 🪑 E12.0 chair</v>
      </c>
      <c r="C3938" t="str">
        <f t="shared" si="369"/>
        <v xml:space="preserve">1FA91 </v>
      </c>
      <c r="D3938">
        <f t="shared" si="370"/>
        <v>6</v>
      </c>
      <c r="E3938" t="str">
        <f t="shared" si="366"/>
        <v xml:space="preserve"> 🪑 E12.0 chair</v>
      </c>
      <c r="F3938" t="b">
        <f t="shared" si="371"/>
        <v>1</v>
      </c>
      <c r="G3938" t="str">
        <f t="shared" si="367"/>
        <v>1FA91</v>
      </c>
      <c r="I3938">
        <f>HEX2DEC(Table1[[#This Row],[utf8]])</f>
        <v>129681</v>
      </c>
      <c r="J3938" t="str">
        <f>_xlfn.UNICHAR(HEX2DEC(Table1[[#This Row],[utf8]]))</f>
        <v>🪑</v>
      </c>
      <c r="K3938" s="3" t="str" cm="1">
        <f t="array" ref="K3938">"Case "&amp;wRandomLetter()&amp;wRandomLetter()&amp;I3938&amp;":    UniConst = ChrW(" &amp; I3938 &amp;")"</f>
        <v>Case qQ129681:    UniConst = ChrW(129681)</v>
      </c>
    </row>
    <row r="3939" spans="1:11" hidden="1">
      <c r="A3939" t="s">
        <v>4098</v>
      </c>
      <c r="B3939" t="str">
        <f t="shared" si="368"/>
        <v>1FA92 ; fully-qualified # 🪒 E12.0 razor</v>
      </c>
      <c r="C3939" t="str">
        <f t="shared" si="369"/>
        <v xml:space="preserve">1FA92 </v>
      </c>
      <c r="D3939">
        <f t="shared" si="370"/>
        <v>6</v>
      </c>
      <c r="E3939" t="str">
        <f t="shared" si="366"/>
        <v xml:space="preserve"> 🪒 E12.0 razor</v>
      </c>
      <c r="F3939" t="b">
        <f t="shared" si="371"/>
        <v>1</v>
      </c>
      <c r="G3939" t="str">
        <f t="shared" si="367"/>
        <v>1FA92</v>
      </c>
      <c r="I3939">
        <f>HEX2DEC(Table1[[#This Row],[utf8]])</f>
        <v>129682</v>
      </c>
      <c r="J3939" t="str">
        <f>_xlfn.UNICHAR(HEX2DEC(Table1[[#This Row],[utf8]]))</f>
        <v>🪒</v>
      </c>
      <c r="K3939" s="3" t="str" cm="1">
        <f t="array" ref="K3939">"Case "&amp;wRandomLetter()&amp;wRandomLetter()&amp;I3939&amp;":    UniConst = ChrW(" &amp; I3939 &amp;")"</f>
        <v>Case Ka129682:    UniConst = ChrW(129682)</v>
      </c>
    </row>
    <row r="3940" spans="1:11" hidden="1">
      <c r="A3940" t="s">
        <v>4034</v>
      </c>
      <c r="B3940" t="str">
        <f t="shared" si="368"/>
        <v>1FA93 ; fully-qualified # 🪓 E12.0 axe</v>
      </c>
      <c r="C3940" t="str">
        <f t="shared" si="369"/>
        <v xml:space="preserve">1FA93 </v>
      </c>
      <c r="D3940">
        <f t="shared" si="370"/>
        <v>6</v>
      </c>
      <c r="E3940" t="str">
        <f t="shared" si="366"/>
        <v xml:space="preserve"> 🪓 E12.0 axe</v>
      </c>
      <c r="F3940" t="b">
        <f t="shared" si="371"/>
        <v>1</v>
      </c>
      <c r="G3940" t="str">
        <f t="shared" si="367"/>
        <v>1FA93</v>
      </c>
      <c r="I3940">
        <f>HEX2DEC(Table1[[#This Row],[utf8]])</f>
        <v>129683</v>
      </c>
      <c r="J3940" t="str">
        <f>_xlfn.UNICHAR(HEX2DEC(Table1[[#This Row],[utf8]]))</f>
        <v>🪓</v>
      </c>
      <c r="K3940" s="3" t="str" cm="1">
        <f t="array" ref="K3940">"Case "&amp;wRandomLetter()&amp;wRandomLetter()&amp;I3940&amp;":    UniConst = ChrW(" &amp; I3940 &amp;")"</f>
        <v>Case Gi129683:    UniConst = ChrW(129683)</v>
      </c>
    </row>
    <row r="3941" spans="1:11" hidden="1">
      <c r="A3941" t="s">
        <v>3930</v>
      </c>
      <c r="B3941" t="str">
        <f t="shared" si="368"/>
        <v>1FA94 ; fully-qualified # 🪔 E12.0 diya lamp</v>
      </c>
      <c r="C3941" t="str">
        <f t="shared" si="369"/>
        <v xml:space="preserve">1FA94 </v>
      </c>
      <c r="D3941">
        <f t="shared" si="370"/>
        <v>6</v>
      </c>
      <c r="E3941" t="str">
        <f t="shared" si="366"/>
        <v xml:space="preserve"> 🪔 E12.0 diya lamp</v>
      </c>
      <c r="F3941" t="b">
        <f t="shared" si="371"/>
        <v>1</v>
      </c>
      <c r="G3941" t="str">
        <f t="shared" si="367"/>
        <v>1FA94</v>
      </c>
      <c r="I3941">
        <f>HEX2DEC(Table1[[#This Row],[utf8]])</f>
        <v>129684</v>
      </c>
      <c r="J3941" t="str">
        <f>_xlfn.UNICHAR(HEX2DEC(Table1[[#This Row],[utf8]]))</f>
        <v>🪔</v>
      </c>
      <c r="K3941" s="3" t="str" cm="1">
        <f t="array" ref="K3941">"Case "&amp;wRandomLetter()&amp;wRandomLetter()&amp;I3941&amp;":    UniConst = ChrW(" &amp; I3941 &amp;")"</f>
        <v>Case HK129684:    UniConst = ChrW(129684)</v>
      </c>
    </row>
    <row r="3942" spans="1:11" hidden="1">
      <c r="A3942" t="s">
        <v>3881</v>
      </c>
      <c r="B3942" t="str">
        <f t="shared" si="368"/>
        <v>1FA95 ; fully-qualified # 🪕 E12.0 banjo</v>
      </c>
      <c r="C3942" t="str">
        <f t="shared" si="369"/>
        <v xml:space="preserve">1FA95 </v>
      </c>
      <c r="D3942">
        <f t="shared" si="370"/>
        <v>6</v>
      </c>
      <c r="E3942" t="str">
        <f t="shared" si="366"/>
        <v xml:space="preserve"> 🪕 E12.0 banjo</v>
      </c>
      <c r="F3942" t="b">
        <f t="shared" si="371"/>
        <v>1</v>
      </c>
      <c r="G3942" t="str">
        <f t="shared" si="367"/>
        <v>1FA95</v>
      </c>
      <c r="I3942">
        <f>HEX2DEC(Table1[[#This Row],[utf8]])</f>
        <v>129685</v>
      </c>
      <c r="J3942" t="str">
        <f>_xlfn.UNICHAR(HEX2DEC(Table1[[#This Row],[utf8]]))</f>
        <v>🪕</v>
      </c>
      <c r="K3942" s="3" t="str" cm="1">
        <f t="array" ref="K3942">"Case "&amp;wRandomLetter()&amp;wRandomLetter()&amp;I3942&amp;":    UniConst = ChrW(" &amp; I3942 &amp;")"</f>
        <v>Case ke129685:    UniConst = ChrW(129685)</v>
      </c>
    </row>
    <row r="3943" spans="1:11" hidden="1">
      <c r="A3943" t="s">
        <v>3844</v>
      </c>
      <c r="B3943" t="str">
        <f t="shared" si="368"/>
        <v>1FA96 ; fully-qualified # 🪖 E13.0 military helmet</v>
      </c>
      <c r="C3943" t="str">
        <f t="shared" si="369"/>
        <v xml:space="preserve">1FA96 </v>
      </c>
      <c r="D3943">
        <f t="shared" si="370"/>
        <v>6</v>
      </c>
      <c r="E3943" t="str">
        <f t="shared" si="366"/>
        <v xml:space="preserve"> 🪖 E13.0 military helmet</v>
      </c>
      <c r="F3943" t="b">
        <f t="shared" si="371"/>
        <v>1</v>
      </c>
      <c r="G3943" t="str">
        <f t="shared" si="367"/>
        <v>1FA96</v>
      </c>
      <c r="I3943">
        <f>HEX2DEC(Table1[[#This Row],[utf8]])</f>
        <v>129686</v>
      </c>
      <c r="J3943" t="str">
        <f>_xlfn.UNICHAR(HEX2DEC(Table1[[#This Row],[utf8]]))</f>
        <v>🪖</v>
      </c>
      <c r="K3943" s="3" t="str" cm="1">
        <f t="array" ref="K3943">"Case "&amp;wRandomLetter()&amp;wRandomLetter()&amp;I3943&amp;":    UniConst = ChrW(" &amp; I3943 &amp;")"</f>
        <v>Case uX129686:    UniConst = ChrW(129686)</v>
      </c>
    </row>
    <row r="3944" spans="1:11" hidden="1">
      <c r="A3944" t="s">
        <v>3876</v>
      </c>
      <c r="B3944" t="str">
        <f t="shared" si="368"/>
        <v>1FA97 ; fully-qualified # 🪗 E13.0 accordion</v>
      </c>
      <c r="C3944" t="str">
        <f t="shared" si="369"/>
        <v xml:space="preserve">1FA97 </v>
      </c>
      <c r="D3944">
        <f t="shared" si="370"/>
        <v>6</v>
      </c>
      <c r="E3944" t="str">
        <f t="shared" si="366"/>
        <v xml:space="preserve"> 🪗 E13.0 accordion</v>
      </c>
      <c r="F3944" t="b">
        <f t="shared" si="371"/>
        <v>1</v>
      </c>
      <c r="G3944" t="str">
        <f t="shared" si="367"/>
        <v>1FA97</v>
      </c>
      <c r="I3944">
        <f>HEX2DEC(Table1[[#This Row],[utf8]])</f>
        <v>129687</v>
      </c>
      <c r="J3944" t="str">
        <f>_xlfn.UNICHAR(HEX2DEC(Table1[[#This Row],[utf8]]))</f>
        <v>🪗</v>
      </c>
      <c r="K3944" s="3" t="str" cm="1">
        <f t="array" ref="K3944">"Case "&amp;wRandomLetter()&amp;wRandomLetter()&amp;I3944&amp;":    UniConst = ChrW(" &amp; I3944 &amp;")"</f>
        <v>Case dB129687:    UniConst = ChrW(129687)</v>
      </c>
    </row>
    <row r="3945" spans="1:11" hidden="1">
      <c r="A3945" t="s">
        <v>3883</v>
      </c>
      <c r="B3945" t="str">
        <f t="shared" si="368"/>
        <v>1FA98 ; fully-qualified # 🪘 E13.0 long drum</v>
      </c>
      <c r="C3945" t="str">
        <f t="shared" si="369"/>
        <v xml:space="preserve">1FA98 </v>
      </c>
      <c r="D3945">
        <f t="shared" si="370"/>
        <v>6</v>
      </c>
      <c r="E3945" t="str">
        <f t="shared" si="366"/>
        <v xml:space="preserve"> 🪘 E13.0 long drum</v>
      </c>
      <c r="F3945" t="b">
        <f t="shared" si="371"/>
        <v>1</v>
      </c>
      <c r="G3945" t="str">
        <f t="shared" si="367"/>
        <v>1FA98</v>
      </c>
      <c r="I3945">
        <f>HEX2DEC(Table1[[#This Row],[utf8]])</f>
        <v>129688</v>
      </c>
      <c r="J3945" t="str">
        <f>_xlfn.UNICHAR(HEX2DEC(Table1[[#This Row],[utf8]]))</f>
        <v>🪘</v>
      </c>
      <c r="K3945" s="3" t="str" cm="1">
        <f t="array" ref="K3945">"Case "&amp;wRandomLetter()&amp;wRandomLetter()&amp;I3945&amp;":    UniConst = ChrW(" &amp; I3945 &amp;")"</f>
        <v>Case rt129688:    UniConst = ChrW(129688)</v>
      </c>
    </row>
    <row r="3946" spans="1:11" hidden="1">
      <c r="A3946" t="s">
        <v>3953</v>
      </c>
      <c r="B3946" t="str">
        <f t="shared" si="368"/>
        <v>1FA99 ; fully-qualified # 🪙 E13.0 coin</v>
      </c>
      <c r="C3946" t="str">
        <f t="shared" si="369"/>
        <v xml:space="preserve">1FA99 </v>
      </c>
      <c r="D3946">
        <f t="shared" si="370"/>
        <v>6</v>
      </c>
      <c r="E3946" t="str">
        <f t="shared" si="366"/>
        <v xml:space="preserve"> 🪙 E13.0 coin</v>
      </c>
      <c r="F3946" t="b">
        <f t="shared" si="371"/>
        <v>1</v>
      </c>
      <c r="G3946" t="str">
        <f t="shared" si="367"/>
        <v>1FA99</v>
      </c>
      <c r="I3946">
        <f>HEX2DEC(Table1[[#This Row],[utf8]])</f>
        <v>129689</v>
      </c>
      <c r="J3946" t="str">
        <f>_xlfn.UNICHAR(HEX2DEC(Table1[[#This Row],[utf8]]))</f>
        <v>🪙</v>
      </c>
      <c r="K3946" s="3" t="str" cm="1">
        <f t="array" ref="K3946">"Case "&amp;wRandomLetter()&amp;wRandomLetter()&amp;I3946&amp;":    UniConst = ChrW(" &amp; I3946 &amp;")"</f>
        <v>Case iV129689:    UniConst = ChrW(129689)</v>
      </c>
    </row>
    <row r="3947" spans="1:11" hidden="1">
      <c r="A3947" t="s">
        <v>4050</v>
      </c>
      <c r="B3947" t="str">
        <f t="shared" si="368"/>
        <v>1FA9A ; fully-qualified # 🪚 E13.0 carpentry saw</v>
      </c>
      <c r="C3947" t="str">
        <f t="shared" si="369"/>
        <v xml:space="preserve">1FA9A </v>
      </c>
      <c r="D3947">
        <f t="shared" si="370"/>
        <v>6</v>
      </c>
      <c r="E3947" t="str">
        <f t="shared" si="366"/>
        <v xml:space="preserve"> 🪚 E13.0 carpentry saw</v>
      </c>
      <c r="F3947" t="b">
        <f t="shared" si="371"/>
        <v>1</v>
      </c>
      <c r="G3947" t="str">
        <f t="shared" si="367"/>
        <v>1FA9A</v>
      </c>
      <c r="I3947">
        <f>HEX2DEC(Table1[[#This Row],[utf8]])</f>
        <v>129690</v>
      </c>
      <c r="J3947" t="str">
        <f>_xlfn.UNICHAR(HEX2DEC(Table1[[#This Row],[utf8]]))</f>
        <v>🪚</v>
      </c>
      <c r="K3947" s="3" t="str" cm="1">
        <f t="array" ref="K3947">"Case "&amp;wRandomLetter()&amp;wRandomLetter()&amp;I3947&amp;":    UniConst = ChrW(" &amp; I3947 &amp;")"</f>
        <v>Case nM129690:    UniConst = ChrW(129690)</v>
      </c>
    </row>
    <row r="3948" spans="1:11" hidden="1">
      <c r="A3948" t="s">
        <v>4052</v>
      </c>
      <c r="B3948" t="str">
        <f t="shared" si="368"/>
        <v>1FA9B ; fully-qualified # 🪛 E13.0 screwdriver</v>
      </c>
      <c r="C3948" t="str">
        <f t="shared" si="369"/>
        <v xml:space="preserve">1FA9B </v>
      </c>
      <c r="D3948">
        <f t="shared" si="370"/>
        <v>6</v>
      </c>
      <c r="E3948" t="str">
        <f t="shared" si="366"/>
        <v xml:space="preserve"> 🪛 E13.0 screwdriver</v>
      </c>
      <c r="F3948" t="b">
        <f t="shared" si="371"/>
        <v>1</v>
      </c>
      <c r="G3948" t="str">
        <f t="shared" si="367"/>
        <v>1FA9B</v>
      </c>
      <c r="I3948">
        <f>HEX2DEC(Table1[[#This Row],[utf8]])</f>
        <v>129691</v>
      </c>
      <c r="J3948" t="str">
        <f>_xlfn.UNICHAR(HEX2DEC(Table1[[#This Row],[utf8]]))</f>
        <v>🪛</v>
      </c>
      <c r="K3948" s="3" t="str" cm="1">
        <f t="array" ref="K3948">"Case "&amp;wRandomLetter()&amp;wRandomLetter()&amp;I3948&amp;":    UniConst = ChrW(" &amp; I3948 &amp;")"</f>
        <v>Case Zq129691:    UniConst = ChrW(129691)</v>
      </c>
    </row>
    <row r="3949" spans="1:11" hidden="1">
      <c r="A3949" t="s">
        <v>4067</v>
      </c>
      <c r="B3949" t="str">
        <f t="shared" si="368"/>
        <v>1FA9C ; fully-qualified # 🪜 E13.0 ladder</v>
      </c>
      <c r="C3949" t="str">
        <f t="shared" si="369"/>
        <v xml:space="preserve">1FA9C </v>
      </c>
      <c r="D3949">
        <f t="shared" si="370"/>
        <v>6</v>
      </c>
      <c r="E3949" t="str">
        <f t="shared" si="366"/>
        <v xml:space="preserve"> 🪜 E13.0 ladder</v>
      </c>
      <c r="F3949" t="b">
        <f t="shared" si="371"/>
        <v>1</v>
      </c>
      <c r="G3949" t="str">
        <f t="shared" si="367"/>
        <v>1FA9C</v>
      </c>
      <c r="I3949">
        <f>HEX2DEC(Table1[[#This Row],[utf8]])</f>
        <v>129692</v>
      </c>
      <c r="J3949" t="str">
        <f>_xlfn.UNICHAR(HEX2DEC(Table1[[#This Row],[utf8]]))</f>
        <v>🪜</v>
      </c>
      <c r="K3949" s="3" t="str" cm="1">
        <f t="array" ref="K3949">"Case "&amp;wRandomLetter()&amp;wRandomLetter()&amp;I3949&amp;":    UniConst = ChrW(" &amp; I3949 &amp;")"</f>
        <v>Case co129692:    UniConst = ChrW(129692)</v>
      </c>
    </row>
    <row r="3950" spans="1:11" hidden="1">
      <c r="A3950" t="s">
        <v>4064</v>
      </c>
      <c r="B3950" t="str">
        <f t="shared" si="368"/>
        <v>1FA9D ; fully-qualified # 🪝 E13.0 hook</v>
      </c>
      <c r="C3950" t="str">
        <f t="shared" si="369"/>
        <v xml:space="preserve">1FA9D </v>
      </c>
      <c r="D3950">
        <f t="shared" si="370"/>
        <v>6</v>
      </c>
      <c r="E3950" t="str">
        <f t="shared" si="366"/>
        <v xml:space="preserve"> 🪝 E13.0 hook</v>
      </c>
      <c r="F3950" t="b">
        <f t="shared" si="371"/>
        <v>1</v>
      </c>
      <c r="G3950" t="str">
        <f t="shared" si="367"/>
        <v>1FA9D</v>
      </c>
      <c r="I3950">
        <f>HEX2DEC(Table1[[#This Row],[utf8]])</f>
        <v>129693</v>
      </c>
      <c r="J3950" t="str">
        <f>_xlfn.UNICHAR(HEX2DEC(Table1[[#This Row],[utf8]]))</f>
        <v>🪝</v>
      </c>
      <c r="K3950" s="3" t="str" cm="1">
        <f t="array" ref="K3950">"Case "&amp;wRandomLetter()&amp;wRandomLetter()&amp;I3950&amp;":    UniConst = ChrW(" &amp; I3950 &amp;")"</f>
        <v>Case jr129693:    UniConst = ChrW(129693)</v>
      </c>
    </row>
    <row r="3951" spans="1:11" hidden="1">
      <c r="A3951" t="s">
        <v>4086</v>
      </c>
      <c r="B3951" t="str">
        <f t="shared" si="368"/>
        <v>1FA9E ; fully-qualified # 🪞 E13.0 mirror</v>
      </c>
      <c r="C3951" t="str">
        <f t="shared" si="369"/>
        <v xml:space="preserve">1FA9E </v>
      </c>
      <c r="D3951">
        <f t="shared" si="370"/>
        <v>6</v>
      </c>
      <c r="E3951" t="str">
        <f t="shared" si="366"/>
        <v xml:space="preserve"> 🪞 E13.0 mirror</v>
      </c>
      <c r="F3951" t="b">
        <f t="shared" si="371"/>
        <v>1</v>
      </c>
      <c r="G3951" t="str">
        <f t="shared" si="367"/>
        <v>1FA9E</v>
      </c>
      <c r="I3951">
        <f>HEX2DEC(Table1[[#This Row],[utf8]])</f>
        <v>129694</v>
      </c>
      <c r="J3951" t="str">
        <f>_xlfn.UNICHAR(HEX2DEC(Table1[[#This Row],[utf8]]))</f>
        <v>🪞</v>
      </c>
      <c r="K3951" s="3" t="str" cm="1">
        <f t="array" ref="K3951">"Case "&amp;wRandomLetter()&amp;wRandomLetter()&amp;I3951&amp;":    UniConst = ChrW(" &amp; I3951 &amp;")"</f>
        <v>Case ZR129694:    UniConst = ChrW(129694)</v>
      </c>
    </row>
    <row r="3952" spans="1:11" hidden="1">
      <c r="A3952" t="s">
        <v>4087</v>
      </c>
      <c r="B3952" t="str">
        <f t="shared" si="368"/>
        <v>1FA9F ; fully-qualified # 🪟 E13.0 window</v>
      </c>
      <c r="C3952" t="str">
        <f t="shared" si="369"/>
        <v xml:space="preserve">1FA9F </v>
      </c>
      <c r="D3952">
        <f t="shared" si="370"/>
        <v>6</v>
      </c>
      <c r="E3952" t="str">
        <f t="shared" si="366"/>
        <v xml:space="preserve"> 🪟 E13.0 window</v>
      </c>
      <c r="F3952" t="b">
        <f t="shared" si="371"/>
        <v>1</v>
      </c>
      <c r="G3952" t="str">
        <f t="shared" si="367"/>
        <v>1FA9F</v>
      </c>
      <c r="I3952">
        <f>HEX2DEC(Table1[[#This Row],[utf8]])</f>
        <v>129695</v>
      </c>
      <c r="J3952" t="str">
        <f>_xlfn.UNICHAR(HEX2DEC(Table1[[#This Row],[utf8]]))</f>
        <v>🪟</v>
      </c>
      <c r="K3952" s="3" t="str" cm="1">
        <f t="array" ref="K3952">"Case "&amp;wRandomLetter()&amp;wRandomLetter()&amp;I3952&amp;":    UniConst = ChrW(" &amp; I3952 &amp;")"</f>
        <v>Case GN129695:    UniConst = ChrW(129695)</v>
      </c>
    </row>
    <row r="3953" spans="1:11" hidden="1">
      <c r="A3953" t="s">
        <v>4094</v>
      </c>
      <c r="B3953" t="str">
        <f t="shared" si="368"/>
        <v>1FAA0 ; fully-qualified # 🪠 E13.0 plunger</v>
      </c>
      <c r="C3953" t="str">
        <f t="shared" si="369"/>
        <v xml:space="preserve">1FAA0 </v>
      </c>
      <c r="D3953">
        <f t="shared" si="370"/>
        <v>6</v>
      </c>
      <c r="E3953" t="str">
        <f t="shared" si="366"/>
        <v xml:space="preserve"> 🪠 E13.0 plunger</v>
      </c>
      <c r="F3953" t="b">
        <f t="shared" si="371"/>
        <v>1</v>
      </c>
      <c r="G3953" t="str">
        <f t="shared" si="367"/>
        <v>1FAA0</v>
      </c>
      <c r="I3953">
        <f>HEX2DEC(Table1[[#This Row],[utf8]])</f>
        <v>129696</v>
      </c>
      <c r="J3953" t="str">
        <f>_xlfn.UNICHAR(HEX2DEC(Table1[[#This Row],[utf8]]))</f>
        <v>🪠</v>
      </c>
      <c r="K3953" s="3" t="str" cm="1">
        <f t="array" ref="K3953">"Case "&amp;wRandomLetter()&amp;wRandomLetter()&amp;I3953&amp;":    UniConst = ChrW(" &amp; I3953 &amp;")"</f>
        <v>Case vF129696:    UniConst = ChrW(129696)</v>
      </c>
    </row>
    <row r="3954" spans="1:11" hidden="1">
      <c r="A3954" t="s">
        <v>3796</v>
      </c>
      <c r="B3954" t="str">
        <f t="shared" si="368"/>
        <v>1FAA1 ; fully-qualified # 🪡 E13.0 sewing needle</v>
      </c>
      <c r="C3954" t="str">
        <f t="shared" si="369"/>
        <v xml:space="preserve">1FAA1 </v>
      </c>
      <c r="D3954">
        <f t="shared" si="370"/>
        <v>6</v>
      </c>
      <c r="E3954" t="str">
        <f t="shared" si="366"/>
        <v xml:space="preserve"> 🪡 E13.0 sewing needle</v>
      </c>
      <c r="F3954" t="b">
        <f t="shared" si="371"/>
        <v>1</v>
      </c>
      <c r="G3954" t="str">
        <f t="shared" si="367"/>
        <v>1FAA1</v>
      </c>
      <c r="I3954">
        <f>HEX2DEC(Table1[[#This Row],[utf8]])</f>
        <v>129697</v>
      </c>
      <c r="J3954" t="str">
        <f>_xlfn.UNICHAR(HEX2DEC(Table1[[#This Row],[utf8]]))</f>
        <v>🪡</v>
      </c>
      <c r="K3954" s="3" t="str" cm="1">
        <f t="array" ref="K3954">"Case "&amp;wRandomLetter()&amp;wRandomLetter()&amp;I3954&amp;":    UniConst = ChrW(" &amp; I3954 &amp;")"</f>
        <v>Case Up129697:    UniConst = ChrW(129697)</v>
      </c>
    </row>
    <row r="3955" spans="1:11" hidden="1">
      <c r="A3955" t="s">
        <v>3798</v>
      </c>
      <c r="B3955" t="str">
        <f t="shared" si="368"/>
        <v>1FAA2 ; fully-qualified # 🪢 E13.0 knot</v>
      </c>
      <c r="C3955" t="str">
        <f t="shared" si="369"/>
        <v xml:space="preserve">1FAA2 </v>
      </c>
      <c r="D3955">
        <f t="shared" si="370"/>
        <v>6</v>
      </c>
      <c r="E3955" t="str">
        <f t="shared" si="366"/>
        <v xml:space="preserve"> 🪢 E13.0 knot</v>
      </c>
      <c r="F3955" t="b">
        <f t="shared" si="371"/>
        <v>1</v>
      </c>
      <c r="G3955" t="str">
        <f t="shared" si="367"/>
        <v>1FAA2</v>
      </c>
      <c r="I3955">
        <f>HEX2DEC(Table1[[#This Row],[utf8]])</f>
        <v>129698</v>
      </c>
      <c r="J3955" t="str">
        <f>_xlfn.UNICHAR(HEX2DEC(Table1[[#This Row],[utf8]]))</f>
        <v>🪢</v>
      </c>
      <c r="K3955" s="3" t="str" cm="1">
        <f t="array" ref="K3955">"Case "&amp;wRandomLetter()&amp;wRandomLetter()&amp;I3955&amp;":    UniConst = ChrW(" &amp; I3955 &amp;")"</f>
        <v>Case VA129698:    UniConst = ChrW(129698)</v>
      </c>
    </row>
    <row r="3956" spans="1:11" hidden="1">
      <c r="A3956" t="s">
        <v>4104</v>
      </c>
      <c r="B3956" t="str">
        <f t="shared" si="368"/>
        <v>1FAA3 ; fully-qualified # 🪣 E13.0 bucket</v>
      </c>
      <c r="C3956" t="str">
        <f t="shared" si="369"/>
        <v xml:space="preserve">1FAA3 </v>
      </c>
      <c r="D3956">
        <f t="shared" si="370"/>
        <v>6</v>
      </c>
      <c r="E3956" t="str">
        <f t="shared" si="366"/>
        <v xml:space="preserve"> 🪣 E13.0 bucket</v>
      </c>
      <c r="F3956" t="b">
        <f t="shared" si="371"/>
        <v>1</v>
      </c>
      <c r="G3956" t="str">
        <f t="shared" si="367"/>
        <v>1FAA3</v>
      </c>
      <c r="I3956">
        <f>HEX2DEC(Table1[[#This Row],[utf8]])</f>
        <v>129699</v>
      </c>
      <c r="J3956" t="str">
        <f>_xlfn.UNICHAR(HEX2DEC(Table1[[#This Row],[utf8]]))</f>
        <v>🪣</v>
      </c>
      <c r="K3956" s="3" t="str" cm="1">
        <f t="array" ref="K3956">"Case "&amp;wRandomLetter()&amp;wRandomLetter()&amp;I3956&amp;":    UniConst = ChrW(" &amp; I3956 &amp;")"</f>
        <v>Case ZO129699:    UniConst = ChrW(129699)</v>
      </c>
    </row>
    <row r="3957" spans="1:11" hidden="1">
      <c r="A3957" t="s">
        <v>4097</v>
      </c>
      <c r="B3957" t="str">
        <f t="shared" si="368"/>
        <v>1FAA4 ; fully-qualified # 🪤 E13.0 mouse trap</v>
      </c>
      <c r="C3957" t="str">
        <f t="shared" si="369"/>
        <v xml:space="preserve">1FAA4 </v>
      </c>
      <c r="D3957">
        <f t="shared" si="370"/>
        <v>6</v>
      </c>
      <c r="E3957" t="str">
        <f t="shared" si="366"/>
        <v xml:space="preserve"> 🪤 E13.0 mouse trap</v>
      </c>
      <c r="F3957" t="b">
        <f t="shared" si="371"/>
        <v>1</v>
      </c>
      <c r="G3957" t="str">
        <f t="shared" si="367"/>
        <v>1FAA4</v>
      </c>
      <c r="I3957">
        <f>HEX2DEC(Table1[[#This Row],[utf8]])</f>
        <v>129700</v>
      </c>
      <c r="J3957" t="str">
        <f>_xlfn.UNICHAR(HEX2DEC(Table1[[#This Row],[utf8]]))</f>
        <v>🪤</v>
      </c>
      <c r="K3957" s="3" t="str" cm="1">
        <f t="array" ref="K3957">"Case "&amp;wRandomLetter()&amp;wRandomLetter()&amp;I3957&amp;":    UniConst = ChrW(" &amp; I3957 &amp;")"</f>
        <v>Case jK129700:    UniConst = ChrW(129700)</v>
      </c>
    </row>
    <row r="3958" spans="1:11" hidden="1">
      <c r="A3958" t="s">
        <v>4106</v>
      </c>
      <c r="B3958" t="str">
        <f t="shared" si="368"/>
        <v>1FAA5 ; fully-qualified # 🪥 E13.0 toothbrush</v>
      </c>
      <c r="C3958" t="str">
        <f t="shared" si="369"/>
        <v xml:space="preserve">1FAA5 </v>
      </c>
      <c r="D3958">
        <f t="shared" si="370"/>
        <v>6</v>
      </c>
      <c r="E3958" t="str">
        <f t="shared" si="366"/>
        <v xml:space="preserve"> 🪥 E13.0 toothbrush</v>
      </c>
      <c r="F3958" t="b">
        <f t="shared" si="371"/>
        <v>1</v>
      </c>
      <c r="G3958" t="str">
        <f t="shared" si="367"/>
        <v>1FAA5</v>
      </c>
      <c r="I3958">
        <f>HEX2DEC(Table1[[#This Row],[utf8]])</f>
        <v>129701</v>
      </c>
      <c r="J3958" t="str">
        <f>_xlfn.UNICHAR(HEX2DEC(Table1[[#This Row],[utf8]]))</f>
        <v>🪥</v>
      </c>
      <c r="K3958" s="3" t="str" cm="1">
        <f t="array" ref="K3958">"Case "&amp;wRandomLetter()&amp;wRandomLetter()&amp;I3958&amp;":    UniConst = ChrW(" &amp; I3958 &amp;")"</f>
        <v>Case JU129701:    UniConst = ChrW(129701)</v>
      </c>
    </row>
    <row r="3959" spans="1:11" hidden="1">
      <c r="A3959" t="s">
        <v>4114</v>
      </c>
      <c r="B3959" t="str">
        <f t="shared" si="368"/>
        <v>1FAA6 ; fully-qualified # 🪦 E13.0 headstone</v>
      </c>
      <c r="C3959" t="str">
        <f t="shared" si="369"/>
        <v xml:space="preserve">1FAA6 </v>
      </c>
      <c r="D3959">
        <f t="shared" si="370"/>
        <v>6</v>
      </c>
      <c r="E3959" t="str">
        <f t="shared" si="366"/>
        <v xml:space="preserve"> 🪦 E13.0 headstone</v>
      </c>
      <c r="F3959" t="b">
        <f t="shared" si="371"/>
        <v>1</v>
      </c>
      <c r="G3959" t="str">
        <f t="shared" si="367"/>
        <v>1FAA6</v>
      </c>
      <c r="I3959">
        <f>HEX2DEC(Table1[[#This Row],[utf8]])</f>
        <v>129702</v>
      </c>
      <c r="J3959" t="str">
        <f>_xlfn.UNICHAR(HEX2DEC(Table1[[#This Row],[utf8]]))</f>
        <v>🪦</v>
      </c>
      <c r="K3959" s="3" t="str" cm="1">
        <f t="array" ref="K3959">"Case "&amp;wRandomLetter()&amp;wRandomLetter()&amp;I3959&amp;":    UniConst = ChrW(" &amp; I3959 &amp;")"</f>
        <v>Case tW129702:    UniConst = ChrW(129702)</v>
      </c>
    </row>
    <row r="3960" spans="1:11" hidden="1">
      <c r="A3960" t="s">
        <v>4118</v>
      </c>
      <c r="B3960" t="str">
        <f t="shared" si="368"/>
        <v>1FAA7 ; fully-qualified # 🪧 E13.0 placard</v>
      </c>
      <c r="C3960" t="str">
        <f t="shared" si="369"/>
        <v xml:space="preserve">1FAA7 </v>
      </c>
      <c r="D3960">
        <f t="shared" si="370"/>
        <v>6</v>
      </c>
      <c r="E3960" t="str">
        <f t="shared" si="366"/>
        <v xml:space="preserve"> 🪧 E13.0 placard</v>
      </c>
      <c r="F3960" t="b">
        <f t="shared" si="371"/>
        <v>1</v>
      </c>
      <c r="G3960" t="str">
        <f t="shared" si="367"/>
        <v>1FAA7</v>
      </c>
      <c r="I3960">
        <f>HEX2DEC(Table1[[#This Row],[utf8]])</f>
        <v>129703</v>
      </c>
      <c r="J3960" t="str">
        <f>_xlfn.UNICHAR(HEX2DEC(Table1[[#This Row],[utf8]]))</f>
        <v>🪧</v>
      </c>
      <c r="K3960" s="3" t="str" cm="1">
        <f t="array" ref="K3960">"Case "&amp;wRandomLetter()&amp;wRandomLetter()&amp;I3960&amp;":    UniConst = ChrW(" &amp; I3960 &amp;")"</f>
        <v>Case Bw129703:    UniConst = ChrW(129703)</v>
      </c>
    </row>
    <row r="3961" spans="1:11" hidden="1">
      <c r="A3961" t="s">
        <v>3455</v>
      </c>
      <c r="B3961" t="str">
        <f t="shared" si="368"/>
        <v>1FAA8 ; fully-qualified # 🪨 E13.0 rock</v>
      </c>
      <c r="C3961" t="str">
        <f t="shared" si="369"/>
        <v xml:space="preserve">1FAA8 </v>
      </c>
      <c r="D3961">
        <f t="shared" si="370"/>
        <v>6</v>
      </c>
      <c r="E3961" t="str">
        <f t="shared" si="366"/>
        <v xml:space="preserve"> 🪨 E13.0 rock</v>
      </c>
      <c r="F3961" t="b">
        <f t="shared" si="371"/>
        <v>1</v>
      </c>
      <c r="G3961" t="str">
        <f t="shared" si="367"/>
        <v>1FAA8</v>
      </c>
      <c r="I3961">
        <f>HEX2DEC(Table1[[#This Row],[utf8]])</f>
        <v>129704</v>
      </c>
      <c r="J3961" t="str">
        <f>_xlfn.UNICHAR(HEX2DEC(Table1[[#This Row],[utf8]]))</f>
        <v>🪨</v>
      </c>
      <c r="K3961" s="3" t="str" cm="1">
        <f t="array" ref="K3961">"Case "&amp;wRandomLetter()&amp;wRandomLetter()&amp;I3961&amp;":    UniConst = ChrW(" &amp; I3961 &amp;")"</f>
        <v>Case QZ129704:    UniConst = ChrW(129704)</v>
      </c>
    </row>
    <row r="3962" spans="1:11" hidden="1">
      <c r="A3962" t="s">
        <v>3246</v>
      </c>
      <c r="B3962" t="str">
        <f t="shared" si="368"/>
        <v>1FAB0 ; fully-qualified # 🪰 E13.0 fly</v>
      </c>
      <c r="C3962" t="str">
        <f t="shared" si="369"/>
        <v xml:space="preserve">1FAB0 </v>
      </c>
      <c r="D3962">
        <f t="shared" si="370"/>
        <v>6</v>
      </c>
      <c r="E3962" t="str">
        <f t="shared" si="366"/>
        <v xml:space="preserve"> 🪰 E13.0 fly</v>
      </c>
      <c r="F3962" t="b">
        <f t="shared" si="371"/>
        <v>1</v>
      </c>
      <c r="G3962" t="str">
        <f t="shared" si="367"/>
        <v>1FAB0</v>
      </c>
      <c r="I3962">
        <f>HEX2DEC(Table1[[#This Row],[utf8]])</f>
        <v>129712</v>
      </c>
      <c r="J3962" t="str">
        <f>_xlfn.UNICHAR(HEX2DEC(Table1[[#This Row],[utf8]]))</f>
        <v>🪰</v>
      </c>
      <c r="K3962" s="3" t="str" cm="1">
        <f t="array" ref="K3962">"Case "&amp;wRandomLetter()&amp;wRandomLetter()&amp;I3962&amp;":    UniConst = ChrW(" &amp; I3962 &amp;")"</f>
        <v>Case uX129712:    UniConst = ChrW(129712)</v>
      </c>
    </row>
    <row r="3963" spans="1:11" hidden="1">
      <c r="A3963" t="s">
        <v>3247</v>
      </c>
      <c r="B3963" t="str">
        <f t="shared" si="368"/>
        <v>1FAB1 ; fully-qualified # 🪱 E13.0 worm</v>
      </c>
      <c r="C3963" t="str">
        <f t="shared" si="369"/>
        <v xml:space="preserve">1FAB1 </v>
      </c>
      <c r="D3963">
        <f t="shared" si="370"/>
        <v>6</v>
      </c>
      <c r="E3963" t="str">
        <f t="shared" si="366"/>
        <v xml:space="preserve"> 🪱 E13.0 worm</v>
      </c>
      <c r="F3963" t="b">
        <f t="shared" si="371"/>
        <v>1</v>
      </c>
      <c r="G3963" t="str">
        <f t="shared" si="367"/>
        <v>1FAB1</v>
      </c>
      <c r="I3963">
        <f>HEX2DEC(Table1[[#This Row],[utf8]])</f>
        <v>129713</v>
      </c>
      <c r="J3963" t="str">
        <f>_xlfn.UNICHAR(HEX2DEC(Table1[[#This Row],[utf8]]))</f>
        <v>🪱</v>
      </c>
      <c r="K3963" s="3" t="str" cm="1">
        <f t="array" ref="K3963">"Case "&amp;wRandomLetter()&amp;wRandomLetter()&amp;I3963&amp;":    UniConst = ChrW(" &amp; I3963 &amp;")"</f>
        <v>Case UA129713:    UniConst = ChrW(129713)</v>
      </c>
    </row>
    <row r="3964" spans="1:11" hidden="1">
      <c r="A3964" t="s">
        <v>3236</v>
      </c>
      <c r="B3964" t="str">
        <f t="shared" si="368"/>
        <v>1FAB2 ; fully-qualified # 🪲 E13.0 beetle</v>
      </c>
      <c r="C3964" t="str">
        <f t="shared" si="369"/>
        <v xml:space="preserve">1FAB2 </v>
      </c>
      <c r="D3964">
        <f t="shared" si="370"/>
        <v>6</v>
      </c>
      <c r="E3964" t="str">
        <f t="shared" si="366"/>
        <v xml:space="preserve"> 🪲 E13.0 beetle</v>
      </c>
      <c r="F3964" t="b">
        <f t="shared" si="371"/>
        <v>1</v>
      </c>
      <c r="G3964" t="str">
        <f t="shared" si="367"/>
        <v>1FAB2</v>
      </c>
      <c r="I3964">
        <f>HEX2DEC(Table1[[#This Row],[utf8]])</f>
        <v>129714</v>
      </c>
      <c r="J3964" t="str">
        <f>_xlfn.UNICHAR(HEX2DEC(Table1[[#This Row],[utf8]]))</f>
        <v>🪲</v>
      </c>
      <c r="K3964" s="3" t="str" cm="1">
        <f t="array" ref="K3964">"Case "&amp;wRandomLetter()&amp;wRandomLetter()&amp;I3964&amp;":    UniConst = ChrW(" &amp; I3964 &amp;")"</f>
        <v>Case eN129714:    UniConst = ChrW(129714)</v>
      </c>
    </row>
    <row r="3965" spans="1:11" hidden="1">
      <c r="A3965" t="s">
        <v>3239</v>
      </c>
      <c r="B3965" t="str">
        <f t="shared" si="368"/>
        <v>1FAB3 ; fully-qualified # 🪳 E13.0 cockroach</v>
      </c>
      <c r="C3965" t="str">
        <f t="shared" si="369"/>
        <v xml:space="preserve">1FAB3 </v>
      </c>
      <c r="D3965">
        <f t="shared" si="370"/>
        <v>6</v>
      </c>
      <c r="E3965" t="str">
        <f t="shared" si="366"/>
        <v xml:space="preserve"> 🪳 E13.0 cockroach</v>
      </c>
      <c r="F3965" t="b">
        <f t="shared" si="371"/>
        <v>1</v>
      </c>
      <c r="G3965" t="str">
        <f t="shared" si="367"/>
        <v>1FAB3</v>
      </c>
      <c r="I3965">
        <f>HEX2DEC(Table1[[#This Row],[utf8]])</f>
        <v>129715</v>
      </c>
      <c r="J3965" t="str">
        <f>_xlfn.UNICHAR(HEX2DEC(Table1[[#This Row],[utf8]]))</f>
        <v>🪳</v>
      </c>
      <c r="K3965" s="3" t="str" cm="1">
        <f t="array" ref="K3965">"Case "&amp;wRandomLetter()&amp;wRandomLetter()&amp;I3965&amp;":    UniConst = ChrW(" &amp; I3965 &amp;")"</f>
        <v>Case xN129715:    UniConst = ChrW(129715)</v>
      </c>
    </row>
    <row r="3966" spans="1:11" hidden="1">
      <c r="A3966" t="s">
        <v>3263</v>
      </c>
      <c r="B3966" t="str">
        <f t="shared" si="368"/>
        <v>1FAB4 ; fully-qualified # 🪴 E13.0 potted plant</v>
      </c>
      <c r="C3966" t="str">
        <f t="shared" si="369"/>
        <v xml:space="preserve">1FAB4 </v>
      </c>
      <c r="D3966">
        <f t="shared" si="370"/>
        <v>6</v>
      </c>
      <c r="E3966" t="str">
        <f t="shared" si="366"/>
        <v xml:space="preserve"> 🪴 E13.0 potted plant</v>
      </c>
      <c r="F3966" t="b">
        <f t="shared" si="371"/>
        <v>1</v>
      </c>
      <c r="G3966" t="str">
        <f t="shared" si="367"/>
        <v>1FAB4</v>
      </c>
      <c r="I3966">
        <f>HEX2DEC(Table1[[#This Row],[utf8]])</f>
        <v>129716</v>
      </c>
      <c r="J3966" t="str">
        <f>_xlfn.UNICHAR(HEX2DEC(Table1[[#This Row],[utf8]]))</f>
        <v>🪴</v>
      </c>
      <c r="K3966" s="3" t="str" cm="1">
        <f t="array" ref="K3966">"Case "&amp;wRandomLetter()&amp;wRandomLetter()&amp;I3966&amp;":    UniConst = ChrW(" &amp; I3966 &amp;")"</f>
        <v>Case Mi129716:    UniConst = ChrW(129716)</v>
      </c>
    </row>
    <row r="3967" spans="1:11" hidden="1">
      <c r="A3967" t="s">
        <v>3456</v>
      </c>
      <c r="B3967" t="str">
        <f t="shared" si="368"/>
        <v>1FAB5 ; fully-qualified # 🪵 E13.0 wood</v>
      </c>
      <c r="C3967" t="str">
        <f t="shared" si="369"/>
        <v xml:space="preserve">1FAB5 </v>
      </c>
      <c r="D3967">
        <f t="shared" si="370"/>
        <v>6</v>
      </c>
      <c r="E3967" t="str">
        <f t="shared" si="366"/>
        <v xml:space="preserve"> 🪵 E13.0 wood</v>
      </c>
      <c r="F3967" t="b">
        <f t="shared" si="371"/>
        <v>1</v>
      </c>
      <c r="G3967" t="str">
        <f t="shared" si="367"/>
        <v>1FAB5</v>
      </c>
      <c r="I3967">
        <f>HEX2DEC(Table1[[#This Row],[utf8]])</f>
        <v>129717</v>
      </c>
      <c r="J3967" t="str">
        <f>_xlfn.UNICHAR(HEX2DEC(Table1[[#This Row],[utf8]]))</f>
        <v>🪵</v>
      </c>
      <c r="K3967" s="3" t="str" cm="1">
        <f t="array" ref="K3967">"Case "&amp;wRandomLetter()&amp;wRandomLetter()&amp;I3967&amp;":    UniConst = ChrW(" &amp; I3967 &amp;")"</f>
        <v>Case dm129717:    UniConst = ChrW(129717)</v>
      </c>
    </row>
    <row r="3968" spans="1:11" hidden="1">
      <c r="A3968" t="s">
        <v>3204</v>
      </c>
      <c r="B3968" t="str">
        <f t="shared" si="368"/>
        <v>1FAB6 ; fully-qualified # 🪶 E13.0 feather</v>
      </c>
      <c r="C3968" t="str">
        <f t="shared" si="369"/>
        <v xml:space="preserve">1FAB6 </v>
      </c>
      <c r="D3968">
        <f t="shared" si="370"/>
        <v>6</v>
      </c>
      <c r="E3968" t="str">
        <f t="shared" si="366"/>
        <v xml:space="preserve"> 🪶 E13.0 feather</v>
      </c>
      <c r="F3968" t="b">
        <f t="shared" si="371"/>
        <v>1</v>
      </c>
      <c r="G3968" t="str">
        <f t="shared" si="367"/>
        <v>1FAB6</v>
      </c>
      <c r="I3968">
        <f>HEX2DEC(Table1[[#This Row],[utf8]])</f>
        <v>129718</v>
      </c>
      <c r="J3968" t="str">
        <f>_xlfn.UNICHAR(HEX2DEC(Table1[[#This Row],[utf8]]))</f>
        <v>🪶</v>
      </c>
      <c r="K3968" s="3" t="str" cm="1">
        <f t="array" ref="K3968">"Case "&amp;wRandomLetter()&amp;wRandomLetter()&amp;I3968&amp;":    UniConst = ChrW(" &amp; I3968 &amp;")"</f>
        <v>Case kW129718:    UniConst = ChrW(129718)</v>
      </c>
    </row>
    <row r="3969" spans="1:11" hidden="1">
      <c r="A3969" t="s">
        <v>438</v>
      </c>
      <c r="B3969" t="str">
        <f t="shared" si="368"/>
        <v>1FAC0 ; fully-qualified # 🫀 E13.0 anatomical heart</v>
      </c>
      <c r="C3969" t="str">
        <f t="shared" si="369"/>
        <v xml:space="preserve">1FAC0 </v>
      </c>
      <c r="D3969">
        <f t="shared" si="370"/>
        <v>6</v>
      </c>
      <c r="E3969" t="str">
        <f t="shared" si="366"/>
        <v xml:space="preserve"> 🫀 E13.0 anatomical heart</v>
      </c>
      <c r="F3969" t="b">
        <f t="shared" si="371"/>
        <v>1</v>
      </c>
      <c r="G3969" t="str">
        <f t="shared" si="367"/>
        <v>1FAC0</v>
      </c>
      <c r="I3969">
        <f>HEX2DEC(Table1[[#This Row],[utf8]])</f>
        <v>129728</v>
      </c>
      <c r="J3969" t="str">
        <f>_xlfn.UNICHAR(HEX2DEC(Table1[[#This Row],[utf8]]))</f>
        <v>🫀</v>
      </c>
      <c r="K3969" s="3" t="str" cm="1">
        <f t="array" ref="K3969">"Case "&amp;wRandomLetter()&amp;wRandomLetter()&amp;I3969&amp;":    UniConst = ChrW(" &amp; I3969 &amp;")"</f>
        <v>Case rR129728:    UniConst = ChrW(129728)</v>
      </c>
    </row>
    <row r="3970" spans="1:11" hidden="1">
      <c r="A3970" t="s">
        <v>439</v>
      </c>
      <c r="B3970" t="str">
        <f t="shared" si="368"/>
        <v>1FAC1 ; fully-qualified # 🫁 E13.0 lungs</v>
      </c>
      <c r="C3970" t="str">
        <f t="shared" si="369"/>
        <v xml:space="preserve">1FAC1 </v>
      </c>
      <c r="D3970">
        <f t="shared" si="370"/>
        <v>6</v>
      </c>
      <c r="E3970" t="str">
        <f t="shared" ref="E3970:E4033" si="372">MID(A3970,FIND("#",A3970)+1,256)</f>
        <v xml:space="preserve"> 🫁 E13.0 lungs</v>
      </c>
      <c r="F3970" t="b">
        <f t="shared" si="371"/>
        <v>1</v>
      </c>
      <c r="G3970" t="str">
        <f t="shared" ref="G3970:G4033" si="373">LEFT(C3970,(FIND(" ",C3970,1)-1))</f>
        <v>1FAC1</v>
      </c>
      <c r="I3970">
        <f>HEX2DEC(Table1[[#This Row],[utf8]])</f>
        <v>129729</v>
      </c>
      <c r="J3970" t="str">
        <f>_xlfn.UNICHAR(HEX2DEC(Table1[[#This Row],[utf8]]))</f>
        <v>🫁</v>
      </c>
      <c r="K3970" s="3" t="str" cm="1">
        <f t="array" ref="K3970">"Case "&amp;wRandomLetter()&amp;wRandomLetter()&amp;I3970&amp;":    UniConst = ChrW(" &amp; I3970 &amp;")"</f>
        <v>Case XU129729:    UniConst = ChrW(129729)</v>
      </c>
    </row>
    <row r="3971" spans="1:11" hidden="1">
      <c r="A3971" t="s">
        <v>3102</v>
      </c>
      <c r="B3971" t="str">
        <f t="shared" ref="B3971:B4034" si="374">TRIM(A3971)</f>
        <v>1FAC2 ; fully-qualified # 🫂 E13.0 people hugging</v>
      </c>
      <c r="C3971" t="str">
        <f t="shared" ref="C3971:C4034" si="375">LEFT(B3971,(FIND(";",B3971,1)-1))</f>
        <v xml:space="preserve">1FAC2 </v>
      </c>
      <c r="D3971">
        <f t="shared" ref="D3971:D4034" si="376">LEN(C3971)</f>
        <v>6</v>
      </c>
      <c r="E3971" t="str">
        <f t="shared" si="372"/>
        <v xml:space="preserve"> 🫂 E13.0 people hugging</v>
      </c>
      <c r="F3971" t="b">
        <f t="shared" ref="F3971:F4034" si="377">IF(LEFT(C3971,2)="1F",TRUE,FALSE)</f>
        <v>1</v>
      </c>
      <c r="G3971" t="str">
        <f t="shared" si="373"/>
        <v>1FAC2</v>
      </c>
      <c r="I3971">
        <f>HEX2DEC(Table1[[#This Row],[utf8]])</f>
        <v>129730</v>
      </c>
      <c r="J3971" t="str">
        <f>_xlfn.UNICHAR(HEX2DEC(Table1[[#This Row],[utf8]]))</f>
        <v>🫂</v>
      </c>
      <c r="K3971" s="3" t="str" cm="1">
        <f t="array" ref="K3971">"Case "&amp;wRandomLetter()&amp;wRandomLetter()&amp;I3971&amp;":    UniConst = ChrW(" &amp; I3971 &amp;")"</f>
        <v>Case ZO129730:    UniConst = ChrW(129730)</v>
      </c>
    </row>
    <row r="3972" spans="1:11" hidden="1">
      <c r="A3972" t="s">
        <v>3294</v>
      </c>
      <c r="B3972" t="str">
        <f t="shared" si="374"/>
        <v>1FAD0 ; fully-qualified # 🫐 E13.0 blueberries</v>
      </c>
      <c r="C3972" t="str">
        <f t="shared" si="375"/>
        <v xml:space="preserve">1FAD0 </v>
      </c>
      <c r="D3972">
        <f t="shared" si="376"/>
        <v>6</v>
      </c>
      <c r="E3972" t="str">
        <f t="shared" si="372"/>
        <v xml:space="preserve"> 🫐 E13.0 blueberries</v>
      </c>
      <c r="F3972" t="b">
        <f t="shared" si="377"/>
        <v>1</v>
      </c>
      <c r="G3972" t="str">
        <f t="shared" si="373"/>
        <v>1FAD0</v>
      </c>
      <c r="I3972">
        <f>HEX2DEC(Table1[[#This Row],[utf8]])</f>
        <v>129744</v>
      </c>
      <c r="J3972" t="str">
        <f>_xlfn.UNICHAR(HEX2DEC(Table1[[#This Row],[utf8]]))</f>
        <v>🫐</v>
      </c>
      <c r="K3972" s="3" t="str" cm="1">
        <f t="array" ref="K3972">"Case "&amp;wRandomLetter()&amp;wRandomLetter()&amp;I3972&amp;":    UniConst = ChrW(" &amp; I3972 &amp;")"</f>
        <v>Case co129744:    UniConst = ChrW(129744)</v>
      </c>
    </row>
    <row r="3973" spans="1:11" hidden="1">
      <c r="A3973" t="s">
        <v>3307</v>
      </c>
      <c r="B3973" t="str">
        <f t="shared" si="374"/>
        <v>1FAD1 ; fully-qualified # 🫑 E13.0 bell pepper</v>
      </c>
      <c r="C3973" t="str">
        <f t="shared" si="375"/>
        <v xml:space="preserve">1FAD1 </v>
      </c>
      <c r="D3973">
        <f t="shared" si="376"/>
        <v>6</v>
      </c>
      <c r="E3973" t="str">
        <f t="shared" si="372"/>
        <v xml:space="preserve"> 🫑 E13.0 bell pepper</v>
      </c>
      <c r="F3973" t="b">
        <f t="shared" si="377"/>
        <v>1</v>
      </c>
      <c r="G3973" t="str">
        <f t="shared" si="373"/>
        <v>1FAD1</v>
      </c>
      <c r="I3973">
        <f>HEX2DEC(Table1[[#This Row],[utf8]])</f>
        <v>129745</v>
      </c>
      <c r="J3973" t="str">
        <f>_xlfn.UNICHAR(HEX2DEC(Table1[[#This Row],[utf8]]))</f>
        <v>🫑</v>
      </c>
      <c r="K3973" s="3" t="str" cm="1">
        <f t="array" ref="K3973">"Case "&amp;wRandomLetter()&amp;wRandomLetter()&amp;I3973&amp;":    UniConst = ChrW(" &amp; I3973 &amp;")"</f>
        <v>Case Zn129745:    UniConst = ChrW(129745)</v>
      </c>
    </row>
    <row r="3974" spans="1:11" hidden="1">
      <c r="A3974" t="s">
        <v>3297</v>
      </c>
      <c r="B3974" t="str">
        <f t="shared" si="374"/>
        <v>1FAD2 ; fully-qualified # 🫒 E13.0 olive</v>
      </c>
      <c r="C3974" t="str">
        <f t="shared" si="375"/>
        <v xml:space="preserve">1FAD2 </v>
      </c>
      <c r="D3974">
        <f t="shared" si="376"/>
        <v>6</v>
      </c>
      <c r="E3974" t="str">
        <f t="shared" si="372"/>
        <v xml:space="preserve"> 🫒 E13.0 olive</v>
      </c>
      <c r="F3974" t="b">
        <f t="shared" si="377"/>
        <v>1</v>
      </c>
      <c r="G3974" t="str">
        <f t="shared" si="373"/>
        <v>1FAD2</v>
      </c>
      <c r="I3974">
        <f>HEX2DEC(Table1[[#This Row],[utf8]])</f>
        <v>129746</v>
      </c>
      <c r="J3974" t="str">
        <f>_xlfn.UNICHAR(HEX2DEC(Table1[[#This Row],[utf8]]))</f>
        <v>🫒</v>
      </c>
      <c r="K3974" s="3" t="str" cm="1">
        <f t="array" ref="K3974">"Case "&amp;wRandomLetter()&amp;wRandomLetter()&amp;I3974&amp;":    UniConst = ChrW(" &amp; I3974 &amp;")"</f>
        <v>Case Bw129746:    UniConst = ChrW(129746)</v>
      </c>
    </row>
    <row r="3975" spans="1:11" hidden="1">
      <c r="A3975" t="s">
        <v>3320</v>
      </c>
      <c r="B3975" t="str">
        <f t="shared" si="374"/>
        <v>1FAD3 ; fully-qualified # 🫓 E13.0 flatbread</v>
      </c>
      <c r="C3975" t="str">
        <f t="shared" si="375"/>
        <v xml:space="preserve">1FAD3 </v>
      </c>
      <c r="D3975">
        <f t="shared" si="376"/>
        <v>6</v>
      </c>
      <c r="E3975" t="str">
        <f t="shared" si="372"/>
        <v xml:space="preserve"> 🫓 E13.0 flatbread</v>
      </c>
      <c r="F3975" t="b">
        <f t="shared" si="377"/>
        <v>1</v>
      </c>
      <c r="G3975" t="str">
        <f t="shared" si="373"/>
        <v>1FAD3</v>
      </c>
      <c r="I3975">
        <f>HEX2DEC(Table1[[#This Row],[utf8]])</f>
        <v>129747</v>
      </c>
      <c r="J3975" t="str">
        <f>_xlfn.UNICHAR(HEX2DEC(Table1[[#This Row],[utf8]]))</f>
        <v>🫓</v>
      </c>
      <c r="K3975" s="3" t="str" cm="1">
        <f t="array" ref="K3975">"Case "&amp;wRandomLetter()&amp;wRandomLetter()&amp;I3975&amp;":    UniConst = ChrW(" &amp; I3975 &amp;")"</f>
        <v>Case rG129747:    UniConst = ChrW(129747)</v>
      </c>
    </row>
    <row r="3976" spans="1:11" hidden="1">
      <c r="A3976" t="s">
        <v>3337</v>
      </c>
      <c r="B3976" t="str">
        <f t="shared" si="374"/>
        <v>1FAD4 ; fully-qualified # 🫔 E13.0 tamale</v>
      </c>
      <c r="C3976" t="str">
        <f t="shared" si="375"/>
        <v xml:space="preserve">1FAD4 </v>
      </c>
      <c r="D3976">
        <f t="shared" si="376"/>
        <v>6</v>
      </c>
      <c r="E3976" t="str">
        <f t="shared" si="372"/>
        <v xml:space="preserve"> 🫔 E13.0 tamale</v>
      </c>
      <c r="F3976" t="b">
        <f t="shared" si="377"/>
        <v>1</v>
      </c>
      <c r="G3976" t="str">
        <f t="shared" si="373"/>
        <v>1FAD4</v>
      </c>
      <c r="I3976">
        <f>HEX2DEC(Table1[[#This Row],[utf8]])</f>
        <v>129748</v>
      </c>
      <c r="J3976" t="str">
        <f>_xlfn.UNICHAR(HEX2DEC(Table1[[#This Row],[utf8]]))</f>
        <v>🫔</v>
      </c>
      <c r="K3976" s="3" t="str" cm="1">
        <f t="array" ref="K3976">"Case "&amp;wRandomLetter()&amp;wRandomLetter()&amp;I3976&amp;":    UniConst = ChrW(" &amp; I3976 &amp;")"</f>
        <v>Case pH129748:    UniConst = ChrW(129748)</v>
      </c>
    </row>
    <row r="3977" spans="1:11" hidden="1">
      <c r="A3977" t="s">
        <v>3344</v>
      </c>
      <c r="B3977" t="str">
        <f t="shared" si="374"/>
        <v>1FAD5 ; fully-qualified # 🫕 E13.0 fondue</v>
      </c>
      <c r="C3977" t="str">
        <f t="shared" si="375"/>
        <v xml:space="preserve">1FAD5 </v>
      </c>
      <c r="D3977">
        <f t="shared" si="376"/>
        <v>6</v>
      </c>
      <c r="E3977" t="str">
        <f t="shared" si="372"/>
        <v xml:space="preserve"> 🫕 E13.0 fondue</v>
      </c>
      <c r="F3977" t="b">
        <f t="shared" si="377"/>
        <v>1</v>
      </c>
      <c r="G3977" t="str">
        <f t="shared" si="373"/>
        <v>1FAD5</v>
      </c>
      <c r="I3977">
        <f>HEX2DEC(Table1[[#This Row],[utf8]])</f>
        <v>129749</v>
      </c>
      <c r="J3977" t="str">
        <f>_xlfn.UNICHAR(HEX2DEC(Table1[[#This Row],[utf8]]))</f>
        <v>🫕</v>
      </c>
      <c r="K3977" s="3" t="str" cm="1">
        <f t="array" ref="K3977">"Case "&amp;wRandomLetter()&amp;wRandomLetter()&amp;I3977&amp;":    UniConst = ChrW(" &amp; I3977 &amp;")"</f>
        <v>Case sL129749:    UniConst = ChrW(129749)</v>
      </c>
    </row>
    <row r="3978" spans="1:11" hidden="1">
      <c r="A3978" t="s">
        <v>3394</v>
      </c>
      <c r="B3978" t="str">
        <f t="shared" si="374"/>
        <v>1FAD6 ; fully-qualified # 🫖 E13.0 teapot</v>
      </c>
      <c r="C3978" t="str">
        <f t="shared" si="375"/>
        <v xml:space="preserve">1FAD6 </v>
      </c>
      <c r="D3978">
        <f t="shared" si="376"/>
        <v>6</v>
      </c>
      <c r="E3978" t="str">
        <f t="shared" si="372"/>
        <v xml:space="preserve"> 🫖 E13.0 teapot</v>
      </c>
      <c r="F3978" t="b">
        <f t="shared" si="377"/>
        <v>1</v>
      </c>
      <c r="G3978" t="str">
        <f t="shared" si="373"/>
        <v>1FAD6</v>
      </c>
      <c r="I3978">
        <f>HEX2DEC(Table1[[#This Row],[utf8]])</f>
        <v>129750</v>
      </c>
      <c r="J3978" t="str">
        <f>_xlfn.UNICHAR(HEX2DEC(Table1[[#This Row],[utf8]]))</f>
        <v>🫖</v>
      </c>
      <c r="K3978" s="3" t="str" cm="1">
        <f t="array" ref="K3978">"Case "&amp;wRandomLetter()&amp;wRandomLetter()&amp;I3978&amp;":    UniConst = ChrW(" &amp; I3978 &amp;")"</f>
        <v>Case Gz129750:    UniConst = ChrW(129750)</v>
      </c>
    </row>
    <row r="3979" spans="1:11">
      <c r="A3979" t="s">
        <v>4276</v>
      </c>
      <c r="B3979" t="str">
        <f t="shared" si="374"/>
        <v>203C ; unqualified # ‼ E0.6 double exclamation mark</v>
      </c>
      <c r="C3979" t="str">
        <f t="shared" si="375"/>
        <v xml:space="preserve">203C </v>
      </c>
      <c r="D3979">
        <f t="shared" si="376"/>
        <v>5</v>
      </c>
      <c r="E3979" t="str">
        <f t="shared" si="372"/>
        <v xml:space="preserve"> ‼ E0.6 double exclamation mark</v>
      </c>
      <c r="F3979" t="b">
        <f t="shared" si="377"/>
        <v>0</v>
      </c>
      <c r="G3979" t="str">
        <f t="shared" si="373"/>
        <v>203C</v>
      </c>
      <c r="H3979" t="b">
        <v>1</v>
      </c>
      <c r="I3979">
        <f>HEX2DEC(Table1[[#This Row],[utf8]])</f>
        <v>8252</v>
      </c>
      <c r="J3979" t="str">
        <f>_xlfn.UNICHAR(HEX2DEC(Table1[[#This Row],[utf8]]))</f>
        <v>‼</v>
      </c>
      <c r="K3979" s="3" t="str" cm="1">
        <f t="array" ref="K3979">"Case "&amp;wRandomLetter()&amp;wRandomLetter()&amp;I3979&amp;":    UniConst = ChrW(" &amp; I3979 &amp;")"</f>
        <v>Case tI8252:    UniConst = ChrW(8252)</v>
      </c>
    </row>
    <row r="3980" spans="1:11">
      <c r="A3980" t="s">
        <v>4275</v>
      </c>
      <c r="B3980" t="str">
        <f t="shared" si="374"/>
        <v>203C FE0F ; fully-qualified # ‼️ E0.6 double exclamation mark</v>
      </c>
      <c r="C3980" t="str">
        <f t="shared" si="375"/>
        <v xml:space="preserve">203C FE0F </v>
      </c>
      <c r="D3980">
        <f t="shared" si="376"/>
        <v>10</v>
      </c>
      <c r="E3980" t="str">
        <f t="shared" si="372"/>
        <v xml:space="preserve"> ‼️ E0.6 double exclamation mark</v>
      </c>
      <c r="F3980" t="b">
        <f t="shared" si="377"/>
        <v>0</v>
      </c>
      <c r="G3980" t="str">
        <f t="shared" si="373"/>
        <v>203C</v>
      </c>
      <c r="I3980">
        <f>HEX2DEC(Table1[[#This Row],[utf8]])</f>
        <v>8252</v>
      </c>
      <c r="J3980" t="str">
        <f>_xlfn.UNICHAR(HEX2DEC(Table1[[#This Row],[utf8]]))</f>
        <v>‼</v>
      </c>
      <c r="K3980" s="3" t="str" cm="1">
        <f t="array" ref="K3980">"Case "&amp;wRandomLetter()&amp;wRandomLetter()&amp;I3980&amp;":    UniConst = ChrW(" &amp; I3980 &amp;")"</f>
        <v>Case hn8252:    UniConst = ChrW(8252)</v>
      </c>
    </row>
    <row r="3981" spans="1:11">
      <c r="A3981" t="s">
        <v>4278</v>
      </c>
      <c r="B3981" t="str">
        <f t="shared" si="374"/>
        <v>2049 ; unqualified # ⁉ E0.6 exclamation question mark</v>
      </c>
      <c r="C3981" t="str">
        <f t="shared" si="375"/>
        <v xml:space="preserve">2049 </v>
      </c>
      <c r="D3981">
        <f t="shared" si="376"/>
        <v>5</v>
      </c>
      <c r="E3981" t="str">
        <f t="shared" si="372"/>
        <v xml:space="preserve"> ⁉ E0.6 exclamation question mark</v>
      </c>
      <c r="F3981" t="b">
        <f t="shared" si="377"/>
        <v>0</v>
      </c>
      <c r="G3981" t="str">
        <f t="shared" si="373"/>
        <v>2049</v>
      </c>
      <c r="H3981" t="b">
        <v>1</v>
      </c>
      <c r="I3981">
        <f>HEX2DEC(Table1[[#This Row],[utf8]])</f>
        <v>8265</v>
      </c>
      <c r="J3981" t="str">
        <f>_xlfn.UNICHAR(HEX2DEC(Table1[[#This Row],[utf8]]))</f>
        <v>⁉</v>
      </c>
      <c r="K3981" s="3" t="str" cm="1">
        <f t="array" ref="K3981">"Case "&amp;wRandomLetter()&amp;wRandomLetter()&amp;I3981&amp;":    UniConst = ChrW(" &amp; I3981 &amp;")"</f>
        <v>Case nU8265:    UniConst = ChrW(8265)</v>
      </c>
    </row>
    <row r="3982" spans="1:11">
      <c r="A3982" t="s">
        <v>4277</v>
      </c>
      <c r="B3982" t="str">
        <f t="shared" si="374"/>
        <v>2049 FE0F ; fully-qualified # ⁉️ E0.6 exclamation question mark</v>
      </c>
      <c r="C3982" t="str">
        <f t="shared" si="375"/>
        <v xml:space="preserve">2049 FE0F </v>
      </c>
      <c r="D3982">
        <f t="shared" si="376"/>
        <v>10</v>
      </c>
      <c r="E3982" t="str">
        <f t="shared" si="372"/>
        <v xml:space="preserve"> ⁉️ E0.6 exclamation question mark</v>
      </c>
      <c r="F3982" t="b">
        <f t="shared" si="377"/>
        <v>0</v>
      </c>
      <c r="G3982" t="str">
        <f t="shared" si="373"/>
        <v>2049</v>
      </c>
      <c r="I3982">
        <f>HEX2DEC(Table1[[#This Row],[utf8]])</f>
        <v>8265</v>
      </c>
      <c r="J3982" t="str">
        <f>_xlfn.UNICHAR(HEX2DEC(Table1[[#This Row],[utf8]]))</f>
        <v>⁉</v>
      </c>
      <c r="K3982" s="3" t="str" cm="1">
        <f t="array" ref="K3982">"Case "&amp;wRandomLetter()&amp;wRandomLetter()&amp;I3982&amp;":    UniConst = ChrW(" &amp; I3982 &amp;")"</f>
        <v>Case Vl8265:    UniConst = ChrW(8265)</v>
      </c>
    </row>
    <row r="3983" spans="1:11">
      <c r="A3983" t="s">
        <v>4321</v>
      </c>
      <c r="B3983" t="str">
        <f t="shared" si="374"/>
        <v>2122 ; unqualified # ™ E0.6 trade mark</v>
      </c>
      <c r="C3983" t="str">
        <f t="shared" si="375"/>
        <v xml:space="preserve">2122 </v>
      </c>
      <c r="D3983">
        <f t="shared" si="376"/>
        <v>5</v>
      </c>
      <c r="E3983" t="str">
        <f t="shared" si="372"/>
        <v xml:space="preserve"> ™ E0.6 trade mark</v>
      </c>
      <c r="F3983" t="b">
        <f t="shared" si="377"/>
        <v>0</v>
      </c>
      <c r="G3983" t="str">
        <f t="shared" si="373"/>
        <v>2122</v>
      </c>
      <c r="H3983" t="b">
        <v>1</v>
      </c>
      <c r="I3983">
        <f>HEX2DEC(Table1[[#This Row],[utf8]])</f>
        <v>8482</v>
      </c>
      <c r="J3983" t="str">
        <f>_xlfn.UNICHAR(HEX2DEC(Table1[[#This Row],[utf8]]))</f>
        <v>™</v>
      </c>
      <c r="K3983" s="3" t="str" cm="1">
        <f t="array" ref="K3983">"Case "&amp;wRandomLetter()&amp;wRandomLetter()&amp;I3983&amp;":    UniConst = ChrW(" &amp; I3983 &amp;")"</f>
        <v>Case KX8482:    UniConst = ChrW(8482)</v>
      </c>
    </row>
    <row r="3984" spans="1:11">
      <c r="A3984" t="s">
        <v>4320</v>
      </c>
      <c r="B3984" t="str">
        <f t="shared" si="374"/>
        <v>2122 FE0F ; fully-qualified # ™️ E0.6 trade mark</v>
      </c>
      <c r="C3984" t="str">
        <f t="shared" si="375"/>
        <v xml:space="preserve">2122 FE0F </v>
      </c>
      <c r="D3984">
        <f t="shared" si="376"/>
        <v>10</v>
      </c>
      <c r="E3984" t="str">
        <f t="shared" si="372"/>
        <v xml:space="preserve"> ™️ E0.6 trade mark</v>
      </c>
      <c r="F3984" t="b">
        <f t="shared" si="377"/>
        <v>0</v>
      </c>
      <c r="G3984" t="str">
        <f t="shared" si="373"/>
        <v>2122</v>
      </c>
      <c r="I3984">
        <f>HEX2DEC(Table1[[#This Row],[utf8]])</f>
        <v>8482</v>
      </c>
      <c r="J3984" t="str">
        <f>_xlfn.UNICHAR(HEX2DEC(Table1[[#This Row],[utf8]]))</f>
        <v>™</v>
      </c>
      <c r="K3984" s="3" t="str" cm="1">
        <f t="array" ref="K3984">"Case "&amp;wRandomLetter()&amp;wRandomLetter()&amp;I3984&amp;":    UniConst = ChrW(" &amp; I3984 &amp;")"</f>
        <v>Case VE8482:    UniConst = ChrW(8482)</v>
      </c>
    </row>
    <row r="3985" spans="1:11">
      <c r="A3985" t="s">
        <v>4363</v>
      </c>
      <c r="B3985" t="str">
        <f t="shared" si="374"/>
        <v>2139 ; unqualified # ℹ E0.6 information</v>
      </c>
      <c r="C3985" t="str">
        <f t="shared" si="375"/>
        <v xml:space="preserve">2139 </v>
      </c>
      <c r="D3985">
        <f t="shared" si="376"/>
        <v>5</v>
      </c>
      <c r="E3985" t="str">
        <f t="shared" si="372"/>
        <v xml:space="preserve"> ℹ E0.6 information</v>
      </c>
      <c r="F3985" t="b">
        <f t="shared" si="377"/>
        <v>0</v>
      </c>
      <c r="G3985" t="str">
        <f t="shared" si="373"/>
        <v>2139</v>
      </c>
      <c r="H3985" t="b">
        <v>1</v>
      </c>
      <c r="I3985">
        <f>HEX2DEC(Table1[[#This Row],[utf8]])</f>
        <v>8505</v>
      </c>
      <c r="J3985" t="str">
        <f>_xlfn.UNICHAR(HEX2DEC(Table1[[#This Row],[utf8]]))</f>
        <v>ℹ</v>
      </c>
      <c r="K3985" s="3" t="str" cm="1">
        <f t="array" ref="K3985">"Case "&amp;wRandomLetter()&amp;wRandomLetter()&amp;I3985&amp;":    UniConst = ChrW(" &amp; I3985 &amp;")"</f>
        <v>Case Lk8505:    UniConst = ChrW(8505)</v>
      </c>
    </row>
    <row r="3986" spans="1:11">
      <c r="A3986" t="s">
        <v>4362</v>
      </c>
      <c r="B3986" t="str">
        <f t="shared" si="374"/>
        <v>2139 FE0F ; fully-qualified # ℹ️ E0.6 information</v>
      </c>
      <c r="C3986" t="str">
        <f t="shared" si="375"/>
        <v xml:space="preserve">2139 FE0F </v>
      </c>
      <c r="D3986">
        <f t="shared" si="376"/>
        <v>10</v>
      </c>
      <c r="E3986" t="str">
        <f t="shared" si="372"/>
        <v xml:space="preserve"> ℹ️ E0.6 information</v>
      </c>
      <c r="F3986" t="b">
        <f t="shared" si="377"/>
        <v>0</v>
      </c>
      <c r="G3986" t="str">
        <f t="shared" si="373"/>
        <v>2139</v>
      </c>
      <c r="I3986">
        <f>HEX2DEC(Table1[[#This Row],[utf8]])</f>
        <v>8505</v>
      </c>
      <c r="J3986" t="str">
        <f>_xlfn.UNICHAR(HEX2DEC(Table1[[#This Row],[utf8]]))</f>
        <v>ℹ</v>
      </c>
      <c r="K3986" s="3" t="str" cm="1">
        <f t="array" ref="K3986">"Case "&amp;wRandomLetter()&amp;wRandomLetter()&amp;I3986&amp;":    UniConst = ChrW(" &amp; I3986 &amp;")"</f>
        <v>Case Gz8505:    UniConst = ChrW(8505)</v>
      </c>
    </row>
    <row r="3987" spans="1:11">
      <c r="A3987" t="s">
        <v>4173</v>
      </c>
      <c r="B3987" t="str">
        <f t="shared" si="374"/>
        <v>2194 ; unqualified # ↔ E0.6 left-right arrow</v>
      </c>
      <c r="C3987" t="str">
        <f t="shared" si="375"/>
        <v xml:space="preserve">2194 </v>
      </c>
      <c r="D3987">
        <f t="shared" si="376"/>
        <v>5</v>
      </c>
      <c r="E3987" t="str">
        <f t="shared" si="372"/>
        <v xml:space="preserve"> ↔ E0.6 left-right arrow</v>
      </c>
      <c r="F3987" t="b">
        <f t="shared" si="377"/>
        <v>0</v>
      </c>
      <c r="G3987" t="str">
        <f t="shared" si="373"/>
        <v>2194</v>
      </c>
      <c r="H3987" t="b">
        <v>1</v>
      </c>
      <c r="I3987">
        <f>HEX2DEC(Table1[[#This Row],[utf8]])</f>
        <v>8596</v>
      </c>
      <c r="J3987" t="str">
        <f>_xlfn.UNICHAR(HEX2DEC(Table1[[#This Row],[utf8]]))</f>
        <v>↔</v>
      </c>
      <c r="K3987" s="3" t="str" cm="1">
        <f t="array" ref="K3987">"Case "&amp;wRandomLetter()&amp;wRandomLetter()&amp;I3987&amp;":    UniConst = ChrW(" &amp; I3987 &amp;")"</f>
        <v>Case at8596:    UniConst = ChrW(8596)</v>
      </c>
    </row>
    <row r="3988" spans="1:11">
      <c r="A3988" t="s">
        <v>4172</v>
      </c>
      <c r="B3988" t="str">
        <f t="shared" si="374"/>
        <v>2194 FE0F ; fully-qualified # ↔️ E0.6 left-right arrow</v>
      </c>
      <c r="C3988" t="str">
        <f t="shared" si="375"/>
        <v xml:space="preserve">2194 FE0F </v>
      </c>
      <c r="D3988">
        <f t="shared" si="376"/>
        <v>10</v>
      </c>
      <c r="E3988" t="str">
        <f t="shared" si="372"/>
        <v xml:space="preserve"> ↔️ E0.6 left-right arrow</v>
      </c>
      <c r="F3988" t="b">
        <f t="shared" si="377"/>
        <v>0</v>
      </c>
      <c r="G3988" t="str">
        <f t="shared" si="373"/>
        <v>2194</v>
      </c>
      <c r="I3988">
        <f>HEX2DEC(Table1[[#This Row],[utf8]])</f>
        <v>8596</v>
      </c>
      <c r="J3988" t="str">
        <f>_xlfn.UNICHAR(HEX2DEC(Table1[[#This Row],[utf8]]))</f>
        <v>↔</v>
      </c>
      <c r="K3988" s="3" t="str" cm="1">
        <f t="array" ref="K3988">"Case "&amp;wRandomLetter()&amp;wRandomLetter()&amp;I3988&amp;":    UniConst = ChrW(" &amp; I3988 &amp;")"</f>
        <v>Case oK8596:    UniConst = ChrW(8596)</v>
      </c>
    </row>
    <row r="3989" spans="1:11">
      <c r="A3989" t="s">
        <v>4171</v>
      </c>
      <c r="B3989" t="str">
        <f t="shared" si="374"/>
        <v>2195 ; unqualified # ↕ E0.6 up-down arrow</v>
      </c>
      <c r="C3989" t="str">
        <f t="shared" si="375"/>
        <v xml:space="preserve">2195 </v>
      </c>
      <c r="D3989">
        <f t="shared" si="376"/>
        <v>5</v>
      </c>
      <c r="E3989" t="str">
        <f t="shared" si="372"/>
        <v xml:space="preserve"> ↕ E0.6 up-down arrow</v>
      </c>
      <c r="F3989" t="b">
        <f t="shared" si="377"/>
        <v>0</v>
      </c>
      <c r="G3989" t="str">
        <f t="shared" si="373"/>
        <v>2195</v>
      </c>
      <c r="H3989" t="b">
        <v>1</v>
      </c>
      <c r="I3989">
        <f>HEX2DEC(Table1[[#This Row],[utf8]])</f>
        <v>8597</v>
      </c>
      <c r="J3989" t="str">
        <f>_xlfn.UNICHAR(HEX2DEC(Table1[[#This Row],[utf8]]))</f>
        <v>↕</v>
      </c>
      <c r="K3989" s="3" t="str" cm="1">
        <f t="array" ref="K3989">"Case "&amp;wRandomLetter()&amp;wRandomLetter()&amp;I3989&amp;":    UniConst = ChrW(" &amp; I3989 &amp;")"</f>
        <v>Case rB8597:    UniConst = ChrW(8597)</v>
      </c>
    </row>
    <row r="3990" spans="1:11">
      <c r="A3990" t="s">
        <v>4170</v>
      </c>
      <c r="B3990" t="str">
        <f t="shared" si="374"/>
        <v>2195 FE0F ; fully-qualified # ↕️ E0.6 up-down arrow</v>
      </c>
      <c r="C3990" t="str">
        <f t="shared" si="375"/>
        <v xml:space="preserve">2195 FE0F </v>
      </c>
      <c r="D3990">
        <f t="shared" si="376"/>
        <v>10</v>
      </c>
      <c r="E3990" t="str">
        <f t="shared" si="372"/>
        <v xml:space="preserve"> ↕️ E0.6 up-down arrow</v>
      </c>
      <c r="F3990" t="b">
        <f t="shared" si="377"/>
        <v>0</v>
      </c>
      <c r="G3990" t="str">
        <f t="shared" si="373"/>
        <v>2195</v>
      </c>
      <c r="I3990">
        <f>HEX2DEC(Table1[[#This Row],[utf8]])</f>
        <v>8597</v>
      </c>
      <c r="J3990" t="str">
        <f>_xlfn.UNICHAR(HEX2DEC(Table1[[#This Row],[utf8]]))</f>
        <v>↕</v>
      </c>
      <c r="K3990" s="3" t="str" cm="1">
        <f t="array" ref="K3990">"Case "&amp;wRandomLetter()&amp;wRandomLetter()&amp;I3990&amp;":    UniConst = ChrW(" &amp; I3990 &amp;")"</f>
        <v>Case VE8597:    UniConst = ChrW(8597)</v>
      </c>
    </row>
    <row r="3991" spans="1:11">
      <c r="A3991" t="s">
        <v>4169</v>
      </c>
      <c r="B3991" t="str">
        <f t="shared" si="374"/>
        <v>2196 ; unqualified # ↖ E0.6 up-left arrow</v>
      </c>
      <c r="C3991" t="str">
        <f t="shared" si="375"/>
        <v xml:space="preserve">2196 </v>
      </c>
      <c r="D3991">
        <f t="shared" si="376"/>
        <v>5</v>
      </c>
      <c r="E3991" t="str">
        <f t="shared" si="372"/>
        <v xml:space="preserve"> ↖ E0.6 up-left arrow</v>
      </c>
      <c r="F3991" t="b">
        <f t="shared" si="377"/>
        <v>0</v>
      </c>
      <c r="G3991" t="str">
        <f t="shared" si="373"/>
        <v>2196</v>
      </c>
      <c r="H3991" t="b">
        <v>1</v>
      </c>
      <c r="I3991">
        <f>HEX2DEC(Table1[[#This Row],[utf8]])</f>
        <v>8598</v>
      </c>
      <c r="J3991" t="str">
        <f>_xlfn.UNICHAR(HEX2DEC(Table1[[#This Row],[utf8]]))</f>
        <v>↖</v>
      </c>
      <c r="K3991" s="3" t="str" cm="1">
        <f t="array" ref="K3991">"Case "&amp;wRandomLetter()&amp;wRandomLetter()&amp;I3991&amp;":    UniConst = ChrW(" &amp; I3991 &amp;")"</f>
        <v>Case Km8598:    UniConst = ChrW(8598)</v>
      </c>
    </row>
    <row r="3992" spans="1:11">
      <c r="A3992" t="s">
        <v>4168</v>
      </c>
      <c r="B3992" t="str">
        <f t="shared" si="374"/>
        <v>2196 FE0F ; fully-qualified # ↖️ E0.6 up-left arrow</v>
      </c>
      <c r="C3992" t="str">
        <f t="shared" si="375"/>
        <v xml:space="preserve">2196 FE0F </v>
      </c>
      <c r="D3992">
        <f t="shared" si="376"/>
        <v>10</v>
      </c>
      <c r="E3992" t="str">
        <f t="shared" si="372"/>
        <v xml:space="preserve"> ↖️ E0.6 up-left arrow</v>
      </c>
      <c r="F3992" t="b">
        <f t="shared" si="377"/>
        <v>0</v>
      </c>
      <c r="G3992" t="str">
        <f t="shared" si="373"/>
        <v>2196</v>
      </c>
      <c r="I3992">
        <f>HEX2DEC(Table1[[#This Row],[utf8]])</f>
        <v>8598</v>
      </c>
      <c r="J3992" t="str">
        <f>_xlfn.UNICHAR(HEX2DEC(Table1[[#This Row],[utf8]]))</f>
        <v>↖</v>
      </c>
      <c r="K3992" s="3" t="str" cm="1">
        <f t="array" ref="K3992">"Case "&amp;wRandomLetter()&amp;wRandomLetter()&amp;I3992&amp;":    UniConst = ChrW(" &amp; I3992 &amp;")"</f>
        <v>Case ex8598:    UniConst = ChrW(8598)</v>
      </c>
    </row>
    <row r="3993" spans="1:11">
      <c r="A3993" t="s">
        <v>4157</v>
      </c>
      <c r="B3993" t="str">
        <f t="shared" si="374"/>
        <v>2197 ; unqualified # ↗ E0.6 up-right arrow</v>
      </c>
      <c r="C3993" t="str">
        <f t="shared" si="375"/>
        <v xml:space="preserve">2197 </v>
      </c>
      <c r="D3993">
        <f t="shared" si="376"/>
        <v>5</v>
      </c>
      <c r="E3993" t="str">
        <f t="shared" si="372"/>
        <v xml:space="preserve"> ↗ E0.6 up-right arrow</v>
      </c>
      <c r="F3993" t="b">
        <f t="shared" si="377"/>
        <v>0</v>
      </c>
      <c r="G3993" t="str">
        <f t="shared" si="373"/>
        <v>2197</v>
      </c>
      <c r="H3993" t="b">
        <v>1</v>
      </c>
      <c r="I3993">
        <f>HEX2DEC(Table1[[#This Row],[utf8]])</f>
        <v>8599</v>
      </c>
      <c r="J3993" t="str">
        <f>_xlfn.UNICHAR(HEX2DEC(Table1[[#This Row],[utf8]]))</f>
        <v>↗</v>
      </c>
      <c r="K3993" s="3" t="str" cm="1">
        <f t="array" ref="K3993">"Case "&amp;wRandomLetter()&amp;wRandomLetter()&amp;I3993&amp;":    UniConst = ChrW(" &amp; I3993 &amp;")"</f>
        <v>Case ZL8599:    UniConst = ChrW(8599)</v>
      </c>
    </row>
    <row r="3994" spans="1:11">
      <c r="A3994" t="s">
        <v>4156</v>
      </c>
      <c r="B3994" t="str">
        <f t="shared" si="374"/>
        <v>2197 FE0F ; fully-qualified # ↗️ E0.6 up-right arrow</v>
      </c>
      <c r="C3994" t="str">
        <f t="shared" si="375"/>
        <v xml:space="preserve">2197 FE0F </v>
      </c>
      <c r="D3994">
        <f t="shared" si="376"/>
        <v>10</v>
      </c>
      <c r="E3994" t="str">
        <f t="shared" si="372"/>
        <v xml:space="preserve"> ↗️ E0.6 up-right arrow</v>
      </c>
      <c r="F3994" t="b">
        <f t="shared" si="377"/>
        <v>0</v>
      </c>
      <c r="G3994" t="str">
        <f t="shared" si="373"/>
        <v>2197</v>
      </c>
      <c r="I3994">
        <f>HEX2DEC(Table1[[#This Row],[utf8]])</f>
        <v>8599</v>
      </c>
      <c r="J3994" t="str">
        <f>_xlfn.UNICHAR(HEX2DEC(Table1[[#This Row],[utf8]]))</f>
        <v>↗</v>
      </c>
      <c r="K3994" s="3" t="str" cm="1">
        <f t="array" ref="K3994">"Case "&amp;wRandomLetter()&amp;wRandomLetter()&amp;I3994&amp;":    UniConst = ChrW(" &amp; I3994 &amp;")"</f>
        <v>Case KD8599:    UniConst = ChrW(8599)</v>
      </c>
    </row>
    <row r="3995" spans="1:11">
      <c r="A3995" t="s">
        <v>4161</v>
      </c>
      <c r="B3995" t="str">
        <f t="shared" si="374"/>
        <v>2198 ; unqualified # ↘ E0.6 down-right arrow</v>
      </c>
      <c r="C3995" t="str">
        <f t="shared" si="375"/>
        <v xml:space="preserve">2198 </v>
      </c>
      <c r="D3995">
        <f t="shared" si="376"/>
        <v>5</v>
      </c>
      <c r="E3995" t="str">
        <f t="shared" si="372"/>
        <v xml:space="preserve"> ↘ E0.6 down-right arrow</v>
      </c>
      <c r="F3995" t="b">
        <f t="shared" si="377"/>
        <v>0</v>
      </c>
      <c r="G3995" t="str">
        <f t="shared" si="373"/>
        <v>2198</v>
      </c>
      <c r="H3995" t="b">
        <v>1</v>
      </c>
      <c r="I3995">
        <f>HEX2DEC(Table1[[#This Row],[utf8]])</f>
        <v>8600</v>
      </c>
      <c r="J3995" t="str">
        <f>_xlfn.UNICHAR(HEX2DEC(Table1[[#This Row],[utf8]]))</f>
        <v>↘</v>
      </c>
      <c r="K3995" s="3" t="str" cm="1">
        <f t="array" ref="K3995">"Case "&amp;wRandomLetter()&amp;wRandomLetter()&amp;I3995&amp;":    UniConst = ChrW(" &amp; I3995 &amp;")"</f>
        <v>Case NJ8600:    UniConst = ChrW(8600)</v>
      </c>
    </row>
    <row r="3996" spans="1:11">
      <c r="A3996" t="s">
        <v>4160</v>
      </c>
      <c r="B3996" t="str">
        <f t="shared" si="374"/>
        <v>2198 FE0F ; fully-qualified # ↘️ E0.6 down-right arrow</v>
      </c>
      <c r="C3996" t="str">
        <f t="shared" si="375"/>
        <v xml:space="preserve">2198 FE0F </v>
      </c>
      <c r="D3996">
        <f t="shared" si="376"/>
        <v>10</v>
      </c>
      <c r="E3996" t="str">
        <f t="shared" si="372"/>
        <v xml:space="preserve"> ↘️ E0.6 down-right arrow</v>
      </c>
      <c r="F3996" t="b">
        <f t="shared" si="377"/>
        <v>0</v>
      </c>
      <c r="G3996" t="str">
        <f t="shared" si="373"/>
        <v>2198</v>
      </c>
      <c r="I3996">
        <f>HEX2DEC(Table1[[#This Row],[utf8]])</f>
        <v>8600</v>
      </c>
      <c r="J3996" t="str">
        <f>_xlfn.UNICHAR(HEX2DEC(Table1[[#This Row],[utf8]]))</f>
        <v>↘</v>
      </c>
      <c r="K3996" s="3" t="str" cm="1">
        <f t="array" ref="K3996">"Case "&amp;wRandomLetter()&amp;wRandomLetter()&amp;I3996&amp;":    UniConst = ChrW(" &amp; I3996 &amp;")"</f>
        <v>Case nO8600:    UniConst = ChrW(8600)</v>
      </c>
    </row>
    <row r="3997" spans="1:11">
      <c r="A3997" t="s">
        <v>4165</v>
      </c>
      <c r="B3997" t="str">
        <f t="shared" si="374"/>
        <v>2199 ; unqualified # ↙ E0.6 down-left arrow</v>
      </c>
      <c r="C3997" t="str">
        <f t="shared" si="375"/>
        <v xml:space="preserve">2199 </v>
      </c>
      <c r="D3997">
        <f t="shared" si="376"/>
        <v>5</v>
      </c>
      <c r="E3997" t="str">
        <f t="shared" si="372"/>
        <v xml:space="preserve"> ↙ E0.6 down-left arrow</v>
      </c>
      <c r="F3997" t="b">
        <f t="shared" si="377"/>
        <v>0</v>
      </c>
      <c r="G3997" t="str">
        <f t="shared" si="373"/>
        <v>2199</v>
      </c>
      <c r="H3997" t="b">
        <v>1</v>
      </c>
      <c r="I3997">
        <f>HEX2DEC(Table1[[#This Row],[utf8]])</f>
        <v>8601</v>
      </c>
      <c r="J3997" t="str">
        <f>_xlfn.UNICHAR(HEX2DEC(Table1[[#This Row],[utf8]]))</f>
        <v>↙</v>
      </c>
      <c r="K3997" s="3" t="str" cm="1">
        <f t="array" ref="K3997">"Case "&amp;wRandomLetter()&amp;wRandomLetter()&amp;I3997&amp;":    UniConst = ChrW(" &amp; I3997 &amp;")"</f>
        <v>Case nl8601:    UniConst = ChrW(8601)</v>
      </c>
    </row>
    <row r="3998" spans="1:11">
      <c r="A3998" t="s">
        <v>4164</v>
      </c>
      <c r="B3998" t="str">
        <f t="shared" si="374"/>
        <v>2199 FE0F ; fully-qualified # ↙️ E0.6 down-left arrow</v>
      </c>
      <c r="C3998" t="str">
        <f t="shared" si="375"/>
        <v xml:space="preserve">2199 FE0F </v>
      </c>
      <c r="D3998">
        <f t="shared" si="376"/>
        <v>10</v>
      </c>
      <c r="E3998" t="str">
        <f t="shared" si="372"/>
        <v xml:space="preserve"> ↙️ E0.6 down-left arrow</v>
      </c>
      <c r="F3998" t="b">
        <f t="shared" si="377"/>
        <v>0</v>
      </c>
      <c r="G3998" t="str">
        <f t="shared" si="373"/>
        <v>2199</v>
      </c>
      <c r="I3998">
        <f>HEX2DEC(Table1[[#This Row],[utf8]])</f>
        <v>8601</v>
      </c>
      <c r="J3998" t="str">
        <f>_xlfn.UNICHAR(HEX2DEC(Table1[[#This Row],[utf8]]))</f>
        <v>↙</v>
      </c>
      <c r="K3998" s="3" t="str" cm="1">
        <f t="array" ref="K3998">"Case "&amp;wRandomLetter()&amp;wRandomLetter()&amp;I3998&amp;":    UniConst = ChrW(" &amp; I3998 &amp;")"</f>
        <v>Case HB8601:    UniConst = ChrW(8601)</v>
      </c>
    </row>
    <row r="3999" spans="1:11">
      <c r="A3999" t="s">
        <v>4175</v>
      </c>
      <c r="B3999" t="str">
        <f t="shared" si="374"/>
        <v>21A9 ; unqualified # ↩ E0.6 right arrow curving left</v>
      </c>
      <c r="C3999" t="str">
        <f t="shared" si="375"/>
        <v xml:space="preserve">21A9 </v>
      </c>
      <c r="D3999">
        <f t="shared" si="376"/>
        <v>5</v>
      </c>
      <c r="E3999" t="str">
        <f t="shared" si="372"/>
        <v xml:space="preserve"> ↩ E0.6 right arrow curving left</v>
      </c>
      <c r="F3999" t="b">
        <f t="shared" si="377"/>
        <v>0</v>
      </c>
      <c r="G3999" t="str">
        <f t="shared" si="373"/>
        <v>21A9</v>
      </c>
      <c r="H3999" t="b">
        <v>1</v>
      </c>
      <c r="I3999">
        <f>HEX2DEC(Table1[[#This Row],[utf8]])</f>
        <v>8617</v>
      </c>
      <c r="J3999" t="str">
        <f>_xlfn.UNICHAR(HEX2DEC(Table1[[#This Row],[utf8]]))</f>
        <v>↩</v>
      </c>
      <c r="K3999" s="3" t="str" cm="1">
        <f t="array" ref="K3999">"Case "&amp;wRandomLetter()&amp;wRandomLetter()&amp;I3999&amp;":    UniConst = ChrW(" &amp; I3999 &amp;")"</f>
        <v>Case ey8617:    UniConst = ChrW(8617)</v>
      </c>
    </row>
    <row r="4000" spans="1:11">
      <c r="A4000" t="s">
        <v>4174</v>
      </c>
      <c r="B4000" t="str">
        <f t="shared" si="374"/>
        <v>21A9 FE0F ; fully-qualified # ↩️ E0.6 right arrow curving left</v>
      </c>
      <c r="C4000" t="str">
        <f t="shared" si="375"/>
        <v xml:space="preserve">21A9 FE0F </v>
      </c>
      <c r="D4000">
        <f t="shared" si="376"/>
        <v>10</v>
      </c>
      <c r="E4000" t="str">
        <f t="shared" si="372"/>
        <v xml:space="preserve"> ↩️ E0.6 right arrow curving left</v>
      </c>
      <c r="F4000" t="b">
        <f t="shared" si="377"/>
        <v>0</v>
      </c>
      <c r="G4000" t="str">
        <f t="shared" si="373"/>
        <v>21A9</v>
      </c>
      <c r="I4000">
        <f>HEX2DEC(Table1[[#This Row],[utf8]])</f>
        <v>8617</v>
      </c>
      <c r="J4000" t="str">
        <f>_xlfn.UNICHAR(HEX2DEC(Table1[[#This Row],[utf8]]))</f>
        <v>↩</v>
      </c>
      <c r="K4000" s="3" t="str" cm="1">
        <f t="array" ref="K4000">"Case "&amp;wRandomLetter()&amp;wRandomLetter()&amp;I4000&amp;":    UniConst = ChrW(" &amp; I4000 &amp;")"</f>
        <v>Case jh8617:    UniConst = ChrW(8617)</v>
      </c>
    </row>
    <row r="4001" spans="1:11">
      <c r="A4001" t="s">
        <v>4177</v>
      </c>
      <c r="B4001" t="str">
        <f t="shared" si="374"/>
        <v>21AA ; unqualified # ↪ E0.6 left arrow curving right</v>
      </c>
      <c r="C4001" t="str">
        <f t="shared" si="375"/>
        <v xml:space="preserve">21AA </v>
      </c>
      <c r="D4001">
        <f t="shared" si="376"/>
        <v>5</v>
      </c>
      <c r="E4001" t="str">
        <f t="shared" si="372"/>
        <v xml:space="preserve"> ↪ E0.6 left arrow curving right</v>
      </c>
      <c r="F4001" t="b">
        <f t="shared" si="377"/>
        <v>0</v>
      </c>
      <c r="G4001" t="str">
        <f t="shared" si="373"/>
        <v>21AA</v>
      </c>
      <c r="H4001" t="b">
        <v>1</v>
      </c>
      <c r="I4001">
        <f>HEX2DEC(Table1[[#This Row],[utf8]])</f>
        <v>8618</v>
      </c>
      <c r="J4001" t="str">
        <f>_xlfn.UNICHAR(HEX2DEC(Table1[[#This Row],[utf8]]))</f>
        <v>↪</v>
      </c>
      <c r="K4001" s="3" t="str" cm="1">
        <f t="array" ref="K4001">"Case "&amp;wRandomLetter()&amp;wRandomLetter()&amp;I4001&amp;":    UniConst = ChrW(" &amp; I4001 &amp;")"</f>
        <v>Case mO8618:    UniConst = ChrW(8618)</v>
      </c>
    </row>
    <row r="4002" spans="1:11">
      <c r="A4002" t="s">
        <v>4176</v>
      </c>
      <c r="B4002" t="str">
        <f t="shared" si="374"/>
        <v>21AA FE0F ; fully-qualified # ↪️ E0.6 left arrow curving right</v>
      </c>
      <c r="C4002" t="str">
        <f t="shared" si="375"/>
        <v xml:space="preserve">21AA FE0F </v>
      </c>
      <c r="D4002">
        <f t="shared" si="376"/>
        <v>10</v>
      </c>
      <c r="E4002" t="str">
        <f t="shared" si="372"/>
        <v xml:space="preserve"> ↪️ E0.6 left arrow curving right</v>
      </c>
      <c r="F4002" t="b">
        <f t="shared" si="377"/>
        <v>0</v>
      </c>
      <c r="G4002" t="str">
        <f t="shared" si="373"/>
        <v>21AA</v>
      </c>
      <c r="I4002">
        <f>HEX2DEC(Table1[[#This Row],[utf8]])</f>
        <v>8618</v>
      </c>
      <c r="J4002" t="str">
        <f>_xlfn.UNICHAR(HEX2DEC(Table1[[#This Row],[utf8]]))</f>
        <v>↪</v>
      </c>
      <c r="K4002" s="3" t="str" cm="1">
        <f t="array" ref="K4002">"Case "&amp;wRandomLetter()&amp;wRandomLetter()&amp;I4002&amp;":    UniConst = ChrW(" &amp; I4002 &amp;")"</f>
        <v>Case hM8618:    UniConst = ChrW(8618)</v>
      </c>
    </row>
    <row r="4003" spans="1:11">
      <c r="A4003" t="s">
        <v>3598</v>
      </c>
      <c r="B4003" t="str">
        <f t="shared" si="374"/>
        <v>231A ; fully-qualified # ⌚ E0.6 watch</v>
      </c>
      <c r="C4003" t="str">
        <f t="shared" si="375"/>
        <v xml:space="preserve">231A </v>
      </c>
      <c r="D4003">
        <f t="shared" si="376"/>
        <v>5</v>
      </c>
      <c r="E4003" t="str">
        <f t="shared" si="372"/>
        <v xml:space="preserve"> ⌚ E0.6 watch</v>
      </c>
      <c r="F4003" t="b">
        <f t="shared" si="377"/>
        <v>0</v>
      </c>
      <c r="G4003" t="str">
        <f t="shared" si="373"/>
        <v>231A</v>
      </c>
      <c r="H4003" t="b">
        <v>1</v>
      </c>
      <c r="I4003">
        <f>HEX2DEC(Table1[[#This Row],[utf8]])</f>
        <v>8986</v>
      </c>
      <c r="J4003" t="str">
        <f>_xlfn.UNICHAR(HEX2DEC(Table1[[#This Row],[utf8]]))</f>
        <v>⌚</v>
      </c>
      <c r="K4003" s="3" t="str" cm="1">
        <f t="array" ref="K4003">"Case "&amp;wRandomLetter()&amp;wRandomLetter()&amp;I4003&amp;":    UniConst = ChrW(" &amp; I4003 &amp;")"</f>
        <v>Case aM8986:    UniConst = ChrW(8986)</v>
      </c>
    </row>
    <row r="4004" spans="1:11">
      <c r="A4004" t="s">
        <v>3596</v>
      </c>
      <c r="B4004" t="str">
        <f t="shared" si="374"/>
        <v>231B ; fully-qualified # ⌛ E0.6 hourglass done</v>
      </c>
      <c r="C4004" t="str">
        <f t="shared" si="375"/>
        <v xml:space="preserve">231B </v>
      </c>
      <c r="D4004">
        <f t="shared" si="376"/>
        <v>5</v>
      </c>
      <c r="E4004" t="str">
        <f t="shared" si="372"/>
        <v xml:space="preserve"> ⌛ E0.6 hourglass done</v>
      </c>
      <c r="F4004" t="b">
        <f t="shared" si="377"/>
        <v>0</v>
      </c>
      <c r="G4004" t="str">
        <f t="shared" si="373"/>
        <v>231B</v>
      </c>
      <c r="H4004" t="b">
        <v>1</v>
      </c>
      <c r="I4004">
        <f>HEX2DEC(Table1[[#This Row],[utf8]])</f>
        <v>8987</v>
      </c>
      <c r="J4004" t="str">
        <f>_xlfn.UNICHAR(HEX2DEC(Table1[[#This Row],[utf8]]))</f>
        <v>⌛</v>
      </c>
      <c r="K4004" s="3" t="str" cm="1">
        <f t="array" ref="K4004">"Case "&amp;wRandomLetter()&amp;wRandomLetter()&amp;I4004&amp;":    UniConst = ChrW(" &amp; I4004 &amp;")"</f>
        <v>Case Op8987:    UniConst = ChrW(8987)</v>
      </c>
    </row>
    <row r="4005" spans="1:11">
      <c r="A4005" t="s">
        <v>3901</v>
      </c>
      <c r="B4005" t="str">
        <f t="shared" si="374"/>
        <v>2328 ; unqualified # ⌨ E1.0 keyboard</v>
      </c>
      <c r="C4005" t="str">
        <f t="shared" si="375"/>
        <v xml:space="preserve">2328 </v>
      </c>
      <c r="D4005">
        <f t="shared" si="376"/>
        <v>5</v>
      </c>
      <c r="E4005" t="str">
        <f t="shared" si="372"/>
        <v xml:space="preserve"> ⌨ E1.0 keyboard</v>
      </c>
      <c r="F4005" t="b">
        <f t="shared" si="377"/>
        <v>0</v>
      </c>
      <c r="G4005" t="str">
        <f t="shared" si="373"/>
        <v>2328</v>
      </c>
      <c r="H4005" t="b">
        <v>1</v>
      </c>
      <c r="I4005">
        <f>HEX2DEC(Table1[[#This Row],[utf8]])</f>
        <v>9000</v>
      </c>
      <c r="J4005" t="str">
        <f>_xlfn.UNICHAR(HEX2DEC(Table1[[#This Row],[utf8]]))</f>
        <v>⌨</v>
      </c>
      <c r="K4005" s="3" t="str" cm="1">
        <f t="array" ref="K4005">"Case "&amp;wRandomLetter()&amp;wRandomLetter()&amp;I4005&amp;":    UniConst = ChrW(" &amp; I4005 &amp;")"</f>
        <v>Case JT9000:    UniConst = ChrW(9000)</v>
      </c>
    </row>
    <row r="4006" spans="1:11">
      <c r="A4006" t="s">
        <v>3900</v>
      </c>
      <c r="B4006" t="str">
        <f t="shared" si="374"/>
        <v>2328 FE0F ; fully-qualified # ⌨️ E1.0 keyboard</v>
      </c>
      <c r="C4006" t="str">
        <f t="shared" si="375"/>
        <v xml:space="preserve">2328 FE0F </v>
      </c>
      <c r="D4006">
        <f t="shared" si="376"/>
        <v>10</v>
      </c>
      <c r="E4006" t="str">
        <f t="shared" si="372"/>
        <v xml:space="preserve"> ⌨️ E1.0 keyboard</v>
      </c>
      <c r="F4006" t="b">
        <f t="shared" si="377"/>
        <v>0</v>
      </c>
      <c r="G4006" t="str">
        <f t="shared" si="373"/>
        <v>2328</v>
      </c>
      <c r="I4006">
        <f>HEX2DEC(Table1[[#This Row],[utf8]])</f>
        <v>9000</v>
      </c>
      <c r="J4006" t="str">
        <f>_xlfn.UNICHAR(HEX2DEC(Table1[[#This Row],[utf8]]))</f>
        <v>⌨</v>
      </c>
      <c r="K4006" s="3" t="str" cm="1">
        <f t="array" ref="K4006">"Case "&amp;wRandomLetter()&amp;wRandomLetter()&amp;I4006&amp;":    UniConst = ChrW(" &amp; I4006 &amp;")"</f>
        <v>Case zJ9000:    UniConst = ChrW(9000)</v>
      </c>
    </row>
    <row r="4007" spans="1:11">
      <c r="A4007" t="s">
        <v>4252</v>
      </c>
      <c r="B4007" t="str">
        <f t="shared" si="374"/>
        <v>23CF ; unqualified # ⏏ E1.0 eject button</v>
      </c>
      <c r="C4007" t="str">
        <f t="shared" si="375"/>
        <v xml:space="preserve">23CF </v>
      </c>
      <c r="D4007">
        <f t="shared" si="376"/>
        <v>5</v>
      </c>
      <c r="E4007" t="str">
        <f t="shared" si="372"/>
        <v xml:space="preserve"> ⏏ E1.0 eject button</v>
      </c>
      <c r="F4007" t="b">
        <f t="shared" si="377"/>
        <v>0</v>
      </c>
      <c r="G4007" t="str">
        <f t="shared" si="373"/>
        <v>23CF</v>
      </c>
      <c r="H4007" t="b">
        <v>1</v>
      </c>
      <c r="I4007">
        <f>HEX2DEC(Table1[[#This Row],[utf8]])</f>
        <v>9167</v>
      </c>
      <c r="J4007" t="str">
        <f>_xlfn.UNICHAR(HEX2DEC(Table1[[#This Row],[utf8]]))</f>
        <v>⏏</v>
      </c>
      <c r="K4007" s="3" t="str" cm="1">
        <f t="array" ref="K4007">"Case "&amp;wRandomLetter()&amp;wRandomLetter()&amp;I4007&amp;":    UniConst = ChrW(" &amp; I4007 &amp;")"</f>
        <v>Case PS9167:    UniConst = ChrW(9167)</v>
      </c>
    </row>
    <row r="4008" spans="1:11">
      <c r="A4008" t="s">
        <v>4251</v>
      </c>
      <c r="B4008" t="str">
        <f t="shared" si="374"/>
        <v>23CF FE0F ; fully-qualified # ⏏️ E1.0 eject button</v>
      </c>
      <c r="C4008" t="str">
        <f t="shared" si="375"/>
        <v xml:space="preserve">23CF FE0F </v>
      </c>
      <c r="D4008">
        <f t="shared" si="376"/>
        <v>10</v>
      </c>
      <c r="E4008" t="str">
        <f t="shared" si="372"/>
        <v xml:space="preserve"> ⏏️ E1.0 eject button</v>
      </c>
      <c r="F4008" t="b">
        <f t="shared" si="377"/>
        <v>0</v>
      </c>
      <c r="G4008" t="str">
        <f t="shared" si="373"/>
        <v>23CF</v>
      </c>
      <c r="I4008">
        <f>HEX2DEC(Table1[[#This Row],[utf8]])</f>
        <v>9167</v>
      </c>
      <c r="J4008" t="str">
        <f>_xlfn.UNICHAR(HEX2DEC(Table1[[#This Row],[utf8]]))</f>
        <v>⏏</v>
      </c>
      <c r="K4008" s="3" t="str" cm="1">
        <f t="array" ref="K4008">"Case "&amp;wRandomLetter()&amp;wRandomLetter()&amp;I4008&amp;":    UniConst = ChrW(" &amp; I4008 &amp;")"</f>
        <v>Case Tq9167:    UniConst = ChrW(9167)</v>
      </c>
    </row>
    <row r="4009" spans="1:11">
      <c r="A4009" t="s">
        <v>4231</v>
      </c>
      <c r="B4009" t="str">
        <f t="shared" si="374"/>
        <v>23E9 ; fully-qualified # ⏩ E0.6 fast-forward button</v>
      </c>
      <c r="C4009" t="str">
        <f t="shared" si="375"/>
        <v xml:space="preserve">23E9 </v>
      </c>
      <c r="D4009">
        <f t="shared" si="376"/>
        <v>5</v>
      </c>
      <c r="E4009" t="str">
        <f t="shared" si="372"/>
        <v xml:space="preserve"> ⏩ E0.6 fast-forward button</v>
      </c>
      <c r="F4009" t="b">
        <f t="shared" si="377"/>
        <v>0</v>
      </c>
      <c r="G4009" t="str">
        <f t="shared" si="373"/>
        <v>23E9</v>
      </c>
      <c r="H4009" t="b">
        <v>1</v>
      </c>
      <c r="I4009">
        <f>HEX2DEC(Table1[[#This Row],[utf8]])</f>
        <v>9193</v>
      </c>
      <c r="J4009" t="str">
        <f>_xlfn.UNICHAR(HEX2DEC(Table1[[#This Row],[utf8]]))</f>
        <v>⏩</v>
      </c>
      <c r="K4009" s="3" t="str" cm="1">
        <f t="array" ref="K4009">"Case "&amp;wRandomLetter()&amp;wRandomLetter()&amp;I4009&amp;":    UniConst = ChrW(" &amp; I4009 &amp;")"</f>
        <v>Case uu9193:    UniConst = ChrW(9193)</v>
      </c>
    </row>
    <row r="4010" spans="1:11">
      <c r="A4010" t="s">
        <v>4238</v>
      </c>
      <c r="B4010" t="str">
        <f t="shared" si="374"/>
        <v>23EA ; fully-qualified # ⏪ E0.6 fast reverse button</v>
      </c>
      <c r="C4010" t="str">
        <f t="shared" si="375"/>
        <v xml:space="preserve">23EA </v>
      </c>
      <c r="D4010">
        <f t="shared" si="376"/>
        <v>5</v>
      </c>
      <c r="E4010" t="str">
        <f t="shared" si="372"/>
        <v xml:space="preserve"> ⏪ E0.6 fast reverse button</v>
      </c>
      <c r="F4010" t="b">
        <f t="shared" si="377"/>
        <v>0</v>
      </c>
      <c r="G4010" t="str">
        <f t="shared" si="373"/>
        <v>23EA</v>
      </c>
      <c r="I4010">
        <f>HEX2DEC(Table1[[#This Row],[utf8]])</f>
        <v>9194</v>
      </c>
      <c r="J4010" t="str">
        <f>_xlfn.UNICHAR(HEX2DEC(Table1[[#This Row],[utf8]]))</f>
        <v>⏪</v>
      </c>
      <c r="K4010" s="3" t="str" cm="1">
        <f t="array" ref="K4010">"Case "&amp;wRandomLetter()&amp;wRandomLetter()&amp;I4010&amp;":    UniConst = ChrW(" &amp; I4010 &amp;")"</f>
        <v>Case JU9194:    UniConst = ChrW(9194)</v>
      </c>
    </row>
    <row r="4011" spans="1:11">
      <c r="A4011" t="s">
        <v>4242</v>
      </c>
      <c r="B4011" t="str">
        <f t="shared" si="374"/>
        <v>23EB ; fully-qualified # ⏫ E0.6 fast up button</v>
      </c>
      <c r="C4011" t="str">
        <f t="shared" si="375"/>
        <v xml:space="preserve">23EB </v>
      </c>
      <c r="D4011">
        <f t="shared" si="376"/>
        <v>5</v>
      </c>
      <c r="E4011" t="str">
        <f t="shared" si="372"/>
        <v xml:space="preserve"> ⏫ E0.6 fast up button</v>
      </c>
      <c r="F4011" t="b">
        <f t="shared" si="377"/>
        <v>0</v>
      </c>
      <c r="G4011" t="str">
        <f t="shared" si="373"/>
        <v>23EB</v>
      </c>
      <c r="I4011">
        <f>HEX2DEC(Table1[[#This Row],[utf8]])</f>
        <v>9195</v>
      </c>
      <c r="J4011" t="str">
        <f>_xlfn.UNICHAR(HEX2DEC(Table1[[#This Row],[utf8]]))</f>
        <v>⏫</v>
      </c>
      <c r="K4011" s="3" t="str" cm="1">
        <f t="array" ref="K4011">"Case "&amp;wRandomLetter()&amp;wRandomLetter()&amp;I4011&amp;":    UniConst = ChrW(" &amp; I4011 &amp;")"</f>
        <v>Case AF9195:    UniConst = ChrW(9195)</v>
      </c>
    </row>
    <row r="4012" spans="1:11">
      <c r="A4012" t="s">
        <v>4244</v>
      </c>
      <c r="B4012" t="str">
        <f t="shared" si="374"/>
        <v>23EC ; fully-qualified # ⏬ E0.6 fast down button</v>
      </c>
      <c r="C4012" t="str">
        <f t="shared" si="375"/>
        <v xml:space="preserve">23EC </v>
      </c>
      <c r="D4012">
        <f t="shared" si="376"/>
        <v>5</v>
      </c>
      <c r="E4012" t="str">
        <f t="shared" si="372"/>
        <v xml:space="preserve"> ⏬ E0.6 fast down button</v>
      </c>
      <c r="F4012" t="b">
        <f t="shared" si="377"/>
        <v>0</v>
      </c>
      <c r="G4012" t="str">
        <f t="shared" si="373"/>
        <v>23EC</v>
      </c>
      <c r="I4012">
        <f>HEX2DEC(Table1[[#This Row],[utf8]])</f>
        <v>9196</v>
      </c>
      <c r="J4012" t="str">
        <f>_xlfn.UNICHAR(HEX2DEC(Table1[[#This Row],[utf8]]))</f>
        <v>⏬</v>
      </c>
      <c r="K4012" s="3" t="str" cm="1">
        <f t="array" ref="K4012">"Case "&amp;wRandomLetter()&amp;wRandomLetter()&amp;I4012&amp;":    UniConst = ChrW(" &amp; I4012 &amp;")"</f>
        <v>Case rR9196:    UniConst = ChrW(9196)</v>
      </c>
    </row>
    <row r="4013" spans="1:11">
      <c r="A4013" t="s">
        <v>4233</v>
      </c>
      <c r="B4013" t="str">
        <f t="shared" si="374"/>
        <v>23ED ; unqualified # ⏭ E0.7 next track button</v>
      </c>
      <c r="C4013" t="str">
        <f t="shared" si="375"/>
        <v xml:space="preserve">23ED </v>
      </c>
      <c r="D4013">
        <f t="shared" si="376"/>
        <v>5</v>
      </c>
      <c r="E4013" t="str">
        <f t="shared" si="372"/>
        <v xml:space="preserve"> ⏭ E0.7 next track button</v>
      </c>
      <c r="F4013" t="b">
        <f t="shared" si="377"/>
        <v>0</v>
      </c>
      <c r="G4013" t="str">
        <f t="shared" si="373"/>
        <v>23ED</v>
      </c>
      <c r="I4013">
        <f>HEX2DEC(Table1[[#This Row],[utf8]])</f>
        <v>9197</v>
      </c>
      <c r="J4013" t="str">
        <f>_xlfn.UNICHAR(HEX2DEC(Table1[[#This Row],[utf8]]))</f>
        <v>⏭</v>
      </c>
      <c r="K4013" s="3" t="str" cm="1">
        <f t="array" ref="K4013">"Case "&amp;wRandomLetter()&amp;wRandomLetter()&amp;I4013&amp;":    UniConst = ChrW(" &amp; I4013 &amp;")"</f>
        <v>Case Fb9197:    UniConst = ChrW(9197)</v>
      </c>
    </row>
    <row r="4014" spans="1:11">
      <c r="A4014" t="s">
        <v>4232</v>
      </c>
      <c r="B4014" t="str">
        <f t="shared" si="374"/>
        <v>23ED FE0F ; fully-qualified # ⏭️ E0.7 next track button</v>
      </c>
      <c r="C4014" t="str">
        <f t="shared" si="375"/>
        <v xml:space="preserve">23ED FE0F </v>
      </c>
      <c r="D4014">
        <f t="shared" si="376"/>
        <v>10</v>
      </c>
      <c r="E4014" t="str">
        <f t="shared" si="372"/>
        <v xml:space="preserve"> ⏭️ E0.7 next track button</v>
      </c>
      <c r="F4014" t="b">
        <f t="shared" si="377"/>
        <v>0</v>
      </c>
      <c r="G4014" t="str">
        <f t="shared" si="373"/>
        <v>23ED</v>
      </c>
      <c r="I4014">
        <f>HEX2DEC(Table1[[#This Row],[utf8]])</f>
        <v>9197</v>
      </c>
      <c r="J4014" t="str">
        <f>_xlfn.UNICHAR(HEX2DEC(Table1[[#This Row],[utf8]]))</f>
        <v>⏭</v>
      </c>
      <c r="K4014" s="3" t="str" cm="1">
        <f t="array" ref="K4014">"Case "&amp;wRandomLetter()&amp;wRandomLetter()&amp;I4014&amp;":    UniConst = ChrW(" &amp; I4014 &amp;")"</f>
        <v>Case iO9197:    UniConst = ChrW(9197)</v>
      </c>
    </row>
    <row r="4015" spans="1:11">
      <c r="A4015" t="s">
        <v>4240</v>
      </c>
      <c r="B4015" t="str">
        <f t="shared" si="374"/>
        <v>23EE ; unqualified # ⏮ E0.7 last track button</v>
      </c>
      <c r="C4015" t="str">
        <f t="shared" si="375"/>
        <v xml:space="preserve">23EE </v>
      </c>
      <c r="D4015">
        <f t="shared" si="376"/>
        <v>5</v>
      </c>
      <c r="E4015" t="str">
        <f t="shared" si="372"/>
        <v xml:space="preserve"> ⏮ E0.7 last track button</v>
      </c>
      <c r="F4015" t="b">
        <f t="shared" si="377"/>
        <v>0</v>
      </c>
      <c r="G4015" t="str">
        <f t="shared" si="373"/>
        <v>23EE</v>
      </c>
      <c r="I4015">
        <f>HEX2DEC(Table1[[#This Row],[utf8]])</f>
        <v>9198</v>
      </c>
      <c r="J4015" t="str">
        <f>_xlfn.UNICHAR(HEX2DEC(Table1[[#This Row],[utf8]]))</f>
        <v>⏮</v>
      </c>
      <c r="K4015" s="3" t="str" cm="1">
        <f t="array" ref="K4015">"Case "&amp;wRandomLetter()&amp;wRandomLetter()&amp;I4015&amp;":    UniConst = ChrW(" &amp; I4015 &amp;")"</f>
        <v>Case cF9198:    UniConst = ChrW(9198)</v>
      </c>
    </row>
    <row r="4016" spans="1:11">
      <c r="A4016" t="s">
        <v>4239</v>
      </c>
      <c r="B4016" t="str">
        <f t="shared" si="374"/>
        <v>23EE FE0F ; fully-qualified # ⏮️ E0.7 last track button</v>
      </c>
      <c r="C4016" t="str">
        <f t="shared" si="375"/>
        <v xml:space="preserve">23EE FE0F </v>
      </c>
      <c r="D4016">
        <f t="shared" si="376"/>
        <v>10</v>
      </c>
      <c r="E4016" t="str">
        <f t="shared" si="372"/>
        <v xml:space="preserve"> ⏮️ E0.7 last track button</v>
      </c>
      <c r="F4016" t="b">
        <f t="shared" si="377"/>
        <v>0</v>
      </c>
      <c r="G4016" t="str">
        <f t="shared" si="373"/>
        <v>23EE</v>
      </c>
      <c r="I4016">
        <f>HEX2DEC(Table1[[#This Row],[utf8]])</f>
        <v>9198</v>
      </c>
      <c r="J4016" t="str">
        <f>_xlfn.UNICHAR(HEX2DEC(Table1[[#This Row],[utf8]]))</f>
        <v>⏮</v>
      </c>
      <c r="K4016" s="3" t="str" cm="1">
        <f t="array" ref="K4016">"Case "&amp;wRandomLetter()&amp;wRandomLetter()&amp;I4016&amp;":    UniConst = ChrW(" &amp; I4016 &amp;")"</f>
        <v>Case Yo9198:    UniConst = ChrW(9198)</v>
      </c>
    </row>
    <row r="4017" spans="1:11">
      <c r="A4017" t="s">
        <v>4235</v>
      </c>
      <c r="B4017" t="str">
        <f t="shared" si="374"/>
        <v>23EF ; unqualified # ⏯ E1.0 play or pause button</v>
      </c>
      <c r="C4017" t="str">
        <f t="shared" si="375"/>
        <v xml:space="preserve">23EF </v>
      </c>
      <c r="D4017">
        <f t="shared" si="376"/>
        <v>5</v>
      </c>
      <c r="E4017" t="str">
        <f t="shared" si="372"/>
        <v xml:space="preserve"> ⏯ E1.0 play or pause button</v>
      </c>
      <c r="F4017" t="b">
        <f t="shared" si="377"/>
        <v>0</v>
      </c>
      <c r="G4017" t="str">
        <f t="shared" si="373"/>
        <v>23EF</v>
      </c>
      <c r="I4017">
        <f>HEX2DEC(Table1[[#This Row],[utf8]])</f>
        <v>9199</v>
      </c>
      <c r="J4017" t="str">
        <f>_xlfn.UNICHAR(HEX2DEC(Table1[[#This Row],[utf8]]))</f>
        <v>⏯</v>
      </c>
      <c r="K4017" s="3" t="str" cm="1">
        <f t="array" ref="K4017">"Case "&amp;wRandomLetter()&amp;wRandomLetter()&amp;I4017&amp;":    UniConst = ChrW(" &amp; I4017 &amp;")"</f>
        <v>Case GN9199:    UniConst = ChrW(9199)</v>
      </c>
    </row>
    <row r="4018" spans="1:11">
      <c r="A4018" t="s">
        <v>4234</v>
      </c>
      <c r="B4018" t="str">
        <f t="shared" si="374"/>
        <v>23EF FE0F ; fully-qualified # ⏯️ E1.0 play or pause button</v>
      </c>
      <c r="C4018" t="str">
        <f t="shared" si="375"/>
        <v xml:space="preserve">23EF FE0F </v>
      </c>
      <c r="D4018">
        <f t="shared" si="376"/>
        <v>10</v>
      </c>
      <c r="E4018" t="str">
        <f t="shared" si="372"/>
        <v xml:space="preserve"> ⏯️ E1.0 play or pause button</v>
      </c>
      <c r="F4018" t="b">
        <f t="shared" si="377"/>
        <v>0</v>
      </c>
      <c r="G4018" t="str">
        <f t="shared" si="373"/>
        <v>23EF</v>
      </c>
      <c r="I4018">
        <f>HEX2DEC(Table1[[#This Row],[utf8]])</f>
        <v>9199</v>
      </c>
      <c r="J4018" t="str">
        <f>_xlfn.UNICHAR(HEX2DEC(Table1[[#This Row],[utf8]]))</f>
        <v>⏯</v>
      </c>
      <c r="K4018" s="3" t="str" cm="1">
        <f t="array" ref="K4018">"Case "&amp;wRandomLetter()&amp;wRandomLetter()&amp;I4018&amp;":    UniConst = ChrW(" &amp; I4018 &amp;")"</f>
        <v>Case tr9199:    UniConst = ChrW(9199)</v>
      </c>
    </row>
    <row r="4019" spans="1:11">
      <c r="A4019" t="s">
        <v>3599</v>
      </c>
      <c r="B4019" t="str">
        <f t="shared" si="374"/>
        <v>23F0 ; fully-qualified # ⏰ E0.6 alarm clock</v>
      </c>
      <c r="C4019" t="str">
        <f t="shared" si="375"/>
        <v xml:space="preserve">23F0 </v>
      </c>
      <c r="D4019">
        <f t="shared" si="376"/>
        <v>5</v>
      </c>
      <c r="E4019" t="str">
        <f t="shared" si="372"/>
        <v xml:space="preserve"> ⏰ E0.6 alarm clock</v>
      </c>
      <c r="F4019" t="b">
        <f t="shared" si="377"/>
        <v>0</v>
      </c>
      <c r="G4019" t="str">
        <f t="shared" si="373"/>
        <v>23F0</v>
      </c>
      <c r="H4019" t="b">
        <v>1</v>
      </c>
      <c r="I4019">
        <f>HEX2DEC(Table1[[#This Row],[utf8]])</f>
        <v>9200</v>
      </c>
      <c r="J4019" t="str">
        <f>_xlfn.UNICHAR(HEX2DEC(Table1[[#This Row],[utf8]]))</f>
        <v>⏰</v>
      </c>
      <c r="K4019" s="3" t="str" cm="1">
        <f t="array" ref="K4019">"Case "&amp;wRandomLetter()&amp;wRandomLetter()&amp;I4019&amp;":    UniConst = ChrW(" &amp; I4019 &amp;")"</f>
        <v>Case PC9200:    UniConst = ChrW(9200)</v>
      </c>
    </row>
    <row r="4020" spans="1:11">
      <c r="A4020" t="s">
        <v>3601</v>
      </c>
      <c r="B4020" t="str">
        <f t="shared" si="374"/>
        <v>23F1 ; unqualified # ⏱ E1.0 stopwatch</v>
      </c>
      <c r="C4020" t="str">
        <f t="shared" si="375"/>
        <v xml:space="preserve">23F1 </v>
      </c>
      <c r="D4020">
        <f t="shared" si="376"/>
        <v>5</v>
      </c>
      <c r="E4020" t="str">
        <f t="shared" si="372"/>
        <v xml:space="preserve"> ⏱ E1.0 stopwatch</v>
      </c>
      <c r="F4020" t="b">
        <f t="shared" si="377"/>
        <v>0</v>
      </c>
      <c r="G4020" t="str">
        <f t="shared" si="373"/>
        <v>23F1</v>
      </c>
      <c r="H4020" t="b">
        <v>1</v>
      </c>
      <c r="I4020">
        <f>HEX2DEC(Table1[[#This Row],[utf8]])</f>
        <v>9201</v>
      </c>
      <c r="J4020" t="str">
        <f>_xlfn.UNICHAR(HEX2DEC(Table1[[#This Row],[utf8]]))</f>
        <v>⏱</v>
      </c>
      <c r="K4020" s="3" t="str" cm="1">
        <f t="array" ref="K4020">"Case "&amp;wRandomLetter()&amp;wRandomLetter()&amp;I4020&amp;":    UniConst = ChrW(" &amp; I4020 &amp;")"</f>
        <v>Case FQ9201:    UniConst = ChrW(9201)</v>
      </c>
    </row>
    <row r="4021" spans="1:11">
      <c r="A4021" t="s">
        <v>3600</v>
      </c>
      <c r="B4021" t="str">
        <f t="shared" si="374"/>
        <v>23F1 FE0F ; fully-qualified # ⏱️ E1.0 stopwatch</v>
      </c>
      <c r="C4021" t="str">
        <f t="shared" si="375"/>
        <v xml:space="preserve">23F1 FE0F </v>
      </c>
      <c r="D4021">
        <f t="shared" si="376"/>
        <v>10</v>
      </c>
      <c r="E4021" t="str">
        <f t="shared" si="372"/>
        <v xml:space="preserve"> ⏱️ E1.0 stopwatch</v>
      </c>
      <c r="F4021" t="b">
        <f t="shared" si="377"/>
        <v>0</v>
      </c>
      <c r="G4021" t="str">
        <f t="shared" si="373"/>
        <v>23F1</v>
      </c>
      <c r="I4021">
        <f>HEX2DEC(Table1[[#This Row],[utf8]])</f>
        <v>9201</v>
      </c>
      <c r="J4021" t="str">
        <f>_xlfn.UNICHAR(HEX2DEC(Table1[[#This Row],[utf8]]))</f>
        <v>⏱</v>
      </c>
      <c r="K4021" s="3" t="str" cm="1">
        <f t="array" ref="K4021">"Case "&amp;wRandomLetter()&amp;wRandomLetter()&amp;I4021&amp;":    UniConst = ChrW(" &amp; I4021 &amp;")"</f>
        <v>Case vU9201:    UniConst = ChrW(9201)</v>
      </c>
    </row>
    <row r="4022" spans="1:11">
      <c r="A4022" t="s">
        <v>3603</v>
      </c>
      <c r="B4022" t="str">
        <f t="shared" si="374"/>
        <v>23F2 ; unqualified # ⏲ E1.0 timer clock</v>
      </c>
      <c r="C4022" t="str">
        <f t="shared" si="375"/>
        <v xml:space="preserve">23F2 </v>
      </c>
      <c r="D4022">
        <f t="shared" si="376"/>
        <v>5</v>
      </c>
      <c r="E4022" t="str">
        <f t="shared" si="372"/>
        <v xml:space="preserve"> ⏲ E1.0 timer clock</v>
      </c>
      <c r="F4022" t="b">
        <f t="shared" si="377"/>
        <v>0</v>
      </c>
      <c r="G4022" t="str">
        <f t="shared" si="373"/>
        <v>23F2</v>
      </c>
      <c r="H4022" t="b">
        <v>1</v>
      </c>
      <c r="I4022">
        <f>HEX2DEC(Table1[[#This Row],[utf8]])</f>
        <v>9202</v>
      </c>
      <c r="J4022" t="str">
        <f>_xlfn.UNICHAR(HEX2DEC(Table1[[#This Row],[utf8]]))</f>
        <v>⏲</v>
      </c>
      <c r="K4022" s="3" t="str" cm="1">
        <f t="array" ref="K4022">"Case "&amp;wRandomLetter()&amp;wRandomLetter()&amp;I4022&amp;":    UniConst = ChrW(" &amp; I4022 &amp;")"</f>
        <v>Case uV9202:    UniConst = ChrW(9202)</v>
      </c>
    </row>
    <row r="4023" spans="1:11">
      <c r="A4023" t="s">
        <v>3602</v>
      </c>
      <c r="B4023" t="str">
        <f t="shared" si="374"/>
        <v>23F2 FE0F ; fully-qualified # ⏲️ E1.0 timer clock</v>
      </c>
      <c r="C4023" t="str">
        <f t="shared" si="375"/>
        <v xml:space="preserve">23F2 FE0F </v>
      </c>
      <c r="D4023">
        <f t="shared" si="376"/>
        <v>10</v>
      </c>
      <c r="E4023" t="str">
        <f t="shared" si="372"/>
        <v xml:space="preserve"> ⏲️ E1.0 timer clock</v>
      </c>
      <c r="F4023" t="b">
        <f t="shared" si="377"/>
        <v>0</v>
      </c>
      <c r="G4023" t="str">
        <f t="shared" si="373"/>
        <v>23F2</v>
      </c>
      <c r="I4023">
        <f>HEX2DEC(Table1[[#This Row],[utf8]])</f>
        <v>9202</v>
      </c>
      <c r="J4023" t="str">
        <f>_xlfn.UNICHAR(HEX2DEC(Table1[[#This Row],[utf8]]))</f>
        <v>⏲</v>
      </c>
      <c r="K4023" s="3" t="str" cm="1">
        <f t="array" ref="K4023">"Case "&amp;wRandomLetter()&amp;wRandomLetter()&amp;I4023&amp;":    UniConst = ChrW(" &amp; I4023 &amp;")"</f>
        <v>Case tw9202:    UniConst = ChrW(9202)</v>
      </c>
    </row>
    <row r="4024" spans="1:11">
      <c r="A4024" t="s">
        <v>3597</v>
      </c>
      <c r="B4024" t="str">
        <f t="shared" si="374"/>
        <v>23F3 ; fully-qualified # ⏳ E0.6 hourglass not done</v>
      </c>
      <c r="C4024" t="str">
        <f t="shared" si="375"/>
        <v xml:space="preserve">23F3 </v>
      </c>
      <c r="D4024">
        <f t="shared" si="376"/>
        <v>5</v>
      </c>
      <c r="E4024" t="str">
        <f t="shared" si="372"/>
        <v xml:space="preserve"> ⏳ E0.6 hourglass not done</v>
      </c>
      <c r="F4024" t="b">
        <f t="shared" si="377"/>
        <v>0</v>
      </c>
      <c r="G4024" t="str">
        <f t="shared" si="373"/>
        <v>23F3</v>
      </c>
      <c r="H4024" t="b">
        <v>1</v>
      </c>
      <c r="I4024">
        <f>HEX2DEC(Table1[[#This Row],[utf8]])</f>
        <v>9203</v>
      </c>
      <c r="J4024" t="str">
        <f>_xlfn.UNICHAR(HEX2DEC(Table1[[#This Row],[utf8]]))</f>
        <v>⏳</v>
      </c>
      <c r="K4024" s="3" t="str" cm="1">
        <f t="array" ref="K4024">"Case "&amp;wRandomLetter()&amp;wRandomLetter()&amp;I4024&amp;":    UniConst = ChrW(" &amp; I4024 &amp;")"</f>
        <v>Case vr9203:    UniConst = ChrW(9203)</v>
      </c>
    </row>
    <row r="4025" spans="1:11">
      <c r="A4025" t="s">
        <v>4246</v>
      </c>
      <c r="B4025" t="str">
        <f t="shared" si="374"/>
        <v>23F8 ; unqualified # ⏸ E0.7 pause button</v>
      </c>
      <c r="C4025" t="str">
        <f t="shared" si="375"/>
        <v xml:space="preserve">23F8 </v>
      </c>
      <c r="D4025">
        <f t="shared" si="376"/>
        <v>5</v>
      </c>
      <c r="E4025" t="str">
        <f t="shared" si="372"/>
        <v xml:space="preserve"> ⏸ E0.7 pause button</v>
      </c>
      <c r="F4025" t="b">
        <f t="shared" si="377"/>
        <v>0</v>
      </c>
      <c r="G4025" t="str">
        <f t="shared" si="373"/>
        <v>23F8</v>
      </c>
      <c r="I4025">
        <f>HEX2DEC(Table1[[#This Row],[utf8]])</f>
        <v>9208</v>
      </c>
      <c r="J4025" t="str">
        <f>_xlfn.UNICHAR(HEX2DEC(Table1[[#This Row],[utf8]]))</f>
        <v>⏸</v>
      </c>
      <c r="K4025" s="3" t="str" cm="1">
        <f t="array" ref="K4025">"Case "&amp;wRandomLetter()&amp;wRandomLetter()&amp;I4025&amp;":    UniConst = ChrW(" &amp; I4025 &amp;")"</f>
        <v>Case kH9208:    UniConst = ChrW(9208)</v>
      </c>
    </row>
    <row r="4026" spans="1:11">
      <c r="A4026" t="s">
        <v>4245</v>
      </c>
      <c r="B4026" t="str">
        <f t="shared" si="374"/>
        <v>23F8 FE0F ; fully-qualified # ⏸️ E0.7 pause button</v>
      </c>
      <c r="C4026" t="str">
        <f t="shared" si="375"/>
        <v xml:space="preserve">23F8 FE0F </v>
      </c>
      <c r="D4026">
        <f t="shared" si="376"/>
        <v>10</v>
      </c>
      <c r="E4026" t="str">
        <f t="shared" si="372"/>
        <v xml:space="preserve"> ⏸️ E0.7 pause button</v>
      </c>
      <c r="F4026" t="b">
        <f t="shared" si="377"/>
        <v>0</v>
      </c>
      <c r="G4026" t="str">
        <f t="shared" si="373"/>
        <v>23F8</v>
      </c>
      <c r="I4026">
        <f>HEX2DEC(Table1[[#This Row],[utf8]])</f>
        <v>9208</v>
      </c>
      <c r="J4026" t="str">
        <f>_xlfn.UNICHAR(HEX2DEC(Table1[[#This Row],[utf8]]))</f>
        <v>⏸</v>
      </c>
      <c r="K4026" s="3" t="str" cm="1">
        <f t="array" ref="K4026">"Case "&amp;wRandomLetter()&amp;wRandomLetter()&amp;I4026&amp;":    UniConst = ChrW(" &amp; I4026 &amp;")"</f>
        <v>Case Cv9208:    UniConst = ChrW(9208)</v>
      </c>
    </row>
    <row r="4027" spans="1:11">
      <c r="A4027" t="s">
        <v>4248</v>
      </c>
      <c r="B4027" t="str">
        <f t="shared" si="374"/>
        <v>23F9 ; unqualified # ⏹ E0.7 stop button</v>
      </c>
      <c r="C4027" t="str">
        <f t="shared" si="375"/>
        <v xml:space="preserve">23F9 </v>
      </c>
      <c r="D4027">
        <f t="shared" si="376"/>
        <v>5</v>
      </c>
      <c r="E4027" t="str">
        <f t="shared" si="372"/>
        <v xml:space="preserve"> ⏹ E0.7 stop button</v>
      </c>
      <c r="F4027" t="b">
        <f t="shared" si="377"/>
        <v>0</v>
      </c>
      <c r="G4027" t="str">
        <f t="shared" si="373"/>
        <v>23F9</v>
      </c>
      <c r="I4027">
        <f>HEX2DEC(Table1[[#This Row],[utf8]])</f>
        <v>9209</v>
      </c>
      <c r="J4027" t="str">
        <f>_xlfn.UNICHAR(HEX2DEC(Table1[[#This Row],[utf8]]))</f>
        <v>⏹</v>
      </c>
      <c r="K4027" s="3" t="str" cm="1">
        <f t="array" ref="K4027">"Case "&amp;wRandomLetter()&amp;wRandomLetter()&amp;I4027&amp;":    UniConst = ChrW(" &amp; I4027 &amp;")"</f>
        <v>Case CD9209:    UniConst = ChrW(9209)</v>
      </c>
    </row>
    <row r="4028" spans="1:11">
      <c r="A4028" t="s">
        <v>4247</v>
      </c>
      <c r="B4028" t="str">
        <f t="shared" si="374"/>
        <v>23F9 FE0F ; fully-qualified # ⏹️ E0.7 stop button</v>
      </c>
      <c r="C4028" t="str">
        <f t="shared" si="375"/>
        <v xml:space="preserve">23F9 FE0F </v>
      </c>
      <c r="D4028">
        <f t="shared" si="376"/>
        <v>10</v>
      </c>
      <c r="E4028" t="str">
        <f t="shared" si="372"/>
        <v xml:space="preserve"> ⏹️ E0.7 stop button</v>
      </c>
      <c r="F4028" t="b">
        <f t="shared" si="377"/>
        <v>0</v>
      </c>
      <c r="G4028" t="str">
        <f t="shared" si="373"/>
        <v>23F9</v>
      </c>
      <c r="I4028">
        <f>HEX2DEC(Table1[[#This Row],[utf8]])</f>
        <v>9209</v>
      </c>
      <c r="J4028" t="str">
        <f>_xlfn.UNICHAR(HEX2DEC(Table1[[#This Row],[utf8]]))</f>
        <v>⏹</v>
      </c>
      <c r="K4028" s="3" t="str" cm="1">
        <f t="array" ref="K4028">"Case "&amp;wRandomLetter()&amp;wRandomLetter()&amp;I4028&amp;":    UniConst = ChrW(" &amp; I4028 &amp;")"</f>
        <v>Case vD9209:    UniConst = ChrW(9209)</v>
      </c>
    </row>
    <row r="4029" spans="1:11">
      <c r="A4029" t="s">
        <v>4250</v>
      </c>
      <c r="B4029" t="str">
        <f t="shared" si="374"/>
        <v>23FA ; unqualified # ⏺ E0.7 record button</v>
      </c>
      <c r="C4029" t="str">
        <f t="shared" si="375"/>
        <v xml:space="preserve">23FA </v>
      </c>
      <c r="D4029">
        <f t="shared" si="376"/>
        <v>5</v>
      </c>
      <c r="E4029" t="str">
        <f t="shared" si="372"/>
        <v xml:space="preserve"> ⏺ E0.7 record button</v>
      </c>
      <c r="F4029" t="b">
        <f t="shared" si="377"/>
        <v>0</v>
      </c>
      <c r="G4029" t="str">
        <f t="shared" si="373"/>
        <v>23FA</v>
      </c>
      <c r="I4029">
        <f>HEX2DEC(Table1[[#This Row],[utf8]])</f>
        <v>9210</v>
      </c>
      <c r="J4029" t="str">
        <f>_xlfn.UNICHAR(HEX2DEC(Table1[[#This Row],[utf8]]))</f>
        <v>⏺</v>
      </c>
      <c r="K4029" s="3" t="str" cm="1">
        <f t="array" ref="K4029">"Case "&amp;wRandomLetter()&amp;wRandomLetter()&amp;I4029&amp;":    UniConst = ChrW(" &amp; I4029 &amp;")"</f>
        <v>Case Jw9210:    UniConst = ChrW(9210)</v>
      </c>
    </row>
    <row r="4030" spans="1:11">
      <c r="A4030" t="s">
        <v>4249</v>
      </c>
      <c r="B4030" t="str">
        <f t="shared" si="374"/>
        <v>23FA FE0F ; fully-qualified # ⏺️ E0.7 record button</v>
      </c>
      <c r="C4030" t="str">
        <f t="shared" si="375"/>
        <v xml:space="preserve">23FA FE0F </v>
      </c>
      <c r="D4030">
        <f t="shared" si="376"/>
        <v>10</v>
      </c>
      <c r="E4030" t="str">
        <f t="shared" si="372"/>
        <v xml:space="preserve"> ⏺️ E0.7 record button</v>
      </c>
      <c r="F4030" t="b">
        <f t="shared" si="377"/>
        <v>0</v>
      </c>
      <c r="G4030" t="str">
        <f t="shared" si="373"/>
        <v>23FA</v>
      </c>
      <c r="I4030">
        <f>HEX2DEC(Table1[[#This Row],[utf8]])</f>
        <v>9210</v>
      </c>
      <c r="J4030" t="str">
        <f>_xlfn.UNICHAR(HEX2DEC(Table1[[#This Row],[utf8]]))</f>
        <v>⏺</v>
      </c>
      <c r="K4030" s="3" t="str" cm="1">
        <f t="array" ref="K4030">"Case "&amp;wRandomLetter()&amp;wRandomLetter()&amp;I4030&amp;":    UniConst = ChrW(" &amp; I4030 &amp;")"</f>
        <v>Case yU9210:    UniConst = ChrW(9210)</v>
      </c>
    </row>
    <row r="4031" spans="1:11">
      <c r="A4031" t="s">
        <v>4366</v>
      </c>
      <c r="B4031" t="str">
        <f t="shared" si="374"/>
        <v>24C2 ; unqualified # Ⓜ E0.6 circled M</v>
      </c>
      <c r="C4031" t="str">
        <f t="shared" si="375"/>
        <v xml:space="preserve">24C2 </v>
      </c>
      <c r="D4031">
        <f t="shared" si="376"/>
        <v>5</v>
      </c>
      <c r="E4031" t="str">
        <f t="shared" si="372"/>
        <v xml:space="preserve"> Ⓜ E0.6 circled M</v>
      </c>
      <c r="F4031" t="b">
        <f t="shared" si="377"/>
        <v>0</v>
      </c>
      <c r="G4031" t="str">
        <f t="shared" si="373"/>
        <v>24C2</v>
      </c>
      <c r="I4031">
        <f>HEX2DEC(Table1[[#This Row],[utf8]])</f>
        <v>9410</v>
      </c>
      <c r="J4031" t="str">
        <f>_xlfn.UNICHAR(HEX2DEC(Table1[[#This Row],[utf8]]))</f>
        <v>Ⓜ</v>
      </c>
      <c r="K4031" s="3" t="str" cm="1">
        <f t="array" ref="K4031">"Case "&amp;wRandomLetter()&amp;wRandomLetter()&amp;I4031&amp;":    UniConst = ChrW(" &amp; I4031 &amp;")"</f>
        <v>Case FQ9410:    UniConst = ChrW(9410)</v>
      </c>
    </row>
    <row r="4032" spans="1:11">
      <c r="A4032" t="s">
        <v>4365</v>
      </c>
      <c r="B4032" t="str">
        <f t="shared" si="374"/>
        <v>24C2 FE0F ; fully-qualified # Ⓜ️ E0.6 circled M</v>
      </c>
      <c r="C4032" t="str">
        <f t="shared" si="375"/>
        <v xml:space="preserve">24C2 FE0F </v>
      </c>
      <c r="D4032">
        <f t="shared" si="376"/>
        <v>10</v>
      </c>
      <c r="E4032" t="str">
        <f t="shared" si="372"/>
        <v xml:space="preserve"> Ⓜ️ E0.6 circled M</v>
      </c>
      <c r="F4032" t="b">
        <f t="shared" si="377"/>
        <v>0</v>
      </c>
      <c r="G4032" t="str">
        <f t="shared" si="373"/>
        <v>24C2</v>
      </c>
      <c r="I4032">
        <f>HEX2DEC(Table1[[#This Row],[utf8]])</f>
        <v>9410</v>
      </c>
      <c r="J4032" t="str">
        <f>_xlfn.UNICHAR(HEX2DEC(Table1[[#This Row],[utf8]]))</f>
        <v>Ⓜ</v>
      </c>
      <c r="K4032" s="3" t="str" cm="1">
        <f t="array" ref="K4032">"Case "&amp;wRandomLetter()&amp;wRandomLetter()&amp;I4032&amp;":    UniConst = ChrW(" &amp; I4032 &amp;")"</f>
        <v>Case Mv9410:    UniConst = ChrW(9410)</v>
      </c>
    </row>
    <row r="4033" spans="1:11">
      <c r="A4033" t="s">
        <v>4424</v>
      </c>
      <c r="B4033" t="str">
        <f t="shared" si="374"/>
        <v>25AA ; unqualified # ▪ E0.6 black small square</v>
      </c>
      <c r="C4033" t="str">
        <f t="shared" si="375"/>
        <v xml:space="preserve">25AA </v>
      </c>
      <c r="D4033">
        <f t="shared" si="376"/>
        <v>5</v>
      </c>
      <c r="E4033" t="str">
        <f t="shared" si="372"/>
        <v xml:space="preserve"> ▪ E0.6 black small square</v>
      </c>
      <c r="F4033" t="b">
        <f t="shared" si="377"/>
        <v>0</v>
      </c>
      <c r="G4033" t="str">
        <f t="shared" si="373"/>
        <v>25AA</v>
      </c>
      <c r="I4033">
        <f>HEX2DEC(Table1[[#This Row],[utf8]])</f>
        <v>9642</v>
      </c>
      <c r="J4033" t="str">
        <f>_xlfn.UNICHAR(HEX2DEC(Table1[[#This Row],[utf8]]))</f>
        <v>▪</v>
      </c>
      <c r="K4033" s="3" t="str" cm="1">
        <f t="array" ref="K4033">"Case "&amp;wRandomLetter()&amp;wRandomLetter()&amp;I4033&amp;":    UniConst = ChrW(" &amp; I4033 &amp;")"</f>
        <v>Case Ss9642:    UniConst = ChrW(9642)</v>
      </c>
    </row>
    <row r="4034" spans="1:11">
      <c r="A4034" t="s">
        <v>4423</v>
      </c>
      <c r="B4034" t="str">
        <f t="shared" si="374"/>
        <v>25AA FE0F ; fully-qualified # ▪️ E0.6 black small square</v>
      </c>
      <c r="C4034" t="str">
        <f t="shared" si="375"/>
        <v xml:space="preserve">25AA FE0F </v>
      </c>
      <c r="D4034">
        <f t="shared" si="376"/>
        <v>10</v>
      </c>
      <c r="E4034" t="str">
        <f t="shared" ref="E4034:E4097" si="378">MID(A4034,FIND("#",A4034)+1,256)</f>
        <v xml:space="preserve"> ▪️ E0.6 black small square</v>
      </c>
      <c r="F4034" t="b">
        <f t="shared" si="377"/>
        <v>0</v>
      </c>
      <c r="G4034" t="str">
        <f t="shared" ref="G4034:G4097" si="379">LEFT(C4034,(FIND(" ",C4034,1)-1))</f>
        <v>25AA</v>
      </c>
      <c r="I4034">
        <f>HEX2DEC(Table1[[#This Row],[utf8]])</f>
        <v>9642</v>
      </c>
      <c r="J4034" t="str">
        <f>_xlfn.UNICHAR(HEX2DEC(Table1[[#This Row],[utf8]]))</f>
        <v>▪</v>
      </c>
      <c r="K4034" s="3" t="str" cm="1">
        <f t="array" ref="K4034">"Case "&amp;wRandomLetter()&amp;wRandomLetter()&amp;I4034&amp;":    UniConst = ChrW(" &amp; I4034 &amp;")"</f>
        <v>Case BM9642:    UniConst = ChrW(9642)</v>
      </c>
    </row>
    <row r="4035" spans="1:11">
      <c r="A4035" t="s">
        <v>4426</v>
      </c>
      <c r="B4035" t="str">
        <f t="shared" ref="B4035:B4098" si="380">TRIM(A4035)</f>
        <v>25AB ; unqualified # ▫ E0.6 white small square</v>
      </c>
      <c r="C4035" t="str">
        <f t="shared" ref="C4035:C4098" si="381">LEFT(B4035,(FIND(";",B4035,1)-1))</f>
        <v xml:space="preserve">25AB </v>
      </c>
      <c r="D4035">
        <f t="shared" ref="D4035:D4098" si="382">LEN(C4035)</f>
        <v>5</v>
      </c>
      <c r="E4035" t="str">
        <f t="shared" si="378"/>
        <v xml:space="preserve"> ▫ E0.6 white small square</v>
      </c>
      <c r="F4035" t="b">
        <f t="shared" ref="F4035:F4098" si="383">IF(LEFT(C4035,2)="1F",TRUE,FALSE)</f>
        <v>0</v>
      </c>
      <c r="G4035" t="str">
        <f t="shared" si="379"/>
        <v>25AB</v>
      </c>
      <c r="I4035">
        <f>HEX2DEC(Table1[[#This Row],[utf8]])</f>
        <v>9643</v>
      </c>
      <c r="J4035" t="str">
        <f>_xlfn.UNICHAR(HEX2DEC(Table1[[#This Row],[utf8]]))</f>
        <v>▫</v>
      </c>
      <c r="K4035" s="3" t="str" cm="1">
        <f t="array" ref="K4035">"Case "&amp;wRandomLetter()&amp;wRandomLetter()&amp;I4035&amp;":    UniConst = ChrW(" &amp; I4035 &amp;")"</f>
        <v>Case Nd9643:    UniConst = ChrW(9643)</v>
      </c>
    </row>
    <row r="4036" spans="1:11">
      <c r="A4036" t="s">
        <v>4425</v>
      </c>
      <c r="B4036" t="str">
        <f t="shared" si="380"/>
        <v>25AB FE0F ; fully-qualified # ▫️ E0.6 white small square</v>
      </c>
      <c r="C4036" t="str">
        <f t="shared" si="381"/>
        <v xml:space="preserve">25AB FE0F </v>
      </c>
      <c r="D4036">
        <f t="shared" si="382"/>
        <v>10</v>
      </c>
      <c r="E4036" t="str">
        <f t="shared" si="378"/>
        <v xml:space="preserve"> ▫️ E0.6 white small square</v>
      </c>
      <c r="F4036" t="b">
        <f t="shared" si="383"/>
        <v>0</v>
      </c>
      <c r="G4036" t="str">
        <f t="shared" si="379"/>
        <v>25AB</v>
      </c>
      <c r="I4036">
        <f>HEX2DEC(Table1[[#This Row],[utf8]])</f>
        <v>9643</v>
      </c>
      <c r="J4036" t="str">
        <f>_xlfn.UNICHAR(HEX2DEC(Table1[[#This Row],[utf8]]))</f>
        <v>▫</v>
      </c>
      <c r="K4036" s="3" t="str" cm="1">
        <f t="array" ref="K4036">"Case "&amp;wRandomLetter()&amp;wRandomLetter()&amp;I4036&amp;":    UniConst = ChrW(" &amp; I4036 &amp;")"</f>
        <v>Case Aa9643:    UniConst = ChrW(9643)</v>
      </c>
    </row>
    <row r="4037" spans="1:11">
      <c r="A4037" t="s">
        <v>4230</v>
      </c>
      <c r="B4037" t="str">
        <f t="shared" si="380"/>
        <v>25B6 ; unqualified # ▶ E0.6 play button</v>
      </c>
      <c r="C4037" t="str">
        <f t="shared" si="381"/>
        <v xml:space="preserve">25B6 </v>
      </c>
      <c r="D4037">
        <f t="shared" si="382"/>
        <v>5</v>
      </c>
      <c r="E4037" t="str">
        <f t="shared" si="378"/>
        <v xml:space="preserve"> ▶ E0.6 play button</v>
      </c>
      <c r="F4037" t="b">
        <f t="shared" si="383"/>
        <v>0</v>
      </c>
      <c r="G4037" t="str">
        <f t="shared" si="379"/>
        <v>25B6</v>
      </c>
      <c r="I4037">
        <f>HEX2DEC(Table1[[#This Row],[utf8]])</f>
        <v>9654</v>
      </c>
      <c r="J4037" t="str">
        <f>_xlfn.UNICHAR(HEX2DEC(Table1[[#This Row],[utf8]]))</f>
        <v>▶</v>
      </c>
      <c r="K4037" s="3" t="str" cm="1">
        <f t="array" ref="K4037">"Case "&amp;wRandomLetter()&amp;wRandomLetter()&amp;I4037&amp;":    UniConst = ChrW(" &amp; I4037 &amp;")"</f>
        <v>Case Hv9654:    UniConst = ChrW(9654)</v>
      </c>
    </row>
    <row r="4038" spans="1:11">
      <c r="A4038" t="s">
        <v>4229</v>
      </c>
      <c r="B4038" t="str">
        <f t="shared" si="380"/>
        <v>25B6 FE0F ; fully-qualified # ▶️ E0.6 play button</v>
      </c>
      <c r="C4038" t="str">
        <f t="shared" si="381"/>
        <v xml:space="preserve">25B6 FE0F </v>
      </c>
      <c r="D4038">
        <f t="shared" si="382"/>
        <v>10</v>
      </c>
      <c r="E4038" t="str">
        <f t="shared" si="378"/>
        <v xml:space="preserve"> ▶️ E0.6 play button</v>
      </c>
      <c r="F4038" t="b">
        <f t="shared" si="383"/>
        <v>0</v>
      </c>
      <c r="G4038" t="str">
        <f t="shared" si="379"/>
        <v>25B6</v>
      </c>
      <c r="I4038">
        <f>HEX2DEC(Table1[[#This Row],[utf8]])</f>
        <v>9654</v>
      </c>
      <c r="J4038" t="str">
        <f>_xlfn.UNICHAR(HEX2DEC(Table1[[#This Row],[utf8]]))</f>
        <v>▶</v>
      </c>
      <c r="K4038" s="3" t="str" cm="1">
        <f t="array" ref="K4038">"Case "&amp;wRandomLetter()&amp;wRandomLetter()&amp;I4038&amp;":    UniConst = ChrW(" &amp; I4038 &amp;")"</f>
        <v>Case xY9654:    UniConst = ChrW(9654)</v>
      </c>
    </row>
    <row r="4039" spans="1:11">
      <c r="A4039" t="s">
        <v>4237</v>
      </c>
      <c r="B4039" t="str">
        <f t="shared" si="380"/>
        <v>25C0 ; unqualified # ◀ E0.6 reverse button</v>
      </c>
      <c r="C4039" t="str">
        <f t="shared" si="381"/>
        <v xml:space="preserve">25C0 </v>
      </c>
      <c r="D4039">
        <f t="shared" si="382"/>
        <v>5</v>
      </c>
      <c r="E4039" t="str">
        <f t="shared" si="378"/>
        <v xml:space="preserve"> ◀ E0.6 reverse button</v>
      </c>
      <c r="F4039" t="b">
        <f t="shared" si="383"/>
        <v>0</v>
      </c>
      <c r="G4039" t="str">
        <f t="shared" si="379"/>
        <v>25C0</v>
      </c>
      <c r="I4039">
        <f>HEX2DEC(Table1[[#This Row],[utf8]])</f>
        <v>9664</v>
      </c>
      <c r="J4039" t="str">
        <f>_xlfn.UNICHAR(HEX2DEC(Table1[[#This Row],[utf8]]))</f>
        <v>◀</v>
      </c>
      <c r="K4039" s="3" t="str" cm="1">
        <f t="array" ref="K4039">"Case "&amp;wRandomLetter()&amp;wRandomLetter()&amp;I4039&amp;":    UniConst = ChrW(" &amp; I4039 &amp;")"</f>
        <v>Case zW9664:    UniConst = ChrW(9664)</v>
      </c>
    </row>
    <row r="4040" spans="1:11">
      <c r="A4040" t="s">
        <v>4236</v>
      </c>
      <c r="B4040" t="str">
        <f t="shared" si="380"/>
        <v>25C0 FE0F ; fully-qualified # ◀️ E0.6 reverse button</v>
      </c>
      <c r="C4040" t="str">
        <f t="shared" si="381"/>
        <v xml:space="preserve">25C0 FE0F </v>
      </c>
      <c r="D4040">
        <f t="shared" si="382"/>
        <v>10</v>
      </c>
      <c r="E4040" t="str">
        <f t="shared" si="378"/>
        <v xml:space="preserve"> ◀️ E0.6 reverse button</v>
      </c>
      <c r="F4040" t="b">
        <f t="shared" si="383"/>
        <v>0</v>
      </c>
      <c r="G4040" t="str">
        <f t="shared" si="379"/>
        <v>25C0</v>
      </c>
      <c r="I4040">
        <f>HEX2DEC(Table1[[#This Row],[utf8]])</f>
        <v>9664</v>
      </c>
      <c r="J4040" t="str">
        <f>_xlfn.UNICHAR(HEX2DEC(Table1[[#This Row],[utf8]]))</f>
        <v>◀</v>
      </c>
      <c r="K4040" s="3" t="str" cm="1">
        <f t="array" ref="K4040">"Case "&amp;wRandomLetter()&amp;wRandomLetter()&amp;I4040&amp;":    UniConst = ChrW(" &amp; I4040 &amp;")"</f>
        <v>Case Cx9664:    UniConst = ChrW(9664)</v>
      </c>
    </row>
    <row r="4041" spans="1:11">
      <c r="A4041" t="s">
        <v>4420</v>
      </c>
      <c r="B4041" t="str">
        <f t="shared" si="380"/>
        <v>25FB ; unqualified # ◻ E0.6 white medium square</v>
      </c>
      <c r="C4041" t="str">
        <f t="shared" si="381"/>
        <v xml:space="preserve">25FB </v>
      </c>
      <c r="D4041">
        <f t="shared" si="382"/>
        <v>5</v>
      </c>
      <c r="E4041" t="str">
        <f t="shared" si="378"/>
        <v xml:space="preserve"> ◻ E0.6 white medium square</v>
      </c>
      <c r="F4041" t="b">
        <f t="shared" si="383"/>
        <v>0</v>
      </c>
      <c r="G4041" t="str">
        <f t="shared" si="379"/>
        <v>25FB</v>
      </c>
      <c r="I4041">
        <f>HEX2DEC(Table1[[#This Row],[utf8]])</f>
        <v>9723</v>
      </c>
      <c r="J4041" t="str">
        <f>_xlfn.UNICHAR(HEX2DEC(Table1[[#This Row],[utf8]]))</f>
        <v>◻</v>
      </c>
      <c r="K4041" s="3" t="str" cm="1">
        <f t="array" ref="K4041">"Case "&amp;wRandomLetter()&amp;wRandomLetter()&amp;I4041&amp;":    UniConst = ChrW(" &amp; I4041 &amp;")"</f>
        <v>Case tK9723:    UniConst = ChrW(9723)</v>
      </c>
    </row>
    <row r="4042" spans="1:11">
      <c r="A4042" t="s">
        <v>4419</v>
      </c>
      <c r="B4042" t="str">
        <f t="shared" si="380"/>
        <v>25FB FE0F ; fully-qualified # ◻️ E0.6 white medium square</v>
      </c>
      <c r="C4042" t="str">
        <f t="shared" si="381"/>
        <v xml:space="preserve">25FB FE0F </v>
      </c>
      <c r="D4042">
        <f t="shared" si="382"/>
        <v>10</v>
      </c>
      <c r="E4042" t="str">
        <f t="shared" si="378"/>
        <v xml:space="preserve"> ◻️ E0.6 white medium square</v>
      </c>
      <c r="F4042" t="b">
        <f t="shared" si="383"/>
        <v>0</v>
      </c>
      <c r="G4042" t="str">
        <f t="shared" si="379"/>
        <v>25FB</v>
      </c>
      <c r="I4042">
        <f>HEX2DEC(Table1[[#This Row],[utf8]])</f>
        <v>9723</v>
      </c>
      <c r="J4042" t="str">
        <f>_xlfn.UNICHAR(HEX2DEC(Table1[[#This Row],[utf8]]))</f>
        <v>◻</v>
      </c>
      <c r="K4042" s="3" t="str" cm="1">
        <f t="array" ref="K4042">"Case "&amp;wRandomLetter()&amp;wRandomLetter()&amp;I4042&amp;":    UniConst = ChrW(" &amp; I4042 &amp;")"</f>
        <v>Case af9723:    UniConst = ChrW(9723)</v>
      </c>
    </row>
    <row r="4043" spans="1:11">
      <c r="A4043" t="s">
        <v>4418</v>
      </c>
      <c r="B4043" t="str">
        <f t="shared" si="380"/>
        <v>25FC ; unqualified # ◼ E0.6 black medium square</v>
      </c>
      <c r="C4043" t="str">
        <f t="shared" si="381"/>
        <v xml:space="preserve">25FC </v>
      </c>
      <c r="D4043">
        <f t="shared" si="382"/>
        <v>5</v>
      </c>
      <c r="E4043" t="str">
        <f t="shared" si="378"/>
        <v xml:space="preserve"> ◼ E0.6 black medium square</v>
      </c>
      <c r="F4043" t="b">
        <f t="shared" si="383"/>
        <v>0</v>
      </c>
      <c r="G4043" t="str">
        <f t="shared" si="379"/>
        <v>25FC</v>
      </c>
      <c r="I4043">
        <f>HEX2DEC(Table1[[#This Row],[utf8]])</f>
        <v>9724</v>
      </c>
      <c r="J4043" t="str">
        <f>_xlfn.UNICHAR(HEX2DEC(Table1[[#This Row],[utf8]]))</f>
        <v>◼</v>
      </c>
      <c r="K4043" s="3" t="str" cm="1">
        <f t="array" ref="K4043">"Case "&amp;wRandomLetter()&amp;wRandomLetter()&amp;I4043&amp;":    UniConst = ChrW(" &amp; I4043 &amp;")"</f>
        <v>Case Lz9724:    UniConst = ChrW(9724)</v>
      </c>
    </row>
    <row r="4044" spans="1:11">
      <c r="A4044" t="s">
        <v>4417</v>
      </c>
      <c r="B4044" t="str">
        <f t="shared" si="380"/>
        <v>25FC FE0F ; fully-qualified # ◼️ E0.6 black medium square</v>
      </c>
      <c r="C4044" t="str">
        <f t="shared" si="381"/>
        <v xml:space="preserve">25FC FE0F </v>
      </c>
      <c r="D4044">
        <f t="shared" si="382"/>
        <v>10</v>
      </c>
      <c r="E4044" t="str">
        <f t="shared" si="378"/>
        <v xml:space="preserve"> ◼️ E0.6 black medium square</v>
      </c>
      <c r="F4044" t="b">
        <f t="shared" si="383"/>
        <v>0</v>
      </c>
      <c r="G4044" t="str">
        <f t="shared" si="379"/>
        <v>25FC</v>
      </c>
      <c r="I4044">
        <f>HEX2DEC(Table1[[#This Row],[utf8]])</f>
        <v>9724</v>
      </c>
      <c r="J4044" t="str">
        <f>_xlfn.UNICHAR(HEX2DEC(Table1[[#This Row],[utf8]]))</f>
        <v>◼</v>
      </c>
      <c r="K4044" s="3" t="str" cm="1">
        <f t="array" ref="K4044">"Case "&amp;wRandomLetter()&amp;wRandomLetter()&amp;I4044&amp;":    UniConst = ChrW(" &amp; I4044 &amp;")"</f>
        <v>Case HK9724:    UniConst = ChrW(9724)</v>
      </c>
    </row>
    <row r="4045" spans="1:11">
      <c r="A4045" t="s">
        <v>4422</v>
      </c>
      <c r="B4045" t="str">
        <f t="shared" si="380"/>
        <v>25FD ; fully-qualified # ◽ E0.6 white medium-small square</v>
      </c>
      <c r="C4045" t="str">
        <f t="shared" si="381"/>
        <v xml:space="preserve">25FD </v>
      </c>
      <c r="D4045">
        <f t="shared" si="382"/>
        <v>5</v>
      </c>
      <c r="E4045" t="str">
        <f t="shared" si="378"/>
        <v xml:space="preserve"> ◽ E0.6 white medium-small square</v>
      </c>
      <c r="F4045" t="b">
        <f t="shared" si="383"/>
        <v>0</v>
      </c>
      <c r="G4045" t="str">
        <f t="shared" si="379"/>
        <v>25FD</v>
      </c>
      <c r="I4045">
        <f>HEX2DEC(Table1[[#This Row],[utf8]])</f>
        <v>9725</v>
      </c>
      <c r="J4045" t="str">
        <f>_xlfn.UNICHAR(HEX2DEC(Table1[[#This Row],[utf8]]))</f>
        <v>◽</v>
      </c>
      <c r="K4045" s="3" t="str" cm="1">
        <f t="array" ref="K4045">"Case "&amp;wRandomLetter()&amp;wRandomLetter()&amp;I4045&amp;":    UniConst = ChrW(" &amp; I4045 &amp;")"</f>
        <v>Case xx9725:    UniConst = ChrW(9725)</v>
      </c>
    </row>
    <row r="4046" spans="1:11">
      <c r="A4046" t="s">
        <v>4421</v>
      </c>
      <c r="B4046" t="str">
        <f t="shared" si="380"/>
        <v>25FE ; fully-qualified # ◾ E0.6 black medium-small square</v>
      </c>
      <c r="C4046" t="str">
        <f t="shared" si="381"/>
        <v xml:space="preserve">25FE </v>
      </c>
      <c r="D4046">
        <f t="shared" si="382"/>
        <v>5</v>
      </c>
      <c r="E4046" t="str">
        <f t="shared" si="378"/>
        <v xml:space="preserve"> ◾ E0.6 black medium-small square</v>
      </c>
      <c r="F4046" t="b">
        <f t="shared" si="383"/>
        <v>0</v>
      </c>
      <c r="G4046" t="str">
        <f t="shared" si="379"/>
        <v>25FE</v>
      </c>
      <c r="I4046">
        <f>HEX2DEC(Table1[[#This Row],[utf8]])</f>
        <v>9726</v>
      </c>
      <c r="J4046" t="str">
        <f>_xlfn.UNICHAR(HEX2DEC(Table1[[#This Row],[utf8]]))</f>
        <v>◾</v>
      </c>
      <c r="K4046" s="3" t="str" cm="1">
        <f t="array" ref="K4046">"Case "&amp;wRandomLetter()&amp;wRandomLetter()&amp;I4046&amp;":    UniConst = ChrW(" &amp; I4046 &amp;")"</f>
        <v>Case SH9726:    UniConst = ChrW(9726)</v>
      </c>
    </row>
    <row r="4047" spans="1:11">
      <c r="A4047" t="s">
        <v>3646</v>
      </c>
      <c r="B4047" t="str">
        <f t="shared" si="380"/>
        <v>2600 ; unqualified # ☀ E0.6 sun</v>
      </c>
      <c r="C4047" t="str">
        <f t="shared" si="381"/>
        <v xml:space="preserve">2600 </v>
      </c>
      <c r="D4047">
        <f t="shared" si="382"/>
        <v>5</v>
      </c>
      <c r="E4047" t="str">
        <f t="shared" si="378"/>
        <v xml:space="preserve"> ☀ E0.6 sun</v>
      </c>
      <c r="F4047" t="b">
        <f t="shared" si="383"/>
        <v>0</v>
      </c>
      <c r="G4047" t="str">
        <f t="shared" si="379"/>
        <v>2600</v>
      </c>
      <c r="I4047">
        <f>HEX2DEC(Table1[[#This Row],[utf8]])</f>
        <v>9728</v>
      </c>
      <c r="J4047" t="str">
        <f>_xlfn.UNICHAR(HEX2DEC(Table1[[#This Row],[utf8]]))</f>
        <v>☀</v>
      </c>
      <c r="K4047" s="3" t="str" cm="1">
        <f t="array" ref="K4047">"Case "&amp;wRandomLetter()&amp;wRandomLetter()&amp;I4047&amp;":    UniConst = ChrW(" &amp; I4047 &amp;")"</f>
        <v>Case xy9728:    UniConst = ChrW(9728)</v>
      </c>
    </row>
    <row r="4048" spans="1:11">
      <c r="A4048" t="s">
        <v>3645</v>
      </c>
      <c r="B4048" t="str">
        <f t="shared" si="380"/>
        <v>2600 FE0F ; fully-qualified # ☀️ E0.6 sun</v>
      </c>
      <c r="C4048" t="str">
        <f t="shared" si="381"/>
        <v xml:space="preserve">2600 FE0F </v>
      </c>
      <c r="D4048">
        <f t="shared" si="382"/>
        <v>10</v>
      </c>
      <c r="E4048" t="str">
        <f t="shared" si="378"/>
        <v xml:space="preserve"> ☀️ E0.6 sun</v>
      </c>
      <c r="F4048" t="b">
        <f t="shared" si="383"/>
        <v>0</v>
      </c>
      <c r="G4048" t="str">
        <f t="shared" si="379"/>
        <v>2600</v>
      </c>
      <c r="I4048">
        <f>HEX2DEC(Table1[[#This Row],[utf8]])</f>
        <v>9728</v>
      </c>
      <c r="J4048" t="str">
        <f>_xlfn.UNICHAR(HEX2DEC(Table1[[#This Row],[utf8]]))</f>
        <v>☀</v>
      </c>
      <c r="K4048" s="3" t="str" cm="1">
        <f t="array" ref="K4048">"Case "&amp;wRandomLetter()&amp;wRandomLetter()&amp;I4048&amp;":    UniConst = ChrW(" &amp; I4048 &amp;")"</f>
        <v>Case ey9728:    UniConst = ChrW(9728)</v>
      </c>
    </row>
    <row r="4049" spans="1:11">
      <c r="A4049" t="s">
        <v>3655</v>
      </c>
      <c r="B4049" t="str">
        <f t="shared" si="380"/>
        <v>2601 ; unqualified # ☁ E0.6 cloud</v>
      </c>
      <c r="C4049" t="str">
        <f t="shared" si="381"/>
        <v xml:space="preserve">2601 </v>
      </c>
      <c r="D4049">
        <f t="shared" si="382"/>
        <v>5</v>
      </c>
      <c r="E4049" t="str">
        <f t="shared" si="378"/>
        <v xml:space="preserve"> ☁ E0.6 cloud</v>
      </c>
      <c r="F4049" t="b">
        <f t="shared" si="383"/>
        <v>0</v>
      </c>
      <c r="G4049" t="str">
        <f t="shared" si="379"/>
        <v>2601</v>
      </c>
      <c r="I4049">
        <f>HEX2DEC(Table1[[#This Row],[utf8]])</f>
        <v>9729</v>
      </c>
      <c r="J4049" t="str">
        <f>_xlfn.UNICHAR(HEX2DEC(Table1[[#This Row],[utf8]]))</f>
        <v>☁</v>
      </c>
      <c r="K4049" s="3" t="str" cm="1">
        <f t="array" ref="K4049">"Case "&amp;wRandomLetter()&amp;wRandomLetter()&amp;I4049&amp;":    UniConst = ChrW(" &amp; I4049 &amp;")"</f>
        <v>Case vR9729:    UniConst = ChrW(9729)</v>
      </c>
    </row>
    <row r="4050" spans="1:11">
      <c r="A4050" t="s">
        <v>3654</v>
      </c>
      <c r="B4050" t="str">
        <f t="shared" si="380"/>
        <v>2601 FE0F ; fully-qualified # ☁️ E0.6 cloud</v>
      </c>
      <c r="C4050" t="str">
        <f t="shared" si="381"/>
        <v xml:space="preserve">2601 FE0F </v>
      </c>
      <c r="D4050">
        <f t="shared" si="382"/>
        <v>10</v>
      </c>
      <c r="E4050" t="str">
        <f t="shared" si="378"/>
        <v xml:space="preserve"> ☁️ E0.6 cloud</v>
      </c>
      <c r="F4050" t="b">
        <f t="shared" si="383"/>
        <v>0</v>
      </c>
      <c r="G4050" t="str">
        <f t="shared" si="379"/>
        <v>2601</v>
      </c>
      <c r="I4050">
        <f>HEX2DEC(Table1[[#This Row],[utf8]])</f>
        <v>9729</v>
      </c>
      <c r="J4050" t="str">
        <f>_xlfn.UNICHAR(HEX2DEC(Table1[[#This Row],[utf8]]))</f>
        <v>☁</v>
      </c>
      <c r="K4050" s="3" t="str" cm="1">
        <f t="array" ref="K4050">"Case "&amp;wRandomLetter()&amp;wRandomLetter()&amp;I4050&amp;":    UniConst = ChrW(" &amp; I4050 &amp;")"</f>
        <v>Case uQ9729:    UniConst = ChrW(9729)</v>
      </c>
    </row>
    <row r="4051" spans="1:11">
      <c r="A4051" t="s">
        <v>3681</v>
      </c>
      <c r="B4051" t="str">
        <f t="shared" si="380"/>
        <v>2602 ; unqualified # ☂ E0.7 umbrella</v>
      </c>
      <c r="C4051" t="str">
        <f t="shared" si="381"/>
        <v xml:space="preserve">2602 </v>
      </c>
      <c r="D4051">
        <f t="shared" si="382"/>
        <v>5</v>
      </c>
      <c r="E4051" t="str">
        <f t="shared" si="378"/>
        <v xml:space="preserve"> ☂ E0.7 umbrella</v>
      </c>
      <c r="F4051" t="b">
        <f t="shared" si="383"/>
        <v>0</v>
      </c>
      <c r="G4051" t="str">
        <f t="shared" si="379"/>
        <v>2602</v>
      </c>
      <c r="I4051">
        <f>HEX2DEC(Table1[[#This Row],[utf8]])</f>
        <v>9730</v>
      </c>
      <c r="J4051" t="str">
        <f>_xlfn.UNICHAR(HEX2DEC(Table1[[#This Row],[utf8]]))</f>
        <v>☂</v>
      </c>
      <c r="K4051" s="3" t="str" cm="1">
        <f t="array" ref="K4051">"Case "&amp;wRandomLetter()&amp;wRandomLetter()&amp;I4051&amp;":    UniConst = ChrW(" &amp; I4051 &amp;")"</f>
        <v>Case bG9730:    UniConst = ChrW(9730)</v>
      </c>
    </row>
    <row r="4052" spans="1:11">
      <c r="A4052" t="s">
        <v>3680</v>
      </c>
      <c r="B4052" t="str">
        <f t="shared" si="380"/>
        <v>2602 FE0F ; fully-qualified # ☂️ E0.7 umbrella</v>
      </c>
      <c r="C4052" t="str">
        <f t="shared" si="381"/>
        <v xml:space="preserve">2602 FE0F </v>
      </c>
      <c r="D4052">
        <f t="shared" si="382"/>
        <v>10</v>
      </c>
      <c r="E4052" t="str">
        <f t="shared" si="378"/>
        <v xml:space="preserve"> ☂️ E0.7 umbrella</v>
      </c>
      <c r="F4052" t="b">
        <f t="shared" si="383"/>
        <v>0</v>
      </c>
      <c r="G4052" t="str">
        <f t="shared" si="379"/>
        <v>2602</v>
      </c>
      <c r="I4052">
        <f>HEX2DEC(Table1[[#This Row],[utf8]])</f>
        <v>9730</v>
      </c>
      <c r="J4052" t="str">
        <f>_xlfn.UNICHAR(HEX2DEC(Table1[[#This Row],[utf8]]))</f>
        <v>☂</v>
      </c>
      <c r="K4052" s="3" t="str" cm="1">
        <f t="array" ref="K4052">"Case "&amp;wRandomLetter()&amp;wRandomLetter()&amp;I4052&amp;":    UniConst = ChrW(" &amp; I4052 &amp;")"</f>
        <v>Case JW9730:    UniConst = ChrW(9730)</v>
      </c>
    </row>
    <row r="4053" spans="1:11">
      <c r="A4053" t="s">
        <v>3689</v>
      </c>
      <c r="B4053" t="str">
        <f t="shared" si="380"/>
        <v>2603 ; unqualified # ☃ E0.7 snowman</v>
      </c>
      <c r="C4053" t="str">
        <f t="shared" si="381"/>
        <v xml:space="preserve">2603 </v>
      </c>
      <c r="D4053">
        <f t="shared" si="382"/>
        <v>5</v>
      </c>
      <c r="E4053" t="str">
        <f t="shared" si="378"/>
        <v xml:space="preserve"> ☃ E0.7 snowman</v>
      </c>
      <c r="F4053" t="b">
        <f t="shared" si="383"/>
        <v>0</v>
      </c>
      <c r="G4053" t="str">
        <f t="shared" si="379"/>
        <v>2603</v>
      </c>
      <c r="I4053">
        <f>HEX2DEC(Table1[[#This Row],[utf8]])</f>
        <v>9731</v>
      </c>
      <c r="J4053" t="str">
        <f>_xlfn.UNICHAR(HEX2DEC(Table1[[#This Row],[utf8]]))</f>
        <v>☃</v>
      </c>
      <c r="K4053" s="3" t="str" cm="1">
        <f t="array" ref="K4053">"Case "&amp;wRandomLetter()&amp;wRandomLetter()&amp;I4053&amp;":    UniConst = ChrW(" &amp; I4053 &amp;")"</f>
        <v>Case rn9731:    UniConst = ChrW(9731)</v>
      </c>
    </row>
    <row r="4054" spans="1:11">
      <c r="A4054" t="s">
        <v>3688</v>
      </c>
      <c r="B4054" t="str">
        <f t="shared" si="380"/>
        <v>2603 FE0F ; fully-qualified # ☃️ E0.7 snowman</v>
      </c>
      <c r="C4054" t="str">
        <f t="shared" si="381"/>
        <v xml:space="preserve">2603 FE0F </v>
      </c>
      <c r="D4054">
        <f t="shared" si="382"/>
        <v>10</v>
      </c>
      <c r="E4054" t="str">
        <f t="shared" si="378"/>
        <v xml:space="preserve"> ☃️ E0.7 snowman</v>
      </c>
      <c r="F4054" t="b">
        <f t="shared" si="383"/>
        <v>0</v>
      </c>
      <c r="G4054" t="str">
        <f t="shared" si="379"/>
        <v>2603</v>
      </c>
      <c r="I4054">
        <f>HEX2DEC(Table1[[#This Row],[utf8]])</f>
        <v>9731</v>
      </c>
      <c r="J4054" t="str">
        <f>_xlfn.UNICHAR(HEX2DEC(Table1[[#This Row],[utf8]]))</f>
        <v>☃</v>
      </c>
      <c r="K4054" s="3" t="str" cm="1">
        <f t="array" ref="K4054">"Case "&amp;wRandomLetter()&amp;wRandomLetter()&amp;I4054&amp;":    UniConst = ChrW(" &amp; I4054 &amp;")"</f>
        <v>Case jh9731:    UniConst = ChrW(9731)</v>
      </c>
    </row>
    <row r="4055" spans="1:11">
      <c r="A4055" t="s">
        <v>3692</v>
      </c>
      <c r="B4055" t="str">
        <f t="shared" si="380"/>
        <v>2604 ; unqualified # ☄ E1.0 comet</v>
      </c>
      <c r="C4055" t="str">
        <f t="shared" si="381"/>
        <v xml:space="preserve">2604 </v>
      </c>
      <c r="D4055">
        <f t="shared" si="382"/>
        <v>5</v>
      </c>
      <c r="E4055" t="str">
        <f t="shared" si="378"/>
        <v xml:space="preserve"> ☄ E1.0 comet</v>
      </c>
      <c r="F4055" t="b">
        <f t="shared" si="383"/>
        <v>0</v>
      </c>
      <c r="G4055" t="str">
        <f t="shared" si="379"/>
        <v>2604</v>
      </c>
      <c r="I4055">
        <f>HEX2DEC(Table1[[#This Row],[utf8]])</f>
        <v>9732</v>
      </c>
      <c r="J4055" t="str">
        <f>_xlfn.UNICHAR(HEX2DEC(Table1[[#This Row],[utf8]]))</f>
        <v>☄</v>
      </c>
      <c r="K4055" s="3" t="str" cm="1">
        <f t="array" ref="K4055">"Case "&amp;wRandomLetter()&amp;wRandomLetter()&amp;I4055&amp;":    UniConst = ChrW(" &amp; I4055 &amp;")"</f>
        <v>Case PA9732:    UniConst = ChrW(9732)</v>
      </c>
    </row>
    <row r="4056" spans="1:11">
      <c r="A4056" t="s">
        <v>3691</v>
      </c>
      <c r="B4056" t="str">
        <f t="shared" si="380"/>
        <v>2604 FE0F ; fully-qualified # ☄️ E1.0 comet</v>
      </c>
      <c r="C4056" t="str">
        <f t="shared" si="381"/>
        <v xml:space="preserve">2604 FE0F </v>
      </c>
      <c r="D4056">
        <f t="shared" si="382"/>
        <v>10</v>
      </c>
      <c r="E4056" t="str">
        <f t="shared" si="378"/>
        <v xml:space="preserve"> ☄️ E1.0 comet</v>
      </c>
      <c r="F4056" t="b">
        <f t="shared" si="383"/>
        <v>0</v>
      </c>
      <c r="G4056" t="str">
        <f t="shared" si="379"/>
        <v>2604</v>
      </c>
      <c r="I4056">
        <f>HEX2DEC(Table1[[#This Row],[utf8]])</f>
        <v>9732</v>
      </c>
      <c r="J4056" t="str">
        <f>_xlfn.UNICHAR(HEX2DEC(Table1[[#This Row],[utf8]]))</f>
        <v>☄</v>
      </c>
      <c r="K4056" s="3" t="str" cm="1">
        <f t="array" ref="K4056">"Case "&amp;wRandomLetter()&amp;wRandomLetter()&amp;I4056&amp;":    UniConst = ChrW(" &amp; I4056 &amp;")"</f>
        <v>Case Lk9732:    UniConst = ChrW(9732)</v>
      </c>
    </row>
    <row r="4057" spans="1:11">
      <c r="A4057" t="s">
        <v>3888</v>
      </c>
      <c r="B4057" t="str">
        <f t="shared" si="380"/>
        <v>260E ; unqualified # ☎ E0.6 telephone</v>
      </c>
      <c r="C4057" t="str">
        <f t="shared" si="381"/>
        <v xml:space="preserve">260E </v>
      </c>
      <c r="D4057">
        <f t="shared" si="382"/>
        <v>5</v>
      </c>
      <c r="E4057" t="str">
        <f t="shared" si="378"/>
        <v xml:space="preserve"> ☎ E0.6 telephone</v>
      </c>
      <c r="F4057" t="b">
        <f t="shared" si="383"/>
        <v>0</v>
      </c>
      <c r="G4057" t="str">
        <f t="shared" si="379"/>
        <v>260E</v>
      </c>
      <c r="I4057">
        <f>HEX2DEC(Table1[[#This Row],[utf8]])</f>
        <v>9742</v>
      </c>
      <c r="J4057" t="str">
        <f>_xlfn.UNICHAR(HEX2DEC(Table1[[#This Row],[utf8]]))</f>
        <v>☎</v>
      </c>
      <c r="K4057" s="3" t="str" cm="1">
        <f t="array" ref="K4057">"Case "&amp;wRandomLetter()&amp;wRandomLetter()&amp;I4057&amp;":    UniConst = ChrW(" &amp; I4057 &amp;")"</f>
        <v>Case xN9742:    UniConst = ChrW(9742)</v>
      </c>
    </row>
    <row r="4058" spans="1:11">
      <c r="A4058" t="s">
        <v>3887</v>
      </c>
      <c r="B4058" t="str">
        <f t="shared" si="380"/>
        <v>260E FE0F ; fully-qualified # ☎️ E0.6 telephone</v>
      </c>
      <c r="C4058" t="str">
        <f t="shared" si="381"/>
        <v xml:space="preserve">260E FE0F </v>
      </c>
      <c r="D4058">
        <f t="shared" si="382"/>
        <v>10</v>
      </c>
      <c r="E4058" t="str">
        <f t="shared" si="378"/>
        <v xml:space="preserve"> ☎️ E0.6 telephone</v>
      </c>
      <c r="F4058" t="b">
        <f t="shared" si="383"/>
        <v>0</v>
      </c>
      <c r="G4058" t="str">
        <f t="shared" si="379"/>
        <v>260E</v>
      </c>
      <c r="I4058">
        <f>HEX2DEC(Table1[[#This Row],[utf8]])</f>
        <v>9742</v>
      </c>
      <c r="J4058" t="str">
        <f>_xlfn.UNICHAR(HEX2DEC(Table1[[#This Row],[utf8]]))</f>
        <v>☎</v>
      </c>
      <c r="K4058" s="3" t="str" cm="1">
        <f t="array" ref="K4058">"Case "&amp;wRandomLetter()&amp;wRandomLetter()&amp;I4058&amp;":    UniConst = ChrW(" &amp; I4058 &amp;")"</f>
        <v>Case Ar9742:    UniConst = ChrW(9742)</v>
      </c>
    </row>
    <row r="4059" spans="1:11">
      <c r="A4059" t="s">
        <v>4301</v>
      </c>
      <c r="B4059" t="str">
        <f t="shared" si="380"/>
        <v>2611 ; unqualified # ☑ E0.6 check box with check</v>
      </c>
      <c r="C4059" t="str">
        <f t="shared" si="381"/>
        <v xml:space="preserve">2611 </v>
      </c>
      <c r="D4059">
        <f t="shared" si="382"/>
        <v>5</v>
      </c>
      <c r="E4059" t="str">
        <f t="shared" si="378"/>
        <v xml:space="preserve"> ☑ E0.6 check box with check</v>
      </c>
      <c r="F4059" t="b">
        <f t="shared" si="383"/>
        <v>0</v>
      </c>
      <c r="G4059" t="str">
        <f t="shared" si="379"/>
        <v>2611</v>
      </c>
      <c r="I4059">
        <f>HEX2DEC(Table1[[#This Row],[utf8]])</f>
        <v>9745</v>
      </c>
      <c r="J4059" t="str">
        <f>_xlfn.UNICHAR(HEX2DEC(Table1[[#This Row],[utf8]]))</f>
        <v>☑</v>
      </c>
      <c r="K4059" s="3" t="str" cm="1">
        <f t="array" ref="K4059">"Case "&amp;wRandomLetter()&amp;wRandomLetter()&amp;I4059&amp;":    UniConst = ChrW(" &amp; I4059 &amp;")"</f>
        <v>Case Li9745:    UniConst = ChrW(9745)</v>
      </c>
    </row>
    <row r="4060" spans="1:11">
      <c r="A4060" t="s">
        <v>4300</v>
      </c>
      <c r="B4060" t="str">
        <f t="shared" si="380"/>
        <v>2611 FE0F ; fully-qualified # ☑️ E0.6 check box with check</v>
      </c>
      <c r="C4060" t="str">
        <f t="shared" si="381"/>
        <v xml:space="preserve">2611 FE0F </v>
      </c>
      <c r="D4060">
        <f t="shared" si="382"/>
        <v>10</v>
      </c>
      <c r="E4060" t="str">
        <f t="shared" si="378"/>
        <v xml:space="preserve"> ☑️ E0.6 check box with check</v>
      </c>
      <c r="F4060" t="b">
        <f t="shared" si="383"/>
        <v>0</v>
      </c>
      <c r="G4060" t="str">
        <f t="shared" si="379"/>
        <v>2611</v>
      </c>
      <c r="I4060">
        <f>HEX2DEC(Table1[[#This Row],[utf8]])</f>
        <v>9745</v>
      </c>
      <c r="J4060" t="str">
        <f>_xlfn.UNICHAR(HEX2DEC(Table1[[#This Row],[utf8]]))</f>
        <v>☑</v>
      </c>
      <c r="K4060" s="3" t="str" cm="1">
        <f t="array" ref="K4060">"Case "&amp;wRandomLetter()&amp;wRandomLetter()&amp;I4060&amp;":    UniConst = ChrW(" &amp; I4060 &amp;")"</f>
        <v>Case gp9745:    UniConst = ChrW(9745)</v>
      </c>
    </row>
    <row r="4061" spans="1:11">
      <c r="A4061" t="s">
        <v>3682</v>
      </c>
      <c r="B4061" t="str">
        <f t="shared" si="380"/>
        <v>2614 ; fully-qualified # ☔ E0.6 umbrella with rain drops</v>
      </c>
      <c r="C4061" t="str">
        <f t="shared" si="381"/>
        <v xml:space="preserve">2614 </v>
      </c>
      <c r="D4061">
        <f t="shared" si="382"/>
        <v>5</v>
      </c>
      <c r="E4061" t="str">
        <f t="shared" si="378"/>
        <v xml:space="preserve"> ☔ E0.6 umbrella with rain drops</v>
      </c>
      <c r="F4061" t="b">
        <f t="shared" si="383"/>
        <v>0</v>
      </c>
      <c r="G4061" t="str">
        <f t="shared" si="379"/>
        <v>2614</v>
      </c>
      <c r="I4061">
        <f>HEX2DEC(Table1[[#This Row],[utf8]])</f>
        <v>9748</v>
      </c>
      <c r="J4061" t="str">
        <f>_xlfn.UNICHAR(HEX2DEC(Table1[[#This Row],[utf8]]))</f>
        <v>☔</v>
      </c>
      <c r="K4061" s="3" t="str" cm="1">
        <f t="array" ref="K4061">"Case "&amp;wRandomLetter()&amp;wRandomLetter()&amp;I4061&amp;":    UniConst = ChrW(" &amp; I4061 &amp;")"</f>
        <v>Case Ob9748:    UniConst = ChrW(9748)</v>
      </c>
    </row>
    <row r="4062" spans="1:11">
      <c r="A4062" t="s">
        <v>3393</v>
      </c>
      <c r="B4062" t="str">
        <f t="shared" si="380"/>
        <v>2615 ; fully-qualified # ☕ E0.6 hot beverage</v>
      </c>
      <c r="C4062" t="str">
        <f t="shared" si="381"/>
        <v xml:space="preserve">2615 </v>
      </c>
      <c r="D4062">
        <f t="shared" si="382"/>
        <v>5</v>
      </c>
      <c r="E4062" t="str">
        <f t="shared" si="378"/>
        <v xml:space="preserve"> ☕ E0.6 hot beverage</v>
      </c>
      <c r="F4062" t="b">
        <f t="shared" si="383"/>
        <v>0</v>
      </c>
      <c r="G4062" t="str">
        <f t="shared" si="379"/>
        <v>2615</v>
      </c>
      <c r="I4062">
        <f>HEX2DEC(Table1[[#This Row],[utf8]])</f>
        <v>9749</v>
      </c>
      <c r="J4062" t="str">
        <f>_xlfn.UNICHAR(HEX2DEC(Table1[[#This Row],[utf8]]))</f>
        <v>☕</v>
      </c>
      <c r="K4062" s="3" t="str" cm="1">
        <f t="array" ref="K4062">"Case "&amp;wRandomLetter()&amp;wRandomLetter()&amp;I4062&amp;":    UniConst = ChrW(" &amp; I4062 &amp;")"</f>
        <v>Case MY9749:    UniConst = ChrW(9749)</v>
      </c>
    </row>
    <row r="4063" spans="1:11">
      <c r="A4063" t="s">
        <v>3271</v>
      </c>
      <c r="B4063" t="str">
        <f t="shared" si="380"/>
        <v>2618 ; unqualified # ☘ E1.0 shamrock</v>
      </c>
      <c r="C4063" t="str">
        <f t="shared" si="381"/>
        <v xml:space="preserve">2618 </v>
      </c>
      <c r="D4063">
        <f t="shared" si="382"/>
        <v>5</v>
      </c>
      <c r="E4063" t="str">
        <f t="shared" si="378"/>
        <v xml:space="preserve"> ☘ E1.0 shamrock</v>
      </c>
      <c r="F4063" t="b">
        <f t="shared" si="383"/>
        <v>0</v>
      </c>
      <c r="G4063" t="str">
        <f t="shared" si="379"/>
        <v>2618</v>
      </c>
      <c r="I4063">
        <f>HEX2DEC(Table1[[#This Row],[utf8]])</f>
        <v>9752</v>
      </c>
      <c r="J4063" t="str">
        <f>_xlfn.UNICHAR(HEX2DEC(Table1[[#This Row],[utf8]]))</f>
        <v>☘</v>
      </c>
      <c r="K4063" s="3" t="str" cm="1">
        <f t="array" ref="K4063">"Case "&amp;wRandomLetter()&amp;wRandomLetter()&amp;I4063&amp;":    UniConst = ChrW(" &amp; I4063 &amp;")"</f>
        <v>Case Xs9752:    UniConst = ChrW(9752)</v>
      </c>
    </row>
    <row r="4064" spans="1:11">
      <c r="A4064" t="s">
        <v>3270</v>
      </c>
      <c r="B4064" t="str">
        <f t="shared" si="380"/>
        <v>2618 FE0F ; fully-qualified # ☘️ E1.0 shamrock</v>
      </c>
      <c r="C4064" t="str">
        <f t="shared" si="381"/>
        <v xml:space="preserve">2618 FE0F </v>
      </c>
      <c r="D4064">
        <f t="shared" si="382"/>
        <v>10</v>
      </c>
      <c r="E4064" t="str">
        <f t="shared" si="378"/>
        <v xml:space="preserve"> ☘️ E1.0 shamrock</v>
      </c>
      <c r="F4064" t="b">
        <f t="shared" si="383"/>
        <v>0</v>
      </c>
      <c r="G4064" t="str">
        <f t="shared" si="379"/>
        <v>2618</v>
      </c>
      <c r="I4064">
        <f>HEX2DEC(Table1[[#This Row],[utf8]])</f>
        <v>9752</v>
      </c>
      <c r="J4064" t="str">
        <f>_xlfn.UNICHAR(HEX2DEC(Table1[[#This Row],[utf8]]))</f>
        <v>☘</v>
      </c>
      <c r="K4064" s="3" t="str" cm="1">
        <f t="array" ref="K4064">"Case "&amp;wRandomLetter()&amp;wRandomLetter()&amp;I4064&amp;":    UniConst = ChrW(" &amp; I4064 &amp;")"</f>
        <v>Case NH9752:    UniConst = ChrW(9752)</v>
      </c>
    </row>
    <row r="4065" spans="1:11">
      <c r="A4065" t="s">
        <v>303</v>
      </c>
      <c r="B4065" t="str">
        <f t="shared" si="380"/>
        <v>261D ; unqualified # ☝ E0.6 index pointing up</v>
      </c>
      <c r="C4065" t="str">
        <f t="shared" si="381"/>
        <v xml:space="preserve">261D </v>
      </c>
      <c r="D4065">
        <f t="shared" si="382"/>
        <v>5</v>
      </c>
      <c r="E4065" t="str">
        <f t="shared" si="378"/>
        <v xml:space="preserve"> ☝ E0.6 index pointing up</v>
      </c>
      <c r="F4065" t="b">
        <f t="shared" si="383"/>
        <v>0</v>
      </c>
      <c r="G4065" t="str">
        <f t="shared" si="379"/>
        <v>261D</v>
      </c>
      <c r="I4065">
        <f>HEX2DEC(Table1[[#This Row],[utf8]])</f>
        <v>9757</v>
      </c>
      <c r="J4065" t="str">
        <f>_xlfn.UNICHAR(HEX2DEC(Table1[[#This Row],[utf8]]))</f>
        <v>☝</v>
      </c>
      <c r="K4065" s="3" t="str" cm="1">
        <f t="array" ref="K4065">"Case "&amp;wRandomLetter()&amp;wRandomLetter()&amp;I4065&amp;":    UniConst = ChrW(" &amp; I4065 &amp;")"</f>
        <v>Case kX9757:    UniConst = ChrW(9757)</v>
      </c>
    </row>
    <row r="4066" spans="1:11">
      <c r="A4066" t="s">
        <v>304</v>
      </c>
      <c r="B4066" t="str">
        <f t="shared" si="380"/>
        <v>261D 1F3FB ; fully-qualified # ☝🏻 E1.0 index pointing up: light skin tone</v>
      </c>
      <c r="C4066" t="str">
        <f t="shared" si="381"/>
        <v xml:space="preserve">261D 1F3FB </v>
      </c>
      <c r="D4066">
        <f t="shared" si="382"/>
        <v>11</v>
      </c>
      <c r="E4066" t="str">
        <f t="shared" si="378"/>
        <v xml:space="preserve"> ☝🏻 E1.0 index pointing up: light skin tone</v>
      </c>
      <c r="F4066" t="b">
        <f t="shared" si="383"/>
        <v>0</v>
      </c>
      <c r="G4066" t="str">
        <f t="shared" si="379"/>
        <v>261D</v>
      </c>
      <c r="I4066">
        <f>HEX2DEC(Table1[[#This Row],[utf8]])</f>
        <v>9757</v>
      </c>
      <c r="J4066" t="str">
        <f>_xlfn.UNICHAR(HEX2DEC(Table1[[#This Row],[utf8]]))</f>
        <v>☝</v>
      </c>
      <c r="K4066" s="3" t="str" cm="1">
        <f t="array" ref="K4066">"Case "&amp;wRandomLetter()&amp;wRandomLetter()&amp;I4066&amp;":    UniConst = ChrW(" &amp; I4066 &amp;")"</f>
        <v>Case Cy9757:    UniConst = ChrW(9757)</v>
      </c>
    </row>
    <row r="4067" spans="1:11">
      <c r="A4067" t="s">
        <v>305</v>
      </c>
      <c r="B4067" t="str">
        <f t="shared" si="380"/>
        <v>261D 1F3FC ; fully-qualified # ☝🏼 E1.0 index pointing up: medium-light skin tone</v>
      </c>
      <c r="C4067" t="str">
        <f t="shared" si="381"/>
        <v xml:space="preserve">261D 1F3FC </v>
      </c>
      <c r="D4067">
        <f t="shared" si="382"/>
        <v>11</v>
      </c>
      <c r="E4067" t="str">
        <f t="shared" si="378"/>
        <v xml:space="preserve"> ☝🏼 E1.0 index pointing up: medium-light skin tone</v>
      </c>
      <c r="F4067" t="b">
        <f t="shared" si="383"/>
        <v>0</v>
      </c>
      <c r="G4067" t="str">
        <f t="shared" si="379"/>
        <v>261D</v>
      </c>
      <c r="I4067">
        <f>HEX2DEC(Table1[[#This Row],[utf8]])</f>
        <v>9757</v>
      </c>
      <c r="J4067" t="str">
        <f>_xlfn.UNICHAR(HEX2DEC(Table1[[#This Row],[utf8]]))</f>
        <v>☝</v>
      </c>
      <c r="K4067" s="3" t="str" cm="1">
        <f t="array" ref="K4067">"Case "&amp;wRandomLetter()&amp;wRandomLetter()&amp;I4067&amp;":    UniConst = ChrW(" &amp; I4067 &amp;")"</f>
        <v>Case vG9757:    UniConst = ChrW(9757)</v>
      </c>
    </row>
    <row r="4068" spans="1:11">
      <c r="A4068" t="s">
        <v>306</v>
      </c>
      <c r="B4068" t="str">
        <f t="shared" si="380"/>
        <v>261D 1F3FD ; fully-qualified # ☝🏽 E1.0 index pointing up: medium skin tone</v>
      </c>
      <c r="C4068" t="str">
        <f t="shared" si="381"/>
        <v xml:space="preserve">261D 1F3FD </v>
      </c>
      <c r="D4068">
        <f t="shared" si="382"/>
        <v>11</v>
      </c>
      <c r="E4068" t="str">
        <f t="shared" si="378"/>
        <v xml:space="preserve"> ☝🏽 E1.0 index pointing up: medium skin tone</v>
      </c>
      <c r="F4068" t="b">
        <f t="shared" si="383"/>
        <v>0</v>
      </c>
      <c r="G4068" t="str">
        <f t="shared" si="379"/>
        <v>261D</v>
      </c>
      <c r="I4068">
        <f>HEX2DEC(Table1[[#This Row],[utf8]])</f>
        <v>9757</v>
      </c>
      <c r="J4068" t="str">
        <f>_xlfn.UNICHAR(HEX2DEC(Table1[[#This Row],[utf8]]))</f>
        <v>☝</v>
      </c>
      <c r="K4068" s="3" t="str" cm="1">
        <f t="array" ref="K4068">"Case "&amp;wRandomLetter()&amp;wRandomLetter()&amp;I4068&amp;":    UniConst = ChrW(" &amp; I4068 &amp;")"</f>
        <v>Case gb9757:    UniConst = ChrW(9757)</v>
      </c>
    </row>
    <row r="4069" spans="1:11">
      <c r="A4069" t="s">
        <v>307</v>
      </c>
      <c r="B4069" t="str">
        <f t="shared" si="380"/>
        <v>261D 1F3FE ; fully-qualified # ☝🏾 E1.0 index pointing up: medium-dark skin tone</v>
      </c>
      <c r="C4069" t="str">
        <f t="shared" si="381"/>
        <v xml:space="preserve">261D 1F3FE </v>
      </c>
      <c r="D4069">
        <f t="shared" si="382"/>
        <v>11</v>
      </c>
      <c r="E4069" t="str">
        <f t="shared" si="378"/>
        <v xml:space="preserve"> ☝🏾 E1.0 index pointing up: medium-dark skin tone</v>
      </c>
      <c r="F4069" t="b">
        <f t="shared" si="383"/>
        <v>0</v>
      </c>
      <c r="G4069" t="str">
        <f t="shared" si="379"/>
        <v>261D</v>
      </c>
      <c r="I4069">
        <f>HEX2DEC(Table1[[#This Row],[utf8]])</f>
        <v>9757</v>
      </c>
      <c r="J4069" t="str">
        <f>_xlfn.UNICHAR(HEX2DEC(Table1[[#This Row],[utf8]]))</f>
        <v>☝</v>
      </c>
      <c r="K4069" s="3" t="str" cm="1">
        <f t="array" ref="K4069">"Case "&amp;wRandomLetter()&amp;wRandomLetter()&amp;I4069&amp;":    UniConst = ChrW(" &amp; I4069 &amp;")"</f>
        <v>Case SY9757:    UniConst = ChrW(9757)</v>
      </c>
    </row>
    <row r="4070" spans="1:11">
      <c r="A4070" t="s">
        <v>308</v>
      </c>
      <c r="B4070" t="str">
        <f t="shared" si="380"/>
        <v>261D 1F3FF ; fully-qualified # ☝🏿 E1.0 index pointing up: dark skin tone</v>
      </c>
      <c r="C4070" t="str">
        <f t="shared" si="381"/>
        <v xml:space="preserve">261D 1F3FF </v>
      </c>
      <c r="D4070">
        <f t="shared" si="382"/>
        <v>11</v>
      </c>
      <c r="E4070" t="str">
        <f t="shared" si="378"/>
        <v xml:space="preserve"> ☝🏿 E1.0 index pointing up: dark skin tone</v>
      </c>
      <c r="F4070" t="b">
        <f t="shared" si="383"/>
        <v>0</v>
      </c>
      <c r="G4070" t="str">
        <f t="shared" si="379"/>
        <v>261D</v>
      </c>
      <c r="I4070">
        <f>HEX2DEC(Table1[[#This Row],[utf8]])</f>
        <v>9757</v>
      </c>
      <c r="J4070" t="str">
        <f>_xlfn.UNICHAR(HEX2DEC(Table1[[#This Row],[utf8]]))</f>
        <v>☝</v>
      </c>
      <c r="K4070" s="3" t="str" cm="1">
        <f t="array" ref="K4070">"Case "&amp;wRandomLetter()&amp;wRandomLetter()&amp;I4070&amp;":    UniConst = ChrW(" &amp; I4070 &amp;")"</f>
        <v>Case Xs9757:    UniConst = ChrW(9757)</v>
      </c>
    </row>
    <row r="4071" spans="1:11">
      <c r="A4071" t="s">
        <v>302</v>
      </c>
      <c r="B4071" t="str">
        <f t="shared" si="380"/>
        <v>261D FE0F ; fully-qualified # ☝️ E0.6 index pointing up</v>
      </c>
      <c r="C4071" t="str">
        <f t="shared" si="381"/>
        <v xml:space="preserve">261D FE0F </v>
      </c>
      <c r="D4071">
        <f t="shared" si="382"/>
        <v>10</v>
      </c>
      <c r="E4071" t="str">
        <f t="shared" si="378"/>
        <v xml:space="preserve"> ☝️ E0.6 index pointing up</v>
      </c>
      <c r="F4071" t="b">
        <f t="shared" si="383"/>
        <v>0</v>
      </c>
      <c r="G4071" t="str">
        <f t="shared" si="379"/>
        <v>261D</v>
      </c>
      <c r="I4071">
        <f>HEX2DEC(Table1[[#This Row],[utf8]])</f>
        <v>9757</v>
      </c>
      <c r="J4071" t="str">
        <f>_xlfn.UNICHAR(HEX2DEC(Table1[[#This Row],[utf8]]))</f>
        <v>☝</v>
      </c>
      <c r="K4071" s="3" t="str" cm="1">
        <f t="array" ref="K4071">"Case "&amp;wRandomLetter()&amp;wRandomLetter()&amp;I4071&amp;":    UniConst = ChrW(" &amp; I4071 &amp;")"</f>
        <v>Case UO9757:    UniConst = ChrW(9757)</v>
      </c>
    </row>
    <row r="4072" spans="1:11">
      <c r="A4072" t="s">
        <v>114</v>
      </c>
      <c r="B4072" t="str">
        <f t="shared" si="380"/>
        <v>2620 ; unqualified # ☠ E1.0 skull and crossbones</v>
      </c>
      <c r="C4072" t="str">
        <f t="shared" si="381"/>
        <v xml:space="preserve">2620 </v>
      </c>
      <c r="D4072">
        <f t="shared" si="382"/>
        <v>5</v>
      </c>
      <c r="E4072" t="str">
        <f t="shared" si="378"/>
        <v xml:space="preserve"> ☠ E1.0 skull and crossbones</v>
      </c>
      <c r="F4072" t="b">
        <f t="shared" si="383"/>
        <v>0</v>
      </c>
      <c r="G4072" t="str">
        <f t="shared" si="379"/>
        <v>2620</v>
      </c>
      <c r="I4072">
        <f>HEX2DEC(Table1[[#This Row],[utf8]])</f>
        <v>9760</v>
      </c>
      <c r="J4072" t="str">
        <f>_xlfn.UNICHAR(HEX2DEC(Table1[[#This Row],[utf8]]))</f>
        <v>☠</v>
      </c>
      <c r="K4072" s="3" t="str" cm="1">
        <f t="array" ref="K4072">"Case "&amp;wRandomLetter()&amp;wRandomLetter()&amp;I4072&amp;":    UniConst = ChrW(" &amp; I4072 &amp;")"</f>
        <v>Case Bi9760:    UniConst = ChrW(9760)</v>
      </c>
    </row>
    <row r="4073" spans="1:11">
      <c r="A4073" t="s">
        <v>113</v>
      </c>
      <c r="B4073" t="str">
        <f t="shared" si="380"/>
        <v>2620 FE0F ; fully-qualified # ☠️ E1.0 skull and crossbones</v>
      </c>
      <c r="C4073" t="str">
        <f t="shared" si="381"/>
        <v xml:space="preserve">2620 FE0F </v>
      </c>
      <c r="D4073">
        <f t="shared" si="382"/>
        <v>10</v>
      </c>
      <c r="E4073" t="str">
        <f t="shared" si="378"/>
        <v xml:space="preserve"> ☠️ E1.0 skull and crossbones</v>
      </c>
      <c r="F4073" t="b">
        <f t="shared" si="383"/>
        <v>0</v>
      </c>
      <c r="G4073" t="str">
        <f t="shared" si="379"/>
        <v>2620</v>
      </c>
      <c r="I4073">
        <f>HEX2DEC(Table1[[#This Row],[utf8]])</f>
        <v>9760</v>
      </c>
      <c r="J4073" t="str">
        <f>_xlfn.UNICHAR(HEX2DEC(Table1[[#This Row],[utf8]]))</f>
        <v>☠</v>
      </c>
      <c r="K4073" s="3" t="str" cm="1">
        <f t="array" ref="K4073">"Case "&amp;wRandomLetter()&amp;wRandomLetter()&amp;I4073&amp;":    UniConst = ChrW(" &amp; I4073 &amp;")"</f>
        <v>Case Cy9760:    UniConst = ChrW(9760)</v>
      </c>
    </row>
    <row r="4074" spans="1:11">
      <c r="A4074" t="s">
        <v>4150</v>
      </c>
      <c r="B4074" t="str">
        <f t="shared" si="380"/>
        <v>2622 ; unqualified # ☢ E1.0 radioactive</v>
      </c>
      <c r="C4074" t="str">
        <f t="shared" si="381"/>
        <v xml:space="preserve">2622 </v>
      </c>
      <c r="D4074">
        <f t="shared" si="382"/>
        <v>5</v>
      </c>
      <c r="E4074" t="str">
        <f t="shared" si="378"/>
        <v xml:space="preserve"> ☢ E1.0 radioactive</v>
      </c>
      <c r="F4074" t="b">
        <f t="shared" si="383"/>
        <v>0</v>
      </c>
      <c r="G4074" t="str">
        <f t="shared" si="379"/>
        <v>2622</v>
      </c>
      <c r="I4074">
        <f>HEX2DEC(Table1[[#This Row],[utf8]])</f>
        <v>9762</v>
      </c>
      <c r="J4074" t="str">
        <f>_xlfn.UNICHAR(HEX2DEC(Table1[[#This Row],[utf8]]))</f>
        <v>☢</v>
      </c>
      <c r="K4074" s="3" t="str" cm="1">
        <f t="array" ref="K4074">"Case "&amp;wRandomLetter()&amp;wRandomLetter()&amp;I4074&amp;":    UniConst = ChrW(" &amp; I4074 &amp;")"</f>
        <v>Case Mp9762:    UniConst = ChrW(9762)</v>
      </c>
    </row>
    <row r="4075" spans="1:11">
      <c r="A4075" t="s">
        <v>4149</v>
      </c>
      <c r="B4075" t="str">
        <f t="shared" si="380"/>
        <v>2622 FE0F ; fully-qualified # ☢️ E1.0 radioactive</v>
      </c>
      <c r="C4075" t="str">
        <f t="shared" si="381"/>
        <v xml:space="preserve">2622 FE0F </v>
      </c>
      <c r="D4075">
        <f t="shared" si="382"/>
        <v>10</v>
      </c>
      <c r="E4075" t="str">
        <f t="shared" si="378"/>
        <v xml:space="preserve"> ☢️ E1.0 radioactive</v>
      </c>
      <c r="F4075" t="b">
        <f t="shared" si="383"/>
        <v>0</v>
      </c>
      <c r="G4075" t="str">
        <f t="shared" si="379"/>
        <v>2622</v>
      </c>
      <c r="I4075">
        <f>HEX2DEC(Table1[[#This Row],[utf8]])</f>
        <v>9762</v>
      </c>
      <c r="J4075" t="str">
        <f>_xlfn.UNICHAR(HEX2DEC(Table1[[#This Row],[utf8]]))</f>
        <v>☢</v>
      </c>
      <c r="K4075" s="3" t="str" cm="1">
        <f t="array" ref="K4075">"Case "&amp;wRandomLetter()&amp;wRandomLetter()&amp;I4075&amp;":    UniConst = ChrW(" &amp; I4075 &amp;")"</f>
        <v>Case BC9762:    UniConst = ChrW(9762)</v>
      </c>
    </row>
    <row r="4076" spans="1:11">
      <c r="A4076" t="s">
        <v>4152</v>
      </c>
      <c r="B4076" t="str">
        <f t="shared" si="380"/>
        <v>2623 ; unqualified # ☣ E1.0 biohazard</v>
      </c>
      <c r="C4076" t="str">
        <f t="shared" si="381"/>
        <v xml:space="preserve">2623 </v>
      </c>
      <c r="D4076">
        <f t="shared" si="382"/>
        <v>5</v>
      </c>
      <c r="E4076" t="str">
        <f t="shared" si="378"/>
        <v xml:space="preserve"> ☣ E1.0 biohazard</v>
      </c>
      <c r="F4076" t="b">
        <f t="shared" si="383"/>
        <v>0</v>
      </c>
      <c r="G4076" t="str">
        <f t="shared" si="379"/>
        <v>2623</v>
      </c>
      <c r="I4076">
        <f>HEX2DEC(Table1[[#This Row],[utf8]])</f>
        <v>9763</v>
      </c>
      <c r="J4076" t="str">
        <f>_xlfn.UNICHAR(HEX2DEC(Table1[[#This Row],[utf8]]))</f>
        <v>☣</v>
      </c>
      <c r="K4076" s="3" t="str" cm="1">
        <f t="array" ref="K4076">"Case "&amp;wRandomLetter()&amp;wRandomLetter()&amp;I4076&amp;":    UniConst = ChrW(" &amp; I4076 &amp;")"</f>
        <v>Case tw9763:    UniConst = ChrW(9763)</v>
      </c>
    </row>
    <row r="4077" spans="1:11">
      <c r="A4077" t="s">
        <v>4151</v>
      </c>
      <c r="B4077" t="str">
        <f t="shared" si="380"/>
        <v>2623 FE0F ; fully-qualified # ☣️ E1.0 biohazard</v>
      </c>
      <c r="C4077" t="str">
        <f t="shared" si="381"/>
        <v xml:space="preserve">2623 FE0F </v>
      </c>
      <c r="D4077">
        <f t="shared" si="382"/>
        <v>10</v>
      </c>
      <c r="E4077" t="str">
        <f t="shared" si="378"/>
        <v xml:space="preserve"> ☣️ E1.0 biohazard</v>
      </c>
      <c r="F4077" t="b">
        <f t="shared" si="383"/>
        <v>0</v>
      </c>
      <c r="G4077" t="str">
        <f t="shared" si="379"/>
        <v>2623</v>
      </c>
      <c r="I4077">
        <f>HEX2DEC(Table1[[#This Row],[utf8]])</f>
        <v>9763</v>
      </c>
      <c r="J4077" t="str">
        <f>_xlfn.UNICHAR(HEX2DEC(Table1[[#This Row],[utf8]]))</f>
        <v>☣</v>
      </c>
      <c r="K4077" s="3" t="str" cm="1">
        <f t="array" ref="K4077">"Case "&amp;wRandomLetter()&amp;wRandomLetter()&amp;I4077&amp;":    UniConst = ChrW(" &amp; I4077 &amp;")"</f>
        <v>Case ZP9763:    UniConst = ChrW(9763)</v>
      </c>
    </row>
    <row r="4078" spans="1:11">
      <c r="A4078" t="s">
        <v>4204</v>
      </c>
      <c r="B4078" t="str">
        <f t="shared" si="380"/>
        <v>2626 ; unqualified # ☦ E1.0 orthodox cross</v>
      </c>
      <c r="C4078" t="str">
        <f t="shared" si="381"/>
        <v xml:space="preserve">2626 </v>
      </c>
      <c r="D4078">
        <f t="shared" si="382"/>
        <v>5</v>
      </c>
      <c r="E4078" t="str">
        <f t="shared" si="378"/>
        <v xml:space="preserve"> ☦ E1.0 orthodox cross</v>
      </c>
      <c r="F4078" t="b">
        <f t="shared" si="383"/>
        <v>0</v>
      </c>
      <c r="G4078" t="str">
        <f t="shared" si="379"/>
        <v>2626</v>
      </c>
      <c r="I4078">
        <f>HEX2DEC(Table1[[#This Row],[utf8]])</f>
        <v>9766</v>
      </c>
      <c r="J4078" t="str">
        <f>_xlfn.UNICHAR(HEX2DEC(Table1[[#This Row],[utf8]]))</f>
        <v>☦</v>
      </c>
      <c r="K4078" s="3" t="str" cm="1">
        <f t="array" ref="K4078">"Case "&amp;wRandomLetter()&amp;wRandomLetter()&amp;I4078&amp;":    UniConst = ChrW(" &amp; I4078 &amp;")"</f>
        <v>Case gQ9766:    UniConst = ChrW(9766)</v>
      </c>
    </row>
    <row r="4079" spans="1:11">
      <c r="A4079" t="s">
        <v>4203</v>
      </c>
      <c r="B4079" t="str">
        <f t="shared" si="380"/>
        <v>2626 FE0F ; fully-qualified # ☦️ E1.0 orthodox cross</v>
      </c>
      <c r="C4079" t="str">
        <f t="shared" si="381"/>
        <v xml:space="preserve">2626 FE0F </v>
      </c>
      <c r="D4079">
        <f t="shared" si="382"/>
        <v>10</v>
      </c>
      <c r="E4079" t="str">
        <f t="shared" si="378"/>
        <v xml:space="preserve"> ☦️ E1.0 orthodox cross</v>
      </c>
      <c r="F4079" t="b">
        <f t="shared" si="383"/>
        <v>0</v>
      </c>
      <c r="G4079" t="str">
        <f t="shared" si="379"/>
        <v>2626</v>
      </c>
      <c r="I4079">
        <f>HEX2DEC(Table1[[#This Row],[utf8]])</f>
        <v>9766</v>
      </c>
      <c r="J4079" t="str">
        <f>_xlfn.UNICHAR(HEX2DEC(Table1[[#This Row],[utf8]]))</f>
        <v>☦</v>
      </c>
      <c r="K4079" s="3" t="str" cm="1">
        <f t="array" ref="K4079">"Case "&amp;wRandomLetter()&amp;wRandomLetter()&amp;I4079&amp;":    UniConst = ChrW(" &amp; I4079 &amp;")"</f>
        <v>Case xZ9766:    UniConst = ChrW(9766)</v>
      </c>
    </row>
    <row r="4080" spans="1:11">
      <c r="A4080" t="s">
        <v>4206</v>
      </c>
      <c r="B4080" t="str">
        <f t="shared" si="380"/>
        <v>262A ; unqualified # ☪ E0.7 star and crescent</v>
      </c>
      <c r="C4080" t="str">
        <f t="shared" si="381"/>
        <v xml:space="preserve">262A </v>
      </c>
      <c r="D4080">
        <f t="shared" si="382"/>
        <v>5</v>
      </c>
      <c r="E4080" t="str">
        <f t="shared" si="378"/>
        <v xml:space="preserve"> ☪ E0.7 star and crescent</v>
      </c>
      <c r="F4080" t="b">
        <f t="shared" si="383"/>
        <v>0</v>
      </c>
      <c r="G4080" t="str">
        <f t="shared" si="379"/>
        <v>262A</v>
      </c>
      <c r="I4080">
        <f>HEX2DEC(Table1[[#This Row],[utf8]])</f>
        <v>9770</v>
      </c>
      <c r="J4080" t="str">
        <f>_xlfn.UNICHAR(HEX2DEC(Table1[[#This Row],[utf8]]))</f>
        <v>☪</v>
      </c>
      <c r="K4080" s="3" t="str" cm="1">
        <f t="array" ref="K4080">"Case "&amp;wRandomLetter()&amp;wRandomLetter()&amp;I4080&amp;":    UniConst = ChrW(" &amp; I4080 &amp;")"</f>
        <v>Case Zh9770:    UniConst = ChrW(9770)</v>
      </c>
    </row>
    <row r="4081" spans="1:11">
      <c r="A4081" t="s">
        <v>4205</v>
      </c>
      <c r="B4081" t="str">
        <f t="shared" si="380"/>
        <v>262A FE0F ; fully-qualified # ☪️ E0.7 star and crescent</v>
      </c>
      <c r="C4081" t="str">
        <f t="shared" si="381"/>
        <v xml:space="preserve">262A FE0F </v>
      </c>
      <c r="D4081">
        <f t="shared" si="382"/>
        <v>10</v>
      </c>
      <c r="E4081" t="str">
        <f t="shared" si="378"/>
        <v xml:space="preserve"> ☪️ E0.7 star and crescent</v>
      </c>
      <c r="F4081" t="b">
        <f t="shared" si="383"/>
        <v>0</v>
      </c>
      <c r="G4081" t="str">
        <f t="shared" si="379"/>
        <v>262A</v>
      </c>
      <c r="I4081">
        <f>HEX2DEC(Table1[[#This Row],[utf8]])</f>
        <v>9770</v>
      </c>
      <c r="J4081" t="str">
        <f>_xlfn.UNICHAR(HEX2DEC(Table1[[#This Row],[utf8]]))</f>
        <v>☪</v>
      </c>
      <c r="K4081" s="3" t="str" cm="1">
        <f t="array" ref="K4081">"Case "&amp;wRandomLetter()&amp;wRandomLetter()&amp;I4081&amp;":    UniConst = ChrW(" &amp; I4081 &amp;")"</f>
        <v>Case GM9770:    UniConst = ChrW(9770)</v>
      </c>
    </row>
    <row r="4082" spans="1:11">
      <c r="A4082" t="s">
        <v>4208</v>
      </c>
      <c r="B4082" t="str">
        <f t="shared" si="380"/>
        <v>262E ; unqualified # ☮ E1.0 peace symbol</v>
      </c>
      <c r="C4082" t="str">
        <f t="shared" si="381"/>
        <v xml:space="preserve">262E </v>
      </c>
      <c r="D4082">
        <f t="shared" si="382"/>
        <v>5</v>
      </c>
      <c r="E4082" t="str">
        <f t="shared" si="378"/>
        <v xml:space="preserve"> ☮ E1.0 peace symbol</v>
      </c>
      <c r="F4082" t="b">
        <f t="shared" si="383"/>
        <v>0</v>
      </c>
      <c r="G4082" t="str">
        <f t="shared" si="379"/>
        <v>262E</v>
      </c>
      <c r="I4082">
        <f>HEX2DEC(Table1[[#This Row],[utf8]])</f>
        <v>9774</v>
      </c>
      <c r="J4082" t="str">
        <f>_xlfn.UNICHAR(HEX2DEC(Table1[[#This Row],[utf8]]))</f>
        <v>☮</v>
      </c>
      <c r="K4082" s="3" t="str" cm="1">
        <f t="array" ref="K4082">"Case "&amp;wRandomLetter()&amp;wRandomLetter()&amp;I4082&amp;":    UniConst = ChrW(" &amp; I4082 &amp;")"</f>
        <v>Case Yc9774:    UniConst = ChrW(9774)</v>
      </c>
    </row>
    <row r="4083" spans="1:11">
      <c r="A4083" t="s">
        <v>4207</v>
      </c>
      <c r="B4083" t="str">
        <f t="shared" si="380"/>
        <v>262E FE0F ; fully-qualified # ☮️ E1.0 peace symbol</v>
      </c>
      <c r="C4083" t="str">
        <f t="shared" si="381"/>
        <v xml:space="preserve">262E FE0F </v>
      </c>
      <c r="D4083">
        <f t="shared" si="382"/>
        <v>10</v>
      </c>
      <c r="E4083" t="str">
        <f t="shared" si="378"/>
        <v xml:space="preserve"> ☮️ E1.0 peace symbol</v>
      </c>
      <c r="F4083" t="b">
        <f t="shared" si="383"/>
        <v>0</v>
      </c>
      <c r="G4083" t="str">
        <f t="shared" si="379"/>
        <v>262E</v>
      </c>
      <c r="I4083">
        <f>HEX2DEC(Table1[[#This Row],[utf8]])</f>
        <v>9774</v>
      </c>
      <c r="J4083" t="str">
        <f>_xlfn.UNICHAR(HEX2DEC(Table1[[#This Row],[utf8]]))</f>
        <v>☮</v>
      </c>
      <c r="K4083" s="3" t="str" cm="1">
        <f t="array" ref="K4083">"Case "&amp;wRandomLetter()&amp;wRandomLetter()&amp;I4083&amp;":    UniConst = ChrW(" &amp; I4083 &amp;")"</f>
        <v>Case cm9774:    UniConst = ChrW(9774)</v>
      </c>
    </row>
    <row r="4084" spans="1:11">
      <c r="A4084" t="s">
        <v>4200</v>
      </c>
      <c r="B4084" t="str">
        <f t="shared" si="380"/>
        <v>262F ; unqualified # ☯ E0.7 yin yang</v>
      </c>
      <c r="C4084" t="str">
        <f t="shared" si="381"/>
        <v xml:space="preserve">262F </v>
      </c>
      <c r="D4084">
        <f t="shared" si="382"/>
        <v>5</v>
      </c>
      <c r="E4084" t="str">
        <f t="shared" si="378"/>
        <v xml:space="preserve"> ☯ E0.7 yin yang</v>
      </c>
      <c r="F4084" t="b">
        <f t="shared" si="383"/>
        <v>0</v>
      </c>
      <c r="G4084" t="str">
        <f t="shared" si="379"/>
        <v>262F</v>
      </c>
      <c r="I4084">
        <f>HEX2DEC(Table1[[#This Row],[utf8]])</f>
        <v>9775</v>
      </c>
      <c r="J4084" t="str">
        <f>_xlfn.UNICHAR(HEX2DEC(Table1[[#This Row],[utf8]]))</f>
        <v>☯</v>
      </c>
      <c r="K4084" s="3" t="str" cm="1">
        <f t="array" ref="K4084">"Case "&amp;wRandomLetter()&amp;wRandomLetter()&amp;I4084&amp;":    UniConst = ChrW(" &amp; I4084 &amp;")"</f>
        <v>Case zW9775:    UniConst = ChrW(9775)</v>
      </c>
    </row>
    <row r="4085" spans="1:11">
      <c r="A4085" t="s">
        <v>4199</v>
      </c>
      <c r="B4085" t="str">
        <f t="shared" si="380"/>
        <v>262F FE0F ; fully-qualified # ☯️ E0.7 yin yang</v>
      </c>
      <c r="C4085" t="str">
        <f t="shared" si="381"/>
        <v xml:space="preserve">262F FE0F </v>
      </c>
      <c r="D4085">
        <f t="shared" si="382"/>
        <v>10</v>
      </c>
      <c r="E4085" t="str">
        <f t="shared" si="378"/>
        <v xml:space="preserve"> ☯️ E0.7 yin yang</v>
      </c>
      <c r="F4085" t="b">
        <f t="shared" si="383"/>
        <v>0</v>
      </c>
      <c r="G4085" t="str">
        <f t="shared" si="379"/>
        <v>262F</v>
      </c>
      <c r="I4085">
        <f>HEX2DEC(Table1[[#This Row],[utf8]])</f>
        <v>9775</v>
      </c>
      <c r="J4085" t="str">
        <f>_xlfn.UNICHAR(HEX2DEC(Table1[[#This Row],[utf8]]))</f>
        <v>☯</v>
      </c>
      <c r="K4085" s="3" t="str" cm="1">
        <f t="array" ref="K4085">"Case "&amp;wRandomLetter()&amp;wRandomLetter()&amp;I4085&amp;":    UniConst = ChrW(" &amp; I4085 &amp;")"</f>
        <v>Case Rw9775:    UniConst = ChrW(9775)</v>
      </c>
    </row>
    <row r="4086" spans="1:11">
      <c r="A4086" t="s">
        <v>4198</v>
      </c>
      <c r="B4086" t="str">
        <f t="shared" si="380"/>
        <v>2638 ; unqualified # ☸ E0.7 wheel of dharma</v>
      </c>
      <c r="C4086" t="str">
        <f t="shared" si="381"/>
        <v xml:space="preserve">2638 </v>
      </c>
      <c r="D4086">
        <f t="shared" si="382"/>
        <v>5</v>
      </c>
      <c r="E4086" t="str">
        <f t="shared" si="378"/>
        <v xml:space="preserve"> ☸ E0.7 wheel of dharma</v>
      </c>
      <c r="F4086" t="b">
        <f t="shared" si="383"/>
        <v>0</v>
      </c>
      <c r="G4086" t="str">
        <f t="shared" si="379"/>
        <v>2638</v>
      </c>
      <c r="I4086">
        <f>HEX2DEC(Table1[[#This Row],[utf8]])</f>
        <v>9784</v>
      </c>
      <c r="J4086" t="str">
        <f>_xlfn.UNICHAR(HEX2DEC(Table1[[#This Row],[utf8]]))</f>
        <v>☸</v>
      </c>
      <c r="K4086" s="3" t="str" cm="1">
        <f t="array" ref="K4086">"Case "&amp;wRandomLetter()&amp;wRandomLetter()&amp;I4086&amp;":    UniConst = ChrW(" &amp; I4086 &amp;")"</f>
        <v>Case wd9784:    UniConst = ChrW(9784)</v>
      </c>
    </row>
    <row r="4087" spans="1:11">
      <c r="A4087" t="s">
        <v>4197</v>
      </c>
      <c r="B4087" t="str">
        <f t="shared" si="380"/>
        <v>2638 FE0F ; fully-qualified # ☸️ E0.7 wheel of dharma</v>
      </c>
      <c r="C4087" t="str">
        <f t="shared" si="381"/>
        <v xml:space="preserve">2638 FE0F </v>
      </c>
      <c r="D4087">
        <f t="shared" si="382"/>
        <v>10</v>
      </c>
      <c r="E4087" t="str">
        <f t="shared" si="378"/>
        <v xml:space="preserve"> ☸️ E0.7 wheel of dharma</v>
      </c>
      <c r="F4087" t="b">
        <f t="shared" si="383"/>
        <v>0</v>
      </c>
      <c r="G4087" t="str">
        <f t="shared" si="379"/>
        <v>2638</v>
      </c>
      <c r="I4087">
        <f>HEX2DEC(Table1[[#This Row],[utf8]])</f>
        <v>9784</v>
      </c>
      <c r="J4087" t="str">
        <f>_xlfn.UNICHAR(HEX2DEC(Table1[[#This Row],[utf8]]))</f>
        <v>☸</v>
      </c>
      <c r="K4087" s="3" t="str" cm="1">
        <f t="array" ref="K4087">"Case "&amp;wRandomLetter()&amp;wRandomLetter()&amp;I4087&amp;":    UniConst = ChrW(" &amp; I4087 &amp;")"</f>
        <v>Case Es9784:    UniConst = ChrW(9784)</v>
      </c>
    </row>
    <row r="4088" spans="1:11">
      <c r="A4088" t="s">
        <v>84</v>
      </c>
      <c r="B4088" t="str">
        <f t="shared" si="380"/>
        <v>2639 ; unqualified # ☹ E0.7 frowning face</v>
      </c>
      <c r="C4088" t="str">
        <f t="shared" si="381"/>
        <v xml:space="preserve">2639 </v>
      </c>
      <c r="D4088">
        <f t="shared" si="382"/>
        <v>5</v>
      </c>
      <c r="E4088" t="str">
        <f t="shared" si="378"/>
        <v xml:space="preserve"> ☹ E0.7 frowning face</v>
      </c>
      <c r="F4088" t="b">
        <f t="shared" si="383"/>
        <v>0</v>
      </c>
      <c r="G4088" t="str">
        <f t="shared" si="379"/>
        <v>2639</v>
      </c>
      <c r="I4088">
        <f>HEX2DEC(Table1[[#This Row],[utf8]])</f>
        <v>9785</v>
      </c>
      <c r="J4088" t="str">
        <f>_xlfn.UNICHAR(HEX2DEC(Table1[[#This Row],[utf8]]))</f>
        <v>☹</v>
      </c>
      <c r="K4088" s="3" t="str" cm="1">
        <f t="array" ref="K4088">"Case "&amp;wRandomLetter()&amp;wRandomLetter()&amp;I4088&amp;":    UniConst = ChrW(" &amp; I4088 &amp;")"</f>
        <v>Case QZ9785:    UniConst = ChrW(9785)</v>
      </c>
    </row>
    <row r="4089" spans="1:11">
      <c r="A4089" t="s">
        <v>83</v>
      </c>
      <c r="B4089" t="str">
        <f t="shared" si="380"/>
        <v>2639 FE0F ; fully-qualified # ☹️ E0.7 frowning face</v>
      </c>
      <c r="C4089" t="str">
        <f t="shared" si="381"/>
        <v xml:space="preserve">2639 FE0F </v>
      </c>
      <c r="D4089">
        <f t="shared" si="382"/>
        <v>10</v>
      </c>
      <c r="E4089" t="str">
        <f t="shared" si="378"/>
        <v xml:space="preserve"> ☹️ E0.7 frowning face</v>
      </c>
      <c r="F4089" t="b">
        <f t="shared" si="383"/>
        <v>0</v>
      </c>
      <c r="G4089" t="str">
        <f t="shared" si="379"/>
        <v>2639</v>
      </c>
      <c r="I4089">
        <f>HEX2DEC(Table1[[#This Row],[utf8]])</f>
        <v>9785</v>
      </c>
      <c r="J4089" t="str">
        <f>_xlfn.UNICHAR(HEX2DEC(Table1[[#This Row],[utf8]]))</f>
        <v>☹</v>
      </c>
      <c r="K4089" s="3" t="str" cm="1">
        <f t="array" ref="K4089">"Case "&amp;wRandomLetter()&amp;wRandomLetter()&amp;I4089&amp;":    UniConst = ChrW(" &amp; I4089 &amp;")"</f>
        <v>Case Yc9785:    UniConst = ChrW(9785)</v>
      </c>
    </row>
    <row r="4090" spans="1:11">
      <c r="A4090" t="s">
        <v>22</v>
      </c>
      <c r="B4090" t="str">
        <f t="shared" si="380"/>
        <v>263A ; unqualified # ☺ E0.6 smiling face</v>
      </c>
      <c r="C4090" t="str">
        <f t="shared" si="381"/>
        <v xml:space="preserve">263A </v>
      </c>
      <c r="D4090">
        <f t="shared" si="382"/>
        <v>5</v>
      </c>
      <c r="E4090" t="str">
        <f t="shared" si="378"/>
        <v xml:space="preserve"> ☺ E0.6 smiling face</v>
      </c>
      <c r="F4090" t="b">
        <f t="shared" si="383"/>
        <v>0</v>
      </c>
      <c r="G4090" t="str">
        <f t="shared" si="379"/>
        <v>263A</v>
      </c>
      <c r="I4090">
        <f>HEX2DEC(Table1[[#This Row],[utf8]])</f>
        <v>9786</v>
      </c>
      <c r="J4090" t="str">
        <f>_xlfn.UNICHAR(HEX2DEC(Table1[[#This Row],[utf8]]))</f>
        <v>☺</v>
      </c>
      <c r="K4090" s="3" t="str" cm="1">
        <f t="array" ref="K4090">"Case "&amp;wRandomLetter()&amp;wRandomLetter()&amp;I4090&amp;":    UniConst = ChrW(" &amp; I4090 &amp;")"</f>
        <v>Case Ql9786:    UniConst = ChrW(9786)</v>
      </c>
    </row>
    <row r="4091" spans="1:11">
      <c r="A4091" t="s">
        <v>21</v>
      </c>
      <c r="B4091" t="str">
        <f t="shared" si="380"/>
        <v>263A FE0F ; fully-qualified # ☺️ E0.6 smiling face</v>
      </c>
      <c r="C4091" t="str">
        <f t="shared" si="381"/>
        <v xml:space="preserve">263A FE0F </v>
      </c>
      <c r="D4091">
        <f t="shared" si="382"/>
        <v>10</v>
      </c>
      <c r="E4091" t="str">
        <f t="shared" si="378"/>
        <v xml:space="preserve"> ☺️ E0.6 smiling face</v>
      </c>
      <c r="F4091" t="b">
        <f t="shared" si="383"/>
        <v>0</v>
      </c>
      <c r="G4091" t="str">
        <f t="shared" si="379"/>
        <v>263A</v>
      </c>
      <c r="I4091">
        <f>HEX2DEC(Table1[[#This Row],[utf8]])</f>
        <v>9786</v>
      </c>
      <c r="J4091" t="str">
        <f>_xlfn.UNICHAR(HEX2DEC(Table1[[#This Row],[utf8]]))</f>
        <v>☺</v>
      </c>
      <c r="K4091" s="3" t="str" cm="1">
        <f t="array" ref="K4091">"Case "&amp;wRandomLetter()&amp;wRandomLetter()&amp;I4091&amp;":    UniConst = ChrW(" &amp; I4091 &amp;")"</f>
        <v>Case CA9786:    UniConst = ChrW(9786)</v>
      </c>
    </row>
    <row r="4092" spans="1:11">
      <c r="A4092" t="s">
        <v>4261</v>
      </c>
      <c r="B4092" t="str">
        <f t="shared" si="380"/>
        <v>2640 ; unqualified # ♀ E4.0 female sign</v>
      </c>
      <c r="C4092" t="str">
        <f t="shared" si="381"/>
        <v xml:space="preserve">2640 </v>
      </c>
      <c r="D4092">
        <f t="shared" si="382"/>
        <v>5</v>
      </c>
      <c r="E4092" t="str">
        <f t="shared" si="378"/>
        <v xml:space="preserve"> ♀ E4.0 female sign</v>
      </c>
      <c r="F4092" t="b">
        <f t="shared" si="383"/>
        <v>0</v>
      </c>
      <c r="G4092" t="str">
        <f t="shared" si="379"/>
        <v>2640</v>
      </c>
      <c r="I4092">
        <f>HEX2DEC(Table1[[#This Row],[utf8]])</f>
        <v>9792</v>
      </c>
      <c r="J4092" t="str">
        <f>_xlfn.UNICHAR(HEX2DEC(Table1[[#This Row],[utf8]]))</f>
        <v>♀</v>
      </c>
      <c r="K4092" s="3" t="str" cm="1">
        <f t="array" ref="K4092">"Case "&amp;wRandomLetter()&amp;wRandomLetter()&amp;I4092&amp;":    UniConst = ChrW(" &amp; I4092 &amp;")"</f>
        <v>Case SU9792:    UniConst = ChrW(9792)</v>
      </c>
    </row>
    <row r="4093" spans="1:11">
      <c r="A4093" t="s">
        <v>4260</v>
      </c>
      <c r="B4093" t="str">
        <f t="shared" si="380"/>
        <v>2640 FE0F ; fully-qualified # ♀️ E4.0 female sign</v>
      </c>
      <c r="C4093" t="str">
        <f t="shared" si="381"/>
        <v xml:space="preserve">2640 FE0F </v>
      </c>
      <c r="D4093">
        <f t="shared" si="382"/>
        <v>10</v>
      </c>
      <c r="E4093" t="str">
        <f t="shared" si="378"/>
        <v xml:space="preserve"> ♀️ E4.0 female sign</v>
      </c>
      <c r="F4093" t="b">
        <f t="shared" si="383"/>
        <v>0</v>
      </c>
      <c r="G4093" t="str">
        <f t="shared" si="379"/>
        <v>2640</v>
      </c>
      <c r="I4093">
        <f>HEX2DEC(Table1[[#This Row],[utf8]])</f>
        <v>9792</v>
      </c>
      <c r="J4093" t="str">
        <f>_xlfn.UNICHAR(HEX2DEC(Table1[[#This Row],[utf8]]))</f>
        <v>♀</v>
      </c>
      <c r="K4093" s="3" t="str" cm="1">
        <f t="array" ref="K4093">"Case "&amp;wRandomLetter()&amp;wRandomLetter()&amp;I4093&amp;":    UniConst = ChrW(" &amp; I4093 &amp;")"</f>
        <v>Case wC9792:    UniConst = ChrW(9792)</v>
      </c>
    </row>
    <row r="4094" spans="1:11">
      <c r="A4094" t="s">
        <v>4263</v>
      </c>
      <c r="B4094" t="str">
        <f t="shared" si="380"/>
        <v>2642 ; unqualified # ♂ E4.0 male sign</v>
      </c>
      <c r="C4094" t="str">
        <f t="shared" si="381"/>
        <v xml:space="preserve">2642 </v>
      </c>
      <c r="D4094">
        <f t="shared" si="382"/>
        <v>5</v>
      </c>
      <c r="E4094" t="str">
        <f t="shared" si="378"/>
        <v xml:space="preserve"> ♂ E4.0 male sign</v>
      </c>
      <c r="F4094" t="b">
        <f t="shared" si="383"/>
        <v>0</v>
      </c>
      <c r="G4094" t="str">
        <f t="shared" si="379"/>
        <v>2642</v>
      </c>
      <c r="I4094">
        <f>HEX2DEC(Table1[[#This Row],[utf8]])</f>
        <v>9794</v>
      </c>
      <c r="J4094" t="str">
        <f>_xlfn.UNICHAR(HEX2DEC(Table1[[#This Row],[utf8]]))</f>
        <v>♂</v>
      </c>
      <c r="K4094" s="3" t="str" cm="1">
        <f t="array" ref="K4094">"Case "&amp;wRandomLetter()&amp;wRandomLetter()&amp;I4094&amp;":    UniConst = ChrW(" &amp; I4094 &amp;")"</f>
        <v>Case Fm9794:    UniConst = ChrW(9794)</v>
      </c>
    </row>
    <row r="4095" spans="1:11">
      <c r="A4095" t="s">
        <v>4262</v>
      </c>
      <c r="B4095" t="str">
        <f t="shared" si="380"/>
        <v>2642 FE0F ; fully-qualified # ♂️ E4.0 male sign</v>
      </c>
      <c r="C4095" t="str">
        <f t="shared" si="381"/>
        <v xml:space="preserve">2642 FE0F </v>
      </c>
      <c r="D4095">
        <f t="shared" si="382"/>
        <v>10</v>
      </c>
      <c r="E4095" t="str">
        <f t="shared" si="378"/>
        <v xml:space="preserve"> ♂️ E4.0 male sign</v>
      </c>
      <c r="F4095" t="b">
        <f t="shared" si="383"/>
        <v>0</v>
      </c>
      <c r="G4095" t="str">
        <f t="shared" si="379"/>
        <v>2642</v>
      </c>
      <c r="I4095">
        <f>HEX2DEC(Table1[[#This Row],[utf8]])</f>
        <v>9794</v>
      </c>
      <c r="J4095" t="str">
        <f>_xlfn.UNICHAR(HEX2DEC(Table1[[#This Row],[utf8]]))</f>
        <v>♂</v>
      </c>
      <c r="K4095" s="3" t="str" cm="1">
        <f t="array" ref="K4095">"Case "&amp;wRandomLetter()&amp;wRandomLetter()&amp;I4095&amp;":    UniConst = ChrW(" &amp; I4095 &amp;")"</f>
        <v>Case Nd9794:    UniConst = ChrW(9794)</v>
      </c>
    </row>
    <row r="4096" spans="1:11">
      <c r="A4096" t="s">
        <v>4212</v>
      </c>
      <c r="B4096" t="str">
        <f t="shared" si="380"/>
        <v>2648 ; fully-qualified # ♈ E0.6 Aries</v>
      </c>
      <c r="C4096" t="str">
        <f t="shared" si="381"/>
        <v xml:space="preserve">2648 </v>
      </c>
      <c r="D4096">
        <f t="shared" si="382"/>
        <v>5</v>
      </c>
      <c r="E4096" t="str">
        <f t="shared" si="378"/>
        <v xml:space="preserve"> ♈ E0.6 Aries</v>
      </c>
      <c r="F4096" t="b">
        <f t="shared" si="383"/>
        <v>0</v>
      </c>
      <c r="G4096" t="str">
        <f t="shared" si="379"/>
        <v>2648</v>
      </c>
      <c r="I4096">
        <f>HEX2DEC(Table1[[#This Row],[utf8]])</f>
        <v>9800</v>
      </c>
      <c r="J4096" t="str">
        <f>_xlfn.UNICHAR(HEX2DEC(Table1[[#This Row],[utf8]]))</f>
        <v>♈</v>
      </c>
      <c r="K4096" s="3" t="str" cm="1">
        <f t="array" ref="K4096">"Case "&amp;wRandomLetter()&amp;wRandomLetter()&amp;I4096&amp;":    UniConst = ChrW(" &amp; I4096 &amp;")"</f>
        <v>Case HL9800:    UniConst = ChrW(9800)</v>
      </c>
    </row>
    <row r="4097" spans="1:11">
      <c r="A4097" t="s">
        <v>4213</v>
      </c>
      <c r="B4097" t="str">
        <f t="shared" si="380"/>
        <v>2649 ; fully-qualified # ♉ E0.6 Taurus</v>
      </c>
      <c r="C4097" t="str">
        <f t="shared" si="381"/>
        <v xml:space="preserve">2649 </v>
      </c>
      <c r="D4097">
        <f t="shared" si="382"/>
        <v>5</v>
      </c>
      <c r="E4097" t="str">
        <f t="shared" si="378"/>
        <v xml:space="preserve"> ♉ E0.6 Taurus</v>
      </c>
      <c r="F4097" t="b">
        <f t="shared" si="383"/>
        <v>0</v>
      </c>
      <c r="G4097" t="str">
        <f t="shared" si="379"/>
        <v>2649</v>
      </c>
      <c r="I4097">
        <f>HEX2DEC(Table1[[#This Row],[utf8]])</f>
        <v>9801</v>
      </c>
      <c r="J4097" t="str">
        <f>_xlfn.UNICHAR(HEX2DEC(Table1[[#This Row],[utf8]]))</f>
        <v>♉</v>
      </c>
      <c r="K4097" s="3" t="str" cm="1">
        <f t="array" ref="K4097">"Case "&amp;wRandomLetter()&amp;wRandomLetter()&amp;I4097&amp;":    UniConst = ChrW(" &amp; I4097 &amp;")"</f>
        <v>Case Wg9801:    UniConst = ChrW(9801)</v>
      </c>
    </row>
    <row r="4098" spans="1:11">
      <c r="A4098" t="s">
        <v>4214</v>
      </c>
      <c r="B4098" t="str">
        <f t="shared" si="380"/>
        <v>264A ; fully-qualified # ♊ E0.6 Gemini</v>
      </c>
      <c r="C4098" t="str">
        <f t="shared" si="381"/>
        <v xml:space="preserve">264A </v>
      </c>
      <c r="D4098">
        <f t="shared" si="382"/>
        <v>5</v>
      </c>
      <c r="E4098" t="str">
        <f t="shared" ref="E4098:E4161" si="384">MID(A4098,FIND("#",A4098)+1,256)</f>
        <v xml:space="preserve"> ♊ E0.6 Gemini</v>
      </c>
      <c r="F4098" t="b">
        <f t="shared" si="383"/>
        <v>0</v>
      </c>
      <c r="G4098" t="str">
        <f t="shared" ref="G4098:G4161" si="385">LEFT(C4098,(FIND(" ",C4098,1)-1))</f>
        <v>264A</v>
      </c>
      <c r="I4098">
        <f>HEX2DEC(Table1[[#This Row],[utf8]])</f>
        <v>9802</v>
      </c>
      <c r="J4098" t="str">
        <f>_xlfn.UNICHAR(HEX2DEC(Table1[[#This Row],[utf8]]))</f>
        <v>♊</v>
      </c>
      <c r="K4098" s="3" t="str" cm="1">
        <f t="array" ref="K4098">"Case "&amp;wRandomLetter()&amp;wRandomLetter()&amp;I4098&amp;":    UniConst = ChrW(" &amp; I4098 &amp;")"</f>
        <v>Case vR9802:    UniConst = ChrW(9802)</v>
      </c>
    </row>
    <row r="4099" spans="1:11">
      <c r="A4099" t="s">
        <v>4215</v>
      </c>
      <c r="B4099" t="str">
        <f t="shared" ref="B4099:B4162" si="386">TRIM(A4099)</f>
        <v>264B ; fully-qualified # ♋ E0.6 Cancer</v>
      </c>
      <c r="C4099" t="str">
        <f t="shared" ref="C4099:C4162" si="387">LEFT(B4099,(FIND(";",B4099,1)-1))</f>
        <v xml:space="preserve">264B </v>
      </c>
      <c r="D4099">
        <f t="shared" ref="D4099:D4162" si="388">LEN(C4099)</f>
        <v>5</v>
      </c>
      <c r="E4099" t="str">
        <f t="shared" si="384"/>
        <v xml:space="preserve"> ♋ E0.6 Cancer</v>
      </c>
      <c r="F4099" t="b">
        <f t="shared" ref="F4099:F4162" si="389">IF(LEFT(C4099,2)="1F",TRUE,FALSE)</f>
        <v>0</v>
      </c>
      <c r="G4099" t="str">
        <f t="shared" si="385"/>
        <v>264B</v>
      </c>
      <c r="I4099">
        <f>HEX2DEC(Table1[[#This Row],[utf8]])</f>
        <v>9803</v>
      </c>
      <c r="J4099" t="str">
        <f>_xlfn.UNICHAR(HEX2DEC(Table1[[#This Row],[utf8]]))</f>
        <v>♋</v>
      </c>
      <c r="K4099" s="3" t="str" cm="1">
        <f t="array" ref="K4099">"Case "&amp;wRandomLetter()&amp;wRandomLetter()&amp;I4099&amp;":    UniConst = ChrW(" &amp; I4099 &amp;")"</f>
        <v>Case PC9803:    UniConst = ChrW(9803)</v>
      </c>
    </row>
    <row r="4100" spans="1:11">
      <c r="A4100" t="s">
        <v>4216</v>
      </c>
      <c r="B4100" t="str">
        <f t="shared" si="386"/>
        <v>264C ; fully-qualified # ♌ E0.6 Leo</v>
      </c>
      <c r="C4100" t="str">
        <f t="shared" si="387"/>
        <v xml:space="preserve">264C </v>
      </c>
      <c r="D4100">
        <f t="shared" si="388"/>
        <v>5</v>
      </c>
      <c r="E4100" t="str">
        <f t="shared" si="384"/>
        <v xml:space="preserve"> ♌ E0.6 Leo</v>
      </c>
      <c r="F4100" t="b">
        <f t="shared" si="389"/>
        <v>0</v>
      </c>
      <c r="G4100" t="str">
        <f t="shared" si="385"/>
        <v>264C</v>
      </c>
      <c r="I4100">
        <f>HEX2DEC(Table1[[#This Row],[utf8]])</f>
        <v>9804</v>
      </c>
      <c r="J4100" t="str">
        <f>_xlfn.UNICHAR(HEX2DEC(Table1[[#This Row],[utf8]]))</f>
        <v>♌</v>
      </c>
      <c r="K4100" s="3" t="str" cm="1">
        <f t="array" ref="K4100">"Case "&amp;wRandomLetter()&amp;wRandomLetter()&amp;I4100&amp;":    UniConst = ChrW(" &amp; I4100 &amp;")"</f>
        <v>Case Da9804:    UniConst = ChrW(9804)</v>
      </c>
    </row>
    <row r="4101" spans="1:11">
      <c r="A4101" t="s">
        <v>4217</v>
      </c>
      <c r="B4101" t="str">
        <f t="shared" si="386"/>
        <v>264D ; fully-qualified # ♍ E0.6 Virgo</v>
      </c>
      <c r="C4101" t="str">
        <f t="shared" si="387"/>
        <v xml:space="preserve">264D </v>
      </c>
      <c r="D4101">
        <f t="shared" si="388"/>
        <v>5</v>
      </c>
      <c r="E4101" t="str">
        <f t="shared" si="384"/>
        <v xml:space="preserve"> ♍ E0.6 Virgo</v>
      </c>
      <c r="F4101" t="b">
        <f t="shared" si="389"/>
        <v>0</v>
      </c>
      <c r="G4101" t="str">
        <f t="shared" si="385"/>
        <v>264D</v>
      </c>
      <c r="I4101">
        <f>HEX2DEC(Table1[[#This Row],[utf8]])</f>
        <v>9805</v>
      </c>
      <c r="J4101" t="str">
        <f>_xlfn.UNICHAR(HEX2DEC(Table1[[#This Row],[utf8]]))</f>
        <v>♍</v>
      </c>
      <c r="K4101" s="3" t="str" cm="1">
        <f t="array" ref="K4101">"Case "&amp;wRandomLetter()&amp;wRandomLetter()&amp;I4101&amp;":    UniConst = ChrW(" &amp; I4101 &amp;")"</f>
        <v>Case cT9805:    UniConst = ChrW(9805)</v>
      </c>
    </row>
    <row r="4102" spans="1:11">
      <c r="A4102" t="s">
        <v>4218</v>
      </c>
      <c r="B4102" t="str">
        <f t="shared" si="386"/>
        <v>264E ; fully-qualified # ♎ E0.6 Libra</v>
      </c>
      <c r="C4102" t="str">
        <f t="shared" si="387"/>
        <v xml:space="preserve">264E </v>
      </c>
      <c r="D4102">
        <f t="shared" si="388"/>
        <v>5</v>
      </c>
      <c r="E4102" t="str">
        <f t="shared" si="384"/>
        <v xml:space="preserve"> ♎ E0.6 Libra</v>
      </c>
      <c r="F4102" t="b">
        <f t="shared" si="389"/>
        <v>0</v>
      </c>
      <c r="G4102" t="str">
        <f t="shared" si="385"/>
        <v>264E</v>
      </c>
      <c r="I4102">
        <f>HEX2DEC(Table1[[#This Row],[utf8]])</f>
        <v>9806</v>
      </c>
      <c r="J4102" t="str">
        <f>_xlfn.UNICHAR(HEX2DEC(Table1[[#This Row],[utf8]]))</f>
        <v>♎</v>
      </c>
      <c r="K4102" s="3" t="str" cm="1">
        <f t="array" ref="K4102">"Case "&amp;wRandomLetter()&amp;wRandomLetter()&amp;I4102&amp;":    UniConst = ChrW(" &amp; I4102 &amp;")"</f>
        <v>Case rQ9806:    UniConst = ChrW(9806)</v>
      </c>
    </row>
    <row r="4103" spans="1:11">
      <c r="A4103" t="s">
        <v>4219</v>
      </c>
      <c r="B4103" t="str">
        <f t="shared" si="386"/>
        <v>264F ; fully-qualified # ♏ E0.6 Scorpio</v>
      </c>
      <c r="C4103" t="str">
        <f t="shared" si="387"/>
        <v xml:space="preserve">264F </v>
      </c>
      <c r="D4103">
        <f t="shared" si="388"/>
        <v>5</v>
      </c>
      <c r="E4103" t="str">
        <f t="shared" si="384"/>
        <v xml:space="preserve"> ♏ E0.6 Scorpio</v>
      </c>
      <c r="F4103" t="b">
        <f t="shared" si="389"/>
        <v>0</v>
      </c>
      <c r="G4103" t="str">
        <f t="shared" si="385"/>
        <v>264F</v>
      </c>
      <c r="I4103">
        <f>HEX2DEC(Table1[[#This Row],[utf8]])</f>
        <v>9807</v>
      </c>
      <c r="J4103" t="str">
        <f>_xlfn.UNICHAR(HEX2DEC(Table1[[#This Row],[utf8]]))</f>
        <v>♏</v>
      </c>
      <c r="K4103" s="3" t="str" cm="1">
        <f t="array" ref="K4103">"Case "&amp;wRandomLetter()&amp;wRandomLetter()&amp;I4103&amp;":    UniConst = ChrW(" &amp; I4103 &amp;")"</f>
        <v>Case Co9807:    UniConst = ChrW(9807)</v>
      </c>
    </row>
    <row r="4104" spans="1:11">
      <c r="A4104" t="s">
        <v>4220</v>
      </c>
      <c r="B4104" t="str">
        <f t="shared" si="386"/>
        <v>2650 ; fully-qualified # ♐ E0.6 Sagittarius</v>
      </c>
      <c r="C4104" t="str">
        <f t="shared" si="387"/>
        <v xml:space="preserve">2650 </v>
      </c>
      <c r="D4104">
        <f t="shared" si="388"/>
        <v>5</v>
      </c>
      <c r="E4104" t="str">
        <f t="shared" si="384"/>
        <v xml:space="preserve"> ♐ E0.6 Sagittarius</v>
      </c>
      <c r="F4104" t="b">
        <f t="shared" si="389"/>
        <v>0</v>
      </c>
      <c r="G4104" t="str">
        <f t="shared" si="385"/>
        <v>2650</v>
      </c>
      <c r="I4104">
        <f>HEX2DEC(Table1[[#This Row],[utf8]])</f>
        <v>9808</v>
      </c>
      <c r="J4104" t="str">
        <f>_xlfn.UNICHAR(HEX2DEC(Table1[[#This Row],[utf8]]))</f>
        <v>♐</v>
      </c>
      <c r="K4104" s="3" t="str" cm="1">
        <f t="array" ref="K4104">"Case "&amp;wRandomLetter()&amp;wRandomLetter()&amp;I4104&amp;":    UniConst = ChrW(" &amp; I4104 &amp;")"</f>
        <v>Case oK9808:    UniConst = ChrW(9808)</v>
      </c>
    </row>
    <row r="4105" spans="1:11">
      <c r="A4105" t="s">
        <v>4221</v>
      </c>
      <c r="B4105" t="str">
        <f t="shared" si="386"/>
        <v>2651 ; fully-qualified # ♑ E0.6 Capricorn</v>
      </c>
      <c r="C4105" t="str">
        <f t="shared" si="387"/>
        <v xml:space="preserve">2651 </v>
      </c>
      <c r="D4105">
        <f t="shared" si="388"/>
        <v>5</v>
      </c>
      <c r="E4105" t="str">
        <f t="shared" si="384"/>
        <v xml:space="preserve"> ♑ E0.6 Capricorn</v>
      </c>
      <c r="F4105" t="b">
        <f t="shared" si="389"/>
        <v>0</v>
      </c>
      <c r="G4105" t="str">
        <f t="shared" si="385"/>
        <v>2651</v>
      </c>
      <c r="I4105">
        <f>HEX2DEC(Table1[[#This Row],[utf8]])</f>
        <v>9809</v>
      </c>
      <c r="J4105" t="str">
        <f>_xlfn.UNICHAR(HEX2DEC(Table1[[#This Row],[utf8]]))</f>
        <v>♑</v>
      </c>
      <c r="K4105" s="3" t="str" cm="1">
        <f t="array" ref="K4105">"Case "&amp;wRandomLetter()&amp;wRandomLetter()&amp;I4105&amp;":    UniConst = ChrW(" &amp; I4105 &amp;")"</f>
        <v>Case DI9809:    UniConst = ChrW(9809)</v>
      </c>
    </row>
    <row r="4106" spans="1:11">
      <c r="A4106" t="s">
        <v>4222</v>
      </c>
      <c r="B4106" t="str">
        <f t="shared" si="386"/>
        <v>2652 ; fully-qualified # ♒ E0.6 Aquarius</v>
      </c>
      <c r="C4106" t="str">
        <f t="shared" si="387"/>
        <v xml:space="preserve">2652 </v>
      </c>
      <c r="D4106">
        <f t="shared" si="388"/>
        <v>5</v>
      </c>
      <c r="E4106" t="str">
        <f t="shared" si="384"/>
        <v xml:space="preserve"> ♒ E0.6 Aquarius</v>
      </c>
      <c r="F4106" t="b">
        <f t="shared" si="389"/>
        <v>0</v>
      </c>
      <c r="G4106" t="str">
        <f t="shared" si="385"/>
        <v>2652</v>
      </c>
      <c r="I4106">
        <f>HEX2DEC(Table1[[#This Row],[utf8]])</f>
        <v>9810</v>
      </c>
      <c r="J4106" t="str">
        <f>_xlfn.UNICHAR(HEX2DEC(Table1[[#This Row],[utf8]]))</f>
        <v>♒</v>
      </c>
      <c r="K4106" s="3" t="str" cm="1">
        <f t="array" ref="K4106">"Case "&amp;wRandomLetter()&amp;wRandomLetter()&amp;I4106&amp;":    UniConst = ChrW(" &amp; I4106 &amp;")"</f>
        <v>Case BS9810:    UniConst = ChrW(9810)</v>
      </c>
    </row>
    <row r="4107" spans="1:11">
      <c r="A4107" t="s">
        <v>4223</v>
      </c>
      <c r="B4107" t="str">
        <f t="shared" si="386"/>
        <v>2653 ; fully-qualified # ♓ E0.6 Pisces</v>
      </c>
      <c r="C4107" t="str">
        <f t="shared" si="387"/>
        <v xml:space="preserve">2653 </v>
      </c>
      <c r="D4107">
        <f t="shared" si="388"/>
        <v>5</v>
      </c>
      <c r="E4107" t="str">
        <f t="shared" si="384"/>
        <v xml:space="preserve"> ♓ E0.6 Pisces</v>
      </c>
      <c r="F4107" t="b">
        <f t="shared" si="389"/>
        <v>0</v>
      </c>
      <c r="G4107" t="str">
        <f t="shared" si="385"/>
        <v>2653</v>
      </c>
      <c r="I4107">
        <f>HEX2DEC(Table1[[#This Row],[utf8]])</f>
        <v>9811</v>
      </c>
      <c r="J4107" t="str">
        <f>_xlfn.UNICHAR(HEX2DEC(Table1[[#This Row],[utf8]]))</f>
        <v>♓</v>
      </c>
      <c r="K4107" s="3" t="str" cm="1">
        <f t="array" ref="K4107">"Case "&amp;wRandomLetter()&amp;wRandomLetter()&amp;I4107&amp;":    UniConst = ChrW(" &amp; I4107 &amp;")"</f>
        <v>Case nP9811:    UniConst = ChrW(9811)</v>
      </c>
    </row>
    <row r="4108" spans="1:11">
      <c r="A4108" t="s">
        <v>3786</v>
      </c>
      <c r="B4108" t="str">
        <f t="shared" si="386"/>
        <v>265F ; unqualified # ♟ E11.0 chess pawn</v>
      </c>
      <c r="C4108" t="str">
        <f t="shared" si="387"/>
        <v xml:space="preserve">265F </v>
      </c>
      <c r="D4108">
        <f t="shared" si="388"/>
        <v>5</v>
      </c>
      <c r="E4108" t="str">
        <f t="shared" si="384"/>
        <v xml:space="preserve"> ♟ E11.0 chess pawn</v>
      </c>
      <c r="F4108" t="b">
        <f t="shared" si="389"/>
        <v>0</v>
      </c>
      <c r="G4108" t="str">
        <f t="shared" si="385"/>
        <v>265F</v>
      </c>
      <c r="I4108">
        <f>HEX2DEC(Table1[[#This Row],[utf8]])</f>
        <v>9823</v>
      </c>
      <c r="J4108" t="str">
        <f>_xlfn.UNICHAR(HEX2DEC(Table1[[#This Row],[utf8]]))</f>
        <v>♟</v>
      </c>
      <c r="K4108" s="3" t="str" cm="1">
        <f t="array" ref="K4108">"Case "&amp;wRandomLetter()&amp;wRandomLetter()&amp;I4108&amp;":    UniConst = ChrW(" &amp; I4108 &amp;")"</f>
        <v>Case wB9823:    UniConst = ChrW(9823)</v>
      </c>
    </row>
    <row r="4109" spans="1:11">
      <c r="A4109" t="s">
        <v>3785</v>
      </c>
      <c r="B4109" t="str">
        <f t="shared" si="386"/>
        <v>265F FE0F ; fully-qualified # ♟️ E11.0 chess pawn</v>
      </c>
      <c r="C4109" t="str">
        <f t="shared" si="387"/>
        <v xml:space="preserve">265F FE0F </v>
      </c>
      <c r="D4109">
        <f t="shared" si="388"/>
        <v>10</v>
      </c>
      <c r="E4109" t="str">
        <f t="shared" si="384"/>
        <v xml:space="preserve"> ♟️ E11.0 chess pawn</v>
      </c>
      <c r="F4109" t="b">
        <f t="shared" si="389"/>
        <v>0</v>
      </c>
      <c r="G4109" t="str">
        <f t="shared" si="385"/>
        <v>265F</v>
      </c>
      <c r="I4109">
        <f>HEX2DEC(Table1[[#This Row],[utf8]])</f>
        <v>9823</v>
      </c>
      <c r="J4109" t="str">
        <f>_xlfn.UNICHAR(HEX2DEC(Table1[[#This Row],[utf8]]))</f>
        <v>♟</v>
      </c>
      <c r="K4109" s="3" t="str" cm="1">
        <f t="array" ref="K4109">"Case "&amp;wRandomLetter()&amp;wRandomLetter()&amp;I4109&amp;":    UniConst = ChrW(" &amp; I4109 &amp;")"</f>
        <v>Case YQ9823:    UniConst = ChrW(9823)</v>
      </c>
    </row>
    <row r="4110" spans="1:11">
      <c r="A4110" t="s">
        <v>3778</v>
      </c>
      <c r="B4110" t="str">
        <f t="shared" si="386"/>
        <v>2660 ; unqualified # ♠ E0.6 spade suit</v>
      </c>
      <c r="C4110" t="str">
        <f t="shared" si="387"/>
        <v xml:space="preserve">2660 </v>
      </c>
      <c r="D4110">
        <f t="shared" si="388"/>
        <v>5</v>
      </c>
      <c r="E4110" t="str">
        <f t="shared" si="384"/>
        <v xml:space="preserve"> ♠ E0.6 spade suit</v>
      </c>
      <c r="F4110" t="b">
        <f t="shared" si="389"/>
        <v>0</v>
      </c>
      <c r="G4110" t="str">
        <f t="shared" si="385"/>
        <v>2660</v>
      </c>
      <c r="I4110">
        <f>HEX2DEC(Table1[[#This Row],[utf8]])</f>
        <v>9824</v>
      </c>
      <c r="J4110" t="str">
        <f>_xlfn.UNICHAR(HEX2DEC(Table1[[#This Row],[utf8]]))</f>
        <v>♠</v>
      </c>
      <c r="K4110" s="3" t="str" cm="1">
        <f t="array" ref="K4110">"Case "&amp;wRandomLetter()&amp;wRandomLetter()&amp;I4110&amp;":    UniConst = ChrW(" &amp; I4110 &amp;")"</f>
        <v>Case wv9824:    UniConst = ChrW(9824)</v>
      </c>
    </row>
    <row r="4111" spans="1:11">
      <c r="A4111" t="s">
        <v>3777</v>
      </c>
      <c r="B4111" t="str">
        <f t="shared" si="386"/>
        <v>2660 FE0F ; fully-qualified # ♠️ E0.6 spade suit</v>
      </c>
      <c r="C4111" t="str">
        <f t="shared" si="387"/>
        <v xml:space="preserve">2660 FE0F </v>
      </c>
      <c r="D4111">
        <f t="shared" si="388"/>
        <v>10</v>
      </c>
      <c r="E4111" t="str">
        <f t="shared" si="384"/>
        <v xml:space="preserve"> ♠️ E0.6 spade suit</v>
      </c>
      <c r="F4111" t="b">
        <f t="shared" si="389"/>
        <v>0</v>
      </c>
      <c r="G4111" t="str">
        <f t="shared" si="385"/>
        <v>2660</v>
      </c>
      <c r="I4111">
        <f>HEX2DEC(Table1[[#This Row],[utf8]])</f>
        <v>9824</v>
      </c>
      <c r="J4111" t="str">
        <f>_xlfn.UNICHAR(HEX2DEC(Table1[[#This Row],[utf8]]))</f>
        <v>♠</v>
      </c>
      <c r="K4111" s="3" t="str" cm="1">
        <f t="array" ref="K4111">"Case "&amp;wRandomLetter()&amp;wRandomLetter()&amp;I4111&amp;":    UniConst = ChrW(" &amp; I4111 &amp;")"</f>
        <v>Case FD9824:    UniConst = ChrW(9824)</v>
      </c>
    </row>
    <row r="4112" spans="1:11">
      <c r="A4112" t="s">
        <v>3784</v>
      </c>
      <c r="B4112" t="str">
        <f t="shared" si="386"/>
        <v>2663 ; unqualified # ♣ E0.6 club suit</v>
      </c>
      <c r="C4112" t="str">
        <f t="shared" si="387"/>
        <v xml:space="preserve">2663 </v>
      </c>
      <c r="D4112">
        <f t="shared" si="388"/>
        <v>5</v>
      </c>
      <c r="E4112" t="str">
        <f t="shared" si="384"/>
        <v xml:space="preserve"> ♣ E0.6 club suit</v>
      </c>
      <c r="F4112" t="b">
        <f t="shared" si="389"/>
        <v>0</v>
      </c>
      <c r="G4112" t="str">
        <f t="shared" si="385"/>
        <v>2663</v>
      </c>
      <c r="I4112">
        <f>HEX2DEC(Table1[[#This Row],[utf8]])</f>
        <v>9827</v>
      </c>
      <c r="J4112" t="str">
        <f>_xlfn.UNICHAR(HEX2DEC(Table1[[#This Row],[utf8]]))</f>
        <v>♣</v>
      </c>
      <c r="K4112" s="3" t="str" cm="1">
        <f t="array" ref="K4112">"Case "&amp;wRandomLetter()&amp;wRandomLetter()&amp;I4112&amp;":    UniConst = ChrW(" &amp; I4112 &amp;")"</f>
        <v>Case pX9827:    UniConst = ChrW(9827)</v>
      </c>
    </row>
    <row r="4113" spans="1:11">
      <c r="A4113" t="s">
        <v>3783</v>
      </c>
      <c r="B4113" t="str">
        <f t="shared" si="386"/>
        <v>2663 FE0F ; fully-qualified # ♣️ E0.6 club suit</v>
      </c>
      <c r="C4113" t="str">
        <f t="shared" si="387"/>
        <v xml:space="preserve">2663 FE0F </v>
      </c>
      <c r="D4113">
        <f t="shared" si="388"/>
        <v>10</v>
      </c>
      <c r="E4113" t="str">
        <f t="shared" si="384"/>
        <v xml:space="preserve"> ♣️ E0.6 club suit</v>
      </c>
      <c r="F4113" t="b">
        <f t="shared" si="389"/>
        <v>0</v>
      </c>
      <c r="G4113" t="str">
        <f t="shared" si="385"/>
        <v>2663</v>
      </c>
      <c r="I4113">
        <f>HEX2DEC(Table1[[#This Row],[utf8]])</f>
        <v>9827</v>
      </c>
      <c r="J4113" t="str">
        <f>_xlfn.UNICHAR(HEX2DEC(Table1[[#This Row],[utf8]]))</f>
        <v>♣</v>
      </c>
      <c r="K4113" s="3" t="str" cm="1">
        <f t="array" ref="K4113">"Case "&amp;wRandomLetter()&amp;wRandomLetter()&amp;I4113&amp;":    UniConst = ChrW(" &amp; I4113 &amp;")"</f>
        <v>Case sn9827:    UniConst = ChrW(9827)</v>
      </c>
    </row>
    <row r="4114" spans="1:11">
      <c r="A4114" t="s">
        <v>3780</v>
      </c>
      <c r="B4114" t="str">
        <f t="shared" si="386"/>
        <v>2665 ; unqualified # ♥ E0.6 heart suit</v>
      </c>
      <c r="C4114" t="str">
        <f t="shared" si="387"/>
        <v xml:space="preserve">2665 </v>
      </c>
      <c r="D4114">
        <f t="shared" si="388"/>
        <v>5</v>
      </c>
      <c r="E4114" t="str">
        <f t="shared" si="384"/>
        <v xml:space="preserve"> ♥ E0.6 heart suit</v>
      </c>
      <c r="F4114" t="b">
        <f t="shared" si="389"/>
        <v>0</v>
      </c>
      <c r="G4114" t="str">
        <f t="shared" si="385"/>
        <v>2665</v>
      </c>
      <c r="I4114">
        <f>HEX2DEC(Table1[[#This Row],[utf8]])</f>
        <v>9829</v>
      </c>
      <c r="J4114" t="str">
        <f>_xlfn.UNICHAR(HEX2DEC(Table1[[#This Row],[utf8]]))</f>
        <v>♥</v>
      </c>
      <c r="K4114" s="3" t="str" cm="1">
        <f t="array" ref="K4114">"Case "&amp;wRandomLetter()&amp;wRandomLetter()&amp;I4114&amp;":    UniConst = ChrW(" &amp; I4114 &amp;")"</f>
        <v>Case ok9829:    UniConst = ChrW(9829)</v>
      </c>
    </row>
    <row r="4115" spans="1:11">
      <c r="A4115" t="s">
        <v>3779</v>
      </c>
      <c r="B4115" t="str">
        <f t="shared" si="386"/>
        <v>2665 FE0F ; fully-qualified # ♥️ E0.6 heart suit</v>
      </c>
      <c r="C4115" t="str">
        <f t="shared" si="387"/>
        <v xml:space="preserve">2665 FE0F </v>
      </c>
      <c r="D4115">
        <f t="shared" si="388"/>
        <v>10</v>
      </c>
      <c r="E4115" t="str">
        <f t="shared" si="384"/>
        <v xml:space="preserve"> ♥️ E0.6 heart suit</v>
      </c>
      <c r="F4115" t="b">
        <f t="shared" si="389"/>
        <v>0</v>
      </c>
      <c r="G4115" t="str">
        <f t="shared" si="385"/>
        <v>2665</v>
      </c>
      <c r="I4115">
        <f>HEX2DEC(Table1[[#This Row],[utf8]])</f>
        <v>9829</v>
      </c>
      <c r="J4115" t="str">
        <f>_xlfn.UNICHAR(HEX2DEC(Table1[[#This Row],[utf8]]))</f>
        <v>♥</v>
      </c>
      <c r="K4115" s="3" t="str" cm="1">
        <f t="array" ref="K4115">"Case "&amp;wRandomLetter()&amp;wRandomLetter()&amp;I4115&amp;":    UniConst = ChrW(" &amp; I4115 &amp;")"</f>
        <v>Case vb9829:    UniConst = ChrW(9829)</v>
      </c>
    </row>
    <row r="4116" spans="1:11">
      <c r="A4116" t="s">
        <v>3782</v>
      </c>
      <c r="B4116" t="str">
        <f t="shared" si="386"/>
        <v>2666 ; unqualified # ♦ E0.6 diamond suit</v>
      </c>
      <c r="C4116" t="str">
        <f t="shared" si="387"/>
        <v xml:space="preserve">2666 </v>
      </c>
      <c r="D4116">
        <f t="shared" si="388"/>
        <v>5</v>
      </c>
      <c r="E4116" t="str">
        <f t="shared" si="384"/>
        <v xml:space="preserve"> ♦ E0.6 diamond suit</v>
      </c>
      <c r="F4116" t="b">
        <f t="shared" si="389"/>
        <v>0</v>
      </c>
      <c r="G4116" t="str">
        <f t="shared" si="385"/>
        <v>2666</v>
      </c>
      <c r="I4116">
        <f>HEX2DEC(Table1[[#This Row],[utf8]])</f>
        <v>9830</v>
      </c>
      <c r="J4116" t="str">
        <f>_xlfn.UNICHAR(HEX2DEC(Table1[[#This Row],[utf8]]))</f>
        <v>♦</v>
      </c>
      <c r="K4116" s="3" t="str" cm="1">
        <f t="array" ref="K4116">"Case "&amp;wRandomLetter()&amp;wRandomLetter()&amp;I4116&amp;":    UniConst = ChrW(" &amp; I4116 &amp;")"</f>
        <v>Case CA9830:    UniConst = ChrW(9830)</v>
      </c>
    </row>
    <row r="4117" spans="1:11">
      <c r="A4117" t="s">
        <v>3781</v>
      </c>
      <c r="B4117" t="str">
        <f t="shared" si="386"/>
        <v>2666 FE0F ; fully-qualified # ♦️ E0.6 diamond suit</v>
      </c>
      <c r="C4117" t="str">
        <f t="shared" si="387"/>
        <v xml:space="preserve">2666 FE0F </v>
      </c>
      <c r="D4117">
        <f t="shared" si="388"/>
        <v>10</v>
      </c>
      <c r="E4117" t="str">
        <f t="shared" si="384"/>
        <v xml:space="preserve"> ♦️ E0.6 diamond suit</v>
      </c>
      <c r="F4117" t="b">
        <f t="shared" si="389"/>
        <v>0</v>
      </c>
      <c r="G4117" t="str">
        <f t="shared" si="385"/>
        <v>2666</v>
      </c>
      <c r="I4117">
        <f>HEX2DEC(Table1[[#This Row],[utf8]])</f>
        <v>9830</v>
      </c>
      <c r="J4117" t="str">
        <f>_xlfn.UNICHAR(HEX2DEC(Table1[[#This Row],[utf8]]))</f>
        <v>♦</v>
      </c>
      <c r="K4117" s="3" t="str" cm="1">
        <f t="array" ref="K4117">"Case "&amp;wRandomLetter()&amp;wRandomLetter()&amp;I4117&amp;":    UniConst = ChrW(" &amp; I4117 &amp;")"</f>
        <v>Case AS9830:    UniConst = ChrW(9830)</v>
      </c>
    </row>
    <row r="4118" spans="1:11">
      <c r="A4118" t="s">
        <v>3501</v>
      </c>
      <c r="B4118" t="str">
        <f t="shared" si="386"/>
        <v>2668 ; unqualified # ♨ E0.6 hot springs</v>
      </c>
      <c r="C4118" t="str">
        <f t="shared" si="387"/>
        <v xml:space="preserve">2668 </v>
      </c>
      <c r="D4118">
        <f t="shared" si="388"/>
        <v>5</v>
      </c>
      <c r="E4118" t="str">
        <f t="shared" si="384"/>
        <v xml:space="preserve"> ♨ E0.6 hot springs</v>
      </c>
      <c r="F4118" t="b">
        <f t="shared" si="389"/>
        <v>0</v>
      </c>
      <c r="G4118" t="str">
        <f t="shared" si="385"/>
        <v>2668</v>
      </c>
      <c r="I4118">
        <f>HEX2DEC(Table1[[#This Row],[utf8]])</f>
        <v>9832</v>
      </c>
      <c r="J4118" t="str">
        <f>_xlfn.UNICHAR(HEX2DEC(Table1[[#This Row],[utf8]]))</f>
        <v>♨</v>
      </c>
      <c r="K4118" s="3" t="str" cm="1">
        <f t="array" ref="K4118">"Case "&amp;wRandomLetter()&amp;wRandomLetter()&amp;I4118&amp;":    UniConst = ChrW(" &amp; I4118 &amp;")"</f>
        <v>Case Bh9832:    UniConst = ChrW(9832)</v>
      </c>
    </row>
    <row r="4119" spans="1:11">
      <c r="A4119" t="s">
        <v>3500</v>
      </c>
      <c r="B4119" t="str">
        <f t="shared" si="386"/>
        <v>2668 FE0F ; fully-qualified # ♨️ E0.6 hot springs</v>
      </c>
      <c r="C4119" t="str">
        <f t="shared" si="387"/>
        <v xml:space="preserve">2668 FE0F </v>
      </c>
      <c r="D4119">
        <f t="shared" si="388"/>
        <v>10</v>
      </c>
      <c r="E4119" t="str">
        <f t="shared" si="384"/>
        <v xml:space="preserve"> ♨️ E0.6 hot springs</v>
      </c>
      <c r="F4119" t="b">
        <f t="shared" si="389"/>
        <v>0</v>
      </c>
      <c r="G4119" t="str">
        <f t="shared" si="385"/>
        <v>2668</v>
      </c>
      <c r="I4119">
        <f>HEX2DEC(Table1[[#This Row],[utf8]])</f>
        <v>9832</v>
      </c>
      <c r="J4119" t="str">
        <f>_xlfn.UNICHAR(HEX2DEC(Table1[[#This Row],[utf8]]))</f>
        <v>♨</v>
      </c>
      <c r="K4119" s="3" t="str" cm="1">
        <f t="array" ref="K4119">"Case "&amp;wRandomLetter()&amp;wRandomLetter()&amp;I4119&amp;":    UniConst = ChrW(" &amp; I4119 &amp;")"</f>
        <v>Case Vp9832:    UniConst = ChrW(9832)</v>
      </c>
    </row>
    <row r="4120" spans="1:11">
      <c r="A4120" t="s">
        <v>4292</v>
      </c>
      <c r="B4120" t="str">
        <f t="shared" si="386"/>
        <v>267B ; unqualified # ♻ E0.6 recycling symbol</v>
      </c>
      <c r="C4120" t="str">
        <f t="shared" si="387"/>
        <v xml:space="preserve">267B </v>
      </c>
      <c r="D4120">
        <f t="shared" si="388"/>
        <v>5</v>
      </c>
      <c r="E4120" t="str">
        <f t="shared" si="384"/>
        <v xml:space="preserve"> ♻ E0.6 recycling symbol</v>
      </c>
      <c r="F4120" t="b">
        <f t="shared" si="389"/>
        <v>0</v>
      </c>
      <c r="G4120" t="str">
        <f t="shared" si="385"/>
        <v>267B</v>
      </c>
      <c r="I4120">
        <f>HEX2DEC(Table1[[#This Row],[utf8]])</f>
        <v>9851</v>
      </c>
      <c r="J4120" t="str">
        <f>_xlfn.UNICHAR(HEX2DEC(Table1[[#This Row],[utf8]]))</f>
        <v>♻</v>
      </c>
      <c r="K4120" s="3" t="str" cm="1">
        <f t="array" ref="K4120">"Case "&amp;wRandomLetter()&amp;wRandomLetter()&amp;I4120&amp;":    UniConst = ChrW(" &amp; I4120 &amp;")"</f>
        <v>Case ps9851:    UniConst = ChrW(9851)</v>
      </c>
    </row>
    <row r="4121" spans="1:11">
      <c r="A4121" t="s">
        <v>4291</v>
      </c>
      <c r="B4121" t="str">
        <f t="shared" si="386"/>
        <v>267B FE0F ; fully-qualified # ♻️ E0.6 recycling symbol</v>
      </c>
      <c r="C4121" t="str">
        <f t="shared" si="387"/>
        <v xml:space="preserve">267B FE0F </v>
      </c>
      <c r="D4121">
        <f t="shared" si="388"/>
        <v>10</v>
      </c>
      <c r="E4121" t="str">
        <f t="shared" si="384"/>
        <v xml:space="preserve"> ♻️ E0.6 recycling symbol</v>
      </c>
      <c r="F4121" t="b">
        <f t="shared" si="389"/>
        <v>0</v>
      </c>
      <c r="G4121" t="str">
        <f t="shared" si="385"/>
        <v>267B</v>
      </c>
      <c r="I4121">
        <f>HEX2DEC(Table1[[#This Row],[utf8]])</f>
        <v>9851</v>
      </c>
      <c r="J4121" t="str">
        <f>_xlfn.UNICHAR(HEX2DEC(Table1[[#This Row],[utf8]]))</f>
        <v>♻</v>
      </c>
      <c r="K4121" s="3" t="str" cm="1">
        <f t="array" ref="K4121">"Case "&amp;wRandomLetter()&amp;wRandomLetter()&amp;I4121&amp;":    UniConst = ChrW(" &amp; I4121 &amp;")"</f>
        <v>Case BS9851:    UniConst = ChrW(9851)</v>
      </c>
    </row>
    <row r="4122" spans="1:11">
      <c r="A4122" t="s">
        <v>4273</v>
      </c>
      <c r="B4122" t="str">
        <f t="shared" si="386"/>
        <v>267E ; unqualified # ♾ E11.0 infinity</v>
      </c>
      <c r="C4122" t="str">
        <f t="shared" si="387"/>
        <v xml:space="preserve">267E </v>
      </c>
      <c r="D4122">
        <f t="shared" si="388"/>
        <v>5</v>
      </c>
      <c r="E4122" t="str">
        <f t="shared" si="384"/>
        <v xml:space="preserve"> ♾ E11.0 infinity</v>
      </c>
      <c r="F4122" t="b">
        <f t="shared" si="389"/>
        <v>0</v>
      </c>
      <c r="G4122" t="str">
        <f t="shared" si="385"/>
        <v>267E</v>
      </c>
      <c r="I4122">
        <f>HEX2DEC(Table1[[#This Row],[utf8]])</f>
        <v>9854</v>
      </c>
      <c r="J4122" t="str">
        <f>_xlfn.UNICHAR(HEX2DEC(Table1[[#This Row],[utf8]]))</f>
        <v>♾</v>
      </c>
      <c r="K4122" s="3" t="str" cm="1">
        <f t="array" ref="K4122">"Case "&amp;wRandomLetter()&amp;wRandomLetter()&amp;I4122&amp;":    UniConst = ChrW(" &amp; I4122 &amp;")"</f>
        <v>Case ZT9854:    UniConst = ChrW(9854)</v>
      </c>
    </row>
    <row r="4123" spans="1:11">
      <c r="A4123" t="s">
        <v>4272</v>
      </c>
      <c r="B4123" t="str">
        <f t="shared" si="386"/>
        <v>267E FE0F ; fully-qualified # ♾️ E11.0 infinity</v>
      </c>
      <c r="C4123" t="str">
        <f t="shared" si="387"/>
        <v xml:space="preserve">267E FE0F </v>
      </c>
      <c r="D4123">
        <f t="shared" si="388"/>
        <v>10</v>
      </c>
      <c r="E4123" t="str">
        <f t="shared" si="384"/>
        <v xml:space="preserve"> ♾️ E11.0 infinity</v>
      </c>
      <c r="F4123" t="b">
        <f t="shared" si="389"/>
        <v>0</v>
      </c>
      <c r="G4123" t="str">
        <f t="shared" si="385"/>
        <v>267E</v>
      </c>
      <c r="I4123">
        <f>HEX2DEC(Table1[[#This Row],[utf8]])</f>
        <v>9854</v>
      </c>
      <c r="J4123" t="str">
        <f>_xlfn.UNICHAR(HEX2DEC(Table1[[#This Row],[utf8]]))</f>
        <v>♾</v>
      </c>
      <c r="K4123" s="3" t="str" cm="1">
        <f t="array" ref="K4123">"Case "&amp;wRandomLetter()&amp;wRandomLetter()&amp;I4123&amp;":    UniConst = ChrW(" &amp; I4123 &amp;")"</f>
        <v>Case vU9854:    UniConst = ChrW(9854)</v>
      </c>
    </row>
    <row r="4124" spans="1:11">
      <c r="A4124" t="s">
        <v>4126</v>
      </c>
      <c r="B4124" t="str">
        <f t="shared" si="386"/>
        <v>267F ; fully-qualified # ♿ E0.6 wheelchair symbol</v>
      </c>
      <c r="C4124" t="str">
        <f t="shared" si="387"/>
        <v xml:space="preserve">267F </v>
      </c>
      <c r="D4124">
        <f t="shared" si="388"/>
        <v>5</v>
      </c>
      <c r="E4124" t="str">
        <f t="shared" si="384"/>
        <v xml:space="preserve"> ♿ E0.6 wheelchair symbol</v>
      </c>
      <c r="F4124" t="b">
        <f t="shared" si="389"/>
        <v>0</v>
      </c>
      <c r="G4124" t="str">
        <f t="shared" si="385"/>
        <v>267F</v>
      </c>
      <c r="I4124">
        <f>HEX2DEC(Table1[[#This Row],[utf8]])</f>
        <v>9855</v>
      </c>
      <c r="J4124" t="str">
        <f>_xlfn.UNICHAR(HEX2DEC(Table1[[#This Row],[utf8]]))</f>
        <v>♿</v>
      </c>
      <c r="K4124" s="3" t="str" cm="1">
        <f t="array" ref="K4124">"Case "&amp;wRandomLetter()&amp;wRandomLetter()&amp;I4124&amp;":    UniConst = ChrW(" &amp; I4124 &amp;")"</f>
        <v>Case YD9855:    UniConst = ChrW(9855)</v>
      </c>
    </row>
    <row r="4125" spans="1:11">
      <c r="A4125" t="s">
        <v>4038</v>
      </c>
      <c r="B4125" t="str">
        <f t="shared" si="386"/>
        <v>2692 ; unqualified # ⚒ E1.0 hammer and pick</v>
      </c>
      <c r="C4125" t="str">
        <f t="shared" si="387"/>
        <v xml:space="preserve">2692 </v>
      </c>
      <c r="D4125">
        <f t="shared" si="388"/>
        <v>5</v>
      </c>
      <c r="E4125" t="str">
        <f t="shared" si="384"/>
        <v xml:space="preserve"> ⚒ E1.0 hammer and pick</v>
      </c>
      <c r="F4125" t="b">
        <f t="shared" si="389"/>
        <v>0</v>
      </c>
      <c r="G4125" t="str">
        <f t="shared" si="385"/>
        <v>2692</v>
      </c>
      <c r="I4125">
        <f>HEX2DEC(Table1[[#This Row],[utf8]])</f>
        <v>9874</v>
      </c>
      <c r="J4125" t="str">
        <f>_xlfn.UNICHAR(HEX2DEC(Table1[[#This Row],[utf8]]))</f>
        <v>⚒</v>
      </c>
      <c r="K4125" s="3" t="str" cm="1">
        <f t="array" ref="K4125">"Case "&amp;wRandomLetter()&amp;wRandomLetter()&amp;I4125&amp;":    UniConst = ChrW(" &amp; I4125 &amp;")"</f>
        <v>Case II9874:    UniConst = ChrW(9874)</v>
      </c>
    </row>
    <row r="4126" spans="1:11">
      <c r="A4126" t="s">
        <v>4037</v>
      </c>
      <c r="B4126" t="str">
        <f t="shared" si="386"/>
        <v>2692 FE0F ; fully-qualified # ⚒️ E1.0 hammer and pick</v>
      </c>
      <c r="C4126" t="str">
        <f t="shared" si="387"/>
        <v xml:space="preserve">2692 FE0F </v>
      </c>
      <c r="D4126">
        <f t="shared" si="388"/>
        <v>10</v>
      </c>
      <c r="E4126" t="str">
        <f t="shared" si="384"/>
        <v xml:space="preserve"> ⚒️ E1.0 hammer and pick</v>
      </c>
      <c r="F4126" t="b">
        <f t="shared" si="389"/>
        <v>0</v>
      </c>
      <c r="G4126" t="str">
        <f t="shared" si="385"/>
        <v>2692</v>
      </c>
      <c r="I4126">
        <f>HEX2DEC(Table1[[#This Row],[utf8]])</f>
        <v>9874</v>
      </c>
      <c r="J4126" t="str">
        <f>_xlfn.UNICHAR(HEX2DEC(Table1[[#This Row],[utf8]]))</f>
        <v>⚒</v>
      </c>
      <c r="K4126" s="3" t="str" cm="1">
        <f t="array" ref="K4126">"Case "&amp;wRandomLetter()&amp;wRandomLetter()&amp;I4126&amp;":    UniConst = ChrW(" &amp; I4126 &amp;")"</f>
        <v>Case mQ9874:    UniConst = ChrW(9874)</v>
      </c>
    </row>
    <row r="4127" spans="1:11">
      <c r="A4127" t="s">
        <v>3563</v>
      </c>
      <c r="B4127" t="str">
        <f t="shared" si="386"/>
        <v>2693 ; fully-qualified # ⚓ E0.6 anchor</v>
      </c>
      <c r="C4127" t="str">
        <f t="shared" si="387"/>
        <v xml:space="preserve">2693 </v>
      </c>
      <c r="D4127">
        <f t="shared" si="388"/>
        <v>5</v>
      </c>
      <c r="E4127" t="str">
        <f t="shared" si="384"/>
        <v xml:space="preserve"> ⚓ E0.6 anchor</v>
      </c>
      <c r="F4127" t="b">
        <f t="shared" si="389"/>
        <v>0</v>
      </c>
      <c r="G4127" t="str">
        <f t="shared" si="385"/>
        <v>2693</v>
      </c>
      <c r="I4127">
        <f>HEX2DEC(Table1[[#This Row],[utf8]])</f>
        <v>9875</v>
      </c>
      <c r="J4127" t="str">
        <f>_xlfn.UNICHAR(HEX2DEC(Table1[[#This Row],[utf8]]))</f>
        <v>⚓</v>
      </c>
      <c r="K4127" s="3" t="str" cm="1">
        <f t="array" ref="K4127">"Case "&amp;wRandomLetter()&amp;wRandomLetter()&amp;I4127&amp;":    UniConst = ChrW(" &amp; I4127 &amp;")"</f>
        <v>Case iM9875:    UniConst = ChrW(9875)</v>
      </c>
    </row>
    <row r="4128" spans="1:11">
      <c r="A4128" t="s">
        <v>4044</v>
      </c>
      <c r="B4128" t="str">
        <f t="shared" si="386"/>
        <v>2694 ; unqualified # ⚔ E1.0 crossed swords</v>
      </c>
      <c r="C4128" t="str">
        <f t="shared" si="387"/>
        <v xml:space="preserve">2694 </v>
      </c>
      <c r="D4128">
        <f t="shared" si="388"/>
        <v>5</v>
      </c>
      <c r="E4128" t="str">
        <f t="shared" si="384"/>
        <v xml:space="preserve"> ⚔ E1.0 crossed swords</v>
      </c>
      <c r="F4128" t="b">
        <f t="shared" si="389"/>
        <v>0</v>
      </c>
      <c r="G4128" t="str">
        <f t="shared" si="385"/>
        <v>2694</v>
      </c>
      <c r="I4128">
        <f>HEX2DEC(Table1[[#This Row],[utf8]])</f>
        <v>9876</v>
      </c>
      <c r="J4128" t="str">
        <f>_xlfn.UNICHAR(HEX2DEC(Table1[[#This Row],[utf8]]))</f>
        <v>⚔</v>
      </c>
      <c r="K4128" s="3" t="str" cm="1">
        <f t="array" ref="K4128">"Case "&amp;wRandomLetter()&amp;wRandomLetter()&amp;I4128&amp;":    UniConst = ChrW(" &amp; I4128 &amp;")"</f>
        <v>Case XV9876:    UniConst = ChrW(9876)</v>
      </c>
    </row>
    <row r="4129" spans="1:11">
      <c r="A4129" t="s">
        <v>4043</v>
      </c>
      <c r="B4129" t="str">
        <f t="shared" si="386"/>
        <v>2694 FE0F ; fully-qualified # ⚔️ E1.0 crossed swords</v>
      </c>
      <c r="C4129" t="str">
        <f t="shared" si="387"/>
        <v xml:space="preserve">2694 FE0F </v>
      </c>
      <c r="D4129">
        <f t="shared" si="388"/>
        <v>10</v>
      </c>
      <c r="E4129" t="str">
        <f t="shared" si="384"/>
        <v xml:space="preserve"> ⚔️ E1.0 crossed swords</v>
      </c>
      <c r="F4129" t="b">
        <f t="shared" si="389"/>
        <v>0</v>
      </c>
      <c r="G4129" t="str">
        <f t="shared" si="385"/>
        <v>2694</v>
      </c>
      <c r="I4129">
        <f>HEX2DEC(Table1[[#This Row],[utf8]])</f>
        <v>9876</v>
      </c>
      <c r="J4129" t="str">
        <f>_xlfn.UNICHAR(HEX2DEC(Table1[[#This Row],[utf8]]))</f>
        <v>⚔</v>
      </c>
      <c r="K4129" s="3" t="str" cm="1">
        <f t="array" ref="K4129">"Case "&amp;wRandomLetter()&amp;wRandomLetter()&amp;I4129&amp;":    UniConst = ChrW(" &amp; I4129 &amp;")"</f>
        <v>Case Yc9876:    UniConst = ChrW(9876)</v>
      </c>
    </row>
    <row r="4130" spans="1:11">
      <c r="A4130" t="s">
        <v>4290</v>
      </c>
      <c r="B4130" t="str">
        <f t="shared" si="386"/>
        <v>2695 ; unqualified # ⚕ E4.0 medical symbol</v>
      </c>
      <c r="C4130" t="str">
        <f t="shared" si="387"/>
        <v xml:space="preserve">2695 </v>
      </c>
      <c r="D4130">
        <f t="shared" si="388"/>
        <v>5</v>
      </c>
      <c r="E4130" t="str">
        <f t="shared" si="384"/>
        <v xml:space="preserve"> ⚕ E4.0 medical symbol</v>
      </c>
      <c r="F4130" t="b">
        <f t="shared" si="389"/>
        <v>0</v>
      </c>
      <c r="G4130" t="str">
        <f t="shared" si="385"/>
        <v>2695</v>
      </c>
      <c r="I4130">
        <f>HEX2DEC(Table1[[#This Row],[utf8]])</f>
        <v>9877</v>
      </c>
      <c r="J4130" t="str">
        <f>_xlfn.UNICHAR(HEX2DEC(Table1[[#This Row],[utf8]]))</f>
        <v>⚕</v>
      </c>
      <c r="K4130" s="3" t="str" cm="1">
        <f t="array" ref="K4130">"Case "&amp;wRandomLetter()&amp;wRandomLetter()&amp;I4130&amp;":    UniConst = ChrW(" &amp; I4130 &amp;")"</f>
        <v>Case ZQ9877:    UniConst = ChrW(9877)</v>
      </c>
    </row>
    <row r="4131" spans="1:11">
      <c r="A4131" t="s">
        <v>4289</v>
      </c>
      <c r="B4131" t="str">
        <f t="shared" si="386"/>
        <v>2695 FE0F ; fully-qualified # ⚕️ E4.0 medical symbol</v>
      </c>
      <c r="C4131" t="str">
        <f t="shared" si="387"/>
        <v xml:space="preserve">2695 FE0F </v>
      </c>
      <c r="D4131">
        <f t="shared" si="388"/>
        <v>10</v>
      </c>
      <c r="E4131" t="str">
        <f t="shared" si="384"/>
        <v xml:space="preserve"> ⚕️ E4.0 medical symbol</v>
      </c>
      <c r="F4131" t="b">
        <f t="shared" si="389"/>
        <v>0</v>
      </c>
      <c r="G4131" t="str">
        <f t="shared" si="385"/>
        <v>2695</v>
      </c>
      <c r="I4131">
        <f>HEX2DEC(Table1[[#This Row],[utf8]])</f>
        <v>9877</v>
      </c>
      <c r="J4131" t="str">
        <f>_xlfn.UNICHAR(HEX2DEC(Table1[[#This Row],[utf8]]))</f>
        <v>⚕</v>
      </c>
      <c r="K4131" s="3" t="str" cm="1">
        <f t="array" ref="K4131">"Case "&amp;wRandomLetter()&amp;wRandomLetter()&amp;I4131&amp;":    UniConst = ChrW(" &amp; I4131 &amp;")"</f>
        <v>Case yn9877:    UniConst = ChrW(9877)</v>
      </c>
    </row>
    <row r="4132" spans="1:11">
      <c r="A4132" t="s">
        <v>4059</v>
      </c>
      <c r="B4132" t="str">
        <f t="shared" si="386"/>
        <v>2696 ; unqualified # ⚖ E1.0 balance scale</v>
      </c>
      <c r="C4132" t="str">
        <f t="shared" si="387"/>
        <v xml:space="preserve">2696 </v>
      </c>
      <c r="D4132">
        <f t="shared" si="388"/>
        <v>5</v>
      </c>
      <c r="E4132" t="str">
        <f t="shared" si="384"/>
        <v xml:space="preserve"> ⚖ E1.0 balance scale</v>
      </c>
      <c r="F4132" t="b">
        <f t="shared" si="389"/>
        <v>0</v>
      </c>
      <c r="G4132" t="str">
        <f t="shared" si="385"/>
        <v>2696</v>
      </c>
      <c r="I4132">
        <f>HEX2DEC(Table1[[#This Row],[utf8]])</f>
        <v>9878</v>
      </c>
      <c r="J4132" t="str">
        <f>_xlfn.UNICHAR(HEX2DEC(Table1[[#This Row],[utf8]]))</f>
        <v>⚖</v>
      </c>
      <c r="K4132" s="3" t="str" cm="1">
        <f t="array" ref="K4132">"Case "&amp;wRandomLetter()&amp;wRandomLetter()&amp;I4132&amp;":    UniConst = ChrW(" &amp; I4132 &amp;")"</f>
        <v>Case Yn9878:    UniConst = ChrW(9878)</v>
      </c>
    </row>
    <row r="4133" spans="1:11">
      <c r="A4133" t="s">
        <v>4058</v>
      </c>
      <c r="B4133" t="str">
        <f t="shared" si="386"/>
        <v>2696 FE0F ; fully-qualified # ⚖️ E1.0 balance scale</v>
      </c>
      <c r="C4133" t="str">
        <f t="shared" si="387"/>
        <v xml:space="preserve">2696 FE0F </v>
      </c>
      <c r="D4133">
        <f t="shared" si="388"/>
        <v>10</v>
      </c>
      <c r="E4133" t="str">
        <f t="shared" si="384"/>
        <v xml:space="preserve"> ⚖️ E1.0 balance scale</v>
      </c>
      <c r="F4133" t="b">
        <f t="shared" si="389"/>
        <v>0</v>
      </c>
      <c r="G4133" t="str">
        <f t="shared" si="385"/>
        <v>2696</v>
      </c>
      <c r="I4133">
        <f>HEX2DEC(Table1[[#This Row],[utf8]])</f>
        <v>9878</v>
      </c>
      <c r="J4133" t="str">
        <f>_xlfn.UNICHAR(HEX2DEC(Table1[[#This Row],[utf8]]))</f>
        <v>⚖</v>
      </c>
      <c r="K4133" s="3" t="str" cm="1">
        <f t="array" ref="K4133">"Case "&amp;wRandomLetter()&amp;wRandomLetter()&amp;I4133&amp;":    UniConst = ChrW(" &amp; I4133 &amp;")"</f>
        <v>Case Rg9878:    UniConst = ChrW(9878)</v>
      </c>
    </row>
    <row r="4134" spans="1:11">
      <c r="A4134" t="s">
        <v>4070</v>
      </c>
      <c r="B4134" t="str">
        <f t="shared" si="386"/>
        <v>2697 ; unqualified # ⚗ E1.0 alembic</v>
      </c>
      <c r="C4134" t="str">
        <f t="shared" si="387"/>
        <v xml:space="preserve">2697 </v>
      </c>
      <c r="D4134">
        <f t="shared" si="388"/>
        <v>5</v>
      </c>
      <c r="E4134" t="str">
        <f t="shared" si="384"/>
        <v xml:space="preserve"> ⚗ E1.0 alembic</v>
      </c>
      <c r="F4134" t="b">
        <f t="shared" si="389"/>
        <v>0</v>
      </c>
      <c r="G4134" t="str">
        <f t="shared" si="385"/>
        <v>2697</v>
      </c>
      <c r="I4134">
        <f>HEX2DEC(Table1[[#This Row],[utf8]])</f>
        <v>9879</v>
      </c>
      <c r="J4134" t="str">
        <f>_xlfn.UNICHAR(HEX2DEC(Table1[[#This Row],[utf8]]))</f>
        <v>⚗</v>
      </c>
      <c r="K4134" s="3" t="str" cm="1">
        <f t="array" ref="K4134">"Case "&amp;wRandomLetter()&amp;wRandomLetter()&amp;I4134&amp;":    UniConst = ChrW(" &amp; I4134 &amp;")"</f>
        <v>Case NW9879:    UniConst = ChrW(9879)</v>
      </c>
    </row>
    <row r="4135" spans="1:11">
      <c r="A4135" t="s">
        <v>4069</v>
      </c>
      <c r="B4135" t="str">
        <f t="shared" si="386"/>
        <v>2697 FE0F ; fully-qualified # ⚗️ E1.0 alembic</v>
      </c>
      <c r="C4135" t="str">
        <f t="shared" si="387"/>
        <v xml:space="preserve">2697 FE0F </v>
      </c>
      <c r="D4135">
        <f t="shared" si="388"/>
        <v>10</v>
      </c>
      <c r="E4135" t="str">
        <f t="shared" si="384"/>
        <v xml:space="preserve"> ⚗️ E1.0 alembic</v>
      </c>
      <c r="F4135" t="b">
        <f t="shared" si="389"/>
        <v>0</v>
      </c>
      <c r="G4135" t="str">
        <f t="shared" si="385"/>
        <v>2697</v>
      </c>
      <c r="I4135">
        <f>HEX2DEC(Table1[[#This Row],[utf8]])</f>
        <v>9879</v>
      </c>
      <c r="J4135" t="str">
        <f>_xlfn.UNICHAR(HEX2DEC(Table1[[#This Row],[utf8]]))</f>
        <v>⚗</v>
      </c>
      <c r="K4135" s="3" t="str" cm="1">
        <f t="array" ref="K4135">"Case "&amp;wRandomLetter()&amp;wRandomLetter()&amp;I4135&amp;":    UniConst = ChrW(" &amp; I4135 &amp;")"</f>
        <v>Case tr9879:    UniConst = ChrW(9879)</v>
      </c>
    </row>
    <row r="4136" spans="1:11">
      <c r="A4136" t="s">
        <v>4055</v>
      </c>
      <c r="B4136" t="str">
        <f t="shared" si="386"/>
        <v>2699 ; unqualified # ⚙ E1.0 gear</v>
      </c>
      <c r="C4136" t="str">
        <f t="shared" si="387"/>
        <v xml:space="preserve">2699 </v>
      </c>
      <c r="D4136">
        <f t="shared" si="388"/>
        <v>5</v>
      </c>
      <c r="E4136" t="str">
        <f t="shared" si="384"/>
        <v xml:space="preserve"> ⚙ E1.0 gear</v>
      </c>
      <c r="F4136" t="b">
        <f t="shared" si="389"/>
        <v>0</v>
      </c>
      <c r="G4136" t="str">
        <f t="shared" si="385"/>
        <v>2699</v>
      </c>
      <c r="I4136">
        <f>HEX2DEC(Table1[[#This Row],[utf8]])</f>
        <v>9881</v>
      </c>
      <c r="J4136" t="str">
        <f>_xlfn.UNICHAR(HEX2DEC(Table1[[#This Row],[utf8]]))</f>
        <v>⚙</v>
      </c>
      <c r="K4136" s="3" t="str" cm="1">
        <f t="array" ref="K4136">"Case "&amp;wRandomLetter()&amp;wRandomLetter()&amp;I4136&amp;":    UniConst = ChrW(" &amp; I4136 &amp;")"</f>
        <v>Case HV9881:    UniConst = ChrW(9881)</v>
      </c>
    </row>
    <row r="4137" spans="1:11">
      <c r="A4137" t="s">
        <v>4054</v>
      </c>
      <c r="B4137" t="str">
        <f t="shared" si="386"/>
        <v>2699 FE0F ; fully-qualified # ⚙️ E1.0 gear</v>
      </c>
      <c r="C4137" t="str">
        <f t="shared" si="387"/>
        <v xml:space="preserve">2699 FE0F </v>
      </c>
      <c r="D4137">
        <f t="shared" si="388"/>
        <v>10</v>
      </c>
      <c r="E4137" t="str">
        <f t="shared" si="384"/>
        <v xml:space="preserve"> ⚙️ E1.0 gear</v>
      </c>
      <c r="F4137" t="b">
        <f t="shared" si="389"/>
        <v>0</v>
      </c>
      <c r="G4137" t="str">
        <f t="shared" si="385"/>
        <v>2699</v>
      </c>
      <c r="I4137">
        <f>HEX2DEC(Table1[[#This Row],[utf8]])</f>
        <v>9881</v>
      </c>
      <c r="J4137" t="str">
        <f>_xlfn.UNICHAR(HEX2DEC(Table1[[#This Row],[utf8]]))</f>
        <v>⚙</v>
      </c>
      <c r="K4137" s="3" t="str" cm="1">
        <f t="array" ref="K4137">"Case "&amp;wRandomLetter()&amp;wRandomLetter()&amp;I4137&amp;":    UniConst = ChrW(" &amp; I4137 &amp;")"</f>
        <v>Case gb9881:    UniConst = ChrW(9881)</v>
      </c>
    </row>
    <row r="4138" spans="1:11">
      <c r="A4138" t="s">
        <v>4192</v>
      </c>
      <c r="B4138" t="str">
        <f t="shared" si="386"/>
        <v>269B ; unqualified # ⚛ E1.0 atom symbol</v>
      </c>
      <c r="C4138" t="str">
        <f t="shared" si="387"/>
        <v xml:space="preserve">269B </v>
      </c>
      <c r="D4138">
        <f t="shared" si="388"/>
        <v>5</v>
      </c>
      <c r="E4138" t="str">
        <f t="shared" si="384"/>
        <v xml:space="preserve"> ⚛ E1.0 atom symbol</v>
      </c>
      <c r="F4138" t="b">
        <f t="shared" si="389"/>
        <v>0</v>
      </c>
      <c r="G4138" t="str">
        <f t="shared" si="385"/>
        <v>269B</v>
      </c>
      <c r="I4138">
        <f>HEX2DEC(Table1[[#This Row],[utf8]])</f>
        <v>9883</v>
      </c>
      <c r="J4138" t="str">
        <f>_xlfn.UNICHAR(HEX2DEC(Table1[[#This Row],[utf8]]))</f>
        <v>⚛</v>
      </c>
      <c r="K4138" s="3" t="str" cm="1">
        <f t="array" ref="K4138">"Case "&amp;wRandomLetter()&amp;wRandomLetter()&amp;I4138&amp;":    UniConst = ChrW(" &amp; I4138 &amp;")"</f>
        <v>Case dk9883:    UniConst = ChrW(9883)</v>
      </c>
    </row>
    <row r="4139" spans="1:11">
      <c r="A4139" t="s">
        <v>4191</v>
      </c>
      <c r="B4139" t="str">
        <f t="shared" si="386"/>
        <v>269B FE0F ; fully-qualified # ⚛️ E1.0 atom symbol</v>
      </c>
      <c r="C4139" t="str">
        <f t="shared" si="387"/>
        <v xml:space="preserve">269B FE0F </v>
      </c>
      <c r="D4139">
        <f t="shared" si="388"/>
        <v>10</v>
      </c>
      <c r="E4139" t="str">
        <f t="shared" si="384"/>
        <v xml:space="preserve"> ⚛️ E1.0 atom symbol</v>
      </c>
      <c r="F4139" t="b">
        <f t="shared" si="389"/>
        <v>0</v>
      </c>
      <c r="G4139" t="str">
        <f t="shared" si="385"/>
        <v>269B</v>
      </c>
      <c r="I4139">
        <f>HEX2DEC(Table1[[#This Row],[utf8]])</f>
        <v>9883</v>
      </c>
      <c r="J4139" t="str">
        <f>_xlfn.UNICHAR(HEX2DEC(Table1[[#This Row],[utf8]]))</f>
        <v>⚛</v>
      </c>
      <c r="K4139" s="3" t="str" cm="1">
        <f t="array" ref="K4139">"Case "&amp;wRandomLetter()&amp;wRandomLetter()&amp;I4139&amp;":    UniConst = ChrW(" &amp; I4139 &amp;")"</f>
        <v>Case yF9883:    UniConst = ChrW(9883)</v>
      </c>
    </row>
    <row r="4140" spans="1:11">
      <c r="A4140" t="s">
        <v>4294</v>
      </c>
      <c r="B4140" t="str">
        <f t="shared" si="386"/>
        <v>269C ; unqualified # ⚜ E1.0 fleur-de-lis</v>
      </c>
      <c r="C4140" t="str">
        <f t="shared" si="387"/>
        <v xml:space="preserve">269C </v>
      </c>
      <c r="D4140">
        <f t="shared" si="388"/>
        <v>5</v>
      </c>
      <c r="E4140" t="str">
        <f t="shared" si="384"/>
        <v xml:space="preserve"> ⚜ E1.0 fleur-de-lis</v>
      </c>
      <c r="F4140" t="b">
        <f t="shared" si="389"/>
        <v>0</v>
      </c>
      <c r="G4140" t="str">
        <f t="shared" si="385"/>
        <v>269C</v>
      </c>
      <c r="I4140">
        <f>HEX2DEC(Table1[[#This Row],[utf8]])</f>
        <v>9884</v>
      </c>
      <c r="J4140" t="str">
        <f>_xlfn.UNICHAR(HEX2DEC(Table1[[#This Row],[utf8]]))</f>
        <v>⚜</v>
      </c>
      <c r="K4140" s="3" t="str" cm="1">
        <f t="array" ref="K4140">"Case "&amp;wRandomLetter()&amp;wRandomLetter()&amp;I4140&amp;":    UniConst = ChrW(" &amp; I4140 &amp;")"</f>
        <v>Case sz9884:    UniConst = ChrW(9884)</v>
      </c>
    </row>
    <row r="4141" spans="1:11">
      <c r="A4141" t="s">
        <v>4293</v>
      </c>
      <c r="B4141" t="str">
        <f t="shared" si="386"/>
        <v>269C FE0F ; fully-qualified # ⚜️ E1.0 fleur-de-lis</v>
      </c>
      <c r="C4141" t="str">
        <f t="shared" si="387"/>
        <v xml:space="preserve">269C FE0F </v>
      </c>
      <c r="D4141">
        <f t="shared" si="388"/>
        <v>10</v>
      </c>
      <c r="E4141" t="str">
        <f t="shared" si="384"/>
        <v xml:space="preserve"> ⚜️ E1.0 fleur-de-lis</v>
      </c>
      <c r="F4141" t="b">
        <f t="shared" si="389"/>
        <v>0</v>
      </c>
      <c r="G4141" t="str">
        <f t="shared" si="385"/>
        <v>269C</v>
      </c>
      <c r="I4141">
        <f>HEX2DEC(Table1[[#This Row],[utf8]])</f>
        <v>9884</v>
      </c>
      <c r="J4141" t="str">
        <f>_xlfn.UNICHAR(HEX2DEC(Table1[[#This Row],[utf8]]))</f>
        <v>⚜</v>
      </c>
      <c r="K4141" s="3" t="str" cm="1">
        <f t="array" ref="K4141">"Case "&amp;wRandomLetter()&amp;wRandomLetter()&amp;I4141&amp;":    UniConst = ChrW(" &amp; I4141 &amp;")"</f>
        <v>Case Lj9884:    UniConst = ChrW(9884)</v>
      </c>
    </row>
    <row r="4142" spans="1:11">
      <c r="A4142" t="s">
        <v>4138</v>
      </c>
      <c r="B4142" t="str">
        <f t="shared" si="386"/>
        <v>26A0 ; unqualified # ⚠ E0.6 warning</v>
      </c>
      <c r="C4142" t="str">
        <f t="shared" si="387"/>
        <v xml:space="preserve">26A0 </v>
      </c>
      <c r="D4142">
        <f t="shared" si="388"/>
        <v>5</v>
      </c>
      <c r="E4142" t="str">
        <f t="shared" si="384"/>
        <v xml:space="preserve"> ⚠ E0.6 warning</v>
      </c>
      <c r="F4142" t="b">
        <f t="shared" si="389"/>
        <v>0</v>
      </c>
      <c r="G4142" t="str">
        <f t="shared" si="385"/>
        <v>26A0</v>
      </c>
      <c r="I4142">
        <f>HEX2DEC(Table1[[#This Row],[utf8]])</f>
        <v>9888</v>
      </c>
      <c r="J4142" t="str">
        <f>_xlfn.UNICHAR(HEX2DEC(Table1[[#This Row],[utf8]]))</f>
        <v>⚠</v>
      </c>
      <c r="K4142" s="3" t="str" cm="1">
        <f t="array" ref="K4142">"Case "&amp;wRandomLetter()&amp;wRandomLetter()&amp;I4142&amp;":    UniConst = ChrW(" &amp; I4142 &amp;")"</f>
        <v>Case Mx9888:    UniConst = ChrW(9888)</v>
      </c>
    </row>
    <row r="4143" spans="1:11">
      <c r="A4143" t="s">
        <v>4137</v>
      </c>
      <c r="B4143" t="str">
        <f t="shared" si="386"/>
        <v>26A0 FE0F ; fully-qualified # ⚠️ E0.6 warning</v>
      </c>
      <c r="C4143" t="str">
        <f t="shared" si="387"/>
        <v xml:space="preserve">26A0 FE0F </v>
      </c>
      <c r="D4143">
        <f t="shared" si="388"/>
        <v>10</v>
      </c>
      <c r="E4143" t="str">
        <f t="shared" si="384"/>
        <v xml:space="preserve"> ⚠️ E0.6 warning</v>
      </c>
      <c r="F4143" t="b">
        <f t="shared" si="389"/>
        <v>0</v>
      </c>
      <c r="G4143" t="str">
        <f t="shared" si="385"/>
        <v>26A0</v>
      </c>
      <c r="I4143">
        <f>HEX2DEC(Table1[[#This Row],[utf8]])</f>
        <v>9888</v>
      </c>
      <c r="J4143" t="str">
        <f>_xlfn.UNICHAR(HEX2DEC(Table1[[#This Row],[utf8]]))</f>
        <v>⚠</v>
      </c>
      <c r="K4143" s="3" t="str" cm="1">
        <f t="array" ref="K4143">"Case "&amp;wRandomLetter()&amp;wRandomLetter()&amp;I4143&amp;":    UniConst = ChrW(" &amp; I4143 &amp;")"</f>
        <v>Case ZQ9888:    UniConst = ChrW(9888)</v>
      </c>
    </row>
    <row r="4144" spans="1:11">
      <c r="A4144" t="s">
        <v>3685</v>
      </c>
      <c r="B4144" t="str">
        <f t="shared" si="386"/>
        <v>26A1 ; fully-qualified # ⚡ E0.6 high voltage</v>
      </c>
      <c r="C4144" t="str">
        <f t="shared" si="387"/>
        <v xml:space="preserve">26A1 </v>
      </c>
      <c r="D4144">
        <f t="shared" si="388"/>
        <v>5</v>
      </c>
      <c r="E4144" t="str">
        <f t="shared" si="384"/>
        <v xml:space="preserve"> ⚡ E0.6 high voltage</v>
      </c>
      <c r="F4144" t="b">
        <f t="shared" si="389"/>
        <v>0</v>
      </c>
      <c r="G4144" t="str">
        <f t="shared" si="385"/>
        <v>26A1</v>
      </c>
      <c r="I4144">
        <f>HEX2DEC(Table1[[#This Row],[utf8]])</f>
        <v>9889</v>
      </c>
      <c r="J4144" t="str">
        <f>_xlfn.UNICHAR(HEX2DEC(Table1[[#This Row],[utf8]]))</f>
        <v>⚡</v>
      </c>
      <c r="K4144" s="3" t="str" cm="1">
        <f t="array" ref="K4144">"Case "&amp;wRandomLetter()&amp;wRandomLetter()&amp;I4144&amp;":    UniConst = ChrW(" &amp; I4144 &amp;")"</f>
        <v>Case wu9889:    UniConst = ChrW(9889)</v>
      </c>
    </row>
    <row r="4145" spans="1:11">
      <c r="A4145" t="s">
        <v>4265</v>
      </c>
      <c r="B4145" t="str">
        <f t="shared" si="386"/>
        <v>26A7 ; unqualified # ⚧ E13.0 transgender symbol</v>
      </c>
      <c r="C4145" t="str">
        <f t="shared" si="387"/>
        <v xml:space="preserve">26A7 </v>
      </c>
      <c r="D4145">
        <f t="shared" si="388"/>
        <v>5</v>
      </c>
      <c r="E4145" t="str">
        <f t="shared" si="384"/>
        <v xml:space="preserve"> ⚧ E13.0 transgender symbol</v>
      </c>
      <c r="F4145" t="b">
        <f t="shared" si="389"/>
        <v>0</v>
      </c>
      <c r="G4145" t="str">
        <f t="shared" si="385"/>
        <v>26A7</v>
      </c>
      <c r="I4145">
        <f>HEX2DEC(Table1[[#This Row],[utf8]])</f>
        <v>9895</v>
      </c>
      <c r="J4145" t="str">
        <f>_xlfn.UNICHAR(HEX2DEC(Table1[[#This Row],[utf8]]))</f>
        <v>⚧</v>
      </c>
      <c r="K4145" s="3" t="str" cm="1">
        <f t="array" ref="K4145">"Case "&amp;wRandomLetter()&amp;wRandomLetter()&amp;I4145&amp;":    UniConst = ChrW(" &amp; I4145 &amp;")"</f>
        <v>Case Vw9895:    UniConst = ChrW(9895)</v>
      </c>
    </row>
    <row r="4146" spans="1:11">
      <c r="A4146" t="s">
        <v>4264</v>
      </c>
      <c r="B4146" t="str">
        <f t="shared" si="386"/>
        <v>26A7 FE0F ; fully-qualified # ⚧️ E13.0 transgender symbol</v>
      </c>
      <c r="C4146" t="str">
        <f t="shared" si="387"/>
        <v xml:space="preserve">26A7 FE0F </v>
      </c>
      <c r="D4146">
        <f t="shared" si="388"/>
        <v>10</v>
      </c>
      <c r="E4146" t="str">
        <f t="shared" si="384"/>
        <v xml:space="preserve"> ⚧️ E13.0 transgender symbol</v>
      </c>
      <c r="F4146" t="b">
        <f t="shared" si="389"/>
        <v>0</v>
      </c>
      <c r="G4146" t="str">
        <f t="shared" si="385"/>
        <v>26A7</v>
      </c>
      <c r="I4146">
        <f>HEX2DEC(Table1[[#This Row],[utf8]])</f>
        <v>9895</v>
      </c>
      <c r="J4146" t="str">
        <f>_xlfn.UNICHAR(HEX2DEC(Table1[[#This Row],[utf8]]))</f>
        <v>⚧</v>
      </c>
      <c r="K4146" s="3" t="str" cm="1">
        <f t="array" ref="K4146">"Case "&amp;wRandomLetter()&amp;wRandomLetter()&amp;I4146&amp;":    UniConst = ChrW(" &amp; I4146 &amp;")"</f>
        <v>Case nM9895:    UniConst = ChrW(9895)</v>
      </c>
    </row>
    <row r="4147" spans="1:11">
      <c r="A4147" t="s">
        <v>4407</v>
      </c>
      <c r="B4147" t="str">
        <f t="shared" si="386"/>
        <v>26AA ; fully-qualified # ⚪ E0.6 white circle</v>
      </c>
      <c r="C4147" t="str">
        <f t="shared" si="387"/>
        <v xml:space="preserve">26AA </v>
      </c>
      <c r="D4147">
        <f t="shared" si="388"/>
        <v>5</v>
      </c>
      <c r="E4147" t="str">
        <f t="shared" si="384"/>
        <v xml:space="preserve"> ⚪ E0.6 white circle</v>
      </c>
      <c r="F4147" t="b">
        <f t="shared" si="389"/>
        <v>0</v>
      </c>
      <c r="G4147" t="str">
        <f t="shared" si="385"/>
        <v>26AA</v>
      </c>
      <c r="I4147">
        <f>HEX2DEC(Table1[[#This Row],[utf8]])</f>
        <v>9898</v>
      </c>
      <c r="J4147" t="str">
        <f>_xlfn.UNICHAR(HEX2DEC(Table1[[#This Row],[utf8]]))</f>
        <v>⚪</v>
      </c>
      <c r="K4147" s="3" t="str" cm="1">
        <f t="array" ref="K4147">"Case "&amp;wRandomLetter()&amp;wRandomLetter()&amp;I4147&amp;":    UniConst = ChrW(" &amp; I4147 &amp;")"</f>
        <v>Case lS9898:    UniConst = ChrW(9898)</v>
      </c>
    </row>
    <row r="4148" spans="1:11">
      <c r="A4148" t="s">
        <v>4406</v>
      </c>
      <c r="B4148" t="str">
        <f t="shared" si="386"/>
        <v>26AB ; fully-qualified # ⚫ E0.6 black circle</v>
      </c>
      <c r="C4148" t="str">
        <f t="shared" si="387"/>
        <v xml:space="preserve">26AB </v>
      </c>
      <c r="D4148">
        <f t="shared" si="388"/>
        <v>5</v>
      </c>
      <c r="E4148" t="str">
        <f t="shared" si="384"/>
        <v xml:space="preserve"> ⚫ E0.6 black circle</v>
      </c>
      <c r="F4148" t="b">
        <f t="shared" si="389"/>
        <v>0</v>
      </c>
      <c r="G4148" t="str">
        <f t="shared" si="385"/>
        <v>26AB</v>
      </c>
      <c r="I4148">
        <f>HEX2DEC(Table1[[#This Row],[utf8]])</f>
        <v>9899</v>
      </c>
      <c r="J4148" t="str">
        <f>_xlfn.UNICHAR(HEX2DEC(Table1[[#This Row],[utf8]]))</f>
        <v>⚫</v>
      </c>
      <c r="K4148" s="3" t="str" cm="1">
        <f t="array" ref="K4148">"Case "&amp;wRandomLetter()&amp;wRandomLetter()&amp;I4148&amp;":    UniConst = ChrW(" &amp; I4148 &amp;")"</f>
        <v>Case xx9899:    UniConst = ChrW(9899)</v>
      </c>
    </row>
    <row r="4149" spans="1:11">
      <c r="A4149" t="s">
        <v>4113</v>
      </c>
      <c r="B4149" t="str">
        <f t="shared" si="386"/>
        <v>26B0 ; unqualified # ⚰ E1.0 coffin</v>
      </c>
      <c r="C4149" t="str">
        <f t="shared" si="387"/>
        <v xml:space="preserve">26B0 </v>
      </c>
      <c r="D4149">
        <f t="shared" si="388"/>
        <v>5</v>
      </c>
      <c r="E4149" t="str">
        <f t="shared" si="384"/>
        <v xml:space="preserve"> ⚰ E1.0 coffin</v>
      </c>
      <c r="F4149" t="b">
        <f t="shared" si="389"/>
        <v>0</v>
      </c>
      <c r="G4149" t="str">
        <f t="shared" si="385"/>
        <v>26B0</v>
      </c>
      <c r="I4149">
        <f>HEX2DEC(Table1[[#This Row],[utf8]])</f>
        <v>9904</v>
      </c>
      <c r="J4149" t="str">
        <f>_xlfn.UNICHAR(HEX2DEC(Table1[[#This Row],[utf8]]))</f>
        <v>⚰</v>
      </c>
      <c r="K4149" s="3" t="str" cm="1">
        <f t="array" ref="K4149">"Case "&amp;wRandomLetter()&amp;wRandomLetter()&amp;I4149&amp;":    UniConst = ChrW(" &amp; I4149 &amp;")"</f>
        <v>Case rU9904:    UniConst = ChrW(9904)</v>
      </c>
    </row>
    <row r="4150" spans="1:11">
      <c r="A4150" t="s">
        <v>4112</v>
      </c>
      <c r="B4150" t="str">
        <f t="shared" si="386"/>
        <v>26B0 FE0F ; fully-qualified # ⚰️ E1.0 coffin</v>
      </c>
      <c r="C4150" t="str">
        <f t="shared" si="387"/>
        <v xml:space="preserve">26B0 FE0F </v>
      </c>
      <c r="D4150">
        <f t="shared" si="388"/>
        <v>10</v>
      </c>
      <c r="E4150" t="str">
        <f t="shared" si="384"/>
        <v xml:space="preserve"> ⚰️ E1.0 coffin</v>
      </c>
      <c r="F4150" t="b">
        <f t="shared" si="389"/>
        <v>0</v>
      </c>
      <c r="G4150" t="str">
        <f t="shared" si="385"/>
        <v>26B0</v>
      </c>
      <c r="I4150">
        <f>HEX2DEC(Table1[[#This Row],[utf8]])</f>
        <v>9904</v>
      </c>
      <c r="J4150" t="str">
        <f>_xlfn.UNICHAR(HEX2DEC(Table1[[#This Row],[utf8]]))</f>
        <v>⚰</v>
      </c>
      <c r="K4150" s="3" t="str" cm="1">
        <f t="array" ref="K4150">"Case "&amp;wRandomLetter()&amp;wRandomLetter()&amp;I4150&amp;":    UniConst = ChrW(" &amp; I4150 &amp;")"</f>
        <v>Case Kw9904:    UniConst = ChrW(9904)</v>
      </c>
    </row>
    <row r="4151" spans="1:11">
      <c r="A4151" t="s">
        <v>4116</v>
      </c>
      <c r="B4151" t="str">
        <f t="shared" si="386"/>
        <v>26B1 ; unqualified # ⚱ E1.0 funeral urn</v>
      </c>
      <c r="C4151" t="str">
        <f t="shared" si="387"/>
        <v xml:space="preserve">26B1 </v>
      </c>
      <c r="D4151">
        <f t="shared" si="388"/>
        <v>5</v>
      </c>
      <c r="E4151" t="str">
        <f t="shared" si="384"/>
        <v xml:space="preserve"> ⚱ E1.0 funeral urn</v>
      </c>
      <c r="F4151" t="b">
        <f t="shared" si="389"/>
        <v>0</v>
      </c>
      <c r="G4151" t="str">
        <f t="shared" si="385"/>
        <v>26B1</v>
      </c>
      <c r="I4151">
        <f>HEX2DEC(Table1[[#This Row],[utf8]])</f>
        <v>9905</v>
      </c>
      <c r="J4151" t="str">
        <f>_xlfn.UNICHAR(HEX2DEC(Table1[[#This Row],[utf8]]))</f>
        <v>⚱</v>
      </c>
      <c r="K4151" s="3" t="str" cm="1">
        <f t="array" ref="K4151">"Case "&amp;wRandomLetter()&amp;wRandomLetter()&amp;I4151&amp;":    UniConst = ChrW(" &amp; I4151 &amp;")"</f>
        <v>Case tI9905:    UniConst = ChrW(9905)</v>
      </c>
    </row>
    <row r="4152" spans="1:11">
      <c r="A4152" t="s">
        <v>4115</v>
      </c>
      <c r="B4152" t="str">
        <f t="shared" si="386"/>
        <v>26B1 FE0F ; fully-qualified # ⚱️ E1.0 funeral urn</v>
      </c>
      <c r="C4152" t="str">
        <f t="shared" si="387"/>
        <v xml:space="preserve">26B1 FE0F </v>
      </c>
      <c r="D4152">
        <f t="shared" si="388"/>
        <v>10</v>
      </c>
      <c r="E4152" t="str">
        <f t="shared" si="384"/>
        <v xml:space="preserve"> ⚱️ E1.0 funeral urn</v>
      </c>
      <c r="F4152" t="b">
        <f t="shared" si="389"/>
        <v>0</v>
      </c>
      <c r="G4152" t="str">
        <f t="shared" si="385"/>
        <v>26B1</v>
      </c>
      <c r="I4152">
        <f>HEX2DEC(Table1[[#This Row],[utf8]])</f>
        <v>9905</v>
      </c>
      <c r="J4152" t="str">
        <f>_xlfn.UNICHAR(HEX2DEC(Table1[[#This Row],[utf8]]))</f>
        <v>⚱</v>
      </c>
      <c r="K4152" s="3" t="str" cm="1">
        <f t="array" ref="K4152">"Case "&amp;wRandomLetter()&amp;wRandomLetter()&amp;I4152&amp;":    UniConst = ChrW(" &amp; I4152 &amp;")"</f>
        <v>Case gr9905:    UniConst = ChrW(9905)</v>
      </c>
    </row>
    <row r="4153" spans="1:11">
      <c r="A4153" t="s">
        <v>3732</v>
      </c>
      <c r="B4153" t="str">
        <f t="shared" si="386"/>
        <v>26BD ; fully-qualified # ⚽ E0.6 soccer ball</v>
      </c>
      <c r="C4153" t="str">
        <f t="shared" si="387"/>
        <v xml:space="preserve">26BD </v>
      </c>
      <c r="D4153">
        <f t="shared" si="388"/>
        <v>5</v>
      </c>
      <c r="E4153" t="str">
        <f t="shared" si="384"/>
        <v xml:space="preserve"> ⚽ E0.6 soccer ball</v>
      </c>
      <c r="F4153" t="b">
        <f t="shared" si="389"/>
        <v>0</v>
      </c>
      <c r="G4153" t="str">
        <f t="shared" si="385"/>
        <v>26BD</v>
      </c>
      <c r="I4153">
        <f>HEX2DEC(Table1[[#This Row],[utf8]])</f>
        <v>9917</v>
      </c>
      <c r="J4153" t="str">
        <f>_xlfn.UNICHAR(HEX2DEC(Table1[[#This Row],[utf8]]))</f>
        <v>⚽</v>
      </c>
      <c r="K4153" s="3" t="str" cm="1">
        <f t="array" ref="K4153">"Case "&amp;wRandomLetter()&amp;wRandomLetter()&amp;I4153&amp;":    UniConst = ChrW(" &amp; I4153 &amp;")"</f>
        <v>Case fd9917:    UniConst = ChrW(9917)</v>
      </c>
    </row>
    <row r="4154" spans="1:11">
      <c r="A4154" t="s">
        <v>3733</v>
      </c>
      <c r="B4154" t="str">
        <f t="shared" si="386"/>
        <v>26BE ; fully-qualified # ⚾ E0.6 baseball</v>
      </c>
      <c r="C4154" t="str">
        <f t="shared" si="387"/>
        <v xml:space="preserve">26BE </v>
      </c>
      <c r="D4154">
        <f t="shared" si="388"/>
        <v>5</v>
      </c>
      <c r="E4154" t="str">
        <f t="shared" si="384"/>
        <v xml:space="preserve"> ⚾ E0.6 baseball</v>
      </c>
      <c r="F4154" t="b">
        <f t="shared" si="389"/>
        <v>0</v>
      </c>
      <c r="G4154" t="str">
        <f t="shared" si="385"/>
        <v>26BE</v>
      </c>
      <c r="I4154">
        <f>HEX2DEC(Table1[[#This Row],[utf8]])</f>
        <v>9918</v>
      </c>
      <c r="J4154" t="str">
        <f>_xlfn.UNICHAR(HEX2DEC(Table1[[#This Row],[utf8]]))</f>
        <v>⚾</v>
      </c>
      <c r="K4154" s="3" t="str" cm="1">
        <f t="array" ref="K4154">"Case "&amp;wRandomLetter()&amp;wRandomLetter()&amp;I4154&amp;":    UniConst = ChrW(" &amp; I4154 &amp;")"</f>
        <v>Case OS9918:    UniConst = ChrW(9918)</v>
      </c>
    </row>
    <row r="4155" spans="1:11">
      <c r="A4155" t="s">
        <v>3690</v>
      </c>
      <c r="B4155" t="str">
        <f t="shared" si="386"/>
        <v>26C4 ; fully-qualified # ⛄ E0.6 snowman without snow</v>
      </c>
      <c r="C4155" t="str">
        <f t="shared" si="387"/>
        <v xml:space="preserve">26C4 </v>
      </c>
      <c r="D4155">
        <f t="shared" si="388"/>
        <v>5</v>
      </c>
      <c r="E4155" t="str">
        <f t="shared" si="384"/>
        <v xml:space="preserve"> ⛄ E0.6 snowman without snow</v>
      </c>
      <c r="F4155" t="b">
        <f t="shared" si="389"/>
        <v>0</v>
      </c>
      <c r="G4155" t="str">
        <f t="shared" si="385"/>
        <v>26C4</v>
      </c>
      <c r="I4155">
        <f>HEX2DEC(Table1[[#This Row],[utf8]])</f>
        <v>9924</v>
      </c>
      <c r="J4155" t="str">
        <f>_xlfn.UNICHAR(HEX2DEC(Table1[[#This Row],[utf8]]))</f>
        <v>⛄</v>
      </c>
      <c r="K4155" s="3" t="str" cm="1">
        <f t="array" ref="K4155">"Case "&amp;wRandomLetter()&amp;wRandomLetter()&amp;I4155&amp;":    UniConst = ChrW(" &amp; I4155 &amp;")"</f>
        <v>Case kW9924:    UniConst = ChrW(9924)</v>
      </c>
    </row>
    <row r="4156" spans="1:11">
      <c r="A4156" t="s">
        <v>3656</v>
      </c>
      <c r="B4156" t="str">
        <f t="shared" si="386"/>
        <v>26C5 ; fully-qualified # ⛅ E0.6 sun behind cloud</v>
      </c>
      <c r="C4156" t="str">
        <f t="shared" si="387"/>
        <v xml:space="preserve">26C5 </v>
      </c>
      <c r="D4156">
        <f t="shared" si="388"/>
        <v>5</v>
      </c>
      <c r="E4156" t="str">
        <f t="shared" si="384"/>
        <v xml:space="preserve"> ⛅ E0.6 sun behind cloud</v>
      </c>
      <c r="F4156" t="b">
        <f t="shared" si="389"/>
        <v>0</v>
      </c>
      <c r="G4156" t="str">
        <f t="shared" si="385"/>
        <v>26C5</v>
      </c>
      <c r="I4156">
        <f>HEX2DEC(Table1[[#This Row],[utf8]])</f>
        <v>9925</v>
      </c>
      <c r="J4156" t="str">
        <f>_xlfn.UNICHAR(HEX2DEC(Table1[[#This Row],[utf8]]))</f>
        <v>⛅</v>
      </c>
      <c r="K4156" s="3" t="str" cm="1">
        <f t="array" ref="K4156">"Case "&amp;wRandomLetter()&amp;wRandomLetter()&amp;I4156&amp;":    UniConst = ChrW(" &amp; I4156 &amp;")"</f>
        <v>Case rU9925:    UniConst = ChrW(9925)</v>
      </c>
    </row>
    <row r="4157" spans="1:11">
      <c r="A4157" t="s">
        <v>3658</v>
      </c>
      <c r="B4157" t="str">
        <f t="shared" si="386"/>
        <v>26C8 ; unqualified # ⛈ E0.7 cloud with lightning and rain</v>
      </c>
      <c r="C4157" t="str">
        <f t="shared" si="387"/>
        <v xml:space="preserve">26C8 </v>
      </c>
      <c r="D4157">
        <f t="shared" si="388"/>
        <v>5</v>
      </c>
      <c r="E4157" t="str">
        <f t="shared" si="384"/>
        <v xml:space="preserve"> ⛈ E0.7 cloud with lightning and rain</v>
      </c>
      <c r="F4157" t="b">
        <f t="shared" si="389"/>
        <v>0</v>
      </c>
      <c r="G4157" t="str">
        <f t="shared" si="385"/>
        <v>26C8</v>
      </c>
      <c r="I4157">
        <f>HEX2DEC(Table1[[#This Row],[utf8]])</f>
        <v>9928</v>
      </c>
      <c r="J4157" t="str">
        <f>_xlfn.UNICHAR(HEX2DEC(Table1[[#This Row],[utf8]]))</f>
        <v>⛈</v>
      </c>
      <c r="K4157" s="3" t="str" cm="1">
        <f t="array" ref="K4157">"Case "&amp;wRandomLetter()&amp;wRandomLetter()&amp;I4157&amp;":    UniConst = ChrW(" &amp; I4157 &amp;")"</f>
        <v>Case XH9928:    UniConst = ChrW(9928)</v>
      </c>
    </row>
    <row r="4158" spans="1:11">
      <c r="A4158" t="s">
        <v>3657</v>
      </c>
      <c r="B4158" t="str">
        <f t="shared" si="386"/>
        <v>26C8 FE0F ; fully-qualified # ⛈️ E0.7 cloud with lightning and rain</v>
      </c>
      <c r="C4158" t="str">
        <f t="shared" si="387"/>
        <v xml:space="preserve">26C8 FE0F </v>
      </c>
      <c r="D4158">
        <f t="shared" si="388"/>
        <v>10</v>
      </c>
      <c r="E4158" t="str">
        <f t="shared" si="384"/>
        <v xml:space="preserve"> ⛈️ E0.7 cloud with lightning and rain</v>
      </c>
      <c r="F4158" t="b">
        <f t="shared" si="389"/>
        <v>0</v>
      </c>
      <c r="G4158" t="str">
        <f t="shared" si="385"/>
        <v>26C8</v>
      </c>
      <c r="I4158">
        <f>HEX2DEC(Table1[[#This Row],[utf8]])</f>
        <v>9928</v>
      </c>
      <c r="J4158" t="str">
        <f>_xlfn.UNICHAR(HEX2DEC(Table1[[#This Row],[utf8]]))</f>
        <v>⛈</v>
      </c>
      <c r="K4158" s="3" t="str" cm="1">
        <f t="array" ref="K4158">"Case "&amp;wRandomLetter()&amp;wRandomLetter()&amp;I4158&amp;":    UniConst = ChrW(" &amp; I4158 &amp;")"</f>
        <v>Case Nd9928:    UniConst = ChrW(9928)</v>
      </c>
    </row>
    <row r="4159" spans="1:11">
      <c r="A4159" t="s">
        <v>4224</v>
      </c>
      <c r="B4159" t="str">
        <f t="shared" si="386"/>
        <v>26CE ; fully-qualified # ⛎ E0.6 Ophiuchus</v>
      </c>
      <c r="C4159" t="str">
        <f t="shared" si="387"/>
        <v xml:space="preserve">26CE </v>
      </c>
      <c r="D4159">
        <f t="shared" si="388"/>
        <v>5</v>
      </c>
      <c r="E4159" t="str">
        <f t="shared" si="384"/>
        <v xml:space="preserve"> ⛎ E0.6 Ophiuchus</v>
      </c>
      <c r="F4159" t="b">
        <f t="shared" si="389"/>
        <v>0</v>
      </c>
      <c r="G4159" t="str">
        <f t="shared" si="385"/>
        <v>26CE</v>
      </c>
      <c r="I4159">
        <f>HEX2DEC(Table1[[#This Row],[utf8]])</f>
        <v>9934</v>
      </c>
      <c r="J4159" t="str">
        <f>_xlfn.UNICHAR(HEX2DEC(Table1[[#This Row],[utf8]]))</f>
        <v>⛎</v>
      </c>
      <c r="K4159" s="3" t="str" cm="1">
        <f t="array" ref="K4159">"Case "&amp;wRandomLetter()&amp;wRandomLetter()&amp;I4159&amp;":    UniConst = ChrW(" &amp; I4159 &amp;")"</f>
        <v>Case pH9934:    UniConst = ChrW(9934)</v>
      </c>
    </row>
    <row r="4160" spans="1:11">
      <c r="A4160" t="s">
        <v>4036</v>
      </c>
      <c r="B4160" t="str">
        <f t="shared" si="386"/>
        <v>26CF ; unqualified # ⛏ E0.7 pick</v>
      </c>
      <c r="C4160" t="str">
        <f t="shared" si="387"/>
        <v xml:space="preserve">26CF </v>
      </c>
      <c r="D4160">
        <f t="shared" si="388"/>
        <v>5</v>
      </c>
      <c r="E4160" t="str">
        <f t="shared" si="384"/>
        <v xml:space="preserve"> ⛏ E0.7 pick</v>
      </c>
      <c r="F4160" t="b">
        <f t="shared" si="389"/>
        <v>0</v>
      </c>
      <c r="G4160" t="str">
        <f t="shared" si="385"/>
        <v>26CF</v>
      </c>
      <c r="I4160">
        <f>HEX2DEC(Table1[[#This Row],[utf8]])</f>
        <v>9935</v>
      </c>
      <c r="J4160" t="str">
        <f>_xlfn.UNICHAR(HEX2DEC(Table1[[#This Row],[utf8]]))</f>
        <v>⛏</v>
      </c>
      <c r="K4160" s="3" t="str" cm="1">
        <f t="array" ref="K4160">"Case "&amp;wRandomLetter()&amp;wRandomLetter()&amp;I4160&amp;":    UniConst = ChrW(" &amp; I4160 &amp;")"</f>
        <v>Case Jq9935:    UniConst = ChrW(9935)</v>
      </c>
    </row>
    <row r="4161" spans="1:11">
      <c r="A4161" t="s">
        <v>4035</v>
      </c>
      <c r="B4161" t="str">
        <f t="shared" si="386"/>
        <v>26CF FE0F ; fully-qualified # ⛏️ E0.7 pick</v>
      </c>
      <c r="C4161" t="str">
        <f t="shared" si="387"/>
        <v xml:space="preserve">26CF FE0F </v>
      </c>
      <c r="D4161">
        <f t="shared" si="388"/>
        <v>10</v>
      </c>
      <c r="E4161" t="str">
        <f t="shared" si="384"/>
        <v xml:space="preserve"> ⛏️ E0.7 pick</v>
      </c>
      <c r="F4161" t="b">
        <f t="shared" si="389"/>
        <v>0</v>
      </c>
      <c r="G4161" t="str">
        <f t="shared" si="385"/>
        <v>26CF</v>
      </c>
      <c r="I4161">
        <f>HEX2DEC(Table1[[#This Row],[utf8]])</f>
        <v>9935</v>
      </c>
      <c r="J4161" t="str">
        <f>_xlfn.UNICHAR(HEX2DEC(Table1[[#This Row],[utf8]]))</f>
        <v>⛏</v>
      </c>
      <c r="K4161" s="3" t="str" cm="1">
        <f t="array" ref="K4161">"Case "&amp;wRandomLetter()&amp;wRandomLetter()&amp;I4161&amp;":    UniConst = ChrW(" &amp; I4161 &amp;")"</f>
        <v>Case tN9935:    UniConst = ChrW(9935)</v>
      </c>
    </row>
    <row r="4162" spans="1:11">
      <c r="A4162" t="s">
        <v>3846</v>
      </c>
      <c r="B4162" t="str">
        <f t="shared" si="386"/>
        <v>26D1 ; unqualified # ⛑ E0.7 rescue worker’s helmet</v>
      </c>
      <c r="C4162" t="str">
        <f t="shared" si="387"/>
        <v xml:space="preserve">26D1 </v>
      </c>
      <c r="D4162">
        <f t="shared" si="388"/>
        <v>5</v>
      </c>
      <c r="E4162" t="str">
        <f t="shared" ref="E4162:E4225" si="390">MID(A4162,FIND("#",A4162)+1,256)</f>
        <v xml:space="preserve"> ⛑ E0.7 rescue worker’s helmet</v>
      </c>
      <c r="F4162" t="b">
        <f t="shared" si="389"/>
        <v>0</v>
      </c>
      <c r="G4162" t="str">
        <f t="shared" ref="G4162:G4225" si="391">LEFT(C4162,(FIND(" ",C4162,1)-1))</f>
        <v>26D1</v>
      </c>
      <c r="I4162">
        <f>HEX2DEC(Table1[[#This Row],[utf8]])</f>
        <v>9937</v>
      </c>
      <c r="J4162" t="str">
        <f>_xlfn.UNICHAR(HEX2DEC(Table1[[#This Row],[utf8]]))</f>
        <v>⛑</v>
      </c>
      <c r="K4162" s="3" t="str" cm="1">
        <f t="array" ref="K4162">"Case "&amp;wRandomLetter()&amp;wRandomLetter()&amp;I4162&amp;":    UniConst = ChrW(" &amp; I4162 &amp;")"</f>
        <v>Case HL9937:    UniConst = ChrW(9937)</v>
      </c>
    </row>
    <row r="4163" spans="1:11">
      <c r="A4163" t="s">
        <v>3845</v>
      </c>
      <c r="B4163" t="str">
        <f t="shared" ref="B4163:B4226" si="392">TRIM(A4163)</f>
        <v>26D1 FE0F ; fully-qualified # ⛑️ E0.7 rescue worker’s helmet</v>
      </c>
      <c r="C4163" t="str">
        <f t="shared" ref="C4163:C4226" si="393">LEFT(B4163,(FIND(";",B4163,1)-1))</f>
        <v xml:space="preserve">26D1 FE0F </v>
      </c>
      <c r="D4163">
        <f t="shared" ref="D4163:D4226" si="394">LEN(C4163)</f>
        <v>10</v>
      </c>
      <c r="E4163" t="str">
        <f t="shared" si="390"/>
        <v xml:space="preserve"> ⛑️ E0.7 rescue worker’s helmet</v>
      </c>
      <c r="F4163" t="b">
        <f t="shared" ref="F4163:F4226" si="395">IF(LEFT(C4163,2)="1F",TRUE,FALSE)</f>
        <v>0</v>
      </c>
      <c r="G4163" t="str">
        <f t="shared" si="391"/>
        <v>26D1</v>
      </c>
      <c r="I4163">
        <f>HEX2DEC(Table1[[#This Row],[utf8]])</f>
        <v>9937</v>
      </c>
      <c r="J4163" t="str">
        <f>_xlfn.UNICHAR(HEX2DEC(Table1[[#This Row],[utf8]]))</f>
        <v>⛑</v>
      </c>
      <c r="K4163" s="3" t="str" cm="1">
        <f t="array" ref="K4163">"Case "&amp;wRandomLetter()&amp;wRandomLetter()&amp;I4163&amp;":    UniConst = ChrW(" &amp; I4163 &amp;")"</f>
        <v>Case sz9937:    UniConst = ChrW(9937)</v>
      </c>
    </row>
    <row r="4164" spans="1:11">
      <c r="A4164" t="s">
        <v>4063</v>
      </c>
      <c r="B4164" t="str">
        <f t="shared" si="392"/>
        <v>26D3 ; unqualified # ⛓ E0.7 chains</v>
      </c>
      <c r="C4164" t="str">
        <f t="shared" si="393"/>
        <v xml:space="preserve">26D3 </v>
      </c>
      <c r="D4164">
        <f t="shared" si="394"/>
        <v>5</v>
      </c>
      <c r="E4164" t="str">
        <f t="shared" si="390"/>
        <v xml:space="preserve"> ⛓ E0.7 chains</v>
      </c>
      <c r="F4164" t="b">
        <f t="shared" si="395"/>
        <v>0</v>
      </c>
      <c r="G4164" t="str">
        <f t="shared" si="391"/>
        <v>26D3</v>
      </c>
      <c r="I4164">
        <f>HEX2DEC(Table1[[#This Row],[utf8]])</f>
        <v>9939</v>
      </c>
      <c r="J4164" t="str">
        <f>_xlfn.UNICHAR(HEX2DEC(Table1[[#This Row],[utf8]]))</f>
        <v>⛓</v>
      </c>
      <c r="K4164" s="3" t="str" cm="1">
        <f t="array" ref="K4164">"Case "&amp;wRandomLetter()&amp;wRandomLetter()&amp;I4164&amp;":    UniConst = ChrW(" &amp; I4164 &amp;")"</f>
        <v>Case wP9939:    UniConst = ChrW(9939)</v>
      </c>
    </row>
    <row r="4165" spans="1:11">
      <c r="A4165" t="s">
        <v>4062</v>
      </c>
      <c r="B4165" t="str">
        <f t="shared" si="392"/>
        <v>26D3 FE0F ; fully-qualified # ⛓️ E0.7 chains</v>
      </c>
      <c r="C4165" t="str">
        <f t="shared" si="393"/>
        <v xml:space="preserve">26D3 FE0F </v>
      </c>
      <c r="D4165">
        <f t="shared" si="394"/>
        <v>10</v>
      </c>
      <c r="E4165" t="str">
        <f t="shared" si="390"/>
        <v xml:space="preserve"> ⛓️ E0.7 chains</v>
      </c>
      <c r="F4165" t="b">
        <f t="shared" si="395"/>
        <v>0</v>
      </c>
      <c r="G4165" t="str">
        <f t="shared" si="391"/>
        <v>26D3</v>
      </c>
      <c r="I4165">
        <f>HEX2DEC(Table1[[#This Row],[utf8]])</f>
        <v>9939</v>
      </c>
      <c r="J4165" t="str">
        <f>_xlfn.UNICHAR(HEX2DEC(Table1[[#This Row],[utf8]]))</f>
        <v>⛓</v>
      </c>
      <c r="K4165" s="3" t="str" cm="1">
        <f t="array" ref="K4165">"Case "&amp;wRandomLetter()&amp;wRandomLetter()&amp;I4165&amp;":    UniConst = ChrW(" &amp; I4165 &amp;")"</f>
        <v>Case wk9939:    UniConst = ChrW(9939)</v>
      </c>
    </row>
    <row r="4166" spans="1:11">
      <c r="A4166" t="s">
        <v>4140</v>
      </c>
      <c r="B4166" t="str">
        <f t="shared" si="392"/>
        <v>26D4 ; fully-qualified # ⛔ E0.6 no entry</v>
      </c>
      <c r="C4166" t="str">
        <f t="shared" si="393"/>
        <v xml:space="preserve">26D4 </v>
      </c>
      <c r="D4166">
        <f t="shared" si="394"/>
        <v>5</v>
      </c>
      <c r="E4166" t="str">
        <f t="shared" si="390"/>
        <v xml:space="preserve"> ⛔ E0.6 no entry</v>
      </c>
      <c r="F4166" t="b">
        <f t="shared" si="395"/>
        <v>0</v>
      </c>
      <c r="G4166" t="str">
        <f t="shared" si="391"/>
        <v>26D4</v>
      </c>
      <c r="I4166">
        <f>HEX2DEC(Table1[[#This Row],[utf8]])</f>
        <v>9940</v>
      </c>
      <c r="J4166" t="str">
        <f>_xlfn.UNICHAR(HEX2DEC(Table1[[#This Row],[utf8]]))</f>
        <v>⛔</v>
      </c>
      <c r="K4166" s="3" t="str" cm="1">
        <f t="array" ref="K4166">"Case "&amp;wRandomLetter()&amp;wRandomLetter()&amp;I4166&amp;":    UniConst = ChrW(" &amp; I4166 &amp;")"</f>
        <v>Case Zo9940:    UniConst = ChrW(9940)</v>
      </c>
    </row>
    <row r="4167" spans="1:11">
      <c r="A4167" t="s">
        <v>3486</v>
      </c>
      <c r="B4167" t="str">
        <f t="shared" si="392"/>
        <v>26E9 ; unqualified # ⛩ E0.7 shinto shrine</v>
      </c>
      <c r="C4167" t="str">
        <f t="shared" si="393"/>
        <v xml:space="preserve">26E9 </v>
      </c>
      <c r="D4167">
        <f t="shared" si="394"/>
        <v>5</v>
      </c>
      <c r="E4167" t="str">
        <f t="shared" si="390"/>
        <v xml:space="preserve"> ⛩ E0.7 shinto shrine</v>
      </c>
      <c r="F4167" t="b">
        <f t="shared" si="395"/>
        <v>0</v>
      </c>
      <c r="G4167" t="str">
        <f t="shared" si="391"/>
        <v>26E9</v>
      </c>
      <c r="I4167">
        <f>HEX2DEC(Table1[[#This Row],[utf8]])</f>
        <v>9961</v>
      </c>
      <c r="J4167" t="str">
        <f>_xlfn.UNICHAR(HEX2DEC(Table1[[#This Row],[utf8]]))</f>
        <v>⛩</v>
      </c>
      <c r="K4167" s="3" t="str" cm="1">
        <f t="array" ref="K4167">"Case "&amp;wRandomLetter()&amp;wRandomLetter()&amp;I4167&amp;":    UniConst = ChrW(" &amp; I4167 &amp;")"</f>
        <v>Case ok9961:    UniConst = ChrW(9961)</v>
      </c>
    </row>
    <row r="4168" spans="1:11">
      <c r="A4168" t="s">
        <v>3485</v>
      </c>
      <c r="B4168" t="str">
        <f t="shared" si="392"/>
        <v>26E9 FE0F ; fully-qualified # ⛩️ E0.7 shinto shrine</v>
      </c>
      <c r="C4168" t="str">
        <f t="shared" si="393"/>
        <v xml:space="preserve">26E9 FE0F </v>
      </c>
      <c r="D4168">
        <f t="shared" si="394"/>
        <v>10</v>
      </c>
      <c r="E4168" t="str">
        <f t="shared" si="390"/>
        <v xml:space="preserve"> ⛩️ E0.7 shinto shrine</v>
      </c>
      <c r="F4168" t="b">
        <f t="shared" si="395"/>
        <v>0</v>
      </c>
      <c r="G4168" t="str">
        <f t="shared" si="391"/>
        <v>26E9</v>
      </c>
      <c r="I4168">
        <f>HEX2DEC(Table1[[#This Row],[utf8]])</f>
        <v>9961</v>
      </c>
      <c r="J4168" t="str">
        <f>_xlfn.UNICHAR(HEX2DEC(Table1[[#This Row],[utf8]]))</f>
        <v>⛩</v>
      </c>
      <c r="K4168" s="3" t="str" cm="1">
        <f t="array" ref="K4168">"Case "&amp;wRandomLetter()&amp;wRandomLetter()&amp;I4168&amp;":    UniConst = ChrW(" &amp; I4168 &amp;")"</f>
        <v>Case PA9961:    UniConst = ChrW(9961)</v>
      </c>
    </row>
    <row r="4169" spans="1:11">
      <c r="A4169" t="s">
        <v>3481</v>
      </c>
      <c r="B4169" t="str">
        <f t="shared" si="392"/>
        <v>26EA ; fully-qualified # ⛪ E0.6 church</v>
      </c>
      <c r="C4169" t="str">
        <f t="shared" si="393"/>
        <v xml:space="preserve">26EA </v>
      </c>
      <c r="D4169">
        <f t="shared" si="394"/>
        <v>5</v>
      </c>
      <c r="E4169" t="str">
        <f t="shared" si="390"/>
        <v xml:space="preserve"> ⛪ E0.6 church</v>
      </c>
      <c r="F4169" t="b">
        <f t="shared" si="395"/>
        <v>0</v>
      </c>
      <c r="G4169" t="str">
        <f t="shared" si="391"/>
        <v>26EA</v>
      </c>
      <c r="I4169">
        <f>HEX2DEC(Table1[[#This Row],[utf8]])</f>
        <v>9962</v>
      </c>
      <c r="J4169" t="str">
        <f>_xlfn.UNICHAR(HEX2DEC(Table1[[#This Row],[utf8]]))</f>
        <v>⛪</v>
      </c>
      <c r="K4169" s="3" t="str" cm="1">
        <f t="array" ref="K4169">"Case "&amp;wRandomLetter()&amp;wRandomLetter()&amp;I4169&amp;":    UniConst = ChrW(" &amp; I4169 &amp;")"</f>
        <v>Case Zq9962:    UniConst = ChrW(9962)</v>
      </c>
    </row>
    <row r="4170" spans="1:11">
      <c r="A4170" t="s">
        <v>3434</v>
      </c>
      <c r="B4170" t="str">
        <f t="shared" si="392"/>
        <v>26F0 ; unqualified # ⛰ E0.7 mountain</v>
      </c>
      <c r="C4170" t="str">
        <f t="shared" si="393"/>
        <v xml:space="preserve">26F0 </v>
      </c>
      <c r="D4170">
        <f t="shared" si="394"/>
        <v>5</v>
      </c>
      <c r="E4170" t="str">
        <f t="shared" si="390"/>
        <v xml:space="preserve"> ⛰ E0.7 mountain</v>
      </c>
      <c r="F4170" t="b">
        <f t="shared" si="395"/>
        <v>0</v>
      </c>
      <c r="G4170" t="str">
        <f t="shared" si="391"/>
        <v>26F0</v>
      </c>
      <c r="I4170">
        <f>HEX2DEC(Table1[[#This Row],[utf8]])</f>
        <v>9968</v>
      </c>
      <c r="J4170" t="str">
        <f>_xlfn.UNICHAR(HEX2DEC(Table1[[#This Row],[utf8]]))</f>
        <v>⛰</v>
      </c>
      <c r="K4170" s="3" t="str" cm="1">
        <f t="array" ref="K4170">"Case "&amp;wRandomLetter()&amp;wRandomLetter()&amp;I4170&amp;":    UniConst = ChrW(" &amp; I4170 &amp;")"</f>
        <v>Case zJ9968:    UniConst = ChrW(9968)</v>
      </c>
    </row>
    <row r="4171" spans="1:11">
      <c r="A4171" t="s">
        <v>3433</v>
      </c>
      <c r="B4171" t="str">
        <f t="shared" si="392"/>
        <v>26F0 FE0F ; fully-qualified # ⛰️ E0.7 mountain</v>
      </c>
      <c r="C4171" t="str">
        <f t="shared" si="393"/>
        <v xml:space="preserve">26F0 FE0F </v>
      </c>
      <c r="D4171">
        <f t="shared" si="394"/>
        <v>10</v>
      </c>
      <c r="E4171" t="str">
        <f t="shared" si="390"/>
        <v xml:space="preserve"> ⛰️ E0.7 mountain</v>
      </c>
      <c r="F4171" t="b">
        <f t="shared" si="395"/>
        <v>0</v>
      </c>
      <c r="G4171" t="str">
        <f t="shared" si="391"/>
        <v>26F0</v>
      </c>
      <c r="I4171">
        <f>HEX2DEC(Table1[[#This Row],[utf8]])</f>
        <v>9968</v>
      </c>
      <c r="J4171" t="str">
        <f>_xlfn.UNICHAR(HEX2DEC(Table1[[#This Row],[utf8]]))</f>
        <v>⛰</v>
      </c>
      <c r="K4171" s="3" t="str" cm="1">
        <f t="array" ref="K4171">"Case "&amp;wRandomLetter()&amp;wRandomLetter()&amp;I4171&amp;":    UniConst = ChrW(" &amp; I4171 &amp;")"</f>
        <v>Case Hh9968:    UniConst = ChrW(9968)</v>
      </c>
    </row>
    <row r="4172" spans="1:11">
      <c r="A4172" t="s">
        <v>3684</v>
      </c>
      <c r="B4172" t="str">
        <f t="shared" si="392"/>
        <v>26F1 ; unqualified # ⛱ E0.7 umbrella on ground</v>
      </c>
      <c r="C4172" t="str">
        <f t="shared" si="393"/>
        <v xml:space="preserve">26F1 </v>
      </c>
      <c r="D4172">
        <f t="shared" si="394"/>
        <v>5</v>
      </c>
      <c r="E4172" t="str">
        <f t="shared" si="390"/>
        <v xml:space="preserve"> ⛱ E0.7 umbrella on ground</v>
      </c>
      <c r="F4172" t="b">
        <f t="shared" si="395"/>
        <v>0</v>
      </c>
      <c r="G4172" t="str">
        <f t="shared" si="391"/>
        <v>26F1</v>
      </c>
      <c r="I4172">
        <f>HEX2DEC(Table1[[#This Row],[utf8]])</f>
        <v>9969</v>
      </c>
      <c r="J4172" t="str">
        <f>_xlfn.UNICHAR(HEX2DEC(Table1[[#This Row],[utf8]]))</f>
        <v>⛱</v>
      </c>
      <c r="K4172" s="3" t="str" cm="1">
        <f t="array" ref="K4172">"Case "&amp;wRandomLetter()&amp;wRandomLetter()&amp;I4172&amp;":    UniConst = ChrW(" &amp; I4172 &amp;")"</f>
        <v>Case gt9969:    UniConst = ChrW(9969)</v>
      </c>
    </row>
    <row r="4173" spans="1:11">
      <c r="A4173" t="s">
        <v>3683</v>
      </c>
      <c r="B4173" t="str">
        <f t="shared" si="392"/>
        <v>26F1 FE0F ; fully-qualified # ⛱️ E0.7 umbrella on ground</v>
      </c>
      <c r="C4173" t="str">
        <f t="shared" si="393"/>
        <v xml:space="preserve">26F1 FE0F </v>
      </c>
      <c r="D4173">
        <f t="shared" si="394"/>
        <v>10</v>
      </c>
      <c r="E4173" t="str">
        <f t="shared" si="390"/>
        <v xml:space="preserve"> ⛱️ E0.7 umbrella on ground</v>
      </c>
      <c r="F4173" t="b">
        <f t="shared" si="395"/>
        <v>0</v>
      </c>
      <c r="G4173" t="str">
        <f t="shared" si="391"/>
        <v>26F1</v>
      </c>
      <c r="I4173">
        <f>HEX2DEC(Table1[[#This Row],[utf8]])</f>
        <v>9969</v>
      </c>
      <c r="J4173" t="str">
        <f>_xlfn.UNICHAR(HEX2DEC(Table1[[#This Row],[utf8]]))</f>
        <v>⛱</v>
      </c>
      <c r="K4173" s="3" t="str" cm="1">
        <f t="array" ref="K4173">"Case "&amp;wRandomLetter()&amp;wRandomLetter()&amp;I4173&amp;":    UniConst = ChrW(" &amp; I4173 &amp;")"</f>
        <v>Case PD9969:    UniConst = ChrW(9969)</v>
      </c>
    </row>
    <row r="4174" spans="1:11">
      <c r="A4174" t="s">
        <v>3489</v>
      </c>
      <c r="B4174" t="str">
        <f t="shared" si="392"/>
        <v>26F2 ; fully-qualified # ⛲ E0.6 fountain</v>
      </c>
      <c r="C4174" t="str">
        <f t="shared" si="393"/>
        <v xml:space="preserve">26F2 </v>
      </c>
      <c r="D4174">
        <f t="shared" si="394"/>
        <v>5</v>
      </c>
      <c r="E4174" t="str">
        <f t="shared" si="390"/>
        <v xml:space="preserve"> ⛲ E0.6 fountain</v>
      </c>
      <c r="F4174" t="b">
        <f t="shared" si="395"/>
        <v>0</v>
      </c>
      <c r="G4174" t="str">
        <f t="shared" si="391"/>
        <v>26F2</v>
      </c>
      <c r="I4174">
        <f>HEX2DEC(Table1[[#This Row],[utf8]])</f>
        <v>9970</v>
      </c>
      <c r="J4174" t="str">
        <f>_xlfn.UNICHAR(HEX2DEC(Table1[[#This Row],[utf8]]))</f>
        <v>⛲</v>
      </c>
      <c r="K4174" s="3" t="str" cm="1">
        <f t="array" ref="K4174">"Case "&amp;wRandomLetter()&amp;wRandomLetter()&amp;I4174&amp;":    UniConst = ChrW(" &amp; I4174 &amp;")"</f>
        <v>Case Jr9970:    UniConst = ChrW(9970)</v>
      </c>
    </row>
    <row r="4175" spans="1:11">
      <c r="A4175" t="s">
        <v>3751</v>
      </c>
      <c r="B4175" t="str">
        <f t="shared" si="392"/>
        <v>26F3 ; fully-qualified # ⛳ E0.6 flag in hole</v>
      </c>
      <c r="C4175" t="str">
        <f t="shared" si="393"/>
        <v xml:space="preserve">26F3 </v>
      </c>
      <c r="D4175">
        <f t="shared" si="394"/>
        <v>5</v>
      </c>
      <c r="E4175" t="str">
        <f t="shared" si="390"/>
        <v xml:space="preserve"> ⛳ E0.6 flag in hole</v>
      </c>
      <c r="F4175" t="b">
        <f t="shared" si="395"/>
        <v>0</v>
      </c>
      <c r="G4175" t="str">
        <f t="shared" si="391"/>
        <v>26F3</v>
      </c>
      <c r="I4175">
        <f>HEX2DEC(Table1[[#This Row],[utf8]])</f>
        <v>9971</v>
      </c>
      <c r="J4175" t="str">
        <f>_xlfn.UNICHAR(HEX2DEC(Table1[[#This Row],[utf8]]))</f>
        <v>⛳</v>
      </c>
      <c r="K4175" s="3" t="str" cm="1">
        <f t="array" ref="K4175">"Case "&amp;wRandomLetter()&amp;wRandomLetter()&amp;I4175&amp;":    UniConst = ChrW(" &amp; I4175 &amp;")"</f>
        <v>Case ku9971:    UniConst = ChrW(9971)</v>
      </c>
    </row>
    <row r="4176" spans="1:11">
      <c r="A4176" t="s">
        <v>3570</v>
      </c>
      <c r="B4176" t="str">
        <f t="shared" si="392"/>
        <v>26F4 ; unqualified # ⛴ E0.7 ferry</v>
      </c>
      <c r="C4176" t="str">
        <f t="shared" si="393"/>
        <v xml:space="preserve">26F4 </v>
      </c>
      <c r="D4176">
        <f t="shared" si="394"/>
        <v>5</v>
      </c>
      <c r="E4176" t="str">
        <f t="shared" si="390"/>
        <v xml:space="preserve"> ⛴ E0.7 ferry</v>
      </c>
      <c r="F4176" t="b">
        <f t="shared" si="395"/>
        <v>0</v>
      </c>
      <c r="G4176" t="str">
        <f t="shared" si="391"/>
        <v>26F4</v>
      </c>
      <c r="I4176">
        <f>HEX2DEC(Table1[[#This Row],[utf8]])</f>
        <v>9972</v>
      </c>
      <c r="J4176" t="str">
        <f>_xlfn.UNICHAR(HEX2DEC(Table1[[#This Row],[utf8]]))</f>
        <v>⛴</v>
      </c>
      <c r="K4176" s="3" t="str" cm="1">
        <f t="array" ref="K4176">"Case "&amp;wRandomLetter()&amp;wRandomLetter()&amp;I4176&amp;":    UniConst = ChrW(" &amp; I4176 &amp;")"</f>
        <v>Case Nf9972:    UniConst = ChrW(9972)</v>
      </c>
    </row>
    <row r="4177" spans="1:11">
      <c r="A4177" t="s">
        <v>3569</v>
      </c>
      <c r="B4177" t="str">
        <f t="shared" si="392"/>
        <v>26F4 FE0F ; fully-qualified # ⛴️ E0.7 ferry</v>
      </c>
      <c r="C4177" t="str">
        <f t="shared" si="393"/>
        <v xml:space="preserve">26F4 FE0F </v>
      </c>
      <c r="D4177">
        <f t="shared" si="394"/>
        <v>10</v>
      </c>
      <c r="E4177" t="str">
        <f t="shared" si="390"/>
        <v xml:space="preserve"> ⛴️ E0.7 ferry</v>
      </c>
      <c r="F4177" t="b">
        <f t="shared" si="395"/>
        <v>0</v>
      </c>
      <c r="G4177" t="str">
        <f t="shared" si="391"/>
        <v>26F4</v>
      </c>
      <c r="I4177">
        <f>HEX2DEC(Table1[[#This Row],[utf8]])</f>
        <v>9972</v>
      </c>
      <c r="J4177" t="str">
        <f>_xlfn.UNICHAR(HEX2DEC(Table1[[#This Row],[utf8]]))</f>
        <v>⛴</v>
      </c>
      <c r="K4177" s="3" t="str" cm="1">
        <f t="array" ref="K4177">"Case "&amp;wRandomLetter()&amp;wRandomLetter()&amp;I4177&amp;":    UniConst = ChrW(" &amp; I4177 &amp;")"</f>
        <v>Case HK9972:    UniConst = ChrW(9972)</v>
      </c>
    </row>
    <row r="4178" spans="1:11">
      <c r="A4178" t="s">
        <v>3564</v>
      </c>
      <c r="B4178" t="str">
        <f t="shared" si="392"/>
        <v>26F5 ; fully-qualified # ⛵ E0.6 sailboat</v>
      </c>
      <c r="C4178" t="str">
        <f t="shared" si="393"/>
        <v xml:space="preserve">26F5 </v>
      </c>
      <c r="D4178">
        <f t="shared" si="394"/>
        <v>5</v>
      </c>
      <c r="E4178" t="str">
        <f t="shared" si="390"/>
        <v xml:space="preserve"> ⛵ E0.6 sailboat</v>
      </c>
      <c r="F4178" t="b">
        <f t="shared" si="395"/>
        <v>0</v>
      </c>
      <c r="G4178" t="str">
        <f t="shared" si="391"/>
        <v>26F5</v>
      </c>
      <c r="I4178">
        <f>HEX2DEC(Table1[[#This Row],[utf8]])</f>
        <v>9973</v>
      </c>
      <c r="J4178" t="str">
        <f>_xlfn.UNICHAR(HEX2DEC(Table1[[#This Row],[utf8]]))</f>
        <v>⛵</v>
      </c>
      <c r="K4178" s="3" t="str" cm="1">
        <f t="array" ref="K4178">"Case "&amp;wRandomLetter()&amp;wRandomLetter()&amp;I4178&amp;":    UniConst = ChrW(" &amp; I4178 &amp;")"</f>
        <v>Case GY9973:    UniConst = ChrW(9973)</v>
      </c>
    </row>
    <row r="4179" spans="1:11">
      <c r="A4179" t="s">
        <v>2132</v>
      </c>
      <c r="B4179" t="str">
        <f t="shared" si="392"/>
        <v>26F7 ; unqualified # ⛷ E0.7 skier</v>
      </c>
      <c r="C4179" t="str">
        <f t="shared" si="393"/>
        <v xml:space="preserve">26F7 </v>
      </c>
      <c r="D4179">
        <f t="shared" si="394"/>
        <v>5</v>
      </c>
      <c r="E4179" t="str">
        <f t="shared" si="390"/>
        <v xml:space="preserve"> ⛷ E0.7 skier</v>
      </c>
      <c r="F4179" t="b">
        <f t="shared" si="395"/>
        <v>0</v>
      </c>
      <c r="G4179" t="str">
        <f t="shared" si="391"/>
        <v>26F7</v>
      </c>
      <c r="I4179">
        <f>HEX2DEC(Table1[[#This Row],[utf8]])</f>
        <v>9975</v>
      </c>
      <c r="J4179" t="str">
        <f>_xlfn.UNICHAR(HEX2DEC(Table1[[#This Row],[utf8]]))</f>
        <v>⛷</v>
      </c>
      <c r="K4179" s="3" t="str" cm="1">
        <f t="array" ref="K4179">"Case "&amp;wRandomLetter()&amp;wRandomLetter()&amp;I4179&amp;":    UniConst = ChrW(" &amp; I4179 &amp;")"</f>
        <v>Case av9975:    UniConst = ChrW(9975)</v>
      </c>
    </row>
    <row r="4180" spans="1:11">
      <c r="A4180" t="s">
        <v>2131</v>
      </c>
      <c r="B4180" t="str">
        <f t="shared" si="392"/>
        <v>26F7 FE0F ; fully-qualified # ⛷️ E0.7 skier</v>
      </c>
      <c r="C4180" t="str">
        <f t="shared" si="393"/>
        <v xml:space="preserve">26F7 FE0F </v>
      </c>
      <c r="D4180">
        <f t="shared" si="394"/>
        <v>10</v>
      </c>
      <c r="E4180" t="str">
        <f t="shared" si="390"/>
        <v xml:space="preserve"> ⛷️ E0.7 skier</v>
      </c>
      <c r="F4180" t="b">
        <f t="shared" si="395"/>
        <v>0</v>
      </c>
      <c r="G4180" t="str">
        <f t="shared" si="391"/>
        <v>26F7</v>
      </c>
      <c r="I4180">
        <f>HEX2DEC(Table1[[#This Row],[utf8]])</f>
        <v>9975</v>
      </c>
      <c r="J4180" t="str">
        <f>_xlfn.UNICHAR(HEX2DEC(Table1[[#This Row],[utf8]]))</f>
        <v>⛷</v>
      </c>
      <c r="K4180" s="3" t="str" cm="1">
        <f t="array" ref="K4180">"Case "&amp;wRandomLetter()&amp;wRandomLetter()&amp;I4180&amp;":    UniConst = ChrW(" &amp; I4180 &amp;")"</f>
        <v>Case ZL9975:    UniConst = ChrW(9975)</v>
      </c>
    </row>
    <row r="4181" spans="1:11">
      <c r="A4181" t="s">
        <v>3753</v>
      </c>
      <c r="B4181" t="str">
        <f t="shared" si="392"/>
        <v>26F8 ; unqualified # ⛸ E0.7 ice skate</v>
      </c>
      <c r="C4181" t="str">
        <f t="shared" si="393"/>
        <v xml:space="preserve">26F8 </v>
      </c>
      <c r="D4181">
        <f t="shared" si="394"/>
        <v>5</v>
      </c>
      <c r="E4181" t="str">
        <f t="shared" si="390"/>
        <v xml:space="preserve"> ⛸ E0.7 ice skate</v>
      </c>
      <c r="F4181" t="b">
        <f t="shared" si="395"/>
        <v>0</v>
      </c>
      <c r="G4181" t="str">
        <f t="shared" si="391"/>
        <v>26F8</v>
      </c>
      <c r="I4181">
        <f>HEX2DEC(Table1[[#This Row],[utf8]])</f>
        <v>9976</v>
      </c>
      <c r="J4181" t="str">
        <f>_xlfn.UNICHAR(HEX2DEC(Table1[[#This Row],[utf8]]))</f>
        <v>⛸</v>
      </c>
      <c r="K4181" s="3" t="str" cm="1">
        <f t="array" ref="K4181">"Case "&amp;wRandomLetter()&amp;wRandomLetter()&amp;I4181&amp;":    UniConst = ChrW(" &amp; I4181 &amp;")"</f>
        <v>Case hX9976:    UniConst = ChrW(9976)</v>
      </c>
    </row>
    <row r="4182" spans="1:11">
      <c r="A4182" t="s">
        <v>3752</v>
      </c>
      <c r="B4182" t="str">
        <f t="shared" si="392"/>
        <v>26F8 FE0F ; fully-qualified # ⛸️ E0.7 ice skate</v>
      </c>
      <c r="C4182" t="str">
        <f t="shared" si="393"/>
        <v xml:space="preserve">26F8 FE0F </v>
      </c>
      <c r="D4182">
        <f t="shared" si="394"/>
        <v>10</v>
      </c>
      <c r="E4182" t="str">
        <f t="shared" si="390"/>
        <v xml:space="preserve"> ⛸️ E0.7 ice skate</v>
      </c>
      <c r="F4182" t="b">
        <f t="shared" si="395"/>
        <v>0</v>
      </c>
      <c r="G4182" t="str">
        <f t="shared" si="391"/>
        <v>26F8</v>
      </c>
      <c r="I4182">
        <f>HEX2DEC(Table1[[#This Row],[utf8]])</f>
        <v>9976</v>
      </c>
      <c r="J4182" t="str">
        <f>_xlfn.UNICHAR(HEX2DEC(Table1[[#This Row],[utf8]]))</f>
        <v>⛸</v>
      </c>
      <c r="K4182" s="3" t="str" cm="1">
        <f t="array" ref="K4182">"Case "&amp;wRandomLetter()&amp;wRandomLetter()&amp;I4182&amp;":    UniConst = ChrW(" &amp; I4182 &amp;")"</f>
        <v>Case sz9976:    UniConst = ChrW(9976)</v>
      </c>
    </row>
    <row r="4183" spans="1:11">
      <c r="A4183" t="s">
        <v>2265</v>
      </c>
      <c r="B4183" t="str">
        <f t="shared" si="392"/>
        <v>26F9 ; unqualified # ⛹ E0.7 person bouncing ball</v>
      </c>
      <c r="C4183" t="str">
        <f t="shared" si="393"/>
        <v xml:space="preserve">26F9 </v>
      </c>
      <c r="D4183">
        <f t="shared" si="394"/>
        <v>5</v>
      </c>
      <c r="E4183" t="str">
        <f t="shared" si="390"/>
        <v xml:space="preserve"> ⛹ E0.7 person bouncing ball</v>
      </c>
      <c r="F4183" t="b">
        <f t="shared" si="395"/>
        <v>0</v>
      </c>
      <c r="G4183" t="str">
        <f t="shared" si="391"/>
        <v>26F9</v>
      </c>
      <c r="I4183">
        <f>HEX2DEC(Table1[[#This Row],[utf8]])</f>
        <v>9977</v>
      </c>
      <c r="J4183" t="str">
        <f>_xlfn.UNICHAR(HEX2DEC(Table1[[#This Row],[utf8]]))</f>
        <v>⛹</v>
      </c>
      <c r="K4183" s="3" t="str" cm="1">
        <f t="array" ref="K4183">"Case "&amp;wRandomLetter()&amp;wRandomLetter()&amp;I4183&amp;":    UniConst = ChrW(" &amp; I4183 &amp;")"</f>
        <v>Case Aj9977:    UniConst = ChrW(9977)</v>
      </c>
    </row>
    <row r="4184" spans="1:11">
      <c r="A4184" t="s">
        <v>2266</v>
      </c>
      <c r="B4184" t="str">
        <f t="shared" si="392"/>
        <v>26F9 1F3FB ; fully-qualified # ⛹🏻 E2.0 person bouncing ball: light skin tone</v>
      </c>
      <c r="C4184" t="str">
        <f t="shared" si="393"/>
        <v xml:space="preserve">26F9 1F3FB </v>
      </c>
      <c r="D4184">
        <f t="shared" si="394"/>
        <v>11</v>
      </c>
      <c r="E4184" t="str">
        <f t="shared" si="390"/>
        <v xml:space="preserve"> ⛹🏻 E2.0 person bouncing ball: light skin tone</v>
      </c>
      <c r="F4184" t="b">
        <f t="shared" si="395"/>
        <v>0</v>
      </c>
      <c r="G4184" t="str">
        <f t="shared" si="391"/>
        <v>26F9</v>
      </c>
      <c r="I4184">
        <f>HEX2DEC(Table1[[#This Row],[utf8]])</f>
        <v>9977</v>
      </c>
      <c r="J4184" t="str">
        <f>_xlfn.UNICHAR(HEX2DEC(Table1[[#This Row],[utf8]]))</f>
        <v>⛹</v>
      </c>
      <c r="K4184" s="3" t="str" cm="1">
        <f t="array" ref="K4184">"Case "&amp;wRandomLetter()&amp;wRandomLetter()&amp;I4184&amp;":    UniConst = ChrW(" &amp; I4184 &amp;")"</f>
        <v>Case oN9977:    UniConst = ChrW(9977)</v>
      </c>
    </row>
    <row r="4185" spans="1:11">
      <c r="A4185" t="s">
        <v>2290</v>
      </c>
      <c r="B4185" t="str">
        <f t="shared" si="392"/>
        <v>26F9 1F3FB 200D 2640 ; minimally-qualified # ⛹🏻‍♀ E4.0 woman bouncing ball: light skin tone</v>
      </c>
      <c r="C4185" t="str">
        <f t="shared" si="393"/>
        <v xml:space="preserve">26F9 1F3FB 200D 2640 </v>
      </c>
      <c r="D4185">
        <f t="shared" si="394"/>
        <v>21</v>
      </c>
      <c r="E4185" t="str">
        <f t="shared" si="390"/>
        <v xml:space="preserve"> ⛹🏻‍♀ E4.0 woman bouncing ball: light skin tone</v>
      </c>
      <c r="F4185" t="b">
        <f t="shared" si="395"/>
        <v>0</v>
      </c>
      <c r="G4185" t="str">
        <f t="shared" si="391"/>
        <v>26F9</v>
      </c>
      <c r="I4185">
        <f>HEX2DEC(Table1[[#This Row],[utf8]])</f>
        <v>9977</v>
      </c>
      <c r="J4185" t="str">
        <f>_xlfn.UNICHAR(HEX2DEC(Table1[[#This Row],[utf8]]))</f>
        <v>⛹</v>
      </c>
      <c r="K4185" s="3" t="str" cm="1">
        <f t="array" ref="K4185">"Case "&amp;wRandomLetter()&amp;wRandomLetter()&amp;I4185&amp;":    UniConst = ChrW(" &amp; I4185 &amp;")"</f>
        <v>Case yn9977:    UniConst = ChrW(9977)</v>
      </c>
    </row>
    <row r="4186" spans="1:11">
      <c r="A4186" t="s">
        <v>2289</v>
      </c>
      <c r="B4186" t="str">
        <f t="shared" si="392"/>
        <v>26F9 1F3FB 200D 2640 FE0F ; fully-qualified # ⛹🏻‍♀️ E4.0 woman bouncing ball: light skin tone</v>
      </c>
      <c r="C4186" t="str">
        <f t="shared" si="393"/>
        <v xml:space="preserve">26F9 1F3FB 200D 2640 FE0F </v>
      </c>
      <c r="D4186">
        <f t="shared" si="394"/>
        <v>26</v>
      </c>
      <c r="E4186" t="str">
        <f t="shared" si="390"/>
        <v xml:space="preserve"> ⛹🏻‍♀️ E4.0 woman bouncing ball: light skin tone</v>
      </c>
      <c r="F4186" t="b">
        <f t="shared" si="395"/>
        <v>0</v>
      </c>
      <c r="G4186" t="str">
        <f t="shared" si="391"/>
        <v>26F9</v>
      </c>
      <c r="I4186">
        <f>HEX2DEC(Table1[[#This Row],[utf8]])</f>
        <v>9977</v>
      </c>
      <c r="J4186" t="str">
        <f>_xlfn.UNICHAR(HEX2DEC(Table1[[#This Row],[utf8]]))</f>
        <v>⛹</v>
      </c>
      <c r="K4186" s="3" t="str" cm="1">
        <f t="array" ref="K4186">"Case "&amp;wRandomLetter()&amp;wRandomLetter()&amp;I4186&amp;":    UniConst = ChrW(" &amp; I4186 &amp;")"</f>
        <v>Case AS9977:    UniConst = ChrW(9977)</v>
      </c>
    </row>
    <row r="4187" spans="1:11">
      <c r="A4187" t="s">
        <v>2276</v>
      </c>
      <c r="B4187" t="str">
        <f t="shared" si="392"/>
        <v>26F9 1F3FB 200D 2642 ; minimally-qualified # ⛹🏻‍♂ E4.0 man bouncing ball: light skin tone</v>
      </c>
      <c r="C4187" t="str">
        <f t="shared" si="393"/>
        <v xml:space="preserve">26F9 1F3FB 200D 2642 </v>
      </c>
      <c r="D4187">
        <f t="shared" si="394"/>
        <v>21</v>
      </c>
      <c r="E4187" t="str">
        <f t="shared" si="390"/>
        <v xml:space="preserve"> ⛹🏻‍♂ E4.0 man bouncing ball: light skin tone</v>
      </c>
      <c r="F4187" t="b">
        <f t="shared" si="395"/>
        <v>0</v>
      </c>
      <c r="G4187" t="str">
        <f t="shared" si="391"/>
        <v>26F9</v>
      </c>
      <c r="I4187">
        <f>HEX2DEC(Table1[[#This Row],[utf8]])</f>
        <v>9977</v>
      </c>
      <c r="J4187" t="str">
        <f>_xlfn.UNICHAR(HEX2DEC(Table1[[#This Row],[utf8]]))</f>
        <v>⛹</v>
      </c>
      <c r="K4187" s="3" t="str" cm="1">
        <f t="array" ref="K4187">"Case "&amp;wRandomLetter()&amp;wRandomLetter()&amp;I4187&amp;":    UniConst = ChrW(" &amp; I4187 &amp;")"</f>
        <v>Case lc9977:    UniConst = ChrW(9977)</v>
      </c>
    </row>
    <row r="4188" spans="1:11">
      <c r="A4188" t="s">
        <v>2275</v>
      </c>
      <c r="B4188" t="str">
        <f t="shared" si="392"/>
        <v>26F9 1F3FB 200D 2642 FE0F ; fully-qualified # ⛹🏻‍♂️ E4.0 man bouncing ball: light skin tone</v>
      </c>
      <c r="C4188" t="str">
        <f t="shared" si="393"/>
        <v xml:space="preserve">26F9 1F3FB 200D 2642 FE0F </v>
      </c>
      <c r="D4188">
        <f t="shared" si="394"/>
        <v>26</v>
      </c>
      <c r="E4188" t="str">
        <f t="shared" si="390"/>
        <v xml:space="preserve"> ⛹🏻‍♂️ E4.0 man bouncing ball: light skin tone</v>
      </c>
      <c r="F4188" t="b">
        <f t="shared" si="395"/>
        <v>0</v>
      </c>
      <c r="G4188" t="str">
        <f t="shared" si="391"/>
        <v>26F9</v>
      </c>
      <c r="I4188">
        <f>HEX2DEC(Table1[[#This Row],[utf8]])</f>
        <v>9977</v>
      </c>
      <c r="J4188" t="str">
        <f>_xlfn.UNICHAR(HEX2DEC(Table1[[#This Row],[utf8]]))</f>
        <v>⛹</v>
      </c>
      <c r="K4188" s="3" t="str" cm="1">
        <f t="array" ref="K4188">"Case "&amp;wRandomLetter()&amp;wRandomLetter()&amp;I4188&amp;":    UniConst = ChrW(" &amp; I4188 &amp;")"</f>
        <v>Case Oo9977:    UniConst = ChrW(9977)</v>
      </c>
    </row>
    <row r="4189" spans="1:11">
      <c r="A4189" t="s">
        <v>2267</v>
      </c>
      <c r="B4189" t="str">
        <f t="shared" si="392"/>
        <v>26F9 1F3FC ; fully-qualified # ⛹🏼 E2.0 person bouncing ball: medium-light skin tone</v>
      </c>
      <c r="C4189" t="str">
        <f t="shared" si="393"/>
        <v xml:space="preserve">26F9 1F3FC </v>
      </c>
      <c r="D4189">
        <f t="shared" si="394"/>
        <v>11</v>
      </c>
      <c r="E4189" t="str">
        <f t="shared" si="390"/>
        <v xml:space="preserve"> ⛹🏼 E2.0 person bouncing ball: medium-light skin tone</v>
      </c>
      <c r="F4189" t="b">
        <f t="shared" si="395"/>
        <v>0</v>
      </c>
      <c r="G4189" t="str">
        <f t="shared" si="391"/>
        <v>26F9</v>
      </c>
      <c r="I4189">
        <f>HEX2DEC(Table1[[#This Row],[utf8]])</f>
        <v>9977</v>
      </c>
      <c r="J4189" t="str">
        <f>_xlfn.UNICHAR(HEX2DEC(Table1[[#This Row],[utf8]]))</f>
        <v>⛹</v>
      </c>
      <c r="K4189" s="3" t="str" cm="1">
        <f t="array" ref="K4189">"Case "&amp;wRandomLetter()&amp;wRandomLetter()&amp;I4189&amp;":    UniConst = ChrW(" &amp; I4189 &amp;")"</f>
        <v>Case Qi9977:    UniConst = ChrW(9977)</v>
      </c>
    </row>
    <row r="4190" spans="1:11">
      <c r="A4190" t="s">
        <v>2292</v>
      </c>
      <c r="B4190" t="str">
        <f t="shared" si="392"/>
        <v>26F9 1F3FC 200D 2640 ; minimally-qualified # ⛹🏼‍♀ E4.0 woman bouncing ball: medium-light skin tone</v>
      </c>
      <c r="C4190" t="str">
        <f t="shared" si="393"/>
        <v xml:space="preserve">26F9 1F3FC 200D 2640 </v>
      </c>
      <c r="D4190">
        <f t="shared" si="394"/>
        <v>21</v>
      </c>
      <c r="E4190" t="str">
        <f t="shared" si="390"/>
        <v xml:space="preserve"> ⛹🏼‍♀ E4.0 woman bouncing ball: medium-light skin tone</v>
      </c>
      <c r="F4190" t="b">
        <f t="shared" si="395"/>
        <v>0</v>
      </c>
      <c r="G4190" t="str">
        <f t="shared" si="391"/>
        <v>26F9</v>
      </c>
      <c r="I4190">
        <f>HEX2DEC(Table1[[#This Row],[utf8]])</f>
        <v>9977</v>
      </c>
      <c r="J4190" t="str">
        <f>_xlfn.UNICHAR(HEX2DEC(Table1[[#This Row],[utf8]]))</f>
        <v>⛹</v>
      </c>
      <c r="K4190" s="3" t="str" cm="1">
        <f t="array" ref="K4190">"Case "&amp;wRandomLetter()&amp;wRandomLetter()&amp;I4190&amp;":    UniConst = ChrW(" &amp; I4190 &amp;")"</f>
        <v>Case kz9977:    UniConst = ChrW(9977)</v>
      </c>
    </row>
    <row r="4191" spans="1:11">
      <c r="A4191" t="s">
        <v>2291</v>
      </c>
      <c r="B4191" t="str">
        <f t="shared" si="392"/>
        <v>26F9 1F3FC 200D 2640 FE0F ; fully-qualified # ⛹🏼‍♀️ E4.0 woman bouncing ball: medium-light skin tone</v>
      </c>
      <c r="C4191" t="str">
        <f t="shared" si="393"/>
        <v xml:space="preserve">26F9 1F3FC 200D 2640 FE0F </v>
      </c>
      <c r="D4191">
        <f t="shared" si="394"/>
        <v>26</v>
      </c>
      <c r="E4191" t="str">
        <f t="shared" si="390"/>
        <v xml:space="preserve"> ⛹🏼‍♀️ E4.0 woman bouncing ball: medium-light skin tone</v>
      </c>
      <c r="F4191" t="b">
        <f t="shared" si="395"/>
        <v>0</v>
      </c>
      <c r="G4191" t="str">
        <f t="shared" si="391"/>
        <v>26F9</v>
      </c>
      <c r="I4191">
        <f>HEX2DEC(Table1[[#This Row],[utf8]])</f>
        <v>9977</v>
      </c>
      <c r="J4191" t="str">
        <f>_xlfn.UNICHAR(HEX2DEC(Table1[[#This Row],[utf8]]))</f>
        <v>⛹</v>
      </c>
      <c r="K4191" s="3" t="str" cm="1">
        <f t="array" ref="K4191">"Case "&amp;wRandomLetter()&amp;wRandomLetter()&amp;I4191&amp;":    UniConst = ChrW(" &amp; I4191 &amp;")"</f>
        <v>Case hC9977:    UniConst = ChrW(9977)</v>
      </c>
    </row>
    <row r="4192" spans="1:11">
      <c r="A4192" t="s">
        <v>2278</v>
      </c>
      <c r="B4192" t="str">
        <f t="shared" si="392"/>
        <v>26F9 1F3FC 200D 2642 ; minimally-qualified # ⛹🏼‍♂ E4.0 man bouncing ball: medium-light skin tone</v>
      </c>
      <c r="C4192" t="str">
        <f t="shared" si="393"/>
        <v xml:space="preserve">26F9 1F3FC 200D 2642 </v>
      </c>
      <c r="D4192">
        <f t="shared" si="394"/>
        <v>21</v>
      </c>
      <c r="E4192" t="str">
        <f t="shared" si="390"/>
        <v xml:space="preserve"> ⛹🏼‍♂ E4.0 man bouncing ball: medium-light skin tone</v>
      </c>
      <c r="F4192" t="b">
        <f t="shared" si="395"/>
        <v>0</v>
      </c>
      <c r="G4192" t="str">
        <f t="shared" si="391"/>
        <v>26F9</v>
      </c>
      <c r="I4192">
        <f>HEX2DEC(Table1[[#This Row],[utf8]])</f>
        <v>9977</v>
      </c>
      <c r="J4192" t="str">
        <f>_xlfn.UNICHAR(HEX2DEC(Table1[[#This Row],[utf8]]))</f>
        <v>⛹</v>
      </c>
      <c r="K4192" s="3" t="str" cm="1">
        <f t="array" ref="K4192">"Case "&amp;wRandomLetter()&amp;wRandomLetter()&amp;I4192&amp;":    UniConst = ChrW(" &amp; I4192 &amp;")"</f>
        <v>Case ex9977:    UniConst = ChrW(9977)</v>
      </c>
    </row>
    <row r="4193" spans="1:11">
      <c r="A4193" t="s">
        <v>2277</v>
      </c>
      <c r="B4193" t="str">
        <f t="shared" si="392"/>
        <v>26F9 1F3FC 200D 2642 FE0F ; fully-qualified # ⛹🏼‍♂️ E4.0 man bouncing ball: medium-light skin tone</v>
      </c>
      <c r="C4193" t="str">
        <f t="shared" si="393"/>
        <v xml:space="preserve">26F9 1F3FC 200D 2642 FE0F </v>
      </c>
      <c r="D4193">
        <f t="shared" si="394"/>
        <v>26</v>
      </c>
      <c r="E4193" t="str">
        <f t="shared" si="390"/>
        <v xml:space="preserve"> ⛹🏼‍♂️ E4.0 man bouncing ball: medium-light skin tone</v>
      </c>
      <c r="F4193" t="b">
        <f t="shared" si="395"/>
        <v>0</v>
      </c>
      <c r="G4193" t="str">
        <f t="shared" si="391"/>
        <v>26F9</v>
      </c>
      <c r="I4193">
        <f>HEX2DEC(Table1[[#This Row],[utf8]])</f>
        <v>9977</v>
      </c>
      <c r="J4193" t="str">
        <f>_xlfn.UNICHAR(HEX2DEC(Table1[[#This Row],[utf8]]))</f>
        <v>⛹</v>
      </c>
      <c r="K4193" s="3" t="str" cm="1">
        <f t="array" ref="K4193">"Case "&amp;wRandomLetter()&amp;wRandomLetter()&amp;I4193&amp;":    UniConst = ChrW(" &amp; I4193 &amp;")"</f>
        <v>Case GM9977:    UniConst = ChrW(9977)</v>
      </c>
    </row>
    <row r="4194" spans="1:11">
      <c r="A4194" t="s">
        <v>2268</v>
      </c>
      <c r="B4194" t="str">
        <f t="shared" si="392"/>
        <v>26F9 1F3FD ; fully-qualified # ⛹🏽 E2.0 person bouncing ball: medium skin tone</v>
      </c>
      <c r="C4194" t="str">
        <f t="shared" si="393"/>
        <v xml:space="preserve">26F9 1F3FD </v>
      </c>
      <c r="D4194">
        <f t="shared" si="394"/>
        <v>11</v>
      </c>
      <c r="E4194" t="str">
        <f t="shared" si="390"/>
        <v xml:space="preserve"> ⛹🏽 E2.0 person bouncing ball: medium skin tone</v>
      </c>
      <c r="F4194" t="b">
        <f t="shared" si="395"/>
        <v>0</v>
      </c>
      <c r="G4194" t="str">
        <f t="shared" si="391"/>
        <v>26F9</v>
      </c>
      <c r="I4194">
        <f>HEX2DEC(Table1[[#This Row],[utf8]])</f>
        <v>9977</v>
      </c>
      <c r="J4194" t="str">
        <f>_xlfn.UNICHAR(HEX2DEC(Table1[[#This Row],[utf8]]))</f>
        <v>⛹</v>
      </c>
      <c r="K4194" s="3" t="str" cm="1">
        <f t="array" ref="K4194">"Case "&amp;wRandomLetter()&amp;wRandomLetter()&amp;I4194&amp;":    UniConst = ChrW(" &amp; I4194 &amp;")"</f>
        <v>Case NW9977:    UniConst = ChrW(9977)</v>
      </c>
    </row>
    <row r="4195" spans="1:11">
      <c r="A4195" t="s">
        <v>2294</v>
      </c>
      <c r="B4195" t="str">
        <f t="shared" si="392"/>
        <v>26F9 1F3FD 200D 2640 ; minimally-qualified # ⛹🏽‍♀ E4.0 woman bouncing ball: medium skin tone</v>
      </c>
      <c r="C4195" t="str">
        <f t="shared" si="393"/>
        <v xml:space="preserve">26F9 1F3FD 200D 2640 </v>
      </c>
      <c r="D4195">
        <f t="shared" si="394"/>
        <v>21</v>
      </c>
      <c r="E4195" t="str">
        <f t="shared" si="390"/>
        <v xml:space="preserve"> ⛹🏽‍♀ E4.0 woman bouncing ball: medium skin tone</v>
      </c>
      <c r="F4195" t="b">
        <f t="shared" si="395"/>
        <v>0</v>
      </c>
      <c r="G4195" t="str">
        <f t="shared" si="391"/>
        <v>26F9</v>
      </c>
      <c r="I4195">
        <f>HEX2DEC(Table1[[#This Row],[utf8]])</f>
        <v>9977</v>
      </c>
      <c r="J4195" t="str">
        <f>_xlfn.UNICHAR(HEX2DEC(Table1[[#This Row],[utf8]]))</f>
        <v>⛹</v>
      </c>
      <c r="K4195" s="3" t="str" cm="1">
        <f t="array" ref="K4195">"Case "&amp;wRandomLetter()&amp;wRandomLetter()&amp;I4195&amp;":    UniConst = ChrW(" &amp; I4195 &amp;")"</f>
        <v>Case uH9977:    UniConst = ChrW(9977)</v>
      </c>
    </row>
    <row r="4196" spans="1:11">
      <c r="A4196" t="s">
        <v>2293</v>
      </c>
      <c r="B4196" t="str">
        <f t="shared" si="392"/>
        <v>26F9 1F3FD 200D 2640 FE0F ; fully-qualified # ⛹🏽‍♀️ E4.0 woman bouncing ball: medium skin tone</v>
      </c>
      <c r="C4196" t="str">
        <f t="shared" si="393"/>
        <v xml:space="preserve">26F9 1F3FD 200D 2640 FE0F </v>
      </c>
      <c r="D4196">
        <f t="shared" si="394"/>
        <v>26</v>
      </c>
      <c r="E4196" t="str">
        <f t="shared" si="390"/>
        <v xml:space="preserve"> ⛹🏽‍♀️ E4.0 woman bouncing ball: medium skin tone</v>
      </c>
      <c r="F4196" t="b">
        <f t="shared" si="395"/>
        <v>0</v>
      </c>
      <c r="G4196" t="str">
        <f t="shared" si="391"/>
        <v>26F9</v>
      </c>
      <c r="I4196">
        <f>HEX2DEC(Table1[[#This Row],[utf8]])</f>
        <v>9977</v>
      </c>
      <c r="J4196" t="str">
        <f>_xlfn.UNICHAR(HEX2DEC(Table1[[#This Row],[utf8]]))</f>
        <v>⛹</v>
      </c>
      <c r="K4196" s="3" t="str" cm="1">
        <f t="array" ref="K4196">"Case "&amp;wRandomLetter()&amp;wRandomLetter()&amp;I4196&amp;":    UniConst = ChrW(" &amp; I4196 &amp;")"</f>
        <v>Case pV9977:    UniConst = ChrW(9977)</v>
      </c>
    </row>
    <row r="4197" spans="1:11">
      <c r="A4197" t="s">
        <v>2280</v>
      </c>
      <c r="B4197" t="str">
        <f t="shared" si="392"/>
        <v>26F9 1F3FD 200D 2642 ; minimally-qualified # ⛹🏽‍♂ E4.0 man bouncing ball: medium skin tone</v>
      </c>
      <c r="C4197" t="str">
        <f t="shared" si="393"/>
        <v xml:space="preserve">26F9 1F3FD 200D 2642 </v>
      </c>
      <c r="D4197">
        <f t="shared" si="394"/>
        <v>21</v>
      </c>
      <c r="E4197" t="str">
        <f t="shared" si="390"/>
        <v xml:space="preserve"> ⛹🏽‍♂ E4.0 man bouncing ball: medium skin tone</v>
      </c>
      <c r="F4197" t="b">
        <f t="shared" si="395"/>
        <v>0</v>
      </c>
      <c r="G4197" t="str">
        <f t="shared" si="391"/>
        <v>26F9</v>
      </c>
      <c r="I4197">
        <f>HEX2DEC(Table1[[#This Row],[utf8]])</f>
        <v>9977</v>
      </c>
      <c r="J4197" t="str">
        <f>_xlfn.UNICHAR(HEX2DEC(Table1[[#This Row],[utf8]]))</f>
        <v>⛹</v>
      </c>
      <c r="K4197" s="3" t="str" cm="1">
        <f t="array" ref="K4197">"Case "&amp;wRandomLetter()&amp;wRandomLetter()&amp;I4197&amp;":    UniConst = ChrW(" &amp; I4197 &amp;")"</f>
        <v>Case Qi9977:    UniConst = ChrW(9977)</v>
      </c>
    </row>
    <row r="4198" spans="1:11">
      <c r="A4198" t="s">
        <v>2279</v>
      </c>
      <c r="B4198" t="str">
        <f t="shared" si="392"/>
        <v>26F9 1F3FD 200D 2642 FE0F ; fully-qualified # ⛹🏽‍♂️ E4.0 man bouncing ball: medium skin tone</v>
      </c>
      <c r="C4198" t="str">
        <f t="shared" si="393"/>
        <v xml:space="preserve">26F9 1F3FD 200D 2642 FE0F </v>
      </c>
      <c r="D4198">
        <f t="shared" si="394"/>
        <v>26</v>
      </c>
      <c r="E4198" t="str">
        <f t="shared" si="390"/>
        <v xml:space="preserve"> ⛹🏽‍♂️ E4.0 man bouncing ball: medium skin tone</v>
      </c>
      <c r="F4198" t="b">
        <f t="shared" si="395"/>
        <v>0</v>
      </c>
      <c r="G4198" t="str">
        <f t="shared" si="391"/>
        <v>26F9</v>
      </c>
      <c r="I4198">
        <f>HEX2DEC(Table1[[#This Row],[utf8]])</f>
        <v>9977</v>
      </c>
      <c r="J4198" t="str">
        <f>_xlfn.UNICHAR(HEX2DEC(Table1[[#This Row],[utf8]]))</f>
        <v>⛹</v>
      </c>
      <c r="K4198" s="3" t="str" cm="1">
        <f t="array" ref="K4198">"Case "&amp;wRandomLetter()&amp;wRandomLetter()&amp;I4198&amp;":    UniConst = ChrW(" &amp; I4198 &amp;")"</f>
        <v>Case HY9977:    UniConst = ChrW(9977)</v>
      </c>
    </row>
    <row r="4199" spans="1:11">
      <c r="A4199" t="s">
        <v>2269</v>
      </c>
      <c r="B4199" t="str">
        <f t="shared" si="392"/>
        <v>26F9 1F3FE ; fully-qualified # ⛹🏾 E2.0 person bouncing ball: medium-dark skin tone</v>
      </c>
      <c r="C4199" t="str">
        <f t="shared" si="393"/>
        <v xml:space="preserve">26F9 1F3FE </v>
      </c>
      <c r="D4199">
        <f t="shared" si="394"/>
        <v>11</v>
      </c>
      <c r="E4199" t="str">
        <f t="shared" si="390"/>
        <v xml:space="preserve"> ⛹🏾 E2.0 person bouncing ball: medium-dark skin tone</v>
      </c>
      <c r="F4199" t="b">
        <f t="shared" si="395"/>
        <v>0</v>
      </c>
      <c r="G4199" t="str">
        <f t="shared" si="391"/>
        <v>26F9</v>
      </c>
      <c r="I4199">
        <f>HEX2DEC(Table1[[#This Row],[utf8]])</f>
        <v>9977</v>
      </c>
      <c r="J4199" t="str">
        <f>_xlfn.UNICHAR(HEX2DEC(Table1[[#This Row],[utf8]]))</f>
        <v>⛹</v>
      </c>
      <c r="K4199" s="3" t="str" cm="1">
        <f t="array" ref="K4199">"Case "&amp;wRandomLetter()&amp;wRandomLetter()&amp;I4199&amp;":    UniConst = ChrW(" &amp; I4199 &amp;")"</f>
        <v>Case iL9977:    UniConst = ChrW(9977)</v>
      </c>
    </row>
    <row r="4200" spans="1:11">
      <c r="A4200" t="s">
        <v>2296</v>
      </c>
      <c r="B4200" t="str">
        <f t="shared" si="392"/>
        <v>26F9 1F3FE 200D 2640 ; minimally-qualified # ⛹🏾‍♀ E4.0 woman bouncing ball: medium-dark skin tone</v>
      </c>
      <c r="C4200" t="str">
        <f t="shared" si="393"/>
        <v xml:space="preserve">26F9 1F3FE 200D 2640 </v>
      </c>
      <c r="D4200">
        <f t="shared" si="394"/>
        <v>21</v>
      </c>
      <c r="E4200" t="str">
        <f t="shared" si="390"/>
        <v xml:space="preserve"> ⛹🏾‍♀ E4.0 woman bouncing ball: medium-dark skin tone</v>
      </c>
      <c r="F4200" t="b">
        <f t="shared" si="395"/>
        <v>0</v>
      </c>
      <c r="G4200" t="str">
        <f t="shared" si="391"/>
        <v>26F9</v>
      </c>
      <c r="I4200">
        <f>HEX2DEC(Table1[[#This Row],[utf8]])</f>
        <v>9977</v>
      </c>
      <c r="J4200" t="str">
        <f>_xlfn.UNICHAR(HEX2DEC(Table1[[#This Row],[utf8]]))</f>
        <v>⛹</v>
      </c>
      <c r="K4200" s="3" t="str" cm="1">
        <f t="array" ref="K4200">"Case "&amp;wRandomLetter()&amp;wRandomLetter()&amp;I4200&amp;":    UniConst = ChrW(" &amp; I4200 &amp;")"</f>
        <v>Case lc9977:    UniConst = ChrW(9977)</v>
      </c>
    </row>
    <row r="4201" spans="1:11">
      <c r="A4201" t="s">
        <v>2295</v>
      </c>
      <c r="B4201" t="str">
        <f t="shared" si="392"/>
        <v>26F9 1F3FE 200D 2640 FE0F ; fully-qualified # ⛹🏾‍♀️ E4.0 woman bouncing ball: medium-dark skin tone</v>
      </c>
      <c r="C4201" t="str">
        <f t="shared" si="393"/>
        <v xml:space="preserve">26F9 1F3FE 200D 2640 FE0F </v>
      </c>
      <c r="D4201">
        <f t="shared" si="394"/>
        <v>26</v>
      </c>
      <c r="E4201" t="str">
        <f t="shared" si="390"/>
        <v xml:space="preserve"> ⛹🏾‍♀️ E4.0 woman bouncing ball: medium-dark skin tone</v>
      </c>
      <c r="F4201" t="b">
        <f t="shared" si="395"/>
        <v>0</v>
      </c>
      <c r="G4201" t="str">
        <f t="shared" si="391"/>
        <v>26F9</v>
      </c>
      <c r="I4201">
        <f>HEX2DEC(Table1[[#This Row],[utf8]])</f>
        <v>9977</v>
      </c>
      <c r="J4201" t="str">
        <f>_xlfn.UNICHAR(HEX2DEC(Table1[[#This Row],[utf8]]))</f>
        <v>⛹</v>
      </c>
      <c r="K4201" s="3" t="str" cm="1">
        <f t="array" ref="K4201">"Case "&amp;wRandomLetter()&amp;wRandomLetter()&amp;I4201&amp;":    UniConst = ChrW(" &amp; I4201 &amp;")"</f>
        <v>Case IK9977:    UniConst = ChrW(9977)</v>
      </c>
    </row>
    <row r="4202" spans="1:11">
      <c r="A4202" t="s">
        <v>2282</v>
      </c>
      <c r="B4202" t="str">
        <f t="shared" si="392"/>
        <v>26F9 1F3FE 200D 2642 ; minimally-qualified # ⛹🏾‍♂ E4.0 man bouncing ball: medium-dark skin tone</v>
      </c>
      <c r="C4202" t="str">
        <f t="shared" si="393"/>
        <v xml:space="preserve">26F9 1F3FE 200D 2642 </v>
      </c>
      <c r="D4202">
        <f t="shared" si="394"/>
        <v>21</v>
      </c>
      <c r="E4202" t="str">
        <f t="shared" si="390"/>
        <v xml:space="preserve"> ⛹🏾‍♂ E4.0 man bouncing ball: medium-dark skin tone</v>
      </c>
      <c r="F4202" t="b">
        <f t="shared" si="395"/>
        <v>0</v>
      </c>
      <c r="G4202" t="str">
        <f t="shared" si="391"/>
        <v>26F9</v>
      </c>
      <c r="I4202">
        <f>HEX2DEC(Table1[[#This Row],[utf8]])</f>
        <v>9977</v>
      </c>
      <c r="J4202" t="str">
        <f>_xlfn.UNICHAR(HEX2DEC(Table1[[#This Row],[utf8]]))</f>
        <v>⛹</v>
      </c>
      <c r="K4202" s="3" t="str" cm="1">
        <f t="array" ref="K4202">"Case "&amp;wRandomLetter()&amp;wRandomLetter()&amp;I4202&amp;":    UniConst = ChrW(" &amp; I4202 &amp;")"</f>
        <v>Case kb9977:    UniConst = ChrW(9977)</v>
      </c>
    </row>
    <row r="4203" spans="1:11">
      <c r="A4203" t="s">
        <v>2281</v>
      </c>
      <c r="B4203" t="str">
        <f t="shared" si="392"/>
        <v>26F9 1F3FE 200D 2642 FE0F ; fully-qualified # ⛹🏾‍♂️ E4.0 man bouncing ball: medium-dark skin tone</v>
      </c>
      <c r="C4203" t="str">
        <f t="shared" si="393"/>
        <v xml:space="preserve">26F9 1F3FE 200D 2642 FE0F </v>
      </c>
      <c r="D4203">
        <f t="shared" si="394"/>
        <v>26</v>
      </c>
      <c r="E4203" t="str">
        <f t="shared" si="390"/>
        <v xml:space="preserve"> ⛹🏾‍♂️ E4.0 man bouncing ball: medium-dark skin tone</v>
      </c>
      <c r="F4203" t="b">
        <f t="shared" si="395"/>
        <v>0</v>
      </c>
      <c r="G4203" t="str">
        <f t="shared" si="391"/>
        <v>26F9</v>
      </c>
      <c r="I4203">
        <f>HEX2DEC(Table1[[#This Row],[utf8]])</f>
        <v>9977</v>
      </c>
      <c r="J4203" t="str">
        <f>_xlfn.UNICHAR(HEX2DEC(Table1[[#This Row],[utf8]]))</f>
        <v>⛹</v>
      </c>
      <c r="K4203" s="3" t="str" cm="1">
        <f t="array" ref="K4203">"Case "&amp;wRandomLetter()&amp;wRandomLetter()&amp;I4203&amp;":    UniConst = ChrW(" &amp; I4203 &amp;")"</f>
        <v>Case UZ9977:    UniConst = ChrW(9977)</v>
      </c>
    </row>
    <row r="4204" spans="1:11">
      <c r="A4204" t="s">
        <v>2270</v>
      </c>
      <c r="B4204" t="str">
        <f t="shared" si="392"/>
        <v>26F9 1F3FF ; fully-qualified # ⛹🏿 E2.0 person bouncing ball: dark skin tone</v>
      </c>
      <c r="C4204" t="str">
        <f t="shared" si="393"/>
        <v xml:space="preserve">26F9 1F3FF </v>
      </c>
      <c r="D4204">
        <f t="shared" si="394"/>
        <v>11</v>
      </c>
      <c r="E4204" t="str">
        <f t="shared" si="390"/>
        <v xml:space="preserve"> ⛹🏿 E2.0 person bouncing ball: dark skin tone</v>
      </c>
      <c r="F4204" t="b">
        <f t="shared" si="395"/>
        <v>0</v>
      </c>
      <c r="G4204" t="str">
        <f t="shared" si="391"/>
        <v>26F9</v>
      </c>
      <c r="I4204">
        <f>HEX2DEC(Table1[[#This Row],[utf8]])</f>
        <v>9977</v>
      </c>
      <c r="J4204" t="str">
        <f>_xlfn.UNICHAR(HEX2DEC(Table1[[#This Row],[utf8]]))</f>
        <v>⛹</v>
      </c>
      <c r="K4204" s="3" t="str" cm="1">
        <f t="array" ref="K4204">"Case "&amp;wRandomLetter()&amp;wRandomLetter()&amp;I4204&amp;":    UniConst = ChrW(" &amp; I4204 &amp;")"</f>
        <v>Case uu9977:    UniConst = ChrW(9977)</v>
      </c>
    </row>
    <row r="4205" spans="1:11">
      <c r="A4205" t="s">
        <v>2298</v>
      </c>
      <c r="B4205" t="str">
        <f t="shared" si="392"/>
        <v>26F9 1F3FF 200D 2640 ; minimally-qualified # ⛹🏿‍♀ E4.0 woman bouncing ball: dark skin tone</v>
      </c>
      <c r="C4205" t="str">
        <f t="shared" si="393"/>
        <v xml:space="preserve">26F9 1F3FF 200D 2640 </v>
      </c>
      <c r="D4205">
        <f t="shared" si="394"/>
        <v>21</v>
      </c>
      <c r="E4205" t="str">
        <f t="shared" si="390"/>
        <v xml:space="preserve"> ⛹🏿‍♀ E4.0 woman bouncing ball: dark skin tone</v>
      </c>
      <c r="F4205" t="b">
        <f t="shared" si="395"/>
        <v>0</v>
      </c>
      <c r="G4205" t="str">
        <f t="shared" si="391"/>
        <v>26F9</v>
      </c>
      <c r="I4205">
        <f>HEX2DEC(Table1[[#This Row],[utf8]])</f>
        <v>9977</v>
      </c>
      <c r="J4205" t="str">
        <f>_xlfn.UNICHAR(HEX2DEC(Table1[[#This Row],[utf8]]))</f>
        <v>⛹</v>
      </c>
      <c r="K4205" s="3" t="str" cm="1">
        <f t="array" ref="K4205">"Case "&amp;wRandomLetter()&amp;wRandomLetter()&amp;I4205&amp;":    UniConst = ChrW(" &amp; I4205 &amp;")"</f>
        <v>Case bb9977:    UniConst = ChrW(9977)</v>
      </c>
    </row>
    <row r="4206" spans="1:11">
      <c r="A4206" t="s">
        <v>2297</v>
      </c>
      <c r="B4206" t="str">
        <f t="shared" si="392"/>
        <v>26F9 1F3FF 200D 2640 FE0F ; fully-qualified # ⛹🏿‍♀️ E4.0 woman bouncing ball: dark skin tone</v>
      </c>
      <c r="C4206" t="str">
        <f t="shared" si="393"/>
        <v xml:space="preserve">26F9 1F3FF 200D 2640 FE0F </v>
      </c>
      <c r="D4206">
        <f t="shared" si="394"/>
        <v>26</v>
      </c>
      <c r="E4206" t="str">
        <f t="shared" si="390"/>
        <v xml:space="preserve"> ⛹🏿‍♀️ E4.0 woman bouncing ball: dark skin tone</v>
      </c>
      <c r="F4206" t="b">
        <f t="shared" si="395"/>
        <v>0</v>
      </c>
      <c r="G4206" t="str">
        <f t="shared" si="391"/>
        <v>26F9</v>
      </c>
      <c r="I4206">
        <f>HEX2DEC(Table1[[#This Row],[utf8]])</f>
        <v>9977</v>
      </c>
      <c r="J4206" t="str">
        <f>_xlfn.UNICHAR(HEX2DEC(Table1[[#This Row],[utf8]]))</f>
        <v>⛹</v>
      </c>
      <c r="K4206" s="3" t="str" cm="1">
        <f t="array" ref="K4206">"Case "&amp;wRandomLetter()&amp;wRandomLetter()&amp;I4206&amp;":    UniConst = ChrW(" &amp; I4206 &amp;")"</f>
        <v>Case lS9977:    UniConst = ChrW(9977)</v>
      </c>
    </row>
    <row r="4207" spans="1:11">
      <c r="A4207" t="s">
        <v>2284</v>
      </c>
      <c r="B4207" t="str">
        <f t="shared" si="392"/>
        <v>26F9 1F3FF 200D 2642 ; minimally-qualified # ⛹🏿‍♂ E4.0 man bouncing ball: dark skin tone</v>
      </c>
      <c r="C4207" t="str">
        <f t="shared" si="393"/>
        <v xml:space="preserve">26F9 1F3FF 200D 2642 </v>
      </c>
      <c r="D4207">
        <f t="shared" si="394"/>
        <v>21</v>
      </c>
      <c r="E4207" t="str">
        <f t="shared" si="390"/>
        <v xml:space="preserve"> ⛹🏿‍♂ E4.0 man bouncing ball: dark skin tone</v>
      </c>
      <c r="F4207" t="b">
        <f t="shared" si="395"/>
        <v>0</v>
      </c>
      <c r="G4207" t="str">
        <f t="shared" si="391"/>
        <v>26F9</v>
      </c>
      <c r="I4207">
        <f>HEX2DEC(Table1[[#This Row],[utf8]])</f>
        <v>9977</v>
      </c>
      <c r="J4207" t="str">
        <f>_xlfn.UNICHAR(HEX2DEC(Table1[[#This Row],[utf8]]))</f>
        <v>⛹</v>
      </c>
      <c r="K4207" s="3" t="str" cm="1">
        <f t="array" ref="K4207">"Case "&amp;wRandomLetter()&amp;wRandomLetter()&amp;I4207&amp;":    UniConst = ChrW(" &amp; I4207 &amp;")"</f>
        <v>Case ZB9977:    UniConst = ChrW(9977)</v>
      </c>
    </row>
    <row r="4208" spans="1:11">
      <c r="A4208" t="s">
        <v>2283</v>
      </c>
      <c r="B4208" t="str">
        <f t="shared" si="392"/>
        <v>26F9 1F3FF 200D 2642 FE0F ; fully-qualified # ⛹🏿‍♂️ E4.0 man bouncing ball: dark skin tone</v>
      </c>
      <c r="C4208" t="str">
        <f t="shared" si="393"/>
        <v xml:space="preserve">26F9 1F3FF 200D 2642 FE0F </v>
      </c>
      <c r="D4208">
        <f t="shared" si="394"/>
        <v>26</v>
      </c>
      <c r="E4208" t="str">
        <f t="shared" si="390"/>
        <v xml:space="preserve"> ⛹🏿‍♂️ E4.0 man bouncing ball: dark skin tone</v>
      </c>
      <c r="F4208" t="b">
        <f t="shared" si="395"/>
        <v>0</v>
      </c>
      <c r="G4208" t="str">
        <f t="shared" si="391"/>
        <v>26F9</v>
      </c>
      <c r="I4208">
        <f>HEX2DEC(Table1[[#This Row],[utf8]])</f>
        <v>9977</v>
      </c>
      <c r="J4208" t="str">
        <f>_xlfn.UNICHAR(HEX2DEC(Table1[[#This Row],[utf8]]))</f>
        <v>⛹</v>
      </c>
      <c r="K4208" s="3" t="str" cm="1">
        <f t="array" ref="K4208">"Case "&amp;wRandomLetter()&amp;wRandomLetter()&amp;I4208&amp;":    UniConst = ChrW(" &amp; I4208 &amp;")"</f>
        <v>Case ic9977:    UniConst = ChrW(9977)</v>
      </c>
    </row>
    <row r="4209" spans="1:11">
      <c r="A4209" t="s">
        <v>2288</v>
      </c>
      <c r="B4209" t="str">
        <f t="shared" si="392"/>
        <v>26F9 200D 2640 ; unqualified # ⛹‍♀ E4.0 woman bouncing ball</v>
      </c>
      <c r="C4209" t="str">
        <f t="shared" si="393"/>
        <v xml:space="preserve">26F9 200D 2640 </v>
      </c>
      <c r="D4209">
        <f t="shared" si="394"/>
        <v>15</v>
      </c>
      <c r="E4209" t="str">
        <f t="shared" si="390"/>
        <v xml:space="preserve"> ⛹‍♀ E4.0 woman bouncing ball</v>
      </c>
      <c r="F4209" t="b">
        <f t="shared" si="395"/>
        <v>0</v>
      </c>
      <c r="G4209" t="str">
        <f t="shared" si="391"/>
        <v>26F9</v>
      </c>
      <c r="I4209">
        <f>HEX2DEC(Table1[[#This Row],[utf8]])</f>
        <v>9977</v>
      </c>
      <c r="J4209" t="str">
        <f>_xlfn.UNICHAR(HEX2DEC(Table1[[#This Row],[utf8]]))</f>
        <v>⛹</v>
      </c>
      <c r="K4209" s="3" t="str" cm="1">
        <f t="array" ref="K4209">"Case "&amp;wRandomLetter()&amp;wRandomLetter()&amp;I4209&amp;":    UniConst = ChrW(" &amp; I4209 &amp;")"</f>
        <v>Case PN9977:    UniConst = ChrW(9977)</v>
      </c>
    </row>
    <row r="4210" spans="1:11">
      <c r="A4210" t="s">
        <v>2286</v>
      </c>
      <c r="B4210" t="str">
        <f t="shared" si="392"/>
        <v>26F9 200D 2640 FE0F ; unqualified # ⛹‍♀️ E4.0 woman bouncing ball</v>
      </c>
      <c r="C4210" t="str">
        <f t="shared" si="393"/>
        <v xml:space="preserve">26F9 200D 2640 FE0F </v>
      </c>
      <c r="D4210">
        <f t="shared" si="394"/>
        <v>20</v>
      </c>
      <c r="E4210" t="str">
        <f t="shared" si="390"/>
        <v xml:space="preserve"> ⛹‍♀️ E4.0 woman bouncing ball</v>
      </c>
      <c r="F4210" t="b">
        <f t="shared" si="395"/>
        <v>0</v>
      </c>
      <c r="G4210" t="str">
        <f t="shared" si="391"/>
        <v>26F9</v>
      </c>
      <c r="I4210">
        <f>HEX2DEC(Table1[[#This Row],[utf8]])</f>
        <v>9977</v>
      </c>
      <c r="J4210" t="str">
        <f>_xlfn.UNICHAR(HEX2DEC(Table1[[#This Row],[utf8]]))</f>
        <v>⛹</v>
      </c>
      <c r="K4210" s="3" t="str" cm="1">
        <f t="array" ref="K4210">"Case "&amp;wRandomLetter()&amp;wRandomLetter()&amp;I4210&amp;":    UniConst = ChrW(" &amp; I4210 &amp;")"</f>
        <v>Case qF9977:    UniConst = ChrW(9977)</v>
      </c>
    </row>
    <row r="4211" spans="1:11">
      <c r="A4211" t="s">
        <v>2274</v>
      </c>
      <c r="B4211" t="str">
        <f t="shared" si="392"/>
        <v>26F9 200D 2642 ; unqualified # ⛹‍♂ E4.0 man bouncing ball</v>
      </c>
      <c r="C4211" t="str">
        <f t="shared" si="393"/>
        <v xml:space="preserve">26F9 200D 2642 </v>
      </c>
      <c r="D4211">
        <f t="shared" si="394"/>
        <v>15</v>
      </c>
      <c r="E4211" t="str">
        <f t="shared" si="390"/>
        <v xml:space="preserve"> ⛹‍♂ E4.0 man bouncing ball</v>
      </c>
      <c r="F4211" t="b">
        <f t="shared" si="395"/>
        <v>0</v>
      </c>
      <c r="G4211" t="str">
        <f t="shared" si="391"/>
        <v>26F9</v>
      </c>
      <c r="I4211">
        <f>HEX2DEC(Table1[[#This Row],[utf8]])</f>
        <v>9977</v>
      </c>
      <c r="J4211" t="str">
        <f>_xlfn.UNICHAR(HEX2DEC(Table1[[#This Row],[utf8]]))</f>
        <v>⛹</v>
      </c>
      <c r="K4211" s="3" t="str" cm="1">
        <f t="array" ref="K4211">"Case "&amp;wRandomLetter()&amp;wRandomLetter()&amp;I4211&amp;":    UniConst = ChrW(" &amp; I4211 &amp;")"</f>
        <v>Case Yc9977:    UniConst = ChrW(9977)</v>
      </c>
    </row>
    <row r="4212" spans="1:11">
      <c r="A4212" t="s">
        <v>2272</v>
      </c>
      <c r="B4212" t="str">
        <f t="shared" si="392"/>
        <v>26F9 200D 2642 FE0F ; unqualified # ⛹‍♂️ E4.0 man bouncing ball</v>
      </c>
      <c r="C4212" t="str">
        <f t="shared" si="393"/>
        <v xml:space="preserve">26F9 200D 2642 FE0F </v>
      </c>
      <c r="D4212">
        <f t="shared" si="394"/>
        <v>20</v>
      </c>
      <c r="E4212" t="str">
        <f t="shared" si="390"/>
        <v xml:space="preserve"> ⛹‍♂️ E4.0 man bouncing ball</v>
      </c>
      <c r="F4212" t="b">
        <f t="shared" si="395"/>
        <v>0</v>
      </c>
      <c r="G4212" t="str">
        <f t="shared" si="391"/>
        <v>26F9</v>
      </c>
      <c r="I4212">
        <f>HEX2DEC(Table1[[#This Row],[utf8]])</f>
        <v>9977</v>
      </c>
      <c r="J4212" t="str">
        <f>_xlfn.UNICHAR(HEX2DEC(Table1[[#This Row],[utf8]]))</f>
        <v>⛹</v>
      </c>
      <c r="K4212" s="3" t="str" cm="1">
        <f t="array" ref="K4212">"Case "&amp;wRandomLetter()&amp;wRandomLetter()&amp;I4212&amp;":    UniConst = ChrW(" &amp; I4212 &amp;")"</f>
        <v>Case Mw9977:    UniConst = ChrW(9977)</v>
      </c>
    </row>
    <row r="4213" spans="1:11">
      <c r="A4213" t="s">
        <v>2264</v>
      </c>
      <c r="B4213" t="str">
        <f t="shared" si="392"/>
        <v>26F9 FE0F ; fully-qualified # ⛹️ E0.7 person bouncing ball</v>
      </c>
      <c r="C4213" t="str">
        <f t="shared" si="393"/>
        <v xml:space="preserve">26F9 FE0F </v>
      </c>
      <c r="D4213">
        <f t="shared" si="394"/>
        <v>10</v>
      </c>
      <c r="E4213" t="str">
        <f t="shared" si="390"/>
        <v xml:space="preserve"> ⛹️ E0.7 person bouncing ball</v>
      </c>
      <c r="F4213" t="b">
        <f t="shared" si="395"/>
        <v>0</v>
      </c>
      <c r="G4213" t="str">
        <f t="shared" si="391"/>
        <v>26F9</v>
      </c>
      <c r="I4213">
        <f>HEX2DEC(Table1[[#This Row],[utf8]])</f>
        <v>9977</v>
      </c>
      <c r="J4213" t="str">
        <f>_xlfn.UNICHAR(HEX2DEC(Table1[[#This Row],[utf8]]))</f>
        <v>⛹</v>
      </c>
      <c r="K4213" s="3" t="str" cm="1">
        <f t="array" ref="K4213">"Case "&amp;wRandomLetter()&amp;wRandomLetter()&amp;I4213&amp;":    UniConst = ChrW(" &amp; I4213 &amp;")"</f>
        <v>Case yK9977:    UniConst = ChrW(9977)</v>
      </c>
    </row>
    <row r="4214" spans="1:11">
      <c r="A4214" t="s">
        <v>2287</v>
      </c>
      <c r="B4214" t="str">
        <f t="shared" si="392"/>
        <v>26F9 FE0F 200D 2640 ; unqualified # ⛹️‍♀ E4.0 woman bouncing ball</v>
      </c>
      <c r="C4214" t="str">
        <f t="shared" si="393"/>
        <v xml:space="preserve">26F9 FE0F 200D 2640 </v>
      </c>
      <c r="D4214">
        <f t="shared" si="394"/>
        <v>20</v>
      </c>
      <c r="E4214" t="str">
        <f t="shared" si="390"/>
        <v xml:space="preserve"> ⛹️‍♀ E4.0 woman bouncing ball</v>
      </c>
      <c r="F4214" t="b">
        <f t="shared" si="395"/>
        <v>0</v>
      </c>
      <c r="G4214" t="str">
        <f t="shared" si="391"/>
        <v>26F9</v>
      </c>
      <c r="I4214">
        <f>HEX2DEC(Table1[[#This Row],[utf8]])</f>
        <v>9977</v>
      </c>
      <c r="J4214" t="str">
        <f>_xlfn.UNICHAR(HEX2DEC(Table1[[#This Row],[utf8]]))</f>
        <v>⛹</v>
      </c>
      <c r="K4214" s="3" t="str" cm="1">
        <f t="array" ref="K4214">"Case "&amp;wRandomLetter()&amp;wRandomLetter()&amp;I4214&amp;":    UniConst = ChrW(" &amp; I4214 &amp;")"</f>
        <v>Case gp9977:    UniConst = ChrW(9977)</v>
      </c>
    </row>
    <row r="4215" spans="1:11">
      <c r="A4215" t="s">
        <v>2285</v>
      </c>
      <c r="B4215" t="str">
        <f t="shared" si="392"/>
        <v>26F9 FE0F 200D 2640 FE0F ; fully-qualified # ⛹️‍♀️ E4.0 woman bouncing ball</v>
      </c>
      <c r="C4215" t="str">
        <f t="shared" si="393"/>
        <v xml:space="preserve">26F9 FE0F 200D 2640 FE0F </v>
      </c>
      <c r="D4215">
        <f t="shared" si="394"/>
        <v>25</v>
      </c>
      <c r="E4215" t="str">
        <f t="shared" si="390"/>
        <v xml:space="preserve"> ⛹️‍♀️ E4.0 woman bouncing ball</v>
      </c>
      <c r="F4215" t="b">
        <f t="shared" si="395"/>
        <v>0</v>
      </c>
      <c r="G4215" t="str">
        <f t="shared" si="391"/>
        <v>26F9</v>
      </c>
      <c r="I4215">
        <f>HEX2DEC(Table1[[#This Row],[utf8]])</f>
        <v>9977</v>
      </c>
      <c r="J4215" t="str">
        <f>_xlfn.UNICHAR(HEX2DEC(Table1[[#This Row],[utf8]]))</f>
        <v>⛹</v>
      </c>
      <c r="K4215" s="3" t="str" cm="1">
        <f t="array" ref="K4215">"Case "&amp;wRandomLetter()&amp;wRandomLetter()&amp;I4215&amp;":    UniConst = ChrW(" &amp; I4215 &amp;")"</f>
        <v>Case Cp9977:    UniConst = ChrW(9977)</v>
      </c>
    </row>
    <row r="4216" spans="1:11">
      <c r="A4216" t="s">
        <v>2273</v>
      </c>
      <c r="B4216" t="str">
        <f t="shared" si="392"/>
        <v>26F9 FE0F 200D 2642 ; unqualified # ⛹️‍♂ E4.0 man bouncing ball</v>
      </c>
      <c r="C4216" t="str">
        <f t="shared" si="393"/>
        <v xml:space="preserve">26F9 FE0F 200D 2642 </v>
      </c>
      <c r="D4216">
        <f t="shared" si="394"/>
        <v>20</v>
      </c>
      <c r="E4216" t="str">
        <f t="shared" si="390"/>
        <v xml:space="preserve"> ⛹️‍♂ E4.0 man bouncing ball</v>
      </c>
      <c r="F4216" t="b">
        <f t="shared" si="395"/>
        <v>0</v>
      </c>
      <c r="G4216" t="str">
        <f t="shared" si="391"/>
        <v>26F9</v>
      </c>
      <c r="I4216">
        <f>HEX2DEC(Table1[[#This Row],[utf8]])</f>
        <v>9977</v>
      </c>
      <c r="J4216" t="str">
        <f>_xlfn.UNICHAR(HEX2DEC(Table1[[#This Row],[utf8]]))</f>
        <v>⛹</v>
      </c>
      <c r="K4216" s="3" t="str" cm="1">
        <f t="array" ref="K4216">"Case "&amp;wRandomLetter()&amp;wRandomLetter()&amp;I4216&amp;":    UniConst = ChrW(" &amp; I4216 &amp;")"</f>
        <v>Case sK9977:    UniConst = ChrW(9977)</v>
      </c>
    </row>
    <row r="4217" spans="1:11">
      <c r="A4217" t="s">
        <v>2271</v>
      </c>
      <c r="B4217" t="str">
        <f t="shared" si="392"/>
        <v>26F9 FE0F 200D 2642 FE0F ; fully-qualified # ⛹️‍♂️ E4.0 man bouncing ball</v>
      </c>
      <c r="C4217" t="str">
        <f t="shared" si="393"/>
        <v xml:space="preserve">26F9 FE0F 200D 2642 FE0F </v>
      </c>
      <c r="D4217">
        <f t="shared" si="394"/>
        <v>25</v>
      </c>
      <c r="E4217" t="str">
        <f t="shared" si="390"/>
        <v xml:space="preserve"> ⛹️‍♂️ E4.0 man bouncing ball</v>
      </c>
      <c r="F4217" t="b">
        <f t="shared" si="395"/>
        <v>0</v>
      </c>
      <c r="G4217" t="str">
        <f t="shared" si="391"/>
        <v>26F9</v>
      </c>
      <c r="I4217">
        <f>HEX2DEC(Table1[[#This Row],[utf8]])</f>
        <v>9977</v>
      </c>
      <c r="J4217" t="str">
        <f>_xlfn.UNICHAR(HEX2DEC(Table1[[#This Row],[utf8]]))</f>
        <v>⛹</v>
      </c>
      <c r="K4217" s="3" t="str" cm="1">
        <f t="array" ref="K4217">"Case "&amp;wRandomLetter()&amp;wRandomLetter()&amp;I4217&amp;":    UniConst = ChrW(" &amp; I4217 &amp;")"</f>
        <v>Case cq9977:    UniConst = ChrW(9977)</v>
      </c>
    </row>
    <row r="4218" spans="1:11">
      <c r="A4218" t="s">
        <v>3490</v>
      </c>
      <c r="B4218" t="str">
        <f t="shared" si="392"/>
        <v>26FA ; fully-qualified # ⛺ E0.6 tent</v>
      </c>
      <c r="C4218" t="str">
        <f t="shared" si="393"/>
        <v xml:space="preserve">26FA </v>
      </c>
      <c r="D4218">
        <f t="shared" si="394"/>
        <v>5</v>
      </c>
      <c r="E4218" t="str">
        <f t="shared" si="390"/>
        <v xml:space="preserve"> ⛺ E0.6 tent</v>
      </c>
      <c r="F4218" t="b">
        <f t="shared" si="395"/>
        <v>0</v>
      </c>
      <c r="G4218" t="str">
        <f t="shared" si="391"/>
        <v>26FA</v>
      </c>
      <c r="I4218">
        <f>HEX2DEC(Table1[[#This Row],[utf8]])</f>
        <v>9978</v>
      </c>
      <c r="J4218" t="str">
        <f>_xlfn.UNICHAR(HEX2DEC(Table1[[#This Row],[utf8]]))</f>
        <v>⛺</v>
      </c>
      <c r="K4218" s="3" t="str" cm="1">
        <f t="array" ref="K4218">"Case "&amp;wRandomLetter()&amp;wRandomLetter()&amp;I4218&amp;":    UniConst = ChrW(" &amp; I4218 &amp;")"</f>
        <v>Case Lo9978:    UniConst = ChrW(9978)</v>
      </c>
    </row>
    <row r="4219" spans="1:11">
      <c r="A4219" t="s">
        <v>3556</v>
      </c>
      <c r="B4219" t="str">
        <f t="shared" si="392"/>
        <v>26FD ; fully-qualified # ⛽ E0.6 fuel pump</v>
      </c>
      <c r="C4219" t="str">
        <f t="shared" si="393"/>
        <v xml:space="preserve">26FD </v>
      </c>
      <c r="D4219">
        <f t="shared" si="394"/>
        <v>5</v>
      </c>
      <c r="E4219" t="str">
        <f t="shared" si="390"/>
        <v xml:space="preserve"> ⛽ E0.6 fuel pump</v>
      </c>
      <c r="F4219" t="b">
        <f t="shared" si="395"/>
        <v>0</v>
      </c>
      <c r="G4219" t="str">
        <f t="shared" si="391"/>
        <v>26FD</v>
      </c>
      <c r="I4219">
        <f>HEX2DEC(Table1[[#This Row],[utf8]])</f>
        <v>9981</v>
      </c>
      <c r="J4219" t="str">
        <f>_xlfn.UNICHAR(HEX2DEC(Table1[[#This Row],[utf8]]))</f>
        <v>⛽</v>
      </c>
      <c r="K4219" s="3" t="str" cm="1">
        <f t="array" ref="K4219">"Case "&amp;wRandomLetter()&amp;wRandomLetter()&amp;I4219&amp;":    UniConst = ChrW(" &amp; I4219 &amp;")"</f>
        <v>Case ra9981:    UniConst = ChrW(9981)</v>
      </c>
    </row>
    <row r="4220" spans="1:11">
      <c r="A4220" t="s">
        <v>4017</v>
      </c>
      <c r="B4220" t="str">
        <f t="shared" si="392"/>
        <v>2702 ; unqualified # ✂ E0.6 scissors</v>
      </c>
      <c r="C4220" t="str">
        <f t="shared" si="393"/>
        <v xml:space="preserve">2702 </v>
      </c>
      <c r="D4220">
        <f t="shared" si="394"/>
        <v>5</v>
      </c>
      <c r="E4220" t="str">
        <f t="shared" si="390"/>
        <v xml:space="preserve"> ✂ E0.6 scissors</v>
      </c>
      <c r="F4220" t="b">
        <f t="shared" si="395"/>
        <v>0</v>
      </c>
      <c r="G4220" t="str">
        <f t="shared" si="391"/>
        <v>2702</v>
      </c>
      <c r="I4220">
        <f>HEX2DEC(Table1[[#This Row],[utf8]])</f>
        <v>9986</v>
      </c>
      <c r="J4220" t="str">
        <f>_xlfn.UNICHAR(HEX2DEC(Table1[[#This Row],[utf8]]))</f>
        <v>✂</v>
      </c>
      <c r="K4220" s="3" t="str" cm="1">
        <f t="array" ref="K4220">"Case "&amp;wRandomLetter()&amp;wRandomLetter()&amp;I4220&amp;":    UniConst = ChrW(" &amp; I4220 &amp;")"</f>
        <v>Case DC9986:    UniConst = ChrW(9986)</v>
      </c>
    </row>
    <row r="4221" spans="1:11">
      <c r="A4221" t="s">
        <v>4016</v>
      </c>
      <c r="B4221" t="str">
        <f t="shared" si="392"/>
        <v>2702 FE0F ; fully-qualified # ✂️ E0.6 scissors</v>
      </c>
      <c r="C4221" t="str">
        <f t="shared" si="393"/>
        <v xml:space="preserve">2702 FE0F </v>
      </c>
      <c r="D4221">
        <f t="shared" si="394"/>
        <v>10</v>
      </c>
      <c r="E4221" t="str">
        <f t="shared" si="390"/>
        <v xml:space="preserve"> ✂️ E0.6 scissors</v>
      </c>
      <c r="F4221" t="b">
        <f t="shared" si="395"/>
        <v>0</v>
      </c>
      <c r="G4221" t="str">
        <f t="shared" si="391"/>
        <v>2702</v>
      </c>
      <c r="I4221">
        <f>HEX2DEC(Table1[[#This Row],[utf8]])</f>
        <v>9986</v>
      </c>
      <c r="J4221" t="str">
        <f>_xlfn.UNICHAR(HEX2DEC(Table1[[#This Row],[utf8]]))</f>
        <v>✂</v>
      </c>
      <c r="K4221" s="3" t="str" cm="1">
        <f t="array" ref="K4221">"Case "&amp;wRandomLetter()&amp;wRandomLetter()&amp;I4221&amp;":    UniConst = ChrW(" &amp; I4221 &amp;")"</f>
        <v>Case CM9986:    UniConst = ChrW(9986)</v>
      </c>
    </row>
    <row r="4222" spans="1:11">
      <c r="A4222" t="s">
        <v>4299</v>
      </c>
      <c r="B4222" t="str">
        <f t="shared" si="392"/>
        <v>2705 ; fully-qualified # ✅ E0.6 check mark button</v>
      </c>
      <c r="C4222" t="str">
        <f t="shared" si="393"/>
        <v xml:space="preserve">2705 </v>
      </c>
      <c r="D4222">
        <f t="shared" si="394"/>
        <v>5</v>
      </c>
      <c r="E4222" t="str">
        <f t="shared" si="390"/>
        <v xml:space="preserve"> ✅ E0.6 check mark button</v>
      </c>
      <c r="F4222" t="b">
        <f t="shared" si="395"/>
        <v>0</v>
      </c>
      <c r="G4222" t="str">
        <f t="shared" si="391"/>
        <v>2705</v>
      </c>
      <c r="I4222">
        <f>HEX2DEC(Table1[[#This Row],[utf8]])</f>
        <v>9989</v>
      </c>
      <c r="J4222" t="str">
        <f>_xlfn.UNICHAR(HEX2DEC(Table1[[#This Row],[utf8]]))</f>
        <v>✅</v>
      </c>
      <c r="K4222" s="3" t="str" cm="1">
        <f t="array" ref="K4222">"Case "&amp;wRandomLetter()&amp;wRandomLetter()&amp;I4222&amp;":    UniConst = ChrW(" &amp; I4222 &amp;")"</f>
        <v>Case TS9989:    UniConst = ChrW(9989)</v>
      </c>
    </row>
    <row r="4223" spans="1:11">
      <c r="A4223" t="s">
        <v>3576</v>
      </c>
      <c r="B4223" t="str">
        <f t="shared" si="392"/>
        <v>2708 ; unqualified # ✈ E0.6 airplane</v>
      </c>
      <c r="C4223" t="str">
        <f t="shared" si="393"/>
        <v xml:space="preserve">2708 </v>
      </c>
      <c r="D4223">
        <f t="shared" si="394"/>
        <v>5</v>
      </c>
      <c r="E4223" t="str">
        <f t="shared" si="390"/>
        <v xml:space="preserve"> ✈ E0.6 airplane</v>
      </c>
      <c r="F4223" t="b">
        <f t="shared" si="395"/>
        <v>0</v>
      </c>
      <c r="G4223" t="str">
        <f t="shared" si="391"/>
        <v>2708</v>
      </c>
      <c r="I4223">
        <f>HEX2DEC(Table1[[#This Row],[utf8]])</f>
        <v>9992</v>
      </c>
      <c r="J4223" t="str">
        <f>_xlfn.UNICHAR(HEX2DEC(Table1[[#This Row],[utf8]]))</f>
        <v>✈</v>
      </c>
      <c r="K4223" s="3" t="str" cm="1">
        <f t="array" ref="K4223">"Case "&amp;wRandomLetter()&amp;wRandomLetter()&amp;I4223&amp;":    UniConst = ChrW(" &amp; I4223 &amp;")"</f>
        <v>Case FM9992:    UniConst = ChrW(9992)</v>
      </c>
    </row>
    <row r="4224" spans="1:11">
      <c r="A4224" t="s">
        <v>3575</v>
      </c>
      <c r="B4224" t="str">
        <f t="shared" si="392"/>
        <v>2708 FE0F ; fully-qualified # ✈️ E0.6 airplane</v>
      </c>
      <c r="C4224" t="str">
        <f t="shared" si="393"/>
        <v xml:space="preserve">2708 FE0F </v>
      </c>
      <c r="D4224">
        <f t="shared" si="394"/>
        <v>10</v>
      </c>
      <c r="E4224" t="str">
        <f t="shared" si="390"/>
        <v xml:space="preserve"> ✈️ E0.6 airplane</v>
      </c>
      <c r="F4224" t="b">
        <f t="shared" si="395"/>
        <v>0</v>
      </c>
      <c r="G4224" t="str">
        <f t="shared" si="391"/>
        <v>2708</v>
      </c>
      <c r="I4224">
        <f>HEX2DEC(Table1[[#This Row],[utf8]])</f>
        <v>9992</v>
      </c>
      <c r="J4224" t="str">
        <f>_xlfn.UNICHAR(HEX2DEC(Table1[[#This Row],[utf8]]))</f>
        <v>✈</v>
      </c>
      <c r="K4224" s="3" t="str" cm="1">
        <f t="array" ref="K4224">"Case "&amp;wRandomLetter()&amp;wRandomLetter()&amp;I4224&amp;":    UniConst = ChrW(" &amp; I4224 &amp;")"</f>
        <v>Case bb9992:    UniConst = ChrW(9992)</v>
      </c>
    </row>
    <row r="4225" spans="1:11">
      <c r="A4225" t="s">
        <v>3964</v>
      </c>
      <c r="B4225" t="str">
        <f t="shared" si="392"/>
        <v>2709 ; unqualified # ✉ E0.6 envelope</v>
      </c>
      <c r="C4225" t="str">
        <f t="shared" si="393"/>
        <v xml:space="preserve">2709 </v>
      </c>
      <c r="D4225">
        <f t="shared" si="394"/>
        <v>5</v>
      </c>
      <c r="E4225" t="str">
        <f t="shared" si="390"/>
        <v xml:space="preserve"> ✉ E0.6 envelope</v>
      </c>
      <c r="F4225" t="b">
        <f t="shared" si="395"/>
        <v>0</v>
      </c>
      <c r="G4225" t="str">
        <f t="shared" si="391"/>
        <v>2709</v>
      </c>
      <c r="I4225">
        <f>HEX2DEC(Table1[[#This Row],[utf8]])</f>
        <v>9993</v>
      </c>
      <c r="J4225" t="str">
        <f>_xlfn.UNICHAR(HEX2DEC(Table1[[#This Row],[utf8]]))</f>
        <v>✉</v>
      </c>
      <c r="K4225" s="3" t="str" cm="1">
        <f t="array" ref="K4225">"Case "&amp;wRandomLetter()&amp;wRandomLetter()&amp;I4225&amp;":    UniConst = ChrW(" &amp; I4225 &amp;")"</f>
        <v>Case bb9993:    UniConst = ChrW(9993)</v>
      </c>
    </row>
    <row r="4226" spans="1:11">
      <c r="A4226" t="s">
        <v>3963</v>
      </c>
      <c r="B4226" t="str">
        <f t="shared" si="392"/>
        <v>2709 FE0F ; fully-qualified # ✉️ E0.6 envelope</v>
      </c>
      <c r="C4226" t="str">
        <f t="shared" si="393"/>
        <v xml:space="preserve">2709 FE0F </v>
      </c>
      <c r="D4226">
        <f t="shared" si="394"/>
        <v>10</v>
      </c>
      <c r="E4226" t="str">
        <f t="shared" ref="E4226:E4289" si="396">MID(A4226,FIND("#",A4226)+1,256)</f>
        <v xml:space="preserve"> ✉️ E0.6 envelope</v>
      </c>
      <c r="F4226" t="b">
        <f t="shared" si="395"/>
        <v>0</v>
      </c>
      <c r="G4226" t="str">
        <f t="shared" ref="G4226:G4289" si="397">LEFT(C4226,(FIND(" ",C4226,1)-1))</f>
        <v>2709</v>
      </c>
      <c r="I4226">
        <f>HEX2DEC(Table1[[#This Row],[utf8]])</f>
        <v>9993</v>
      </c>
      <c r="J4226" t="str">
        <f>_xlfn.UNICHAR(HEX2DEC(Table1[[#This Row],[utf8]]))</f>
        <v>✉</v>
      </c>
      <c r="K4226" s="3" t="str" cm="1">
        <f t="array" ref="K4226">"Case "&amp;wRandomLetter()&amp;wRandomLetter()&amp;I4226&amp;":    UniConst = ChrW(" &amp; I4226 &amp;")"</f>
        <v>Case nV9993:    UniConst = ChrW(9993)</v>
      </c>
    </row>
    <row r="4227" spans="1:11">
      <c r="A4227" t="s">
        <v>322</v>
      </c>
      <c r="B4227" t="str">
        <f t="shared" ref="B4227:B4290" si="398">TRIM(A4227)</f>
        <v>270A ; fully-qualified # ✊ E0.6 raised fist</v>
      </c>
      <c r="C4227" t="str">
        <f t="shared" ref="C4227:C4290" si="399">LEFT(B4227,(FIND(";",B4227,1)-1))</f>
        <v xml:space="preserve">270A </v>
      </c>
      <c r="D4227">
        <f t="shared" ref="D4227:D4290" si="400">LEN(C4227)</f>
        <v>5</v>
      </c>
      <c r="E4227" t="str">
        <f t="shared" si="396"/>
        <v xml:space="preserve"> ✊ E0.6 raised fist</v>
      </c>
      <c r="F4227" t="b">
        <f t="shared" ref="F4227:F4290" si="401">IF(LEFT(C4227,2)="1F",TRUE,FALSE)</f>
        <v>0</v>
      </c>
      <c r="G4227" t="str">
        <f t="shared" si="397"/>
        <v>270A</v>
      </c>
      <c r="I4227">
        <f>HEX2DEC(Table1[[#This Row],[utf8]])</f>
        <v>9994</v>
      </c>
      <c r="J4227" t="str">
        <f>_xlfn.UNICHAR(HEX2DEC(Table1[[#This Row],[utf8]]))</f>
        <v>✊</v>
      </c>
      <c r="K4227" s="3" t="str" cm="1">
        <f t="array" ref="K4227">"Case "&amp;wRandomLetter()&amp;wRandomLetter()&amp;I4227&amp;":    UniConst = ChrW(" &amp; I4227 &amp;")"</f>
        <v>Case GC9994:    UniConst = ChrW(9994)</v>
      </c>
    </row>
    <row r="4228" spans="1:11">
      <c r="A4228" t="s">
        <v>323</v>
      </c>
      <c r="B4228" t="str">
        <f t="shared" si="398"/>
        <v>270A 1F3FB ; fully-qualified # ✊🏻 E1.0 raised fist: light skin tone</v>
      </c>
      <c r="C4228" t="str">
        <f t="shared" si="399"/>
        <v xml:space="preserve">270A 1F3FB </v>
      </c>
      <c r="D4228">
        <f t="shared" si="400"/>
        <v>11</v>
      </c>
      <c r="E4228" t="str">
        <f t="shared" si="396"/>
        <v xml:space="preserve"> ✊🏻 E1.0 raised fist: light skin tone</v>
      </c>
      <c r="F4228" t="b">
        <f t="shared" si="401"/>
        <v>0</v>
      </c>
      <c r="G4228" t="str">
        <f t="shared" si="397"/>
        <v>270A</v>
      </c>
      <c r="I4228">
        <f>HEX2DEC(Table1[[#This Row],[utf8]])</f>
        <v>9994</v>
      </c>
      <c r="J4228" t="str">
        <f>_xlfn.UNICHAR(HEX2DEC(Table1[[#This Row],[utf8]]))</f>
        <v>✊</v>
      </c>
      <c r="K4228" s="3" t="str" cm="1">
        <f t="array" ref="K4228">"Case "&amp;wRandomLetter()&amp;wRandomLetter()&amp;I4228&amp;":    UniConst = ChrW(" &amp; I4228 &amp;")"</f>
        <v>Case Se9994:    UniConst = ChrW(9994)</v>
      </c>
    </row>
    <row r="4229" spans="1:11">
      <c r="A4229" t="s">
        <v>324</v>
      </c>
      <c r="B4229" t="str">
        <f t="shared" si="398"/>
        <v>270A 1F3FC ; fully-qualified # ✊🏼 E1.0 raised fist: medium-light skin tone</v>
      </c>
      <c r="C4229" t="str">
        <f t="shared" si="399"/>
        <v xml:space="preserve">270A 1F3FC </v>
      </c>
      <c r="D4229">
        <f t="shared" si="400"/>
        <v>11</v>
      </c>
      <c r="E4229" t="str">
        <f t="shared" si="396"/>
        <v xml:space="preserve"> ✊🏼 E1.0 raised fist: medium-light skin tone</v>
      </c>
      <c r="F4229" t="b">
        <f t="shared" si="401"/>
        <v>0</v>
      </c>
      <c r="G4229" t="str">
        <f t="shared" si="397"/>
        <v>270A</v>
      </c>
      <c r="I4229">
        <f>HEX2DEC(Table1[[#This Row],[utf8]])</f>
        <v>9994</v>
      </c>
      <c r="J4229" t="str">
        <f>_xlfn.UNICHAR(HEX2DEC(Table1[[#This Row],[utf8]]))</f>
        <v>✊</v>
      </c>
      <c r="K4229" s="3" t="str" cm="1">
        <f t="array" ref="K4229">"Case "&amp;wRandomLetter()&amp;wRandomLetter()&amp;I4229&amp;":    UniConst = ChrW(" &amp; I4229 &amp;")"</f>
        <v>Case VM9994:    UniConst = ChrW(9994)</v>
      </c>
    </row>
    <row r="4230" spans="1:11">
      <c r="A4230" t="s">
        <v>325</v>
      </c>
      <c r="B4230" t="str">
        <f t="shared" si="398"/>
        <v>270A 1F3FD ; fully-qualified # ✊🏽 E1.0 raised fist: medium skin tone</v>
      </c>
      <c r="C4230" t="str">
        <f t="shared" si="399"/>
        <v xml:space="preserve">270A 1F3FD </v>
      </c>
      <c r="D4230">
        <f t="shared" si="400"/>
        <v>11</v>
      </c>
      <c r="E4230" t="str">
        <f t="shared" si="396"/>
        <v xml:space="preserve"> ✊🏽 E1.0 raised fist: medium skin tone</v>
      </c>
      <c r="F4230" t="b">
        <f t="shared" si="401"/>
        <v>0</v>
      </c>
      <c r="G4230" t="str">
        <f t="shared" si="397"/>
        <v>270A</v>
      </c>
      <c r="I4230">
        <f>HEX2DEC(Table1[[#This Row],[utf8]])</f>
        <v>9994</v>
      </c>
      <c r="J4230" t="str">
        <f>_xlfn.UNICHAR(HEX2DEC(Table1[[#This Row],[utf8]]))</f>
        <v>✊</v>
      </c>
      <c r="K4230" s="3" t="str" cm="1">
        <f t="array" ref="K4230">"Case "&amp;wRandomLetter()&amp;wRandomLetter()&amp;I4230&amp;":    UniConst = ChrW(" &amp; I4230 &amp;")"</f>
        <v>Case ex9994:    UniConst = ChrW(9994)</v>
      </c>
    </row>
    <row r="4231" spans="1:11">
      <c r="A4231" t="s">
        <v>326</v>
      </c>
      <c r="B4231" t="str">
        <f t="shared" si="398"/>
        <v>270A 1F3FE ; fully-qualified # ✊🏾 E1.0 raised fist: medium-dark skin tone</v>
      </c>
      <c r="C4231" t="str">
        <f t="shared" si="399"/>
        <v xml:space="preserve">270A 1F3FE </v>
      </c>
      <c r="D4231">
        <f t="shared" si="400"/>
        <v>11</v>
      </c>
      <c r="E4231" t="str">
        <f t="shared" si="396"/>
        <v xml:space="preserve"> ✊🏾 E1.0 raised fist: medium-dark skin tone</v>
      </c>
      <c r="F4231" t="b">
        <f t="shared" si="401"/>
        <v>0</v>
      </c>
      <c r="G4231" t="str">
        <f t="shared" si="397"/>
        <v>270A</v>
      </c>
      <c r="I4231">
        <f>HEX2DEC(Table1[[#This Row],[utf8]])</f>
        <v>9994</v>
      </c>
      <c r="J4231" t="str">
        <f>_xlfn.UNICHAR(HEX2DEC(Table1[[#This Row],[utf8]]))</f>
        <v>✊</v>
      </c>
      <c r="K4231" s="3" t="str" cm="1">
        <f t="array" ref="K4231">"Case "&amp;wRandomLetter()&amp;wRandomLetter()&amp;I4231&amp;":    UniConst = ChrW(" &amp; I4231 &amp;")"</f>
        <v>Case WZ9994:    UniConst = ChrW(9994)</v>
      </c>
    </row>
    <row r="4232" spans="1:11">
      <c r="A4232" t="s">
        <v>327</v>
      </c>
      <c r="B4232" t="str">
        <f t="shared" si="398"/>
        <v>270A 1F3FF ; fully-qualified # ✊🏿 E1.0 raised fist: dark skin tone</v>
      </c>
      <c r="C4232" t="str">
        <f t="shared" si="399"/>
        <v xml:space="preserve">270A 1F3FF </v>
      </c>
      <c r="D4232">
        <f t="shared" si="400"/>
        <v>11</v>
      </c>
      <c r="E4232" t="str">
        <f t="shared" si="396"/>
        <v xml:space="preserve"> ✊🏿 E1.0 raised fist: dark skin tone</v>
      </c>
      <c r="F4232" t="b">
        <f t="shared" si="401"/>
        <v>0</v>
      </c>
      <c r="G4232" t="str">
        <f t="shared" si="397"/>
        <v>270A</v>
      </c>
      <c r="I4232">
        <f>HEX2DEC(Table1[[#This Row],[utf8]])</f>
        <v>9994</v>
      </c>
      <c r="J4232" t="str">
        <f>_xlfn.UNICHAR(HEX2DEC(Table1[[#This Row],[utf8]]))</f>
        <v>✊</v>
      </c>
      <c r="K4232" s="3" t="str" cm="1">
        <f t="array" ref="K4232">"Case "&amp;wRandomLetter()&amp;wRandomLetter()&amp;I4232&amp;":    UniConst = ChrW(" &amp; I4232 &amp;")"</f>
        <v>Case lb9994:    UniConst = ChrW(9994)</v>
      </c>
    </row>
    <row r="4233" spans="1:11">
      <c r="A4233" t="s">
        <v>209</v>
      </c>
      <c r="B4233" t="str">
        <f t="shared" si="398"/>
        <v>270B ; fully-qualified # ✋ E0.6 raised hand</v>
      </c>
      <c r="C4233" t="str">
        <f t="shared" si="399"/>
        <v xml:space="preserve">270B </v>
      </c>
      <c r="D4233">
        <f t="shared" si="400"/>
        <v>5</v>
      </c>
      <c r="E4233" t="str">
        <f t="shared" si="396"/>
        <v xml:space="preserve"> ✋ E0.6 raised hand</v>
      </c>
      <c r="F4233" t="b">
        <f t="shared" si="401"/>
        <v>0</v>
      </c>
      <c r="G4233" t="str">
        <f t="shared" si="397"/>
        <v>270B</v>
      </c>
      <c r="I4233">
        <f>HEX2DEC(Table1[[#This Row],[utf8]])</f>
        <v>9995</v>
      </c>
      <c r="J4233" t="str">
        <f>_xlfn.UNICHAR(HEX2DEC(Table1[[#This Row],[utf8]]))</f>
        <v>✋</v>
      </c>
      <c r="K4233" s="3" t="str" cm="1">
        <f t="array" ref="K4233">"Case "&amp;wRandomLetter()&amp;wRandomLetter()&amp;I4233&amp;":    UniConst = ChrW(" &amp; I4233 &amp;")"</f>
        <v>Case sO9995:    UniConst = ChrW(9995)</v>
      </c>
    </row>
    <row r="4234" spans="1:11">
      <c r="A4234" t="s">
        <v>210</v>
      </c>
      <c r="B4234" t="str">
        <f t="shared" si="398"/>
        <v>270B 1F3FB ; fully-qualified # ✋🏻 E1.0 raised hand: light skin tone</v>
      </c>
      <c r="C4234" t="str">
        <f t="shared" si="399"/>
        <v xml:space="preserve">270B 1F3FB </v>
      </c>
      <c r="D4234">
        <f t="shared" si="400"/>
        <v>11</v>
      </c>
      <c r="E4234" t="str">
        <f t="shared" si="396"/>
        <v xml:space="preserve"> ✋🏻 E1.0 raised hand: light skin tone</v>
      </c>
      <c r="F4234" t="b">
        <f t="shared" si="401"/>
        <v>0</v>
      </c>
      <c r="G4234" t="str">
        <f t="shared" si="397"/>
        <v>270B</v>
      </c>
      <c r="I4234">
        <f>HEX2DEC(Table1[[#This Row],[utf8]])</f>
        <v>9995</v>
      </c>
      <c r="J4234" t="str">
        <f>_xlfn.UNICHAR(HEX2DEC(Table1[[#This Row],[utf8]]))</f>
        <v>✋</v>
      </c>
      <c r="K4234" s="3" t="str" cm="1">
        <f t="array" ref="K4234">"Case "&amp;wRandomLetter()&amp;wRandomLetter()&amp;I4234&amp;":    UniConst = ChrW(" &amp; I4234 &amp;")"</f>
        <v>Case Mv9995:    UniConst = ChrW(9995)</v>
      </c>
    </row>
    <row r="4235" spans="1:11">
      <c r="A4235" t="s">
        <v>211</v>
      </c>
      <c r="B4235" t="str">
        <f t="shared" si="398"/>
        <v>270B 1F3FC ; fully-qualified # ✋🏼 E1.0 raised hand: medium-light skin tone</v>
      </c>
      <c r="C4235" t="str">
        <f t="shared" si="399"/>
        <v xml:space="preserve">270B 1F3FC </v>
      </c>
      <c r="D4235">
        <f t="shared" si="400"/>
        <v>11</v>
      </c>
      <c r="E4235" t="str">
        <f t="shared" si="396"/>
        <v xml:space="preserve"> ✋🏼 E1.0 raised hand: medium-light skin tone</v>
      </c>
      <c r="F4235" t="b">
        <f t="shared" si="401"/>
        <v>0</v>
      </c>
      <c r="G4235" t="str">
        <f t="shared" si="397"/>
        <v>270B</v>
      </c>
      <c r="I4235">
        <f>HEX2DEC(Table1[[#This Row],[utf8]])</f>
        <v>9995</v>
      </c>
      <c r="J4235" t="str">
        <f>_xlfn.UNICHAR(HEX2DEC(Table1[[#This Row],[utf8]]))</f>
        <v>✋</v>
      </c>
      <c r="K4235" s="3" t="str" cm="1">
        <f t="array" ref="K4235">"Case "&amp;wRandomLetter()&amp;wRandomLetter()&amp;I4235&amp;":    UniConst = ChrW(" &amp; I4235 &amp;")"</f>
        <v>Case xK9995:    UniConst = ChrW(9995)</v>
      </c>
    </row>
    <row r="4236" spans="1:11">
      <c r="A4236" t="s">
        <v>212</v>
      </c>
      <c r="B4236" t="str">
        <f t="shared" si="398"/>
        <v>270B 1F3FD ; fully-qualified # ✋🏽 E1.0 raised hand: medium skin tone</v>
      </c>
      <c r="C4236" t="str">
        <f t="shared" si="399"/>
        <v xml:space="preserve">270B 1F3FD </v>
      </c>
      <c r="D4236">
        <f t="shared" si="400"/>
        <v>11</v>
      </c>
      <c r="E4236" t="str">
        <f t="shared" si="396"/>
        <v xml:space="preserve"> ✋🏽 E1.0 raised hand: medium skin tone</v>
      </c>
      <c r="F4236" t="b">
        <f t="shared" si="401"/>
        <v>0</v>
      </c>
      <c r="G4236" t="str">
        <f t="shared" si="397"/>
        <v>270B</v>
      </c>
      <c r="I4236">
        <f>HEX2DEC(Table1[[#This Row],[utf8]])</f>
        <v>9995</v>
      </c>
      <c r="J4236" t="str">
        <f>_xlfn.UNICHAR(HEX2DEC(Table1[[#This Row],[utf8]]))</f>
        <v>✋</v>
      </c>
      <c r="K4236" s="3" t="str" cm="1">
        <f t="array" ref="K4236">"Case "&amp;wRandomLetter()&amp;wRandomLetter()&amp;I4236&amp;":    UniConst = ChrW(" &amp; I4236 &amp;")"</f>
        <v>Case IK9995:    UniConst = ChrW(9995)</v>
      </c>
    </row>
    <row r="4237" spans="1:11">
      <c r="A4237" t="s">
        <v>213</v>
      </c>
      <c r="B4237" t="str">
        <f t="shared" si="398"/>
        <v>270B 1F3FE ; fully-qualified # ✋🏾 E1.0 raised hand: medium-dark skin tone</v>
      </c>
      <c r="C4237" t="str">
        <f t="shared" si="399"/>
        <v xml:space="preserve">270B 1F3FE </v>
      </c>
      <c r="D4237">
        <f t="shared" si="400"/>
        <v>11</v>
      </c>
      <c r="E4237" t="str">
        <f t="shared" si="396"/>
        <v xml:space="preserve"> ✋🏾 E1.0 raised hand: medium-dark skin tone</v>
      </c>
      <c r="F4237" t="b">
        <f t="shared" si="401"/>
        <v>0</v>
      </c>
      <c r="G4237" t="str">
        <f t="shared" si="397"/>
        <v>270B</v>
      </c>
      <c r="I4237">
        <f>HEX2DEC(Table1[[#This Row],[utf8]])</f>
        <v>9995</v>
      </c>
      <c r="J4237" t="str">
        <f>_xlfn.UNICHAR(HEX2DEC(Table1[[#This Row],[utf8]]))</f>
        <v>✋</v>
      </c>
      <c r="K4237" s="3" t="str" cm="1">
        <f t="array" ref="K4237">"Case "&amp;wRandomLetter()&amp;wRandomLetter()&amp;I4237&amp;":    UniConst = ChrW(" &amp; I4237 &amp;")"</f>
        <v>Case RY9995:    UniConst = ChrW(9995)</v>
      </c>
    </row>
    <row r="4238" spans="1:11">
      <c r="A4238" t="s">
        <v>214</v>
      </c>
      <c r="B4238" t="str">
        <f t="shared" si="398"/>
        <v>270B 1F3FF ; fully-qualified # ✋🏿 E1.0 raised hand: dark skin tone</v>
      </c>
      <c r="C4238" t="str">
        <f t="shared" si="399"/>
        <v xml:space="preserve">270B 1F3FF </v>
      </c>
      <c r="D4238">
        <f t="shared" si="400"/>
        <v>11</v>
      </c>
      <c r="E4238" t="str">
        <f t="shared" si="396"/>
        <v xml:space="preserve"> ✋🏿 E1.0 raised hand: dark skin tone</v>
      </c>
      <c r="F4238" t="b">
        <f t="shared" si="401"/>
        <v>0</v>
      </c>
      <c r="G4238" t="str">
        <f t="shared" si="397"/>
        <v>270B</v>
      </c>
      <c r="I4238">
        <f>HEX2DEC(Table1[[#This Row],[utf8]])</f>
        <v>9995</v>
      </c>
      <c r="J4238" t="str">
        <f>_xlfn.UNICHAR(HEX2DEC(Table1[[#This Row],[utf8]]))</f>
        <v>✋</v>
      </c>
      <c r="K4238" s="3" t="str" cm="1">
        <f t="array" ref="K4238">"Case "&amp;wRandomLetter()&amp;wRandomLetter()&amp;I4238&amp;":    UniConst = ChrW(" &amp; I4238 &amp;")"</f>
        <v>Case zF9995:    UniConst = ChrW(9995)</v>
      </c>
    </row>
    <row r="4239" spans="1:11">
      <c r="A4239" t="s">
        <v>241</v>
      </c>
      <c r="B4239" t="str">
        <f t="shared" si="398"/>
        <v>270C ; unqualified # ✌ E0.6 victory hand</v>
      </c>
      <c r="C4239" t="str">
        <f t="shared" si="399"/>
        <v xml:space="preserve">270C </v>
      </c>
      <c r="D4239">
        <f t="shared" si="400"/>
        <v>5</v>
      </c>
      <c r="E4239" t="str">
        <f t="shared" si="396"/>
        <v xml:space="preserve"> ✌ E0.6 victory hand</v>
      </c>
      <c r="F4239" t="b">
        <f t="shared" si="401"/>
        <v>0</v>
      </c>
      <c r="G4239" t="str">
        <f t="shared" si="397"/>
        <v>270C</v>
      </c>
      <c r="I4239">
        <f>HEX2DEC(Table1[[#This Row],[utf8]])</f>
        <v>9996</v>
      </c>
      <c r="J4239" t="str">
        <f>_xlfn.UNICHAR(HEX2DEC(Table1[[#This Row],[utf8]]))</f>
        <v>✌</v>
      </c>
      <c r="K4239" s="3" t="str" cm="1">
        <f t="array" ref="K4239">"Case "&amp;wRandomLetter()&amp;wRandomLetter()&amp;I4239&amp;":    UniConst = ChrW(" &amp; I4239 &amp;")"</f>
        <v>Case yn9996:    UniConst = ChrW(9996)</v>
      </c>
    </row>
    <row r="4240" spans="1:11">
      <c r="A4240" t="s">
        <v>242</v>
      </c>
      <c r="B4240" t="str">
        <f t="shared" si="398"/>
        <v>270C 1F3FB ; fully-qualified # ✌🏻 E1.0 victory hand: light skin tone</v>
      </c>
      <c r="C4240" t="str">
        <f t="shared" si="399"/>
        <v xml:space="preserve">270C 1F3FB </v>
      </c>
      <c r="D4240">
        <f t="shared" si="400"/>
        <v>11</v>
      </c>
      <c r="E4240" t="str">
        <f t="shared" si="396"/>
        <v xml:space="preserve"> ✌🏻 E1.0 victory hand: light skin tone</v>
      </c>
      <c r="F4240" t="b">
        <f t="shared" si="401"/>
        <v>0</v>
      </c>
      <c r="G4240" t="str">
        <f t="shared" si="397"/>
        <v>270C</v>
      </c>
      <c r="I4240">
        <f>HEX2DEC(Table1[[#This Row],[utf8]])</f>
        <v>9996</v>
      </c>
      <c r="J4240" t="str">
        <f>_xlfn.UNICHAR(HEX2DEC(Table1[[#This Row],[utf8]]))</f>
        <v>✌</v>
      </c>
      <c r="K4240" s="3" t="str" cm="1">
        <f t="array" ref="K4240">"Case "&amp;wRandomLetter()&amp;wRandomLetter()&amp;I4240&amp;":    UniConst = ChrW(" &amp; I4240 &amp;")"</f>
        <v>Case HK9996:    UniConst = ChrW(9996)</v>
      </c>
    </row>
    <row r="4241" spans="1:11">
      <c r="A4241" t="s">
        <v>243</v>
      </c>
      <c r="B4241" t="str">
        <f t="shared" si="398"/>
        <v>270C 1F3FC ; fully-qualified # ✌🏼 E1.0 victory hand: medium-light skin tone</v>
      </c>
      <c r="C4241" t="str">
        <f t="shared" si="399"/>
        <v xml:space="preserve">270C 1F3FC </v>
      </c>
      <c r="D4241">
        <f t="shared" si="400"/>
        <v>11</v>
      </c>
      <c r="E4241" t="str">
        <f t="shared" si="396"/>
        <v xml:space="preserve"> ✌🏼 E1.0 victory hand: medium-light skin tone</v>
      </c>
      <c r="F4241" t="b">
        <f t="shared" si="401"/>
        <v>0</v>
      </c>
      <c r="G4241" t="str">
        <f t="shared" si="397"/>
        <v>270C</v>
      </c>
      <c r="I4241">
        <f>HEX2DEC(Table1[[#This Row],[utf8]])</f>
        <v>9996</v>
      </c>
      <c r="J4241" t="str">
        <f>_xlfn.UNICHAR(HEX2DEC(Table1[[#This Row],[utf8]]))</f>
        <v>✌</v>
      </c>
      <c r="K4241" s="3" t="str" cm="1">
        <f t="array" ref="K4241">"Case "&amp;wRandomLetter()&amp;wRandomLetter()&amp;I4241&amp;":    UniConst = ChrW(" &amp; I4241 &amp;")"</f>
        <v>Case DV9996:    UniConst = ChrW(9996)</v>
      </c>
    </row>
    <row r="4242" spans="1:11">
      <c r="A4242" t="s">
        <v>244</v>
      </c>
      <c r="B4242" t="str">
        <f t="shared" si="398"/>
        <v>270C 1F3FD ; fully-qualified # ✌🏽 E1.0 victory hand: medium skin tone</v>
      </c>
      <c r="C4242" t="str">
        <f t="shared" si="399"/>
        <v xml:space="preserve">270C 1F3FD </v>
      </c>
      <c r="D4242">
        <f t="shared" si="400"/>
        <v>11</v>
      </c>
      <c r="E4242" t="str">
        <f t="shared" si="396"/>
        <v xml:space="preserve"> ✌🏽 E1.0 victory hand: medium skin tone</v>
      </c>
      <c r="F4242" t="b">
        <f t="shared" si="401"/>
        <v>0</v>
      </c>
      <c r="G4242" t="str">
        <f t="shared" si="397"/>
        <v>270C</v>
      </c>
      <c r="I4242">
        <f>HEX2DEC(Table1[[#This Row],[utf8]])</f>
        <v>9996</v>
      </c>
      <c r="J4242" t="str">
        <f>_xlfn.UNICHAR(HEX2DEC(Table1[[#This Row],[utf8]]))</f>
        <v>✌</v>
      </c>
      <c r="K4242" s="3" t="str" cm="1">
        <f t="array" ref="K4242">"Case "&amp;wRandomLetter()&amp;wRandomLetter()&amp;I4242&amp;":    UniConst = ChrW(" &amp; I4242 &amp;")"</f>
        <v>Case da9996:    UniConst = ChrW(9996)</v>
      </c>
    </row>
    <row r="4243" spans="1:11">
      <c r="A4243" t="s">
        <v>245</v>
      </c>
      <c r="B4243" t="str">
        <f t="shared" si="398"/>
        <v>270C 1F3FE ; fully-qualified # ✌🏾 E1.0 victory hand: medium-dark skin tone</v>
      </c>
      <c r="C4243" t="str">
        <f t="shared" si="399"/>
        <v xml:space="preserve">270C 1F3FE </v>
      </c>
      <c r="D4243">
        <f t="shared" si="400"/>
        <v>11</v>
      </c>
      <c r="E4243" t="str">
        <f t="shared" si="396"/>
        <v xml:space="preserve"> ✌🏾 E1.0 victory hand: medium-dark skin tone</v>
      </c>
      <c r="F4243" t="b">
        <f t="shared" si="401"/>
        <v>0</v>
      </c>
      <c r="G4243" t="str">
        <f t="shared" si="397"/>
        <v>270C</v>
      </c>
      <c r="I4243">
        <f>HEX2DEC(Table1[[#This Row],[utf8]])</f>
        <v>9996</v>
      </c>
      <c r="J4243" t="str">
        <f>_xlfn.UNICHAR(HEX2DEC(Table1[[#This Row],[utf8]]))</f>
        <v>✌</v>
      </c>
      <c r="K4243" s="3" t="str" cm="1">
        <f t="array" ref="K4243">"Case "&amp;wRandomLetter()&amp;wRandomLetter()&amp;I4243&amp;":    UniConst = ChrW(" &amp; I4243 &amp;")"</f>
        <v>Case JT9996:    UniConst = ChrW(9996)</v>
      </c>
    </row>
    <row r="4244" spans="1:11">
      <c r="A4244" t="s">
        <v>246</v>
      </c>
      <c r="B4244" t="str">
        <f t="shared" si="398"/>
        <v>270C 1F3FF ; fully-qualified # ✌🏿 E1.0 victory hand: dark skin tone</v>
      </c>
      <c r="C4244" t="str">
        <f t="shared" si="399"/>
        <v xml:space="preserve">270C 1F3FF </v>
      </c>
      <c r="D4244">
        <f t="shared" si="400"/>
        <v>11</v>
      </c>
      <c r="E4244" t="str">
        <f t="shared" si="396"/>
        <v xml:space="preserve"> ✌🏿 E1.0 victory hand: dark skin tone</v>
      </c>
      <c r="F4244" t="b">
        <f t="shared" si="401"/>
        <v>0</v>
      </c>
      <c r="G4244" t="str">
        <f t="shared" si="397"/>
        <v>270C</v>
      </c>
      <c r="I4244">
        <f>HEX2DEC(Table1[[#This Row],[utf8]])</f>
        <v>9996</v>
      </c>
      <c r="J4244" t="str">
        <f>_xlfn.UNICHAR(HEX2DEC(Table1[[#This Row],[utf8]]))</f>
        <v>✌</v>
      </c>
      <c r="K4244" s="3" t="str" cm="1">
        <f t="array" ref="K4244">"Case "&amp;wRandomLetter()&amp;wRandomLetter()&amp;I4244&amp;":    UniConst = ChrW(" &amp; I4244 &amp;")"</f>
        <v>Case fe9996:    UniConst = ChrW(9996)</v>
      </c>
    </row>
    <row r="4245" spans="1:11">
      <c r="A4245" t="s">
        <v>240</v>
      </c>
      <c r="B4245" t="str">
        <f t="shared" si="398"/>
        <v>270C FE0F ; fully-qualified # ✌️ E0.6 victory hand</v>
      </c>
      <c r="C4245" t="str">
        <f t="shared" si="399"/>
        <v xml:space="preserve">270C FE0F </v>
      </c>
      <c r="D4245">
        <f t="shared" si="400"/>
        <v>10</v>
      </c>
      <c r="E4245" t="str">
        <f t="shared" si="396"/>
        <v xml:space="preserve"> ✌️ E0.6 victory hand</v>
      </c>
      <c r="F4245" t="b">
        <f t="shared" si="401"/>
        <v>0</v>
      </c>
      <c r="G4245" t="str">
        <f t="shared" si="397"/>
        <v>270C</v>
      </c>
      <c r="I4245">
        <f>HEX2DEC(Table1[[#This Row],[utf8]])</f>
        <v>9996</v>
      </c>
      <c r="J4245" t="str">
        <f>_xlfn.UNICHAR(HEX2DEC(Table1[[#This Row],[utf8]]))</f>
        <v>✌</v>
      </c>
      <c r="K4245" s="3" t="str" cm="1">
        <f t="array" ref="K4245">"Case "&amp;wRandomLetter()&amp;wRandomLetter()&amp;I4245&amp;":    UniConst = ChrW(" &amp; I4245 &amp;")"</f>
        <v>Case qU9996:    UniConst = ChrW(9996)</v>
      </c>
    </row>
    <row r="4246" spans="1:11">
      <c r="A4246" t="s">
        <v>380</v>
      </c>
      <c r="B4246" t="str">
        <f t="shared" si="398"/>
        <v>270D ; unqualified # ✍ E0.7 writing hand</v>
      </c>
      <c r="C4246" t="str">
        <f t="shared" si="399"/>
        <v xml:space="preserve">270D </v>
      </c>
      <c r="D4246">
        <f t="shared" si="400"/>
        <v>5</v>
      </c>
      <c r="E4246" t="str">
        <f t="shared" si="396"/>
        <v xml:space="preserve"> ✍ E0.7 writing hand</v>
      </c>
      <c r="F4246" t="b">
        <f t="shared" si="401"/>
        <v>0</v>
      </c>
      <c r="G4246" t="str">
        <f t="shared" si="397"/>
        <v>270D</v>
      </c>
      <c r="I4246">
        <f>HEX2DEC(Table1[[#This Row],[utf8]])</f>
        <v>9997</v>
      </c>
      <c r="J4246" t="str">
        <f>_xlfn.UNICHAR(HEX2DEC(Table1[[#This Row],[utf8]]))</f>
        <v>✍</v>
      </c>
      <c r="K4246" s="3" t="str" cm="1">
        <f t="array" ref="K4246">"Case "&amp;wRandomLetter()&amp;wRandomLetter()&amp;I4246&amp;":    UniConst = ChrW(" &amp; I4246 &amp;")"</f>
        <v>Case ke9997:    UniConst = ChrW(9997)</v>
      </c>
    </row>
    <row r="4247" spans="1:11">
      <c r="A4247" t="s">
        <v>381</v>
      </c>
      <c r="B4247" t="str">
        <f t="shared" si="398"/>
        <v>270D 1F3FB ; fully-qualified # ✍🏻 E1.0 writing hand: light skin tone</v>
      </c>
      <c r="C4247" t="str">
        <f t="shared" si="399"/>
        <v xml:space="preserve">270D 1F3FB </v>
      </c>
      <c r="D4247">
        <f t="shared" si="400"/>
        <v>11</v>
      </c>
      <c r="E4247" t="str">
        <f t="shared" si="396"/>
        <v xml:space="preserve"> ✍🏻 E1.0 writing hand: light skin tone</v>
      </c>
      <c r="F4247" t="b">
        <f t="shared" si="401"/>
        <v>0</v>
      </c>
      <c r="G4247" t="str">
        <f t="shared" si="397"/>
        <v>270D</v>
      </c>
      <c r="I4247">
        <f>HEX2DEC(Table1[[#This Row],[utf8]])</f>
        <v>9997</v>
      </c>
      <c r="J4247" t="str">
        <f>_xlfn.UNICHAR(HEX2DEC(Table1[[#This Row],[utf8]]))</f>
        <v>✍</v>
      </c>
      <c r="K4247" s="3" t="str" cm="1">
        <f t="array" ref="K4247">"Case "&amp;wRandomLetter()&amp;wRandomLetter()&amp;I4247&amp;":    UniConst = ChrW(" &amp; I4247 &amp;")"</f>
        <v>Case ZO9997:    UniConst = ChrW(9997)</v>
      </c>
    </row>
    <row r="4248" spans="1:11">
      <c r="A4248" t="s">
        <v>382</v>
      </c>
      <c r="B4248" t="str">
        <f t="shared" si="398"/>
        <v>270D 1F3FC ; fully-qualified # ✍🏼 E1.0 writing hand: medium-light skin tone</v>
      </c>
      <c r="C4248" t="str">
        <f t="shared" si="399"/>
        <v xml:space="preserve">270D 1F3FC </v>
      </c>
      <c r="D4248">
        <f t="shared" si="400"/>
        <v>11</v>
      </c>
      <c r="E4248" t="str">
        <f t="shared" si="396"/>
        <v xml:space="preserve"> ✍🏼 E1.0 writing hand: medium-light skin tone</v>
      </c>
      <c r="F4248" t="b">
        <f t="shared" si="401"/>
        <v>0</v>
      </c>
      <c r="G4248" t="str">
        <f t="shared" si="397"/>
        <v>270D</v>
      </c>
      <c r="I4248">
        <f>HEX2DEC(Table1[[#This Row],[utf8]])</f>
        <v>9997</v>
      </c>
      <c r="J4248" t="str">
        <f>_xlfn.UNICHAR(HEX2DEC(Table1[[#This Row],[utf8]]))</f>
        <v>✍</v>
      </c>
      <c r="K4248" s="3" t="str" cm="1">
        <f t="array" ref="K4248">"Case "&amp;wRandomLetter()&amp;wRandomLetter()&amp;I4248&amp;":    UniConst = ChrW(" &amp; I4248 &amp;")"</f>
        <v>Case kg9997:    UniConst = ChrW(9997)</v>
      </c>
    </row>
    <row r="4249" spans="1:11">
      <c r="A4249" t="s">
        <v>383</v>
      </c>
      <c r="B4249" t="str">
        <f t="shared" si="398"/>
        <v>270D 1F3FD ; fully-qualified # ✍🏽 E1.0 writing hand: medium skin tone</v>
      </c>
      <c r="C4249" t="str">
        <f t="shared" si="399"/>
        <v xml:space="preserve">270D 1F3FD </v>
      </c>
      <c r="D4249">
        <f t="shared" si="400"/>
        <v>11</v>
      </c>
      <c r="E4249" t="str">
        <f t="shared" si="396"/>
        <v xml:space="preserve"> ✍🏽 E1.0 writing hand: medium skin tone</v>
      </c>
      <c r="F4249" t="b">
        <f t="shared" si="401"/>
        <v>0</v>
      </c>
      <c r="G4249" t="str">
        <f t="shared" si="397"/>
        <v>270D</v>
      </c>
      <c r="I4249">
        <f>HEX2DEC(Table1[[#This Row],[utf8]])</f>
        <v>9997</v>
      </c>
      <c r="J4249" t="str">
        <f>_xlfn.UNICHAR(HEX2DEC(Table1[[#This Row],[utf8]]))</f>
        <v>✍</v>
      </c>
      <c r="K4249" s="3" t="str" cm="1">
        <f t="array" ref="K4249">"Case "&amp;wRandomLetter()&amp;wRandomLetter()&amp;I4249&amp;":    UniConst = ChrW(" &amp; I4249 &amp;")"</f>
        <v>Case dC9997:    UniConst = ChrW(9997)</v>
      </c>
    </row>
    <row r="4250" spans="1:11">
      <c r="A4250" t="s">
        <v>384</v>
      </c>
      <c r="B4250" t="str">
        <f t="shared" si="398"/>
        <v>270D 1F3FE ; fully-qualified # ✍🏾 E1.0 writing hand: medium-dark skin tone</v>
      </c>
      <c r="C4250" t="str">
        <f t="shared" si="399"/>
        <v xml:space="preserve">270D 1F3FE </v>
      </c>
      <c r="D4250">
        <f t="shared" si="400"/>
        <v>11</v>
      </c>
      <c r="E4250" t="str">
        <f t="shared" si="396"/>
        <v xml:space="preserve"> ✍🏾 E1.0 writing hand: medium-dark skin tone</v>
      </c>
      <c r="F4250" t="b">
        <f t="shared" si="401"/>
        <v>0</v>
      </c>
      <c r="G4250" t="str">
        <f t="shared" si="397"/>
        <v>270D</v>
      </c>
      <c r="I4250">
        <f>HEX2DEC(Table1[[#This Row],[utf8]])</f>
        <v>9997</v>
      </c>
      <c r="J4250" t="str">
        <f>_xlfn.UNICHAR(HEX2DEC(Table1[[#This Row],[utf8]]))</f>
        <v>✍</v>
      </c>
      <c r="K4250" s="3" t="str" cm="1">
        <f t="array" ref="K4250">"Case "&amp;wRandomLetter()&amp;wRandomLetter()&amp;I4250&amp;":    UniConst = ChrW(" &amp; I4250 &amp;")"</f>
        <v>Case Vl9997:    UniConst = ChrW(9997)</v>
      </c>
    </row>
    <row r="4251" spans="1:11">
      <c r="A4251" t="s">
        <v>385</v>
      </c>
      <c r="B4251" t="str">
        <f t="shared" si="398"/>
        <v>270D 1F3FF ; fully-qualified # ✍🏿 E1.0 writing hand: dark skin tone</v>
      </c>
      <c r="C4251" t="str">
        <f t="shared" si="399"/>
        <v xml:space="preserve">270D 1F3FF </v>
      </c>
      <c r="D4251">
        <f t="shared" si="400"/>
        <v>11</v>
      </c>
      <c r="E4251" t="str">
        <f t="shared" si="396"/>
        <v xml:space="preserve"> ✍🏿 E1.0 writing hand: dark skin tone</v>
      </c>
      <c r="F4251" t="b">
        <f t="shared" si="401"/>
        <v>0</v>
      </c>
      <c r="G4251" t="str">
        <f t="shared" si="397"/>
        <v>270D</v>
      </c>
      <c r="I4251">
        <f>HEX2DEC(Table1[[#This Row],[utf8]])</f>
        <v>9997</v>
      </c>
      <c r="J4251" t="str">
        <f>_xlfn.UNICHAR(HEX2DEC(Table1[[#This Row],[utf8]]))</f>
        <v>✍</v>
      </c>
      <c r="K4251" s="3" t="str" cm="1">
        <f t="array" ref="K4251">"Case "&amp;wRandomLetter()&amp;wRandomLetter()&amp;I4251&amp;":    UniConst = ChrW(" &amp; I4251 &amp;")"</f>
        <v>Case II9997:    UniConst = ChrW(9997)</v>
      </c>
    </row>
    <row r="4252" spans="1:11">
      <c r="A4252" t="s">
        <v>379</v>
      </c>
      <c r="B4252" t="str">
        <f t="shared" si="398"/>
        <v>270D FE0F ; fully-qualified # ✍️ E0.7 writing hand</v>
      </c>
      <c r="C4252" t="str">
        <f t="shared" si="399"/>
        <v xml:space="preserve">270D FE0F </v>
      </c>
      <c r="D4252">
        <f t="shared" si="400"/>
        <v>10</v>
      </c>
      <c r="E4252" t="str">
        <f t="shared" si="396"/>
        <v xml:space="preserve"> ✍️ E0.7 writing hand</v>
      </c>
      <c r="F4252" t="b">
        <f t="shared" si="401"/>
        <v>0</v>
      </c>
      <c r="G4252" t="str">
        <f t="shared" si="397"/>
        <v>270D</v>
      </c>
      <c r="I4252">
        <f>HEX2DEC(Table1[[#This Row],[utf8]])</f>
        <v>9997</v>
      </c>
      <c r="J4252" t="str">
        <f>_xlfn.UNICHAR(HEX2DEC(Table1[[#This Row],[utf8]]))</f>
        <v>✍</v>
      </c>
      <c r="K4252" s="3" t="str" cm="1">
        <f t="array" ref="K4252">"Case "&amp;wRandomLetter()&amp;wRandomLetter()&amp;I4252&amp;":    UniConst = ChrW(" &amp; I4252 &amp;")"</f>
        <v>Case Jj9997:    UniConst = ChrW(9997)</v>
      </c>
    </row>
    <row r="4253" spans="1:11">
      <c r="A4253" t="s">
        <v>3980</v>
      </c>
      <c r="B4253" t="str">
        <f t="shared" si="398"/>
        <v>270F ; unqualified # ✏ E0.6 pencil</v>
      </c>
      <c r="C4253" t="str">
        <f t="shared" si="399"/>
        <v xml:space="preserve">270F </v>
      </c>
      <c r="D4253">
        <f t="shared" si="400"/>
        <v>5</v>
      </c>
      <c r="E4253" t="str">
        <f t="shared" si="396"/>
        <v xml:space="preserve"> ✏ E0.6 pencil</v>
      </c>
      <c r="F4253" t="b">
        <f t="shared" si="401"/>
        <v>0</v>
      </c>
      <c r="G4253" t="str">
        <f t="shared" si="397"/>
        <v>270F</v>
      </c>
      <c r="I4253">
        <f>HEX2DEC(Table1[[#This Row],[utf8]])</f>
        <v>9999</v>
      </c>
      <c r="J4253" t="str">
        <f>_xlfn.UNICHAR(HEX2DEC(Table1[[#This Row],[utf8]]))</f>
        <v>✏</v>
      </c>
      <c r="K4253" s="3" t="str" cm="1">
        <f t="array" ref="K4253">"Case "&amp;wRandomLetter()&amp;wRandomLetter()&amp;I4253&amp;":    UniConst = ChrW(" &amp; I4253 &amp;")"</f>
        <v>Case mB9999:    UniConst = ChrW(9999)</v>
      </c>
    </row>
    <row r="4254" spans="1:11">
      <c r="A4254" t="s">
        <v>3979</v>
      </c>
      <c r="B4254" t="str">
        <f t="shared" si="398"/>
        <v>270F FE0F ; fully-qualified # ✏️ E0.6 pencil</v>
      </c>
      <c r="C4254" t="str">
        <f t="shared" si="399"/>
        <v xml:space="preserve">270F FE0F </v>
      </c>
      <c r="D4254">
        <f t="shared" si="400"/>
        <v>10</v>
      </c>
      <c r="E4254" t="str">
        <f t="shared" si="396"/>
        <v xml:space="preserve"> ✏️ E0.6 pencil</v>
      </c>
      <c r="F4254" t="b">
        <f t="shared" si="401"/>
        <v>0</v>
      </c>
      <c r="G4254" t="str">
        <f t="shared" si="397"/>
        <v>270F</v>
      </c>
      <c r="I4254">
        <f>HEX2DEC(Table1[[#This Row],[utf8]])</f>
        <v>9999</v>
      </c>
      <c r="J4254" t="str">
        <f>_xlfn.UNICHAR(HEX2DEC(Table1[[#This Row],[utf8]]))</f>
        <v>✏</v>
      </c>
      <c r="K4254" s="3" t="str" cm="1">
        <f t="array" ref="K4254">"Case "&amp;wRandomLetter()&amp;wRandomLetter()&amp;I4254&amp;":    UniConst = ChrW(" &amp; I4254 &amp;")"</f>
        <v>Case xP9999:    UniConst = ChrW(9999)</v>
      </c>
    </row>
    <row r="4255" spans="1:11">
      <c r="A4255" t="s">
        <v>3982</v>
      </c>
      <c r="B4255" t="str">
        <f t="shared" si="398"/>
        <v>2712 ; unqualified # ✒ E0.6 black nib</v>
      </c>
      <c r="C4255" t="str">
        <f t="shared" si="399"/>
        <v xml:space="preserve">2712 </v>
      </c>
      <c r="D4255">
        <f t="shared" si="400"/>
        <v>5</v>
      </c>
      <c r="E4255" t="str">
        <f t="shared" si="396"/>
        <v xml:space="preserve"> ✒ E0.6 black nib</v>
      </c>
      <c r="F4255" t="b">
        <f t="shared" si="401"/>
        <v>0</v>
      </c>
      <c r="G4255" t="str">
        <f t="shared" si="397"/>
        <v>2712</v>
      </c>
      <c r="I4255">
        <f>HEX2DEC(Table1[[#This Row],[utf8]])</f>
        <v>10002</v>
      </c>
      <c r="J4255" t="str">
        <f>_xlfn.UNICHAR(HEX2DEC(Table1[[#This Row],[utf8]]))</f>
        <v>✒</v>
      </c>
      <c r="K4255" s="3" t="str" cm="1">
        <f t="array" ref="K4255">"Case "&amp;wRandomLetter()&amp;wRandomLetter()&amp;I4255&amp;":    UniConst = ChrW(" &amp; I4255 &amp;")"</f>
        <v>Case Wr10002:    UniConst = ChrW(10002)</v>
      </c>
    </row>
    <row r="4256" spans="1:11">
      <c r="A4256" t="s">
        <v>3981</v>
      </c>
      <c r="B4256" t="str">
        <f t="shared" si="398"/>
        <v>2712 FE0F ; fully-qualified # ✒️ E0.6 black nib</v>
      </c>
      <c r="C4256" t="str">
        <f t="shared" si="399"/>
        <v xml:space="preserve">2712 FE0F </v>
      </c>
      <c r="D4256">
        <f t="shared" si="400"/>
        <v>10</v>
      </c>
      <c r="E4256" t="str">
        <f t="shared" si="396"/>
        <v xml:space="preserve"> ✒️ E0.6 black nib</v>
      </c>
      <c r="F4256" t="b">
        <f t="shared" si="401"/>
        <v>0</v>
      </c>
      <c r="G4256" t="str">
        <f t="shared" si="397"/>
        <v>2712</v>
      </c>
      <c r="I4256">
        <f>HEX2DEC(Table1[[#This Row],[utf8]])</f>
        <v>10002</v>
      </c>
      <c r="J4256" t="str">
        <f>_xlfn.UNICHAR(HEX2DEC(Table1[[#This Row],[utf8]]))</f>
        <v>✒</v>
      </c>
      <c r="K4256" s="3" t="str" cm="1">
        <f t="array" ref="K4256">"Case "&amp;wRandomLetter()&amp;wRandomLetter()&amp;I4256&amp;":    UniConst = ChrW(" &amp; I4256 &amp;")"</f>
        <v>Case aJ10002:    UniConst = ChrW(10002)</v>
      </c>
    </row>
    <row r="4257" spans="1:11">
      <c r="A4257" t="s">
        <v>4303</v>
      </c>
      <c r="B4257" t="str">
        <f t="shared" si="398"/>
        <v>2714 ; unqualified # ✔ E0.6 check mark</v>
      </c>
      <c r="C4257" t="str">
        <f t="shared" si="399"/>
        <v xml:space="preserve">2714 </v>
      </c>
      <c r="D4257">
        <f t="shared" si="400"/>
        <v>5</v>
      </c>
      <c r="E4257" t="str">
        <f t="shared" si="396"/>
        <v xml:space="preserve"> ✔ E0.6 check mark</v>
      </c>
      <c r="F4257" t="b">
        <f t="shared" si="401"/>
        <v>0</v>
      </c>
      <c r="G4257" t="str">
        <f t="shared" si="397"/>
        <v>2714</v>
      </c>
      <c r="I4257">
        <f>HEX2DEC(Table1[[#This Row],[utf8]])</f>
        <v>10004</v>
      </c>
      <c r="J4257" t="str">
        <f>_xlfn.UNICHAR(HEX2DEC(Table1[[#This Row],[utf8]]))</f>
        <v>✔</v>
      </c>
      <c r="K4257" s="3" t="str" cm="1">
        <f t="array" ref="K4257">"Case "&amp;wRandomLetter()&amp;wRandomLetter()&amp;I4257&amp;":    UniConst = ChrW(" &amp; I4257 &amp;")"</f>
        <v>Case ow10004:    UniConst = ChrW(10004)</v>
      </c>
    </row>
    <row r="4258" spans="1:11">
      <c r="A4258" t="s">
        <v>4302</v>
      </c>
      <c r="B4258" t="str">
        <f t="shared" si="398"/>
        <v>2714 FE0F ; fully-qualified # ✔️ E0.6 check mark</v>
      </c>
      <c r="C4258" t="str">
        <f t="shared" si="399"/>
        <v xml:space="preserve">2714 FE0F </v>
      </c>
      <c r="D4258">
        <f t="shared" si="400"/>
        <v>10</v>
      </c>
      <c r="E4258" t="str">
        <f t="shared" si="396"/>
        <v xml:space="preserve"> ✔️ E0.6 check mark</v>
      </c>
      <c r="F4258" t="b">
        <f t="shared" si="401"/>
        <v>0</v>
      </c>
      <c r="G4258" t="str">
        <f t="shared" si="397"/>
        <v>2714</v>
      </c>
      <c r="I4258">
        <f>HEX2DEC(Table1[[#This Row],[utf8]])</f>
        <v>10004</v>
      </c>
      <c r="J4258" t="str">
        <f>_xlfn.UNICHAR(HEX2DEC(Table1[[#This Row],[utf8]]))</f>
        <v>✔</v>
      </c>
      <c r="K4258" s="3" t="str" cm="1">
        <f t="array" ref="K4258">"Case "&amp;wRandomLetter()&amp;wRandomLetter()&amp;I4258&amp;":    UniConst = ChrW(" &amp; I4258 &amp;")"</f>
        <v>Case sZ10004:    UniConst = ChrW(10004)</v>
      </c>
    </row>
    <row r="4259" spans="1:11">
      <c r="A4259" t="s">
        <v>4268</v>
      </c>
      <c r="B4259" t="str">
        <f t="shared" si="398"/>
        <v>2716 ; unqualified # ✖ E0.6 multiply</v>
      </c>
      <c r="C4259" t="str">
        <f t="shared" si="399"/>
        <v xml:space="preserve">2716 </v>
      </c>
      <c r="D4259">
        <f t="shared" si="400"/>
        <v>5</v>
      </c>
      <c r="E4259" t="str">
        <f t="shared" si="396"/>
        <v xml:space="preserve"> ✖ E0.6 multiply</v>
      </c>
      <c r="F4259" t="b">
        <f t="shared" si="401"/>
        <v>0</v>
      </c>
      <c r="G4259" t="str">
        <f t="shared" si="397"/>
        <v>2716</v>
      </c>
      <c r="I4259">
        <f>HEX2DEC(Table1[[#This Row],[utf8]])</f>
        <v>10006</v>
      </c>
      <c r="J4259" t="str">
        <f>_xlfn.UNICHAR(HEX2DEC(Table1[[#This Row],[utf8]]))</f>
        <v>✖</v>
      </c>
      <c r="K4259" s="3" t="str" cm="1">
        <f t="array" ref="K4259">"Case "&amp;wRandomLetter()&amp;wRandomLetter()&amp;I4259&amp;":    UniConst = ChrW(" &amp; I4259 &amp;")"</f>
        <v>Case gp10006:    UniConst = ChrW(10006)</v>
      </c>
    </row>
    <row r="4260" spans="1:11">
      <c r="A4260" t="s">
        <v>4267</v>
      </c>
      <c r="B4260" t="str">
        <f t="shared" si="398"/>
        <v>2716 FE0F ; fully-qualified # ✖️ E0.6 multiply</v>
      </c>
      <c r="C4260" t="str">
        <f t="shared" si="399"/>
        <v xml:space="preserve">2716 FE0F </v>
      </c>
      <c r="D4260">
        <f t="shared" si="400"/>
        <v>10</v>
      </c>
      <c r="E4260" t="str">
        <f t="shared" si="396"/>
        <v xml:space="preserve"> ✖️ E0.6 multiply</v>
      </c>
      <c r="F4260" t="b">
        <f t="shared" si="401"/>
        <v>0</v>
      </c>
      <c r="G4260" t="str">
        <f t="shared" si="397"/>
        <v>2716</v>
      </c>
      <c r="I4260">
        <f>HEX2DEC(Table1[[#This Row],[utf8]])</f>
        <v>10006</v>
      </c>
      <c r="J4260" t="str">
        <f>_xlfn.UNICHAR(HEX2DEC(Table1[[#This Row],[utf8]]))</f>
        <v>✖</v>
      </c>
      <c r="K4260" s="3" t="str" cm="1">
        <f t="array" ref="K4260">"Case "&amp;wRandomLetter()&amp;wRandomLetter()&amp;I4260&amp;":    UniConst = ChrW(" &amp; I4260 &amp;")"</f>
        <v>Case tU10006:    UniConst = ChrW(10006)</v>
      </c>
    </row>
    <row r="4261" spans="1:11">
      <c r="A4261" t="s">
        <v>4202</v>
      </c>
      <c r="B4261" t="str">
        <f t="shared" si="398"/>
        <v>271D ; unqualified # ✝ E0.7 latin cross</v>
      </c>
      <c r="C4261" t="str">
        <f t="shared" si="399"/>
        <v xml:space="preserve">271D </v>
      </c>
      <c r="D4261">
        <f t="shared" si="400"/>
        <v>5</v>
      </c>
      <c r="E4261" t="str">
        <f t="shared" si="396"/>
        <v xml:space="preserve"> ✝ E0.7 latin cross</v>
      </c>
      <c r="F4261" t="b">
        <f t="shared" si="401"/>
        <v>0</v>
      </c>
      <c r="G4261" t="str">
        <f t="shared" si="397"/>
        <v>271D</v>
      </c>
      <c r="I4261">
        <f>HEX2DEC(Table1[[#This Row],[utf8]])</f>
        <v>10013</v>
      </c>
      <c r="J4261" t="str">
        <f>_xlfn.UNICHAR(HEX2DEC(Table1[[#This Row],[utf8]]))</f>
        <v>✝</v>
      </c>
      <c r="K4261" s="3" t="str" cm="1">
        <f t="array" ref="K4261">"Case "&amp;wRandomLetter()&amp;wRandomLetter()&amp;I4261&amp;":    UniConst = ChrW(" &amp; I4261 &amp;")"</f>
        <v>Case Jd10013:    UniConst = ChrW(10013)</v>
      </c>
    </row>
    <row r="4262" spans="1:11">
      <c r="A4262" t="s">
        <v>4201</v>
      </c>
      <c r="B4262" t="str">
        <f t="shared" si="398"/>
        <v>271D FE0F ; fully-qualified # ✝️ E0.7 latin cross</v>
      </c>
      <c r="C4262" t="str">
        <f t="shared" si="399"/>
        <v xml:space="preserve">271D FE0F </v>
      </c>
      <c r="D4262">
        <f t="shared" si="400"/>
        <v>10</v>
      </c>
      <c r="E4262" t="str">
        <f t="shared" si="396"/>
        <v xml:space="preserve"> ✝️ E0.7 latin cross</v>
      </c>
      <c r="F4262" t="b">
        <f t="shared" si="401"/>
        <v>0</v>
      </c>
      <c r="G4262" t="str">
        <f t="shared" si="397"/>
        <v>271D</v>
      </c>
      <c r="I4262">
        <f>HEX2DEC(Table1[[#This Row],[utf8]])</f>
        <v>10013</v>
      </c>
      <c r="J4262" t="str">
        <f>_xlfn.UNICHAR(HEX2DEC(Table1[[#This Row],[utf8]]))</f>
        <v>✝</v>
      </c>
      <c r="K4262" s="3" t="str" cm="1">
        <f t="array" ref="K4262">"Case "&amp;wRandomLetter()&amp;wRandomLetter()&amp;I4262&amp;":    UniConst = ChrW(" &amp; I4262 &amp;")"</f>
        <v>Case BY10013:    UniConst = ChrW(10013)</v>
      </c>
    </row>
    <row r="4263" spans="1:11">
      <c r="A4263" t="s">
        <v>4196</v>
      </c>
      <c r="B4263" t="str">
        <f t="shared" si="398"/>
        <v>2721 ; unqualified # ✡ E0.7 star of David</v>
      </c>
      <c r="C4263" t="str">
        <f t="shared" si="399"/>
        <v xml:space="preserve">2721 </v>
      </c>
      <c r="D4263">
        <f t="shared" si="400"/>
        <v>5</v>
      </c>
      <c r="E4263" t="str">
        <f t="shared" si="396"/>
        <v xml:space="preserve"> ✡ E0.7 star of David</v>
      </c>
      <c r="F4263" t="b">
        <f t="shared" si="401"/>
        <v>0</v>
      </c>
      <c r="G4263" t="str">
        <f t="shared" si="397"/>
        <v>2721</v>
      </c>
      <c r="I4263">
        <f>HEX2DEC(Table1[[#This Row],[utf8]])</f>
        <v>10017</v>
      </c>
      <c r="J4263" t="str">
        <f>_xlfn.UNICHAR(HEX2DEC(Table1[[#This Row],[utf8]]))</f>
        <v>✡</v>
      </c>
      <c r="K4263" s="3" t="str" cm="1">
        <f t="array" ref="K4263">"Case "&amp;wRandomLetter()&amp;wRandomLetter()&amp;I4263&amp;":    UniConst = ChrW(" &amp; I4263 &amp;")"</f>
        <v>Case lC10017:    UniConst = ChrW(10017)</v>
      </c>
    </row>
    <row r="4264" spans="1:11">
      <c r="A4264" t="s">
        <v>4195</v>
      </c>
      <c r="B4264" t="str">
        <f t="shared" si="398"/>
        <v>2721 FE0F ; fully-qualified # ✡️ E0.7 star of David</v>
      </c>
      <c r="C4264" t="str">
        <f t="shared" si="399"/>
        <v xml:space="preserve">2721 FE0F </v>
      </c>
      <c r="D4264">
        <f t="shared" si="400"/>
        <v>10</v>
      </c>
      <c r="E4264" t="str">
        <f t="shared" si="396"/>
        <v xml:space="preserve"> ✡️ E0.7 star of David</v>
      </c>
      <c r="F4264" t="b">
        <f t="shared" si="401"/>
        <v>0</v>
      </c>
      <c r="G4264" t="str">
        <f t="shared" si="397"/>
        <v>2721</v>
      </c>
      <c r="I4264">
        <f>HEX2DEC(Table1[[#This Row],[utf8]])</f>
        <v>10017</v>
      </c>
      <c r="J4264" t="str">
        <f>_xlfn.UNICHAR(HEX2DEC(Table1[[#This Row],[utf8]]))</f>
        <v>✡</v>
      </c>
      <c r="K4264" s="3" t="str" cm="1">
        <f t="array" ref="K4264">"Case "&amp;wRandomLetter()&amp;wRandomLetter()&amp;I4264&amp;":    UniConst = ChrW(" &amp; I4264 &amp;")"</f>
        <v>Case QA10017:    UniConst = ChrW(10017)</v>
      </c>
    </row>
    <row r="4265" spans="1:11">
      <c r="A4265" t="s">
        <v>3705</v>
      </c>
      <c r="B4265" t="str">
        <f t="shared" si="398"/>
        <v>2728 ; fully-qualified # ✨ E0.6 sparkles</v>
      </c>
      <c r="C4265" t="str">
        <f t="shared" si="399"/>
        <v xml:space="preserve">2728 </v>
      </c>
      <c r="D4265">
        <f t="shared" si="400"/>
        <v>5</v>
      </c>
      <c r="E4265" t="str">
        <f t="shared" si="396"/>
        <v xml:space="preserve"> ✨ E0.6 sparkles</v>
      </c>
      <c r="F4265" t="b">
        <f t="shared" si="401"/>
        <v>0</v>
      </c>
      <c r="G4265" t="str">
        <f t="shared" si="397"/>
        <v>2728</v>
      </c>
      <c r="I4265">
        <f>HEX2DEC(Table1[[#This Row],[utf8]])</f>
        <v>10024</v>
      </c>
      <c r="J4265" t="str">
        <f>_xlfn.UNICHAR(HEX2DEC(Table1[[#This Row],[utf8]]))</f>
        <v>✨</v>
      </c>
      <c r="K4265" s="3" t="str" cm="1">
        <f t="array" ref="K4265">"Case "&amp;wRandomLetter()&amp;wRandomLetter()&amp;I4265&amp;":    UniConst = ChrW(" &amp; I4265 &amp;")"</f>
        <v>Case vE10024:    UniConst = ChrW(10024)</v>
      </c>
    </row>
    <row r="4266" spans="1:11">
      <c r="A4266" t="s">
        <v>4311</v>
      </c>
      <c r="B4266" t="str">
        <f t="shared" si="398"/>
        <v>2733 ; unqualified # ✳ E0.6 eight-spoked asterisk</v>
      </c>
      <c r="C4266" t="str">
        <f t="shared" si="399"/>
        <v xml:space="preserve">2733 </v>
      </c>
      <c r="D4266">
        <f t="shared" si="400"/>
        <v>5</v>
      </c>
      <c r="E4266" t="str">
        <f t="shared" si="396"/>
        <v xml:space="preserve"> ✳ E0.6 eight-spoked asterisk</v>
      </c>
      <c r="F4266" t="b">
        <f t="shared" si="401"/>
        <v>0</v>
      </c>
      <c r="G4266" t="str">
        <f t="shared" si="397"/>
        <v>2733</v>
      </c>
      <c r="I4266">
        <f>HEX2DEC(Table1[[#This Row],[utf8]])</f>
        <v>10035</v>
      </c>
      <c r="J4266" t="str">
        <f>_xlfn.UNICHAR(HEX2DEC(Table1[[#This Row],[utf8]]))</f>
        <v>✳</v>
      </c>
      <c r="K4266" s="3" t="str" cm="1">
        <f t="array" ref="K4266">"Case "&amp;wRandomLetter()&amp;wRandomLetter()&amp;I4266&amp;":    UniConst = ChrW(" &amp; I4266 &amp;")"</f>
        <v>Case Sf10035:    UniConst = ChrW(10035)</v>
      </c>
    </row>
    <row r="4267" spans="1:11">
      <c r="A4267" t="s">
        <v>4310</v>
      </c>
      <c r="B4267" t="str">
        <f t="shared" si="398"/>
        <v>2733 FE0F ; fully-qualified # ✳️ E0.6 eight-spoked asterisk</v>
      </c>
      <c r="C4267" t="str">
        <f t="shared" si="399"/>
        <v xml:space="preserve">2733 FE0F </v>
      </c>
      <c r="D4267">
        <f t="shared" si="400"/>
        <v>10</v>
      </c>
      <c r="E4267" t="str">
        <f t="shared" si="396"/>
        <v xml:space="preserve"> ✳️ E0.6 eight-spoked asterisk</v>
      </c>
      <c r="F4267" t="b">
        <f t="shared" si="401"/>
        <v>0</v>
      </c>
      <c r="G4267" t="str">
        <f t="shared" si="397"/>
        <v>2733</v>
      </c>
      <c r="I4267">
        <f>HEX2DEC(Table1[[#This Row],[utf8]])</f>
        <v>10035</v>
      </c>
      <c r="J4267" t="str">
        <f>_xlfn.UNICHAR(HEX2DEC(Table1[[#This Row],[utf8]]))</f>
        <v>✳</v>
      </c>
      <c r="K4267" s="3" t="str" cm="1">
        <f t="array" ref="K4267">"Case "&amp;wRandomLetter()&amp;wRandomLetter()&amp;I4267&amp;":    UniConst = ChrW(" &amp; I4267 &amp;")"</f>
        <v>Case Nc10035:    UniConst = ChrW(10035)</v>
      </c>
    </row>
    <row r="4268" spans="1:11">
      <c r="A4268" t="s">
        <v>4313</v>
      </c>
      <c r="B4268" t="str">
        <f t="shared" si="398"/>
        <v>2734 ; unqualified # ✴ E0.6 eight-pointed star</v>
      </c>
      <c r="C4268" t="str">
        <f t="shared" si="399"/>
        <v xml:space="preserve">2734 </v>
      </c>
      <c r="D4268">
        <f t="shared" si="400"/>
        <v>5</v>
      </c>
      <c r="E4268" t="str">
        <f t="shared" si="396"/>
        <v xml:space="preserve"> ✴ E0.6 eight-pointed star</v>
      </c>
      <c r="F4268" t="b">
        <f t="shared" si="401"/>
        <v>0</v>
      </c>
      <c r="G4268" t="str">
        <f t="shared" si="397"/>
        <v>2734</v>
      </c>
      <c r="I4268">
        <f>HEX2DEC(Table1[[#This Row],[utf8]])</f>
        <v>10036</v>
      </c>
      <c r="J4268" t="str">
        <f>_xlfn.UNICHAR(HEX2DEC(Table1[[#This Row],[utf8]]))</f>
        <v>✴</v>
      </c>
      <c r="K4268" s="3" t="str" cm="1">
        <f t="array" ref="K4268">"Case "&amp;wRandomLetter()&amp;wRandomLetter()&amp;I4268&amp;":    UniConst = ChrW(" &amp; I4268 &amp;")"</f>
        <v>Case TS10036:    UniConst = ChrW(10036)</v>
      </c>
    </row>
    <row r="4269" spans="1:11">
      <c r="A4269" t="s">
        <v>4312</v>
      </c>
      <c r="B4269" t="str">
        <f t="shared" si="398"/>
        <v>2734 FE0F ; fully-qualified # ✴️ E0.6 eight-pointed star</v>
      </c>
      <c r="C4269" t="str">
        <f t="shared" si="399"/>
        <v xml:space="preserve">2734 FE0F </v>
      </c>
      <c r="D4269">
        <f t="shared" si="400"/>
        <v>10</v>
      </c>
      <c r="E4269" t="str">
        <f t="shared" si="396"/>
        <v xml:space="preserve"> ✴️ E0.6 eight-pointed star</v>
      </c>
      <c r="F4269" t="b">
        <f t="shared" si="401"/>
        <v>0</v>
      </c>
      <c r="G4269" t="str">
        <f t="shared" si="397"/>
        <v>2734</v>
      </c>
      <c r="I4269">
        <f>HEX2DEC(Table1[[#This Row],[utf8]])</f>
        <v>10036</v>
      </c>
      <c r="J4269" t="str">
        <f>_xlfn.UNICHAR(HEX2DEC(Table1[[#This Row],[utf8]]))</f>
        <v>✴</v>
      </c>
      <c r="K4269" s="3" t="str" cm="1">
        <f t="array" ref="K4269">"Case "&amp;wRandomLetter()&amp;wRandomLetter()&amp;I4269&amp;":    UniConst = ChrW(" &amp; I4269 &amp;")"</f>
        <v>Case YQ10036:    UniConst = ChrW(10036)</v>
      </c>
    </row>
    <row r="4270" spans="1:11">
      <c r="A4270" t="s">
        <v>3687</v>
      </c>
      <c r="B4270" t="str">
        <f t="shared" si="398"/>
        <v>2744 ; unqualified # ❄ E0.6 snowflake</v>
      </c>
      <c r="C4270" t="str">
        <f t="shared" si="399"/>
        <v xml:space="preserve">2744 </v>
      </c>
      <c r="D4270">
        <f t="shared" si="400"/>
        <v>5</v>
      </c>
      <c r="E4270" t="str">
        <f t="shared" si="396"/>
        <v xml:space="preserve"> ❄ E0.6 snowflake</v>
      </c>
      <c r="F4270" t="b">
        <f t="shared" si="401"/>
        <v>0</v>
      </c>
      <c r="G4270" t="str">
        <f t="shared" si="397"/>
        <v>2744</v>
      </c>
      <c r="I4270">
        <f>HEX2DEC(Table1[[#This Row],[utf8]])</f>
        <v>10052</v>
      </c>
      <c r="J4270" t="str">
        <f>_xlfn.UNICHAR(HEX2DEC(Table1[[#This Row],[utf8]]))</f>
        <v>❄</v>
      </c>
      <c r="K4270" s="3" t="str" cm="1">
        <f t="array" ref="K4270">"Case "&amp;wRandomLetter()&amp;wRandomLetter()&amp;I4270&amp;":    UniConst = ChrW(" &amp; I4270 &amp;")"</f>
        <v>Case GP10052:    UniConst = ChrW(10052)</v>
      </c>
    </row>
    <row r="4271" spans="1:11">
      <c r="A4271" t="s">
        <v>3686</v>
      </c>
      <c r="B4271" t="str">
        <f t="shared" si="398"/>
        <v>2744 FE0F ; fully-qualified # ❄️ E0.6 snowflake</v>
      </c>
      <c r="C4271" t="str">
        <f t="shared" si="399"/>
        <v xml:space="preserve">2744 FE0F </v>
      </c>
      <c r="D4271">
        <f t="shared" si="400"/>
        <v>10</v>
      </c>
      <c r="E4271" t="str">
        <f t="shared" si="396"/>
        <v xml:space="preserve"> ❄️ E0.6 snowflake</v>
      </c>
      <c r="F4271" t="b">
        <f t="shared" si="401"/>
        <v>0</v>
      </c>
      <c r="G4271" t="str">
        <f t="shared" si="397"/>
        <v>2744</v>
      </c>
      <c r="I4271">
        <f>HEX2DEC(Table1[[#This Row],[utf8]])</f>
        <v>10052</v>
      </c>
      <c r="J4271" t="str">
        <f>_xlfn.UNICHAR(HEX2DEC(Table1[[#This Row],[utf8]]))</f>
        <v>❄</v>
      </c>
      <c r="K4271" s="3" t="str" cm="1">
        <f t="array" ref="K4271">"Case "&amp;wRandomLetter()&amp;wRandomLetter()&amp;I4271&amp;":    UniConst = ChrW(" &amp; I4271 &amp;")"</f>
        <v>Case DG10052:    UniConst = ChrW(10052)</v>
      </c>
    </row>
    <row r="4272" spans="1:11">
      <c r="A4272" t="s">
        <v>4315</v>
      </c>
      <c r="B4272" t="str">
        <f t="shared" si="398"/>
        <v>2747 ; unqualified # ❇ E0.6 sparkle</v>
      </c>
      <c r="C4272" t="str">
        <f t="shared" si="399"/>
        <v xml:space="preserve">2747 </v>
      </c>
      <c r="D4272">
        <f t="shared" si="400"/>
        <v>5</v>
      </c>
      <c r="E4272" t="str">
        <f t="shared" si="396"/>
        <v xml:space="preserve"> ❇ E0.6 sparkle</v>
      </c>
      <c r="F4272" t="b">
        <f t="shared" si="401"/>
        <v>0</v>
      </c>
      <c r="G4272" t="str">
        <f t="shared" si="397"/>
        <v>2747</v>
      </c>
      <c r="I4272">
        <f>HEX2DEC(Table1[[#This Row],[utf8]])</f>
        <v>10055</v>
      </c>
      <c r="J4272" t="str">
        <f>_xlfn.UNICHAR(HEX2DEC(Table1[[#This Row],[utf8]]))</f>
        <v>❇</v>
      </c>
      <c r="K4272" s="3" t="str" cm="1">
        <f t="array" ref="K4272">"Case "&amp;wRandomLetter()&amp;wRandomLetter()&amp;I4272&amp;":    UniConst = ChrW(" &amp; I4272 &amp;")"</f>
        <v>Case ew10055:    UniConst = ChrW(10055)</v>
      </c>
    </row>
    <row r="4273" spans="1:11">
      <c r="A4273" t="s">
        <v>4314</v>
      </c>
      <c r="B4273" t="str">
        <f t="shared" si="398"/>
        <v>2747 FE0F ; fully-qualified # ❇️ E0.6 sparkle</v>
      </c>
      <c r="C4273" t="str">
        <f t="shared" si="399"/>
        <v xml:space="preserve">2747 FE0F </v>
      </c>
      <c r="D4273">
        <f t="shared" si="400"/>
        <v>10</v>
      </c>
      <c r="E4273" t="str">
        <f t="shared" si="396"/>
        <v xml:space="preserve"> ❇️ E0.6 sparkle</v>
      </c>
      <c r="F4273" t="b">
        <f t="shared" si="401"/>
        <v>0</v>
      </c>
      <c r="G4273" t="str">
        <f t="shared" si="397"/>
        <v>2747</v>
      </c>
      <c r="I4273">
        <f>HEX2DEC(Table1[[#This Row],[utf8]])</f>
        <v>10055</v>
      </c>
      <c r="J4273" t="str">
        <f>_xlfn.UNICHAR(HEX2DEC(Table1[[#This Row],[utf8]]))</f>
        <v>❇</v>
      </c>
      <c r="K4273" s="3" t="str" cm="1">
        <f t="array" ref="K4273">"Case "&amp;wRandomLetter()&amp;wRandomLetter()&amp;I4273&amp;":    UniConst = ChrW(" &amp; I4273 &amp;")"</f>
        <v>Case uH10055:    UniConst = ChrW(10055)</v>
      </c>
    </row>
    <row r="4274" spans="1:11">
      <c r="A4274" t="s">
        <v>4304</v>
      </c>
      <c r="B4274" t="str">
        <f t="shared" si="398"/>
        <v>274C ; fully-qualified # ❌ E0.6 cross mark</v>
      </c>
      <c r="C4274" t="str">
        <f t="shared" si="399"/>
        <v xml:space="preserve">274C </v>
      </c>
      <c r="D4274">
        <f t="shared" si="400"/>
        <v>5</v>
      </c>
      <c r="E4274" t="str">
        <f t="shared" si="396"/>
        <v xml:space="preserve"> ❌ E0.6 cross mark</v>
      </c>
      <c r="F4274" t="b">
        <f t="shared" si="401"/>
        <v>0</v>
      </c>
      <c r="G4274" t="str">
        <f t="shared" si="397"/>
        <v>274C</v>
      </c>
      <c r="I4274">
        <f>HEX2DEC(Table1[[#This Row],[utf8]])</f>
        <v>10060</v>
      </c>
      <c r="J4274" t="str">
        <f>_xlfn.UNICHAR(HEX2DEC(Table1[[#This Row],[utf8]]))</f>
        <v>❌</v>
      </c>
      <c r="K4274" s="3" t="str" cm="1">
        <f t="array" ref="K4274">"Case "&amp;wRandomLetter()&amp;wRandomLetter()&amp;I4274&amp;":    UniConst = ChrW(" &amp; I4274 &amp;")"</f>
        <v>Case Iv10060:    UniConst = ChrW(10060)</v>
      </c>
    </row>
    <row r="4275" spans="1:11">
      <c r="A4275" t="s">
        <v>4305</v>
      </c>
      <c r="B4275" t="str">
        <f t="shared" si="398"/>
        <v>274E ; fully-qualified # ❎ E0.6 cross mark button</v>
      </c>
      <c r="C4275" t="str">
        <f t="shared" si="399"/>
        <v xml:space="preserve">274E </v>
      </c>
      <c r="D4275">
        <f t="shared" si="400"/>
        <v>5</v>
      </c>
      <c r="E4275" t="str">
        <f t="shared" si="396"/>
        <v xml:space="preserve"> ❎ E0.6 cross mark button</v>
      </c>
      <c r="F4275" t="b">
        <f t="shared" si="401"/>
        <v>0</v>
      </c>
      <c r="G4275" t="str">
        <f t="shared" si="397"/>
        <v>274E</v>
      </c>
      <c r="I4275">
        <f>HEX2DEC(Table1[[#This Row],[utf8]])</f>
        <v>10062</v>
      </c>
      <c r="J4275" t="str">
        <f>_xlfn.UNICHAR(HEX2DEC(Table1[[#This Row],[utf8]]))</f>
        <v>❎</v>
      </c>
      <c r="K4275" s="3" t="str" cm="1">
        <f t="array" ref="K4275">"Case "&amp;wRandomLetter()&amp;wRandomLetter()&amp;I4275&amp;":    UniConst = ChrW(" &amp; I4275 &amp;")"</f>
        <v>Case Cp10062:    UniConst = ChrW(10062)</v>
      </c>
    </row>
    <row r="4276" spans="1:11">
      <c r="A4276" t="s">
        <v>4279</v>
      </c>
      <c r="B4276" t="str">
        <f t="shared" si="398"/>
        <v>2753 ; fully-qualified # ❓ E0.6 red question mark</v>
      </c>
      <c r="C4276" t="str">
        <f t="shared" si="399"/>
        <v xml:space="preserve">2753 </v>
      </c>
      <c r="D4276">
        <f t="shared" si="400"/>
        <v>5</v>
      </c>
      <c r="E4276" t="str">
        <f t="shared" si="396"/>
        <v xml:space="preserve"> ❓ E0.6 red question mark</v>
      </c>
      <c r="F4276" t="b">
        <f t="shared" si="401"/>
        <v>0</v>
      </c>
      <c r="G4276" t="str">
        <f t="shared" si="397"/>
        <v>2753</v>
      </c>
      <c r="I4276">
        <f>HEX2DEC(Table1[[#This Row],[utf8]])</f>
        <v>10067</v>
      </c>
      <c r="J4276" t="str">
        <f>_xlfn.UNICHAR(HEX2DEC(Table1[[#This Row],[utf8]]))</f>
        <v>❓</v>
      </c>
      <c r="K4276" s="3" t="str" cm="1">
        <f t="array" ref="K4276">"Case "&amp;wRandomLetter()&amp;wRandomLetter()&amp;I4276&amp;":    UniConst = ChrW(" &amp; I4276 &amp;")"</f>
        <v>Case lV10067:    UniConst = ChrW(10067)</v>
      </c>
    </row>
    <row r="4277" spans="1:11">
      <c r="A4277" t="s">
        <v>4280</v>
      </c>
      <c r="B4277" t="str">
        <f t="shared" si="398"/>
        <v>2754 ; fully-qualified # ❔ E0.6 white question mark</v>
      </c>
      <c r="C4277" t="str">
        <f t="shared" si="399"/>
        <v xml:space="preserve">2754 </v>
      </c>
      <c r="D4277">
        <f t="shared" si="400"/>
        <v>5</v>
      </c>
      <c r="E4277" t="str">
        <f t="shared" si="396"/>
        <v xml:space="preserve"> ❔ E0.6 white question mark</v>
      </c>
      <c r="F4277" t="b">
        <f t="shared" si="401"/>
        <v>0</v>
      </c>
      <c r="G4277" t="str">
        <f t="shared" si="397"/>
        <v>2754</v>
      </c>
      <c r="I4277">
        <f>HEX2DEC(Table1[[#This Row],[utf8]])</f>
        <v>10068</v>
      </c>
      <c r="J4277" t="str">
        <f>_xlfn.UNICHAR(HEX2DEC(Table1[[#This Row],[utf8]]))</f>
        <v>❔</v>
      </c>
      <c r="K4277" s="3" t="str" cm="1">
        <f t="array" ref="K4277">"Case "&amp;wRandomLetter()&amp;wRandomLetter()&amp;I4277&amp;":    UniConst = ChrW(" &amp; I4277 &amp;")"</f>
        <v>Case yV10068:    UniConst = ChrW(10068)</v>
      </c>
    </row>
    <row r="4278" spans="1:11">
      <c r="A4278" t="s">
        <v>4281</v>
      </c>
      <c r="B4278" t="str">
        <f t="shared" si="398"/>
        <v>2755 ; fully-qualified # ❕ E0.6 white exclamation mark</v>
      </c>
      <c r="C4278" t="str">
        <f t="shared" si="399"/>
        <v xml:space="preserve">2755 </v>
      </c>
      <c r="D4278">
        <f t="shared" si="400"/>
        <v>5</v>
      </c>
      <c r="E4278" t="str">
        <f t="shared" si="396"/>
        <v xml:space="preserve"> ❕ E0.6 white exclamation mark</v>
      </c>
      <c r="F4278" t="b">
        <f t="shared" si="401"/>
        <v>0</v>
      </c>
      <c r="G4278" t="str">
        <f t="shared" si="397"/>
        <v>2755</v>
      </c>
      <c r="I4278">
        <f>HEX2DEC(Table1[[#This Row],[utf8]])</f>
        <v>10069</v>
      </c>
      <c r="J4278" t="str">
        <f>_xlfn.UNICHAR(HEX2DEC(Table1[[#This Row],[utf8]]))</f>
        <v>❕</v>
      </c>
      <c r="K4278" s="3" t="str" cm="1">
        <f t="array" ref="K4278">"Case "&amp;wRandomLetter()&amp;wRandomLetter()&amp;I4278&amp;":    UniConst = ChrW(" &amp; I4278 &amp;")"</f>
        <v>Case pR10069:    UniConst = ChrW(10069)</v>
      </c>
    </row>
    <row r="4279" spans="1:11">
      <c r="A4279" t="s">
        <v>4282</v>
      </c>
      <c r="B4279" t="str">
        <f t="shared" si="398"/>
        <v>2757 ; fully-qualified # ❗ E0.6 red exclamation mark</v>
      </c>
      <c r="C4279" t="str">
        <f t="shared" si="399"/>
        <v xml:space="preserve">2757 </v>
      </c>
      <c r="D4279">
        <f t="shared" si="400"/>
        <v>5</v>
      </c>
      <c r="E4279" t="str">
        <f t="shared" si="396"/>
        <v xml:space="preserve"> ❗ E0.6 red exclamation mark</v>
      </c>
      <c r="F4279" t="b">
        <f t="shared" si="401"/>
        <v>0</v>
      </c>
      <c r="G4279" t="str">
        <f t="shared" si="397"/>
        <v>2757</v>
      </c>
      <c r="I4279">
        <f>HEX2DEC(Table1[[#This Row],[utf8]])</f>
        <v>10071</v>
      </c>
      <c r="J4279" t="str">
        <f>_xlfn.UNICHAR(HEX2DEC(Table1[[#This Row],[utf8]]))</f>
        <v>❗</v>
      </c>
      <c r="K4279" s="3" t="str" cm="1">
        <f t="array" ref="K4279">"Case "&amp;wRandomLetter()&amp;wRandomLetter()&amp;I4279&amp;":    UniConst = ChrW(" &amp; I4279 &amp;")"</f>
        <v>Case vD10071:    UniConst = ChrW(10071)</v>
      </c>
    </row>
    <row r="4280" spans="1:11">
      <c r="A4280" t="s">
        <v>150</v>
      </c>
      <c r="B4280" t="str">
        <f t="shared" si="398"/>
        <v>2763 ; unqualified # ❣ E1.0 heart exclamation</v>
      </c>
      <c r="C4280" t="str">
        <f t="shared" si="399"/>
        <v xml:space="preserve">2763 </v>
      </c>
      <c r="D4280">
        <f t="shared" si="400"/>
        <v>5</v>
      </c>
      <c r="E4280" t="str">
        <f t="shared" si="396"/>
        <v xml:space="preserve"> ❣ E1.0 heart exclamation</v>
      </c>
      <c r="F4280" t="b">
        <f t="shared" si="401"/>
        <v>0</v>
      </c>
      <c r="G4280" t="str">
        <f t="shared" si="397"/>
        <v>2763</v>
      </c>
      <c r="I4280">
        <f>HEX2DEC(Table1[[#This Row],[utf8]])</f>
        <v>10083</v>
      </c>
      <c r="J4280" t="str">
        <f>_xlfn.UNICHAR(HEX2DEC(Table1[[#This Row],[utf8]]))</f>
        <v>❣</v>
      </c>
      <c r="K4280" s="3" t="str" cm="1">
        <f t="array" ref="K4280">"Case "&amp;wRandomLetter()&amp;wRandomLetter()&amp;I4280&amp;":    UniConst = ChrW(" &amp; I4280 &amp;")"</f>
        <v>Case ag10083:    UniConst = ChrW(10083)</v>
      </c>
    </row>
    <row r="4281" spans="1:11">
      <c r="A4281" t="s">
        <v>149</v>
      </c>
      <c r="B4281" t="str">
        <f t="shared" si="398"/>
        <v>2763 FE0F ; fully-qualified # ❣️ E1.0 heart exclamation</v>
      </c>
      <c r="C4281" t="str">
        <f t="shared" si="399"/>
        <v xml:space="preserve">2763 FE0F </v>
      </c>
      <c r="D4281">
        <f t="shared" si="400"/>
        <v>10</v>
      </c>
      <c r="E4281" t="str">
        <f t="shared" si="396"/>
        <v xml:space="preserve"> ❣️ E1.0 heart exclamation</v>
      </c>
      <c r="F4281" t="b">
        <f t="shared" si="401"/>
        <v>0</v>
      </c>
      <c r="G4281" t="str">
        <f t="shared" si="397"/>
        <v>2763</v>
      </c>
      <c r="I4281">
        <f>HEX2DEC(Table1[[#This Row],[utf8]])</f>
        <v>10083</v>
      </c>
      <c r="J4281" t="str">
        <f>_xlfn.UNICHAR(HEX2DEC(Table1[[#This Row],[utf8]]))</f>
        <v>❣</v>
      </c>
      <c r="K4281" s="3" t="str" cm="1">
        <f t="array" ref="K4281">"Case "&amp;wRandomLetter()&amp;wRandomLetter()&amp;I4281&amp;":    UniConst = ChrW(" &amp; I4281 &amp;")"</f>
        <v>Case eN10083:    UniConst = ChrW(10083)</v>
      </c>
    </row>
    <row r="4282" spans="1:11">
      <c r="A4282" t="s">
        <v>157</v>
      </c>
      <c r="B4282" t="str">
        <f t="shared" si="398"/>
        <v>2764 ; unqualified # ❤ E0.6 red heart</v>
      </c>
      <c r="C4282" t="str">
        <f t="shared" si="399"/>
        <v xml:space="preserve">2764 </v>
      </c>
      <c r="D4282">
        <f t="shared" si="400"/>
        <v>5</v>
      </c>
      <c r="E4282" t="str">
        <f t="shared" si="396"/>
        <v xml:space="preserve"> ❤ E0.6 red heart</v>
      </c>
      <c r="F4282" t="b">
        <f t="shared" si="401"/>
        <v>0</v>
      </c>
      <c r="G4282" t="str">
        <f t="shared" si="397"/>
        <v>2764</v>
      </c>
      <c r="I4282">
        <f>HEX2DEC(Table1[[#This Row],[utf8]])</f>
        <v>10084</v>
      </c>
      <c r="J4282" t="str">
        <f>_xlfn.UNICHAR(HEX2DEC(Table1[[#This Row],[utf8]]))</f>
        <v>❤</v>
      </c>
      <c r="K4282" s="3" t="str" cm="1">
        <f t="array" ref="K4282">"Case "&amp;wRandomLetter()&amp;wRandomLetter()&amp;I4282&amp;":    UniConst = ChrW(" &amp; I4282 &amp;")"</f>
        <v>Case wB10084:    UniConst = ChrW(10084)</v>
      </c>
    </row>
    <row r="4283" spans="1:11">
      <c r="A4283" t="s">
        <v>153</v>
      </c>
      <c r="B4283" t="str">
        <f t="shared" si="398"/>
        <v>2764 200D 1F525 ; unqualified # ❤‍🔥 E13.1 heart on fire</v>
      </c>
      <c r="C4283" t="str">
        <f t="shared" si="399"/>
        <v xml:space="preserve">2764 200D 1F525 </v>
      </c>
      <c r="D4283">
        <f t="shared" si="400"/>
        <v>16</v>
      </c>
      <c r="E4283" t="str">
        <f t="shared" si="396"/>
        <v xml:space="preserve"> ❤‍🔥 E13.1 heart on fire</v>
      </c>
      <c r="F4283" t="b">
        <f t="shared" si="401"/>
        <v>0</v>
      </c>
      <c r="G4283" t="str">
        <f t="shared" si="397"/>
        <v>2764</v>
      </c>
      <c r="I4283">
        <f>HEX2DEC(Table1[[#This Row],[utf8]])</f>
        <v>10084</v>
      </c>
      <c r="J4283" t="str">
        <f>_xlfn.UNICHAR(HEX2DEC(Table1[[#This Row],[utf8]]))</f>
        <v>❤</v>
      </c>
      <c r="K4283" s="3" t="str" cm="1">
        <f t="array" ref="K4283">"Case "&amp;wRandomLetter()&amp;wRandomLetter()&amp;I4283&amp;":    UniConst = ChrW(" &amp; I4283 &amp;")"</f>
        <v>Case Wu10084:    UniConst = ChrW(10084)</v>
      </c>
    </row>
    <row r="4284" spans="1:11">
      <c r="A4284" t="s">
        <v>155</v>
      </c>
      <c r="B4284" t="str">
        <f t="shared" si="398"/>
        <v>2764 200D 1FA79 ; unqualified # ❤‍🩹 E13.1 mending heart</v>
      </c>
      <c r="C4284" t="str">
        <f t="shared" si="399"/>
        <v xml:space="preserve">2764 200D 1FA79 </v>
      </c>
      <c r="D4284">
        <f t="shared" si="400"/>
        <v>16</v>
      </c>
      <c r="E4284" t="str">
        <f t="shared" si="396"/>
        <v xml:space="preserve"> ❤‍🩹 E13.1 mending heart</v>
      </c>
      <c r="F4284" t="b">
        <f t="shared" si="401"/>
        <v>0</v>
      </c>
      <c r="G4284" t="str">
        <f t="shared" si="397"/>
        <v>2764</v>
      </c>
      <c r="I4284">
        <f>HEX2DEC(Table1[[#This Row],[utf8]])</f>
        <v>10084</v>
      </c>
      <c r="J4284" t="str">
        <f>_xlfn.UNICHAR(HEX2DEC(Table1[[#This Row],[utf8]]))</f>
        <v>❤</v>
      </c>
      <c r="K4284" s="3" t="str" cm="1">
        <f t="array" ref="K4284">"Case "&amp;wRandomLetter()&amp;wRandomLetter()&amp;I4284&amp;":    UniConst = ChrW(" &amp; I4284 &amp;")"</f>
        <v>Case dE10084:    UniConst = ChrW(10084)</v>
      </c>
    </row>
    <row r="4285" spans="1:11">
      <c r="A4285" t="s">
        <v>156</v>
      </c>
      <c r="B4285" t="str">
        <f t="shared" si="398"/>
        <v>2764 FE0F ; fully-qualified # ❤️ E0.6 red heart</v>
      </c>
      <c r="C4285" t="str">
        <f t="shared" si="399"/>
        <v xml:space="preserve">2764 FE0F </v>
      </c>
      <c r="D4285">
        <f t="shared" si="400"/>
        <v>10</v>
      </c>
      <c r="E4285" t="str">
        <f t="shared" si="396"/>
        <v xml:space="preserve"> ❤️ E0.6 red heart</v>
      </c>
      <c r="F4285" t="b">
        <f t="shared" si="401"/>
        <v>0</v>
      </c>
      <c r="G4285" t="str">
        <f t="shared" si="397"/>
        <v>2764</v>
      </c>
      <c r="I4285">
        <f>HEX2DEC(Table1[[#This Row],[utf8]])</f>
        <v>10084</v>
      </c>
      <c r="J4285" t="str">
        <f>_xlfn.UNICHAR(HEX2DEC(Table1[[#This Row],[utf8]]))</f>
        <v>❤</v>
      </c>
      <c r="K4285" s="3" t="str" cm="1">
        <f t="array" ref="K4285">"Case "&amp;wRandomLetter()&amp;wRandomLetter()&amp;I4285&amp;":    UniConst = ChrW(" &amp; I4285 &amp;")"</f>
        <v>Case vJ10084:    UniConst = ChrW(10084)</v>
      </c>
    </row>
    <row r="4286" spans="1:11">
      <c r="A4286" t="s">
        <v>152</v>
      </c>
      <c r="B4286" t="str">
        <f t="shared" si="398"/>
        <v>2764 FE0F 200D 1F525 ; fully-qualified # ❤️‍🔥 E13.1 heart on fire</v>
      </c>
      <c r="C4286" t="str">
        <f t="shared" si="399"/>
        <v xml:space="preserve">2764 FE0F 200D 1F525 </v>
      </c>
      <c r="D4286">
        <f t="shared" si="400"/>
        <v>21</v>
      </c>
      <c r="E4286" t="str">
        <f t="shared" si="396"/>
        <v xml:space="preserve"> ❤️‍🔥 E13.1 heart on fire</v>
      </c>
      <c r="F4286" t="b">
        <f t="shared" si="401"/>
        <v>0</v>
      </c>
      <c r="G4286" t="str">
        <f t="shared" si="397"/>
        <v>2764</v>
      </c>
      <c r="I4286">
        <f>HEX2DEC(Table1[[#This Row],[utf8]])</f>
        <v>10084</v>
      </c>
      <c r="J4286" t="str">
        <f>_xlfn.UNICHAR(HEX2DEC(Table1[[#This Row],[utf8]]))</f>
        <v>❤</v>
      </c>
      <c r="K4286" s="3" t="str" cm="1">
        <f t="array" ref="K4286">"Case "&amp;wRandomLetter()&amp;wRandomLetter()&amp;I4286&amp;":    UniConst = ChrW(" &amp; I4286 &amp;")"</f>
        <v>Case rJ10084:    UniConst = ChrW(10084)</v>
      </c>
    </row>
    <row r="4287" spans="1:11">
      <c r="A4287" t="s">
        <v>154</v>
      </c>
      <c r="B4287" t="str">
        <f t="shared" si="398"/>
        <v>2764 FE0F 200D 1FA79 ; fully-qualified # ❤️‍🩹 E13.1 mending heart</v>
      </c>
      <c r="C4287" t="str">
        <f t="shared" si="399"/>
        <v xml:space="preserve">2764 FE0F 200D 1FA79 </v>
      </c>
      <c r="D4287">
        <f t="shared" si="400"/>
        <v>21</v>
      </c>
      <c r="E4287" t="str">
        <f t="shared" si="396"/>
        <v xml:space="preserve"> ❤️‍🩹 E13.1 mending heart</v>
      </c>
      <c r="F4287" t="b">
        <f t="shared" si="401"/>
        <v>0</v>
      </c>
      <c r="G4287" t="str">
        <f t="shared" si="397"/>
        <v>2764</v>
      </c>
      <c r="I4287">
        <f>HEX2DEC(Table1[[#This Row],[utf8]])</f>
        <v>10084</v>
      </c>
      <c r="J4287" t="str">
        <f>_xlfn.UNICHAR(HEX2DEC(Table1[[#This Row],[utf8]]))</f>
        <v>❤</v>
      </c>
      <c r="K4287" s="3" t="str" cm="1">
        <f t="array" ref="K4287">"Case "&amp;wRandomLetter()&amp;wRandomLetter()&amp;I4287&amp;":    UniConst = ChrW(" &amp; I4287 &amp;")"</f>
        <v>Case KS10084:    UniConst = ChrW(10084)</v>
      </c>
    </row>
    <row r="4288" spans="1:11">
      <c r="A4288" t="s">
        <v>4269</v>
      </c>
      <c r="B4288" t="str">
        <f t="shared" si="398"/>
        <v>2795 ; fully-qualified # ➕ E0.6 plus</v>
      </c>
      <c r="C4288" t="str">
        <f t="shared" si="399"/>
        <v xml:space="preserve">2795 </v>
      </c>
      <c r="D4288">
        <f t="shared" si="400"/>
        <v>5</v>
      </c>
      <c r="E4288" t="str">
        <f t="shared" si="396"/>
        <v xml:space="preserve"> ➕ E0.6 plus</v>
      </c>
      <c r="F4288" t="b">
        <f t="shared" si="401"/>
        <v>0</v>
      </c>
      <c r="G4288" t="str">
        <f t="shared" si="397"/>
        <v>2795</v>
      </c>
      <c r="I4288">
        <f>HEX2DEC(Table1[[#This Row],[utf8]])</f>
        <v>10133</v>
      </c>
      <c r="J4288" t="str">
        <f>_xlfn.UNICHAR(HEX2DEC(Table1[[#This Row],[utf8]]))</f>
        <v>➕</v>
      </c>
      <c r="K4288" s="3" t="str" cm="1">
        <f t="array" ref="K4288">"Case "&amp;wRandomLetter()&amp;wRandomLetter()&amp;I4288&amp;":    UniConst = ChrW(" &amp; I4288 &amp;")"</f>
        <v>Case ma10133:    UniConst = ChrW(10133)</v>
      </c>
    </row>
    <row r="4289" spans="1:11">
      <c r="A4289" t="s">
        <v>4270</v>
      </c>
      <c r="B4289" t="str">
        <f t="shared" si="398"/>
        <v>2796 ; fully-qualified # ➖ E0.6 minus</v>
      </c>
      <c r="C4289" t="str">
        <f t="shared" si="399"/>
        <v xml:space="preserve">2796 </v>
      </c>
      <c r="D4289">
        <f t="shared" si="400"/>
        <v>5</v>
      </c>
      <c r="E4289" t="str">
        <f t="shared" si="396"/>
        <v xml:space="preserve"> ➖ E0.6 minus</v>
      </c>
      <c r="F4289" t="b">
        <f t="shared" si="401"/>
        <v>0</v>
      </c>
      <c r="G4289" t="str">
        <f t="shared" si="397"/>
        <v>2796</v>
      </c>
      <c r="I4289">
        <f>HEX2DEC(Table1[[#This Row],[utf8]])</f>
        <v>10134</v>
      </c>
      <c r="J4289" t="str">
        <f>_xlfn.UNICHAR(HEX2DEC(Table1[[#This Row],[utf8]]))</f>
        <v>➖</v>
      </c>
      <c r="K4289" s="3" t="str" cm="1">
        <f t="array" ref="K4289">"Case "&amp;wRandomLetter()&amp;wRandomLetter()&amp;I4289&amp;":    UniConst = ChrW(" &amp; I4289 &amp;")"</f>
        <v>Case BC10134:    UniConst = ChrW(10134)</v>
      </c>
    </row>
    <row r="4290" spans="1:11">
      <c r="A4290" t="s">
        <v>4271</v>
      </c>
      <c r="B4290" t="str">
        <f t="shared" si="398"/>
        <v>2797 ; fully-qualified # ➗ E0.6 divide</v>
      </c>
      <c r="C4290" t="str">
        <f t="shared" si="399"/>
        <v xml:space="preserve">2797 </v>
      </c>
      <c r="D4290">
        <f t="shared" si="400"/>
        <v>5</v>
      </c>
      <c r="E4290" t="str">
        <f t="shared" ref="E4290:E4316" si="402">MID(A4290,FIND("#",A4290)+1,256)</f>
        <v xml:space="preserve"> ➗ E0.6 divide</v>
      </c>
      <c r="F4290" t="b">
        <f t="shared" si="401"/>
        <v>0</v>
      </c>
      <c r="G4290" t="str">
        <f t="shared" ref="G4290:G4316" si="403">LEFT(C4290,(FIND(" ",C4290,1)-1))</f>
        <v>2797</v>
      </c>
      <c r="I4290">
        <f>HEX2DEC(Table1[[#This Row],[utf8]])</f>
        <v>10135</v>
      </c>
      <c r="J4290" t="str">
        <f>_xlfn.UNICHAR(HEX2DEC(Table1[[#This Row],[utf8]]))</f>
        <v>➗</v>
      </c>
      <c r="K4290" s="3" t="str" cm="1">
        <f t="array" ref="K4290">"Case "&amp;wRandomLetter()&amp;wRandomLetter()&amp;I4290&amp;":    UniConst = ChrW(" &amp; I4290 &amp;")"</f>
        <v>Case yI10135:    UniConst = ChrW(10135)</v>
      </c>
    </row>
    <row r="4291" spans="1:11">
      <c r="A4291" t="s">
        <v>4159</v>
      </c>
      <c r="B4291" t="str">
        <f t="shared" ref="B4291:B4316" si="404">TRIM(A4291)</f>
        <v>27A1 ; unqualified # ➡ E0.6 right arrow</v>
      </c>
      <c r="C4291" t="str">
        <f t="shared" ref="C4291:C4316" si="405">LEFT(B4291,(FIND(";",B4291,1)-1))</f>
        <v xml:space="preserve">27A1 </v>
      </c>
      <c r="D4291">
        <f t="shared" ref="D4291:D4316" si="406">LEN(C4291)</f>
        <v>5</v>
      </c>
      <c r="E4291" t="str">
        <f t="shared" si="402"/>
        <v xml:space="preserve"> ➡ E0.6 right arrow</v>
      </c>
      <c r="F4291" t="b">
        <f t="shared" ref="F4291:F4316" si="407">IF(LEFT(C4291,2)="1F",TRUE,FALSE)</f>
        <v>0</v>
      </c>
      <c r="G4291" t="str">
        <f t="shared" si="403"/>
        <v>27A1</v>
      </c>
      <c r="I4291">
        <f>HEX2DEC(Table1[[#This Row],[utf8]])</f>
        <v>10145</v>
      </c>
      <c r="J4291" t="str">
        <f>_xlfn.UNICHAR(HEX2DEC(Table1[[#This Row],[utf8]]))</f>
        <v>➡</v>
      </c>
      <c r="K4291" s="3" t="str" cm="1">
        <f t="array" ref="K4291">"Case "&amp;wRandomLetter()&amp;wRandomLetter()&amp;I4291&amp;":    UniConst = ChrW(" &amp; I4291 &amp;")"</f>
        <v>Case XU10145:    UniConst = ChrW(10145)</v>
      </c>
    </row>
    <row r="4292" spans="1:11">
      <c r="A4292" t="s">
        <v>4158</v>
      </c>
      <c r="B4292" t="str">
        <f t="shared" si="404"/>
        <v>27A1 FE0F ; fully-qualified # ➡️ E0.6 right arrow</v>
      </c>
      <c r="C4292" t="str">
        <f t="shared" si="405"/>
        <v xml:space="preserve">27A1 FE0F </v>
      </c>
      <c r="D4292">
        <f t="shared" si="406"/>
        <v>10</v>
      </c>
      <c r="E4292" t="str">
        <f t="shared" si="402"/>
        <v xml:space="preserve"> ➡️ E0.6 right arrow</v>
      </c>
      <c r="F4292" t="b">
        <f t="shared" si="407"/>
        <v>0</v>
      </c>
      <c r="G4292" t="str">
        <f t="shared" si="403"/>
        <v>27A1</v>
      </c>
      <c r="I4292">
        <f>HEX2DEC(Table1[[#This Row],[utf8]])</f>
        <v>10145</v>
      </c>
      <c r="J4292" t="str">
        <f>_xlfn.UNICHAR(HEX2DEC(Table1[[#This Row],[utf8]]))</f>
        <v>➡</v>
      </c>
      <c r="K4292" s="3" t="str" cm="1">
        <f t="array" ref="K4292">"Case "&amp;wRandomLetter()&amp;wRandomLetter()&amp;I4292&amp;":    UniConst = ChrW(" &amp; I4292 &amp;")"</f>
        <v>Case KQ10145:    UniConst = ChrW(10145)</v>
      </c>
    </row>
    <row r="4293" spans="1:11">
      <c r="A4293" t="s">
        <v>4306</v>
      </c>
      <c r="B4293" t="str">
        <f t="shared" si="404"/>
        <v>27B0 ; fully-qualified # ➰ E0.6 curly loop</v>
      </c>
      <c r="C4293" t="str">
        <f t="shared" si="405"/>
        <v xml:space="preserve">27B0 </v>
      </c>
      <c r="D4293">
        <f t="shared" si="406"/>
        <v>5</v>
      </c>
      <c r="E4293" t="str">
        <f t="shared" si="402"/>
        <v xml:space="preserve"> ➰ E0.6 curly loop</v>
      </c>
      <c r="F4293" t="b">
        <f t="shared" si="407"/>
        <v>0</v>
      </c>
      <c r="G4293" t="str">
        <f t="shared" si="403"/>
        <v>27B0</v>
      </c>
      <c r="I4293">
        <f>HEX2DEC(Table1[[#This Row],[utf8]])</f>
        <v>10160</v>
      </c>
      <c r="J4293" t="str">
        <f>_xlfn.UNICHAR(HEX2DEC(Table1[[#This Row],[utf8]]))</f>
        <v>➰</v>
      </c>
      <c r="K4293" s="3" t="str" cm="1">
        <f t="array" ref="K4293">"Case "&amp;wRandomLetter()&amp;wRandomLetter()&amp;I4293&amp;":    UniConst = ChrW(" &amp; I4293 &amp;")"</f>
        <v>Case QN10160:    UniConst = ChrW(10160)</v>
      </c>
    </row>
    <row r="4294" spans="1:11">
      <c r="A4294" t="s">
        <v>4307</v>
      </c>
      <c r="B4294" t="str">
        <f t="shared" si="404"/>
        <v>27BF ; fully-qualified # ➿ E1.0 double curly loop</v>
      </c>
      <c r="C4294" t="str">
        <f t="shared" si="405"/>
        <v xml:space="preserve">27BF </v>
      </c>
      <c r="D4294">
        <f t="shared" si="406"/>
        <v>5</v>
      </c>
      <c r="E4294" t="str">
        <f t="shared" si="402"/>
        <v xml:space="preserve"> ➿ E1.0 double curly loop</v>
      </c>
      <c r="F4294" t="b">
        <f t="shared" si="407"/>
        <v>0</v>
      </c>
      <c r="G4294" t="str">
        <f t="shared" si="403"/>
        <v>27BF</v>
      </c>
      <c r="I4294">
        <f>HEX2DEC(Table1[[#This Row],[utf8]])</f>
        <v>10175</v>
      </c>
      <c r="J4294" t="str">
        <f>_xlfn.UNICHAR(HEX2DEC(Table1[[#This Row],[utf8]]))</f>
        <v>➿</v>
      </c>
      <c r="K4294" s="3" t="str" cm="1">
        <f t="array" ref="K4294">"Case "&amp;wRandomLetter()&amp;wRandomLetter()&amp;I4294&amp;":    UniConst = ChrW(" &amp; I4294 &amp;")"</f>
        <v>Case Vp10175:    UniConst = ChrW(10175)</v>
      </c>
    </row>
    <row r="4295" spans="1:11">
      <c r="A4295" t="s">
        <v>4179</v>
      </c>
      <c r="B4295" t="str">
        <f t="shared" si="404"/>
        <v>2934 ; unqualified # ⤴ E0.6 right arrow curving up</v>
      </c>
      <c r="C4295" t="str">
        <f t="shared" si="405"/>
        <v xml:space="preserve">2934 </v>
      </c>
      <c r="D4295">
        <f t="shared" si="406"/>
        <v>5</v>
      </c>
      <c r="E4295" t="str">
        <f t="shared" si="402"/>
        <v xml:space="preserve"> ⤴ E0.6 right arrow curving up</v>
      </c>
      <c r="F4295" t="b">
        <f t="shared" si="407"/>
        <v>0</v>
      </c>
      <c r="G4295" t="str">
        <f t="shared" si="403"/>
        <v>2934</v>
      </c>
      <c r="I4295">
        <f>HEX2DEC(Table1[[#This Row],[utf8]])</f>
        <v>10548</v>
      </c>
      <c r="J4295" t="str">
        <f>_xlfn.UNICHAR(HEX2DEC(Table1[[#This Row],[utf8]]))</f>
        <v>⤴</v>
      </c>
      <c r="K4295" s="3" t="str" cm="1">
        <f t="array" ref="K4295">"Case "&amp;wRandomLetter()&amp;wRandomLetter()&amp;I4295&amp;":    UniConst = ChrW(" &amp; I4295 &amp;")"</f>
        <v>Case ei10548:    UniConst = ChrW(10548)</v>
      </c>
    </row>
    <row r="4296" spans="1:11">
      <c r="A4296" t="s">
        <v>4178</v>
      </c>
      <c r="B4296" t="str">
        <f t="shared" si="404"/>
        <v>2934 FE0F ; fully-qualified # ⤴️ E0.6 right arrow curving up</v>
      </c>
      <c r="C4296" t="str">
        <f t="shared" si="405"/>
        <v xml:space="preserve">2934 FE0F </v>
      </c>
      <c r="D4296">
        <f t="shared" si="406"/>
        <v>10</v>
      </c>
      <c r="E4296" t="str">
        <f t="shared" si="402"/>
        <v xml:space="preserve"> ⤴️ E0.6 right arrow curving up</v>
      </c>
      <c r="F4296" t="b">
        <f t="shared" si="407"/>
        <v>0</v>
      </c>
      <c r="G4296" t="str">
        <f t="shared" si="403"/>
        <v>2934</v>
      </c>
      <c r="I4296">
        <f>HEX2DEC(Table1[[#This Row],[utf8]])</f>
        <v>10548</v>
      </c>
      <c r="J4296" t="str">
        <f>_xlfn.UNICHAR(HEX2DEC(Table1[[#This Row],[utf8]]))</f>
        <v>⤴</v>
      </c>
      <c r="K4296" s="3" t="str" cm="1">
        <f t="array" ref="K4296">"Case "&amp;wRandomLetter()&amp;wRandomLetter()&amp;I4296&amp;":    UniConst = ChrW(" &amp; I4296 &amp;")"</f>
        <v>Case AQ10548:    UniConst = ChrW(10548)</v>
      </c>
    </row>
    <row r="4297" spans="1:11">
      <c r="A4297" t="s">
        <v>4181</v>
      </c>
      <c r="B4297" t="str">
        <f t="shared" si="404"/>
        <v>2935 ; unqualified # ⤵ E0.6 right arrow curving down</v>
      </c>
      <c r="C4297" t="str">
        <f t="shared" si="405"/>
        <v xml:space="preserve">2935 </v>
      </c>
      <c r="D4297">
        <f t="shared" si="406"/>
        <v>5</v>
      </c>
      <c r="E4297" t="str">
        <f t="shared" si="402"/>
        <v xml:space="preserve"> ⤵ E0.6 right arrow curving down</v>
      </c>
      <c r="F4297" t="b">
        <f t="shared" si="407"/>
        <v>0</v>
      </c>
      <c r="G4297" t="str">
        <f t="shared" si="403"/>
        <v>2935</v>
      </c>
      <c r="I4297">
        <f>HEX2DEC(Table1[[#This Row],[utf8]])</f>
        <v>10549</v>
      </c>
      <c r="J4297" t="str">
        <f>_xlfn.UNICHAR(HEX2DEC(Table1[[#This Row],[utf8]]))</f>
        <v>⤵</v>
      </c>
      <c r="K4297" s="3" t="str" cm="1">
        <f t="array" ref="K4297">"Case "&amp;wRandomLetter()&amp;wRandomLetter()&amp;I4297&amp;":    UniConst = ChrW(" &amp; I4297 &amp;")"</f>
        <v>Case ut10549:    UniConst = ChrW(10549)</v>
      </c>
    </row>
    <row r="4298" spans="1:11">
      <c r="A4298" t="s">
        <v>4180</v>
      </c>
      <c r="B4298" t="str">
        <f t="shared" si="404"/>
        <v>2935 FE0F ; fully-qualified # ⤵️ E0.6 right arrow curving down</v>
      </c>
      <c r="C4298" t="str">
        <f t="shared" si="405"/>
        <v xml:space="preserve">2935 FE0F </v>
      </c>
      <c r="D4298">
        <f t="shared" si="406"/>
        <v>10</v>
      </c>
      <c r="E4298" t="str">
        <f t="shared" si="402"/>
        <v xml:space="preserve"> ⤵️ E0.6 right arrow curving down</v>
      </c>
      <c r="F4298" t="b">
        <f t="shared" si="407"/>
        <v>0</v>
      </c>
      <c r="G4298" t="str">
        <f t="shared" si="403"/>
        <v>2935</v>
      </c>
      <c r="I4298">
        <f>HEX2DEC(Table1[[#This Row],[utf8]])</f>
        <v>10549</v>
      </c>
      <c r="J4298" t="str">
        <f>_xlfn.UNICHAR(HEX2DEC(Table1[[#This Row],[utf8]]))</f>
        <v>⤵</v>
      </c>
      <c r="K4298" s="3" t="str" cm="1">
        <f t="array" ref="K4298">"Case "&amp;wRandomLetter()&amp;wRandomLetter()&amp;I4298&amp;":    UniConst = ChrW(" &amp; I4298 &amp;")"</f>
        <v>Case qt10549:    UniConst = ChrW(10549)</v>
      </c>
    </row>
    <row r="4299" spans="1:11">
      <c r="A4299" t="s">
        <v>4167</v>
      </c>
      <c r="B4299" t="str">
        <f t="shared" si="404"/>
        <v>2B05 ; unqualified # ⬅ E0.6 left arrow</v>
      </c>
      <c r="C4299" t="str">
        <f t="shared" si="405"/>
        <v xml:space="preserve">2B05 </v>
      </c>
      <c r="D4299">
        <f t="shared" si="406"/>
        <v>5</v>
      </c>
      <c r="E4299" t="str">
        <f t="shared" si="402"/>
        <v xml:space="preserve"> ⬅ E0.6 left arrow</v>
      </c>
      <c r="F4299" t="b">
        <f t="shared" si="407"/>
        <v>0</v>
      </c>
      <c r="G4299" t="str">
        <f t="shared" si="403"/>
        <v>2B05</v>
      </c>
      <c r="I4299">
        <f>HEX2DEC(Table1[[#This Row],[utf8]])</f>
        <v>11013</v>
      </c>
      <c r="J4299" t="str">
        <f>_xlfn.UNICHAR(HEX2DEC(Table1[[#This Row],[utf8]]))</f>
        <v>⬅</v>
      </c>
      <c r="K4299" s="3" t="str" cm="1">
        <f t="array" ref="K4299">"Case "&amp;wRandomLetter()&amp;wRandomLetter()&amp;I4299&amp;":    UniConst = ChrW(" &amp; I4299 &amp;")"</f>
        <v>Case Da11013:    UniConst = ChrW(11013)</v>
      </c>
    </row>
    <row r="4300" spans="1:11">
      <c r="A4300" t="s">
        <v>4166</v>
      </c>
      <c r="B4300" t="str">
        <f t="shared" si="404"/>
        <v>2B05 FE0F ; fully-qualified # ⬅️ E0.6 left arrow</v>
      </c>
      <c r="C4300" t="str">
        <f t="shared" si="405"/>
        <v xml:space="preserve">2B05 FE0F </v>
      </c>
      <c r="D4300">
        <f t="shared" si="406"/>
        <v>10</v>
      </c>
      <c r="E4300" t="str">
        <f t="shared" si="402"/>
        <v xml:space="preserve"> ⬅️ E0.6 left arrow</v>
      </c>
      <c r="F4300" t="b">
        <f t="shared" si="407"/>
        <v>0</v>
      </c>
      <c r="G4300" t="str">
        <f t="shared" si="403"/>
        <v>2B05</v>
      </c>
      <c r="I4300">
        <f>HEX2DEC(Table1[[#This Row],[utf8]])</f>
        <v>11013</v>
      </c>
      <c r="J4300" t="str">
        <f>_xlfn.UNICHAR(HEX2DEC(Table1[[#This Row],[utf8]]))</f>
        <v>⬅</v>
      </c>
      <c r="K4300" s="3" t="str" cm="1">
        <f t="array" ref="K4300">"Case "&amp;wRandomLetter()&amp;wRandomLetter()&amp;I4300&amp;":    UniConst = ChrW(" &amp; I4300 &amp;")"</f>
        <v>Case JP11013:    UniConst = ChrW(11013)</v>
      </c>
    </row>
    <row r="4301" spans="1:11">
      <c r="A4301" t="s">
        <v>4155</v>
      </c>
      <c r="B4301" t="str">
        <f t="shared" si="404"/>
        <v>2B06 ; unqualified # ⬆ E0.6 up arrow</v>
      </c>
      <c r="C4301" t="str">
        <f t="shared" si="405"/>
        <v xml:space="preserve">2B06 </v>
      </c>
      <c r="D4301">
        <f t="shared" si="406"/>
        <v>5</v>
      </c>
      <c r="E4301" t="str">
        <f t="shared" si="402"/>
        <v xml:space="preserve"> ⬆ E0.6 up arrow</v>
      </c>
      <c r="F4301" t="b">
        <f t="shared" si="407"/>
        <v>0</v>
      </c>
      <c r="G4301" t="str">
        <f t="shared" si="403"/>
        <v>2B06</v>
      </c>
      <c r="I4301">
        <f>HEX2DEC(Table1[[#This Row],[utf8]])</f>
        <v>11014</v>
      </c>
      <c r="J4301" t="str">
        <f>_xlfn.UNICHAR(HEX2DEC(Table1[[#This Row],[utf8]]))</f>
        <v>⬆</v>
      </c>
      <c r="K4301" s="3" t="str" cm="1">
        <f t="array" ref="K4301">"Case "&amp;wRandomLetter()&amp;wRandomLetter()&amp;I4301&amp;":    UniConst = ChrW(" &amp; I4301 &amp;")"</f>
        <v>Case tI11014:    UniConst = ChrW(11014)</v>
      </c>
    </row>
    <row r="4302" spans="1:11">
      <c r="A4302" t="s">
        <v>4154</v>
      </c>
      <c r="B4302" t="str">
        <f t="shared" si="404"/>
        <v>2B06 FE0F ; fully-qualified # ⬆️ E0.6 up arrow</v>
      </c>
      <c r="C4302" t="str">
        <f t="shared" si="405"/>
        <v xml:space="preserve">2B06 FE0F </v>
      </c>
      <c r="D4302">
        <f t="shared" si="406"/>
        <v>10</v>
      </c>
      <c r="E4302" t="str">
        <f t="shared" si="402"/>
        <v xml:space="preserve"> ⬆️ E0.6 up arrow</v>
      </c>
      <c r="F4302" t="b">
        <f t="shared" si="407"/>
        <v>0</v>
      </c>
      <c r="G4302" t="str">
        <f t="shared" si="403"/>
        <v>2B06</v>
      </c>
      <c r="I4302">
        <f>HEX2DEC(Table1[[#This Row],[utf8]])</f>
        <v>11014</v>
      </c>
      <c r="J4302" t="str">
        <f>_xlfn.UNICHAR(HEX2DEC(Table1[[#This Row],[utf8]]))</f>
        <v>⬆</v>
      </c>
      <c r="K4302" s="3" t="str" cm="1">
        <f t="array" ref="K4302">"Case "&amp;wRandomLetter()&amp;wRandomLetter()&amp;I4302&amp;":    UniConst = ChrW(" &amp; I4302 &amp;")"</f>
        <v>Case pV11014:    UniConst = ChrW(11014)</v>
      </c>
    </row>
    <row r="4303" spans="1:11">
      <c r="A4303" t="s">
        <v>4163</v>
      </c>
      <c r="B4303" t="str">
        <f t="shared" si="404"/>
        <v>2B07 ; unqualified # ⬇ E0.6 down arrow</v>
      </c>
      <c r="C4303" t="str">
        <f t="shared" si="405"/>
        <v xml:space="preserve">2B07 </v>
      </c>
      <c r="D4303">
        <f t="shared" si="406"/>
        <v>5</v>
      </c>
      <c r="E4303" t="str">
        <f t="shared" si="402"/>
        <v xml:space="preserve"> ⬇ E0.6 down arrow</v>
      </c>
      <c r="F4303" t="b">
        <f t="shared" si="407"/>
        <v>0</v>
      </c>
      <c r="G4303" t="str">
        <f t="shared" si="403"/>
        <v>2B07</v>
      </c>
      <c r="I4303">
        <f>HEX2DEC(Table1[[#This Row],[utf8]])</f>
        <v>11015</v>
      </c>
      <c r="J4303" t="str">
        <f>_xlfn.UNICHAR(HEX2DEC(Table1[[#This Row],[utf8]]))</f>
        <v>⬇</v>
      </c>
      <c r="K4303" s="3" t="str" cm="1">
        <f t="array" ref="K4303">"Case "&amp;wRandomLetter()&amp;wRandomLetter()&amp;I4303&amp;":    UniConst = ChrW(" &amp; I4303 &amp;")"</f>
        <v>Case wM11015:    UniConst = ChrW(11015)</v>
      </c>
    </row>
    <row r="4304" spans="1:11">
      <c r="A4304" t="s">
        <v>4162</v>
      </c>
      <c r="B4304" t="str">
        <f t="shared" si="404"/>
        <v>2B07 FE0F ; fully-qualified # ⬇️ E0.6 down arrow</v>
      </c>
      <c r="C4304" t="str">
        <f t="shared" si="405"/>
        <v xml:space="preserve">2B07 FE0F </v>
      </c>
      <c r="D4304">
        <f t="shared" si="406"/>
        <v>10</v>
      </c>
      <c r="E4304" t="str">
        <f t="shared" si="402"/>
        <v xml:space="preserve"> ⬇️ E0.6 down arrow</v>
      </c>
      <c r="F4304" t="b">
        <f t="shared" si="407"/>
        <v>0</v>
      </c>
      <c r="G4304" t="str">
        <f t="shared" si="403"/>
        <v>2B07</v>
      </c>
      <c r="I4304">
        <f>HEX2DEC(Table1[[#This Row],[utf8]])</f>
        <v>11015</v>
      </c>
      <c r="J4304" t="str">
        <f>_xlfn.UNICHAR(HEX2DEC(Table1[[#This Row],[utf8]]))</f>
        <v>⬇</v>
      </c>
      <c r="K4304" s="3" t="str" cm="1">
        <f t="array" ref="K4304">"Case "&amp;wRandomLetter()&amp;wRandomLetter()&amp;I4304&amp;":    UniConst = ChrW(" &amp; I4304 &amp;")"</f>
        <v>Case pJ11015:    UniConst = ChrW(11015)</v>
      </c>
    </row>
    <row r="4305" spans="1:11">
      <c r="A4305" t="s">
        <v>4415</v>
      </c>
      <c r="B4305" t="str">
        <f t="shared" si="404"/>
        <v>2B1B ; fully-qualified # ⬛ E0.6 black large square</v>
      </c>
      <c r="C4305" t="str">
        <f t="shared" si="405"/>
        <v xml:space="preserve">2B1B </v>
      </c>
      <c r="D4305">
        <f t="shared" si="406"/>
        <v>5</v>
      </c>
      <c r="E4305" t="str">
        <f t="shared" si="402"/>
        <v xml:space="preserve"> ⬛ E0.6 black large square</v>
      </c>
      <c r="F4305" t="b">
        <f t="shared" si="407"/>
        <v>0</v>
      </c>
      <c r="G4305" t="str">
        <f t="shared" si="403"/>
        <v>2B1B</v>
      </c>
      <c r="I4305">
        <f>HEX2DEC(Table1[[#This Row],[utf8]])</f>
        <v>11035</v>
      </c>
      <c r="J4305" t="str">
        <f>_xlfn.UNICHAR(HEX2DEC(Table1[[#This Row],[utf8]]))</f>
        <v>⬛</v>
      </c>
      <c r="K4305" s="3" t="str" cm="1">
        <f t="array" ref="K4305">"Case "&amp;wRandomLetter()&amp;wRandomLetter()&amp;I4305&amp;":    UniConst = ChrW(" &amp; I4305 &amp;")"</f>
        <v>Case Dq11035:    UniConst = ChrW(11035)</v>
      </c>
    </row>
    <row r="4306" spans="1:11">
      <c r="A4306" t="s">
        <v>4416</v>
      </c>
      <c r="B4306" t="str">
        <f t="shared" si="404"/>
        <v>2B1C ; fully-qualified # ⬜ E0.6 white large square</v>
      </c>
      <c r="C4306" t="str">
        <f t="shared" si="405"/>
        <v xml:space="preserve">2B1C </v>
      </c>
      <c r="D4306">
        <f t="shared" si="406"/>
        <v>5</v>
      </c>
      <c r="E4306" t="str">
        <f t="shared" si="402"/>
        <v xml:space="preserve"> ⬜ E0.6 white large square</v>
      </c>
      <c r="F4306" t="b">
        <f t="shared" si="407"/>
        <v>0</v>
      </c>
      <c r="G4306" t="str">
        <f t="shared" si="403"/>
        <v>2B1C</v>
      </c>
      <c r="I4306">
        <f>HEX2DEC(Table1[[#This Row],[utf8]])</f>
        <v>11036</v>
      </c>
      <c r="J4306" t="str">
        <f>_xlfn.UNICHAR(HEX2DEC(Table1[[#This Row],[utf8]]))</f>
        <v>⬜</v>
      </c>
      <c r="K4306" s="3" t="str" cm="1">
        <f t="array" ref="K4306">"Case "&amp;wRandomLetter()&amp;wRandomLetter()&amp;I4306&amp;":    UniConst = ChrW(" &amp; I4306 &amp;")"</f>
        <v>Case VM11036:    UniConst = ChrW(11036)</v>
      </c>
    </row>
    <row r="4307" spans="1:11">
      <c r="A4307" t="s">
        <v>3650</v>
      </c>
      <c r="B4307" t="str">
        <f t="shared" si="404"/>
        <v>2B50 ; fully-qualified # ⭐ E0.6 star</v>
      </c>
      <c r="C4307" t="str">
        <f t="shared" si="405"/>
        <v xml:space="preserve">2B50 </v>
      </c>
      <c r="D4307">
        <f t="shared" si="406"/>
        <v>5</v>
      </c>
      <c r="E4307" t="str">
        <f t="shared" si="402"/>
        <v xml:space="preserve"> ⭐ E0.6 star</v>
      </c>
      <c r="F4307" t="b">
        <f t="shared" si="407"/>
        <v>0</v>
      </c>
      <c r="G4307" t="str">
        <f t="shared" si="403"/>
        <v>2B50</v>
      </c>
      <c r="I4307">
        <f>HEX2DEC(Table1[[#This Row],[utf8]])</f>
        <v>11088</v>
      </c>
      <c r="J4307" t="str">
        <f>_xlfn.UNICHAR(HEX2DEC(Table1[[#This Row],[utf8]]))</f>
        <v>⭐</v>
      </c>
      <c r="K4307" s="3" t="str" cm="1">
        <f t="array" ref="K4307">"Case "&amp;wRandomLetter()&amp;wRandomLetter()&amp;I4307&amp;":    UniConst = ChrW(" &amp; I4307 &amp;")"</f>
        <v>Case AU11088:    UniConst = ChrW(11088)</v>
      </c>
    </row>
    <row r="4308" spans="1:11">
      <c r="A4308" t="s">
        <v>4298</v>
      </c>
      <c r="B4308" t="str">
        <f t="shared" si="404"/>
        <v>2B55 ; fully-qualified # ⭕ E0.6 hollow red circle</v>
      </c>
      <c r="C4308" t="str">
        <f t="shared" si="405"/>
        <v xml:space="preserve">2B55 </v>
      </c>
      <c r="D4308">
        <f t="shared" si="406"/>
        <v>5</v>
      </c>
      <c r="E4308" t="str">
        <f t="shared" si="402"/>
        <v xml:space="preserve"> ⭕ E0.6 hollow red circle</v>
      </c>
      <c r="F4308" t="b">
        <f t="shared" si="407"/>
        <v>0</v>
      </c>
      <c r="G4308" t="str">
        <f t="shared" si="403"/>
        <v>2B55</v>
      </c>
      <c r="I4308">
        <f>HEX2DEC(Table1[[#This Row],[utf8]])</f>
        <v>11093</v>
      </c>
      <c r="J4308" t="str">
        <f>_xlfn.UNICHAR(HEX2DEC(Table1[[#This Row],[utf8]]))</f>
        <v>⭕</v>
      </c>
      <c r="K4308" s="3" t="str" cm="1">
        <f t="array" ref="K4308">"Case "&amp;wRandomLetter()&amp;wRandomLetter()&amp;I4308&amp;":    UniConst = ChrW(" &amp; I4308 &amp;")"</f>
        <v>Case nU11093:    UniConst = ChrW(11093)</v>
      </c>
    </row>
    <row r="4309" spans="1:11">
      <c r="A4309" t="s">
        <v>4284</v>
      </c>
      <c r="B4309" t="str">
        <f t="shared" si="404"/>
        <v>3030 ; unqualified # 〰 E0.6 wavy dash</v>
      </c>
      <c r="C4309" t="str">
        <f t="shared" si="405"/>
        <v xml:space="preserve">3030 </v>
      </c>
      <c r="D4309">
        <f t="shared" si="406"/>
        <v>5</v>
      </c>
      <c r="E4309" t="str">
        <f t="shared" si="402"/>
        <v xml:space="preserve"> 〰 E0.6 wavy dash</v>
      </c>
      <c r="F4309" t="b">
        <f t="shared" si="407"/>
        <v>0</v>
      </c>
      <c r="G4309" t="str">
        <f t="shared" si="403"/>
        <v>3030</v>
      </c>
      <c r="I4309">
        <f>HEX2DEC(Table1[[#This Row],[utf8]])</f>
        <v>12336</v>
      </c>
      <c r="J4309" t="str">
        <f>_xlfn.UNICHAR(HEX2DEC(Table1[[#This Row],[utf8]]))</f>
        <v>〰</v>
      </c>
      <c r="K4309" s="3" t="str" cm="1">
        <f t="array" ref="K4309">"Case "&amp;wRandomLetter()&amp;wRandomLetter()&amp;I4309&amp;":    UniConst = ChrW(" &amp; I4309 &amp;")"</f>
        <v>Case lQ12336:    UniConst = ChrW(12336)</v>
      </c>
    </row>
    <row r="4310" spans="1:11">
      <c r="A4310" t="s">
        <v>4283</v>
      </c>
      <c r="B4310" t="str">
        <f t="shared" si="404"/>
        <v>3030 FE0F ; fully-qualified # 〰️ E0.6 wavy dash</v>
      </c>
      <c r="C4310" t="str">
        <f t="shared" si="405"/>
        <v xml:space="preserve">3030 FE0F </v>
      </c>
      <c r="D4310">
        <f t="shared" si="406"/>
        <v>10</v>
      </c>
      <c r="E4310" t="str">
        <f t="shared" si="402"/>
        <v xml:space="preserve"> 〰️ E0.6 wavy dash</v>
      </c>
      <c r="F4310" t="b">
        <f t="shared" si="407"/>
        <v>0</v>
      </c>
      <c r="G4310" t="str">
        <f t="shared" si="403"/>
        <v>3030</v>
      </c>
      <c r="I4310">
        <f>HEX2DEC(Table1[[#This Row],[utf8]])</f>
        <v>12336</v>
      </c>
      <c r="J4310" t="str">
        <f>_xlfn.UNICHAR(HEX2DEC(Table1[[#This Row],[utf8]]))</f>
        <v>〰</v>
      </c>
      <c r="K4310" s="3" t="str" cm="1">
        <f t="array" ref="K4310">"Case "&amp;wRandomLetter()&amp;wRandomLetter()&amp;I4310&amp;":    UniConst = ChrW(" &amp; I4310 &amp;")"</f>
        <v>Case sP12336:    UniConst = ChrW(12336)</v>
      </c>
    </row>
    <row r="4311" spans="1:11">
      <c r="A4311" t="s">
        <v>4309</v>
      </c>
      <c r="B4311" t="str">
        <f t="shared" si="404"/>
        <v>303D ; unqualified # 〽 E0.6 part alternation mark</v>
      </c>
      <c r="C4311" t="str">
        <f t="shared" si="405"/>
        <v xml:space="preserve">303D </v>
      </c>
      <c r="D4311">
        <f t="shared" si="406"/>
        <v>5</v>
      </c>
      <c r="E4311" t="str">
        <f t="shared" si="402"/>
        <v xml:space="preserve"> 〽 E0.6 part alternation mark</v>
      </c>
      <c r="F4311" t="b">
        <f t="shared" si="407"/>
        <v>0</v>
      </c>
      <c r="G4311" t="str">
        <f t="shared" si="403"/>
        <v>303D</v>
      </c>
      <c r="I4311">
        <f>HEX2DEC(Table1[[#This Row],[utf8]])</f>
        <v>12349</v>
      </c>
      <c r="J4311" t="str">
        <f>_xlfn.UNICHAR(HEX2DEC(Table1[[#This Row],[utf8]]))</f>
        <v>〽</v>
      </c>
      <c r="K4311" s="3" t="str" cm="1">
        <f t="array" ref="K4311">"Case "&amp;wRandomLetter()&amp;wRandomLetter()&amp;I4311&amp;":    UniConst = ChrW(" &amp; I4311 &amp;")"</f>
        <v>Case EV12349:    UniConst = ChrW(12349)</v>
      </c>
    </row>
    <row r="4312" spans="1:11">
      <c r="A4312" t="s">
        <v>4308</v>
      </c>
      <c r="B4312" t="str">
        <f t="shared" si="404"/>
        <v>303D FE0F ; fully-qualified # 〽️ E0.6 part alternation mark</v>
      </c>
      <c r="C4312" t="str">
        <f t="shared" si="405"/>
        <v xml:space="preserve">303D FE0F </v>
      </c>
      <c r="D4312">
        <f t="shared" si="406"/>
        <v>10</v>
      </c>
      <c r="E4312" t="str">
        <f t="shared" si="402"/>
        <v xml:space="preserve"> 〽️ E0.6 part alternation mark</v>
      </c>
      <c r="F4312" t="b">
        <f t="shared" si="407"/>
        <v>0</v>
      </c>
      <c r="G4312" t="str">
        <f t="shared" si="403"/>
        <v>303D</v>
      </c>
      <c r="I4312">
        <f>HEX2DEC(Table1[[#This Row],[utf8]])</f>
        <v>12349</v>
      </c>
      <c r="J4312" t="str">
        <f>_xlfn.UNICHAR(HEX2DEC(Table1[[#This Row],[utf8]]))</f>
        <v>〽</v>
      </c>
      <c r="K4312" s="3" t="str" cm="1">
        <f t="array" ref="K4312">"Case "&amp;wRandomLetter()&amp;wRandomLetter()&amp;I4312&amp;":    UniConst = ChrW(" &amp; I4312 &amp;")"</f>
        <v>Case ET12349:    UniConst = ChrW(12349)</v>
      </c>
    </row>
    <row r="4313" spans="1:11">
      <c r="A4313" t="s">
        <v>4393</v>
      </c>
      <c r="B4313" t="str">
        <f t="shared" si="404"/>
        <v>3297 ; unqualified # ㊗ E0.6 Japanese “congratulations” button</v>
      </c>
      <c r="C4313" t="str">
        <f t="shared" si="405"/>
        <v xml:space="preserve">3297 </v>
      </c>
      <c r="D4313">
        <f t="shared" si="406"/>
        <v>5</v>
      </c>
      <c r="E4313" t="str">
        <f t="shared" si="402"/>
        <v xml:space="preserve"> ㊗ E0.6 Japanese “congratulations” button</v>
      </c>
      <c r="F4313" t="b">
        <f t="shared" si="407"/>
        <v>0</v>
      </c>
      <c r="G4313" t="str">
        <f t="shared" si="403"/>
        <v>3297</v>
      </c>
      <c r="I4313">
        <f>HEX2DEC(Table1[[#This Row],[utf8]])</f>
        <v>12951</v>
      </c>
      <c r="J4313" t="str">
        <f>_xlfn.UNICHAR(HEX2DEC(Table1[[#This Row],[utf8]]))</f>
        <v>㊗</v>
      </c>
      <c r="K4313" s="3" t="str" cm="1">
        <f t="array" ref="K4313">"Case "&amp;wRandomLetter()&amp;wRandomLetter()&amp;I4313&amp;":    UniConst = ChrW(" &amp; I4313 &amp;")"</f>
        <v>Case mD12951:    UniConst = ChrW(12951)</v>
      </c>
    </row>
    <row r="4314" spans="1:11">
      <c r="A4314" t="s">
        <v>4392</v>
      </c>
      <c r="B4314" t="str">
        <f t="shared" si="404"/>
        <v>3297 FE0F ; fully-qualified # ㊗️ E0.6 Japanese “congratulations” button</v>
      </c>
      <c r="C4314" t="str">
        <f t="shared" si="405"/>
        <v xml:space="preserve">3297 FE0F </v>
      </c>
      <c r="D4314">
        <f t="shared" si="406"/>
        <v>10</v>
      </c>
      <c r="E4314" t="str">
        <f t="shared" si="402"/>
        <v xml:space="preserve"> ㊗️ E0.6 Japanese “congratulations” button</v>
      </c>
      <c r="F4314" t="b">
        <f t="shared" si="407"/>
        <v>0</v>
      </c>
      <c r="G4314" t="str">
        <f t="shared" si="403"/>
        <v>3297</v>
      </c>
      <c r="I4314">
        <f>HEX2DEC(Table1[[#This Row],[utf8]])</f>
        <v>12951</v>
      </c>
      <c r="J4314" t="str">
        <f>_xlfn.UNICHAR(HEX2DEC(Table1[[#This Row],[utf8]]))</f>
        <v>㊗</v>
      </c>
      <c r="K4314" s="3" t="str" cm="1">
        <f t="array" ref="K4314">"Case "&amp;wRandomLetter()&amp;wRandomLetter()&amp;I4314&amp;":    UniConst = ChrW(" &amp; I4314 &amp;")"</f>
        <v>Case jy12951:    UniConst = ChrW(12951)</v>
      </c>
    </row>
    <row r="4315" spans="1:11">
      <c r="A4315" t="s">
        <v>4395</v>
      </c>
      <c r="B4315" t="str">
        <f t="shared" si="404"/>
        <v>3299 ; unqualified # ㊙ E0.6 Japanese “secret” button</v>
      </c>
      <c r="C4315" t="str">
        <f t="shared" si="405"/>
        <v xml:space="preserve">3299 </v>
      </c>
      <c r="D4315">
        <f t="shared" si="406"/>
        <v>5</v>
      </c>
      <c r="E4315" t="str">
        <f t="shared" si="402"/>
        <v xml:space="preserve"> ㊙ E0.6 Japanese “secret” button</v>
      </c>
      <c r="F4315" t="b">
        <f t="shared" si="407"/>
        <v>0</v>
      </c>
      <c r="G4315" t="str">
        <f t="shared" si="403"/>
        <v>3299</v>
      </c>
      <c r="I4315">
        <f>HEX2DEC(Table1[[#This Row],[utf8]])</f>
        <v>12953</v>
      </c>
      <c r="J4315" t="str">
        <f>_xlfn.UNICHAR(HEX2DEC(Table1[[#This Row],[utf8]]))</f>
        <v>㊙</v>
      </c>
      <c r="K4315" s="3" t="str" cm="1">
        <f t="array" ref="K4315">"Case "&amp;wRandomLetter()&amp;wRandomLetter()&amp;I4315&amp;":    UniConst = ChrW(" &amp; I4315 &amp;")"</f>
        <v>Case ma12953:    UniConst = ChrW(12953)</v>
      </c>
    </row>
    <row r="4316" spans="1:11">
      <c r="A4316" t="s">
        <v>4394</v>
      </c>
      <c r="B4316" t="str">
        <f t="shared" si="404"/>
        <v>3299 FE0F ; fully-qualified # ㊙️ E0.6 Japanese “secret” button</v>
      </c>
      <c r="C4316" t="str">
        <f t="shared" si="405"/>
        <v xml:space="preserve">3299 FE0F </v>
      </c>
      <c r="D4316">
        <f t="shared" si="406"/>
        <v>10</v>
      </c>
      <c r="E4316" t="str">
        <f t="shared" si="402"/>
        <v xml:space="preserve"> ㊙️ E0.6 Japanese “secret” button</v>
      </c>
      <c r="F4316" t="b">
        <f t="shared" si="407"/>
        <v>0</v>
      </c>
      <c r="G4316" t="str">
        <f t="shared" si="403"/>
        <v>3299</v>
      </c>
      <c r="I4316">
        <f>HEX2DEC(Table1[[#This Row],[utf8]])</f>
        <v>12953</v>
      </c>
      <c r="J4316" t="str">
        <f>_xlfn.UNICHAR(HEX2DEC(Table1[[#This Row],[utf8]]))</f>
        <v>㊙</v>
      </c>
      <c r="K4316" s="3" t="str" cm="1">
        <f t="array" ref="K4316">"Case "&amp;wRandomLetter()&amp;wRandomLetter()&amp;I4316&amp;":    UniConst = ChrW(" &amp; I4316 &amp;")"</f>
        <v>Case Rw12953:    UniConst = ChrW(12953)</v>
      </c>
    </row>
  </sheetData>
  <sortState xmlns:xlrd2="http://schemas.microsoft.com/office/spreadsheetml/2017/richdata2" ref="A2:A4429">
    <sortCondition ref="A2:A4429"/>
  </sortState>
  <phoneticPr fontId="2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604829-5B4A-4745-A3A2-FEE0D6563076}">
  <sheetPr codeName="Sheet3"/>
  <dimension ref="A1:F174"/>
  <sheetViews>
    <sheetView tabSelected="1" topLeftCell="A64" workbookViewId="0">
      <selection activeCell="A65" sqref="A65"/>
    </sheetView>
  </sheetViews>
  <sheetFormatPr defaultRowHeight="15"/>
  <cols>
    <col min="1" max="1" width="40.28515625" bestFit="1" customWidth="1"/>
    <col min="2" max="2" width="6.85546875" bestFit="1" customWidth="1"/>
    <col min="3" max="3" width="10.42578125" bestFit="1" customWidth="1"/>
    <col min="4" max="4" width="7.140625" bestFit="1" customWidth="1"/>
    <col min="5" max="5" width="38.140625" bestFit="1" customWidth="1"/>
  </cols>
  <sheetData>
    <row r="1" spans="1:6">
      <c r="A1" t="s">
        <v>4440</v>
      </c>
      <c r="B1" t="s">
        <v>4443</v>
      </c>
      <c r="C1" t="s">
        <v>4446</v>
      </c>
      <c r="D1" t="s">
        <v>5140</v>
      </c>
      <c r="E1" t="s">
        <v>4445</v>
      </c>
      <c r="F1" t="s">
        <v>5141</v>
      </c>
    </row>
    <row r="2" spans="1:6">
      <c r="A2" t="s">
        <v>4448</v>
      </c>
      <c r="B2" t="s">
        <v>4449</v>
      </c>
      <c r="C2">
        <v>35</v>
      </c>
      <c r="D2" t="s">
        <v>4450</v>
      </c>
      <c r="E2" t="s">
        <v>4451</v>
      </c>
      <c r="F2" t="str">
        <f t="shared" ref="F2:F33" si="0">MID(LEFT(E2,FIND(":",E2)-1),FIND(" ",E2)+1,LEN(E2))</f>
        <v>PX35</v>
      </c>
    </row>
    <row r="3" spans="1:6">
      <c r="A3" t="s">
        <v>4452</v>
      </c>
      <c r="B3" t="s">
        <v>4453</v>
      </c>
      <c r="C3">
        <v>42</v>
      </c>
      <c r="D3" t="s">
        <v>4454</v>
      </c>
      <c r="E3" t="s">
        <v>4455</v>
      </c>
      <c r="F3" t="str">
        <f t="shared" si="0"/>
        <v>RZ42</v>
      </c>
    </row>
    <row r="4" spans="1:6">
      <c r="A4" t="s">
        <v>4456</v>
      </c>
      <c r="B4" t="s">
        <v>4457</v>
      </c>
      <c r="C4">
        <v>48</v>
      </c>
      <c r="D4" t="s">
        <v>4458</v>
      </c>
      <c r="E4" t="s">
        <v>4459</v>
      </c>
      <c r="F4" t="str">
        <f t="shared" si="0"/>
        <v>jN48</v>
      </c>
    </row>
    <row r="5" spans="1:6">
      <c r="A5" t="s">
        <v>4460</v>
      </c>
      <c r="B5" t="s">
        <v>4461</v>
      </c>
      <c r="C5">
        <v>49</v>
      </c>
      <c r="D5" t="s">
        <v>4462</v>
      </c>
      <c r="E5" t="s">
        <v>4463</v>
      </c>
      <c r="F5" t="str">
        <f t="shared" si="0"/>
        <v>LW49</v>
      </c>
    </row>
    <row r="6" spans="1:6">
      <c r="A6" t="s">
        <v>4464</v>
      </c>
      <c r="B6" t="s">
        <v>4465</v>
      </c>
      <c r="C6">
        <v>50</v>
      </c>
      <c r="D6" t="s">
        <v>4466</v>
      </c>
      <c r="E6" t="s">
        <v>4467</v>
      </c>
      <c r="F6" t="str">
        <f t="shared" si="0"/>
        <v>xP50</v>
      </c>
    </row>
    <row r="7" spans="1:6">
      <c r="A7" t="s">
        <v>4468</v>
      </c>
      <c r="B7" t="s">
        <v>4469</v>
      </c>
      <c r="C7">
        <v>51</v>
      </c>
      <c r="D7" t="s">
        <v>4470</v>
      </c>
      <c r="E7" t="s">
        <v>4471</v>
      </c>
      <c r="F7" t="str">
        <f t="shared" si="0"/>
        <v>ql51</v>
      </c>
    </row>
    <row r="8" spans="1:6">
      <c r="A8" t="s">
        <v>4472</v>
      </c>
      <c r="B8" t="s">
        <v>4473</v>
      </c>
      <c r="C8">
        <v>52</v>
      </c>
      <c r="D8" t="s">
        <v>4474</v>
      </c>
      <c r="E8" t="s">
        <v>4475</v>
      </c>
      <c r="F8" t="str">
        <f t="shared" si="0"/>
        <v>HK52</v>
      </c>
    </row>
    <row r="9" spans="1:6">
      <c r="A9" t="s">
        <v>4476</v>
      </c>
      <c r="B9" t="s">
        <v>4477</v>
      </c>
      <c r="C9">
        <v>53</v>
      </c>
      <c r="D9" t="s">
        <v>4478</v>
      </c>
      <c r="E9" t="s">
        <v>4479</v>
      </c>
      <c r="F9" t="str">
        <f t="shared" si="0"/>
        <v>RU53</v>
      </c>
    </row>
    <row r="10" spans="1:6">
      <c r="A10" t="s">
        <v>4480</v>
      </c>
      <c r="B10" t="s">
        <v>4481</v>
      </c>
      <c r="C10">
        <v>54</v>
      </c>
      <c r="D10" t="s">
        <v>4482</v>
      </c>
      <c r="E10" t="s">
        <v>4483</v>
      </c>
      <c r="F10" t="str">
        <f t="shared" si="0"/>
        <v>Bd54</v>
      </c>
    </row>
    <row r="11" spans="1:6">
      <c r="A11" t="s">
        <v>4484</v>
      </c>
      <c r="B11" t="s">
        <v>4485</v>
      </c>
      <c r="C11">
        <v>55</v>
      </c>
      <c r="D11" t="s">
        <v>4486</v>
      </c>
      <c r="E11" t="s">
        <v>4487</v>
      </c>
      <c r="F11" t="str">
        <f t="shared" si="0"/>
        <v>yU55</v>
      </c>
    </row>
    <row r="12" spans="1:6">
      <c r="A12" t="s">
        <v>4488</v>
      </c>
      <c r="B12" t="s">
        <v>4489</v>
      </c>
      <c r="C12">
        <v>56</v>
      </c>
      <c r="D12" t="s">
        <v>4490</v>
      </c>
      <c r="E12" t="s">
        <v>4491</v>
      </c>
      <c r="F12" t="str">
        <f t="shared" si="0"/>
        <v>gU56</v>
      </c>
    </row>
    <row r="13" spans="1:6">
      <c r="A13" t="s">
        <v>4492</v>
      </c>
      <c r="B13" t="s">
        <v>4493</v>
      </c>
      <c r="C13">
        <v>57</v>
      </c>
      <c r="D13" t="s">
        <v>4494</v>
      </c>
      <c r="E13" t="s">
        <v>4495</v>
      </c>
      <c r="F13" t="str">
        <f t="shared" si="0"/>
        <v>lM57</v>
      </c>
    </row>
    <row r="14" spans="1:6">
      <c r="A14" t="s">
        <v>4496</v>
      </c>
      <c r="B14" t="s">
        <v>4497</v>
      </c>
      <c r="C14">
        <v>169</v>
      </c>
      <c r="D14" t="s">
        <v>4498</v>
      </c>
      <c r="E14" t="s">
        <v>4499</v>
      </c>
      <c r="F14" t="str">
        <f t="shared" si="0"/>
        <v>PC169</v>
      </c>
    </row>
    <row r="15" spans="1:6">
      <c r="A15" t="s">
        <v>4500</v>
      </c>
      <c r="B15" t="s">
        <v>4501</v>
      </c>
      <c r="C15">
        <v>174</v>
      </c>
      <c r="D15" t="s">
        <v>4502</v>
      </c>
      <c r="E15" t="s">
        <v>4503</v>
      </c>
      <c r="F15" t="str">
        <f t="shared" si="0"/>
        <v>pz174</v>
      </c>
    </row>
    <row r="16" spans="1:6">
      <c r="A16" t="s">
        <v>4504</v>
      </c>
      <c r="B16" t="s">
        <v>4505</v>
      </c>
      <c r="C16">
        <v>8252</v>
      </c>
      <c r="D16" t="s">
        <v>4506</v>
      </c>
      <c r="E16" t="s">
        <v>4507</v>
      </c>
      <c r="F16" t="str">
        <f t="shared" si="0"/>
        <v>tS8252</v>
      </c>
    </row>
    <row r="17" spans="1:6">
      <c r="A17" t="s">
        <v>4508</v>
      </c>
      <c r="B17" t="s">
        <v>4509</v>
      </c>
      <c r="C17">
        <v>8265</v>
      </c>
      <c r="D17" t="s">
        <v>4510</v>
      </c>
      <c r="E17" t="s">
        <v>4511</v>
      </c>
      <c r="F17" t="str">
        <f t="shared" si="0"/>
        <v>kh8265</v>
      </c>
    </row>
    <row r="18" spans="1:6">
      <c r="A18" t="s">
        <v>4512</v>
      </c>
      <c r="B18" t="s">
        <v>4513</v>
      </c>
      <c r="C18">
        <v>8482</v>
      </c>
      <c r="D18" t="s">
        <v>4514</v>
      </c>
      <c r="E18" t="s">
        <v>4515</v>
      </c>
      <c r="F18" t="str">
        <f t="shared" si="0"/>
        <v>AM8482</v>
      </c>
    </row>
    <row r="19" spans="1:6">
      <c r="A19" t="s">
        <v>4516</v>
      </c>
      <c r="B19" t="s">
        <v>4517</v>
      </c>
      <c r="C19">
        <v>8505</v>
      </c>
      <c r="D19" t="s">
        <v>4518</v>
      </c>
      <c r="E19" t="s">
        <v>4519</v>
      </c>
      <c r="F19" t="str">
        <f t="shared" si="0"/>
        <v>zQ8505</v>
      </c>
    </row>
    <row r="20" spans="1:6">
      <c r="A20" t="s">
        <v>4520</v>
      </c>
      <c r="B20" t="s">
        <v>4521</v>
      </c>
      <c r="C20">
        <v>8596</v>
      </c>
      <c r="D20" t="s">
        <v>4522</v>
      </c>
      <c r="E20" t="s">
        <v>4523</v>
      </c>
      <c r="F20" t="str">
        <f t="shared" si="0"/>
        <v>HC8596</v>
      </c>
    </row>
    <row r="21" spans="1:6">
      <c r="A21" t="s">
        <v>4524</v>
      </c>
      <c r="B21" t="s">
        <v>4525</v>
      </c>
      <c r="C21">
        <v>8597</v>
      </c>
      <c r="D21" t="s">
        <v>4526</v>
      </c>
      <c r="E21" t="s">
        <v>4527</v>
      </c>
      <c r="F21" t="str">
        <f t="shared" si="0"/>
        <v>SW8597</v>
      </c>
    </row>
    <row r="22" spans="1:6">
      <c r="A22" t="s">
        <v>4528</v>
      </c>
      <c r="B22" t="s">
        <v>4529</v>
      </c>
      <c r="C22">
        <v>8598</v>
      </c>
      <c r="D22" t="s">
        <v>4530</v>
      </c>
      <c r="E22" t="s">
        <v>4531</v>
      </c>
      <c r="F22" t="str">
        <f t="shared" si="0"/>
        <v>Pc8598</v>
      </c>
    </row>
    <row r="23" spans="1:6">
      <c r="A23" t="s">
        <v>4532</v>
      </c>
      <c r="B23" t="s">
        <v>4533</v>
      </c>
      <c r="C23">
        <v>8599</v>
      </c>
      <c r="D23" t="s">
        <v>4534</v>
      </c>
      <c r="E23" t="s">
        <v>4535</v>
      </c>
      <c r="F23" t="str">
        <f t="shared" si="0"/>
        <v>fR8599</v>
      </c>
    </row>
    <row r="24" spans="1:6">
      <c r="A24" t="s">
        <v>4536</v>
      </c>
      <c r="B24" t="s">
        <v>4537</v>
      </c>
      <c r="C24">
        <v>8600</v>
      </c>
      <c r="D24" t="s">
        <v>4538</v>
      </c>
      <c r="E24" t="s">
        <v>4539</v>
      </c>
      <c r="F24" t="str">
        <f t="shared" si="0"/>
        <v>em8600</v>
      </c>
    </row>
    <row r="25" spans="1:6">
      <c r="A25" t="s">
        <v>4540</v>
      </c>
      <c r="B25" t="s">
        <v>4541</v>
      </c>
      <c r="C25">
        <v>8601</v>
      </c>
      <c r="D25" t="s">
        <v>4542</v>
      </c>
      <c r="E25" t="s">
        <v>4543</v>
      </c>
      <c r="F25" t="str">
        <f t="shared" si="0"/>
        <v>SD8601</v>
      </c>
    </row>
    <row r="26" spans="1:6">
      <c r="A26" t="s">
        <v>4544</v>
      </c>
      <c r="B26" t="s">
        <v>4545</v>
      </c>
      <c r="C26">
        <v>8617</v>
      </c>
      <c r="D26" t="s">
        <v>4546</v>
      </c>
      <c r="E26" t="s">
        <v>4547</v>
      </c>
      <c r="F26" t="str">
        <f t="shared" si="0"/>
        <v>oy8617</v>
      </c>
    </row>
    <row r="27" spans="1:6">
      <c r="A27" t="s">
        <v>4548</v>
      </c>
      <c r="B27" t="s">
        <v>4549</v>
      </c>
      <c r="C27">
        <v>8618</v>
      </c>
      <c r="D27" t="s">
        <v>4550</v>
      </c>
      <c r="E27" t="s">
        <v>4551</v>
      </c>
      <c r="F27" t="str">
        <f t="shared" si="0"/>
        <v>MU8618</v>
      </c>
    </row>
    <row r="28" spans="1:6">
      <c r="A28" t="s">
        <v>4552</v>
      </c>
      <c r="B28" t="s">
        <v>4553</v>
      </c>
      <c r="C28">
        <v>8986</v>
      </c>
      <c r="D28" t="s">
        <v>4554</v>
      </c>
      <c r="E28" t="s">
        <v>4555</v>
      </c>
      <c r="F28" t="str">
        <f t="shared" si="0"/>
        <v>ZD8986</v>
      </c>
    </row>
    <row r="29" spans="1:6">
      <c r="A29" t="s">
        <v>4556</v>
      </c>
      <c r="B29" t="s">
        <v>4557</v>
      </c>
      <c r="C29">
        <v>8987</v>
      </c>
      <c r="D29" t="s">
        <v>4558</v>
      </c>
      <c r="E29" t="s">
        <v>4559</v>
      </c>
      <c r="F29" t="str">
        <f t="shared" si="0"/>
        <v>Sl8987</v>
      </c>
    </row>
    <row r="30" spans="1:6">
      <c r="A30" t="s">
        <v>4560</v>
      </c>
      <c r="B30" t="s">
        <v>4561</v>
      </c>
      <c r="C30">
        <v>9000</v>
      </c>
      <c r="D30" t="s">
        <v>4562</v>
      </c>
      <c r="E30" t="s">
        <v>4563</v>
      </c>
      <c r="F30" t="str">
        <f t="shared" si="0"/>
        <v>Zj9000</v>
      </c>
    </row>
    <row r="31" spans="1:6">
      <c r="A31" t="s">
        <v>4564</v>
      </c>
      <c r="B31" t="s">
        <v>4565</v>
      </c>
      <c r="C31">
        <v>9167</v>
      </c>
      <c r="D31" t="s">
        <v>4566</v>
      </c>
      <c r="E31" t="s">
        <v>4567</v>
      </c>
      <c r="F31" t="str">
        <f t="shared" si="0"/>
        <v>ek9167</v>
      </c>
    </row>
    <row r="32" spans="1:6">
      <c r="A32" t="s">
        <v>4568</v>
      </c>
      <c r="B32" t="s">
        <v>4569</v>
      </c>
      <c r="C32">
        <v>9193</v>
      </c>
      <c r="D32" t="s">
        <v>4570</v>
      </c>
      <c r="E32" t="s">
        <v>4571</v>
      </c>
      <c r="F32" t="str">
        <f t="shared" si="0"/>
        <v>Dk9193</v>
      </c>
    </row>
    <row r="33" spans="1:6">
      <c r="A33" t="s">
        <v>4572</v>
      </c>
      <c r="B33" t="s">
        <v>4573</v>
      </c>
      <c r="C33">
        <v>9194</v>
      </c>
      <c r="D33" t="s">
        <v>4574</v>
      </c>
      <c r="E33" t="s">
        <v>4575</v>
      </c>
      <c r="F33" t="str">
        <f t="shared" si="0"/>
        <v>RR9194</v>
      </c>
    </row>
    <row r="34" spans="1:6">
      <c r="A34" t="s">
        <v>4576</v>
      </c>
      <c r="B34" t="s">
        <v>4577</v>
      </c>
      <c r="C34">
        <v>9195</v>
      </c>
      <c r="D34" t="s">
        <v>4578</v>
      </c>
      <c r="E34" t="s">
        <v>4579</v>
      </c>
      <c r="F34" t="str">
        <f t="shared" ref="F34:F65" si="1">MID(LEFT(E34,FIND(":",E34)-1),FIND(" ",E34)+1,LEN(E34))</f>
        <v>Uf9195</v>
      </c>
    </row>
    <row r="35" spans="1:6">
      <c r="A35" t="s">
        <v>4580</v>
      </c>
      <c r="B35" t="s">
        <v>4581</v>
      </c>
      <c r="C35">
        <v>9196</v>
      </c>
      <c r="D35" t="s">
        <v>4582</v>
      </c>
      <c r="E35" t="s">
        <v>4583</v>
      </c>
      <c r="F35" t="str">
        <f t="shared" si="1"/>
        <v>BF9196</v>
      </c>
    </row>
    <row r="36" spans="1:6">
      <c r="A36" t="s">
        <v>4584</v>
      </c>
      <c r="B36" t="s">
        <v>4585</v>
      </c>
      <c r="C36">
        <v>9197</v>
      </c>
      <c r="D36" t="s">
        <v>4586</v>
      </c>
      <c r="E36" t="s">
        <v>4587</v>
      </c>
      <c r="F36" t="str">
        <f t="shared" si="1"/>
        <v>fF9197</v>
      </c>
    </row>
    <row r="37" spans="1:6">
      <c r="A37" t="s">
        <v>4588</v>
      </c>
      <c r="B37" t="s">
        <v>4589</v>
      </c>
      <c r="C37">
        <v>9198</v>
      </c>
      <c r="D37" t="s">
        <v>4590</v>
      </c>
      <c r="E37" t="s">
        <v>4591</v>
      </c>
      <c r="F37" t="str">
        <f t="shared" si="1"/>
        <v>AG9198</v>
      </c>
    </row>
    <row r="38" spans="1:6">
      <c r="A38" t="s">
        <v>4592</v>
      </c>
      <c r="B38" t="s">
        <v>4593</v>
      </c>
      <c r="C38">
        <v>9199</v>
      </c>
      <c r="D38" t="s">
        <v>4594</v>
      </c>
      <c r="E38" t="s">
        <v>4595</v>
      </c>
      <c r="F38" t="str">
        <f t="shared" si="1"/>
        <v>Fj9199</v>
      </c>
    </row>
    <row r="39" spans="1:6">
      <c r="A39" t="s">
        <v>4596</v>
      </c>
      <c r="B39" t="s">
        <v>4597</v>
      </c>
      <c r="C39">
        <v>9200</v>
      </c>
      <c r="D39" t="s">
        <v>4598</v>
      </c>
      <c r="E39" t="s">
        <v>4599</v>
      </c>
      <c r="F39" t="str">
        <f t="shared" si="1"/>
        <v>DD9200</v>
      </c>
    </row>
    <row r="40" spans="1:6">
      <c r="A40" t="s">
        <v>4600</v>
      </c>
      <c r="B40" t="s">
        <v>4601</v>
      </c>
      <c r="C40">
        <v>9201</v>
      </c>
      <c r="D40" t="s">
        <v>4602</v>
      </c>
      <c r="E40" t="s">
        <v>4603</v>
      </c>
      <c r="F40" t="str">
        <f t="shared" si="1"/>
        <v>IF9201</v>
      </c>
    </row>
    <row r="41" spans="1:6">
      <c r="A41" t="s">
        <v>4604</v>
      </c>
      <c r="B41" t="s">
        <v>4605</v>
      </c>
      <c r="C41">
        <v>9202</v>
      </c>
      <c r="D41" t="s">
        <v>4606</v>
      </c>
      <c r="E41" t="s">
        <v>4607</v>
      </c>
      <c r="F41" t="str">
        <f t="shared" si="1"/>
        <v>pX9202</v>
      </c>
    </row>
    <row r="42" spans="1:6">
      <c r="A42" t="s">
        <v>4608</v>
      </c>
      <c r="B42" t="s">
        <v>4609</v>
      </c>
      <c r="C42">
        <v>9203</v>
      </c>
      <c r="D42" t="s">
        <v>4610</v>
      </c>
      <c r="E42" t="s">
        <v>4611</v>
      </c>
      <c r="F42" t="str">
        <f t="shared" si="1"/>
        <v>EH9203</v>
      </c>
    </row>
    <row r="43" spans="1:6">
      <c r="A43" t="s">
        <v>4612</v>
      </c>
      <c r="B43" t="s">
        <v>4613</v>
      </c>
      <c r="C43">
        <v>9208</v>
      </c>
      <c r="D43" t="s">
        <v>4614</v>
      </c>
      <c r="E43" t="s">
        <v>4615</v>
      </c>
      <c r="F43" t="str">
        <f t="shared" si="1"/>
        <v>qN9208</v>
      </c>
    </row>
    <row r="44" spans="1:6">
      <c r="A44" t="s">
        <v>4616</v>
      </c>
      <c r="B44" t="s">
        <v>4617</v>
      </c>
      <c r="C44">
        <v>9410</v>
      </c>
      <c r="D44" t="s">
        <v>4618</v>
      </c>
      <c r="E44" t="s">
        <v>4619</v>
      </c>
      <c r="F44" t="str">
        <f t="shared" si="1"/>
        <v>Nk9410</v>
      </c>
    </row>
    <row r="45" spans="1:6">
      <c r="A45" t="s">
        <v>4620</v>
      </c>
      <c r="B45" t="s">
        <v>4621</v>
      </c>
      <c r="C45">
        <v>9642</v>
      </c>
      <c r="D45" t="s">
        <v>4622</v>
      </c>
      <c r="E45" t="s">
        <v>4623</v>
      </c>
      <c r="F45" t="str">
        <f t="shared" si="1"/>
        <v>od9642</v>
      </c>
    </row>
    <row r="46" spans="1:6">
      <c r="A46" t="s">
        <v>4624</v>
      </c>
      <c r="B46" t="s">
        <v>4625</v>
      </c>
      <c r="C46">
        <v>9643</v>
      </c>
      <c r="D46" t="s">
        <v>4626</v>
      </c>
      <c r="E46" t="s">
        <v>4627</v>
      </c>
      <c r="F46" t="str">
        <f t="shared" si="1"/>
        <v>Ib9643</v>
      </c>
    </row>
    <row r="47" spans="1:6">
      <c r="A47" t="s">
        <v>4628</v>
      </c>
      <c r="B47" t="s">
        <v>4629</v>
      </c>
      <c r="C47">
        <v>9654</v>
      </c>
      <c r="D47" t="s">
        <v>4630</v>
      </c>
      <c r="E47" t="s">
        <v>4631</v>
      </c>
      <c r="F47" t="str">
        <f t="shared" si="1"/>
        <v>wn9654</v>
      </c>
    </row>
    <row r="48" spans="1:6">
      <c r="A48" t="s">
        <v>4632</v>
      </c>
      <c r="B48" t="s">
        <v>4633</v>
      </c>
      <c r="C48">
        <v>9664</v>
      </c>
      <c r="D48" t="s">
        <v>4634</v>
      </c>
      <c r="E48" t="s">
        <v>4635</v>
      </c>
      <c r="F48" t="str">
        <f t="shared" si="1"/>
        <v>eU9664</v>
      </c>
    </row>
    <row r="49" spans="1:6">
      <c r="A49" t="s">
        <v>4636</v>
      </c>
      <c r="B49" t="s">
        <v>4637</v>
      </c>
      <c r="C49">
        <v>9723</v>
      </c>
      <c r="D49" t="s">
        <v>4638</v>
      </c>
      <c r="E49" t="s">
        <v>4639</v>
      </c>
      <c r="F49" t="str">
        <f t="shared" si="1"/>
        <v>Du9723</v>
      </c>
    </row>
    <row r="50" spans="1:6">
      <c r="A50" t="s">
        <v>4640</v>
      </c>
      <c r="B50" t="s">
        <v>4641</v>
      </c>
      <c r="C50">
        <v>9724</v>
      </c>
      <c r="D50" t="s">
        <v>4642</v>
      </c>
      <c r="E50" t="s">
        <v>4643</v>
      </c>
      <c r="F50" t="str">
        <f t="shared" si="1"/>
        <v>kn9724</v>
      </c>
    </row>
    <row r="51" spans="1:6">
      <c r="A51" t="s">
        <v>4644</v>
      </c>
      <c r="B51" t="s">
        <v>4645</v>
      </c>
      <c r="C51">
        <v>9725</v>
      </c>
      <c r="D51" t="s">
        <v>4646</v>
      </c>
      <c r="E51" t="s">
        <v>4647</v>
      </c>
      <c r="F51" t="str">
        <f t="shared" si="1"/>
        <v>ly9725</v>
      </c>
    </row>
    <row r="52" spans="1:6">
      <c r="A52" t="s">
        <v>4648</v>
      </c>
      <c r="B52" t="s">
        <v>4649</v>
      </c>
      <c r="C52">
        <v>9726</v>
      </c>
      <c r="D52" t="s">
        <v>4650</v>
      </c>
      <c r="E52" t="s">
        <v>4651</v>
      </c>
      <c r="F52" t="str">
        <f t="shared" si="1"/>
        <v>Pg9726</v>
      </c>
    </row>
    <row r="53" spans="1:6">
      <c r="A53" t="s">
        <v>4652</v>
      </c>
      <c r="B53" t="s">
        <v>4653</v>
      </c>
      <c r="C53">
        <v>9728</v>
      </c>
      <c r="D53" t="s">
        <v>4654</v>
      </c>
      <c r="E53" t="s">
        <v>4655</v>
      </c>
      <c r="F53" t="str">
        <f t="shared" si="1"/>
        <v>ah9728</v>
      </c>
    </row>
    <row r="54" spans="1:6">
      <c r="A54" t="s">
        <v>4656</v>
      </c>
      <c r="B54" t="s">
        <v>4657</v>
      </c>
      <c r="C54">
        <v>9729</v>
      </c>
      <c r="D54" t="s">
        <v>4658</v>
      </c>
      <c r="E54" t="s">
        <v>4659</v>
      </c>
      <c r="F54" t="str">
        <f t="shared" si="1"/>
        <v>ls9729</v>
      </c>
    </row>
    <row r="55" spans="1:6">
      <c r="A55" t="s">
        <v>4660</v>
      </c>
      <c r="B55" t="s">
        <v>4661</v>
      </c>
      <c r="C55">
        <v>9730</v>
      </c>
      <c r="D55" t="s">
        <v>4662</v>
      </c>
      <c r="E55" t="s">
        <v>4663</v>
      </c>
      <c r="F55" t="str">
        <f t="shared" si="1"/>
        <v>CT9730</v>
      </c>
    </row>
    <row r="56" spans="1:6">
      <c r="A56" t="s">
        <v>4664</v>
      </c>
      <c r="B56" t="s">
        <v>4665</v>
      </c>
      <c r="C56">
        <v>9731</v>
      </c>
      <c r="D56" t="s">
        <v>4666</v>
      </c>
      <c r="E56" t="s">
        <v>4667</v>
      </c>
      <c r="F56" t="str">
        <f t="shared" si="1"/>
        <v>mq9731</v>
      </c>
    </row>
    <row r="57" spans="1:6">
      <c r="A57" t="s">
        <v>4668</v>
      </c>
      <c r="B57" t="s">
        <v>4669</v>
      </c>
      <c r="C57">
        <v>9732</v>
      </c>
      <c r="D57" t="s">
        <v>4670</v>
      </c>
      <c r="E57" t="s">
        <v>4671</v>
      </c>
      <c r="F57" t="str">
        <f t="shared" si="1"/>
        <v>yB9732</v>
      </c>
    </row>
    <row r="58" spans="1:6">
      <c r="A58" t="s">
        <v>4672</v>
      </c>
      <c r="B58" t="s">
        <v>4673</v>
      </c>
      <c r="C58">
        <v>9742</v>
      </c>
      <c r="D58" t="s">
        <v>4674</v>
      </c>
      <c r="E58" t="s">
        <v>4675</v>
      </c>
      <c r="F58" t="str">
        <f t="shared" si="1"/>
        <v>Wr9742</v>
      </c>
    </row>
    <row r="59" spans="1:6">
      <c r="A59" t="s">
        <v>4676</v>
      </c>
      <c r="B59" t="s">
        <v>4677</v>
      </c>
      <c r="C59">
        <v>9745</v>
      </c>
      <c r="D59" t="s">
        <v>4678</v>
      </c>
      <c r="E59" t="s">
        <v>4679</v>
      </c>
      <c r="F59" t="str">
        <f t="shared" si="1"/>
        <v>fw9745</v>
      </c>
    </row>
    <row r="60" spans="1:6">
      <c r="A60" t="s">
        <v>4680</v>
      </c>
      <c r="B60" t="s">
        <v>4681</v>
      </c>
      <c r="C60">
        <v>9748</v>
      </c>
      <c r="D60" t="s">
        <v>4682</v>
      </c>
      <c r="E60" t="s">
        <v>4683</v>
      </c>
      <c r="F60" t="str">
        <f t="shared" si="1"/>
        <v>cj9748</v>
      </c>
    </row>
    <row r="61" spans="1:6">
      <c r="A61" t="s">
        <v>4684</v>
      </c>
      <c r="B61" t="s">
        <v>4685</v>
      </c>
      <c r="C61">
        <v>9749</v>
      </c>
      <c r="D61" t="s">
        <v>4686</v>
      </c>
      <c r="E61" t="s">
        <v>4687</v>
      </c>
      <c r="F61" t="str">
        <f t="shared" si="1"/>
        <v>fp9749</v>
      </c>
    </row>
    <row r="62" spans="1:6">
      <c r="A62" t="s">
        <v>4688</v>
      </c>
      <c r="B62" t="s">
        <v>4689</v>
      </c>
      <c r="C62">
        <v>9752</v>
      </c>
      <c r="D62" t="s">
        <v>4690</v>
      </c>
      <c r="E62" t="s">
        <v>4691</v>
      </c>
      <c r="F62" t="str">
        <f t="shared" si="1"/>
        <v>vd9752</v>
      </c>
    </row>
    <row r="63" spans="1:6">
      <c r="A63" t="s">
        <v>4692</v>
      </c>
      <c r="B63" t="s">
        <v>4693</v>
      </c>
      <c r="C63">
        <v>9757</v>
      </c>
      <c r="D63" t="s">
        <v>4694</v>
      </c>
      <c r="E63" t="s">
        <v>4695</v>
      </c>
      <c r="F63" t="str">
        <f t="shared" si="1"/>
        <v>dP9757</v>
      </c>
    </row>
    <row r="64" spans="1:6">
      <c r="A64" t="s">
        <v>4696</v>
      </c>
      <c r="B64" t="s">
        <v>4697</v>
      </c>
      <c r="C64">
        <v>9760</v>
      </c>
      <c r="D64" t="s">
        <v>4698</v>
      </c>
      <c r="E64" t="s">
        <v>4699</v>
      </c>
      <c r="F64" t="str">
        <f t="shared" si="1"/>
        <v>XS9760</v>
      </c>
    </row>
    <row r="65" spans="1:6">
      <c r="A65" t="s">
        <v>4700</v>
      </c>
      <c r="B65" t="s">
        <v>4701</v>
      </c>
      <c r="C65">
        <v>9762</v>
      </c>
      <c r="D65" t="s">
        <v>4702</v>
      </c>
      <c r="E65" t="s">
        <v>4703</v>
      </c>
      <c r="F65" t="str">
        <f t="shared" si="1"/>
        <v>Pe9762</v>
      </c>
    </row>
    <row r="66" spans="1:6">
      <c r="A66" t="s">
        <v>4704</v>
      </c>
      <c r="B66" t="s">
        <v>4705</v>
      </c>
      <c r="C66">
        <v>9763</v>
      </c>
      <c r="D66" t="s">
        <v>4706</v>
      </c>
      <c r="E66" t="s">
        <v>4707</v>
      </c>
      <c r="F66" t="str">
        <f t="shared" ref="F66:F97" si="2">MID(LEFT(E66,FIND(":",E66)-1),FIND(" ",E66)+1,LEN(E66))</f>
        <v>ST9763</v>
      </c>
    </row>
    <row r="67" spans="1:6">
      <c r="A67" t="s">
        <v>4708</v>
      </c>
      <c r="B67" t="s">
        <v>4709</v>
      </c>
      <c r="C67">
        <v>9766</v>
      </c>
      <c r="D67" t="s">
        <v>4710</v>
      </c>
      <c r="E67" t="s">
        <v>4711</v>
      </c>
      <c r="F67" t="str">
        <f t="shared" si="2"/>
        <v>bW9766</v>
      </c>
    </row>
    <row r="68" spans="1:6">
      <c r="A68" t="s">
        <v>4712</v>
      </c>
      <c r="B68" t="s">
        <v>4713</v>
      </c>
      <c r="C68">
        <v>9770</v>
      </c>
      <c r="D68" t="s">
        <v>4714</v>
      </c>
      <c r="E68" t="s">
        <v>4715</v>
      </c>
      <c r="F68" t="str">
        <f t="shared" si="2"/>
        <v>GT9770</v>
      </c>
    </row>
    <row r="69" spans="1:6">
      <c r="A69" t="s">
        <v>4716</v>
      </c>
      <c r="B69" t="s">
        <v>4717</v>
      </c>
      <c r="C69">
        <v>9774</v>
      </c>
      <c r="D69" t="s">
        <v>4718</v>
      </c>
      <c r="E69" t="s">
        <v>4719</v>
      </c>
      <c r="F69" t="str">
        <f t="shared" si="2"/>
        <v>zu9774</v>
      </c>
    </row>
    <row r="70" spans="1:6">
      <c r="A70" t="s">
        <v>4720</v>
      </c>
      <c r="B70" t="s">
        <v>4721</v>
      </c>
      <c r="C70">
        <v>9775</v>
      </c>
      <c r="D70" t="s">
        <v>4722</v>
      </c>
      <c r="E70" t="s">
        <v>4723</v>
      </c>
      <c r="F70" t="str">
        <f t="shared" si="2"/>
        <v>VM9775</v>
      </c>
    </row>
    <row r="71" spans="1:6">
      <c r="A71" t="s">
        <v>4724</v>
      </c>
      <c r="B71" t="s">
        <v>4725</v>
      </c>
      <c r="C71">
        <v>9784</v>
      </c>
      <c r="D71" t="s">
        <v>4726</v>
      </c>
      <c r="E71" t="s">
        <v>4727</v>
      </c>
      <c r="F71" t="str">
        <f t="shared" si="2"/>
        <v>ud9784</v>
      </c>
    </row>
    <row r="72" spans="1:6">
      <c r="A72" t="s">
        <v>4728</v>
      </c>
      <c r="B72" t="s">
        <v>4729</v>
      </c>
      <c r="C72">
        <v>9785</v>
      </c>
      <c r="D72" t="s">
        <v>4730</v>
      </c>
      <c r="E72" t="s">
        <v>4731</v>
      </c>
      <c r="F72" t="str">
        <f t="shared" si="2"/>
        <v>FS9785</v>
      </c>
    </row>
    <row r="73" spans="1:6">
      <c r="A73" t="s">
        <v>4732</v>
      </c>
      <c r="B73" t="s">
        <v>4733</v>
      </c>
      <c r="C73">
        <v>9786</v>
      </c>
      <c r="D73" t="s">
        <v>4734</v>
      </c>
      <c r="E73" t="s">
        <v>4735</v>
      </c>
      <c r="F73" t="str">
        <f t="shared" si="2"/>
        <v>jY9786</v>
      </c>
    </row>
    <row r="74" spans="1:6">
      <c r="A74" t="s">
        <v>4736</v>
      </c>
      <c r="B74" t="s">
        <v>4737</v>
      </c>
      <c r="C74">
        <v>9792</v>
      </c>
      <c r="D74" t="s">
        <v>4738</v>
      </c>
      <c r="E74" t="s">
        <v>4739</v>
      </c>
      <c r="F74" t="str">
        <f t="shared" si="2"/>
        <v>RH9792</v>
      </c>
    </row>
    <row r="75" spans="1:6">
      <c r="A75" t="s">
        <v>4740</v>
      </c>
      <c r="B75" t="s">
        <v>4741</v>
      </c>
      <c r="C75">
        <v>9794</v>
      </c>
      <c r="D75" t="s">
        <v>4742</v>
      </c>
      <c r="E75" t="s">
        <v>4743</v>
      </c>
      <c r="F75" t="str">
        <f t="shared" si="2"/>
        <v>XR9794</v>
      </c>
    </row>
    <row r="76" spans="1:6">
      <c r="A76" t="s">
        <v>4744</v>
      </c>
      <c r="B76" t="s">
        <v>4745</v>
      </c>
      <c r="C76">
        <v>9800</v>
      </c>
      <c r="D76" t="s">
        <v>4746</v>
      </c>
      <c r="E76" t="s">
        <v>4747</v>
      </c>
      <c r="F76" t="str">
        <f t="shared" si="2"/>
        <v>gk9800</v>
      </c>
    </row>
    <row r="77" spans="1:6">
      <c r="A77" t="s">
        <v>4748</v>
      </c>
      <c r="B77" t="s">
        <v>4749</v>
      </c>
      <c r="C77">
        <v>9801</v>
      </c>
      <c r="D77" t="s">
        <v>4750</v>
      </c>
      <c r="E77" t="s">
        <v>4751</v>
      </c>
      <c r="F77" t="str">
        <f t="shared" si="2"/>
        <v>hI9801</v>
      </c>
    </row>
    <row r="78" spans="1:6">
      <c r="A78" t="s">
        <v>4752</v>
      </c>
      <c r="B78" t="s">
        <v>4753</v>
      </c>
      <c r="C78">
        <v>9802</v>
      </c>
      <c r="D78" t="s">
        <v>4754</v>
      </c>
      <c r="E78" t="s">
        <v>4755</v>
      </c>
      <c r="F78" t="str">
        <f t="shared" si="2"/>
        <v>pk9802</v>
      </c>
    </row>
    <row r="79" spans="1:6">
      <c r="A79" t="s">
        <v>4756</v>
      </c>
      <c r="B79" t="s">
        <v>4757</v>
      </c>
      <c r="C79">
        <v>9803</v>
      </c>
      <c r="D79" t="s">
        <v>4758</v>
      </c>
      <c r="E79" t="s">
        <v>4759</v>
      </c>
      <c r="F79" t="str">
        <f t="shared" si="2"/>
        <v>yY9803</v>
      </c>
    </row>
    <row r="80" spans="1:6">
      <c r="A80" t="s">
        <v>4760</v>
      </c>
      <c r="B80" t="s">
        <v>4761</v>
      </c>
      <c r="C80">
        <v>9804</v>
      </c>
      <c r="D80" t="s">
        <v>4762</v>
      </c>
      <c r="E80" t="s">
        <v>4763</v>
      </c>
      <c r="F80" t="str">
        <f t="shared" si="2"/>
        <v>Nt9804</v>
      </c>
    </row>
    <row r="81" spans="1:6">
      <c r="A81" t="s">
        <v>4764</v>
      </c>
      <c r="B81" t="s">
        <v>4765</v>
      </c>
      <c r="C81">
        <v>9805</v>
      </c>
      <c r="D81" t="s">
        <v>4766</v>
      </c>
      <c r="E81" t="s">
        <v>4767</v>
      </c>
      <c r="F81" t="str">
        <f t="shared" si="2"/>
        <v>rQ9805</v>
      </c>
    </row>
    <row r="82" spans="1:6">
      <c r="A82" t="s">
        <v>4768</v>
      </c>
      <c r="B82" t="s">
        <v>4769</v>
      </c>
      <c r="C82">
        <v>9806</v>
      </c>
      <c r="D82" t="s">
        <v>4770</v>
      </c>
      <c r="E82" t="s">
        <v>4771</v>
      </c>
      <c r="F82" t="str">
        <f t="shared" si="2"/>
        <v>fi9806</v>
      </c>
    </row>
    <row r="83" spans="1:6">
      <c r="A83" t="s">
        <v>4772</v>
      </c>
      <c r="B83" t="s">
        <v>4773</v>
      </c>
      <c r="C83">
        <v>9807</v>
      </c>
      <c r="D83" t="s">
        <v>4774</v>
      </c>
      <c r="E83" t="s">
        <v>4775</v>
      </c>
      <c r="F83" t="str">
        <f t="shared" si="2"/>
        <v>Lc9807</v>
      </c>
    </row>
    <row r="84" spans="1:6">
      <c r="A84" t="s">
        <v>4776</v>
      </c>
      <c r="B84" t="s">
        <v>4777</v>
      </c>
      <c r="C84">
        <v>9808</v>
      </c>
      <c r="D84" t="s">
        <v>4778</v>
      </c>
      <c r="E84" t="s">
        <v>4779</v>
      </c>
      <c r="F84" t="str">
        <f t="shared" si="2"/>
        <v>jO9808</v>
      </c>
    </row>
    <row r="85" spans="1:6">
      <c r="A85" t="s">
        <v>4780</v>
      </c>
      <c r="B85" t="s">
        <v>4781</v>
      </c>
      <c r="C85">
        <v>9809</v>
      </c>
      <c r="D85" t="s">
        <v>4782</v>
      </c>
      <c r="E85" t="s">
        <v>4783</v>
      </c>
      <c r="F85" t="str">
        <f t="shared" si="2"/>
        <v>Rk9809</v>
      </c>
    </row>
    <row r="86" spans="1:6">
      <c r="A86" t="s">
        <v>4784</v>
      </c>
      <c r="B86" t="s">
        <v>4785</v>
      </c>
      <c r="C86">
        <v>9810</v>
      </c>
      <c r="D86" t="s">
        <v>4786</v>
      </c>
      <c r="E86" t="s">
        <v>4787</v>
      </c>
      <c r="F86" t="str">
        <f t="shared" si="2"/>
        <v>wb9810</v>
      </c>
    </row>
    <row r="87" spans="1:6">
      <c r="A87" t="s">
        <v>4788</v>
      </c>
      <c r="B87" t="s">
        <v>4789</v>
      </c>
      <c r="C87">
        <v>9811</v>
      </c>
      <c r="D87" t="s">
        <v>4790</v>
      </c>
      <c r="E87" t="s">
        <v>4791</v>
      </c>
      <c r="F87" t="str">
        <f t="shared" si="2"/>
        <v>Yy9811</v>
      </c>
    </row>
    <row r="88" spans="1:6">
      <c r="A88" t="s">
        <v>4792</v>
      </c>
      <c r="B88" t="s">
        <v>4793</v>
      </c>
      <c r="C88">
        <v>9823</v>
      </c>
      <c r="D88" t="s">
        <v>4794</v>
      </c>
      <c r="E88" t="s">
        <v>4795</v>
      </c>
      <c r="F88" t="str">
        <f t="shared" si="2"/>
        <v>rj9823</v>
      </c>
    </row>
    <row r="89" spans="1:6">
      <c r="A89" t="s">
        <v>4796</v>
      </c>
      <c r="B89" t="s">
        <v>4797</v>
      </c>
      <c r="C89">
        <v>9824</v>
      </c>
      <c r="D89" t="s">
        <v>4798</v>
      </c>
      <c r="E89" t="s">
        <v>4799</v>
      </c>
      <c r="F89" t="str">
        <f t="shared" si="2"/>
        <v>Kw9824</v>
      </c>
    </row>
    <row r="90" spans="1:6">
      <c r="A90" t="s">
        <v>4800</v>
      </c>
      <c r="B90" t="s">
        <v>4801</v>
      </c>
      <c r="C90">
        <v>9827</v>
      </c>
      <c r="D90" t="s">
        <v>4802</v>
      </c>
      <c r="E90" t="s">
        <v>4803</v>
      </c>
      <c r="F90" t="str">
        <f t="shared" si="2"/>
        <v>Iv9827</v>
      </c>
    </row>
    <row r="91" spans="1:6">
      <c r="A91" t="s">
        <v>4804</v>
      </c>
      <c r="B91" t="s">
        <v>4805</v>
      </c>
      <c r="C91">
        <v>9829</v>
      </c>
      <c r="D91" t="s">
        <v>4806</v>
      </c>
      <c r="E91" t="s">
        <v>4807</v>
      </c>
      <c r="F91" t="str">
        <f t="shared" si="2"/>
        <v>bV9829</v>
      </c>
    </row>
    <row r="92" spans="1:6">
      <c r="A92" t="s">
        <v>4808</v>
      </c>
      <c r="B92" t="s">
        <v>4809</v>
      </c>
      <c r="C92">
        <v>9830</v>
      </c>
      <c r="D92" t="s">
        <v>4810</v>
      </c>
      <c r="E92" t="s">
        <v>4811</v>
      </c>
      <c r="F92" t="str">
        <f t="shared" si="2"/>
        <v>Kk9830</v>
      </c>
    </row>
    <row r="93" spans="1:6">
      <c r="A93" t="s">
        <v>4812</v>
      </c>
      <c r="B93" t="s">
        <v>4813</v>
      </c>
      <c r="C93">
        <v>9832</v>
      </c>
      <c r="D93" t="s">
        <v>4814</v>
      </c>
      <c r="E93" t="s">
        <v>4815</v>
      </c>
      <c r="F93" t="str">
        <f t="shared" si="2"/>
        <v>mR9832</v>
      </c>
    </row>
    <row r="94" spans="1:6">
      <c r="A94" t="s">
        <v>4816</v>
      </c>
      <c r="B94" t="s">
        <v>4817</v>
      </c>
      <c r="C94">
        <v>9851</v>
      </c>
      <c r="D94" t="s">
        <v>4818</v>
      </c>
      <c r="E94" t="s">
        <v>4819</v>
      </c>
      <c r="F94" t="str">
        <f t="shared" si="2"/>
        <v>nf9851</v>
      </c>
    </row>
    <row r="95" spans="1:6">
      <c r="A95" t="s">
        <v>4820</v>
      </c>
      <c r="B95" t="s">
        <v>4821</v>
      </c>
      <c r="C95">
        <v>9854</v>
      </c>
      <c r="D95" t="s">
        <v>4822</v>
      </c>
      <c r="E95" t="s">
        <v>4823</v>
      </c>
      <c r="F95" t="str">
        <f t="shared" si="2"/>
        <v>HX9854</v>
      </c>
    </row>
    <row r="96" spans="1:6">
      <c r="A96" t="s">
        <v>4824</v>
      </c>
      <c r="B96" t="s">
        <v>4825</v>
      </c>
      <c r="C96">
        <v>9855</v>
      </c>
      <c r="D96" t="s">
        <v>4826</v>
      </c>
      <c r="E96" t="s">
        <v>4827</v>
      </c>
      <c r="F96" t="str">
        <f t="shared" si="2"/>
        <v>CE9855</v>
      </c>
    </row>
    <row r="97" spans="1:6">
      <c r="A97" t="s">
        <v>4828</v>
      </c>
      <c r="B97" t="s">
        <v>4829</v>
      </c>
      <c r="C97">
        <v>9874</v>
      </c>
      <c r="D97" t="s">
        <v>4830</v>
      </c>
      <c r="E97" t="s">
        <v>4831</v>
      </c>
      <c r="F97" t="str">
        <f t="shared" si="2"/>
        <v>Tf9874</v>
      </c>
    </row>
    <row r="98" spans="1:6">
      <c r="A98" t="s">
        <v>4832</v>
      </c>
      <c r="B98" t="s">
        <v>4833</v>
      </c>
      <c r="C98">
        <v>9875</v>
      </c>
      <c r="D98" t="s">
        <v>4834</v>
      </c>
      <c r="E98" t="s">
        <v>4835</v>
      </c>
      <c r="F98" t="str">
        <f t="shared" ref="F98:F129" si="3">MID(LEFT(E98,FIND(":",E98)-1),FIND(" ",E98)+1,LEN(E98))</f>
        <v>Sr9875</v>
      </c>
    </row>
    <row r="99" spans="1:6">
      <c r="A99" t="s">
        <v>4836</v>
      </c>
      <c r="B99" t="s">
        <v>4837</v>
      </c>
      <c r="C99">
        <v>9876</v>
      </c>
      <c r="D99" t="s">
        <v>4838</v>
      </c>
      <c r="E99" t="s">
        <v>4839</v>
      </c>
      <c r="F99" t="str">
        <f t="shared" si="3"/>
        <v>me9876</v>
      </c>
    </row>
    <row r="100" spans="1:6">
      <c r="A100" t="s">
        <v>4840</v>
      </c>
      <c r="B100" t="s">
        <v>4841</v>
      </c>
      <c r="C100">
        <v>9877</v>
      </c>
      <c r="D100" t="s">
        <v>4842</v>
      </c>
      <c r="E100" t="s">
        <v>4843</v>
      </c>
      <c r="F100" t="str">
        <f t="shared" si="3"/>
        <v>Do9877</v>
      </c>
    </row>
    <row r="101" spans="1:6">
      <c r="A101" t="s">
        <v>4844</v>
      </c>
      <c r="B101" t="s">
        <v>4845</v>
      </c>
      <c r="C101">
        <v>9878</v>
      </c>
      <c r="D101" t="s">
        <v>4846</v>
      </c>
      <c r="E101" t="s">
        <v>4847</v>
      </c>
      <c r="F101" t="str">
        <f t="shared" si="3"/>
        <v>rN9878</v>
      </c>
    </row>
    <row r="102" spans="1:6">
      <c r="A102" t="s">
        <v>4848</v>
      </c>
      <c r="B102" t="s">
        <v>4849</v>
      </c>
      <c r="C102">
        <v>9879</v>
      </c>
      <c r="D102" t="s">
        <v>4850</v>
      </c>
      <c r="E102" t="s">
        <v>4851</v>
      </c>
      <c r="F102" t="str">
        <f t="shared" si="3"/>
        <v>pT9879</v>
      </c>
    </row>
    <row r="103" spans="1:6">
      <c r="A103" t="s">
        <v>4852</v>
      </c>
      <c r="B103" t="s">
        <v>4853</v>
      </c>
      <c r="C103">
        <v>9881</v>
      </c>
      <c r="D103" t="s">
        <v>4854</v>
      </c>
      <c r="E103" t="s">
        <v>4855</v>
      </c>
      <c r="F103" t="str">
        <f t="shared" si="3"/>
        <v>Fa9881</v>
      </c>
    </row>
    <row r="104" spans="1:6">
      <c r="A104" t="s">
        <v>4856</v>
      </c>
      <c r="B104" t="s">
        <v>4857</v>
      </c>
      <c r="C104">
        <v>9883</v>
      </c>
      <c r="D104" t="s">
        <v>4858</v>
      </c>
      <c r="E104" t="s">
        <v>4859</v>
      </c>
      <c r="F104" t="str">
        <f t="shared" si="3"/>
        <v>Ny9883</v>
      </c>
    </row>
    <row r="105" spans="1:6">
      <c r="A105" t="s">
        <v>4860</v>
      </c>
      <c r="B105" t="s">
        <v>4861</v>
      </c>
      <c r="C105">
        <v>9884</v>
      </c>
      <c r="D105" t="s">
        <v>4862</v>
      </c>
      <c r="E105" t="s">
        <v>4863</v>
      </c>
      <c r="F105" t="str">
        <f t="shared" si="3"/>
        <v>Gd9884</v>
      </c>
    </row>
    <row r="106" spans="1:6">
      <c r="A106" t="s">
        <v>4864</v>
      </c>
      <c r="B106" t="s">
        <v>4865</v>
      </c>
      <c r="C106">
        <v>9888</v>
      </c>
      <c r="D106" t="s">
        <v>4866</v>
      </c>
      <c r="E106" t="s">
        <v>4867</v>
      </c>
      <c r="F106" t="str">
        <f t="shared" si="3"/>
        <v>Wz9888</v>
      </c>
    </row>
    <row r="107" spans="1:6">
      <c r="A107" t="s">
        <v>4868</v>
      </c>
      <c r="B107" t="s">
        <v>4869</v>
      </c>
      <c r="C107">
        <v>9889</v>
      </c>
      <c r="D107" t="s">
        <v>4870</v>
      </c>
      <c r="E107" t="s">
        <v>4871</v>
      </c>
      <c r="F107" t="str">
        <f t="shared" si="3"/>
        <v>aW9889</v>
      </c>
    </row>
    <row r="108" spans="1:6">
      <c r="A108" t="s">
        <v>4872</v>
      </c>
      <c r="B108" t="s">
        <v>4873</v>
      </c>
      <c r="C108">
        <v>9895</v>
      </c>
      <c r="D108" t="s">
        <v>4874</v>
      </c>
      <c r="E108" t="s">
        <v>4875</v>
      </c>
      <c r="F108" t="str">
        <f t="shared" si="3"/>
        <v>hc9895</v>
      </c>
    </row>
    <row r="109" spans="1:6">
      <c r="A109" t="s">
        <v>4876</v>
      </c>
      <c r="B109" t="s">
        <v>4877</v>
      </c>
      <c r="C109">
        <v>9898</v>
      </c>
      <c r="D109" t="s">
        <v>4878</v>
      </c>
      <c r="E109" t="s">
        <v>4879</v>
      </c>
      <c r="F109" t="str">
        <f t="shared" si="3"/>
        <v>VG9898</v>
      </c>
    </row>
    <row r="110" spans="1:6">
      <c r="A110" t="s">
        <v>4880</v>
      </c>
      <c r="B110" t="s">
        <v>4881</v>
      </c>
      <c r="C110">
        <v>9899</v>
      </c>
      <c r="D110" t="s">
        <v>4882</v>
      </c>
      <c r="E110" t="s">
        <v>4883</v>
      </c>
      <c r="F110" t="str">
        <f t="shared" si="3"/>
        <v>yi9899</v>
      </c>
    </row>
    <row r="111" spans="1:6">
      <c r="A111" t="s">
        <v>4884</v>
      </c>
      <c r="B111" t="s">
        <v>4885</v>
      </c>
      <c r="C111">
        <v>9904</v>
      </c>
      <c r="D111" t="s">
        <v>4886</v>
      </c>
      <c r="E111" t="s">
        <v>4887</v>
      </c>
      <c r="F111" t="str">
        <f t="shared" si="3"/>
        <v>TR9904</v>
      </c>
    </row>
    <row r="112" spans="1:6">
      <c r="A112" t="s">
        <v>4888</v>
      </c>
      <c r="B112" t="s">
        <v>4889</v>
      </c>
      <c r="C112">
        <v>9905</v>
      </c>
      <c r="D112" t="s">
        <v>4890</v>
      </c>
      <c r="E112" t="s">
        <v>4891</v>
      </c>
      <c r="F112" t="str">
        <f t="shared" si="3"/>
        <v>SZ9905</v>
      </c>
    </row>
    <row r="113" spans="1:6">
      <c r="A113" t="s">
        <v>4892</v>
      </c>
      <c r="B113" t="s">
        <v>4893</v>
      </c>
      <c r="C113">
        <v>9924</v>
      </c>
      <c r="D113" t="s">
        <v>4894</v>
      </c>
      <c r="E113" t="s">
        <v>4895</v>
      </c>
      <c r="F113" t="str">
        <f t="shared" si="3"/>
        <v>Fi9924</v>
      </c>
    </row>
    <row r="114" spans="1:6">
      <c r="A114" t="s">
        <v>4896</v>
      </c>
      <c r="B114" t="s">
        <v>4897</v>
      </c>
      <c r="C114">
        <v>9925</v>
      </c>
      <c r="D114" t="s">
        <v>4898</v>
      </c>
      <c r="E114" t="s">
        <v>4899</v>
      </c>
      <c r="F114" t="str">
        <f t="shared" si="3"/>
        <v>Fm9925</v>
      </c>
    </row>
    <row r="115" spans="1:6">
      <c r="A115" t="s">
        <v>4900</v>
      </c>
      <c r="B115" t="s">
        <v>4901</v>
      </c>
      <c r="C115">
        <v>9928</v>
      </c>
      <c r="D115" t="s">
        <v>4902</v>
      </c>
      <c r="E115" t="s">
        <v>4903</v>
      </c>
      <c r="F115" t="str">
        <f t="shared" si="3"/>
        <v>CK9928</v>
      </c>
    </row>
    <row r="116" spans="1:6">
      <c r="A116" t="s">
        <v>4904</v>
      </c>
      <c r="B116" t="s">
        <v>4905</v>
      </c>
      <c r="C116">
        <v>9934</v>
      </c>
      <c r="D116" t="s">
        <v>4906</v>
      </c>
      <c r="E116" t="s">
        <v>4907</v>
      </c>
      <c r="F116" t="str">
        <f t="shared" si="3"/>
        <v>mn9934</v>
      </c>
    </row>
    <row r="117" spans="1:6">
      <c r="A117" t="s">
        <v>4908</v>
      </c>
      <c r="B117" t="s">
        <v>4909</v>
      </c>
      <c r="C117">
        <v>9935</v>
      </c>
      <c r="D117" t="s">
        <v>4910</v>
      </c>
      <c r="E117" t="s">
        <v>4911</v>
      </c>
      <c r="F117" t="str">
        <f t="shared" si="3"/>
        <v>Kl9935</v>
      </c>
    </row>
    <row r="118" spans="1:6">
      <c r="A118" t="s">
        <v>4912</v>
      </c>
      <c r="B118" t="s">
        <v>4913</v>
      </c>
      <c r="C118">
        <v>9937</v>
      </c>
      <c r="D118" t="s">
        <v>4914</v>
      </c>
      <c r="E118" t="s">
        <v>4915</v>
      </c>
      <c r="F118" t="str">
        <f t="shared" si="3"/>
        <v>ou9937</v>
      </c>
    </row>
    <row r="119" spans="1:6">
      <c r="A119" t="s">
        <v>4916</v>
      </c>
      <c r="B119" t="s">
        <v>4917</v>
      </c>
      <c r="C119">
        <v>9939</v>
      </c>
      <c r="D119" t="s">
        <v>4918</v>
      </c>
      <c r="E119" t="s">
        <v>4919</v>
      </c>
      <c r="F119" t="str">
        <f t="shared" si="3"/>
        <v>Ti9939</v>
      </c>
    </row>
    <row r="120" spans="1:6">
      <c r="A120" t="s">
        <v>4920</v>
      </c>
      <c r="B120" t="s">
        <v>4921</v>
      </c>
      <c r="C120">
        <v>9940</v>
      </c>
      <c r="D120" t="s">
        <v>4922</v>
      </c>
      <c r="E120" t="s">
        <v>4923</v>
      </c>
      <c r="F120" t="str">
        <f t="shared" si="3"/>
        <v>qr9940</v>
      </c>
    </row>
    <row r="121" spans="1:6">
      <c r="A121" t="s">
        <v>4924</v>
      </c>
      <c r="B121" t="s">
        <v>4925</v>
      </c>
      <c r="C121">
        <v>9961</v>
      </c>
      <c r="D121" t="s">
        <v>4926</v>
      </c>
      <c r="E121" t="s">
        <v>4927</v>
      </c>
      <c r="F121" t="str">
        <f t="shared" si="3"/>
        <v>XI9961</v>
      </c>
    </row>
    <row r="122" spans="1:6">
      <c r="A122" t="s">
        <v>4928</v>
      </c>
      <c r="B122" t="s">
        <v>4929</v>
      </c>
      <c r="C122">
        <v>9962</v>
      </c>
      <c r="D122" t="s">
        <v>4930</v>
      </c>
      <c r="E122" t="s">
        <v>4931</v>
      </c>
      <c r="F122" t="str">
        <f t="shared" si="3"/>
        <v>tk9962</v>
      </c>
    </row>
    <row r="123" spans="1:6">
      <c r="A123" t="s">
        <v>4932</v>
      </c>
      <c r="B123" t="s">
        <v>4933</v>
      </c>
      <c r="C123">
        <v>9968</v>
      </c>
      <c r="D123" t="s">
        <v>4934</v>
      </c>
      <c r="E123" t="s">
        <v>4935</v>
      </c>
      <c r="F123" t="str">
        <f t="shared" si="3"/>
        <v>KL9968</v>
      </c>
    </row>
    <row r="124" spans="1:6">
      <c r="A124" t="s">
        <v>4936</v>
      </c>
      <c r="B124" t="s">
        <v>4937</v>
      </c>
      <c r="C124">
        <v>9969</v>
      </c>
      <c r="D124" t="s">
        <v>4938</v>
      </c>
      <c r="E124" t="s">
        <v>4939</v>
      </c>
      <c r="F124" t="str">
        <f t="shared" si="3"/>
        <v>Ro9969</v>
      </c>
    </row>
    <row r="125" spans="1:6">
      <c r="A125" t="s">
        <v>4940</v>
      </c>
      <c r="B125" t="s">
        <v>4941</v>
      </c>
      <c r="C125">
        <v>9970</v>
      </c>
      <c r="D125" t="s">
        <v>4942</v>
      </c>
      <c r="E125" t="s">
        <v>4943</v>
      </c>
      <c r="F125" t="str">
        <f t="shared" si="3"/>
        <v>dV9970</v>
      </c>
    </row>
    <row r="126" spans="1:6">
      <c r="A126" t="s">
        <v>4944</v>
      </c>
      <c r="B126" t="s">
        <v>4945</v>
      </c>
      <c r="C126">
        <v>9971</v>
      </c>
      <c r="D126" t="s">
        <v>4946</v>
      </c>
      <c r="E126" t="s">
        <v>4947</v>
      </c>
      <c r="F126" t="str">
        <f t="shared" si="3"/>
        <v>WA9971</v>
      </c>
    </row>
    <row r="127" spans="1:6">
      <c r="A127" t="s">
        <v>4948</v>
      </c>
      <c r="B127" t="s">
        <v>4949</v>
      </c>
      <c r="C127">
        <v>9972</v>
      </c>
      <c r="D127" t="s">
        <v>4950</v>
      </c>
      <c r="E127" t="s">
        <v>4951</v>
      </c>
      <c r="F127" t="str">
        <f t="shared" si="3"/>
        <v>Ho9972</v>
      </c>
    </row>
    <row r="128" spans="1:6">
      <c r="A128" t="s">
        <v>4952</v>
      </c>
      <c r="B128" t="s">
        <v>4953</v>
      </c>
      <c r="C128">
        <v>9973</v>
      </c>
      <c r="D128" t="s">
        <v>4954</v>
      </c>
      <c r="E128" t="s">
        <v>4955</v>
      </c>
      <c r="F128" t="str">
        <f t="shared" si="3"/>
        <v>aA9973</v>
      </c>
    </row>
    <row r="129" spans="1:6">
      <c r="A129" t="s">
        <v>4956</v>
      </c>
      <c r="B129" t="s">
        <v>4957</v>
      </c>
      <c r="C129">
        <v>9975</v>
      </c>
      <c r="D129" t="s">
        <v>4958</v>
      </c>
      <c r="E129" t="s">
        <v>4959</v>
      </c>
      <c r="F129" t="str">
        <f t="shared" si="3"/>
        <v>HN9975</v>
      </c>
    </row>
    <row r="130" spans="1:6">
      <c r="A130" t="s">
        <v>4960</v>
      </c>
      <c r="B130" t="s">
        <v>4961</v>
      </c>
      <c r="C130">
        <v>9976</v>
      </c>
      <c r="D130" t="s">
        <v>4962</v>
      </c>
      <c r="E130" t="s">
        <v>4963</v>
      </c>
      <c r="F130" t="str">
        <f t="shared" ref="F130:F161" si="4">MID(LEFT(E130,FIND(":",E130)-1),FIND(" ",E130)+1,LEN(E130))</f>
        <v>ma9976</v>
      </c>
    </row>
    <row r="131" spans="1:6">
      <c r="A131" t="s">
        <v>4964</v>
      </c>
      <c r="B131" t="s">
        <v>4965</v>
      </c>
      <c r="C131">
        <v>9977</v>
      </c>
      <c r="D131" t="s">
        <v>4966</v>
      </c>
      <c r="E131" t="s">
        <v>4967</v>
      </c>
      <c r="F131" t="str">
        <f t="shared" si="4"/>
        <v>em9977</v>
      </c>
    </row>
    <row r="132" spans="1:6">
      <c r="A132" t="s">
        <v>4968</v>
      </c>
      <c r="B132" t="s">
        <v>4969</v>
      </c>
      <c r="C132">
        <v>9978</v>
      </c>
      <c r="D132" t="s">
        <v>4970</v>
      </c>
      <c r="E132" t="s">
        <v>4971</v>
      </c>
      <c r="F132" t="str">
        <f t="shared" si="4"/>
        <v>JA9978</v>
      </c>
    </row>
    <row r="133" spans="1:6">
      <c r="A133" t="s">
        <v>4972</v>
      </c>
      <c r="B133" t="s">
        <v>4973</v>
      </c>
      <c r="C133">
        <v>9981</v>
      </c>
      <c r="D133" t="s">
        <v>4974</v>
      </c>
      <c r="E133" t="s">
        <v>4975</v>
      </c>
      <c r="F133" t="str">
        <f t="shared" si="4"/>
        <v>Cx9981</v>
      </c>
    </row>
    <row r="134" spans="1:6">
      <c r="A134" t="s">
        <v>4976</v>
      </c>
      <c r="B134" t="s">
        <v>4977</v>
      </c>
      <c r="C134">
        <v>9986</v>
      </c>
      <c r="D134" t="s">
        <v>4978</v>
      </c>
      <c r="E134" t="s">
        <v>4979</v>
      </c>
      <c r="F134" t="str">
        <f t="shared" si="4"/>
        <v>Ix9986</v>
      </c>
    </row>
    <row r="135" spans="1:6">
      <c r="A135" t="s">
        <v>4980</v>
      </c>
      <c r="B135" t="s">
        <v>4981</v>
      </c>
      <c r="C135">
        <v>9989</v>
      </c>
      <c r="D135" t="s">
        <v>4982</v>
      </c>
      <c r="E135" t="s">
        <v>4983</v>
      </c>
      <c r="F135" t="str">
        <f t="shared" si="4"/>
        <v>rS9989</v>
      </c>
    </row>
    <row r="136" spans="1:6">
      <c r="A136" t="s">
        <v>4984</v>
      </c>
      <c r="B136" t="s">
        <v>4985</v>
      </c>
      <c r="C136">
        <v>9992</v>
      </c>
      <c r="D136" t="s">
        <v>4986</v>
      </c>
      <c r="E136" t="s">
        <v>4987</v>
      </c>
      <c r="F136" t="str">
        <f t="shared" si="4"/>
        <v>Nh9992</v>
      </c>
    </row>
    <row r="137" spans="1:6">
      <c r="A137" t="s">
        <v>4988</v>
      </c>
      <c r="B137" t="s">
        <v>4989</v>
      </c>
      <c r="C137">
        <v>9993</v>
      </c>
      <c r="D137" t="s">
        <v>4990</v>
      </c>
      <c r="E137" t="s">
        <v>4991</v>
      </c>
      <c r="F137" t="str">
        <f t="shared" si="4"/>
        <v>hE9993</v>
      </c>
    </row>
    <row r="138" spans="1:6">
      <c r="A138" t="s">
        <v>4992</v>
      </c>
      <c r="B138" t="s">
        <v>4993</v>
      </c>
      <c r="C138">
        <v>9994</v>
      </c>
      <c r="D138" t="s">
        <v>4994</v>
      </c>
      <c r="E138" t="s">
        <v>4995</v>
      </c>
      <c r="F138" t="str">
        <f t="shared" si="4"/>
        <v>rm9994</v>
      </c>
    </row>
    <row r="139" spans="1:6">
      <c r="A139" t="s">
        <v>4996</v>
      </c>
      <c r="B139" t="s">
        <v>4997</v>
      </c>
      <c r="C139">
        <v>9995</v>
      </c>
      <c r="D139" t="s">
        <v>4998</v>
      </c>
      <c r="E139" t="s">
        <v>4999</v>
      </c>
      <c r="F139" t="str">
        <f t="shared" si="4"/>
        <v>jy9995</v>
      </c>
    </row>
    <row r="140" spans="1:6">
      <c r="A140" t="s">
        <v>5000</v>
      </c>
      <c r="B140" t="s">
        <v>5001</v>
      </c>
      <c r="C140">
        <v>9996</v>
      </c>
      <c r="D140" t="s">
        <v>5002</v>
      </c>
      <c r="E140" t="s">
        <v>5003</v>
      </c>
      <c r="F140" t="str">
        <f t="shared" si="4"/>
        <v>Kd9996</v>
      </c>
    </row>
    <row r="141" spans="1:6">
      <c r="A141" t="s">
        <v>5004</v>
      </c>
      <c r="B141" t="s">
        <v>5005</v>
      </c>
      <c r="C141">
        <v>9997</v>
      </c>
      <c r="D141" t="s">
        <v>5006</v>
      </c>
      <c r="E141" t="s">
        <v>5007</v>
      </c>
      <c r="F141" t="str">
        <f t="shared" si="4"/>
        <v>Dp9997</v>
      </c>
    </row>
    <row r="142" spans="1:6">
      <c r="A142" t="s">
        <v>5008</v>
      </c>
      <c r="B142" t="s">
        <v>5009</v>
      </c>
      <c r="C142">
        <v>9999</v>
      </c>
      <c r="D142" t="s">
        <v>5010</v>
      </c>
      <c r="E142" t="s">
        <v>5011</v>
      </c>
      <c r="F142" t="str">
        <f t="shared" si="4"/>
        <v>cb9999</v>
      </c>
    </row>
    <row r="143" spans="1:6">
      <c r="A143" t="s">
        <v>5012</v>
      </c>
      <c r="B143" t="s">
        <v>5013</v>
      </c>
      <c r="C143">
        <v>10002</v>
      </c>
      <c r="D143" t="s">
        <v>5014</v>
      </c>
      <c r="E143" t="s">
        <v>5015</v>
      </c>
      <c r="F143" t="str">
        <f t="shared" si="4"/>
        <v>wj10002</v>
      </c>
    </row>
    <row r="144" spans="1:6">
      <c r="A144" t="s">
        <v>5016</v>
      </c>
      <c r="B144" t="s">
        <v>5017</v>
      </c>
      <c r="C144">
        <v>10004</v>
      </c>
      <c r="D144" t="s">
        <v>5018</v>
      </c>
      <c r="E144" t="s">
        <v>5019</v>
      </c>
      <c r="F144" t="str">
        <f t="shared" si="4"/>
        <v>gG10004</v>
      </c>
    </row>
    <row r="145" spans="1:6">
      <c r="A145" t="s">
        <v>5020</v>
      </c>
      <c r="B145" t="s">
        <v>5021</v>
      </c>
      <c r="C145">
        <v>10006</v>
      </c>
      <c r="D145" t="s">
        <v>5022</v>
      </c>
      <c r="E145" t="s">
        <v>5023</v>
      </c>
      <c r="F145" t="str">
        <f t="shared" si="4"/>
        <v>gT10006</v>
      </c>
    </row>
    <row r="146" spans="1:6">
      <c r="A146" t="s">
        <v>5024</v>
      </c>
      <c r="B146" t="s">
        <v>5025</v>
      </c>
      <c r="C146">
        <v>10013</v>
      </c>
      <c r="D146" t="s">
        <v>5026</v>
      </c>
      <c r="E146" t="s">
        <v>5027</v>
      </c>
      <c r="F146" t="str">
        <f t="shared" si="4"/>
        <v>yG10013</v>
      </c>
    </row>
    <row r="147" spans="1:6">
      <c r="A147" t="s">
        <v>5028</v>
      </c>
      <c r="B147" t="s">
        <v>5029</v>
      </c>
      <c r="C147">
        <v>10017</v>
      </c>
      <c r="D147" t="s">
        <v>5030</v>
      </c>
      <c r="E147" t="s">
        <v>5031</v>
      </c>
      <c r="F147" t="str">
        <f t="shared" si="4"/>
        <v>if10017</v>
      </c>
    </row>
    <row r="148" spans="1:6">
      <c r="A148" t="s">
        <v>5032</v>
      </c>
      <c r="B148" t="s">
        <v>5033</v>
      </c>
      <c r="C148">
        <v>10024</v>
      </c>
      <c r="D148" t="s">
        <v>5034</v>
      </c>
      <c r="E148" t="s">
        <v>5035</v>
      </c>
      <c r="F148" t="str">
        <f t="shared" si="4"/>
        <v>iM10024</v>
      </c>
    </row>
    <row r="149" spans="1:6">
      <c r="A149" t="s">
        <v>5036</v>
      </c>
      <c r="B149" t="s">
        <v>5037</v>
      </c>
      <c r="C149">
        <v>10035</v>
      </c>
      <c r="D149" t="s">
        <v>5038</v>
      </c>
      <c r="E149" t="s">
        <v>5039</v>
      </c>
      <c r="F149" t="str">
        <f t="shared" si="4"/>
        <v>da10035</v>
      </c>
    </row>
    <row r="150" spans="1:6">
      <c r="A150" t="s">
        <v>5040</v>
      </c>
      <c r="B150" t="s">
        <v>5041</v>
      </c>
      <c r="C150">
        <v>10036</v>
      </c>
      <c r="D150" t="s">
        <v>5042</v>
      </c>
      <c r="E150" t="s">
        <v>5043</v>
      </c>
      <c r="F150" t="str">
        <f t="shared" si="4"/>
        <v>RY10036</v>
      </c>
    </row>
    <row r="151" spans="1:6">
      <c r="A151" t="s">
        <v>5044</v>
      </c>
      <c r="B151" t="s">
        <v>5045</v>
      </c>
      <c r="C151">
        <v>10052</v>
      </c>
      <c r="D151" t="s">
        <v>5046</v>
      </c>
      <c r="E151" t="s">
        <v>5047</v>
      </c>
      <c r="F151" t="str">
        <f t="shared" si="4"/>
        <v>Kn10052</v>
      </c>
    </row>
    <row r="152" spans="1:6">
      <c r="A152" t="s">
        <v>5048</v>
      </c>
      <c r="B152" t="s">
        <v>5049</v>
      </c>
      <c r="C152">
        <v>10055</v>
      </c>
      <c r="D152" t="s">
        <v>5050</v>
      </c>
      <c r="E152" t="s">
        <v>5051</v>
      </c>
      <c r="F152" t="str">
        <f t="shared" si="4"/>
        <v>PK10055</v>
      </c>
    </row>
    <row r="153" spans="1:6">
      <c r="A153" t="s">
        <v>5052</v>
      </c>
      <c r="B153" t="s">
        <v>5053</v>
      </c>
      <c r="C153">
        <v>10060</v>
      </c>
      <c r="D153" t="s">
        <v>5054</v>
      </c>
      <c r="E153" t="s">
        <v>5055</v>
      </c>
      <c r="F153" t="str">
        <f t="shared" si="4"/>
        <v>uT10060</v>
      </c>
    </row>
    <row r="154" spans="1:6">
      <c r="A154" t="s">
        <v>5056</v>
      </c>
      <c r="B154" t="s">
        <v>5057</v>
      </c>
      <c r="C154">
        <v>10062</v>
      </c>
      <c r="D154" t="s">
        <v>5058</v>
      </c>
      <c r="E154" t="s">
        <v>5059</v>
      </c>
      <c r="F154" t="str">
        <f t="shared" si="4"/>
        <v>cp10062</v>
      </c>
    </row>
    <row r="155" spans="1:6">
      <c r="A155" t="s">
        <v>5060</v>
      </c>
      <c r="B155" t="s">
        <v>5061</v>
      </c>
      <c r="C155">
        <v>10067</v>
      </c>
      <c r="D155" t="s">
        <v>5062</v>
      </c>
      <c r="E155" t="s">
        <v>5063</v>
      </c>
      <c r="F155" t="str">
        <f t="shared" si="4"/>
        <v>FW10067</v>
      </c>
    </row>
    <row r="156" spans="1:6">
      <c r="A156" t="s">
        <v>5064</v>
      </c>
      <c r="B156" t="s">
        <v>5065</v>
      </c>
      <c r="C156">
        <v>10068</v>
      </c>
      <c r="D156" t="s">
        <v>5066</v>
      </c>
      <c r="E156" t="s">
        <v>5067</v>
      </c>
      <c r="F156" t="str">
        <f t="shared" si="4"/>
        <v>AM10068</v>
      </c>
    </row>
    <row r="157" spans="1:6">
      <c r="A157" t="s">
        <v>5068</v>
      </c>
      <c r="B157" t="s">
        <v>5069</v>
      </c>
      <c r="C157">
        <v>10069</v>
      </c>
      <c r="D157" t="s">
        <v>5070</v>
      </c>
      <c r="E157" t="s">
        <v>5071</v>
      </c>
      <c r="F157" t="str">
        <f t="shared" si="4"/>
        <v>oj10069</v>
      </c>
    </row>
    <row r="158" spans="1:6">
      <c r="A158" t="s">
        <v>5072</v>
      </c>
      <c r="B158" t="s">
        <v>5073</v>
      </c>
      <c r="C158">
        <v>10071</v>
      </c>
      <c r="D158" t="s">
        <v>5074</v>
      </c>
      <c r="E158" t="s">
        <v>5075</v>
      </c>
      <c r="F158" t="str">
        <f t="shared" si="4"/>
        <v>Gw10071</v>
      </c>
    </row>
    <row r="159" spans="1:6">
      <c r="A159" t="s">
        <v>5076</v>
      </c>
      <c r="B159" t="s">
        <v>5077</v>
      </c>
      <c r="C159">
        <v>10083</v>
      </c>
      <c r="D159" t="s">
        <v>5078</v>
      </c>
      <c r="E159" t="s">
        <v>5079</v>
      </c>
      <c r="F159" t="str">
        <f t="shared" si="4"/>
        <v>GL10083</v>
      </c>
    </row>
    <row r="160" spans="1:6">
      <c r="A160" t="s">
        <v>5080</v>
      </c>
      <c r="B160" t="s">
        <v>5081</v>
      </c>
      <c r="C160">
        <v>10084</v>
      </c>
      <c r="D160" t="s">
        <v>5082</v>
      </c>
      <c r="E160" t="s">
        <v>5083</v>
      </c>
      <c r="F160" t="str">
        <f t="shared" si="4"/>
        <v>er10084</v>
      </c>
    </row>
    <row r="161" spans="1:6">
      <c r="A161" t="s">
        <v>5084</v>
      </c>
      <c r="B161" t="s">
        <v>5085</v>
      </c>
      <c r="C161">
        <v>10145</v>
      </c>
      <c r="D161" t="s">
        <v>5086</v>
      </c>
      <c r="E161" t="s">
        <v>5087</v>
      </c>
      <c r="F161" t="str">
        <f t="shared" si="4"/>
        <v>jE10145</v>
      </c>
    </row>
    <row r="162" spans="1:6">
      <c r="A162" t="s">
        <v>5088</v>
      </c>
      <c r="B162" t="s">
        <v>5089</v>
      </c>
      <c r="C162">
        <v>10548</v>
      </c>
      <c r="D162" t="s">
        <v>5090</v>
      </c>
      <c r="E162" t="s">
        <v>5091</v>
      </c>
      <c r="F162" t="str">
        <f t="shared" ref="F162:F174" si="5">MID(LEFT(E162,FIND(":",E162)-1),FIND(" ",E162)+1,LEN(E162))</f>
        <v>mk10548</v>
      </c>
    </row>
    <row r="163" spans="1:6">
      <c r="A163" t="s">
        <v>5092</v>
      </c>
      <c r="B163" t="s">
        <v>5093</v>
      </c>
      <c r="C163">
        <v>10549</v>
      </c>
      <c r="D163" t="s">
        <v>5094</v>
      </c>
      <c r="E163" t="s">
        <v>5095</v>
      </c>
      <c r="F163" t="str">
        <f t="shared" si="5"/>
        <v>nO10549</v>
      </c>
    </row>
    <row r="164" spans="1:6">
      <c r="A164" t="s">
        <v>5096</v>
      </c>
      <c r="B164" t="s">
        <v>5097</v>
      </c>
      <c r="C164">
        <v>11013</v>
      </c>
      <c r="D164" t="s">
        <v>5098</v>
      </c>
      <c r="E164" t="s">
        <v>5099</v>
      </c>
      <c r="F164" t="str">
        <f t="shared" si="5"/>
        <v>NC11013</v>
      </c>
    </row>
    <row r="165" spans="1:6">
      <c r="A165" t="s">
        <v>5100</v>
      </c>
      <c r="B165" t="s">
        <v>5101</v>
      </c>
      <c r="C165">
        <v>11014</v>
      </c>
      <c r="D165" t="s">
        <v>5102</v>
      </c>
      <c r="E165" t="s">
        <v>5103</v>
      </c>
      <c r="F165" t="str">
        <f t="shared" si="5"/>
        <v>OA11014</v>
      </c>
    </row>
    <row r="166" spans="1:6">
      <c r="A166" t="s">
        <v>5104</v>
      </c>
      <c r="B166" t="s">
        <v>5105</v>
      </c>
      <c r="C166">
        <v>11015</v>
      </c>
      <c r="D166" t="s">
        <v>5106</v>
      </c>
      <c r="E166" t="s">
        <v>5107</v>
      </c>
      <c r="F166" t="str">
        <f t="shared" si="5"/>
        <v>DB11015</v>
      </c>
    </row>
    <row r="167" spans="1:6">
      <c r="A167" t="s">
        <v>5108</v>
      </c>
      <c r="B167" t="s">
        <v>5109</v>
      </c>
      <c r="C167">
        <v>11035</v>
      </c>
      <c r="D167" t="s">
        <v>5110</v>
      </c>
      <c r="E167" t="s">
        <v>5111</v>
      </c>
      <c r="F167" t="str">
        <f t="shared" si="5"/>
        <v>kP11035</v>
      </c>
    </row>
    <row r="168" spans="1:6">
      <c r="A168" t="s">
        <v>5112</v>
      </c>
      <c r="B168" t="s">
        <v>5113</v>
      </c>
      <c r="C168">
        <v>11036</v>
      </c>
      <c r="D168" t="s">
        <v>5114</v>
      </c>
      <c r="E168" t="s">
        <v>5115</v>
      </c>
      <c r="F168" t="str">
        <f t="shared" si="5"/>
        <v>JD11036</v>
      </c>
    </row>
    <row r="169" spans="1:6">
      <c r="A169" t="s">
        <v>5116</v>
      </c>
      <c r="B169" t="s">
        <v>5117</v>
      </c>
      <c r="C169">
        <v>11088</v>
      </c>
      <c r="D169" t="s">
        <v>5118</v>
      </c>
      <c r="E169" t="s">
        <v>5119</v>
      </c>
      <c r="F169" t="str">
        <f t="shared" si="5"/>
        <v>ZJ11088</v>
      </c>
    </row>
    <row r="170" spans="1:6">
      <c r="A170" t="s">
        <v>5120</v>
      </c>
      <c r="B170" t="s">
        <v>5121</v>
      </c>
      <c r="C170">
        <v>11093</v>
      </c>
      <c r="D170" t="s">
        <v>5122</v>
      </c>
      <c r="E170" t="s">
        <v>5123</v>
      </c>
      <c r="F170" t="str">
        <f t="shared" si="5"/>
        <v>qo11093</v>
      </c>
    </row>
    <row r="171" spans="1:6">
      <c r="A171" t="s">
        <v>5124</v>
      </c>
      <c r="B171" t="s">
        <v>5125</v>
      </c>
      <c r="C171">
        <v>12336</v>
      </c>
      <c r="D171" t="s">
        <v>5126</v>
      </c>
      <c r="E171" t="s">
        <v>5127</v>
      </c>
      <c r="F171" t="str">
        <f t="shared" si="5"/>
        <v>Yg12336</v>
      </c>
    </row>
    <row r="172" spans="1:6">
      <c r="A172" t="s">
        <v>5128</v>
      </c>
      <c r="B172" t="s">
        <v>5129</v>
      </c>
      <c r="C172">
        <v>12349</v>
      </c>
      <c r="D172" t="s">
        <v>5130</v>
      </c>
      <c r="E172" t="s">
        <v>5131</v>
      </c>
      <c r="F172" t="str">
        <f t="shared" si="5"/>
        <v>BJ12349</v>
      </c>
    </row>
    <row r="173" spans="1:6">
      <c r="A173" t="s">
        <v>5132</v>
      </c>
      <c r="B173" t="s">
        <v>5133</v>
      </c>
      <c r="C173">
        <v>12951</v>
      </c>
      <c r="D173" t="s">
        <v>5134</v>
      </c>
      <c r="E173" t="s">
        <v>5135</v>
      </c>
      <c r="F173" t="str">
        <f t="shared" si="5"/>
        <v>wc12951</v>
      </c>
    </row>
    <row r="174" spans="1:6">
      <c r="A174" t="s">
        <v>5136</v>
      </c>
      <c r="B174" t="s">
        <v>5137</v>
      </c>
      <c r="C174">
        <v>12953</v>
      </c>
      <c r="D174" t="s">
        <v>5138</v>
      </c>
      <c r="E174" t="s">
        <v>5139</v>
      </c>
      <c r="F174" t="str">
        <f t="shared" si="5"/>
        <v>ZF12953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D399F2-D0D8-477A-8645-6C53B0377F7A}">
  <sheetPr codeName="Sheet2"/>
  <dimension ref="A2:A4551"/>
  <sheetViews>
    <sheetView topLeftCell="A73" workbookViewId="0">
      <selection activeCell="A5" sqref="A5"/>
    </sheetView>
  </sheetViews>
  <sheetFormatPr defaultRowHeight="15"/>
  <sheetData>
    <row r="2" spans="1:1">
      <c r="A2" s="2" t="s">
        <v>0</v>
      </c>
    </row>
    <row r="3" spans="1:1">
      <c r="A3" s="1"/>
    </row>
    <row r="4" spans="1:1">
      <c r="A4" s="2" t="s">
        <v>1</v>
      </c>
    </row>
    <row r="5" spans="1:1">
      <c r="A5" s="2" t="s">
        <v>2</v>
      </c>
    </row>
    <row r="6" spans="1:1">
      <c r="A6" s="2" t="s">
        <v>3</v>
      </c>
    </row>
    <row r="7" spans="1:1">
      <c r="A7" s="2" t="s">
        <v>4</v>
      </c>
    </row>
    <row r="8" spans="1:1">
      <c r="A8" s="2" t="s">
        <v>5</v>
      </c>
    </row>
    <row r="9" spans="1:1">
      <c r="A9" s="2" t="s">
        <v>6</v>
      </c>
    </row>
    <row r="10" spans="1:1">
      <c r="A10" s="2" t="s">
        <v>7</v>
      </c>
    </row>
    <row r="11" spans="1:1">
      <c r="A11" s="2" t="s">
        <v>8</v>
      </c>
    </row>
    <row r="12" spans="1:1">
      <c r="A12" s="2" t="s">
        <v>9</v>
      </c>
    </row>
    <row r="13" spans="1:1">
      <c r="A13" s="2" t="s">
        <v>10</v>
      </c>
    </row>
    <row r="14" spans="1:1">
      <c r="A14" s="2" t="s">
        <v>11</v>
      </c>
    </row>
    <row r="15" spans="1:1">
      <c r="A15" s="2" t="s">
        <v>12</v>
      </c>
    </row>
    <row r="16" spans="1:1">
      <c r="A16" s="2" t="s">
        <v>13</v>
      </c>
    </row>
    <row r="17" spans="1:1">
      <c r="A17" s="2" t="s">
        <v>14</v>
      </c>
    </row>
    <row r="18" spans="1:1">
      <c r="A18" s="1"/>
    </row>
    <row r="19" spans="1:1">
      <c r="A19" s="2" t="s">
        <v>15</v>
      </c>
    </row>
    <row r="20" spans="1:1">
      <c r="A20" s="2" t="s">
        <v>16</v>
      </c>
    </row>
    <row r="21" spans="1:1">
      <c r="A21" s="2" t="s">
        <v>17</v>
      </c>
    </row>
    <row r="22" spans="1:1">
      <c r="A22" s="2" t="s">
        <v>18</v>
      </c>
    </row>
    <row r="23" spans="1:1">
      <c r="A23" s="2" t="s">
        <v>19</v>
      </c>
    </row>
    <row r="24" spans="1:1">
      <c r="A24" s="2" t="s">
        <v>20</v>
      </c>
    </row>
    <row r="25" spans="1:1">
      <c r="A25" s="2" t="s">
        <v>21</v>
      </c>
    </row>
    <row r="26" spans="1:1">
      <c r="A26" s="2" t="s">
        <v>22</v>
      </c>
    </row>
    <row r="27" spans="1:1">
      <c r="A27" s="2" t="s">
        <v>23</v>
      </c>
    </row>
    <row r="28" spans="1:1">
      <c r="A28" s="2" t="s">
        <v>24</v>
      </c>
    </row>
    <row r="29" spans="1:1">
      <c r="A29" s="2" t="s">
        <v>25</v>
      </c>
    </row>
    <row r="30" spans="1:1">
      <c r="A30" s="1"/>
    </row>
    <row r="31" spans="1:1">
      <c r="A31" s="2" t="s">
        <v>26</v>
      </c>
    </row>
    <row r="32" spans="1:1">
      <c r="A32" s="2" t="s">
        <v>27</v>
      </c>
    </row>
    <row r="33" spans="1:1">
      <c r="A33" s="2" t="s">
        <v>28</v>
      </c>
    </row>
    <row r="34" spans="1:1">
      <c r="A34" s="2" t="s">
        <v>29</v>
      </c>
    </row>
    <row r="35" spans="1:1">
      <c r="A35" s="2" t="s">
        <v>30</v>
      </c>
    </row>
    <row r="36" spans="1:1">
      <c r="A36" s="2" t="s">
        <v>31</v>
      </c>
    </row>
    <row r="37" spans="1:1">
      <c r="A37" s="2" t="s">
        <v>32</v>
      </c>
    </row>
    <row r="38" spans="1:1">
      <c r="A38" s="1"/>
    </row>
    <row r="39" spans="1:1">
      <c r="A39" s="2" t="s">
        <v>33</v>
      </c>
    </row>
    <row r="40" spans="1:1">
      <c r="A40" s="2" t="s">
        <v>34</v>
      </c>
    </row>
    <row r="41" spans="1:1">
      <c r="A41" s="2" t="s">
        <v>35</v>
      </c>
    </row>
    <row r="42" spans="1:1">
      <c r="A42" s="2" t="s">
        <v>36</v>
      </c>
    </row>
    <row r="43" spans="1:1">
      <c r="A43" s="2" t="s">
        <v>37</v>
      </c>
    </row>
    <row r="44" spans="1:1">
      <c r="A44" s="1"/>
    </row>
    <row r="45" spans="1:1">
      <c r="A45" s="2" t="s">
        <v>38</v>
      </c>
    </row>
    <row r="46" spans="1:1">
      <c r="A46" s="2" t="s">
        <v>39</v>
      </c>
    </row>
    <row r="47" spans="1:1">
      <c r="A47" s="2" t="s">
        <v>40</v>
      </c>
    </row>
    <row r="48" spans="1:1">
      <c r="A48" s="2" t="s">
        <v>41</v>
      </c>
    </row>
    <row r="49" spans="1:1">
      <c r="A49" s="2" t="s">
        <v>42</v>
      </c>
    </row>
    <row r="50" spans="1:1">
      <c r="A50" s="2" t="s">
        <v>43</v>
      </c>
    </row>
    <row r="51" spans="1:1">
      <c r="A51" s="2" t="s">
        <v>44</v>
      </c>
    </row>
    <row r="52" spans="1:1">
      <c r="A52" s="2" t="s">
        <v>45</v>
      </c>
    </row>
    <row r="53" spans="1:1">
      <c r="A53" s="2" t="s">
        <v>46</v>
      </c>
    </row>
    <row r="54" spans="1:1">
      <c r="A54" s="2" t="s">
        <v>47</v>
      </c>
    </row>
    <row r="55" spans="1:1">
      <c r="A55" s="2" t="s">
        <v>48</v>
      </c>
    </row>
    <row r="56" spans="1:1">
      <c r="A56" s="2" t="s">
        <v>49</v>
      </c>
    </row>
    <row r="57" spans="1:1">
      <c r="A57" s="2" t="s">
        <v>50</v>
      </c>
    </row>
    <row r="58" spans="1:1">
      <c r="A58" s="2" t="s">
        <v>51</v>
      </c>
    </row>
    <row r="59" spans="1:1">
      <c r="A59" s="1"/>
    </row>
    <row r="60" spans="1:1">
      <c r="A60" s="2" t="s">
        <v>52</v>
      </c>
    </row>
    <row r="61" spans="1:1">
      <c r="A61" s="2" t="s">
        <v>53</v>
      </c>
    </row>
    <row r="62" spans="1:1">
      <c r="A62" s="2" t="s">
        <v>54</v>
      </c>
    </row>
    <row r="63" spans="1:1">
      <c r="A63" s="2" t="s">
        <v>55</v>
      </c>
    </row>
    <row r="64" spans="1:1">
      <c r="A64" s="2" t="s">
        <v>56</v>
      </c>
    </row>
    <row r="65" spans="1:1">
      <c r="A65" s="2" t="s">
        <v>57</v>
      </c>
    </row>
    <row r="66" spans="1:1">
      <c r="A66" s="1"/>
    </row>
    <row r="67" spans="1:1">
      <c r="A67" s="2" t="s">
        <v>58</v>
      </c>
    </row>
    <row r="68" spans="1:1">
      <c r="A68" s="2" t="s">
        <v>59</v>
      </c>
    </row>
    <row r="69" spans="1:1">
      <c r="A69" s="2" t="s">
        <v>60</v>
      </c>
    </row>
    <row r="70" spans="1:1">
      <c r="A70" s="2" t="s">
        <v>61</v>
      </c>
    </row>
    <row r="71" spans="1:1">
      <c r="A71" s="2" t="s">
        <v>62</v>
      </c>
    </row>
    <row r="72" spans="1:1">
      <c r="A72" s="2" t="s">
        <v>63</v>
      </c>
    </row>
    <row r="73" spans="1:1">
      <c r="A73" s="2" t="s">
        <v>64</v>
      </c>
    </row>
    <row r="74" spans="1:1">
      <c r="A74" s="2" t="s">
        <v>65</v>
      </c>
    </row>
    <row r="75" spans="1:1">
      <c r="A75" s="2" t="s">
        <v>66</v>
      </c>
    </row>
    <row r="76" spans="1:1">
      <c r="A76" s="2" t="s">
        <v>67</v>
      </c>
    </row>
    <row r="77" spans="1:1">
      <c r="A77" s="2" t="s">
        <v>68</v>
      </c>
    </row>
    <row r="78" spans="1:1">
      <c r="A78" s="2" t="s">
        <v>69</v>
      </c>
    </row>
    <row r="79" spans="1:1">
      <c r="A79" s="2" t="s">
        <v>70</v>
      </c>
    </row>
    <row r="80" spans="1:1">
      <c r="A80" s="1"/>
    </row>
    <row r="81" spans="1:1">
      <c r="A81" s="2" t="s">
        <v>71</v>
      </c>
    </row>
    <row r="82" spans="1:1">
      <c r="A82" s="2" t="s">
        <v>72</v>
      </c>
    </row>
    <row r="83" spans="1:1">
      <c r="A83" s="2" t="s">
        <v>73</v>
      </c>
    </row>
    <row r="84" spans="1:1">
      <c r="A84" s="2" t="s">
        <v>74</v>
      </c>
    </row>
    <row r="85" spans="1:1">
      <c r="A85" s="1"/>
    </row>
    <row r="86" spans="1:1">
      <c r="A86" s="2" t="s">
        <v>75</v>
      </c>
    </row>
    <row r="87" spans="1:1">
      <c r="A87" s="2" t="s">
        <v>76</v>
      </c>
    </row>
    <row r="88" spans="1:1">
      <c r="A88" s="2" t="s">
        <v>77</v>
      </c>
    </row>
    <row r="89" spans="1:1">
      <c r="A89" s="2" t="s">
        <v>78</v>
      </c>
    </row>
    <row r="90" spans="1:1">
      <c r="A90" s="1"/>
    </row>
    <row r="91" spans="1:1">
      <c r="A91" s="2" t="s">
        <v>79</v>
      </c>
    </row>
    <row r="92" spans="1:1">
      <c r="A92" s="2" t="s">
        <v>80</v>
      </c>
    </row>
    <row r="93" spans="1:1">
      <c r="A93" s="2" t="s">
        <v>81</v>
      </c>
    </row>
    <row r="94" spans="1:1">
      <c r="A94" s="2" t="s">
        <v>82</v>
      </c>
    </row>
    <row r="95" spans="1:1">
      <c r="A95" s="2" t="s">
        <v>83</v>
      </c>
    </row>
    <row r="96" spans="1:1">
      <c r="A96" s="2" t="s">
        <v>84</v>
      </c>
    </row>
    <row r="97" spans="1:1">
      <c r="A97" s="2" t="s">
        <v>85</v>
      </c>
    </row>
    <row r="98" spans="1:1">
      <c r="A98" s="2" t="s">
        <v>86</v>
      </c>
    </row>
    <row r="99" spans="1:1">
      <c r="A99" s="2" t="s">
        <v>87</v>
      </c>
    </row>
    <row r="100" spans="1:1">
      <c r="A100" s="2" t="s">
        <v>88</v>
      </c>
    </row>
    <row r="101" spans="1:1">
      <c r="A101" s="2" t="s">
        <v>89</v>
      </c>
    </row>
    <row r="102" spans="1:1">
      <c r="A102" s="2" t="s">
        <v>90</v>
      </c>
    </row>
    <row r="103" spans="1:1">
      <c r="A103" s="2" t="s">
        <v>91</v>
      </c>
    </row>
    <row r="104" spans="1:1">
      <c r="A104" s="2" t="s">
        <v>92</v>
      </c>
    </row>
    <row r="105" spans="1:1">
      <c r="A105" s="2" t="s">
        <v>93</v>
      </c>
    </row>
    <row r="106" spans="1:1">
      <c r="A106" s="2" t="s">
        <v>94</v>
      </c>
    </row>
    <row r="107" spans="1:1">
      <c r="A107" s="2" t="s">
        <v>95</v>
      </c>
    </row>
    <row r="108" spans="1:1">
      <c r="A108" s="2" t="s">
        <v>96</v>
      </c>
    </row>
    <row r="109" spans="1:1">
      <c r="A109" s="2" t="s">
        <v>97</v>
      </c>
    </row>
    <row r="110" spans="1:1">
      <c r="A110" s="2" t="s">
        <v>98</v>
      </c>
    </row>
    <row r="111" spans="1:1">
      <c r="A111" s="2" t="s">
        <v>99</v>
      </c>
    </row>
    <row r="112" spans="1:1">
      <c r="A112" s="2" t="s">
        <v>100</v>
      </c>
    </row>
    <row r="113" spans="1:1">
      <c r="A113" s="2" t="s">
        <v>101</v>
      </c>
    </row>
    <row r="114" spans="1:1">
      <c r="A114" s="2" t="s">
        <v>102</v>
      </c>
    </row>
    <row r="115" spans="1:1">
      <c r="A115" s="2" t="s">
        <v>103</v>
      </c>
    </row>
    <row r="116" spans="1:1">
      <c r="A116" s="2" t="s">
        <v>104</v>
      </c>
    </row>
    <row r="117" spans="1:1">
      <c r="A117" s="1"/>
    </row>
    <row r="118" spans="1:1">
      <c r="A118" s="2" t="s">
        <v>105</v>
      </c>
    </row>
    <row r="119" spans="1:1">
      <c r="A119" s="2" t="s">
        <v>106</v>
      </c>
    </row>
    <row r="120" spans="1:1">
      <c r="A120" s="2" t="s">
        <v>107</v>
      </c>
    </row>
    <row r="121" spans="1:1">
      <c r="A121" s="2" t="s">
        <v>108</v>
      </c>
    </row>
    <row r="122" spans="1:1">
      <c r="A122" s="2" t="s">
        <v>109</v>
      </c>
    </row>
    <row r="123" spans="1:1">
      <c r="A123" s="2" t="s">
        <v>110</v>
      </c>
    </row>
    <row r="124" spans="1:1">
      <c r="A124" s="2" t="s">
        <v>111</v>
      </c>
    </row>
    <row r="125" spans="1:1">
      <c r="A125" s="2" t="s">
        <v>112</v>
      </c>
    </row>
    <row r="126" spans="1:1">
      <c r="A126" s="2" t="s">
        <v>113</v>
      </c>
    </row>
    <row r="127" spans="1:1">
      <c r="A127" s="2" t="s">
        <v>114</v>
      </c>
    </row>
    <row r="128" spans="1:1">
      <c r="A128" s="1"/>
    </row>
    <row r="129" spans="1:1">
      <c r="A129" s="2" t="s">
        <v>115</v>
      </c>
    </row>
    <row r="130" spans="1:1">
      <c r="A130" s="2" t="s">
        <v>116</v>
      </c>
    </row>
    <row r="131" spans="1:1">
      <c r="A131" s="2" t="s">
        <v>117</v>
      </c>
    </row>
    <row r="132" spans="1:1">
      <c r="A132" s="2" t="s">
        <v>118</v>
      </c>
    </row>
    <row r="133" spans="1:1">
      <c r="A133" s="2" t="s">
        <v>119</v>
      </c>
    </row>
    <row r="134" spans="1:1">
      <c r="A134" s="2" t="s">
        <v>120</v>
      </c>
    </row>
    <row r="135" spans="1:1">
      <c r="A135" s="2" t="s">
        <v>121</v>
      </c>
    </row>
    <row r="136" spans="1:1">
      <c r="A136" s="2" t="s">
        <v>122</v>
      </c>
    </row>
    <row r="137" spans="1:1">
      <c r="A137" s="2" t="s">
        <v>123</v>
      </c>
    </row>
    <row r="138" spans="1:1">
      <c r="A138" s="1"/>
    </row>
    <row r="139" spans="1:1">
      <c r="A139" s="2" t="s">
        <v>124</v>
      </c>
    </row>
    <row r="140" spans="1:1">
      <c r="A140" s="2" t="s">
        <v>125</v>
      </c>
    </row>
    <row r="141" spans="1:1">
      <c r="A141" s="2" t="s">
        <v>126</v>
      </c>
    </row>
    <row r="142" spans="1:1">
      <c r="A142" s="2" t="s">
        <v>127</v>
      </c>
    </row>
    <row r="143" spans="1:1">
      <c r="A143" s="2" t="s">
        <v>128</v>
      </c>
    </row>
    <row r="144" spans="1:1">
      <c r="A144" s="2" t="s">
        <v>129</v>
      </c>
    </row>
    <row r="145" spans="1:1">
      <c r="A145" s="2" t="s">
        <v>130</v>
      </c>
    </row>
    <row r="146" spans="1:1">
      <c r="A146" s="2" t="s">
        <v>131</v>
      </c>
    </row>
    <row r="147" spans="1:1">
      <c r="A147" s="2" t="s">
        <v>132</v>
      </c>
    </row>
    <row r="148" spans="1:1">
      <c r="A148" s="2" t="s">
        <v>133</v>
      </c>
    </row>
    <row r="149" spans="1:1">
      <c r="A149" s="1"/>
    </row>
    <row r="150" spans="1:1">
      <c r="A150" s="2" t="s">
        <v>134</v>
      </c>
    </row>
    <row r="151" spans="1:1">
      <c r="A151" s="2" t="s">
        <v>135</v>
      </c>
    </row>
    <row r="152" spans="1:1">
      <c r="A152" s="2" t="s">
        <v>136</v>
      </c>
    </row>
    <row r="153" spans="1:1">
      <c r="A153" s="2" t="s">
        <v>137</v>
      </c>
    </row>
    <row r="154" spans="1:1">
      <c r="A154" s="1"/>
    </row>
    <row r="155" spans="1:1">
      <c r="A155" s="2" t="s">
        <v>138</v>
      </c>
    </row>
    <row r="156" spans="1:1">
      <c r="A156" s="2" t="s">
        <v>139</v>
      </c>
    </row>
    <row r="157" spans="1:1">
      <c r="A157" s="2" t="s">
        <v>140</v>
      </c>
    </row>
    <row r="158" spans="1:1">
      <c r="A158" s="2" t="s">
        <v>141</v>
      </c>
    </row>
    <row r="159" spans="1:1">
      <c r="A159" s="2" t="s">
        <v>142</v>
      </c>
    </row>
    <row r="160" spans="1:1">
      <c r="A160" s="2" t="s">
        <v>143</v>
      </c>
    </row>
    <row r="161" spans="1:1">
      <c r="A161" s="2" t="s">
        <v>144</v>
      </c>
    </row>
    <row r="162" spans="1:1">
      <c r="A162" s="2" t="s">
        <v>145</v>
      </c>
    </row>
    <row r="163" spans="1:1">
      <c r="A163" s="2" t="s">
        <v>146</v>
      </c>
    </row>
    <row r="164" spans="1:1">
      <c r="A164" s="2" t="s">
        <v>147</v>
      </c>
    </row>
    <row r="165" spans="1:1">
      <c r="A165" s="2" t="s">
        <v>148</v>
      </c>
    </row>
    <row r="166" spans="1:1">
      <c r="A166" s="2" t="s">
        <v>149</v>
      </c>
    </row>
    <row r="167" spans="1:1">
      <c r="A167" s="2" t="s">
        <v>150</v>
      </c>
    </row>
    <row r="168" spans="1:1">
      <c r="A168" s="2" t="s">
        <v>151</v>
      </c>
    </row>
    <row r="169" spans="1:1">
      <c r="A169" s="2" t="s">
        <v>152</v>
      </c>
    </row>
    <row r="170" spans="1:1">
      <c r="A170" s="2" t="s">
        <v>153</v>
      </c>
    </row>
    <row r="171" spans="1:1">
      <c r="A171" s="2" t="s">
        <v>154</v>
      </c>
    </row>
    <row r="172" spans="1:1">
      <c r="A172" s="2" t="s">
        <v>155</v>
      </c>
    </row>
    <row r="173" spans="1:1">
      <c r="A173" s="2" t="s">
        <v>156</v>
      </c>
    </row>
    <row r="174" spans="1:1">
      <c r="A174" s="2" t="s">
        <v>157</v>
      </c>
    </row>
    <row r="175" spans="1:1">
      <c r="A175" s="2" t="s">
        <v>158</v>
      </c>
    </row>
    <row r="176" spans="1:1">
      <c r="A176" s="2" t="s">
        <v>159</v>
      </c>
    </row>
    <row r="177" spans="1:1">
      <c r="A177" s="2" t="s">
        <v>160</v>
      </c>
    </row>
    <row r="178" spans="1:1">
      <c r="A178" s="2" t="s">
        <v>161</v>
      </c>
    </row>
    <row r="179" spans="1:1">
      <c r="A179" s="2" t="s">
        <v>162</v>
      </c>
    </row>
    <row r="180" spans="1:1">
      <c r="A180" s="2" t="s">
        <v>163</v>
      </c>
    </row>
    <row r="181" spans="1:1">
      <c r="A181" s="2" t="s">
        <v>164</v>
      </c>
    </row>
    <row r="182" spans="1:1">
      <c r="A182" s="2" t="s">
        <v>165</v>
      </c>
    </row>
    <row r="183" spans="1:1">
      <c r="A183" s="2" t="s">
        <v>166</v>
      </c>
    </row>
    <row r="184" spans="1:1">
      <c r="A184" s="2" t="s">
        <v>167</v>
      </c>
    </row>
    <row r="185" spans="1:1">
      <c r="A185" s="2" t="s">
        <v>168</v>
      </c>
    </row>
    <row r="186" spans="1:1">
      <c r="A186" s="2" t="s">
        <v>169</v>
      </c>
    </row>
    <row r="187" spans="1:1">
      <c r="A187" s="2" t="s">
        <v>170</v>
      </c>
    </row>
    <row r="188" spans="1:1">
      <c r="A188" s="2" t="s">
        <v>171</v>
      </c>
    </row>
    <row r="189" spans="1:1">
      <c r="A189" s="2" t="s">
        <v>172</v>
      </c>
    </row>
    <row r="190" spans="1:1">
      <c r="A190" s="2" t="s">
        <v>173</v>
      </c>
    </row>
    <row r="191" spans="1:1">
      <c r="A191" s="2" t="s">
        <v>174</v>
      </c>
    </row>
    <row r="192" spans="1:1">
      <c r="A192" s="2" t="s">
        <v>175</v>
      </c>
    </row>
    <row r="193" spans="1:1">
      <c r="A193" s="2" t="s">
        <v>176</v>
      </c>
    </row>
    <row r="194" spans="1:1">
      <c r="A194" s="2" t="s">
        <v>177</v>
      </c>
    </row>
    <row r="195" spans="1:1">
      <c r="A195" s="2" t="s">
        <v>178</v>
      </c>
    </row>
    <row r="196" spans="1:1">
      <c r="A196" s="2" t="s">
        <v>179</v>
      </c>
    </row>
    <row r="197" spans="1:1">
      <c r="A197" s="2" t="s">
        <v>180</v>
      </c>
    </row>
    <row r="198" spans="1:1">
      <c r="A198" s="2" t="s">
        <v>181</v>
      </c>
    </row>
    <row r="199" spans="1:1">
      <c r="A199" s="2" t="s">
        <v>182</v>
      </c>
    </row>
    <row r="200" spans="1:1">
      <c r="A200" s="2" t="s">
        <v>183</v>
      </c>
    </row>
    <row r="201" spans="1:1">
      <c r="A201" s="2" t="s">
        <v>184</v>
      </c>
    </row>
    <row r="202" spans="1:1">
      <c r="A202" s="2" t="s">
        <v>185</v>
      </c>
    </row>
    <row r="203" spans="1:1">
      <c r="A203" s="1"/>
    </row>
    <row r="204" spans="1:1">
      <c r="A204" s="2" t="s">
        <v>186</v>
      </c>
    </row>
    <row r="205" spans="1:1">
      <c r="A205" s="2" t="s">
        <v>187</v>
      </c>
    </row>
    <row r="206" spans="1:1">
      <c r="A206" s="1"/>
    </row>
    <row r="207" spans="1:1">
      <c r="A207" s="2" t="s">
        <v>188</v>
      </c>
    </row>
    <row r="208" spans="1:1">
      <c r="A208" s="1"/>
    </row>
    <row r="209" spans="1:1">
      <c r="A209" s="2" t="s">
        <v>189</v>
      </c>
    </row>
    <row r="210" spans="1:1">
      <c r="A210" s="2" t="s">
        <v>190</v>
      </c>
    </row>
    <row r="211" spans="1:1">
      <c r="A211" s="2" t="s">
        <v>191</v>
      </c>
    </row>
    <row r="212" spans="1:1">
      <c r="A212" s="2" t="s">
        <v>192</v>
      </c>
    </row>
    <row r="213" spans="1:1">
      <c r="A213" s="2" t="s">
        <v>193</v>
      </c>
    </row>
    <row r="214" spans="1:1">
      <c r="A214" s="2" t="s">
        <v>194</v>
      </c>
    </row>
    <row r="215" spans="1:1">
      <c r="A215" s="2" t="s">
        <v>195</v>
      </c>
    </row>
    <row r="216" spans="1:1">
      <c r="A216" s="2" t="s">
        <v>196</v>
      </c>
    </row>
    <row r="217" spans="1:1">
      <c r="A217" s="2" t="s">
        <v>197</v>
      </c>
    </row>
    <row r="218" spans="1:1">
      <c r="A218" s="2" t="s">
        <v>198</v>
      </c>
    </row>
    <row r="219" spans="1:1">
      <c r="A219" s="2" t="s">
        <v>199</v>
      </c>
    </row>
    <row r="220" spans="1:1">
      <c r="A220" s="2" t="s">
        <v>200</v>
      </c>
    </row>
    <row r="221" spans="1:1">
      <c r="A221" s="2" t="s">
        <v>201</v>
      </c>
    </row>
    <row r="222" spans="1:1">
      <c r="A222" s="2" t="s">
        <v>202</v>
      </c>
    </row>
    <row r="223" spans="1:1">
      <c r="A223" s="2" t="s">
        <v>203</v>
      </c>
    </row>
    <row r="224" spans="1:1">
      <c r="A224" s="2" t="s">
        <v>204</v>
      </c>
    </row>
    <row r="225" spans="1:1">
      <c r="A225" s="2" t="s">
        <v>205</v>
      </c>
    </row>
    <row r="226" spans="1:1">
      <c r="A226" s="2" t="s">
        <v>206</v>
      </c>
    </row>
    <row r="227" spans="1:1">
      <c r="A227" s="2" t="s">
        <v>207</v>
      </c>
    </row>
    <row r="228" spans="1:1">
      <c r="A228" s="2" t="s">
        <v>208</v>
      </c>
    </row>
    <row r="229" spans="1:1">
      <c r="A229" s="2" t="s">
        <v>209</v>
      </c>
    </row>
    <row r="230" spans="1:1">
      <c r="A230" s="2" t="s">
        <v>210</v>
      </c>
    </row>
    <row r="231" spans="1:1">
      <c r="A231" s="2" t="s">
        <v>211</v>
      </c>
    </row>
    <row r="232" spans="1:1">
      <c r="A232" s="2" t="s">
        <v>212</v>
      </c>
    </row>
    <row r="233" spans="1:1">
      <c r="A233" s="2" t="s">
        <v>213</v>
      </c>
    </row>
    <row r="234" spans="1:1">
      <c r="A234" s="2" t="s">
        <v>214</v>
      </c>
    </row>
    <row r="235" spans="1:1">
      <c r="A235" s="2" t="s">
        <v>215</v>
      </c>
    </row>
    <row r="236" spans="1:1">
      <c r="A236" s="2" t="s">
        <v>216</v>
      </c>
    </row>
    <row r="237" spans="1:1">
      <c r="A237" s="2" t="s">
        <v>217</v>
      </c>
    </row>
    <row r="238" spans="1:1">
      <c r="A238" s="2" t="s">
        <v>218</v>
      </c>
    </row>
    <row r="239" spans="1:1">
      <c r="A239" s="2" t="s">
        <v>219</v>
      </c>
    </row>
    <row r="240" spans="1:1">
      <c r="A240" s="2" t="s">
        <v>220</v>
      </c>
    </row>
    <row r="241" spans="1:1">
      <c r="A241" s="1"/>
    </row>
    <row r="242" spans="1:1">
      <c r="A242" s="2" t="s">
        <v>221</v>
      </c>
    </row>
    <row r="243" spans="1:1">
      <c r="A243" s="2" t="s">
        <v>222</v>
      </c>
    </row>
    <row r="244" spans="1:1">
      <c r="A244" s="2" t="s">
        <v>223</v>
      </c>
    </row>
    <row r="245" spans="1:1">
      <c r="A245" s="2" t="s">
        <v>224</v>
      </c>
    </row>
    <row r="246" spans="1:1">
      <c r="A246" s="2" t="s">
        <v>225</v>
      </c>
    </row>
    <row r="247" spans="1:1">
      <c r="A247" s="2" t="s">
        <v>226</v>
      </c>
    </row>
    <row r="248" spans="1:1">
      <c r="A248" s="2" t="s">
        <v>227</v>
      </c>
    </row>
    <row r="249" spans="1:1">
      <c r="A249" s="2" t="s">
        <v>228</v>
      </c>
    </row>
    <row r="250" spans="1:1">
      <c r="A250" s="2" t="s">
        <v>229</v>
      </c>
    </row>
    <row r="251" spans="1:1">
      <c r="A251" s="2" t="s">
        <v>230</v>
      </c>
    </row>
    <row r="252" spans="1:1">
      <c r="A252" s="2" t="s">
        <v>231</v>
      </c>
    </row>
    <row r="253" spans="1:1">
      <c r="A253" s="2" t="s">
        <v>232</v>
      </c>
    </row>
    <row r="254" spans="1:1">
      <c r="A254" s="2" t="s">
        <v>233</v>
      </c>
    </row>
    <row r="255" spans="1:1">
      <c r="A255" s="2" t="s">
        <v>234</v>
      </c>
    </row>
    <row r="256" spans="1:1">
      <c r="A256" s="2" t="s">
        <v>235</v>
      </c>
    </row>
    <row r="257" spans="1:1">
      <c r="A257" s="2" t="s">
        <v>236</v>
      </c>
    </row>
    <row r="258" spans="1:1">
      <c r="A258" s="2" t="s">
        <v>237</v>
      </c>
    </row>
    <row r="259" spans="1:1">
      <c r="A259" s="2" t="s">
        <v>238</v>
      </c>
    </row>
    <row r="260" spans="1:1">
      <c r="A260" s="2" t="s">
        <v>239</v>
      </c>
    </row>
    <row r="261" spans="1:1">
      <c r="A261" s="2" t="s">
        <v>240</v>
      </c>
    </row>
    <row r="262" spans="1:1">
      <c r="A262" s="2" t="s">
        <v>241</v>
      </c>
    </row>
    <row r="263" spans="1:1">
      <c r="A263" s="2" t="s">
        <v>242</v>
      </c>
    </row>
    <row r="264" spans="1:1">
      <c r="A264" s="2" t="s">
        <v>243</v>
      </c>
    </row>
    <row r="265" spans="1:1">
      <c r="A265" s="2" t="s">
        <v>244</v>
      </c>
    </row>
    <row r="266" spans="1:1">
      <c r="A266" s="2" t="s">
        <v>245</v>
      </c>
    </row>
    <row r="267" spans="1:1">
      <c r="A267" s="2" t="s">
        <v>246</v>
      </c>
    </row>
    <row r="268" spans="1:1">
      <c r="A268" s="2" t="s">
        <v>247</v>
      </c>
    </row>
    <row r="269" spans="1:1">
      <c r="A269" s="2" t="s">
        <v>248</v>
      </c>
    </row>
    <row r="270" spans="1:1">
      <c r="A270" s="2" t="s">
        <v>249</v>
      </c>
    </row>
    <row r="271" spans="1:1">
      <c r="A271" s="2" t="s">
        <v>250</v>
      </c>
    </row>
    <row r="272" spans="1:1">
      <c r="A272" s="2" t="s">
        <v>251</v>
      </c>
    </row>
    <row r="273" spans="1:1">
      <c r="A273" s="2" t="s">
        <v>252</v>
      </c>
    </row>
    <row r="274" spans="1:1">
      <c r="A274" s="2" t="s">
        <v>253</v>
      </c>
    </row>
    <row r="275" spans="1:1">
      <c r="A275" s="2" t="s">
        <v>254</v>
      </c>
    </row>
    <row r="276" spans="1:1">
      <c r="A276" s="2" t="s">
        <v>255</v>
      </c>
    </row>
    <row r="277" spans="1:1">
      <c r="A277" s="2" t="s">
        <v>256</v>
      </c>
    </row>
    <row r="278" spans="1:1">
      <c r="A278" s="2" t="s">
        <v>257</v>
      </c>
    </row>
    <row r="279" spans="1:1">
      <c r="A279" s="2" t="s">
        <v>258</v>
      </c>
    </row>
    <row r="280" spans="1:1">
      <c r="A280" s="2" t="s">
        <v>259</v>
      </c>
    </row>
    <row r="281" spans="1:1">
      <c r="A281" s="2" t="s">
        <v>260</v>
      </c>
    </row>
    <row r="282" spans="1:1">
      <c r="A282" s="2" t="s">
        <v>261</v>
      </c>
    </row>
    <row r="283" spans="1:1">
      <c r="A283" s="2" t="s">
        <v>262</v>
      </c>
    </row>
    <row r="284" spans="1:1">
      <c r="A284" s="2" t="s">
        <v>263</v>
      </c>
    </row>
    <row r="285" spans="1:1">
      <c r="A285" s="2" t="s">
        <v>264</v>
      </c>
    </row>
    <row r="286" spans="1:1">
      <c r="A286" s="2" t="s">
        <v>265</v>
      </c>
    </row>
    <row r="287" spans="1:1">
      <c r="A287" s="2" t="s">
        <v>266</v>
      </c>
    </row>
    <row r="288" spans="1:1">
      <c r="A288" s="2" t="s">
        <v>267</v>
      </c>
    </row>
    <row r="289" spans="1:1">
      <c r="A289" s="2" t="s">
        <v>268</v>
      </c>
    </row>
    <row r="290" spans="1:1">
      <c r="A290" s="2" t="s">
        <v>269</v>
      </c>
    </row>
    <row r="291" spans="1:1">
      <c r="A291" s="2" t="s">
        <v>270</v>
      </c>
    </row>
    <row r="292" spans="1:1">
      <c r="A292" s="1"/>
    </row>
    <row r="293" spans="1:1">
      <c r="A293" s="2" t="s">
        <v>271</v>
      </c>
    </row>
    <row r="294" spans="1:1">
      <c r="A294" s="2" t="s">
        <v>272</v>
      </c>
    </row>
    <row r="295" spans="1:1">
      <c r="A295" s="2" t="s">
        <v>273</v>
      </c>
    </row>
    <row r="296" spans="1:1">
      <c r="A296" s="2" t="s">
        <v>274</v>
      </c>
    </row>
    <row r="297" spans="1:1">
      <c r="A297" s="2" t="s">
        <v>275</v>
      </c>
    </row>
    <row r="298" spans="1:1">
      <c r="A298" s="2" t="s">
        <v>276</v>
      </c>
    </row>
    <row r="299" spans="1:1">
      <c r="A299" s="2" t="s">
        <v>277</v>
      </c>
    </row>
    <row r="300" spans="1:1">
      <c r="A300" s="2" t="s">
        <v>278</v>
      </c>
    </row>
    <row r="301" spans="1:1">
      <c r="A301" s="2" t="s">
        <v>279</v>
      </c>
    </row>
    <row r="302" spans="1:1">
      <c r="A302" s="2" t="s">
        <v>280</v>
      </c>
    </row>
    <row r="303" spans="1:1">
      <c r="A303" s="2" t="s">
        <v>281</v>
      </c>
    </row>
    <row r="304" spans="1:1">
      <c r="A304" s="2" t="s">
        <v>282</v>
      </c>
    </row>
    <row r="305" spans="1:1">
      <c r="A305" s="2" t="s">
        <v>283</v>
      </c>
    </row>
    <row r="306" spans="1:1">
      <c r="A306" s="2" t="s">
        <v>284</v>
      </c>
    </row>
    <row r="307" spans="1:1">
      <c r="A307" s="2" t="s">
        <v>285</v>
      </c>
    </row>
    <row r="308" spans="1:1">
      <c r="A308" s="2" t="s">
        <v>286</v>
      </c>
    </row>
    <row r="309" spans="1:1">
      <c r="A309" s="2" t="s">
        <v>287</v>
      </c>
    </row>
    <row r="310" spans="1:1">
      <c r="A310" s="2" t="s">
        <v>288</v>
      </c>
    </row>
    <row r="311" spans="1:1">
      <c r="A311" s="2" t="s">
        <v>289</v>
      </c>
    </row>
    <row r="312" spans="1:1">
      <c r="A312" s="2" t="s">
        <v>290</v>
      </c>
    </row>
    <row r="313" spans="1:1">
      <c r="A313" s="2" t="s">
        <v>291</v>
      </c>
    </row>
    <row r="314" spans="1:1">
      <c r="A314" s="2" t="s">
        <v>292</v>
      </c>
    </row>
    <row r="315" spans="1:1">
      <c r="A315" s="2" t="s">
        <v>293</v>
      </c>
    </row>
    <row r="316" spans="1:1">
      <c r="A316" s="2" t="s">
        <v>294</v>
      </c>
    </row>
    <row r="317" spans="1:1">
      <c r="A317" s="2" t="s">
        <v>295</v>
      </c>
    </row>
    <row r="318" spans="1:1">
      <c r="A318" s="2" t="s">
        <v>296</v>
      </c>
    </row>
    <row r="319" spans="1:1">
      <c r="A319" s="2" t="s">
        <v>297</v>
      </c>
    </row>
    <row r="320" spans="1:1">
      <c r="A320" s="2" t="s">
        <v>298</v>
      </c>
    </row>
    <row r="321" spans="1:1">
      <c r="A321" s="2" t="s">
        <v>299</v>
      </c>
    </row>
    <row r="322" spans="1:1">
      <c r="A322" s="2" t="s">
        <v>300</v>
      </c>
    </row>
    <row r="323" spans="1:1">
      <c r="A323" s="2" t="s">
        <v>301</v>
      </c>
    </row>
    <row r="324" spans="1:1">
      <c r="A324" s="2" t="s">
        <v>302</v>
      </c>
    </row>
    <row r="325" spans="1:1">
      <c r="A325" s="2" t="s">
        <v>303</v>
      </c>
    </row>
    <row r="326" spans="1:1">
      <c r="A326" s="2" t="s">
        <v>304</v>
      </c>
    </row>
    <row r="327" spans="1:1">
      <c r="A327" s="2" t="s">
        <v>305</v>
      </c>
    </row>
    <row r="328" spans="1:1">
      <c r="A328" s="2" t="s">
        <v>306</v>
      </c>
    </row>
    <row r="329" spans="1:1">
      <c r="A329" s="2" t="s">
        <v>307</v>
      </c>
    </row>
    <row r="330" spans="1:1">
      <c r="A330" s="2" t="s">
        <v>308</v>
      </c>
    </row>
    <row r="331" spans="1:1">
      <c r="A331" s="1"/>
    </row>
    <row r="332" spans="1:1">
      <c r="A332" s="2" t="s">
        <v>309</v>
      </c>
    </row>
    <row r="333" spans="1:1">
      <c r="A333" s="2" t="s">
        <v>310</v>
      </c>
    </row>
    <row r="334" spans="1:1">
      <c r="A334" s="2" t="s">
        <v>311</v>
      </c>
    </row>
    <row r="335" spans="1:1">
      <c r="A335" s="2" t="s">
        <v>312</v>
      </c>
    </row>
    <row r="336" spans="1:1">
      <c r="A336" s="2" t="s">
        <v>313</v>
      </c>
    </row>
    <row r="337" spans="1:1">
      <c r="A337" s="2" t="s">
        <v>314</v>
      </c>
    </row>
    <row r="338" spans="1:1">
      <c r="A338" s="2" t="s">
        <v>315</v>
      </c>
    </row>
    <row r="339" spans="1:1">
      <c r="A339" s="2" t="s">
        <v>316</v>
      </c>
    </row>
    <row r="340" spans="1:1">
      <c r="A340" s="2" t="s">
        <v>317</v>
      </c>
    </row>
    <row r="341" spans="1:1">
      <c r="A341" s="2" t="s">
        <v>318</v>
      </c>
    </row>
    <row r="342" spans="1:1">
      <c r="A342" s="2" t="s">
        <v>319</v>
      </c>
    </row>
    <row r="343" spans="1:1">
      <c r="A343" s="2" t="s">
        <v>320</v>
      </c>
    </row>
    <row r="344" spans="1:1">
      <c r="A344" s="2" t="s">
        <v>321</v>
      </c>
    </row>
    <row r="345" spans="1:1">
      <c r="A345" s="2" t="s">
        <v>322</v>
      </c>
    </row>
    <row r="346" spans="1:1">
      <c r="A346" s="2" t="s">
        <v>323</v>
      </c>
    </row>
    <row r="347" spans="1:1">
      <c r="A347" s="2" t="s">
        <v>324</v>
      </c>
    </row>
    <row r="348" spans="1:1">
      <c r="A348" s="2" t="s">
        <v>325</v>
      </c>
    </row>
    <row r="349" spans="1:1">
      <c r="A349" s="2" t="s">
        <v>326</v>
      </c>
    </row>
    <row r="350" spans="1:1">
      <c r="A350" s="2" t="s">
        <v>327</v>
      </c>
    </row>
    <row r="351" spans="1:1">
      <c r="A351" s="2" t="s">
        <v>328</v>
      </c>
    </row>
    <row r="352" spans="1:1">
      <c r="A352" s="2" t="s">
        <v>329</v>
      </c>
    </row>
    <row r="353" spans="1:1">
      <c r="A353" s="2" t="s">
        <v>330</v>
      </c>
    </row>
    <row r="354" spans="1:1">
      <c r="A354" s="2" t="s">
        <v>331</v>
      </c>
    </row>
    <row r="355" spans="1:1">
      <c r="A355" s="2" t="s">
        <v>332</v>
      </c>
    </row>
    <row r="356" spans="1:1">
      <c r="A356" s="2" t="s">
        <v>333</v>
      </c>
    </row>
    <row r="357" spans="1:1">
      <c r="A357" s="2" t="s">
        <v>334</v>
      </c>
    </row>
    <row r="358" spans="1:1">
      <c r="A358" s="2" t="s">
        <v>335</v>
      </c>
    </row>
    <row r="359" spans="1:1">
      <c r="A359" s="2" t="s">
        <v>336</v>
      </c>
    </row>
    <row r="360" spans="1:1">
      <c r="A360" s="2" t="s">
        <v>337</v>
      </c>
    </row>
    <row r="361" spans="1:1">
      <c r="A361" s="2" t="s">
        <v>338</v>
      </c>
    </row>
    <row r="362" spans="1:1">
      <c r="A362" s="2" t="s">
        <v>339</v>
      </c>
    </row>
    <row r="363" spans="1:1">
      <c r="A363" s="2" t="s">
        <v>340</v>
      </c>
    </row>
    <row r="364" spans="1:1">
      <c r="A364" s="2" t="s">
        <v>341</v>
      </c>
    </row>
    <row r="365" spans="1:1">
      <c r="A365" s="2" t="s">
        <v>342</v>
      </c>
    </row>
    <row r="366" spans="1:1">
      <c r="A366" s="2" t="s">
        <v>343</v>
      </c>
    </row>
    <row r="367" spans="1:1">
      <c r="A367" s="2" t="s">
        <v>344</v>
      </c>
    </row>
    <row r="368" spans="1:1">
      <c r="A368" s="2" t="s">
        <v>345</v>
      </c>
    </row>
    <row r="369" spans="1:1">
      <c r="A369" s="1"/>
    </row>
    <row r="370" spans="1:1">
      <c r="A370" s="2" t="s">
        <v>346</v>
      </c>
    </row>
    <row r="371" spans="1:1">
      <c r="A371" s="2" t="s">
        <v>347</v>
      </c>
    </row>
    <row r="372" spans="1:1">
      <c r="A372" s="2" t="s">
        <v>348</v>
      </c>
    </row>
    <row r="373" spans="1:1">
      <c r="A373" s="2" t="s">
        <v>349</v>
      </c>
    </row>
    <row r="374" spans="1:1">
      <c r="A374" s="2" t="s">
        <v>350</v>
      </c>
    </row>
    <row r="375" spans="1:1">
      <c r="A375" s="2" t="s">
        <v>351</v>
      </c>
    </row>
    <row r="376" spans="1:1">
      <c r="A376" s="2" t="s">
        <v>352</v>
      </c>
    </row>
    <row r="377" spans="1:1">
      <c r="A377" s="2" t="s">
        <v>353</v>
      </c>
    </row>
    <row r="378" spans="1:1">
      <c r="A378" s="2" t="s">
        <v>354</v>
      </c>
    </row>
    <row r="379" spans="1:1">
      <c r="A379" s="2" t="s">
        <v>355</v>
      </c>
    </row>
    <row r="380" spans="1:1">
      <c r="A380" s="2" t="s">
        <v>356</v>
      </c>
    </row>
    <row r="381" spans="1:1">
      <c r="A381" s="2" t="s">
        <v>357</v>
      </c>
    </row>
    <row r="382" spans="1:1">
      <c r="A382" s="2" t="s">
        <v>358</v>
      </c>
    </row>
    <row r="383" spans="1:1">
      <c r="A383" s="2" t="s">
        <v>359</v>
      </c>
    </row>
    <row r="384" spans="1:1">
      <c r="A384" s="2" t="s">
        <v>360</v>
      </c>
    </row>
    <row r="385" spans="1:1">
      <c r="A385" s="2" t="s">
        <v>361</v>
      </c>
    </row>
    <row r="386" spans="1:1">
      <c r="A386" s="2" t="s">
        <v>362</v>
      </c>
    </row>
    <row r="387" spans="1:1">
      <c r="A387" s="2" t="s">
        <v>363</v>
      </c>
    </row>
    <row r="388" spans="1:1">
      <c r="A388" s="2" t="s">
        <v>364</v>
      </c>
    </row>
    <row r="389" spans="1:1">
      <c r="A389" s="2" t="s">
        <v>365</v>
      </c>
    </row>
    <row r="390" spans="1:1">
      <c r="A390" s="2" t="s">
        <v>366</v>
      </c>
    </row>
    <row r="391" spans="1:1">
      <c r="A391" s="2" t="s">
        <v>367</v>
      </c>
    </row>
    <row r="392" spans="1:1">
      <c r="A392" s="2" t="s">
        <v>368</v>
      </c>
    </row>
    <row r="393" spans="1:1">
      <c r="A393" s="2" t="s">
        <v>369</v>
      </c>
    </row>
    <row r="394" spans="1:1">
      <c r="A394" s="2" t="s">
        <v>370</v>
      </c>
    </row>
    <row r="395" spans="1:1">
      <c r="A395" s="2" t="s">
        <v>371</v>
      </c>
    </row>
    <row r="396" spans="1:1">
      <c r="A396" s="2" t="s">
        <v>372</v>
      </c>
    </row>
    <row r="397" spans="1:1">
      <c r="A397" s="2" t="s">
        <v>373</v>
      </c>
    </row>
    <row r="398" spans="1:1">
      <c r="A398" s="2" t="s">
        <v>374</v>
      </c>
    </row>
    <row r="399" spans="1:1">
      <c r="A399" s="2" t="s">
        <v>375</v>
      </c>
    </row>
    <row r="400" spans="1:1">
      <c r="A400" s="2" t="s">
        <v>376</v>
      </c>
    </row>
    <row r="401" spans="1:1">
      <c r="A401" s="2" t="s">
        <v>377</v>
      </c>
    </row>
    <row r="402" spans="1:1">
      <c r="A402" s="1"/>
    </row>
    <row r="403" spans="1:1">
      <c r="A403" s="2" t="s">
        <v>378</v>
      </c>
    </row>
    <row r="404" spans="1:1">
      <c r="A404" s="2" t="s">
        <v>379</v>
      </c>
    </row>
    <row r="405" spans="1:1">
      <c r="A405" s="2" t="s">
        <v>380</v>
      </c>
    </row>
    <row r="406" spans="1:1">
      <c r="A406" s="2" t="s">
        <v>381</v>
      </c>
    </row>
    <row r="407" spans="1:1">
      <c r="A407" s="2" t="s">
        <v>382</v>
      </c>
    </row>
    <row r="408" spans="1:1">
      <c r="A408" s="2" t="s">
        <v>383</v>
      </c>
    </row>
    <row r="409" spans="1:1">
      <c r="A409" s="2" t="s">
        <v>384</v>
      </c>
    </row>
    <row r="410" spans="1:1">
      <c r="A410" s="2" t="s">
        <v>385</v>
      </c>
    </row>
    <row r="411" spans="1:1">
      <c r="A411" s="2" t="s">
        <v>386</v>
      </c>
    </row>
    <row r="412" spans="1:1">
      <c r="A412" s="2" t="s">
        <v>387</v>
      </c>
    </row>
    <row r="413" spans="1:1">
      <c r="A413" s="2" t="s">
        <v>388</v>
      </c>
    </row>
    <row r="414" spans="1:1">
      <c r="A414" s="2" t="s">
        <v>389</v>
      </c>
    </row>
    <row r="415" spans="1:1">
      <c r="A415" s="2" t="s">
        <v>390</v>
      </c>
    </row>
    <row r="416" spans="1:1">
      <c r="A416" s="2" t="s">
        <v>391</v>
      </c>
    </row>
    <row r="417" spans="1:1">
      <c r="A417" s="2" t="s">
        <v>392</v>
      </c>
    </row>
    <row r="418" spans="1:1">
      <c r="A418" s="2" t="s">
        <v>393</v>
      </c>
    </row>
    <row r="419" spans="1:1">
      <c r="A419" s="2" t="s">
        <v>394</v>
      </c>
    </row>
    <row r="420" spans="1:1">
      <c r="A420" s="2" t="s">
        <v>395</v>
      </c>
    </row>
    <row r="421" spans="1:1">
      <c r="A421" s="2" t="s">
        <v>396</v>
      </c>
    </row>
    <row r="422" spans="1:1">
      <c r="A422" s="2" t="s">
        <v>397</v>
      </c>
    </row>
    <row r="423" spans="1:1">
      <c r="A423" s="1"/>
    </row>
    <row r="424" spans="1:1">
      <c r="A424" s="2" t="s">
        <v>398</v>
      </c>
    </row>
    <row r="425" spans="1:1">
      <c r="A425" s="2" t="s">
        <v>399</v>
      </c>
    </row>
    <row r="426" spans="1:1">
      <c r="A426" s="2" t="s">
        <v>400</v>
      </c>
    </row>
    <row r="427" spans="1:1">
      <c r="A427" s="2" t="s">
        <v>401</v>
      </c>
    </row>
    <row r="428" spans="1:1">
      <c r="A428" s="2" t="s">
        <v>402</v>
      </c>
    </row>
    <row r="429" spans="1:1">
      <c r="A429" s="2" t="s">
        <v>403</v>
      </c>
    </row>
    <row r="430" spans="1:1">
      <c r="A430" s="2" t="s">
        <v>404</v>
      </c>
    </row>
    <row r="431" spans="1:1">
      <c r="A431" s="2" t="s">
        <v>405</v>
      </c>
    </row>
    <row r="432" spans="1:1">
      <c r="A432" s="2" t="s">
        <v>406</v>
      </c>
    </row>
    <row r="433" spans="1:1">
      <c r="A433" s="2" t="s">
        <v>407</v>
      </c>
    </row>
    <row r="434" spans="1:1">
      <c r="A434" s="2" t="s">
        <v>408</v>
      </c>
    </row>
    <row r="435" spans="1:1">
      <c r="A435" s="2" t="s">
        <v>409</v>
      </c>
    </row>
    <row r="436" spans="1:1">
      <c r="A436" s="2" t="s">
        <v>410</v>
      </c>
    </row>
    <row r="437" spans="1:1">
      <c r="A437" s="2" t="s">
        <v>411</v>
      </c>
    </row>
    <row r="438" spans="1:1">
      <c r="A438" s="2" t="s">
        <v>412</v>
      </c>
    </row>
    <row r="439" spans="1:1">
      <c r="A439" s="2" t="s">
        <v>413</v>
      </c>
    </row>
    <row r="440" spans="1:1">
      <c r="A440" s="2" t="s">
        <v>414</v>
      </c>
    </row>
    <row r="441" spans="1:1">
      <c r="A441" s="2" t="s">
        <v>415</v>
      </c>
    </row>
    <row r="442" spans="1:1">
      <c r="A442" s="2" t="s">
        <v>416</v>
      </c>
    </row>
    <row r="443" spans="1:1">
      <c r="A443" s="2" t="s">
        <v>417</v>
      </c>
    </row>
    <row r="444" spans="1:1">
      <c r="A444" s="2" t="s">
        <v>418</v>
      </c>
    </row>
    <row r="445" spans="1:1">
      <c r="A445" s="2" t="s">
        <v>419</v>
      </c>
    </row>
    <row r="446" spans="1:1">
      <c r="A446" s="2" t="s">
        <v>420</v>
      </c>
    </row>
    <row r="447" spans="1:1">
      <c r="A447" s="2" t="s">
        <v>421</v>
      </c>
    </row>
    <row r="448" spans="1:1">
      <c r="A448" s="2" t="s">
        <v>422</v>
      </c>
    </row>
    <row r="449" spans="1:1">
      <c r="A449" s="2" t="s">
        <v>423</v>
      </c>
    </row>
    <row r="450" spans="1:1">
      <c r="A450" s="2" t="s">
        <v>424</v>
      </c>
    </row>
    <row r="451" spans="1:1">
      <c r="A451" s="2" t="s">
        <v>425</v>
      </c>
    </row>
    <row r="452" spans="1:1">
      <c r="A452" s="2" t="s">
        <v>426</v>
      </c>
    </row>
    <row r="453" spans="1:1">
      <c r="A453" s="2" t="s">
        <v>427</v>
      </c>
    </row>
    <row r="454" spans="1:1">
      <c r="A454" s="2" t="s">
        <v>428</v>
      </c>
    </row>
    <row r="455" spans="1:1">
      <c r="A455" s="2" t="s">
        <v>429</v>
      </c>
    </row>
    <row r="456" spans="1:1">
      <c r="A456" s="2" t="s">
        <v>430</v>
      </c>
    </row>
    <row r="457" spans="1:1">
      <c r="A457" s="2" t="s">
        <v>431</v>
      </c>
    </row>
    <row r="458" spans="1:1">
      <c r="A458" s="2" t="s">
        <v>432</v>
      </c>
    </row>
    <row r="459" spans="1:1">
      <c r="A459" s="2" t="s">
        <v>433</v>
      </c>
    </row>
    <row r="460" spans="1:1">
      <c r="A460" s="2" t="s">
        <v>434</v>
      </c>
    </row>
    <row r="461" spans="1:1">
      <c r="A461" s="2" t="s">
        <v>435</v>
      </c>
    </row>
    <row r="462" spans="1:1">
      <c r="A462" s="2" t="s">
        <v>436</v>
      </c>
    </row>
    <row r="463" spans="1:1">
      <c r="A463" s="2" t="s">
        <v>437</v>
      </c>
    </row>
    <row r="464" spans="1:1">
      <c r="A464" s="2" t="s">
        <v>438</v>
      </c>
    </row>
    <row r="465" spans="1:1">
      <c r="A465" s="2" t="s">
        <v>439</v>
      </c>
    </row>
    <row r="466" spans="1:1">
      <c r="A466" s="2" t="s">
        <v>440</v>
      </c>
    </row>
    <row r="467" spans="1:1">
      <c r="A467" s="2" t="s">
        <v>441</v>
      </c>
    </row>
    <row r="468" spans="1:1">
      <c r="A468" s="2" t="s">
        <v>442</v>
      </c>
    </row>
    <row r="469" spans="1:1">
      <c r="A469" s="2" t="s">
        <v>443</v>
      </c>
    </row>
    <row r="470" spans="1:1">
      <c r="A470" s="2" t="s">
        <v>444</v>
      </c>
    </row>
    <row r="471" spans="1:1">
      <c r="A471" s="2" t="s">
        <v>445</v>
      </c>
    </row>
    <row r="472" spans="1:1">
      <c r="A472" s="2" t="s">
        <v>446</v>
      </c>
    </row>
    <row r="473" spans="1:1">
      <c r="A473" s="1"/>
    </row>
    <row r="474" spans="1:1">
      <c r="A474" s="2" t="s">
        <v>447</v>
      </c>
    </row>
    <row r="475" spans="1:1">
      <c r="A475" s="2" t="s">
        <v>448</v>
      </c>
    </row>
    <row r="476" spans="1:1">
      <c r="A476" s="2" t="s">
        <v>449</v>
      </c>
    </row>
    <row r="477" spans="1:1">
      <c r="A477" s="2" t="s">
        <v>450</v>
      </c>
    </row>
    <row r="478" spans="1:1">
      <c r="A478" s="2" t="s">
        <v>451</v>
      </c>
    </row>
    <row r="479" spans="1:1">
      <c r="A479" s="2" t="s">
        <v>452</v>
      </c>
    </row>
    <row r="480" spans="1:1">
      <c r="A480" s="2" t="s">
        <v>453</v>
      </c>
    </row>
    <row r="481" spans="1:1">
      <c r="A481" s="2" t="s">
        <v>454</v>
      </c>
    </row>
    <row r="482" spans="1:1">
      <c r="A482" s="2" t="s">
        <v>455</v>
      </c>
    </row>
    <row r="483" spans="1:1">
      <c r="A483" s="2" t="s">
        <v>456</v>
      </c>
    </row>
    <row r="484" spans="1:1">
      <c r="A484" s="2" t="s">
        <v>457</v>
      </c>
    </row>
    <row r="485" spans="1:1">
      <c r="A485" s="2" t="s">
        <v>458</v>
      </c>
    </row>
    <row r="486" spans="1:1">
      <c r="A486" s="2" t="s">
        <v>459</v>
      </c>
    </row>
    <row r="487" spans="1:1">
      <c r="A487" s="2" t="s">
        <v>460</v>
      </c>
    </row>
    <row r="488" spans="1:1">
      <c r="A488" s="2" t="s">
        <v>461</v>
      </c>
    </row>
    <row r="489" spans="1:1">
      <c r="A489" s="2" t="s">
        <v>462</v>
      </c>
    </row>
    <row r="490" spans="1:1">
      <c r="A490" s="2" t="s">
        <v>463</v>
      </c>
    </row>
    <row r="491" spans="1:1">
      <c r="A491" s="2" t="s">
        <v>464</v>
      </c>
    </row>
    <row r="492" spans="1:1">
      <c r="A492" s="2" t="s">
        <v>465</v>
      </c>
    </row>
    <row r="493" spans="1:1">
      <c r="A493" s="2" t="s">
        <v>466</v>
      </c>
    </row>
    <row r="494" spans="1:1">
      <c r="A494" s="2" t="s">
        <v>467</v>
      </c>
    </row>
    <row r="495" spans="1:1">
      <c r="A495" s="2" t="s">
        <v>468</v>
      </c>
    </row>
    <row r="496" spans="1:1">
      <c r="A496" s="2" t="s">
        <v>469</v>
      </c>
    </row>
    <row r="497" spans="1:1">
      <c r="A497" s="2" t="s">
        <v>470</v>
      </c>
    </row>
    <row r="498" spans="1:1">
      <c r="A498" s="2" t="s">
        <v>471</v>
      </c>
    </row>
    <row r="499" spans="1:1">
      <c r="A499" s="2" t="s">
        <v>472</v>
      </c>
    </row>
    <row r="500" spans="1:1">
      <c r="A500" s="2" t="s">
        <v>473</v>
      </c>
    </row>
    <row r="501" spans="1:1">
      <c r="A501" s="2" t="s">
        <v>474</v>
      </c>
    </row>
    <row r="502" spans="1:1">
      <c r="A502" s="2" t="s">
        <v>475</v>
      </c>
    </row>
    <row r="503" spans="1:1">
      <c r="A503" s="2" t="s">
        <v>476</v>
      </c>
    </row>
    <row r="504" spans="1:1">
      <c r="A504" s="2" t="s">
        <v>477</v>
      </c>
    </row>
    <row r="505" spans="1:1">
      <c r="A505" s="2" t="s">
        <v>478</v>
      </c>
    </row>
    <row r="506" spans="1:1">
      <c r="A506" s="2" t="s">
        <v>479</v>
      </c>
    </row>
    <row r="507" spans="1:1">
      <c r="A507" s="2" t="s">
        <v>480</v>
      </c>
    </row>
    <row r="508" spans="1:1">
      <c r="A508" s="2" t="s">
        <v>481</v>
      </c>
    </row>
    <row r="509" spans="1:1">
      <c r="A509" s="2" t="s">
        <v>482</v>
      </c>
    </row>
    <row r="510" spans="1:1">
      <c r="A510" s="2" t="s">
        <v>483</v>
      </c>
    </row>
    <row r="511" spans="1:1">
      <c r="A511" s="2" t="s">
        <v>484</v>
      </c>
    </row>
    <row r="512" spans="1:1">
      <c r="A512" s="2" t="s">
        <v>485</v>
      </c>
    </row>
    <row r="513" spans="1:1">
      <c r="A513" s="2" t="s">
        <v>486</v>
      </c>
    </row>
    <row r="514" spans="1:1">
      <c r="A514" s="2" t="s">
        <v>487</v>
      </c>
    </row>
    <row r="515" spans="1:1">
      <c r="A515" s="2" t="s">
        <v>488</v>
      </c>
    </row>
    <row r="516" spans="1:1">
      <c r="A516" s="2" t="s">
        <v>489</v>
      </c>
    </row>
    <row r="517" spans="1:1">
      <c r="A517" s="2" t="s">
        <v>490</v>
      </c>
    </row>
    <row r="518" spans="1:1">
      <c r="A518" s="2" t="s">
        <v>491</v>
      </c>
    </row>
    <row r="519" spans="1:1">
      <c r="A519" s="2" t="s">
        <v>492</v>
      </c>
    </row>
    <row r="520" spans="1:1">
      <c r="A520" s="2" t="s">
        <v>493</v>
      </c>
    </row>
    <row r="521" spans="1:1">
      <c r="A521" s="2" t="s">
        <v>494</v>
      </c>
    </row>
    <row r="522" spans="1:1">
      <c r="A522" s="2" t="s">
        <v>495</v>
      </c>
    </row>
    <row r="523" spans="1:1">
      <c r="A523" s="2" t="s">
        <v>496</v>
      </c>
    </row>
    <row r="524" spans="1:1">
      <c r="A524" s="2" t="s">
        <v>497</v>
      </c>
    </row>
    <row r="525" spans="1:1">
      <c r="A525" s="2" t="s">
        <v>498</v>
      </c>
    </row>
    <row r="526" spans="1:1">
      <c r="A526" s="2" t="s">
        <v>499</v>
      </c>
    </row>
    <row r="527" spans="1:1">
      <c r="A527" s="2" t="s">
        <v>500</v>
      </c>
    </row>
    <row r="528" spans="1:1">
      <c r="A528" s="2" t="s">
        <v>501</v>
      </c>
    </row>
    <row r="529" spans="1:1">
      <c r="A529" s="2" t="s">
        <v>502</v>
      </c>
    </row>
    <row r="530" spans="1:1">
      <c r="A530" s="2" t="s">
        <v>503</v>
      </c>
    </row>
    <row r="531" spans="1:1">
      <c r="A531" s="2" t="s">
        <v>504</v>
      </c>
    </row>
    <row r="532" spans="1:1">
      <c r="A532" s="2" t="s">
        <v>505</v>
      </c>
    </row>
    <row r="533" spans="1:1">
      <c r="A533" s="2" t="s">
        <v>506</v>
      </c>
    </row>
    <row r="534" spans="1:1">
      <c r="A534" s="2" t="s">
        <v>507</v>
      </c>
    </row>
    <row r="535" spans="1:1">
      <c r="A535" s="2" t="s">
        <v>508</v>
      </c>
    </row>
    <row r="536" spans="1:1">
      <c r="A536" s="2" t="s">
        <v>509</v>
      </c>
    </row>
    <row r="537" spans="1:1">
      <c r="A537" s="2" t="s">
        <v>510</v>
      </c>
    </row>
    <row r="538" spans="1:1">
      <c r="A538" s="2" t="s">
        <v>511</v>
      </c>
    </row>
    <row r="539" spans="1:1">
      <c r="A539" s="2" t="s">
        <v>512</v>
      </c>
    </row>
    <row r="540" spans="1:1">
      <c r="A540" s="2" t="s">
        <v>513</v>
      </c>
    </row>
    <row r="541" spans="1:1">
      <c r="A541" s="2" t="s">
        <v>514</v>
      </c>
    </row>
    <row r="542" spans="1:1">
      <c r="A542" s="2" t="s">
        <v>515</v>
      </c>
    </row>
    <row r="543" spans="1:1">
      <c r="A543" s="2" t="s">
        <v>516</v>
      </c>
    </row>
    <row r="544" spans="1:1">
      <c r="A544" s="2" t="s">
        <v>517</v>
      </c>
    </row>
    <row r="545" spans="1:1">
      <c r="A545" s="2" t="s">
        <v>518</v>
      </c>
    </row>
    <row r="546" spans="1:1">
      <c r="A546" s="2" t="s">
        <v>519</v>
      </c>
    </row>
    <row r="547" spans="1:1">
      <c r="A547" s="2" t="s">
        <v>520</v>
      </c>
    </row>
    <row r="548" spans="1:1">
      <c r="A548" s="2" t="s">
        <v>521</v>
      </c>
    </row>
    <row r="549" spans="1:1">
      <c r="A549" s="2" t="s">
        <v>522</v>
      </c>
    </row>
    <row r="550" spans="1:1">
      <c r="A550" s="2" t="s">
        <v>523</v>
      </c>
    </row>
    <row r="551" spans="1:1">
      <c r="A551" s="2" t="s">
        <v>524</v>
      </c>
    </row>
    <row r="552" spans="1:1">
      <c r="A552" s="2" t="s">
        <v>525</v>
      </c>
    </row>
    <row r="553" spans="1:1">
      <c r="A553" s="2" t="s">
        <v>526</v>
      </c>
    </row>
    <row r="554" spans="1:1">
      <c r="A554" s="2" t="s">
        <v>527</v>
      </c>
    </row>
    <row r="555" spans="1:1">
      <c r="A555" s="2" t="s">
        <v>528</v>
      </c>
    </row>
    <row r="556" spans="1:1">
      <c r="A556" s="2" t="s">
        <v>529</v>
      </c>
    </row>
    <row r="557" spans="1:1">
      <c r="A557" s="2" t="s">
        <v>530</v>
      </c>
    </row>
    <row r="558" spans="1:1">
      <c r="A558" s="2" t="s">
        <v>531</v>
      </c>
    </row>
    <row r="559" spans="1:1">
      <c r="A559" s="2" t="s">
        <v>532</v>
      </c>
    </row>
    <row r="560" spans="1:1">
      <c r="A560" s="2" t="s">
        <v>533</v>
      </c>
    </row>
    <row r="561" spans="1:1">
      <c r="A561" s="2" t="s">
        <v>534</v>
      </c>
    </row>
    <row r="562" spans="1:1">
      <c r="A562" s="2" t="s">
        <v>535</v>
      </c>
    </row>
    <row r="563" spans="1:1">
      <c r="A563" s="2" t="s">
        <v>536</v>
      </c>
    </row>
    <row r="564" spans="1:1">
      <c r="A564" s="2" t="s">
        <v>537</v>
      </c>
    </row>
    <row r="565" spans="1:1">
      <c r="A565" s="2" t="s">
        <v>538</v>
      </c>
    </row>
    <row r="566" spans="1:1">
      <c r="A566" s="2" t="s">
        <v>539</v>
      </c>
    </row>
    <row r="567" spans="1:1">
      <c r="A567" s="2" t="s">
        <v>540</v>
      </c>
    </row>
    <row r="568" spans="1:1">
      <c r="A568" s="2" t="s">
        <v>541</v>
      </c>
    </row>
    <row r="569" spans="1:1">
      <c r="A569" s="2" t="s">
        <v>542</v>
      </c>
    </row>
    <row r="570" spans="1:1">
      <c r="A570" s="2" t="s">
        <v>543</v>
      </c>
    </row>
    <row r="571" spans="1:1">
      <c r="A571" s="2" t="s">
        <v>544</v>
      </c>
    </row>
    <row r="572" spans="1:1">
      <c r="A572" s="2" t="s">
        <v>545</v>
      </c>
    </row>
    <row r="573" spans="1:1">
      <c r="A573" s="2" t="s">
        <v>546</v>
      </c>
    </row>
    <row r="574" spans="1:1">
      <c r="A574" s="2" t="s">
        <v>547</v>
      </c>
    </row>
    <row r="575" spans="1:1">
      <c r="A575" s="2" t="s">
        <v>548</v>
      </c>
    </row>
    <row r="576" spans="1:1">
      <c r="A576" s="2" t="s">
        <v>549</v>
      </c>
    </row>
    <row r="577" spans="1:1">
      <c r="A577" s="2" t="s">
        <v>550</v>
      </c>
    </row>
    <row r="578" spans="1:1">
      <c r="A578" s="2" t="s">
        <v>551</v>
      </c>
    </row>
    <row r="579" spans="1:1">
      <c r="A579" s="2" t="s">
        <v>552</v>
      </c>
    </row>
    <row r="580" spans="1:1">
      <c r="A580" s="2" t="s">
        <v>553</v>
      </c>
    </row>
    <row r="581" spans="1:1">
      <c r="A581" s="2" t="s">
        <v>554</v>
      </c>
    </row>
    <row r="582" spans="1:1">
      <c r="A582" s="2" t="s">
        <v>555</v>
      </c>
    </row>
    <row r="583" spans="1:1">
      <c r="A583" s="2" t="s">
        <v>556</v>
      </c>
    </row>
    <row r="584" spans="1:1">
      <c r="A584" s="2" t="s">
        <v>557</v>
      </c>
    </row>
    <row r="585" spans="1:1">
      <c r="A585" s="2" t="s">
        <v>558</v>
      </c>
    </row>
    <row r="586" spans="1:1">
      <c r="A586" s="2" t="s">
        <v>559</v>
      </c>
    </row>
    <row r="587" spans="1:1">
      <c r="A587" s="2" t="s">
        <v>560</v>
      </c>
    </row>
    <row r="588" spans="1:1">
      <c r="A588" s="2" t="s">
        <v>561</v>
      </c>
    </row>
    <row r="589" spans="1:1">
      <c r="A589" s="2" t="s">
        <v>562</v>
      </c>
    </row>
    <row r="590" spans="1:1">
      <c r="A590" s="2" t="s">
        <v>563</v>
      </c>
    </row>
    <row r="591" spans="1:1">
      <c r="A591" s="2" t="s">
        <v>564</v>
      </c>
    </row>
    <row r="592" spans="1:1">
      <c r="A592" s="2" t="s">
        <v>565</v>
      </c>
    </row>
    <row r="593" spans="1:1">
      <c r="A593" s="2" t="s">
        <v>566</v>
      </c>
    </row>
    <row r="594" spans="1:1">
      <c r="A594" s="2" t="s">
        <v>567</v>
      </c>
    </row>
    <row r="595" spans="1:1">
      <c r="A595" s="2" t="s">
        <v>568</v>
      </c>
    </row>
    <row r="596" spans="1:1">
      <c r="A596" s="2" t="s">
        <v>569</v>
      </c>
    </row>
    <row r="597" spans="1:1">
      <c r="A597" s="2" t="s">
        <v>570</v>
      </c>
    </row>
    <row r="598" spans="1:1">
      <c r="A598" s="2" t="s">
        <v>571</v>
      </c>
    </row>
    <row r="599" spans="1:1">
      <c r="A599" s="2" t="s">
        <v>572</v>
      </c>
    </row>
    <row r="600" spans="1:1">
      <c r="A600" s="2" t="s">
        <v>573</v>
      </c>
    </row>
    <row r="601" spans="1:1">
      <c r="A601" s="2" t="s">
        <v>574</v>
      </c>
    </row>
    <row r="602" spans="1:1">
      <c r="A602" s="2" t="s">
        <v>575</v>
      </c>
    </row>
    <row r="603" spans="1:1">
      <c r="A603" s="2" t="s">
        <v>576</v>
      </c>
    </row>
    <row r="604" spans="1:1">
      <c r="A604" s="2" t="s">
        <v>577</v>
      </c>
    </row>
    <row r="605" spans="1:1">
      <c r="A605" s="2" t="s">
        <v>578</v>
      </c>
    </row>
    <row r="606" spans="1:1">
      <c r="A606" s="2" t="s">
        <v>579</v>
      </c>
    </row>
    <row r="607" spans="1:1">
      <c r="A607" s="2" t="s">
        <v>580</v>
      </c>
    </row>
    <row r="608" spans="1:1">
      <c r="A608" s="2" t="s">
        <v>581</v>
      </c>
    </row>
    <row r="609" spans="1:1">
      <c r="A609" s="2" t="s">
        <v>582</v>
      </c>
    </row>
    <row r="610" spans="1:1">
      <c r="A610" s="2" t="s">
        <v>583</v>
      </c>
    </row>
    <row r="611" spans="1:1">
      <c r="A611" s="2" t="s">
        <v>584</v>
      </c>
    </row>
    <row r="612" spans="1:1">
      <c r="A612" s="2" t="s">
        <v>585</v>
      </c>
    </row>
    <row r="613" spans="1:1">
      <c r="A613" s="2" t="s">
        <v>586</v>
      </c>
    </row>
    <row r="614" spans="1:1">
      <c r="A614" s="2" t="s">
        <v>587</v>
      </c>
    </row>
    <row r="615" spans="1:1">
      <c r="A615" s="2" t="s">
        <v>588</v>
      </c>
    </row>
    <row r="616" spans="1:1">
      <c r="A616" s="2" t="s">
        <v>589</v>
      </c>
    </row>
    <row r="617" spans="1:1">
      <c r="A617" s="2" t="s">
        <v>590</v>
      </c>
    </row>
    <row r="618" spans="1:1">
      <c r="A618" s="2" t="s">
        <v>591</v>
      </c>
    </row>
    <row r="619" spans="1:1">
      <c r="A619" s="2" t="s">
        <v>592</v>
      </c>
    </row>
    <row r="620" spans="1:1">
      <c r="A620" s="2" t="s">
        <v>593</v>
      </c>
    </row>
    <row r="621" spans="1:1">
      <c r="A621" s="2" t="s">
        <v>594</v>
      </c>
    </row>
    <row r="622" spans="1:1">
      <c r="A622" s="2" t="s">
        <v>595</v>
      </c>
    </row>
    <row r="623" spans="1:1">
      <c r="A623" s="2" t="s">
        <v>596</v>
      </c>
    </row>
    <row r="624" spans="1:1">
      <c r="A624" s="2" t="s">
        <v>597</v>
      </c>
    </row>
    <row r="625" spans="1:1">
      <c r="A625" s="2" t="s">
        <v>598</v>
      </c>
    </row>
    <row r="626" spans="1:1">
      <c r="A626" s="2" t="s">
        <v>599</v>
      </c>
    </row>
    <row r="627" spans="1:1">
      <c r="A627" s="2" t="s">
        <v>600</v>
      </c>
    </row>
    <row r="628" spans="1:1">
      <c r="A628" s="2" t="s">
        <v>601</v>
      </c>
    </row>
    <row r="629" spans="1:1">
      <c r="A629" s="2" t="s">
        <v>602</v>
      </c>
    </row>
    <row r="630" spans="1:1">
      <c r="A630" s="2" t="s">
        <v>603</v>
      </c>
    </row>
    <row r="631" spans="1:1">
      <c r="A631" s="2" t="s">
        <v>604</v>
      </c>
    </row>
    <row r="632" spans="1:1">
      <c r="A632" s="2" t="s">
        <v>605</v>
      </c>
    </row>
    <row r="633" spans="1:1">
      <c r="A633" s="2" t="s">
        <v>606</v>
      </c>
    </row>
    <row r="634" spans="1:1">
      <c r="A634" s="2" t="s">
        <v>607</v>
      </c>
    </row>
    <row r="635" spans="1:1">
      <c r="A635" s="2" t="s">
        <v>608</v>
      </c>
    </row>
    <row r="636" spans="1:1">
      <c r="A636" s="2" t="s">
        <v>609</v>
      </c>
    </row>
    <row r="637" spans="1:1">
      <c r="A637" s="2" t="s">
        <v>610</v>
      </c>
    </row>
    <row r="638" spans="1:1">
      <c r="A638" s="2" t="s">
        <v>611</v>
      </c>
    </row>
    <row r="639" spans="1:1">
      <c r="A639" s="2" t="s">
        <v>612</v>
      </c>
    </row>
    <row r="640" spans="1:1">
      <c r="A640" s="2" t="s">
        <v>613</v>
      </c>
    </row>
    <row r="641" spans="1:1">
      <c r="A641" s="2" t="s">
        <v>614</v>
      </c>
    </row>
    <row r="642" spans="1:1">
      <c r="A642" s="2" t="s">
        <v>615</v>
      </c>
    </row>
    <row r="643" spans="1:1">
      <c r="A643" s="2" t="s">
        <v>616</v>
      </c>
    </row>
    <row r="644" spans="1:1">
      <c r="A644" s="2" t="s">
        <v>617</v>
      </c>
    </row>
    <row r="645" spans="1:1">
      <c r="A645" s="2" t="s">
        <v>618</v>
      </c>
    </row>
    <row r="646" spans="1:1">
      <c r="A646" s="2" t="s">
        <v>619</v>
      </c>
    </row>
    <row r="647" spans="1:1">
      <c r="A647" s="2" t="s">
        <v>620</v>
      </c>
    </row>
    <row r="648" spans="1:1">
      <c r="A648" s="2" t="s">
        <v>621</v>
      </c>
    </row>
    <row r="649" spans="1:1">
      <c r="A649" s="2" t="s">
        <v>622</v>
      </c>
    </row>
    <row r="650" spans="1:1">
      <c r="A650" s="2" t="s">
        <v>623</v>
      </c>
    </row>
    <row r="651" spans="1:1">
      <c r="A651" s="2" t="s">
        <v>624</v>
      </c>
    </row>
    <row r="652" spans="1:1">
      <c r="A652" s="2" t="s">
        <v>625</v>
      </c>
    </row>
    <row r="653" spans="1:1">
      <c r="A653" s="2" t="s">
        <v>626</v>
      </c>
    </row>
    <row r="654" spans="1:1">
      <c r="A654" s="2" t="s">
        <v>627</v>
      </c>
    </row>
    <row r="655" spans="1:1">
      <c r="A655" s="2" t="s">
        <v>628</v>
      </c>
    </row>
    <row r="656" spans="1:1">
      <c r="A656" s="2" t="s">
        <v>629</v>
      </c>
    </row>
    <row r="657" spans="1:1">
      <c r="A657" s="2" t="s">
        <v>630</v>
      </c>
    </row>
    <row r="658" spans="1:1">
      <c r="A658" s="2" t="s">
        <v>631</v>
      </c>
    </row>
    <row r="659" spans="1:1">
      <c r="A659" s="2" t="s">
        <v>632</v>
      </c>
    </row>
    <row r="660" spans="1:1">
      <c r="A660" s="2" t="s">
        <v>633</v>
      </c>
    </row>
    <row r="661" spans="1:1">
      <c r="A661" s="2" t="s">
        <v>634</v>
      </c>
    </row>
    <row r="662" spans="1:1">
      <c r="A662" s="2" t="s">
        <v>635</v>
      </c>
    </row>
    <row r="663" spans="1:1">
      <c r="A663" s="2" t="s">
        <v>636</v>
      </c>
    </row>
    <row r="664" spans="1:1">
      <c r="A664" s="2" t="s">
        <v>637</v>
      </c>
    </row>
    <row r="665" spans="1:1">
      <c r="A665" s="2" t="s">
        <v>638</v>
      </c>
    </row>
    <row r="666" spans="1:1">
      <c r="A666" s="2" t="s">
        <v>639</v>
      </c>
    </row>
    <row r="667" spans="1:1">
      <c r="A667" s="1"/>
    </row>
    <row r="668" spans="1:1">
      <c r="A668" s="2" t="s">
        <v>640</v>
      </c>
    </row>
    <row r="669" spans="1:1">
      <c r="A669" s="2" t="s">
        <v>641</v>
      </c>
    </row>
    <row r="670" spans="1:1">
      <c r="A670" s="2" t="s">
        <v>642</v>
      </c>
    </row>
    <row r="671" spans="1:1">
      <c r="A671" s="2" t="s">
        <v>643</v>
      </c>
    </row>
    <row r="672" spans="1:1">
      <c r="A672" s="2" t="s">
        <v>644</v>
      </c>
    </row>
    <row r="673" spans="1:1">
      <c r="A673" s="2" t="s">
        <v>645</v>
      </c>
    </row>
    <row r="674" spans="1:1">
      <c r="A674" s="2" t="s">
        <v>646</v>
      </c>
    </row>
    <row r="675" spans="1:1">
      <c r="A675" s="2" t="s">
        <v>647</v>
      </c>
    </row>
    <row r="676" spans="1:1">
      <c r="A676" s="2" t="s">
        <v>648</v>
      </c>
    </row>
    <row r="677" spans="1:1">
      <c r="A677" s="2" t="s">
        <v>649</v>
      </c>
    </row>
    <row r="678" spans="1:1">
      <c r="A678" s="2" t="s">
        <v>650</v>
      </c>
    </row>
    <row r="679" spans="1:1">
      <c r="A679" s="2" t="s">
        <v>651</v>
      </c>
    </row>
    <row r="680" spans="1:1">
      <c r="A680" s="2" t="s">
        <v>652</v>
      </c>
    </row>
    <row r="681" spans="1:1">
      <c r="A681" s="2" t="s">
        <v>653</v>
      </c>
    </row>
    <row r="682" spans="1:1">
      <c r="A682" s="2" t="s">
        <v>654</v>
      </c>
    </row>
    <row r="683" spans="1:1">
      <c r="A683" s="2" t="s">
        <v>655</v>
      </c>
    </row>
    <row r="684" spans="1:1">
      <c r="A684" s="2" t="s">
        <v>656</v>
      </c>
    </row>
    <row r="685" spans="1:1">
      <c r="A685" s="2" t="s">
        <v>657</v>
      </c>
    </row>
    <row r="686" spans="1:1">
      <c r="A686" s="2" t="s">
        <v>658</v>
      </c>
    </row>
    <row r="687" spans="1:1">
      <c r="A687" s="2" t="s">
        <v>659</v>
      </c>
    </row>
    <row r="688" spans="1:1">
      <c r="A688" s="2" t="s">
        <v>660</v>
      </c>
    </row>
    <row r="689" spans="1:1">
      <c r="A689" s="2" t="s">
        <v>661</v>
      </c>
    </row>
    <row r="690" spans="1:1">
      <c r="A690" s="2" t="s">
        <v>662</v>
      </c>
    </row>
    <row r="691" spans="1:1">
      <c r="A691" s="2" t="s">
        <v>663</v>
      </c>
    </row>
    <row r="692" spans="1:1">
      <c r="A692" s="2" t="s">
        <v>664</v>
      </c>
    </row>
    <row r="693" spans="1:1">
      <c r="A693" s="2" t="s">
        <v>665</v>
      </c>
    </row>
    <row r="694" spans="1:1">
      <c r="A694" s="2" t="s">
        <v>666</v>
      </c>
    </row>
    <row r="695" spans="1:1">
      <c r="A695" s="2" t="s">
        <v>667</v>
      </c>
    </row>
    <row r="696" spans="1:1">
      <c r="A696" s="2" t="s">
        <v>668</v>
      </c>
    </row>
    <row r="697" spans="1:1">
      <c r="A697" s="2" t="s">
        <v>669</v>
      </c>
    </row>
    <row r="698" spans="1:1">
      <c r="A698" s="2" t="s">
        <v>670</v>
      </c>
    </row>
    <row r="699" spans="1:1">
      <c r="A699" s="2" t="s">
        <v>671</v>
      </c>
    </row>
    <row r="700" spans="1:1">
      <c r="A700" s="2" t="s">
        <v>672</v>
      </c>
    </row>
    <row r="701" spans="1:1">
      <c r="A701" s="2" t="s">
        <v>673</v>
      </c>
    </row>
    <row r="702" spans="1:1">
      <c r="A702" s="2" t="s">
        <v>674</v>
      </c>
    </row>
    <row r="703" spans="1:1">
      <c r="A703" s="2" t="s">
        <v>675</v>
      </c>
    </row>
    <row r="704" spans="1:1">
      <c r="A704" s="2" t="s">
        <v>676</v>
      </c>
    </row>
    <row r="705" spans="1:1">
      <c r="A705" s="2" t="s">
        <v>677</v>
      </c>
    </row>
    <row r="706" spans="1:1">
      <c r="A706" s="2" t="s">
        <v>678</v>
      </c>
    </row>
    <row r="707" spans="1:1">
      <c r="A707" s="2" t="s">
        <v>679</v>
      </c>
    </row>
    <row r="708" spans="1:1">
      <c r="A708" s="2" t="s">
        <v>680</v>
      </c>
    </row>
    <row r="709" spans="1:1">
      <c r="A709" s="2" t="s">
        <v>681</v>
      </c>
    </row>
    <row r="710" spans="1:1">
      <c r="A710" s="2" t="s">
        <v>682</v>
      </c>
    </row>
    <row r="711" spans="1:1">
      <c r="A711" s="2" t="s">
        <v>683</v>
      </c>
    </row>
    <row r="712" spans="1:1">
      <c r="A712" s="2" t="s">
        <v>684</v>
      </c>
    </row>
    <row r="713" spans="1:1">
      <c r="A713" s="2" t="s">
        <v>685</v>
      </c>
    </row>
    <row r="714" spans="1:1">
      <c r="A714" s="2" t="s">
        <v>686</v>
      </c>
    </row>
    <row r="715" spans="1:1">
      <c r="A715" s="2" t="s">
        <v>687</v>
      </c>
    </row>
    <row r="716" spans="1:1">
      <c r="A716" s="2" t="s">
        <v>688</v>
      </c>
    </row>
    <row r="717" spans="1:1">
      <c r="A717" s="2" t="s">
        <v>689</v>
      </c>
    </row>
    <row r="718" spans="1:1">
      <c r="A718" s="2" t="s">
        <v>690</v>
      </c>
    </row>
    <row r="719" spans="1:1">
      <c r="A719" s="2" t="s">
        <v>691</v>
      </c>
    </row>
    <row r="720" spans="1:1">
      <c r="A720" s="2" t="s">
        <v>692</v>
      </c>
    </row>
    <row r="721" spans="1:1">
      <c r="A721" s="2" t="s">
        <v>693</v>
      </c>
    </row>
    <row r="722" spans="1:1">
      <c r="A722" s="2" t="s">
        <v>694</v>
      </c>
    </row>
    <row r="723" spans="1:1">
      <c r="A723" s="2" t="s">
        <v>695</v>
      </c>
    </row>
    <row r="724" spans="1:1">
      <c r="A724" s="2" t="s">
        <v>696</v>
      </c>
    </row>
    <row r="725" spans="1:1">
      <c r="A725" s="2" t="s">
        <v>697</v>
      </c>
    </row>
    <row r="726" spans="1:1">
      <c r="A726" s="2" t="s">
        <v>698</v>
      </c>
    </row>
    <row r="727" spans="1:1">
      <c r="A727" s="2" t="s">
        <v>699</v>
      </c>
    </row>
    <row r="728" spans="1:1">
      <c r="A728" s="2" t="s">
        <v>700</v>
      </c>
    </row>
    <row r="729" spans="1:1">
      <c r="A729" s="2" t="s">
        <v>701</v>
      </c>
    </row>
    <row r="730" spans="1:1">
      <c r="A730" s="2" t="s">
        <v>702</v>
      </c>
    </row>
    <row r="731" spans="1:1">
      <c r="A731" s="2" t="s">
        <v>703</v>
      </c>
    </row>
    <row r="732" spans="1:1">
      <c r="A732" s="2" t="s">
        <v>704</v>
      </c>
    </row>
    <row r="733" spans="1:1">
      <c r="A733" s="2" t="s">
        <v>705</v>
      </c>
    </row>
    <row r="734" spans="1:1">
      <c r="A734" s="2" t="s">
        <v>706</v>
      </c>
    </row>
    <row r="735" spans="1:1">
      <c r="A735" s="2" t="s">
        <v>707</v>
      </c>
    </row>
    <row r="736" spans="1:1">
      <c r="A736" s="2" t="s">
        <v>708</v>
      </c>
    </row>
    <row r="737" spans="1:1">
      <c r="A737" s="2" t="s">
        <v>709</v>
      </c>
    </row>
    <row r="738" spans="1:1">
      <c r="A738" s="2" t="s">
        <v>710</v>
      </c>
    </row>
    <row r="739" spans="1:1">
      <c r="A739" s="2" t="s">
        <v>711</v>
      </c>
    </row>
    <row r="740" spans="1:1">
      <c r="A740" s="2" t="s">
        <v>712</v>
      </c>
    </row>
    <row r="741" spans="1:1">
      <c r="A741" s="2" t="s">
        <v>713</v>
      </c>
    </row>
    <row r="742" spans="1:1">
      <c r="A742" s="2" t="s">
        <v>714</v>
      </c>
    </row>
    <row r="743" spans="1:1">
      <c r="A743" s="2" t="s">
        <v>715</v>
      </c>
    </row>
    <row r="744" spans="1:1">
      <c r="A744" s="2" t="s">
        <v>716</v>
      </c>
    </row>
    <row r="745" spans="1:1">
      <c r="A745" s="2" t="s">
        <v>717</v>
      </c>
    </row>
    <row r="746" spans="1:1">
      <c r="A746" s="2" t="s">
        <v>718</v>
      </c>
    </row>
    <row r="747" spans="1:1">
      <c r="A747" s="2" t="s">
        <v>719</v>
      </c>
    </row>
    <row r="748" spans="1:1">
      <c r="A748" s="2" t="s">
        <v>720</v>
      </c>
    </row>
    <row r="749" spans="1:1">
      <c r="A749" s="2" t="s">
        <v>721</v>
      </c>
    </row>
    <row r="750" spans="1:1">
      <c r="A750" s="2" t="s">
        <v>722</v>
      </c>
    </row>
    <row r="751" spans="1:1">
      <c r="A751" s="2" t="s">
        <v>723</v>
      </c>
    </row>
    <row r="752" spans="1:1">
      <c r="A752" s="2" t="s">
        <v>724</v>
      </c>
    </row>
    <row r="753" spans="1:1">
      <c r="A753" s="2" t="s">
        <v>725</v>
      </c>
    </row>
    <row r="754" spans="1:1">
      <c r="A754" s="2" t="s">
        <v>726</v>
      </c>
    </row>
    <row r="755" spans="1:1">
      <c r="A755" s="2" t="s">
        <v>727</v>
      </c>
    </row>
    <row r="756" spans="1:1">
      <c r="A756" s="2" t="s">
        <v>728</v>
      </c>
    </row>
    <row r="757" spans="1:1">
      <c r="A757" s="2" t="s">
        <v>729</v>
      </c>
    </row>
    <row r="758" spans="1:1">
      <c r="A758" s="2" t="s">
        <v>730</v>
      </c>
    </row>
    <row r="759" spans="1:1">
      <c r="A759" s="2" t="s">
        <v>731</v>
      </c>
    </row>
    <row r="760" spans="1:1">
      <c r="A760" s="2" t="s">
        <v>732</v>
      </c>
    </row>
    <row r="761" spans="1:1">
      <c r="A761" s="2" t="s">
        <v>733</v>
      </c>
    </row>
    <row r="762" spans="1:1">
      <c r="A762" s="2" t="s">
        <v>734</v>
      </c>
    </row>
    <row r="763" spans="1:1">
      <c r="A763" s="2" t="s">
        <v>735</v>
      </c>
    </row>
    <row r="764" spans="1:1">
      <c r="A764" s="2" t="s">
        <v>736</v>
      </c>
    </row>
    <row r="765" spans="1:1">
      <c r="A765" s="2" t="s">
        <v>737</v>
      </c>
    </row>
    <row r="766" spans="1:1">
      <c r="A766" s="2" t="s">
        <v>738</v>
      </c>
    </row>
    <row r="767" spans="1:1">
      <c r="A767" s="2" t="s">
        <v>739</v>
      </c>
    </row>
    <row r="768" spans="1:1">
      <c r="A768" s="2" t="s">
        <v>740</v>
      </c>
    </row>
    <row r="769" spans="1:1">
      <c r="A769" s="2" t="s">
        <v>741</v>
      </c>
    </row>
    <row r="770" spans="1:1">
      <c r="A770" s="2" t="s">
        <v>742</v>
      </c>
    </row>
    <row r="771" spans="1:1">
      <c r="A771" s="2" t="s">
        <v>743</v>
      </c>
    </row>
    <row r="772" spans="1:1">
      <c r="A772" s="2" t="s">
        <v>744</v>
      </c>
    </row>
    <row r="773" spans="1:1">
      <c r="A773" s="2" t="s">
        <v>745</v>
      </c>
    </row>
    <row r="774" spans="1:1">
      <c r="A774" s="2" t="s">
        <v>746</v>
      </c>
    </row>
    <row r="775" spans="1:1">
      <c r="A775" s="2" t="s">
        <v>747</v>
      </c>
    </row>
    <row r="776" spans="1:1">
      <c r="A776" s="2" t="s">
        <v>748</v>
      </c>
    </row>
    <row r="777" spans="1:1">
      <c r="A777" s="2" t="s">
        <v>749</v>
      </c>
    </row>
    <row r="778" spans="1:1">
      <c r="A778" s="2" t="s">
        <v>750</v>
      </c>
    </row>
    <row r="779" spans="1:1">
      <c r="A779" s="2" t="s">
        <v>751</v>
      </c>
    </row>
    <row r="780" spans="1:1">
      <c r="A780" s="2" t="s">
        <v>752</v>
      </c>
    </row>
    <row r="781" spans="1:1">
      <c r="A781" s="2" t="s">
        <v>753</v>
      </c>
    </row>
    <row r="782" spans="1:1">
      <c r="A782" s="2" t="s">
        <v>754</v>
      </c>
    </row>
    <row r="783" spans="1:1">
      <c r="A783" s="2" t="s">
        <v>755</v>
      </c>
    </row>
    <row r="784" spans="1:1">
      <c r="A784" s="2" t="s">
        <v>756</v>
      </c>
    </row>
    <row r="785" spans="1:1">
      <c r="A785" s="2" t="s">
        <v>757</v>
      </c>
    </row>
    <row r="786" spans="1:1">
      <c r="A786" s="2" t="s">
        <v>758</v>
      </c>
    </row>
    <row r="787" spans="1:1">
      <c r="A787" s="2" t="s">
        <v>759</v>
      </c>
    </row>
    <row r="788" spans="1:1">
      <c r="A788" s="2" t="s">
        <v>760</v>
      </c>
    </row>
    <row r="789" spans="1:1">
      <c r="A789" s="2" t="s">
        <v>761</v>
      </c>
    </row>
    <row r="790" spans="1:1">
      <c r="A790" s="2" t="s">
        <v>762</v>
      </c>
    </row>
    <row r="791" spans="1:1">
      <c r="A791" s="2" t="s">
        <v>763</v>
      </c>
    </row>
    <row r="792" spans="1:1">
      <c r="A792" s="2" t="s">
        <v>764</v>
      </c>
    </row>
    <row r="793" spans="1:1">
      <c r="A793" s="2" t="s">
        <v>765</v>
      </c>
    </row>
    <row r="794" spans="1:1">
      <c r="A794" s="2" t="s">
        <v>766</v>
      </c>
    </row>
    <row r="795" spans="1:1">
      <c r="A795" s="2" t="s">
        <v>767</v>
      </c>
    </row>
    <row r="796" spans="1:1">
      <c r="A796" s="2" t="s">
        <v>768</v>
      </c>
    </row>
    <row r="797" spans="1:1">
      <c r="A797" s="2" t="s">
        <v>769</v>
      </c>
    </row>
    <row r="798" spans="1:1">
      <c r="A798" s="2" t="s">
        <v>770</v>
      </c>
    </row>
    <row r="799" spans="1:1">
      <c r="A799" s="2" t="s">
        <v>771</v>
      </c>
    </row>
    <row r="800" spans="1:1">
      <c r="A800" s="2" t="s">
        <v>772</v>
      </c>
    </row>
    <row r="801" spans="1:1">
      <c r="A801" s="2" t="s">
        <v>773</v>
      </c>
    </row>
    <row r="802" spans="1:1">
      <c r="A802" s="2" t="s">
        <v>774</v>
      </c>
    </row>
    <row r="803" spans="1:1">
      <c r="A803" s="2" t="s">
        <v>775</v>
      </c>
    </row>
    <row r="804" spans="1:1">
      <c r="A804" s="2" t="s">
        <v>776</v>
      </c>
    </row>
    <row r="805" spans="1:1">
      <c r="A805" s="2" t="s">
        <v>777</v>
      </c>
    </row>
    <row r="806" spans="1:1">
      <c r="A806" s="2" t="s">
        <v>778</v>
      </c>
    </row>
    <row r="807" spans="1:1">
      <c r="A807" s="2" t="s">
        <v>779</v>
      </c>
    </row>
    <row r="808" spans="1:1">
      <c r="A808" s="2" t="s">
        <v>780</v>
      </c>
    </row>
    <row r="809" spans="1:1">
      <c r="A809" s="2" t="s">
        <v>781</v>
      </c>
    </row>
    <row r="810" spans="1:1">
      <c r="A810" s="2" t="s">
        <v>782</v>
      </c>
    </row>
    <row r="811" spans="1:1">
      <c r="A811" s="2" t="s">
        <v>783</v>
      </c>
    </row>
    <row r="812" spans="1:1">
      <c r="A812" s="2" t="s">
        <v>784</v>
      </c>
    </row>
    <row r="813" spans="1:1">
      <c r="A813" s="2" t="s">
        <v>785</v>
      </c>
    </row>
    <row r="814" spans="1:1">
      <c r="A814" s="2" t="s">
        <v>786</v>
      </c>
    </row>
    <row r="815" spans="1:1">
      <c r="A815" s="2" t="s">
        <v>787</v>
      </c>
    </row>
    <row r="816" spans="1:1">
      <c r="A816" s="2" t="s">
        <v>788</v>
      </c>
    </row>
    <row r="817" spans="1:1">
      <c r="A817" s="2" t="s">
        <v>789</v>
      </c>
    </row>
    <row r="818" spans="1:1">
      <c r="A818" s="2" t="s">
        <v>790</v>
      </c>
    </row>
    <row r="819" spans="1:1">
      <c r="A819" s="2" t="s">
        <v>791</v>
      </c>
    </row>
    <row r="820" spans="1:1">
      <c r="A820" s="2" t="s">
        <v>792</v>
      </c>
    </row>
    <row r="821" spans="1:1">
      <c r="A821" s="2" t="s">
        <v>793</v>
      </c>
    </row>
    <row r="822" spans="1:1">
      <c r="A822" s="2" t="s">
        <v>794</v>
      </c>
    </row>
    <row r="823" spans="1:1">
      <c r="A823" s="2" t="s">
        <v>795</v>
      </c>
    </row>
    <row r="824" spans="1:1">
      <c r="A824" s="2" t="s">
        <v>796</v>
      </c>
    </row>
    <row r="825" spans="1:1">
      <c r="A825" s="2" t="s">
        <v>797</v>
      </c>
    </row>
    <row r="826" spans="1:1">
      <c r="A826" s="2" t="s">
        <v>798</v>
      </c>
    </row>
    <row r="827" spans="1:1">
      <c r="A827" s="2" t="s">
        <v>799</v>
      </c>
    </row>
    <row r="828" spans="1:1">
      <c r="A828" s="2" t="s">
        <v>800</v>
      </c>
    </row>
    <row r="829" spans="1:1">
      <c r="A829" s="2" t="s">
        <v>801</v>
      </c>
    </row>
    <row r="830" spans="1:1">
      <c r="A830" s="2" t="s">
        <v>802</v>
      </c>
    </row>
    <row r="831" spans="1:1">
      <c r="A831" s="2" t="s">
        <v>803</v>
      </c>
    </row>
    <row r="832" spans="1:1">
      <c r="A832" s="2" t="s">
        <v>804</v>
      </c>
    </row>
    <row r="833" spans="1:1">
      <c r="A833" s="2" t="s">
        <v>805</v>
      </c>
    </row>
    <row r="834" spans="1:1">
      <c r="A834" s="2" t="s">
        <v>806</v>
      </c>
    </row>
    <row r="835" spans="1:1">
      <c r="A835" s="2" t="s">
        <v>807</v>
      </c>
    </row>
    <row r="836" spans="1:1">
      <c r="A836" s="2" t="s">
        <v>808</v>
      </c>
    </row>
    <row r="837" spans="1:1">
      <c r="A837" s="2" t="s">
        <v>809</v>
      </c>
    </row>
    <row r="838" spans="1:1">
      <c r="A838" s="2" t="s">
        <v>810</v>
      </c>
    </row>
    <row r="839" spans="1:1">
      <c r="A839" s="2" t="s">
        <v>811</v>
      </c>
    </row>
    <row r="840" spans="1:1">
      <c r="A840" s="2" t="s">
        <v>812</v>
      </c>
    </row>
    <row r="841" spans="1:1">
      <c r="A841" s="2" t="s">
        <v>813</v>
      </c>
    </row>
    <row r="842" spans="1:1">
      <c r="A842" s="2" t="s">
        <v>814</v>
      </c>
    </row>
    <row r="843" spans="1:1">
      <c r="A843" s="2" t="s">
        <v>815</v>
      </c>
    </row>
    <row r="844" spans="1:1">
      <c r="A844" s="2" t="s">
        <v>816</v>
      </c>
    </row>
    <row r="845" spans="1:1">
      <c r="A845" s="2" t="s">
        <v>817</v>
      </c>
    </row>
    <row r="846" spans="1:1">
      <c r="A846" s="2" t="s">
        <v>818</v>
      </c>
    </row>
    <row r="847" spans="1:1">
      <c r="A847" s="2" t="s">
        <v>819</v>
      </c>
    </row>
    <row r="848" spans="1:1">
      <c r="A848" s="2" t="s">
        <v>820</v>
      </c>
    </row>
    <row r="849" spans="1:1">
      <c r="A849" s="2" t="s">
        <v>821</v>
      </c>
    </row>
    <row r="850" spans="1:1">
      <c r="A850" s="2" t="s">
        <v>822</v>
      </c>
    </row>
    <row r="851" spans="1:1">
      <c r="A851" s="2" t="s">
        <v>823</v>
      </c>
    </row>
    <row r="852" spans="1:1">
      <c r="A852" s="2" t="s">
        <v>824</v>
      </c>
    </row>
    <row r="853" spans="1:1">
      <c r="A853" s="2" t="s">
        <v>825</v>
      </c>
    </row>
    <row r="854" spans="1:1">
      <c r="A854" s="2" t="s">
        <v>826</v>
      </c>
    </row>
    <row r="855" spans="1:1">
      <c r="A855" s="2" t="s">
        <v>827</v>
      </c>
    </row>
    <row r="856" spans="1:1">
      <c r="A856" s="2" t="s">
        <v>828</v>
      </c>
    </row>
    <row r="857" spans="1:1">
      <c r="A857" s="2" t="s">
        <v>829</v>
      </c>
    </row>
    <row r="858" spans="1:1">
      <c r="A858" s="2" t="s">
        <v>830</v>
      </c>
    </row>
    <row r="859" spans="1:1">
      <c r="A859" s="2" t="s">
        <v>831</v>
      </c>
    </row>
    <row r="860" spans="1:1">
      <c r="A860" s="2" t="s">
        <v>832</v>
      </c>
    </row>
    <row r="861" spans="1:1">
      <c r="A861" s="2" t="s">
        <v>833</v>
      </c>
    </row>
    <row r="862" spans="1:1">
      <c r="A862" s="2" t="s">
        <v>834</v>
      </c>
    </row>
    <row r="863" spans="1:1">
      <c r="A863" s="2" t="s">
        <v>835</v>
      </c>
    </row>
    <row r="864" spans="1:1">
      <c r="A864" s="2" t="s">
        <v>836</v>
      </c>
    </row>
    <row r="865" spans="1:1">
      <c r="A865" s="2" t="s">
        <v>837</v>
      </c>
    </row>
    <row r="866" spans="1:1">
      <c r="A866" s="2" t="s">
        <v>838</v>
      </c>
    </row>
    <row r="867" spans="1:1">
      <c r="A867" s="2" t="s">
        <v>839</v>
      </c>
    </row>
    <row r="868" spans="1:1">
      <c r="A868" s="2" t="s">
        <v>840</v>
      </c>
    </row>
    <row r="869" spans="1:1">
      <c r="A869" s="2" t="s">
        <v>841</v>
      </c>
    </row>
    <row r="870" spans="1:1">
      <c r="A870" s="2" t="s">
        <v>842</v>
      </c>
    </row>
    <row r="871" spans="1:1">
      <c r="A871" s="2" t="s">
        <v>843</v>
      </c>
    </row>
    <row r="872" spans="1:1">
      <c r="A872" s="2" t="s">
        <v>844</v>
      </c>
    </row>
    <row r="873" spans="1:1">
      <c r="A873" s="2" t="s">
        <v>845</v>
      </c>
    </row>
    <row r="874" spans="1:1">
      <c r="A874" s="2" t="s">
        <v>846</v>
      </c>
    </row>
    <row r="875" spans="1:1">
      <c r="A875" s="2" t="s">
        <v>847</v>
      </c>
    </row>
    <row r="876" spans="1:1">
      <c r="A876" s="2" t="s">
        <v>848</v>
      </c>
    </row>
    <row r="877" spans="1:1">
      <c r="A877" s="2" t="s">
        <v>849</v>
      </c>
    </row>
    <row r="878" spans="1:1">
      <c r="A878" s="2" t="s">
        <v>850</v>
      </c>
    </row>
    <row r="879" spans="1:1">
      <c r="A879" s="2" t="s">
        <v>851</v>
      </c>
    </row>
    <row r="880" spans="1:1">
      <c r="A880" s="2" t="s">
        <v>852</v>
      </c>
    </row>
    <row r="881" spans="1:1">
      <c r="A881" s="2" t="s">
        <v>853</v>
      </c>
    </row>
    <row r="882" spans="1:1">
      <c r="A882" s="2" t="s">
        <v>854</v>
      </c>
    </row>
    <row r="883" spans="1:1">
      <c r="A883" s="2" t="s">
        <v>855</v>
      </c>
    </row>
    <row r="884" spans="1:1">
      <c r="A884" s="2" t="s">
        <v>856</v>
      </c>
    </row>
    <row r="885" spans="1:1">
      <c r="A885" s="2" t="s">
        <v>857</v>
      </c>
    </row>
    <row r="886" spans="1:1">
      <c r="A886" s="2" t="s">
        <v>858</v>
      </c>
    </row>
    <row r="887" spans="1:1">
      <c r="A887" s="2" t="s">
        <v>859</v>
      </c>
    </row>
    <row r="888" spans="1:1">
      <c r="A888" s="2" t="s">
        <v>860</v>
      </c>
    </row>
    <row r="889" spans="1:1">
      <c r="A889" s="2" t="s">
        <v>861</v>
      </c>
    </row>
    <row r="890" spans="1:1">
      <c r="A890" s="2" t="s">
        <v>862</v>
      </c>
    </row>
    <row r="891" spans="1:1">
      <c r="A891" s="2" t="s">
        <v>863</v>
      </c>
    </row>
    <row r="892" spans="1:1">
      <c r="A892" s="2" t="s">
        <v>864</v>
      </c>
    </row>
    <row r="893" spans="1:1">
      <c r="A893" s="2" t="s">
        <v>865</v>
      </c>
    </row>
    <row r="894" spans="1:1">
      <c r="A894" s="2" t="s">
        <v>866</v>
      </c>
    </row>
    <row r="895" spans="1:1">
      <c r="A895" s="2" t="s">
        <v>867</v>
      </c>
    </row>
    <row r="896" spans="1:1">
      <c r="A896" s="2" t="s">
        <v>868</v>
      </c>
    </row>
    <row r="897" spans="1:1">
      <c r="A897" s="2" t="s">
        <v>869</v>
      </c>
    </row>
    <row r="898" spans="1:1">
      <c r="A898" s="2" t="s">
        <v>870</v>
      </c>
    </row>
    <row r="899" spans="1:1">
      <c r="A899" s="2" t="s">
        <v>871</v>
      </c>
    </row>
    <row r="900" spans="1:1">
      <c r="A900" s="2" t="s">
        <v>872</v>
      </c>
    </row>
    <row r="901" spans="1:1">
      <c r="A901" s="2" t="s">
        <v>873</v>
      </c>
    </row>
    <row r="902" spans="1:1">
      <c r="A902" s="2" t="s">
        <v>874</v>
      </c>
    </row>
    <row r="903" spans="1:1">
      <c r="A903" s="2" t="s">
        <v>875</v>
      </c>
    </row>
    <row r="904" spans="1:1">
      <c r="A904" s="2" t="s">
        <v>876</v>
      </c>
    </row>
    <row r="905" spans="1:1">
      <c r="A905" s="2" t="s">
        <v>877</v>
      </c>
    </row>
    <row r="906" spans="1:1">
      <c r="A906" s="2" t="s">
        <v>878</v>
      </c>
    </row>
    <row r="907" spans="1:1">
      <c r="A907" s="2" t="s">
        <v>879</v>
      </c>
    </row>
    <row r="908" spans="1:1">
      <c r="A908" s="2" t="s">
        <v>880</v>
      </c>
    </row>
    <row r="909" spans="1:1">
      <c r="A909" s="2" t="s">
        <v>881</v>
      </c>
    </row>
    <row r="910" spans="1:1">
      <c r="A910" s="2" t="s">
        <v>882</v>
      </c>
    </row>
    <row r="911" spans="1:1">
      <c r="A911" s="2" t="s">
        <v>883</v>
      </c>
    </row>
    <row r="912" spans="1:1">
      <c r="A912" s="2" t="s">
        <v>884</v>
      </c>
    </row>
    <row r="913" spans="1:1">
      <c r="A913" s="2" t="s">
        <v>885</v>
      </c>
    </row>
    <row r="914" spans="1:1">
      <c r="A914" s="2" t="s">
        <v>886</v>
      </c>
    </row>
    <row r="915" spans="1:1">
      <c r="A915" s="2" t="s">
        <v>887</v>
      </c>
    </row>
    <row r="916" spans="1:1">
      <c r="A916" s="2" t="s">
        <v>888</v>
      </c>
    </row>
    <row r="917" spans="1:1">
      <c r="A917" s="2" t="s">
        <v>889</v>
      </c>
    </row>
    <row r="918" spans="1:1">
      <c r="A918" s="2" t="s">
        <v>890</v>
      </c>
    </row>
    <row r="919" spans="1:1">
      <c r="A919" s="2" t="s">
        <v>891</v>
      </c>
    </row>
    <row r="920" spans="1:1">
      <c r="A920" s="2" t="s">
        <v>892</v>
      </c>
    </row>
    <row r="921" spans="1:1">
      <c r="A921" s="2" t="s">
        <v>893</v>
      </c>
    </row>
    <row r="922" spans="1:1">
      <c r="A922" s="2" t="s">
        <v>894</v>
      </c>
    </row>
    <row r="923" spans="1:1">
      <c r="A923" s="2" t="s">
        <v>895</v>
      </c>
    </row>
    <row r="924" spans="1:1">
      <c r="A924" s="2" t="s">
        <v>896</v>
      </c>
    </row>
    <row r="925" spans="1:1">
      <c r="A925" s="2" t="s">
        <v>897</v>
      </c>
    </row>
    <row r="926" spans="1:1">
      <c r="A926" s="2" t="s">
        <v>898</v>
      </c>
    </row>
    <row r="927" spans="1:1">
      <c r="A927" s="2" t="s">
        <v>899</v>
      </c>
    </row>
    <row r="928" spans="1:1">
      <c r="A928" s="2" t="s">
        <v>900</v>
      </c>
    </row>
    <row r="929" spans="1:1">
      <c r="A929" s="2" t="s">
        <v>901</v>
      </c>
    </row>
    <row r="930" spans="1:1">
      <c r="A930" s="2" t="s">
        <v>902</v>
      </c>
    </row>
    <row r="931" spans="1:1">
      <c r="A931" s="2" t="s">
        <v>903</v>
      </c>
    </row>
    <row r="932" spans="1:1">
      <c r="A932" s="2" t="s">
        <v>904</v>
      </c>
    </row>
    <row r="933" spans="1:1">
      <c r="A933" s="2" t="s">
        <v>905</v>
      </c>
    </row>
    <row r="934" spans="1:1">
      <c r="A934" s="2" t="s">
        <v>906</v>
      </c>
    </row>
    <row r="935" spans="1:1">
      <c r="A935" s="2" t="s">
        <v>907</v>
      </c>
    </row>
    <row r="936" spans="1:1">
      <c r="A936" s="2" t="s">
        <v>908</v>
      </c>
    </row>
    <row r="937" spans="1:1">
      <c r="A937" s="2" t="s">
        <v>909</v>
      </c>
    </row>
    <row r="938" spans="1:1">
      <c r="A938" s="2" t="s">
        <v>910</v>
      </c>
    </row>
    <row r="939" spans="1:1">
      <c r="A939" s="2" t="s">
        <v>911</v>
      </c>
    </row>
    <row r="940" spans="1:1">
      <c r="A940" s="2" t="s">
        <v>912</v>
      </c>
    </row>
    <row r="941" spans="1:1">
      <c r="A941" s="2" t="s">
        <v>913</v>
      </c>
    </row>
    <row r="942" spans="1:1">
      <c r="A942" s="2" t="s">
        <v>914</v>
      </c>
    </row>
    <row r="943" spans="1:1">
      <c r="A943" s="2" t="s">
        <v>915</v>
      </c>
    </row>
    <row r="944" spans="1:1">
      <c r="A944" s="2" t="s">
        <v>916</v>
      </c>
    </row>
    <row r="945" spans="1:1">
      <c r="A945" s="2" t="s">
        <v>917</v>
      </c>
    </row>
    <row r="946" spans="1:1">
      <c r="A946" s="2" t="s">
        <v>918</v>
      </c>
    </row>
    <row r="947" spans="1:1">
      <c r="A947" s="2" t="s">
        <v>919</v>
      </c>
    </row>
    <row r="948" spans="1:1">
      <c r="A948" s="2" t="s">
        <v>920</v>
      </c>
    </row>
    <row r="949" spans="1:1">
      <c r="A949" s="2" t="s">
        <v>921</v>
      </c>
    </row>
    <row r="950" spans="1:1">
      <c r="A950" s="2" t="s">
        <v>922</v>
      </c>
    </row>
    <row r="951" spans="1:1">
      <c r="A951" s="2" t="s">
        <v>923</v>
      </c>
    </row>
    <row r="952" spans="1:1">
      <c r="A952" s="2" t="s">
        <v>924</v>
      </c>
    </row>
    <row r="953" spans="1:1">
      <c r="A953" s="2" t="s">
        <v>925</v>
      </c>
    </row>
    <row r="954" spans="1:1">
      <c r="A954" s="2" t="s">
        <v>926</v>
      </c>
    </row>
    <row r="955" spans="1:1">
      <c r="A955" s="2" t="s">
        <v>927</v>
      </c>
    </row>
    <row r="956" spans="1:1">
      <c r="A956" s="2" t="s">
        <v>928</v>
      </c>
    </row>
    <row r="957" spans="1:1">
      <c r="A957" s="2" t="s">
        <v>929</v>
      </c>
    </row>
    <row r="958" spans="1:1">
      <c r="A958" s="2" t="s">
        <v>930</v>
      </c>
    </row>
    <row r="959" spans="1:1">
      <c r="A959" s="2" t="s">
        <v>931</v>
      </c>
    </row>
    <row r="960" spans="1:1">
      <c r="A960" s="2" t="s">
        <v>932</v>
      </c>
    </row>
    <row r="961" spans="1:1">
      <c r="A961" s="2" t="s">
        <v>933</v>
      </c>
    </row>
    <row r="962" spans="1:1">
      <c r="A962" s="2" t="s">
        <v>934</v>
      </c>
    </row>
    <row r="963" spans="1:1">
      <c r="A963" s="2" t="s">
        <v>935</v>
      </c>
    </row>
    <row r="964" spans="1:1">
      <c r="A964" s="2" t="s">
        <v>936</v>
      </c>
    </row>
    <row r="965" spans="1:1">
      <c r="A965" s="2" t="s">
        <v>937</v>
      </c>
    </row>
    <row r="966" spans="1:1">
      <c r="A966" s="2" t="s">
        <v>938</v>
      </c>
    </row>
    <row r="967" spans="1:1">
      <c r="A967" s="2" t="s">
        <v>939</v>
      </c>
    </row>
    <row r="968" spans="1:1">
      <c r="A968" s="2" t="s">
        <v>940</v>
      </c>
    </row>
    <row r="969" spans="1:1">
      <c r="A969" s="1"/>
    </row>
    <row r="970" spans="1:1">
      <c r="A970" s="2" t="s">
        <v>941</v>
      </c>
    </row>
    <row r="971" spans="1:1">
      <c r="A971" s="2" t="s">
        <v>942</v>
      </c>
    </row>
    <row r="972" spans="1:1">
      <c r="A972" s="2" t="s">
        <v>943</v>
      </c>
    </row>
    <row r="973" spans="1:1">
      <c r="A973" s="2" t="s">
        <v>944</v>
      </c>
    </row>
    <row r="974" spans="1:1">
      <c r="A974" s="2" t="s">
        <v>945</v>
      </c>
    </row>
    <row r="975" spans="1:1">
      <c r="A975" s="2" t="s">
        <v>946</v>
      </c>
    </row>
    <row r="976" spans="1:1">
      <c r="A976" s="2" t="s">
        <v>947</v>
      </c>
    </row>
    <row r="977" spans="1:1">
      <c r="A977" s="2" t="s">
        <v>948</v>
      </c>
    </row>
    <row r="978" spans="1:1">
      <c r="A978" s="2" t="s">
        <v>949</v>
      </c>
    </row>
    <row r="979" spans="1:1">
      <c r="A979" s="2" t="s">
        <v>950</v>
      </c>
    </row>
    <row r="980" spans="1:1">
      <c r="A980" s="2" t="s">
        <v>951</v>
      </c>
    </row>
    <row r="981" spans="1:1">
      <c r="A981" s="2" t="s">
        <v>952</v>
      </c>
    </row>
    <row r="982" spans="1:1">
      <c r="A982" s="2" t="s">
        <v>953</v>
      </c>
    </row>
    <row r="983" spans="1:1">
      <c r="A983" s="2" t="s">
        <v>954</v>
      </c>
    </row>
    <row r="984" spans="1:1">
      <c r="A984" s="2" t="s">
        <v>955</v>
      </c>
    </row>
    <row r="985" spans="1:1">
      <c r="A985" s="2" t="s">
        <v>956</v>
      </c>
    </row>
    <row r="986" spans="1:1">
      <c r="A986" s="2" t="s">
        <v>957</v>
      </c>
    </row>
    <row r="987" spans="1:1">
      <c r="A987" s="2" t="s">
        <v>958</v>
      </c>
    </row>
    <row r="988" spans="1:1">
      <c r="A988" s="2" t="s">
        <v>959</v>
      </c>
    </row>
    <row r="989" spans="1:1">
      <c r="A989" s="2" t="s">
        <v>960</v>
      </c>
    </row>
    <row r="990" spans="1:1">
      <c r="A990" s="2" t="s">
        <v>961</v>
      </c>
    </row>
    <row r="991" spans="1:1">
      <c r="A991" s="2" t="s">
        <v>962</v>
      </c>
    </row>
    <row r="992" spans="1:1">
      <c r="A992" s="2" t="s">
        <v>963</v>
      </c>
    </row>
    <row r="993" spans="1:1">
      <c r="A993" s="2" t="s">
        <v>964</v>
      </c>
    </row>
    <row r="994" spans="1:1">
      <c r="A994" s="2" t="s">
        <v>965</v>
      </c>
    </row>
    <row r="995" spans="1:1">
      <c r="A995" s="2" t="s">
        <v>966</v>
      </c>
    </row>
    <row r="996" spans="1:1">
      <c r="A996" s="2" t="s">
        <v>967</v>
      </c>
    </row>
    <row r="997" spans="1:1">
      <c r="A997" s="2" t="s">
        <v>968</v>
      </c>
    </row>
    <row r="998" spans="1:1">
      <c r="A998" s="2" t="s">
        <v>969</v>
      </c>
    </row>
    <row r="999" spans="1:1">
      <c r="A999" s="2" t="s">
        <v>970</v>
      </c>
    </row>
    <row r="1000" spans="1:1">
      <c r="A1000" s="2" t="s">
        <v>971</v>
      </c>
    </row>
    <row r="1001" spans="1:1">
      <c r="A1001" s="2" t="s">
        <v>972</v>
      </c>
    </row>
    <row r="1002" spans="1:1">
      <c r="A1002" s="2" t="s">
        <v>973</v>
      </c>
    </row>
    <row r="1003" spans="1:1">
      <c r="A1003" s="2" t="s">
        <v>974</v>
      </c>
    </row>
    <row r="1004" spans="1:1">
      <c r="A1004" s="2" t="s">
        <v>975</v>
      </c>
    </row>
    <row r="1005" spans="1:1">
      <c r="A1005" s="2" t="s">
        <v>976</v>
      </c>
    </row>
    <row r="1006" spans="1:1">
      <c r="A1006" s="2" t="s">
        <v>977</v>
      </c>
    </row>
    <row r="1007" spans="1:1">
      <c r="A1007" s="2" t="s">
        <v>978</v>
      </c>
    </row>
    <row r="1008" spans="1:1">
      <c r="A1008" s="2" t="s">
        <v>979</v>
      </c>
    </row>
    <row r="1009" spans="1:1">
      <c r="A1009" s="2" t="s">
        <v>980</v>
      </c>
    </row>
    <row r="1010" spans="1:1">
      <c r="A1010" s="2" t="s">
        <v>981</v>
      </c>
    </row>
    <row r="1011" spans="1:1">
      <c r="A1011" s="2" t="s">
        <v>982</v>
      </c>
    </row>
    <row r="1012" spans="1:1">
      <c r="A1012" s="2" t="s">
        <v>983</v>
      </c>
    </row>
    <row r="1013" spans="1:1">
      <c r="A1013" s="2" t="s">
        <v>984</v>
      </c>
    </row>
    <row r="1014" spans="1:1">
      <c r="A1014" s="2" t="s">
        <v>985</v>
      </c>
    </row>
    <row r="1015" spans="1:1">
      <c r="A1015" s="2" t="s">
        <v>986</v>
      </c>
    </row>
    <row r="1016" spans="1:1">
      <c r="A1016" s="2" t="s">
        <v>987</v>
      </c>
    </row>
    <row r="1017" spans="1:1">
      <c r="A1017" s="2" t="s">
        <v>988</v>
      </c>
    </row>
    <row r="1018" spans="1:1">
      <c r="A1018" s="2" t="s">
        <v>989</v>
      </c>
    </row>
    <row r="1019" spans="1:1">
      <c r="A1019" s="2" t="s">
        <v>990</v>
      </c>
    </row>
    <row r="1020" spans="1:1">
      <c r="A1020" s="2" t="s">
        <v>991</v>
      </c>
    </row>
    <row r="1021" spans="1:1">
      <c r="A1021" s="2" t="s">
        <v>992</v>
      </c>
    </row>
    <row r="1022" spans="1:1">
      <c r="A1022" s="2" t="s">
        <v>993</v>
      </c>
    </row>
    <row r="1023" spans="1:1">
      <c r="A1023" s="2" t="s">
        <v>994</v>
      </c>
    </row>
    <row r="1024" spans="1:1">
      <c r="A1024" s="2" t="s">
        <v>995</v>
      </c>
    </row>
    <row r="1025" spans="1:1">
      <c r="A1025" s="2" t="s">
        <v>996</v>
      </c>
    </row>
    <row r="1026" spans="1:1">
      <c r="A1026" s="2" t="s">
        <v>997</v>
      </c>
    </row>
    <row r="1027" spans="1:1">
      <c r="A1027" s="2" t="s">
        <v>998</v>
      </c>
    </row>
    <row r="1028" spans="1:1">
      <c r="A1028" s="2" t="s">
        <v>999</v>
      </c>
    </row>
    <row r="1029" spans="1:1">
      <c r="A1029" s="2" t="s">
        <v>1000</v>
      </c>
    </row>
    <row r="1030" spans="1:1">
      <c r="A1030" s="2" t="s">
        <v>1001</v>
      </c>
    </row>
    <row r="1031" spans="1:1">
      <c r="A1031" s="2" t="s">
        <v>1002</v>
      </c>
    </row>
    <row r="1032" spans="1:1">
      <c r="A1032" s="2" t="s">
        <v>1003</v>
      </c>
    </row>
    <row r="1033" spans="1:1">
      <c r="A1033" s="2" t="s">
        <v>1004</v>
      </c>
    </row>
    <row r="1034" spans="1:1">
      <c r="A1034" s="2" t="s">
        <v>1005</v>
      </c>
    </row>
    <row r="1035" spans="1:1">
      <c r="A1035" s="2" t="s">
        <v>1006</v>
      </c>
    </row>
    <row r="1036" spans="1:1">
      <c r="A1036" s="2" t="s">
        <v>1007</v>
      </c>
    </row>
    <row r="1037" spans="1:1">
      <c r="A1037" s="2" t="s">
        <v>1008</v>
      </c>
    </row>
    <row r="1038" spans="1:1">
      <c r="A1038" s="2" t="s">
        <v>1009</v>
      </c>
    </row>
    <row r="1039" spans="1:1">
      <c r="A1039" s="2" t="s">
        <v>1010</v>
      </c>
    </row>
    <row r="1040" spans="1:1">
      <c r="A1040" s="2" t="s">
        <v>1011</v>
      </c>
    </row>
    <row r="1041" spans="1:1">
      <c r="A1041" s="2" t="s">
        <v>1012</v>
      </c>
    </row>
    <row r="1042" spans="1:1">
      <c r="A1042" s="2" t="s">
        <v>1013</v>
      </c>
    </row>
    <row r="1043" spans="1:1">
      <c r="A1043" s="2" t="s">
        <v>1014</v>
      </c>
    </row>
    <row r="1044" spans="1:1">
      <c r="A1044" s="2" t="s">
        <v>1015</v>
      </c>
    </row>
    <row r="1045" spans="1:1">
      <c r="A1045" s="2" t="s">
        <v>1016</v>
      </c>
    </row>
    <row r="1046" spans="1:1">
      <c r="A1046" s="2" t="s">
        <v>1017</v>
      </c>
    </row>
    <row r="1047" spans="1:1">
      <c r="A1047" s="2" t="s">
        <v>1018</v>
      </c>
    </row>
    <row r="1048" spans="1:1">
      <c r="A1048" s="2" t="s">
        <v>1019</v>
      </c>
    </row>
    <row r="1049" spans="1:1">
      <c r="A1049" s="2" t="s">
        <v>1020</v>
      </c>
    </row>
    <row r="1050" spans="1:1">
      <c r="A1050" s="2" t="s">
        <v>1021</v>
      </c>
    </row>
    <row r="1051" spans="1:1">
      <c r="A1051" s="2" t="s">
        <v>1022</v>
      </c>
    </row>
    <row r="1052" spans="1:1">
      <c r="A1052" s="2" t="s">
        <v>1023</v>
      </c>
    </row>
    <row r="1053" spans="1:1">
      <c r="A1053" s="2" t="s">
        <v>1024</v>
      </c>
    </row>
    <row r="1054" spans="1:1">
      <c r="A1054" s="2" t="s">
        <v>1025</v>
      </c>
    </row>
    <row r="1055" spans="1:1">
      <c r="A1055" s="2" t="s">
        <v>1026</v>
      </c>
    </row>
    <row r="1056" spans="1:1">
      <c r="A1056" s="2" t="s">
        <v>1027</v>
      </c>
    </row>
    <row r="1057" spans="1:1">
      <c r="A1057" s="2" t="s">
        <v>1028</v>
      </c>
    </row>
    <row r="1058" spans="1:1">
      <c r="A1058" s="2" t="s">
        <v>1029</v>
      </c>
    </row>
    <row r="1059" spans="1:1">
      <c r="A1059" s="2" t="s">
        <v>1030</v>
      </c>
    </row>
    <row r="1060" spans="1:1">
      <c r="A1060" s="2" t="s">
        <v>1031</v>
      </c>
    </row>
    <row r="1061" spans="1:1">
      <c r="A1061" s="2" t="s">
        <v>1032</v>
      </c>
    </row>
    <row r="1062" spans="1:1">
      <c r="A1062" s="2" t="s">
        <v>1033</v>
      </c>
    </row>
    <row r="1063" spans="1:1">
      <c r="A1063" s="2" t="s">
        <v>1034</v>
      </c>
    </row>
    <row r="1064" spans="1:1">
      <c r="A1064" s="2" t="s">
        <v>1035</v>
      </c>
    </row>
    <row r="1065" spans="1:1">
      <c r="A1065" s="2" t="s">
        <v>1036</v>
      </c>
    </row>
    <row r="1066" spans="1:1">
      <c r="A1066" s="2" t="s">
        <v>1037</v>
      </c>
    </row>
    <row r="1067" spans="1:1">
      <c r="A1067" s="2" t="s">
        <v>1038</v>
      </c>
    </row>
    <row r="1068" spans="1:1">
      <c r="A1068" s="2" t="s">
        <v>1039</v>
      </c>
    </row>
    <row r="1069" spans="1:1">
      <c r="A1069" s="2" t="s">
        <v>1040</v>
      </c>
    </row>
    <row r="1070" spans="1:1">
      <c r="A1070" s="2" t="s">
        <v>1041</v>
      </c>
    </row>
    <row r="1071" spans="1:1">
      <c r="A1071" s="2" t="s">
        <v>1042</v>
      </c>
    </row>
    <row r="1072" spans="1:1">
      <c r="A1072" s="2" t="s">
        <v>1043</v>
      </c>
    </row>
    <row r="1073" spans="1:1">
      <c r="A1073" s="2" t="s">
        <v>1044</v>
      </c>
    </row>
    <row r="1074" spans="1:1">
      <c r="A1074" s="2" t="s">
        <v>1045</v>
      </c>
    </row>
    <row r="1075" spans="1:1">
      <c r="A1075" s="2" t="s">
        <v>1046</v>
      </c>
    </row>
    <row r="1076" spans="1:1">
      <c r="A1076" s="2" t="s">
        <v>1047</v>
      </c>
    </row>
    <row r="1077" spans="1:1">
      <c r="A1077" s="2" t="s">
        <v>1048</v>
      </c>
    </row>
    <row r="1078" spans="1:1">
      <c r="A1078" s="2" t="s">
        <v>1049</v>
      </c>
    </row>
    <row r="1079" spans="1:1">
      <c r="A1079" s="2" t="s">
        <v>1050</v>
      </c>
    </row>
    <row r="1080" spans="1:1">
      <c r="A1080" s="2" t="s">
        <v>1051</v>
      </c>
    </row>
    <row r="1081" spans="1:1">
      <c r="A1081" s="2" t="s">
        <v>1052</v>
      </c>
    </row>
    <row r="1082" spans="1:1">
      <c r="A1082" s="2" t="s">
        <v>1053</v>
      </c>
    </row>
    <row r="1083" spans="1:1">
      <c r="A1083" s="2" t="s">
        <v>1054</v>
      </c>
    </row>
    <row r="1084" spans="1:1">
      <c r="A1084" s="2" t="s">
        <v>1055</v>
      </c>
    </row>
    <row r="1085" spans="1:1">
      <c r="A1085" s="2" t="s">
        <v>1056</v>
      </c>
    </row>
    <row r="1086" spans="1:1">
      <c r="A1086" s="2" t="s">
        <v>1057</v>
      </c>
    </row>
    <row r="1087" spans="1:1">
      <c r="A1087" s="2" t="s">
        <v>1058</v>
      </c>
    </row>
    <row r="1088" spans="1:1">
      <c r="A1088" s="2" t="s">
        <v>1059</v>
      </c>
    </row>
    <row r="1089" spans="1:1">
      <c r="A1089" s="2" t="s">
        <v>1060</v>
      </c>
    </row>
    <row r="1090" spans="1:1">
      <c r="A1090" s="2" t="s">
        <v>1061</v>
      </c>
    </row>
    <row r="1091" spans="1:1">
      <c r="A1091" s="2" t="s">
        <v>1062</v>
      </c>
    </row>
    <row r="1092" spans="1:1">
      <c r="A1092" s="2" t="s">
        <v>1063</v>
      </c>
    </row>
    <row r="1093" spans="1:1">
      <c r="A1093" s="2" t="s">
        <v>1064</v>
      </c>
    </row>
    <row r="1094" spans="1:1">
      <c r="A1094" s="2" t="s">
        <v>1065</v>
      </c>
    </row>
    <row r="1095" spans="1:1">
      <c r="A1095" s="2" t="s">
        <v>1066</v>
      </c>
    </row>
    <row r="1096" spans="1:1">
      <c r="A1096" s="2" t="s">
        <v>1067</v>
      </c>
    </row>
    <row r="1097" spans="1:1">
      <c r="A1097" s="2" t="s">
        <v>1068</v>
      </c>
    </row>
    <row r="1098" spans="1:1">
      <c r="A1098" s="2" t="s">
        <v>1069</v>
      </c>
    </row>
    <row r="1099" spans="1:1">
      <c r="A1099" s="2" t="s">
        <v>1070</v>
      </c>
    </row>
    <row r="1100" spans="1:1">
      <c r="A1100" s="2" t="s">
        <v>1071</v>
      </c>
    </row>
    <row r="1101" spans="1:1">
      <c r="A1101" s="2" t="s">
        <v>1072</v>
      </c>
    </row>
    <row r="1102" spans="1:1">
      <c r="A1102" s="2" t="s">
        <v>1073</v>
      </c>
    </row>
    <row r="1103" spans="1:1">
      <c r="A1103" s="2" t="s">
        <v>1074</v>
      </c>
    </row>
    <row r="1104" spans="1:1">
      <c r="A1104" s="2" t="s">
        <v>1075</v>
      </c>
    </row>
    <row r="1105" spans="1:1">
      <c r="A1105" s="2" t="s">
        <v>1076</v>
      </c>
    </row>
    <row r="1106" spans="1:1">
      <c r="A1106" s="2" t="s">
        <v>1077</v>
      </c>
    </row>
    <row r="1107" spans="1:1">
      <c r="A1107" s="2" t="s">
        <v>1078</v>
      </c>
    </row>
    <row r="1108" spans="1:1">
      <c r="A1108" s="2" t="s">
        <v>1079</v>
      </c>
    </row>
    <row r="1109" spans="1:1">
      <c r="A1109" s="2" t="s">
        <v>1080</v>
      </c>
    </row>
    <row r="1110" spans="1:1">
      <c r="A1110" s="2" t="s">
        <v>1081</v>
      </c>
    </row>
    <row r="1111" spans="1:1">
      <c r="A1111" s="2" t="s">
        <v>1082</v>
      </c>
    </row>
    <row r="1112" spans="1:1">
      <c r="A1112" s="2" t="s">
        <v>1083</v>
      </c>
    </row>
    <row r="1113" spans="1:1">
      <c r="A1113" s="2" t="s">
        <v>1084</v>
      </c>
    </row>
    <row r="1114" spans="1:1">
      <c r="A1114" s="2" t="s">
        <v>1085</v>
      </c>
    </row>
    <row r="1115" spans="1:1">
      <c r="A1115" s="2" t="s">
        <v>1086</v>
      </c>
    </row>
    <row r="1116" spans="1:1">
      <c r="A1116" s="2" t="s">
        <v>1087</v>
      </c>
    </row>
    <row r="1117" spans="1:1">
      <c r="A1117" s="2" t="s">
        <v>1088</v>
      </c>
    </row>
    <row r="1118" spans="1:1">
      <c r="A1118" s="2" t="s">
        <v>1089</v>
      </c>
    </row>
    <row r="1119" spans="1:1">
      <c r="A1119" s="2" t="s">
        <v>1090</v>
      </c>
    </row>
    <row r="1120" spans="1:1">
      <c r="A1120" s="2" t="s">
        <v>1091</v>
      </c>
    </row>
    <row r="1121" spans="1:1">
      <c r="A1121" s="2" t="s">
        <v>1092</v>
      </c>
    </row>
    <row r="1122" spans="1:1">
      <c r="A1122" s="2" t="s">
        <v>1093</v>
      </c>
    </row>
    <row r="1123" spans="1:1">
      <c r="A1123" s="2" t="s">
        <v>1094</v>
      </c>
    </row>
    <row r="1124" spans="1:1">
      <c r="A1124" s="2" t="s">
        <v>1095</v>
      </c>
    </row>
    <row r="1125" spans="1:1">
      <c r="A1125" s="2" t="s">
        <v>1096</v>
      </c>
    </row>
    <row r="1126" spans="1:1">
      <c r="A1126" s="2" t="s">
        <v>1097</v>
      </c>
    </row>
    <row r="1127" spans="1:1">
      <c r="A1127" s="2" t="s">
        <v>1098</v>
      </c>
    </row>
    <row r="1128" spans="1:1">
      <c r="A1128" s="2" t="s">
        <v>1099</v>
      </c>
    </row>
    <row r="1129" spans="1:1">
      <c r="A1129" s="2" t="s">
        <v>1100</v>
      </c>
    </row>
    <row r="1130" spans="1:1">
      <c r="A1130" s="2" t="s">
        <v>1101</v>
      </c>
    </row>
    <row r="1131" spans="1:1">
      <c r="A1131" s="2" t="s">
        <v>1102</v>
      </c>
    </row>
    <row r="1132" spans="1:1">
      <c r="A1132" s="2" t="s">
        <v>1103</v>
      </c>
    </row>
    <row r="1133" spans="1:1">
      <c r="A1133" s="2" t="s">
        <v>1104</v>
      </c>
    </row>
    <row r="1134" spans="1:1">
      <c r="A1134" s="2" t="s">
        <v>1105</v>
      </c>
    </row>
    <row r="1135" spans="1:1">
      <c r="A1135" s="2" t="s">
        <v>1106</v>
      </c>
    </row>
    <row r="1136" spans="1:1">
      <c r="A1136" s="2" t="s">
        <v>1107</v>
      </c>
    </row>
    <row r="1137" spans="1:1">
      <c r="A1137" s="2" t="s">
        <v>1108</v>
      </c>
    </row>
    <row r="1138" spans="1:1">
      <c r="A1138" s="2" t="s">
        <v>1109</v>
      </c>
    </row>
    <row r="1139" spans="1:1">
      <c r="A1139" s="2" t="s">
        <v>1110</v>
      </c>
    </row>
    <row r="1140" spans="1:1">
      <c r="A1140" s="2" t="s">
        <v>1111</v>
      </c>
    </row>
    <row r="1141" spans="1:1">
      <c r="A1141" s="2" t="s">
        <v>1112</v>
      </c>
    </row>
    <row r="1142" spans="1:1">
      <c r="A1142" s="2" t="s">
        <v>1113</v>
      </c>
    </row>
    <row r="1143" spans="1:1">
      <c r="A1143" s="2" t="s">
        <v>1114</v>
      </c>
    </row>
    <row r="1144" spans="1:1">
      <c r="A1144" s="2" t="s">
        <v>1115</v>
      </c>
    </row>
    <row r="1145" spans="1:1">
      <c r="A1145" s="2" t="s">
        <v>1116</v>
      </c>
    </row>
    <row r="1146" spans="1:1">
      <c r="A1146" s="2" t="s">
        <v>1117</v>
      </c>
    </row>
    <row r="1147" spans="1:1">
      <c r="A1147" s="2" t="s">
        <v>1118</v>
      </c>
    </row>
    <row r="1148" spans="1:1">
      <c r="A1148" s="2" t="s">
        <v>1119</v>
      </c>
    </row>
    <row r="1149" spans="1:1">
      <c r="A1149" s="2" t="s">
        <v>1120</v>
      </c>
    </row>
    <row r="1150" spans="1:1">
      <c r="A1150" s="2" t="s">
        <v>1121</v>
      </c>
    </row>
    <row r="1151" spans="1:1">
      <c r="A1151" s="2" t="s">
        <v>1122</v>
      </c>
    </row>
    <row r="1152" spans="1:1">
      <c r="A1152" s="2" t="s">
        <v>1123</v>
      </c>
    </row>
    <row r="1153" spans="1:1">
      <c r="A1153" s="2" t="s">
        <v>1124</v>
      </c>
    </row>
    <row r="1154" spans="1:1">
      <c r="A1154" s="2" t="s">
        <v>1125</v>
      </c>
    </row>
    <row r="1155" spans="1:1">
      <c r="A1155" s="2" t="s">
        <v>1126</v>
      </c>
    </row>
    <row r="1156" spans="1:1">
      <c r="A1156" s="2" t="s">
        <v>1127</v>
      </c>
    </row>
    <row r="1157" spans="1:1">
      <c r="A1157" s="2" t="s">
        <v>1128</v>
      </c>
    </row>
    <row r="1158" spans="1:1">
      <c r="A1158" s="2" t="s">
        <v>1129</v>
      </c>
    </row>
    <row r="1159" spans="1:1">
      <c r="A1159" s="2" t="s">
        <v>1130</v>
      </c>
    </row>
    <row r="1160" spans="1:1">
      <c r="A1160" s="2" t="s">
        <v>1131</v>
      </c>
    </row>
    <row r="1161" spans="1:1">
      <c r="A1161" s="2" t="s">
        <v>1132</v>
      </c>
    </row>
    <row r="1162" spans="1:1">
      <c r="A1162" s="2" t="s">
        <v>1133</v>
      </c>
    </row>
    <row r="1163" spans="1:1">
      <c r="A1163" s="2" t="s">
        <v>1134</v>
      </c>
    </row>
    <row r="1164" spans="1:1">
      <c r="A1164" s="2" t="s">
        <v>1135</v>
      </c>
    </row>
    <row r="1165" spans="1:1">
      <c r="A1165" s="2" t="s">
        <v>1136</v>
      </c>
    </row>
    <row r="1166" spans="1:1">
      <c r="A1166" s="2" t="s">
        <v>1137</v>
      </c>
    </row>
    <row r="1167" spans="1:1">
      <c r="A1167" s="2" t="s">
        <v>1138</v>
      </c>
    </row>
    <row r="1168" spans="1:1">
      <c r="A1168" s="2" t="s">
        <v>1139</v>
      </c>
    </row>
    <row r="1169" spans="1:1">
      <c r="A1169" s="2" t="s">
        <v>1140</v>
      </c>
    </row>
    <row r="1170" spans="1:1">
      <c r="A1170" s="2" t="s">
        <v>1141</v>
      </c>
    </row>
    <row r="1171" spans="1:1">
      <c r="A1171" s="2" t="s">
        <v>1142</v>
      </c>
    </row>
    <row r="1172" spans="1:1">
      <c r="A1172" s="2" t="s">
        <v>1143</v>
      </c>
    </row>
    <row r="1173" spans="1:1">
      <c r="A1173" s="2" t="s">
        <v>1144</v>
      </c>
    </row>
    <row r="1174" spans="1:1">
      <c r="A1174" s="2" t="s">
        <v>1145</v>
      </c>
    </row>
    <row r="1175" spans="1:1">
      <c r="A1175" s="2" t="s">
        <v>1146</v>
      </c>
    </row>
    <row r="1176" spans="1:1">
      <c r="A1176" s="2" t="s">
        <v>1147</v>
      </c>
    </row>
    <row r="1177" spans="1:1">
      <c r="A1177" s="2" t="s">
        <v>1148</v>
      </c>
    </row>
    <row r="1178" spans="1:1">
      <c r="A1178" s="2" t="s">
        <v>1149</v>
      </c>
    </row>
    <row r="1179" spans="1:1">
      <c r="A1179" s="2" t="s">
        <v>1150</v>
      </c>
    </row>
    <row r="1180" spans="1:1">
      <c r="A1180" s="2" t="s">
        <v>1151</v>
      </c>
    </row>
    <row r="1181" spans="1:1">
      <c r="A1181" s="2" t="s">
        <v>1152</v>
      </c>
    </row>
    <row r="1182" spans="1:1">
      <c r="A1182" s="2" t="s">
        <v>1153</v>
      </c>
    </row>
    <row r="1183" spans="1:1">
      <c r="A1183" s="2" t="s">
        <v>1154</v>
      </c>
    </row>
    <row r="1184" spans="1:1">
      <c r="A1184" s="2" t="s">
        <v>1155</v>
      </c>
    </row>
    <row r="1185" spans="1:1">
      <c r="A1185" s="2" t="s">
        <v>1156</v>
      </c>
    </row>
    <row r="1186" spans="1:1">
      <c r="A1186" s="2" t="s">
        <v>1157</v>
      </c>
    </row>
    <row r="1187" spans="1:1">
      <c r="A1187" s="2" t="s">
        <v>1158</v>
      </c>
    </row>
    <row r="1188" spans="1:1">
      <c r="A1188" s="2" t="s">
        <v>1159</v>
      </c>
    </row>
    <row r="1189" spans="1:1">
      <c r="A1189" s="2" t="s">
        <v>1160</v>
      </c>
    </row>
    <row r="1190" spans="1:1">
      <c r="A1190" s="2" t="s">
        <v>1161</v>
      </c>
    </row>
    <row r="1191" spans="1:1">
      <c r="A1191" s="2" t="s">
        <v>1162</v>
      </c>
    </row>
    <row r="1192" spans="1:1">
      <c r="A1192" s="2" t="s">
        <v>1163</v>
      </c>
    </row>
    <row r="1193" spans="1:1">
      <c r="A1193" s="2" t="s">
        <v>1164</v>
      </c>
    </row>
    <row r="1194" spans="1:1">
      <c r="A1194" s="2" t="s">
        <v>1165</v>
      </c>
    </row>
    <row r="1195" spans="1:1">
      <c r="A1195" s="2" t="s">
        <v>1166</v>
      </c>
    </row>
    <row r="1196" spans="1:1">
      <c r="A1196" s="2" t="s">
        <v>1167</v>
      </c>
    </row>
    <row r="1197" spans="1:1">
      <c r="A1197" s="2" t="s">
        <v>1168</v>
      </c>
    </row>
    <row r="1198" spans="1:1">
      <c r="A1198" s="2" t="s">
        <v>1169</v>
      </c>
    </row>
    <row r="1199" spans="1:1">
      <c r="A1199" s="2" t="s">
        <v>1170</v>
      </c>
    </row>
    <row r="1200" spans="1:1">
      <c r="A1200" s="2" t="s">
        <v>1171</v>
      </c>
    </row>
    <row r="1201" spans="1:1">
      <c r="A1201" s="2" t="s">
        <v>1172</v>
      </c>
    </row>
    <row r="1202" spans="1:1">
      <c r="A1202" s="2" t="s">
        <v>1173</v>
      </c>
    </row>
    <row r="1203" spans="1:1">
      <c r="A1203" s="2" t="s">
        <v>1174</v>
      </c>
    </row>
    <row r="1204" spans="1:1">
      <c r="A1204" s="2" t="s">
        <v>1175</v>
      </c>
    </row>
    <row r="1205" spans="1:1">
      <c r="A1205" s="2" t="s">
        <v>1176</v>
      </c>
    </row>
    <row r="1206" spans="1:1">
      <c r="A1206" s="2" t="s">
        <v>1177</v>
      </c>
    </row>
    <row r="1207" spans="1:1">
      <c r="A1207" s="2" t="s">
        <v>1178</v>
      </c>
    </row>
    <row r="1208" spans="1:1">
      <c r="A1208" s="2" t="s">
        <v>1179</v>
      </c>
    </row>
    <row r="1209" spans="1:1">
      <c r="A1209" s="2" t="s">
        <v>1180</v>
      </c>
    </row>
    <row r="1210" spans="1:1">
      <c r="A1210" s="2" t="s">
        <v>1181</v>
      </c>
    </row>
    <row r="1211" spans="1:1">
      <c r="A1211" s="2" t="s">
        <v>1182</v>
      </c>
    </row>
    <row r="1212" spans="1:1">
      <c r="A1212" s="2" t="s">
        <v>1183</v>
      </c>
    </row>
    <row r="1213" spans="1:1">
      <c r="A1213" s="2" t="s">
        <v>1184</v>
      </c>
    </row>
    <row r="1214" spans="1:1">
      <c r="A1214" s="2" t="s">
        <v>1185</v>
      </c>
    </row>
    <row r="1215" spans="1:1">
      <c r="A1215" s="2" t="s">
        <v>1186</v>
      </c>
    </row>
    <row r="1216" spans="1:1">
      <c r="A1216" s="2" t="s">
        <v>1187</v>
      </c>
    </row>
    <row r="1217" spans="1:1">
      <c r="A1217" s="2" t="s">
        <v>1188</v>
      </c>
    </row>
    <row r="1218" spans="1:1">
      <c r="A1218" s="2" t="s">
        <v>1189</v>
      </c>
    </row>
    <row r="1219" spans="1:1">
      <c r="A1219" s="2" t="s">
        <v>1190</v>
      </c>
    </row>
    <row r="1220" spans="1:1">
      <c r="A1220" s="2" t="s">
        <v>1191</v>
      </c>
    </row>
    <row r="1221" spans="1:1">
      <c r="A1221" s="2" t="s">
        <v>1192</v>
      </c>
    </row>
    <row r="1222" spans="1:1">
      <c r="A1222" s="2" t="s">
        <v>1193</v>
      </c>
    </row>
    <row r="1223" spans="1:1">
      <c r="A1223" s="2" t="s">
        <v>1194</v>
      </c>
    </row>
    <row r="1224" spans="1:1">
      <c r="A1224" s="2" t="s">
        <v>1195</v>
      </c>
    </row>
    <row r="1225" spans="1:1">
      <c r="A1225" s="2" t="s">
        <v>1196</v>
      </c>
    </row>
    <row r="1226" spans="1:1">
      <c r="A1226" s="2" t="s">
        <v>1197</v>
      </c>
    </row>
    <row r="1227" spans="1:1">
      <c r="A1227" s="2" t="s">
        <v>1198</v>
      </c>
    </row>
    <row r="1228" spans="1:1">
      <c r="A1228" s="2" t="s">
        <v>1199</v>
      </c>
    </row>
    <row r="1229" spans="1:1">
      <c r="A1229" s="2" t="s">
        <v>1200</v>
      </c>
    </row>
    <row r="1230" spans="1:1">
      <c r="A1230" s="2" t="s">
        <v>1201</v>
      </c>
    </row>
    <row r="1231" spans="1:1">
      <c r="A1231" s="2" t="s">
        <v>1202</v>
      </c>
    </row>
    <row r="1232" spans="1:1">
      <c r="A1232" s="2" t="s">
        <v>1203</v>
      </c>
    </row>
    <row r="1233" spans="1:1">
      <c r="A1233" s="2" t="s">
        <v>1204</v>
      </c>
    </row>
    <row r="1234" spans="1:1">
      <c r="A1234" s="2" t="s">
        <v>1205</v>
      </c>
    </row>
    <row r="1235" spans="1:1">
      <c r="A1235" s="2" t="s">
        <v>1206</v>
      </c>
    </row>
    <row r="1236" spans="1:1">
      <c r="A1236" s="2" t="s">
        <v>1207</v>
      </c>
    </row>
    <row r="1237" spans="1:1">
      <c r="A1237" s="2" t="s">
        <v>1208</v>
      </c>
    </row>
    <row r="1238" spans="1:1">
      <c r="A1238" s="2" t="s">
        <v>1209</v>
      </c>
    </row>
    <row r="1239" spans="1:1">
      <c r="A1239" s="2" t="s">
        <v>1210</v>
      </c>
    </row>
    <row r="1240" spans="1:1">
      <c r="A1240" s="2" t="s">
        <v>1211</v>
      </c>
    </row>
    <row r="1241" spans="1:1">
      <c r="A1241" s="2" t="s">
        <v>1212</v>
      </c>
    </row>
    <row r="1242" spans="1:1">
      <c r="A1242" s="2" t="s">
        <v>1213</v>
      </c>
    </row>
    <row r="1243" spans="1:1">
      <c r="A1243" s="2" t="s">
        <v>1214</v>
      </c>
    </row>
    <row r="1244" spans="1:1">
      <c r="A1244" s="2" t="s">
        <v>1215</v>
      </c>
    </row>
    <row r="1245" spans="1:1">
      <c r="A1245" s="2" t="s">
        <v>1216</v>
      </c>
    </row>
    <row r="1246" spans="1:1">
      <c r="A1246" s="2" t="s">
        <v>1217</v>
      </c>
    </row>
    <row r="1247" spans="1:1">
      <c r="A1247" s="2" t="s">
        <v>1218</v>
      </c>
    </row>
    <row r="1248" spans="1:1">
      <c r="A1248" s="2" t="s">
        <v>1219</v>
      </c>
    </row>
    <row r="1249" spans="1:1">
      <c r="A1249" s="2" t="s">
        <v>1220</v>
      </c>
    </row>
    <row r="1250" spans="1:1">
      <c r="A1250" s="2" t="s">
        <v>1221</v>
      </c>
    </row>
    <row r="1251" spans="1:1">
      <c r="A1251" s="2" t="s">
        <v>1222</v>
      </c>
    </row>
    <row r="1252" spans="1:1">
      <c r="A1252" s="2" t="s">
        <v>1223</v>
      </c>
    </row>
    <row r="1253" spans="1:1">
      <c r="A1253" s="2" t="s">
        <v>1224</v>
      </c>
    </row>
    <row r="1254" spans="1:1">
      <c r="A1254" s="2" t="s">
        <v>1225</v>
      </c>
    </row>
    <row r="1255" spans="1:1">
      <c r="A1255" s="2" t="s">
        <v>1226</v>
      </c>
    </row>
    <row r="1256" spans="1:1">
      <c r="A1256" s="2" t="s">
        <v>1227</v>
      </c>
    </row>
    <row r="1257" spans="1:1">
      <c r="A1257" s="2" t="s">
        <v>1228</v>
      </c>
    </row>
    <row r="1258" spans="1:1">
      <c r="A1258" s="2" t="s">
        <v>1229</v>
      </c>
    </row>
    <row r="1259" spans="1:1">
      <c r="A1259" s="2" t="s">
        <v>1230</v>
      </c>
    </row>
    <row r="1260" spans="1:1">
      <c r="A1260" s="2" t="s">
        <v>1231</v>
      </c>
    </row>
    <row r="1261" spans="1:1">
      <c r="A1261" s="2" t="s">
        <v>1232</v>
      </c>
    </row>
    <row r="1262" spans="1:1">
      <c r="A1262" s="2" t="s">
        <v>1233</v>
      </c>
    </row>
    <row r="1263" spans="1:1">
      <c r="A1263" s="2" t="s">
        <v>1234</v>
      </c>
    </row>
    <row r="1264" spans="1:1">
      <c r="A1264" s="2" t="s">
        <v>1235</v>
      </c>
    </row>
    <row r="1265" spans="1:1">
      <c r="A1265" s="2" t="s">
        <v>1236</v>
      </c>
    </row>
    <row r="1266" spans="1:1">
      <c r="A1266" s="2" t="s">
        <v>1237</v>
      </c>
    </row>
    <row r="1267" spans="1:1">
      <c r="A1267" s="2" t="s">
        <v>1238</v>
      </c>
    </row>
    <row r="1268" spans="1:1">
      <c r="A1268" s="2" t="s">
        <v>1239</v>
      </c>
    </row>
    <row r="1269" spans="1:1">
      <c r="A1269" s="2" t="s">
        <v>1240</v>
      </c>
    </row>
    <row r="1270" spans="1:1">
      <c r="A1270" s="2" t="s">
        <v>1241</v>
      </c>
    </row>
    <row r="1271" spans="1:1">
      <c r="A1271" s="2" t="s">
        <v>1242</v>
      </c>
    </row>
    <row r="1272" spans="1:1">
      <c r="A1272" s="2" t="s">
        <v>1243</v>
      </c>
    </row>
    <row r="1273" spans="1:1">
      <c r="A1273" s="2" t="s">
        <v>1244</v>
      </c>
    </row>
    <row r="1274" spans="1:1">
      <c r="A1274" s="2" t="s">
        <v>1245</v>
      </c>
    </row>
    <row r="1275" spans="1:1">
      <c r="A1275" s="2" t="s">
        <v>1246</v>
      </c>
    </row>
    <row r="1276" spans="1:1">
      <c r="A1276" s="2" t="s">
        <v>1247</v>
      </c>
    </row>
    <row r="1277" spans="1:1">
      <c r="A1277" s="2" t="s">
        <v>1248</v>
      </c>
    </row>
    <row r="1278" spans="1:1">
      <c r="A1278" s="2" t="s">
        <v>1249</v>
      </c>
    </row>
    <row r="1279" spans="1:1">
      <c r="A1279" s="2" t="s">
        <v>1250</v>
      </c>
    </row>
    <row r="1280" spans="1:1">
      <c r="A1280" s="2" t="s">
        <v>1251</v>
      </c>
    </row>
    <row r="1281" spans="1:1">
      <c r="A1281" s="2" t="s">
        <v>1252</v>
      </c>
    </row>
    <row r="1282" spans="1:1">
      <c r="A1282" s="2" t="s">
        <v>1253</v>
      </c>
    </row>
    <row r="1283" spans="1:1">
      <c r="A1283" s="2" t="s">
        <v>1254</v>
      </c>
    </row>
    <row r="1284" spans="1:1">
      <c r="A1284" s="2" t="s">
        <v>1255</v>
      </c>
    </row>
    <row r="1285" spans="1:1">
      <c r="A1285" s="2" t="s">
        <v>1256</v>
      </c>
    </row>
    <row r="1286" spans="1:1">
      <c r="A1286" s="2" t="s">
        <v>1257</v>
      </c>
    </row>
    <row r="1287" spans="1:1">
      <c r="A1287" s="2" t="s">
        <v>1258</v>
      </c>
    </row>
    <row r="1288" spans="1:1">
      <c r="A1288" s="2" t="s">
        <v>1259</v>
      </c>
    </row>
    <row r="1289" spans="1:1">
      <c r="A1289" s="2" t="s">
        <v>1260</v>
      </c>
    </row>
    <row r="1290" spans="1:1">
      <c r="A1290" s="2" t="s">
        <v>1261</v>
      </c>
    </row>
    <row r="1291" spans="1:1">
      <c r="A1291" s="2" t="s">
        <v>1262</v>
      </c>
    </row>
    <row r="1292" spans="1:1">
      <c r="A1292" s="2" t="s">
        <v>1263</v>
      </c>
    </row>
    <row r="1293" spans="1:1">
      <c r="A1293" s="2" t="s">
        <v>1264</v>
      </c>
    </row>
    <row r="1294" spans="1:1">
      <c r="A1294" s="2" t="s">
        <v>1265</v>
      </c>
    </row>
    <row r="1295" spans="1:1">
      <c r="A1295" s="2" t="s">
        <v>1266</v>
      </c>
    </row>
    <row r="1296" spans="1:1">
      <c r="A1296" s="2" t="s">
        <v>1267</v>
      </c>
    </row>
    <row r="1297" spans="1:1">
      <c r="A1297" s="2" t="s">
        <v>1268</v>
      </c>
    </row>
    <row r="1298" spans="1:1">
      <c r="A1298" s="2" t="s">
        <v>1269</v>
      </c>
    </row>
    <row r="1299" spans="1:1">
      <c r="A1299" s="2" t="s">
        <v>1270</v>
      </c>
    </row>
    <row r="1300" spans="1:1">
      <c r="A1300" s="2" t="s">
        <v>1271</v>
      </c>
    </row>
    <row r="1301" spans="1:1">
      <c r="A1301" s="2" t="s">
        <v>1272</v>
      </c>
    </row>
    <row r="1302" spans="1:1">
      <c r="A1302" s="2" t="s">
        <v>1273</v>
      </c>
    </row>
    <row r="1303" spans="1:1">
      <c r="A1303" s="2" t="s">
        <v>1274</v>
      </c>
    </row>
    <row r="1304" spans="1:1">
      <c r="A1304" s="2" t="s">
        <v>1275</v>
      </c>
    </row>
    <row r="1305" spans="1:1">
      <c r="A1305" s="2" t="s">
        <v>1276</v>
      </c>
    </row>
    <row r="1306" spans="1:1">
      <c r="A1306" s="2" t="s">
        <v>1277</v>
      </c>
    </row>
    <row r="1307" spans="1:1">
      <c r="A1307" s="2" t="s">
        <v>1278</v>
      </c>
    </row>
    <row r="1308" spans="1:1">
      <c r="A1308" s="2" t="s">
        <v>1279</v>
      </c>
    </row>
    <row r="1309" spans="1:1">
      <c r="A1309" s="2" t="s">
        <v>1280</v>
      </c>
    </row>
    <row r="1310" spans="1:1">
      <c r="A1310" s="2" t="s">
        <v>1281</v>
      </c>
    </row>
    <row r="1311" spans="1:1">
      <c r="A1311" s="2" t="s">
        <v>1282</v>
      </c>
    </row>
    <row r="1312" spans="1:1">
      <c r="A1312" s="2" t="s">
        <v>1283</v>
      </c>
    </row>
    <row r="1313" spans="1:1">
      <c r="A1313" s="2" t="s">
        <v>1284</v>
      </c>
    </row>
    <row r="1314" spans="1:1">
      <c r="A1314" s="2" t="s">
        <v>1285</v>
      </c>
    </row>
    <row r="1315" spans="1:1">
      <c r="A1315" s="2" t="s">
        <v>1286</v>
      </c>
    </row>
    <row r="1316" spans="1:1">
      <c r="A1316" s="2" t="s">
        <v>1287</v>
      </c>
    </row>
    <row r="1317" spans="1:1">
      <c r="A1317" s="2" t="s">
        <v>1288</v>
      </c>
    </row>
    <row r="1318" spans="1:1">
      <c r="A1318" s="2" t="s">
        <v>1289</v>
      </c>
    </row>
    <row r="1319" spans="1:1">
      <c r="A1319" s="2" t="s">
        <v>1290</v>
      </c>
    </row>
    <row r="1320" spans="1:1">
      <c r="A1320" s="2" t="s">
        <v>1291</v>
      </c>
    </row>
    <row r="1321" spans="1:1">
      <c r="A1321" s="2" t="s">
        <v>1292</v>
      </c>
    </row>
    <row r="1322" spans="1:1">
      <c r="A1322" s="2" t="s">
        <v>1293</v>
      </c>
    </row>
    <row r="1323" spans="1:1">
      <c r="A1323" s="2" t="s">
        <v>1294</v>
      </c>
    </row>
    <row r="1324" spans="1:1">
      <c r="A1324" s="2" t="s">
        <v>1295</v>
      </c>
    </row>
    <row r="1325" spans="1:1">
      <c r="A1325" s="2" t="s">
        <v>1296</v>
      </c>
    </row>
    <row r="1326" spans="1:1">
      <c r="A1326" s="2" t="s">
        <v>1297</v>
      </c>
    </row>
    <row r="1327" spans="1:1">
      <c r="A1327" s="2" t="s">
        <v>1298</v>
      </c>
    </row>
    <row r="1328" spans="1:1">
      <c r="A1328" s="2" t="s">
        <v>1299</v>
      </c>
    </row>
    <row r="1329" spans="1:1">
      <c r="A1329" s="2" t="s">
        <v>1300</v>
      </c>
    </row>
    <row r="1330" spans="1:1">
      <c r="A1330" s="2" t="s">
        <v>1301</v>
      </c>
    </row>
    <row r="1331" spans="1:1">
      <c r="A1331" s="2" t="s">
        <v>1302</v>
      </c>
    </row>
    <row r="1332" spans="1:1">
      <c r="A1332" s="2" t="s">
        <v>1303</v>
      </c>
    </row>
    <row r="1333" spans="1:1">
      <c r="A1333" s="2" t="s">
        <v>1304</v>
      </c>
    </row>
    <row r="1334" spans="1:1">
      <c r="A1334" s="2" t="s">
        <v>1305</v>
      </c>
    </row>
    <row r="1335" spans="1:1">
      <c r="A1335" s="2" t="s">
        <v>1306</v>
      </c>
    </row>
    <row r="1336" spans="1:1">
      <c r="A1336" s="2" t="s">
        <v>1307</v>
      </c>
    </row>
    <row r="1337" spans="1:1">
      <c r="A1337" s="2" t="s">
        <v>1308</v>
      </c>
    </row>
    <row r="1338" spans="1:1">
      <c r="A1338" s="2" t="s">
        <v>1309</v>
      </c>
    </row>
    <row r="1339" spans="1:1">
      <c r="A1339" s="2" t="s">
        <v>1310</v>
      </c>
    </row>
    <row r="1340" spans="1:1">
      <c r="A1340" s="2" t="s">
        <v>1311</v>
      </c>
    </row>
    <row r="1341" spans="1:1">
      <c r="A1341" s="2" t="s">
        <v>1312</v>
      </c>
    </row>
    <row r="1342" spans="1:1">
      <c r="A1342" s="2" t="s">
        <v>1313</v>
      </c>
    </row>
    <row r="1343" spans="1:1">
      <c r="A1343" s="2" t="s">
        <v>1314</v>
      </c>
    </row>
    <row r="1344" spans="1:1">
      <c r="A1344" s="2" t="s">
        <v>1315</v>
      </c>
    </row>
    <row r="1345" spans="1:1">
      <c r="A1345" s="2" t="s">
        <v>1316</v>
      </c>
    </row>
    <row r="1346" spans="1:1">
      <c r="A1346" s="2" t="s">
        <v>1317</v>
      </c>
    </row>
    <row r="1347" spans="1:1">
      <c r="A1347" s="2" t="s">
        <v>1318</v>
      </c>
    </row>
    <row r="1348" spans="1:1">
      <c r="A1348" s="2" t="s">
        <v>1319</v>
      </c>
    </row>
    <row r="1349" spans="1:1">
      <c r="A1349" s="2" t="s">
        <v>1320</v>
      </c>
    </row>
    <row r="1350" spans="1:1">
      <c r="A1350" s="2" t="s">
        <v>1321</v>
      </c>
    </row>
    <row r="1351" spans="1:1">
      <c r="A1351" s="2" t="s">
        <v>1322</v>
      </c>
    </row>
    <row r="1352" spans="1:1">
      <c r="A1352" s="2" t="s">
        <v>1323</v>
      </c>
    </row>
    <row r="1353" spans="1:1">
      <c r="A1353" s="2" t="s">
        <v>1324</v>
      </c>
    </row>
    <row r="1354" spans="1:1">
      <c r="A1354" s="2" t="s">
        <v>1325</v>
      </c>
    </row>
    <row r="1355" spans="1:1">
      <c r="A1355" s="2" t="s">
        <v>1326</v>
      </c>
    </row>
    <row r="1356" spans="1:1">
      <c r="A1356" s="2" t="s">
        <v>1327</v>
      </c>
    </row>
    <row r="1357" spans="1:1">
      <c r="A1357" s="2" t="s">
        <v>1328</v>
      </c>
    </row>
    <row r="1358" spans="1:1">
      <c r="A1358" s="2" t="s">
        <v>1329</v>
      </c>
    </row>
    <row r="1359" spans="1:1">
      <c r="A1359" s="2" t="s">
        <v>1330</v>
      </c>
    </row>
    <row r="1360" spans="1:1">
      <c r="A1360" s="2" t="s">
        <v>1331</v>
      </c>
    </row>
    <row r="1361" spans="1:1">
      <c r="A1361" s="2" t="s">
        <v>1332</v>
      </c>
    </row>
    <row r="1362" spans="1:1">
      <c r="A1362" s="2" t="s">
        <v>1333</v>
      </c>
    </row>
    <row r="1363" spans="1:1">
      <c r="A1363" s="2" t="s">
        <v>1334</v>
      </c>
    </row>
    <row r="1364" spans="1:1">
      <c r="A1364" s="2" t="s">
        <v>1335</v>
      </c>
    </row>
    <row r="1365" spans="1:1">
      <c r="A1365" s="2" t="s">
        <v>1336</v>
      </c>
    </row>
    <row r="1366" spans="1:1">
      <c r="A1366" s="2" t="s">
        <v>1337</v>
      </c>
    </row>
    <row r="1367" spans="1:1">
      <c r="A1367" s="2" t="s">
        <v>1338</v>
      </c>
    </row>
    <row r="1368" spans="1:1">
      <c r="A1368" s="2" t="s">
        <v>1339</v>
      </c>
    </row>
    <row r="1369" spans="1:1">
      <c r="A1369" s="2" t="s">
        <v>1340</v>
      </c>
    </row>
    <row r="1370" spans="1:1">
      <c r="A1370" s="2" t="s">
        <v>1341</v>
      </c>
    </row>
    <row r="1371" spans="1:1">
      <c r="A1371" s="2" t="s">
        <v>1342</v>
      </c>
    </row>
    <row r="1372" spans="1:1">
      <c r="A1372" s="2" t="s">
        <v>1343</v>
      </c>
    </row>
    <row r="1373" spans="1:1">
      <c r="A1373" s="2" t="s">
        <v>1344</v>
      </c>
    </row>
    <row r="1374" spans="1:1">
      <c r="A1374" s="2" t="s">
        <v>1345</v>
      </c>
    </row>
    <row r="1375" spans="1:1">
      <c r="A1375" s="2" t="s">
        <v>1346</v>
      </c>
    </row>
    <row r="1376" spans="1:1">
      <c r="A1376" s="2" t="s">
        <v>1347</v>
      </c>
    </row>
    <row r="1377" spans="1:1">
      <c r="A1377" s="2" t="s">
        <v>1348</v>
      </c>
    </row>
    <row r="1378" spans="1:1">
      <c r="A1378" s="2" t="s">
        <v>1349</v>
      </c>
    </row>
    <row r="1379" spans="1:1">
      <c r="A1379" s="2" t="s">
        <v>1350</v>
      </c>
    </row>
    <row r="1380" spans="1:1">
      <c r="A1380" s="2" t="s">
        <v>1351</v>
      </c>
    </row>
    <row r="1381" spans="1:1">
      <c r="A1381" s="2" t="s">
        <v>1352</v>
      </c>
    </row>
    <row r="1382" spans="1:1">
      <c r="A1382" s="2" t="s">
        <v>1353</v>
      </c>
    </row>
    <row r="1383" spans="1:1">
      <c r="A1383" s="2" t="s">
        <v>1354</v>
      </c>
    </row>
    <row r="1384" spans="1:1">
      <c r="A1384" s="2" t="s">
        <v>1355</v>
      </c>
    </row>
    <row r="1385" spans="1:1">
      <c r="A1385" s="2" t="s">
        <v>1356</v>
      </c>
    </row>
    <row r="1386" spans="1:1">
      <c r="A1386" s="2" t="s">
        <v>1357</v>
      </c>
    </row>
    <row r="1387" spans="1:1">
      <c r="A1387" s="2" t="s">
        <v>1358</v>
      </c>
    </row>
    <row r="1388" spans="1:1">
      <c r="A1388" s="2" t="s">
        <v>1359</v>
      </c>
    </row>
    <row r="1389" spans="1:1">
      <c r="A1389" s="2" t="s">
        <v>1360</v>
      </c>
    </row>
    <row r="1390" spans="1:1">
      <c r="A1390" s="2" t="s">
        <v>1361</v>
      </c>
    </row>
    <row r="1391" spans="1:1">
      <c r="A1391" s="2" t="s">
        <v>1362</v>
      </c>
    </row>
    <row r="1392" spans="1:1">
      <c r="A1392" s="2" t="s">
        <v>1363</v>
      </c>
    </row>
    <row r="1393" spans="1:1">
      <c r="A1393" s="2" t="s">
        <v>1364</v>
      </c>
    </row>
    <row r="1394" spans="1:1">
      <c r="A1394" s="2" t="s">
        <v>1365</v>
      </c>
    </row>
    <row r="1395" spans="1:1">
      <c r="A1395" s="2" t="s">
        <v>1366</v>
      </c>
    </row>
    <row r="1396" spans="1:1">
      <c r="A1396" s="2" t="s">
        <v>1367</v>
      </c>
    </row>
    <row r="1397" spans="1:1">
      <c r="A1397" s="2" t="s">
        <v>1368</v>
      </c>
    </row>
    <row r="1398" spans="1:1">
      <c r="A1398" s="2" t="s">
        <v>1369</v>
      </c>
    </row>
    <row r="1399" spans="1:1">
      <c r="A1399" s="2" t="s">
        <v>1370</v>
      </c>
    </row>
    <row r="1400" spans="1:1">
      <c r="A1400" s="2" t="s">
        <v>1371</v>
      </c>
    </row>
    <row r="1401" spans="1:1">
      <c r="A1401" s="2" t="s">
        <v>1372</v>
      </c>
    </row>
    <row r="1402" spans="1:1">
      <c r="A1402" s="2" t="s">
        <v>1373</v>
      </c>
    </row>
    <row r="1403" spans="1:1">
      <c r="A1403" s="2" t="s">
        <v>1374</v>
      </c>
    </row>
    <row r="1404" spans="1:1">
      <c r="A1404" s="2" t="s">
        <v>1375</v>
      </c>
    </row>
    <row r="1405" spans="1:1">
      <c r="A1405" s="2" t="s">
        <v>1376</v>
      </c>
    </row>
    <row r="1406" spans="1:1">
      <c r="A1406" s="2" t="s">
        <v>1377</v>
      </c>
    </row>
    <row r="1407" spans="1:1">
      <c r="A1407" s="2" t="s">
        <v>1378</v>
      </c>
    </row>
    <row r="1408" spans="1:1">
      <c r="A1408" s="2" t="s">
        <v>1379</v>
      </c>
    </row>
    <row r="1409" spans="1:1">
      <c r="A1409" s="2" t="s">
        <v>1380</v>
      </c>
    </row>
    <row r="1410" spans="1:1">
      <c r="A1410" s="2" t="s">
        <v>1381</v>
      </c>
    </row>
    <row r="1411" spans="1:1">
      <c r="A1411" s="2" t="s">
        <v>1382</v>
      </c>
    </row>
    <row r="1412" spans="1:1">
      <c r="A1412" s="2" t="s">
        <v>1383</v>
      </c>
    </row>
    <row r="1413" spans="1:1">
      <c r="A1413" s="2" t="s">
        <v>1384</v>
      </c>
    </row>
    <row r="1414" spans="1:1">
      <c r="A1414" s="2" t="s">
        <v>1385</v>
      </c>
    </row>
    <row r="1415" spans="1:1">
      <c r="A1415" s="2" t="s">
        <v>1386</v>
      </c>
    </row>
    <row r="1416" spans="1:1">
      <c r="A1416" s="2" t="s">
        <v>1387</v>
      </c>
    </row>
    <row r="1417" spans="1:1">
      <c r="A1417" s="2" t="s">
        <v>1388</v>
      </c>
    </row>
    <row r="1418" spans="1:1">
      <c r="A1418" s="2" t="s">
        <v>1389</v>
      </c>
    </row>
    <row r="1419" spans="1:1">
      <c r="A1419" s="2" t="s">
        <v>1390</v>
      </c>
    </row>
    <row r="1420" spans="1:1">
      <c r="A1420" s="2" t="s">
        <v>1391</v>
      </c>
    </row>
    <row r="1421" spans="1:1">
      <c r="A1421" s="2" t="s">
        <v>1392</v>
      </c>
    </row>
    <row r="1422" spans="1:1">
      <c r="A1422" s="2" t="s">
        <v>1393</v>
      </c>
    </row>
    <row r="1423" spans="1:1">
      <c r="A1423" s="2" t="s">
        <v>1394</v>
      </c>
    </row>
    <row r="1424" spans="1:1">
      <c r="A1424" s="2" t="s">
        <v>1395</v>
      </c>
    </row>
    <row r="1425" spans="1:1">
      <c r="A1425" s="2" t="s">
        <v>1396</v>
      </c>
    </row>
    <row r="1426" spans="1:1">
      <c r="A1426" s="2" t="s">
        <v>1397</v>
      </c>
    </row>
    <row r="1427" spans="1:1">
      <c r="A1427" s="2" t="s">
        <v>1398</v>
      </c>
    </row>
    <row r="1428" spans="1:1">
      <c r="A1428" s="2" t="s">
        <v>1399</v>
      </c>
    </row>
    <row r="1429" spans="1:1">
      <c r="A1429" s="2" t="s">
        <v>1400</v>
      </c>
    </row>
    <row r="1430" spans="1:1">
      <c r="A1430" s="2" t="s">
        <v>1401</v>
      </c>
    </row>
    <row r="1431" spans="1:1">
      <c r="A1431" s="2" t="s">
        <v>1402</v>
      </c>
    </row>
    <row r="1432" spans="1:1">
      <c r="A1432" s="2" t="s">
        <v>1403</v>
      </c>
    </row>
    <row r="1433" spans="1:1">
      <c r="A1433" s="2" t="s">
        <v>1404</v>
      </c>
    </row>
    <row r="1434" spans="1:1">
      <c r="A1434" s="2" t="s">
        <v>1405</v>
      </c>
    </row>
    <row r="1435" spans="1:1">
      <c r="A1435" s="2" t="s">
        <v>1406</v>
      </c>
    </row>
    <row r="1436" spans="1:1">
      <c r="A1436" s="2" t="s">
        <v>1407</v>
      </c>
    </row>
    <row r="1437" spans="1:1">
      <c r="A1437" s="2" t="s">
        <v>1408</v>
      </c>
    </row>
    <row r="1438" spans="1:1">
      <c r="A1438" s="2" t="s">
        <v>1409</v>
      </c>
    </row>
    <row r="1439" spans="1:1">
      <c r="A1439" s="2" t="s">
        <v>1410</v>
      </c>
    </row>
    <row r="1440" spans="1:1">
      <c r="A1440" s="2" t="s">
        <v>1411</v>
      </c>
    </row>
    <row r="1441" spans="1:1">
      <c r="A1441" s="2" t="s">
        <v>1412</v>
      </c>
    </row>
    <row r="1442" spans="1:1">
      <c r="A1442" s="2" t="s">
        <v>1413</v>
      </c>
    </row>
    <row r="1443" spans="1:1">
      <c r="A1443" s="2" t="s">
        <v>1414</v>
      </c>
    </row>
    <row r="1444" spans="1:1">
      <c r="A1444" s="2" t="s">
        <v>1415</v>
      </c>
    </row>
    <row r="1445" spans="1:1">
      <c r="A1445" s="2" t="s">
        <v>1416</v>
      </c>
    </row>
    <row r="1446" spans="1:1">
      <c r="A1446" s="2" t="s">
        <v>1417</v>
      </c>
    </row>
    <row r="1447" spans="1:1">
      <c r="A1447" s="2" t="s">
        <v>1418</v>
      </c>
    </row>
    <row r="1448" spans="1:1">
      <c r="A1448" s="2" t="s">
        <v>1419</v>
      </c>
    </row>
    <row r="1449" spans="1:1">
      <c r="A1449" s="2" t="s">
        <v>1420</v>
      </c>
    </row>
    <row r="1450" spans="1:1">
      <c r="A1450" s="2" t="s">
        <v>1421</v>
      </c>
    </row>
    <row r="1451" spans="1:1">
      <c r="A1451" s="2" t="s">
        <v>1422</v>
      </c>
    </row>
    <row r="1452" spans="1:1">
      <c r="A1452" s="2" t="s">
        <v>1423</v>
      </c>
    </row>
    <row r="1453" spans="1:1">
      <c r="A1453" s="2" t="s">
        <v>1424</v>
      </c>
    </row>
    <row r="1454" spans="1:1">
      <c r="A1454" s="2" t="s">
        <v>1425</v>
      </c>
    </row>
    <row r="1455" spans="1:1">
      <c r="A1455" s="2" t="s">
        <v>1426</v>
      </c>
    </row>
    <row r="1456" spans="1:1">
      <c r="A1456" s="2" t="s">
        <v>1427</v>
      </c>
    </row>
    <row r="1457" spans="1:1">
      <c r="A1457" s="2" t="s">
        <v>1428</v>
      </c>
    </row>
    <row r="1458" spans="1:1">
      <c r="A1458" s="2" t="s">
        <v>1429</v>
      </c>
    </row>
    <row r="1459" spans="1:1">
      <c r="A1459" s="2" t="s">
        <v>1430</v>
      </c>
    </row>
    <row r="1460" spans="1:1">
      <c r="A1460" s="2" t="s">
        <v>1431</v>
      </c>
    </row>
    <row r="1461" spans="1:1">
      <c r="A1461" s="2" t="s">
        <v>1432</v>
      </c>
    </row>
    <row r="1462" spans="1:1">
      <c r="A1462" s="2" t="s">
        <v>1433</v>
      </c>
    </row>
    <row r="1463" spans="1:1">
      <c r="A1463" s="2" t="s">
        <v>1434</v>
      </c>
    </row>
    <row r="1464" spans="1:1">
      <c r="A1464" s="2" t="s">
        <v>1435</v>
      </c>
    </row>
    <row r="1465" spans="1:1">
      <c r="A1465" s="2" t="s">
        <v>1436</v>
      </c>
    </row>
    <row r="1466" spans="1:1">
      <c r="A1466" s="2" t="s">
        <v>1437</v>
      </c>
    </row>
    <row r="1467" spans="1:1">
      <c r="A1467" s="2" t="s">
        <v>1438</v>
      </c>
    </row>
    <row r="1468" spans="1:1">
      <c r="A1468" s="2" t="s">
        <v>1439</v>
      </c>
    </row>
    <row r="1469" spans="1:1">
      <c r="A1469" s="2" t="s">
        <v>1440</v>
      </c>
    </row>
    <row r="1470" spans="1:1">
      <c r="A1470" s="2" t="s">
        <v>1441</v>
      </c>
    </row>
    <row r="1471" spans="1:1">
      <c r="A1471" s="2" t="s">
        <v>1442</v>
      </c>
    </row>
    <row r="1472" spans="1:1">
      <c r="A1472" s="2" t="s">
        <v>1443</v>
      </c>
    </row>
    <row r="1473" spans="1:1">
      <c r="A1473" s="2" t="s">
        <v>1444</v>
      </c>
    </row>
    <row r="1474" spans="1:1">
      <c r="A1474" s="2" t="s">
        <v>1445</v>
      </c>
    </row>
    <row r="1475" spans="1:1">
      <c r="A1475" s="2" t="s">
        <v>1446</v>
      </c>
    </row>
    <row r="1476" spans="1:1">
      <c r="A1476" s="2" t="s">
        <v>1447</v>
      </c>
    </row>
    <row r="1477" spans="1:1">
      <c r="A1477" s="2" t="s">
        <v>1448</v>
      </c>
    </row>
    <row r="1478" spans="1:1">
      <c r="A1478" s="2" t="s">
        <v>1449</v>
      </c>
    </row>
    <row r="1479" spans="1:1">
      <c r="A1479" s="2" t="s">
        <v>1450</v>
      </c>
    </row>
    <row r="1480" spans="1:1">
      <c r="A1480" s="2" t="s">
        <v>1451</v>
      </c>
    </row>
    <row r="1481" spans="1:1">
      <c r="A1481" s="2" t="s">
        <v>1452</v>
      </c>
    </row>
    <row r="1482" spans="1:1">
      <c r="A1482" s="2" t="s">
        <v>1453</v>
      </c>
    </row>
    <row r="1483" spans="1:1">
      <c r="A1483" s="2" t="s">
        <v>1454</v>
      </c>
    </row>
    <row r="1484" spans="1:1">
      <c r="A1484" s="2" t="s">
        <v>1455</v>
      </c>
    </row>
    <row r="1485" spans="1:1">
      <c r="A1485" s="2" t="s">
        <v>1456</v>
      </c>
    </row>
    <row r="1486" spans="1:1">
      <c r="A1486" s="2" t="s">
        <v>1457</v>
      </c>
    </row>
    <row r="1487" spans="1:1">
      <c r="A1487" s="2" t="s">
        <v>1458</v>
      </c>
    </row>
    <row r="1488" spans="1:1">
      <c r="A1488" s="2" t="s">
        <v>1459</v>
      </c>
    </row>
    <row r="1489" spans="1:1">
      <c r="A1489" s="2" t="s">
        <v>1460</v>
      </c>
    </row>
    <row r="1490" spans="1:1">
      <c r="A1490" s="2" t="s">
        <v>1461</v>
      </c>
    </row>
    <row r="1491" spans="1:1">
      <c r="A1491" s="2" t="s">
        <v>1462</v>
      </c>
    </row>
    <row r="1492" spans="1:1">
      <c r="A1492" s="2" t="s">
        <v>1463</v>
      </c>
    </row>
    <row r="1493" spans="1:1">
      <c r="A1493" s="2" t="s">
        <v>1464</v>
      </c>
    </row>
    <row r="1494" spans="1:1">
      <c r="A1494" s="2" t="s">
        <v>1465</v>
      </c>
    </row>
    <row r="1495" spans="1:1">
      <c r="A1495" s="2" t="s">
        <v>1466</v>
      </c>
    </row>
    <row r="1496" spans="1:1">
      <c r="A1496" s="2" t="s">
        <v>1467</v>
      </c>
    </row>
    <row r="1497" spans="1:1">
      <c r="A1497" s="2" t="s">
        <v>1468</v>
      </c>
    </row>
    <row r="1498" spans="1:1">
      <c r="A1498" s="2" t="s">
        <v>1469</v>
      </c>
    </row>
    <row r="1499" spans="1:1">
      <c r="A1499" s="2" t="s">
        <v>1470</v>
      </c>
    </row>
    <row r="1500" spans="1:1">
      <c r="A1500" s="2" t="s">
        <v>1471</v>
      </c>
    </row>
    <row r="1501" spans="1:1">
      <c r="A1501" s="2" t="s">
        <v>1472</v>
      </c>
    </row>
    <row r="1502" spans="1:1">
      <c r="A1502" s="2" t="s">
        <v>1473</v>
      </c>
    </row>
    <row r="1503" spans="1:1">
      <c r="A1503" s="2" t="s">
        <v>1474</v>
      </c>
    </row>
    <row r="1504" spans="1:1">
      <c r="A1504" s="2" t="s">
        <v>1475</v>
      </c>
    </row>
    <row r="1505" spans="1:1">
      <c r="A1505" s="2" t="s">
        <v>1476</v>
      </c>
    </row>
    <row r="1506" spans="1:1">
      <c r="A1506" s="2" t="s">
        <v>1477</v>
      </c>
    </row>
    <row r="1507" spans="1:1">
      <c r="A1507" s="2" t="s">
        <v>1478</v>
      </c>
    </row>
    <row r="1508" spans="1:1">
      <c r="A1508" s="2" t="s">
        <v>1479</v>
      </c>
    </row>
    <row r="1509" spans="1:1">
      <c r="A1509" s="2" t="s">
        <v>1480</v>
      </c>
    </row>
    <row r="1510" spans="1:1">
      <c r="A1510" s="2" t="s">
        <v>1481</v>
      </c>
    </row>
    <row r="1511" spans="1:1">
      <c r="A1511" s="2" t="s">
        <v>1482</v>
      </c>
    </row>
    <row r="1512" spans="1:1">
      <c r="A1512" s="2" t="s">
        <v>1483</v>
      </c>
    </row>
    <row r="1513" spans="1:1">
      <c r="A1513" s="2" t="s">
        <v>1484</v>
      </c>
    </row>
    <row r="1514" spans="1:1">
      <c r="A1514" s="2" t="s">
        <v>1485</v>
      </c>
    </row>
    <row r="1515" spans="1:1">
      <c r="A1515" s="2" t="s">
        <v>1486</v>
      </c>
    </row>
    <row r="1516" spans="1:1">
      <c r="A1516" s="2" t="s">
        <v>1487</v>
      </c>
    </row>
    <row r="1517" spans="1:1">
      <c r="A1517" s="2" t="s">
        <v>1488</v>
      </c>
    </row>
    <row r="1518" spans="1:1">
      <c r="A1518" s="2" t="s">
        <v>1489</v>
      </c>
    </row>
    <row r="1519" spans="1:1">
      <c r="A1519" s="2" t="s">
        <v>1490</v>
      </c>
    </row>
    <row r="1520" spans="1:1">
      <c r="A1520" s="2" t="s">
        <v>1491</v>
      </c>
    </row>
    <row r="1521" spans="1:1">
      <c r="A1521" s="2" t="s">
        <v>1492</v>
      </c>
    </row>
    <row r="1522" spans="1:1">
      <c r="A1522" s="2" t="s">
        <v>1493</v>
      </c>
    </row>
    <row r="1523" spans="1:1">
      <c r="A1523" s="2" t="s">
        <v>1494</v>
      </c>
    </row>
    <row r="1524" spans="1:1">
      <c r="A1524" s="2" t="s">
        <v>1495</v>
      </c>
    </row>
    <row r="1525" spans="1:1">
      <c r="A1525" s="2" t="s">
        <v>1496</v>
      </c>
    </row>
    <row r="1526" spans="1:1">
      <c r="A1526" s="2" t="s">
        <v>1497</v>
      </c>
    </row>
    <row r="1527" spans="1:1">
      <c r="A1527" s="2" t="s">
        <v>1498</v>
      </c>
    </row>
    <row r="1528" spans="1:1">
      <c r="A1528" s="2" t="s">
        <v>1499</v>
      </c>
    </row>
    <row r="1529" spans="1:1">
      <c r="A1529" s="2" t="s">
        <v>1500</v>
      </c>
    </row>
    <row r="1530" spans="1:1">
      <c r="A1530" s="2" t="s">
        <v>1501</v>
      </c>
    </row>
    <row r="1531" spans="1:1">
      <c r="A1531" s="2" t="s">
        <v>1502</v>
      </c>
    </row>
    <row r="1532" spans="1:1">
      <c r="A1532" s="2" t="s">
        <v>1503</v>
      </c>
    </row>
    <row r="1533" spans="1:1">
      <c r="A1533" s="2" t="s">
        <v>1504</v>
      </c>
    </row>
    <row r="1534" spans="1:1">
      <c r="A1534" s="2" t="s">
        <v>1505</v>
      </c>
    </row>
    <row r="1535" spans="1:1">
      <c r="A1535" s="2" t="s">
        <v>1506</v>
      </c>
    </row>
    <row r="1536" spans="1:1">
      <c r="A1536" s="2" t="s">
        <v>1507</v>
      </c>
    </row>
    <row r="1537" spans="1:1">
      <c r="A1537" s="2" t="s">
        <v>1508</v>
      </c>
    </row>
    <row r="1538" spans="1:1">
      <c r="A1538" s="2" t="s">
        <v>1509</v>
      </c>
    </row>
    <row r="1539" spans="1:1">
      <c r="A1539" s="2" t="s">
        <v>1510</v>
      </c>
    </row>
    <row r="1540" spans="1:1">
      <c r="A1540" s="2" t="s">
        <v>1511</v>
      </c>
    </row>
    <row r="1541" spans="1:1">
      <c r="A1541" s="2" t="s">
        <v>1512</v>
      </c>
    </row>
    <row r="1542" spans="1:1">
      <c r="A1542" s="2" t="s">
        <v>1513</v>
      </c>
    </row>
    <row r="1543" spans="1:1">
      <c r="A1543" s="2" t="s">
        <v>1514</v>
      </c>
    </row>
    <row r="1544" spans="1:1">
      <c r="A1544" s="2" t="s">
        <v>1515</v>
      </c>
    </row>
    <row r="1545" spans="1:1">
      <c r="A1545" s="2" t="s">
        <v>1516</v>
      </c>
    </row>
    <row r="1546" spans="1:1">
      <c r="A1546" s="2" t="s">
        <v>1517</v>
      </c>
    </row>
    <row r="1547" spans="1:1">
      <c r="A1547" s="2" t="s">
        <v>1518</v>
      </c>
    </row>
    <row r="1548" spans="1:1">
      <c r="A1548" s="2" t="s">
        <v>1519</v>
      </c>
    </row>
    <row r="1549" spans="1:1">
      <c r="A1549" s="2" t="s">
        <v>1520</v>
      </c>
    </row>
    <row r="1550" spans="1:1">
      <c r="A1550" s="2" t="s">
        <v>1521</v>
      </c>
    </row>
    <row r="1551" spans="1:1">
      <c r="A1551" s="2" t="s">
        <v>1522</v>
      </c>
    </row>
    <row r="1552" spans="1:1">
      <c r="A1552" s="2" t="s">
        <v>1523</v>
      </c>
    </row>
    <row r="1553" spans="1:1">
      <c r="A1553" s="2" t="s">
        <v>1524</v>
      </c>
    </row>
    <row r="1554" spans="1:1">
      <c r="A1554" s="2" t="s">
        <v>1525</v>
      </c>
    </row>
    <row r="1555" spans="1:1">
      <c r="A1555" s="2" t="s">
        <v>1526</v>
      </c>
    </row>
    <row r="1556" spans="1:1">
      <c r="A1556" s="2" t="s">
        <v>1527</v>
      </c>
    </row>
    <row r="1557" spans="1:1">
      <c r="A1557" s="2" t="s">
        <v>1528</v>
      </c>
    </row>
    <row r="1558" spans="1:1">
      <c r="A1558" s="2" t="s">
        <v>1529</v>
      </c>
    </row>
    <row r="1559" spans="1:1">
      <c r="A1559" s="2" t="s">
        <v>1530</v>
      </c>
    </row>
    <row r="1560" spans="1:1">
      <c r="A1560" s="2" t="s">
        <v>1531</v>
      </c>
    </row>
    <row r="1561" spans="1:1">
      <c r="A1561" s="2" t="s">
        <v>1532</v>
      </c>
    </row>
    <row r="1562" spans="1:1">
      <c r="A1562" s="2" t="s">
        <v>1533</v>
      </c>
    </row>
    <row r="1563" spans="1:1">
      <c r="A1563" s="2" t="s">
        <v>1534</v>
      </c>
    </row>
    <row r="1564" spans="1:1">
      <c r="A1564" s="2" t="s">
        <v>1535</v>
      </c>
    </row>
    <row r="1565" spans="1:1">
      <c r="A1565" s="2" t="s">
        <v>1536</v>
      </c>
    </row>
    <row r="1566" spans="1:1">
      <c r="A1566" s="2" t="s">
        <v>1537</v>
      </c>
    </row>
    <row r="1567" spans="1:1">
      <c r="A1567" s="2" t="s">
        <v>1538</v>
      </c>
    </row>
    <row r="1568" spans="1:1">
      <c r="A1568" s="2" t="s">
        <v>1539</v>
      </c>
    </row>
    <row r="1569" spans="1:1">
      <c r="A1569" s="2" t="s">
        <v>1540</v>
      </c>
    </row>
    <row r="1570" spans="1:1">
      <c r="A1570" s="2" t="s">
        <v>1541</v>
      </c>
    </row>
    <row r="1571" spans="1:1">
      <c r="A1571" s="2" t="s">
        <v>1542</v>
      </c>
    </row>
    <row r="1572" spans="1:1">
      <c r="A1572" s="2" t="s">
        <v>1543</v>
      </c>
    </row>
    <row r="1573" spans="1:1">
      <c r="A1573" s="2" t="s">
        <v>1544</v>
      </c>
    </row>
    <row r="1574" spans="1:1">
      <c r="A1574" s="2" t="s">
        <v>1545</v>
      </c>
    </row>
    <row r="1575" spans="1:1">
      <c r="A1575" s="2" t="s">
        <v>1546</v>
      </c>
    </row>
    <row r="1576" spans="1:1">
      <c r="A1576" s="2" t="s">
        <v>1547</v>
      </c>
    </row>
    <row r="1577" spans="1:1">
      <c r="A1577" s="2" t="s">
        <v>1548</v>
      </c>
    </row>
    <row r="1578" spans="1:1">
      <c r="A1578" s="2" t="s">
        <v>1549</v>
      </c>
    </row>
    <row r="1579" spans="1:1">
      <c r="A1579" s="2" t="s">
        <v>1550</v>
      </c>
    </row>
    <row r="1580" spans="1:1">
      <c r="A1580" s="2" t="s">
        <v>1551</v>
      </c>
    </row>
    <row r="1581" spans="1:1">
      <c r="A1581" s="2" t="s">
        <v>1552</v>
      </c>
    </row>
    <row r="1582" spans="1:1">
      <c r="A1582" s="2" t="s">
        <v>1553</v>
      </c>
    </row>
    <row r="1583" spans="1:1">
      <c r="A1583" s="2" t="s">
        <v>1554</v>
      </c>
    </row>
    <row r="1584" spans="1:1">
      <c r="A1584" s="2" t="s">
        <v>1555</v>
      </c>
    </row>
    <row r="1585" spans="1:1">
      <c r="A1585" s="2" t="s">
        <v>1556</v>
      </c>
    </row>
    <row r="1586" spans="1:1">
      <c r="A1586" s="2" t="s">
        <v>1557</v>
      </c>
    </row>
    <row r="1587" spans="1:1">
      <c r="A1587" s="2" t="s">
        <v>1558</v>
      </c>
    </row>
    <row r="1588" spans="1:1">
      <c r="A1588" s="1"/>
    </row>
    <row r="1589" spans="1:1">
      <c r="A1589" s="2" t="s">
        <v>1559</v>
      </c>
    </row>
    <row r="1590" spans="1:1">
      <c r="A1590" s="2" t="s">
        <v>1560</v>
      </c>
    </row>
    <row r="1591" spans="1:1">
      <c r="A1591" s="2" t="s">
        <v>1561</v>
      </c>
    </row>
    <row r="1592" spans="1:1">
      <c r="A1592" s="2" t="s">
        <v>1562</v>
      </c>
    </row>
    <row r="1593" spans="1:1">
      <c r="A1593" s="2" t="s">
        <v>1563</v>
      </c>
    </row>
    <row r="1594" spans="1:1">
      <c r="A1594" s="2" t="s">
        <v>1564</v>
      </c>
    </row>
    <row r="1595" spans="1:1">
      <c r="A1595" s="2" t="s">
        <v>1565</v>
      </c>
    </row>
    <row r="1596" spans="1:1">
      <c r="A1596" s="2" t="s">
        <v>1566</v>
      </c>
    </row>
    <row r="1597" spans="1:1">
      <c r="A1597" s="2" t="s">
        <v>1567</v>
      </c>
    </row>
    <row r="1598" spans="1:1">
      <c r="A1598" s="2" t="s">
        <v>1568</v>
      </c>
    </row>
    <row r="1599" spans="1:1">
      <c r="A1599" s="2" t="s">
        <v>1569</v>
      </c>
    </row>
    <row r="1600" spans="1:1">
      <c r="A1600" s="2" t="s">
        <v>1570</v>
      </c>
    </row>
    <row r="1601" spans="1:1">
      <c r="A1601" s="2" t="s">
        <v>1571</v>
      </c>
    </row>
    <row r="1602" spans="1:1">
      <c r="A1602" s="2" t="s">
        <v>1572</v>
      </c>
    </row>
    <row r="1603" spans="1:1">
      <c r="A1603" s="2" t="s">
        <v>1573</v>
      </c>
    </row>
    <row r="1604" spans="1:1">
      <c r="A1604" s="2" t="s">
        <v>1574</v>
      </c>
    </row>
    <row r="1605" spans="1:1">
      <c r="A1605" s="2" t="s">
        <v>1575</v>
      </c>
    </row>
    <row r="1606" spans="1:1">
      <c r="A1606" s="2" t="s">
        <v>1576</v>
      </c>
    </row>
    <row r="1607" spans="1:1">
      <c r="A1607" s="2" t="s">
        <v>1577</v>
      </c>
    </row>
    <row r="1608" spans="1:1">
      <c r="A1608" s="2" t="s">
        <v>1578</v>
      </c>
    </row>
    <row r="1609" spans="1:1">
      <c r="A1609" s="2" t="s">
        <v>1579</v>
      </c>
    </row>
    <row r="1610" spans="1:1">
      <c r="A1610" s="2" t="s">
        <v>1580</v>
      </c>
    </row>
    <row r="1611" spans="1:1">
      <c r="A1611" s="2" t="s">
        <v>1581</v>
      </c>
    </row>
    <row r="1612" spans="1:1">
      <c r="A1612" s="2" t="s">
        <v>1582</v>
      </c>
    </row>
    <row r="1613" spans="1:1">
      <c r="A1613" s="2" t="s">
        <v>1583</v>
      </c>
    </row>
    <row r="1614" spans="1:1">
      <c r="A1614" s="2" t="s">
        <v>1584</v>
      </c>
    </row>
    <row r="1615" spans="1:1">
      <c r="A1615" s="2" t="s">
        <v>1585</v>
      </c>
    </row>
    <row r="1616" spans="1:1">
      <c r="A1616" s="2" t="s">
        <v>1586</v>
      </c>
    </row>
    <row r="1617" spans="1:1">
      <c r="A1617" s="2" t="s">
        <v>1587</v>
      </c>
    </row>
    <row r="1618" spans="1:1">
      <c r="A1618" s="2" t="s">
        <v>1588</v>
      </c>
    </row>
    <row r="1619" spans="1:1">
      <c r="A1619" s="2" t="s">
        <v>1589</v>
      </c>
    </row>
    <row r="1620" spans="1:1">
      <c r="A1620" s="2" t="s">
        <v>1590</v>
      </c>
    </row>
    <row r="1621" spans="1:1">
      <c r="A1621" s="2" t="s">
        <v>1591</v>
      </c>
    </row>
    <row r="1622" spans="1:1">
      <c r="A1622" s="2" t="s">
        <v>1592</v>
      </c>
    </row>
    <row r="1623" spans="1:1">
      <c r="A1623" s="2" t="s">
        <v>1593</v>
      </c>
    </row>
    <row r="1624" spans="1:1">
      <c r="A1624" s="2" t="s">
        <v>1594</v>
      </c>
    </row>
    <row r="1625" spans="1:1">
      <c r="A1625" s="2" t="s">
        <v>1595</v>
      </c>
    </row>
    <row r="1626" spans="1:1">
      <c r="A1626" s="2" t="s">
        <v>1596</v>
      </c>
    </row>
    <row r="1627" spans="1:1">
      <c r="A1627" s="2" t="s">
        <v>1597</v>
      </c>
    </row>
    <row r="1628" spans="1:1">
      <c r="A1628" s="2" t="s">
        <v>1598</v>
      </c>
    </row>
    <row r="1629" spans="1:1">
      <c r="A1629" s="2" t="s">
        <v>1599</v>
      </c>
    </row>
    <row r="1630" spans="1:1">
      <c r="A1630" s="2" t="s">
        <v>1600</v>
      </c>
    </row>
    <row r="1631" spans="1:1">
      <c r="A1631" s="2" t="s">
        <v>1601</v>
      </c>
    </row>
    <row r="1632" spans="1:1">
      <c r="A1632" s="2" t="s">
        <v>1602</v>
      </c>
    </row>
    <row r="1633" spans="1:1">
      <c r="A1633" s="2" t="s">
        <v>1603</v>
      </c>
    </row>
    <row r="1634" spans="1:1">
      <c r="A1634" s="2" t="s">
        <v>1604</v>
      </c>
    </row>
    <row r="1635" spans="1:1">
      <c r="A1635" s="2" t="s">
        <v>1605</v>
      </c>
    </row>
    <row r="1636" spans="1:1">
      <c r="A1636" s="2" t="s">
        <v>1606</v>
      </c>
    </row>
    <row r="1637" spans="1:1">
      <c r="A1637" s="2" t="s">
        <v>1607</v>
      </c>
    </row>
    <row r="1638" spans="1:1">
      <c r="A1638" s="2" t="s">
        <v>1608</v>
      </c>
    </row>
    <row r="1639" spans="1:1">
      <c r="A1639" s="2" t="s">
        <v>1609</v>
      </c>
    </row>
    <row r="1640" spans="1:1">
      <c r="A1640" s="2" t="s">
        <v>1610</v>
      </c>
    </row>
    <row r="1641" spans="1:1">
      <c r="A1641" s="2" t="s">
        <v>1611</v>
      </c>
    </row>
    <row r="1642" spans="1:1">
      <c r="A1642" s="2" t="s">
        <v>1612</v>
      </c>
    </row>
    <row r="1643" spans="1:1">
      <c r="A1643" s="2" t="s">
        <v>1613</v>
      </c>
    </row>
    <row r="1644" spans="1:1">
      <c r="A1644" s="2" t="s">
        <v>1614</v>
      </c>
    </row>
    <row r="1645" spans="1:1">
      <c r="A1645" s="2" t="s">
        <v>1615</v>
      </c>
    </row>
    <row r="1646" spans="1:1">
      <c r="A1646" s="2" t="s">
        <v>1616</v>
      </c>
    </row>
    <row r="1647" spans="1:1">
      <c r="A1647" s="2" t="s">
        <v>1617</v>
      </c>
    </row>
    <row r="1648" spans="1:1">
      <c r="A1648" s="2" t="s">
        <v>1618</v>
      </c>
    </row>
    <row r="1649" spans="1:1">
      <c r="A1649" s="2" t="s">
        <v>1619</v>
      </c>
    </row>
    <row r="1650" spans="1:1">
      <c r="A1650" s="2" t="s">
        <v>1620</v>
      </c>
    </row>
    <row r="1651" spans="1:1">
      <c r="A1651" s="2" t="s">
        <v>1621</v>
      </c>
    </row>
    <row r="1652" spans="1:1">
      <c r="A1652" s="2" t="s">
        <v>1622</v>
      </c>
    </row>
    <row r="1653" spans="1:1">
      <c r="A1653" s="2" t="s">
        <v>1623</v>
      </c>
    </row>
    <row r="1654" spans="1:1">
      <c r="A1654" s="2" t="s">
        <v>1624</v>
      </c>
    </row>
    <row r="1655" spans="1:1">
      <c r="A1655" s="2" t="s">
        <v>1625</v>
      </c>
    </row>
    <row r="1656" spans="1:1">
      <c r="A1656" s="2" t="s">
        <v>1626</v>
      </c>
    </row>
    <row r="1657" spans="1:1">
      <c r="A1657" s="2" t="s">
        <v>1627</v>
      </c>
    </row>
    <row r="1658" spans="1:1">
      <c r="A1658" s="2" t="s">
        <v>1628</v>
      </c>
    </row>
    <row r="1659" spans="1:1">
      <c r="A1659" s="2" t="s">
        <v>1629</v>
      </c>
    </row>
    <row r="1660" spans="1:1">
      <c r="A1660" s="2" t="s">
        <v>1630</v>
      </c>
    </row>
    <row r="1661" spans="1:1">
      <c r="A1661" s="2" t="s">
        <v>1631</v>
      </c>
    </row>
    <row r="1662" spans="1:1">
      <c r="A1662" s="2" t="s">
        <v>1632</v>
      </c>
    </row>
    <row r="1663" spans="1:1">
      <c r="A1663" s="2" t="s">
        <v>1633</v>
      </c>
    </row>
    <row r="1664" spans="1:1">
      <c r="A1664" s="2" t="s">
        <v>1634</v>
      </c>
    </row>
    <row r="1665" spans="1:1">
      <c r="A1665" s="2" t="s">
        <v>1635</v>
      </c>
    </row>
    <row r="1666" spans="1:1">
      <c r="A1666" s="2" t="s">
        <v>1636</v>
      </c>
    </row>
    <row r="1667" spans="1:1">
      <c r="A1667" s="2" t="s">
        <v>1637</v>
      </c>
    </row>
    <row r="1668" spans="1:1">
      <c r="A1668" s="2" t="s">
        <v>1638</v>
      </c>
    </row>
    <row r="1669" spans="1:1">
      <c r="A1669" s="2" t="s">
        <v>1639</v>
      </c>
    </row>
    <row r="1670" spans="1:1">
      <c r="A1670" s="2" t="s">
        <v>1640</v>
      </c>
    </row>
    <row r="1671" spans="1:1">
      <c r="A1671" s="2" t="s">
        <v>1641</v>
      </c>
    </row>
    <row r="1672" spans="1:1">
      <c r="A1672" s="2" t="s">
        <v>1642</v>
      </c>
    </row>
    <row r="1673" spans="1:1">
      <c r="A1673" s="2" t="s">
        <v>1643</v>
      </c>
    </row>
    <row r="1674" spans="1:1">
      <c r="A1674" s="2" t="s">
        <v>1644</v>
      </c>
    </row>
    <row r="1675" spans="1:1">
      <c r="A1675" s="2" t="s">
        <v>1645</v>
      </c>
    </row>
    <row r="1676" spans="1:1">
      <c r="A1676" s="2" t="s">
        <v>1646</v>
      </c>
    </row>
    <row r="1677" spans="1:1">
      <c r="A1677" s="2" t="s">
        <v>1647</v>
      </c>
    </row>
    <row r="1678" spans="1:1">
      <c r="A1678" s="2" t="s">
        <v>1648</v>
      </c>
    </row>
    <row r="1679" spans="1:1">
      <c r="A1679" s="2" t="s">
        <v>1649</v>
      </c>
    </row>
    <row r="1680" spans="1:1">
      <c r="A1680" s="2" t="s">
        <v>1650</v>
      </c>
    </row>
    <row r="1681" spans="1:1">
      <c r="A1681" s="2" t="s">
        <v>1651</v>
      </c>
    </row>
    <row r="1682" spans="1:1">
      <c r="A1682" s="2" t="s">
        <v>1652</v>
      </c>
    </row>
    <row r="1683" spans="1:1">
      <c r="A1683" s="2" t="s">
        <v>1653</v>
      </c>
    </row>
    <row r="1684" spans="1:1">
      <c r="A1684" s="2" t="s">
        <v>1654</v>
      </c>
    </row>
    <row r="1685" spans="1:1">
      <c r="A1685" s="2" t="s">
        <v>1655</v>
      </c>
    </row>
    <row r="1686" spans="1:1">
      <c r="A1686" s="2" t="s">
        <v>1656</v>
      </c>
    </row>
    <row r="1687" spans="1:1">
      <c r="A1687" s="2" t="s">
        <v>1657</v>
      </c>
    </row>
    <row r="1688" spans="1:1">
      <c r="A1688" s="2" t="s">
        <v>1658</v>
      </c>
    </row>
    <row r="1689" spans="1:1">
      <c r="A1689" s="2" t="s">
        <v>1659</v>
      </c>
    </row>
    <row r="1690" spans="1:1">
      <c r="A1690" s="2" t="s">
        <v>1660</v>
      </c>
    </row>
    <row r="1691" spans="1:1">
      <c r="A1691" s="2" t="s">
        <v>1661</v>
      </c>
    </row>
    <row r="1692" spans="1:1">
      <c r="A1692" s="2" t="s">
        <v>1662</v>
      </c>
    </row>
    <row r="1693" spans="1:1">
      <c r="A1693" s="2" t="s">
        <v>1663</v>
      </c>
    </row>
    <row r="1694" spans="1:1">
      <c r="A1694" s="2" t="s">
        <v>1664</v>
      </c>
    </row>
    <row r="1695" spans="1:1">
      <c r="A1695" s="2" t="s">
        <v>1665</v>
      </c>
    </row>
    <row r="1696" spans="1:1">
      <c r="A1696" s="2" t="s">
        <v>1666</v>
      </c>
    </row>
    <row r="1697" spans="1:1">
      <c r="A1697" s="2" t="s">
        <v>1667</v>
      </c>
    </row>
    <row r="1698" spans="1:1">
      <c r="A1698" s="2" t="s">
        <v>1668</v>
      </c>
    </row>
    <row r="1699" spans="1:1">
      <c r="A1699" s="2" t="s">
        <v>1669</v>
      </c>
    </row>
    <row r="1700" spans="1:1">
      <c r="A1700" s="2" t="s">
        <v>1670</v>
      </c>
    </row>
    <row r="1701" spans="1:1">
      <c r="A1701" s="2" t="s">
        <v>1671</v>
      </c>
    </row>
    <row r="1702" spans="1:1">
      <c r="A1702" s="2" t="s">
        <v>1672</v>
      </c>
    </row>
    <row r="1703" spans="1:1">
      <c r="A1703" s="2" t="s">
        <v>1673</v>
      </c>
    </row>
    <row r="1704" spans="1:1">
      <c r="A1704" s="2" t="s">
        <v>1674</v>
      </c>
    </row>
    <row r="1705" spans="1:1">
      <c r="A1705" s="2" t="s">
        <v>1675</v>
      </c>
    </row>
    <row r="1706" spans="1:1">
      <c r="A1706" s="2" t="s">
        <v>1676</v>
      </c>
    </row>
    <row r="1707" spans="1:1">
      <c r="A1707" s="2" t="s">
        <v>1677</v>
      </c>
    </row>
    <row r="1708" spans="1:1">
      <c r="A1708" s="2" t="s">
        <v>1678</v>
      </c>
    </row>
    <row r="1709" spans="1:1">
      <c r="A1709" s="2" t="s">
        <v>1679</v>
      </c>
    </row>
    <row r="1710" spans="1:1">
      <c r="A1710" s="2" t="s">
        <v>1680</v>
      </c>
    </row>
    <row r="1711" spans="1:1">
      <c r="A1711" s="2" t="s">
        <v>1681</v>
      </c>
    </row>
    <row r="1712" spans="1:1">
      <c r="A1712" s="2" t="s">
        <v>1682</v>
      </c>
    </row>
    <row r="1713" spans="1:1">
      <c r="A1713" s="2" t="s">
        <v>1683</v>
      </c>
    </row>
    <row r="1714" spans="1:1">
      <c r="A1714" s="2" t="s">
        <v>1684</v>
      </c>
    </row>
    <row r="1715" spans="1:1">
      <c r="A1715" s="2" t="s">
        <v>1685</v>
      </c>
    </row>
    <row r="1716" spans="1:1">
      <c r="A1716" s="2" t="s">
        <v>1686</v>
      </c>
    </row>
    <row r="1717" spans="1:1">
      <c r="A1717" s="2" t="s">
        <v>1687</v>
      </c>
    </row>
    <row r="1718" spans="1:1">
      <c r="A1718" s="2" t="s">
        <v>1688</v>
      </c>
    </row>
    <row r="1719" spans="1:1">
      <c r="A1719" s="2" t="s">
        <v>1689</v>
      </c>
    </row>
    <row r="1720" spans="1:1">
      <c r="A1720" s="2" t="s">
        <v>1690</v>
      </c>
    </row>
    <row r="1721" spans="1:1">
      <c r="A1721" s="2" t="s">
        <v>1691</v>
      </c>
    </row>
    <row r="1722" spans="1:1">
      <c r="A1722" s="2" t="s">
        <v>1692</v>
      </c>
    </row>
    <row r="1723" spans="1:1">
      <c r="A1723" s="2" t="s">
        <v>1693</v>
      </c>
    </row>
    <row r="1724" spans="1:1">
      <c r="A1724" s="2" t="s">
        <v>1694</v>
      </c>
    </row>
    <row r="1725" spans="1:1">
      <c r="A1725" s="2" t="s">
        <v>1695</v>
      </c>
    </row>
    <row r="1726" spans="1:1">
      <c r="A1726" s="2" t="s">
        <v>1696</v>
      </c>
    </row>
    <row r="1727" spans="1:1">
      <c r="A1727" s="2" t="s">
        <v>1697</v>
      </c>
    </row>
    <row r="1728" spans="1:1">
      <c r="A1728" s="2" t="s">
        <v>1698</v>
      </c>
    </row>
    <row r="1729" spans="1:1">
      <c r="A1729" s="2" t="s">
        <v>1699</v>
      </c>
    </row>
    <row r="1730" spans="1:1">
      <c r="A1730" s="2" t="s">
        <v>1700</v>
      </c>
    </row>
    <row r="1731" spans="1:1">
      <c r="A1731" s="2" t="s">
        <v>1701</v>
      </c>
    </row>
    <row r="1732" spans="1:1">
      <c r="A1732" s="2" t="s">
        <v>1702</v>
      </c>
    </row>
    <row r="1733" spans="1:1">
      <c r="A1733" s="2" t="s">
        <v>1703</v>
      </c>
    </row>
    <row r="1734" spans="1:1">
      <c r="A1734" s="2" t="s">
        <v>1704</v>
      </c>
    </row>
    <row r="1735" spans="1:1">
      <c r="A1735" s="2" t="s">
        <v>1705</v>
      </c>
    </row>
    <row r="1736" spans="1:1">
      <c r="A1736" s="2" t="s">
        <v>1706</v>
      </c>
    </row>
    <row r="1737" spans="1:1">
      <c r="A1737" s="2" t="s">
        <v>1707</v>
      </c>
    </row>
    <row r="1738" spans="1:1">
      <c r="A1738" s="2" t="s">
        <v>1708</v>
      </c>
    </row>
    <row r="1739" spans="1:1">
      <c r="A1739" s="2" t="s">
        <v>1709</v>
      </c>
    </row>
    <row r="1740" spans="1:1">
      <c r="A1740" s="2" t="s">
        <v>1710</v>
      </c>
    </row>
    <row r="1741" spans="1:1">
      <c r="A1741" s="2" t="s">
        <v>1711</v>
      </c>
    </row>
    <row r="1742" spans="1:1">
      <c r="A1742" s="2" t="s">
        <v>1712</v>
      </c>
    </row>
    <row r="1743" spans="1:1">
      <c r="A1743" s="2" t="s">
        <v>1713</v>
      </c>
    </row>
    <row r="1744" spans="1:1">
      <c r="A1744" s="2" t="s">
        <v>1714</v>
      </c>
    </row>
    <row r="1745" spans="1:1">
      <c r="A1745" s="2" t="s">
        <v>1715</v>
      </c>
    </row>
    <row r="1746" spans="1:1">
      <c r="A1746" s="2" t="s">
        <v>1716</v>
      </c>
    </row>
    <row r="1747" spans="1:1">
      <c r="A1747" s="2" t="s">
        <v>1717</v>
      </c>
    </row>
    <row r="1748" spans="1:1">
      <c r="A1748" s="2" t="s">
        <v>1718</v>
      </c>
    </row>
    <row r="1749" spans="1:1">
      <c r="A1749" s="2" t="s">
        <v>1719</v>
      </c>
    </row>
    <row r="1750" spans="1:1">
      <c r="A1750" s="2" t="s">
        <v>1720</v>
      </c>
    </row>
    <row r="1751" spans="1:1">
      <c r="A1751" s="2" t="s">
        <v>1721</v>
      </c>
    </row>
    <row r="1752" spans="1:1">
      <c r="A1752" s="2" t="s">
        <v>1722</v>
      </c>
    </row>
    <row r="1753" spans="1:1">
      <c r="A1753" s="2" t="s">
        <v>1723</v>
      </c>
    </row>
    <row r="1754" spans="1:1">
      <c r="A1754" s="2" t="s">
        <v>1724</v>
      </c>
    </row>
    <row r="1755" spans="1:1">
      <c r="A1755" s="2" t="s">
        <v>1725</v>
      </c>
    </row>
    <row r="1756" spans="1:1">
      <c r="A1756" s="2" t="s">
        <v>1726</v>
      </c>
    </row>
    <row r="1757" spans="1:1">
      <c r="A1757" s="2" t="s">
        <v>1727</v>
      </c>
    </row>
    <row r="1758" spans="1:1">
      <c r="A1758" s="2" t="s">
        <v>1728</v>
      </c>
    </row>
    <row r="1759" spans="1:1">
      <c r="A1759" s="2" t="s">
        <v>1729</v>
      </c>
    </row>
    <row r="1760" spans="1:1">
      <c r="A1760" s="2" t="s">
        <v>1730</v>
      </c>
    </row>
    <row r="1761" spans="1:1">
      <c r="A1761" s="2" t="s">
        <v>1731</v>
      </c>
    </row>
    <row r="1762" spans="1:1">
      <c r="A1762" s="2" t="s">
        <v>1732</v>
      </c>
    </row>
    <row r="1763" spans="1:1">
      <c r="A1763" s="2" t="s">
        <v>1733</v>
      </c>
    </row>
    <row r="1764" spans="1:1">
      <c r="A1764" s="2" t="s">
        <v>1734</v>
      </c>
    </row>
    <row r="1765" spans="1:1">
      <c r="A1765" s="2" t="s">
        <v>1735</v>
      </c>
    </row>
    <row r="1766" spans="1:1">
      <c r="A1766" s="2" t="s">
        <v>1736</v>
      </c>
    </row>
    <row r="1767" spans="1:1">
      <c r="A1767" s="2" t="s">
        <v>1737</v>
      </c>
    </row>
    <row r="1768" spans="1:1">
      <c r="A1768" s="2" t="s">
        <v>1738</v>
      </c>
    </row>
    <row r="1769" spans="1:1">
      <c r="A1769" s="2" t="s">
        <v>1739</v>
      </c>
    </row>
    <row r="1770" spans="1:1">
      <c r="A1770" s="2" t="s">
        <v>1740</v>
      </c>
    </row>
    <row r="1771" spans="1:1">
      <c r="A1771" s="2" t="s">
        <v>1741</v>
      </c>
    </row>
    <row r="1772" spans="1:1">
      <c r="A1772" s="2" t="s">
        <v>1742</v>
      </c>
    </row>
    <row r="1773" spans="1:1">
      <c r="A1773" s="2" t="s">
        <v>1743</v>
      </c>
    </row>
    <row r="1774" spans="1:1">
      <c r="A1774" s="2" t="s">
        <v>1744</v>
      </c>
    </row>
    <row r="1775" spans="1:1">
      <c r="A1775" s="2" t="s">
        <v>1745</v>
      </c>
    </row>
    <row r="1776" spans="1:1">
      <c r="A1776" s="2" t="s">
        <v>1746</v>
      </c>
    </row>
    <row r="1777" spans="1:1">
      <c r="A1777" s="2" t="s">
        <v>1747</v>
      </c>
    </row>
    <row r="1778" spans="1:1">
      <c r="A1778" s="2" t="s">
        <v>1748</v>
      </c>
    </row>
    <row r="1779" spans="1:1">
      <c r="A1779" s="2" t="s">
        <v>1749</v>
      </c>
    </row>
    <row r="1780" spans="1:1">
      <c r="A1780" s="2" t="s">
        <v>1750</v>
      </c>
    </row>
    <row r="1781" spans="1:1">
      <c r="A1781" s="2" t="s">
        <v>1751</v>
      </c>
    </row>
    <row r="1782" spans="1:1">
      <c r="A1782" s="2" t="s">
        <v>1752</v>
      </c>
    </row>
    <row r="1783" spans="1:1">
      <c r="A1783" s="2" t="s">
        <v>1753</v>
      </c>
    </row>
    <row r="1784" spans="1:1">
      <c r="A1784" s="2" t="s">
        <v>1754</v>
      </c>
    </row>
    <row r="1785" spans="1:1">
      <c r="A1785" s="2" t="s">
        <v>1755</v>
      </c>
    </row>
    <row r="1786" spans="1:1">
      <c r="A1786" s="2" t="s">
        <v>1756</v>
      </c>
    </row>
    <row r="1787" spans="1:1">
      <c r="A1787" s="2" t="s">
        <v>1757</v>
      </c>
    </row>
    <row r="1788" spans="1:1">
      <c r="A1788" s="2" t="s">
        <v>1758</v>
      </c>
    </row>
    <row r="1789" spans="1:1">
      <c r="A1789" s="2" t="s">
        <v>1759</v>
      </c>
    </row>
    <row r="1790" spans="1:1">
      <c r="A1790" s="2" t="s">
        <v>1760</v>
      </c>
    </row>
    <row r="1791" spans="1:1">
      <c r="A1791" s="2" t="s">
        <v>1761</v>
      </c>
    </row>
    <row r="1792" spans="1:1">
      <c r="A1792" s="2" t="s">
        <v>1762</v>
      </c>
    </row>
    <row r="1793" spans="1:1">
      <c r="A1793" s="2" t="s">
        <v>1763</v>
      </c>
    </row>
    <row r="1794" spans="1:1">
      <c r="A1794" s="2" t="s">
        <v>1764</v>
      </c>
    </row>
    <row r="1795" spans="1:1">
      <c r="A1795" s="2" t="s">
        <v>1765</v>
      </c>
    </row>
    <row r="1796" spans="1:1">
      <c r="A1796" s="2" t="s">
        <v>1766</v>
      </c>
    </row>
    <row r="1797" spans="1:1">
      <c r="A1797" s="2" t="s">
        <v>1767</v>
      </c>
    </row>
    <row r="1798" spans="1:1">
      <c r="A1798" s="2" t="s">
        <v>1768</v>
      </c>
    </row>
    <row r="1799" spans="1:1">
      <c r="A1799" s="2" t="s">
        <v>1769</v>
      </c>
    </row>
    <row r="1800" spans="1:1">
      <c r="A1800" s="2" t="s">
        <v>1770</v>
      </c>
    </row>
    <row r="1801" spans="1:1">
      <c r="A1801" s="2" t="s">
        <v>1771</v>
      </c>
    </row>
    <row r="1802" spans="1:1">
      <c r="A1802" s="2" t="s">
        <v>1772</v>
      </c>
    </row>
    <row r="1803" spans="1:1">
      <c r="A1803" s="2" t="s">
        <v>1773</v>
      </c>
    </row>
    <row r="1804" spans="1:1">
      <c r="A1804" s="2" t="s">
        <v>1774</v>
      </c>
    </row>
    <row r="1805" spans="1:1">
      <c r="A1805" s="2" t="s">
        <v>1775</v>
      </c>
    </row>
    <row r="1806" spans="1:1">
      <c r="A1806" s="2" t="s">
        <v>1776</v>
      </c>
    </row>
    <row r="1807" spans="1:1">
      <c r="A1807" s="2" t="s">
        <v>1777</v>
      </c>
    </row>
    <row r="1808" spans="1:1">
      <c r="A1808" s="2" t="s">
        <v>1778</v>
      </c>
    </row>
    <row r="1809" spans="1:1">
      <c r="A1809" s="2" t="s">
        <v>1779</v>
      </c>
    </row>
    <row r="1810" spans="1:1">
      <c r="A1810" s="2" t="s">
        <v>1780</v>
      </c>
    </row>
    <row r="1811" spans="1:1">
      <c r="A1811" s="2" t="s">
        <v>1781</v>
      </c>
    </row>
    <row r="1812" spans="1:1">
      <c r="A1812" s="2" t="s">
        <v>1782</v>
      </c>
    </row>
    <row r="1813" spans="1:1">
      <c r="A1813" s="2" t="s">
        <v>1783</v>
      </c>
    </row>
    <row r="1814" spans="1:1">
      <c r="A1814" s="2" t="s">
        <v>1784</v>
      </c>
    </row>
    <row r="1815" spans="1:1">
      <c r="A1815" s="2" t="s">
        <v>1785</v>
      </c>
    </row>
    <row r="1816" spans="1:1">
      <c r="A1816" s="2" t="s">
        <v>1786</v>
      </c>
    </row>
    <row r="1817" spans="1:1">
      <c r="A1817" s="2" t="s">
        <v>1787</v>
      </c>
    </row>
    <row r="1818" spans="1:1">
      <c r="A1818" s="2" t="s">
        <v>1788</v>
      </c>
    </row>
    <row r="1819" spans="1:1">
      <c r="A1819" s="2" t="s">
        <v>1789</v>
      </c>
    </row>
    <row r="1820" spans="1:1">
      <c r="A1820" s="2" t="s">
        <v>1790</v>
      </c>
    </row>
    <row r="1821" spans="1:1">
      <c r="A1821" s="2" t="s">
        <v>1791</v>
      </c>
    </row>
    <row r="1822" spans="1:1">
      <c r="A1822" s="2" t="s">
        <v>1792</v>
      </c>
    </row>
    <row r="1823" spans="1:1">
      <c r="A1823" s="2" t="s">
        <v>1793</v>
      </c>
    </row>
    <row r="1824" spans="1:1">
      <c r="A1824" s="2" t="s">
        <v>1794</v>
      </c>
    </row>
    <row r="1825" spans="1:1">
      <c r="A1825" s="2" t="s">
        <v>1795</v>
      </c>
    </row>
    <row r="1826" spans="1:1">
      <c r="A1826" s="2" t="s">
        <v>1796</v>
      </c>
    </row>
    <row r="1827" spans="1:1">
      <c r="A1827" s="2" t="s">
        <v>1797</v>
      </c>
    </row>
    <row r="1828" spans="1:1">
      <c r="A1828" s="2" t="s">
        <v>1798</v>
      </c>
    </row>
    <row r="1829" spans="1:1">
      <c r="A1829" s="2" t="s">
        <v>1799</v>
      </c>
    </row>
    <row r="1830" spans="1:1">
      <c r="A1830" s="2" t="s">
        <v>1800</v>
      </c>
    </row>
    <row r="1831" spans="1:1">
      <c r="A1831" s="2" t="s">
        <v>1801</v>
      </c>
    </row>
    <row r="1832" spans="1:1">
      <c r="A1832" s="2" t="s">
        <v>1802</v>
      </c>
    </row>
    <row r="1833" spans="1:1">
      <c r="A1833" s="2" t="s">
        <v>1803</v>
      </c>
    </row>
    <row r="1834" spans="1:1">
      <c r="A1834" s="1"/>
    </row>
    <row r="1835" spans="1:1">
      <c r="A1835" s="2" t="s">
        <v>1804</v>
      </c>
    </row>
    <row r="1836" spans="1:1">
      <c r="A1836" s="2" t="s">
        <v>1805</v>
      </c>
    </row>
    <row r="1837" spans="1:1">
      <c r="A1837" s="2" t="s">
        <v>1806</v>
      </c>
    </row>
    <row r="1838" spans="1:1">
      <c r="A1838" s="2" t="s">
        <v>1807</v>
      </c>
    </row>
    <row r="1839" spans="1:1">
      <c r="A1839" s="2" t="s">
        <v>1808</v>
      </c>
    </row>
    <row r="1840" spans="1:1">
      <c r="A1840" s="2" t="s">
        <v>1809</v>
      </c>
    </row>
    <row r="1841" spans="1:1">
      <c r="A1841" s="2" t="s">
        <v>1810</v>
      </c>
    </row>
    <row r="1842" spans="1:1">
      <c r="A1842" s="2" t="s">
        <v>1811</v>
      </c>
    </row>
    <row r="1843" spans="1:1">
      <c r="A1843" s="2" t="s">
        <v>1812</v>
      </c>
    </row>
    <row r="1844" spans="1:1">
      <c r="A1844" s="2" t="s">
        <v>1813</v>
      </c>
    </row>
    <row r="1845" spans="1:1">
      <c r="A1845" s="2" t="s">
        <v>1814</v>
      </c>
    </row>
    <row r="1846" spans="1:1">
      <c r="A1846" s="2" t="s">
        <v>1815</v>
      </c>
    </row>
    <row r="1847" spans="1:1">
      <c r="A1847" s="2" t="s">
        <v>1816</v>
      </c>
    </row>
    <row r="1848" spans="1:1">
      <c r="A1848" s="2" t="s">
        <v>1817</v>
      </c>
    </row>
    <row r="1849" spans="1:1">
      <c r="A1849" s="2" t="s">
        <v>1818</v>
      </c>
    </row>
    <row r="1850" spans="1:1">
      <c r="A1850" s="2" t="s">
        <v>1819</v>
      </c>
    </row>
    <row r="1851" spans="1:1">
      <c r="A1851" s="2" t="s">
        <v>1820</v>
      </c>
    </row>
    <row r="1852" spans="1:1">
      <c r="A1852" s="2" t="s">
        <v>1821</v>
      </c>
    </row>
    <row r="1853" spans="1:1">
      <c r="A1853" s="2" t="s">
        <v>1822</v>
      </c>
    </row>
    <row r="1854" spans="1:1">
      <c r="A1854" s="2" t="s">
        <v>1823</v>
      </c>
    </row>
    <row r="1855" spans="1:1">
      <c r="A1855" s="2" t="s">
        <v>1824</v>
      </c>
    </row>
    <row r="1856" spans="1:1">
      <c r="A1856" s="2" t="s">
        <v>1825</v>
      </c>
    </row>
    <row r="1857" spans="1:1">
      <c r="A1857" s="2" t="s">
        <v>1826</v>
      </c>
    </row>
    <row r="1858" spans="1:1">
      <c r="A1858" s="2" t="s">
        <v>1827</v>
      </c>
    </row>
    <row r="1859" spans="1:1">
      <c r="A1859" s="2" t="s">
        <v>1828</v>
      </c>
    </row>
    <row r="1860" spans="1:1">
      <c r="A1860" s="2" t="s">
        <v>1829</v>
      </c>
    </row>
    <row r="1861" spans="1:1">
      <c r="A1861" s="2" t="s">
        <v>1830</v>
      </c>
    </row>
    <row r="1862" spans="1:1">
      <c r="A1862" s="2" t="s">
        <v>1831</v>
      </c>
    </row>
    <row r="1863" spans="1:1">
      <c r="A1863" s="2" t="s">
        <v>1832</v>
      </c>
    </row>
    <row r="1864" spans="1:1">
      <c r="A1864" s="2" t="s">
        <v>1833</v>
      </c>
    </row>
    <row r="1865" spans="1:1">
      <c r="A1865" s="2" t="s">
        <v>1834</v>
      </c>
    </row>
    <row r="1866" spans="1:1">
      <c r="A1866" s="2" t="s">
        <v>1835</v>
      </c>
    </row>
    <row r="1867" spans="1:1">
      <c r="A1867" s="2" t="s">
        <v>1836</v>
      </c>
    </row>
    <row r="1868" spans="1:1">
      <c r="A1868" s="2" t="s">
        <v>1837</v>
      </c>
    </row>
    <row r="1869" spans="1:1">
      <c r="A1869" s="2" t="s">
        <v>1838</v>
      </c>
    </row>
    <row r="1870" spans="1:1">
      <c r="A1870" s="2" t="s">
        <v>1839</v>
      </c>
    </row>
    <row r="1871" spans="1:1">
      <c r="A1871" s="2" t="s">
        <v>1840</v>
      </c>
    </row>
    <row r="1872" spans="1:1">
      <c r="A1872" s="2" t="s">
        <v>1841</v>
      </c>
    </row>
    <row r="1873" spans="1:1">
      <c r="A1873" s="2" t="s">
        <v>1842</v>
      </c>
    </row>
    <row r="1874" spans="1:1">
      <c r="A1874" s="2" t="s">
        <v>1843</v>
      </c>
    </row>
    <row r="1875" spans="1:1">
      <c r="A1875" s="2" t="s">
        <v>1844</v>
      </c>
    </row>
    <row r="1876" spans="1:1">
      <c r="A1876" s="2" t="s">
        <v>1845</v>
      </c>
    </row>
    <row r="1877" spans="1:1">
      <c r="A1877" s="2" t="s">
        <v>1846</v>
      </c>
    </row>
    <row r="1878" spans="1:1">
      <c r="A1878" s="2" t="s">
        <v>1847</v>
      </c>
    </row>
    <row r="1879" spans="1:1">
      <c r="A1879" s="2" t="s">
        <v>1848</v>
      </c>
    </row>
    <row r="1880" spans="1:1">
      <c r="A1880" s="2" t="s">
        <v>1849</v>
      </c>
    </row>
    <row r="1881" spans="1:1">
      <c r="A1881" s="2" t="s">
        <v>1850</v>
      </c>
    </row>
    <row r="1882" spans="1:1">
      <c r="A1882" s="2" t="s">
        <v>1851</v>
      </c>
    </row>
    <row r="1883" spans="1:1">
      <c r="A1883" s="2" t="s">
        <v>1852</v>
      </c>
    </row>
    <row r="1884" spans="1:1">
      <c r="A1884" s="2" t="s">
        <v>1853</v>
      </c>
    </row>
    <row r="1885" spans="1:1">
      <c r="A1885" s="2" t="s">
        <v>1854</v>
      </c>
    </row>
    <row r="1886" spans="1:1">
      <c r="A1886" s="2" t="s">
        <v>1855</v>
      </c>
    </row>
    <row r="1887" spans="1:1">
      <c r="A1887" s="2" t="s">
        <v>1856</v>
      </c>
    </row>
    <row r="1888" spans="1:1">
      <c r="A1888" s="2" t="s">
        <v>1857</v>
      </c>
    </row>
    <row r="1889" spans="1:1">
      <c r="A1889" s="2" t="s">
        <v>1858</v>
      </c>
    </row>
    <row r="1890" spans="1:1">
      <c r="A1890" s="2" t="s">
        <v>1859</v>
      </c>
    </row>
    <row r="1891" spans="1:1">
      <c r="A1891" s="2" t="s">
        <v>1860</v>
      </c>
    </row>
    <row r="1892" spans="1:1">
      <c r="A1892" s="2" t="s">
        <v>1861</v>
      </c>
    </row>
    <row r="1893" spans="1:1">
      <c r="A1893" s="2" t="s">
        <v>1862</v>
      </c>
    </row>
    <row r="1894" spans="1:1">
      <c r="A1894" s="2" t="s">
        <v>1863</v>
      </c>
    </row>
    <row r="1895" spans="1:1">
      <c r="A1895" s="2" t="s">
        <v>1864</v>
      </c>
    </row>
    <row r="1896" spans="1:1">
      <c r="A1896" s="2" t="s">
        <v>1865</v>
      </c>
    </row>
    <row r="1897" spans="1:1">
      <c r="A1897" s="2" t="s">
        <v>1866</v>
      </c>
    </row>
    <row r="1898" spans="1:1">
      <c r="A1898" s="2" t="s">
        <v>1867</v>
      </c>
    </row>
    <row r="1899" spans="1:1">
      <c r="A1899" s="2" t="s">
        <v>1868</v>
      </c>
    </row>
    <row r="1900" spans="1:1">
      <c r="A1900" s="2" t="s">
        <v>1869</v>
      </c>
    </row>
    <row r="1901" spans="1:1">
      <c r="A1901" s="2" t="s">
        <v>1870</v>
      </c>
    </row>
    <row r="1902" spans="1:1">
      <c r="A1902" s="2" t="s">
        <v>1871</v>
      </c>
    </row>
    <row r="1903" spans="1:1">
      <c r="A1903" s="2" t="s">
        <v>1872</v>
      </c>
    </row>
    <row r="1904" spans="1:1">
      <c r="A1904" s="2" t="s">
        <v>1873</v>
      </c>
    </row>
    <row r="1905" spans="1:1">
      <c r="A1905" s="2" t="s">
        <v>1874</v>
      </c>
    </row>
    <row r="1906" spans="1:1">
      <c r="A1906" s="2" t="s">
        <v>1875</v>
      </c>
    </row>
    <row r="1907" spans="1:1">
      <c r="A1907" s="2" t="s">
        <v>1876</v>
      </c>
    </row>
    <row r="1908" spans="1:1">
      <c r="A1908" s="2" t="s">
        <v>1877</v>
      </c>
    </row>
    <row r="1909" spans="1:1">
      <c r="A1909" s="2" t="s">
        <v>1878</v>
      </c>
    </row>
    <row r="1910" spans="1:1">
      <c r="A1910" s="2" t="s">
        <v>1879</v>
      </c>
    </row>
    <row r="1911" spans="1:1">
      <c r="A1911" s="2" t="s">
        <v>1880</v>
      </c>
    </row>
    <row r="1912" spans="1:1">
      <c r="A1912" s="2" t="s">
        <v>1881</v>
      </c>
    </row>
    <row r="1913" spans="1:1">
      <c r="A1913" s="2" t="s">
        <v>1882</v>
      </c>
    </row>
    <row r="1914" spans="1:1">
      <c r="A1914" s="2" t="s">
        <v>1883</v>
      </c>
    </row>
    <row r="1915" spans="1:1">
      <c r="A1915" s="2" t="s">
        <v>1884</v>
      </c>
    </row>
    <row r="1916" spans="1:1">
      <c r="A1916" s="2" t="s">
        <v>1885</v>
      </c>
    </row>
    <row r="1917" spans="1:1">
      <c r="A1917" s="2" t="s">
        <v>1886</v>
      </c>
    </row>
    <row r="1918" spans="1:1">
      <c r="A1918" s="2" t="s">
        <v>1887</v>
      </c>
    </row>
    <row r="1919" spans="1:1">
      <c r="A1919" s="2" t="s">
        <v>1888</v>
      </c>
    </row>
    <row r="1920" spans="1:1">
      <c r="A1920" s="2" t="s">
        <v>1889</v>
      </c>
    </row>
    <row r="1921" spans="1:1">
      <c r="A1921" s="2" t="s">
        <v>1890</v>
      </c>
    </row>
    <row r="1922" spans="1:1">
      <c r="A1922" s="2" t="s">
        <v>1891</v>
      </c>
    </row>
    <row r="1923" spans="1:1">
      <c r="A1923" s="2" t="s">
        <v>1892</v>
      </c>
    </row>
    <row r="1924" spans="1:1">
      <c r="A1924" s="2" t="s">
        <v>1893</v>
      </c>
    </row>
    <row r="1925" spans="1:1">
      <c r="A1925" s="2" t="s">
        <v>1894</v>
      </c>
    </row>
    <row r="1926" spans="1:1">
      <c r="A1926" s="2" t="s">
        <v>1895</v>
      </c>
    </row>
    <row r="1927" spans="1:1">
      <c r="A1927" s="2" t="s">
        <v>1896</v>
      </c>
    </row>
    <row r="1928" spans="1:1">
      <c r="A1928" s="2" t="s">
        <v>1897</v>
      </c>
    </row>
    <row r="1929" spans="1:1">
      <c r="A1929" s="2" t="s">
        <v>1898</v>
      </c>
    </row>
    <row r="1930" spans="1:1">
      <c r="A1930" s="2" t="s">
        <v>1899</v>
      </c>
    </row>
    <row r="1931" spans="1:1">
      <c r="A1931" s="2" t="s">
        <v>1900</v>
      </c>
    </row>
    <row r="1932" spans="1:1">
      <c r="A1932" s="2" t="s">
        <v>1901</v>
      </c>
    </row>
    <row r="1933" spans="1:1">
      <c r="A1933" s="2" t="s">
        <v>1902</v>
      </c>
    </row>
    <row r="1934" spans="1:1">
      <c r="A1934" s="2" t="s">
        <v>1903</v>
      </c>
    </row>
    <row r="1935" spans="1:1">
      <c r="A1935" s="2" t="s">
        <v>1904</v>
      </c>
    </row>
    <row r="1936" spans="1:1">
      <c r="A1936" s="2" t="s">
        <v>1905</v>
      </c>
    </row>
    <row r="1937" spans="1:1">
      <c r="A1937" s="2" t="s">
        <v>1906</v>
      </c>
    </row>
    <row r="1938" spans="1:1">
      <c r="A1938" s="2" t="s">
        <v>1907</v>
      </c>
    </row>
    <row r="1939" spans="1:1">
      <c r="A1939" s="2" t="s">
        <v>1908</v>
      </c>
    </row>
    <row r="1940" spans="1:1">
      <c r="A1940" s="2" t="s">
        <v>1909</v>
      </c>
    </row>
    <row r="1941" spans="1:1">
      <c r="A1941" s="2" t="s">
        <v>1910</v>
      </c>
    </row>
    <row r="1942" spans="1:1">
      <c r="A1942" s="2" t="s">
        <v>1911</v>
      </c>
    </row>
    <row r="1943" spans="1:1">
      <c r="A1943" s="2" t="s">
        <v>1912</v>
      </c>
    </row>
    <row r="1944" spans="1:1">
      <c r="A1944" s="2" t="s">
        <v>1913</v>
      </c>
    </row>
    <row r="1945" spans="1:1">
      <c r="A1945" s="2" t="s">
        <v>1914</v>
      </c>
    </row>
    <row r="1946" spans="1:1">
      <c r="A1946" s="2" t="s">
        <v>1915</v>
      </c>
    </row>
    <row r="1947" spans="1:1">
      <c r="A1947" s="2" t="s">
        <v>1916</v>
      </c>
    </row>
    <row r="1948" spans="1:1">
      <c r="A1948" s="2" t="s">
        <v>1917</v>
      </c>
    </row>
    <row r="1949" spans="1:1">
      <c r="A1949" s="2" t="s">
        <v>1918</v>
      </c>
    </row>
    <row r="1950" spans="1:1">
      <c r="A1950" s="2" t="s">
        <v>1919</v>
      </c>
    </row>
    <row r="1951" spans="1:1">
      <c r="A1951" s="2" t="s">
        <v>1920</v>
      </c>
    </row>
    <row r="1952" spans="1:1">
      <c r="A1952" s="2" t="s">
        <v>1921</v>
      </c>
    </row>
    <row r="1953" spans="1:1">
      <c r="A1953" s="2" t="s">
        <v>1922</v>
      </c>
    </row>
    <row r="1954" spans="1:1">
      <c r="A1954" s="2" t="s">
        <v>1923</v>
      </c>
    </row>
    <row r="1955" spans="1:1">
      <c r="A1955" s="2" t="s">
        <v>1924</v>
      </c>
    </row>
    <row r="1956" spans="1:1">
      <c r="A1956" s="2" t="s">
        <v>1925</v>
      </c>
    </row>
    <row r="1957" spans="1:1">
      <c r="A1957" s="2" t="s">
        <v>1926</v>
      </c>
    </row>
    <row r="1958" spans="1:1">
      <c r="A1958" s="2" t="s">
        <v>1927</v>
      </c>
    </row>
    <row r="1959" spans="1:1">
      <c r="A1959" s="2" t="s">
        <v>1928</v>
      </c>
    </row>
    <row r="1960" spans="1:1">
      <c r="A1960" s="2" t="s">
        <v>1929</v>
      </c>
    </row>
    <row r="1961" spans="1:1">
      <c r="A1961" s="2" t="s">
        <v>1930</v>
      </c>
    </row>
    <row r="1962" spans="1:1">
      <c r="A1962" s="2" t="s">
        <v>1931</v>
      </c>
    </row>
    <row r="1963" spans="1:1">
      <c r="A1963" s="2" t="s">
        <v>1932</v>
      </c>
    </row>
    <row r="1964" spans="1:1">
      <c r="A1964" s="2" t="s">
        <v>1933</v>
      </c>
    </row>
    <row r="1965" spans="1:1">
      <c r="A1965" s="2" t="s">
        <v>1934</v>
      </c>
    </row>
    <row r="1966" spans="1:1">
      <c r="A1966" s="2" t="s">
        <v>1935</v>
      </c>
    </row>
    <row r="1967" spans="1:1">
      <c r="A1967" s="2" t="s">
        <v>1936</v>
      </c>
    </row>
    <row r="1968" spans="1:1">
      <c r="A1968" s="2" t="s">
        <v>1937</v>
      </c>
    </row>
    <row r="1969" spans="1:1">
      <c r="A1969" s="2" t="s">
        <v>1938</v>
      </c>
    </row>
    <row r="1970" spans="1:1">
      <c r="A1970" s="2" t="s">
        <v>1939</v>
      </c>
    </row>
    <row r="1971" spans="1:1">
      <c r="A1971" s="2" t="s">
        <v>1940</v>
      </c>
    </row>
    <row r="1972" spans="1:1">
      <c r="A1972" s="2" t="s">
        <v>1941</v>
      </c>
    </row>
    <row r="1973" spans="1:1">
      <c r="A1973" s="2" t="s">
        <v>1942</v>
      </c>
    </row>
    <row r="1974" spans="1:1">
      <c r="A1974" s="2" t="s">
        <v>1943</v>
      </c>
    </row>
    <row r="1975" spans="1:1">
      <c r="A1975" s="2" t="s">
        <v>1944</v>
      </c>
    </row>
    <row r="1976" spans="1:1">
      <c r="A1976" s="2" t="s">
        <v>1945</v>
      </c>
    </row>
    <row r="1977" spans="1:1">
      <c r="A1977" s="2" t="s">
        <v>1946</v>
      </c>
    </row>
    <row r="1978" spans="1:1">
      <c r="A1978" s="2" t="s">
        <v>1947</v>
      </c>
    </row>
    <row r="1979" spans="1:1">
      <c r="A1979" s="2" t="s">
        <v>1948</v>
      </c>
    </row>
    <row r="1980" spans="1:1">
      <c r="A1980" s="2" t="s">
        <v>1949</v>
      </c>
    </row>
    <row r="1981" spans="1:1">
      <c r="A1981" s="2" t="s">
        <v>1950</v>
      </c>
    </row>
    <row r="1982" spans="1:1">
      <c r="A1982" s="2" t="s">
        <v>1951</v>
      </c>
    </row>
    <row r="1983" spans="1:1">
      <c r="A1983" s="2" t="s">
        <v>1952</v>
      </c>
    </row>
    <row r="1984" spans="1:1">
      <c r="A1984" s="2" t="s">
        <v>1953</v>
      </c>
    </row>
    <row r="1985" spans="1:1">
      <c r="A1985" s="2" t="s">
        <v>1954</v>
      </c>
    </row>
    <row r="1986" spans="1:1">
      <c r="A1986" s="2" t="s">
        <v>1955</v>
      </c>
    </row>
    <row r="1987" spans="1:1">
      <c r="A1987" s="2" t="s">
        <v>1956</v>
      </c>
    </row>
    <row r="1988" spans="1:1">
      <c r="A1988" s="2" t="s">
        <v>1957</v>
      </c>
    </row>
    <row r="1989" spans="1:1">
      <c r="A1989" s="2" t="s">
        <v>1958</v>
      </c>
    </row>
    <row r="1990" spans="1:1">
      <c r="A1990" s="2" t="s">
        <v>1959</v>
      </c>
    </row>
    <row r="1991" spans="1:1">
      <c r="A1991" s="2" t="s">
        <v>1960</v>
      </c>
    </row>
    <row r="1992" spans="1:1">
      <c r="A1992" s="2" t="s">
        <v>1961</v>
      </c>
    </row>
    <row r="1993" spans="1:1">
      <c r="A1993" s="2" t="s">
        <v>1962</v>
      </c>
    </row>
    <row r="1994" spans="1:1">
      <c r="A1994" s="2" t="s">
        <v>1963</v>
      </c>
    </row>
    <row r="1995" spans="1:1">
      <c r="A1995" s="2" t="s">
        <v>1964</v>
      </c>
    </row>
    <row r="1996" spans="1:1">
      <c r="A1996" s="2" t="s">
        <v>1965</v>
      </c>
    </row>
    <row r="1997" spans="1:1">
      <c r="A1997" s="2" t="s">
        <v>1966</v>
      </c>
    </row>
    <row r="1998" spans="1:1">
      <c r="A1998" s="2" t="s">
        <v>1967</v>
      </c>
    </row>
    <row r="1999" spans="1:1">
      <c r="A1999" s="2" t="s">
        <v>1968</v>
      </c>
    </row>
    <row r="2000" spans="1:1">
      <c r="A2000" s="2" t="s">
        <v>1969</v>
      </c>
    </row>
    <row r="2001" spans="1:1">
      <c r="A2001" s="2" t="s">
        <v>1970</v>
      </c>
    </row>
    <row r="2002" spans="1:1">
      <c r="A2002" s="2" t="s">
        <v>1971</v>
      </c>
    </row>
    <row r="2003" spans="1:1">
      <c r="A2003" s="2" t="s">
        <v>1972</v>
      </c>
    </row>
    <row r="2004" spans="1:1">
      <c r="A2004" s="2" t="s">
        <v>1973</v>
      </c>
    </row>
    <row r="2005" spans="1:1">
      <c r="A2005" s="2" t="s">
        <v>1974</v>
      </c>
    </row>
    <row r="2006" spans="1:1">
      <c r="A2006" s="2" t="s">
        <v>1975</v>
      </c>
    </row>
    <row r="2007" spans="1:1">
      <c r="A2007" s="2" t="s">
        <v>1976</v>
      </c>
    </row>
    <row r="2008" spans="1:1">
      <c r="A2008" s="2" t="s">
        <v>1977</v>
      </c>
    </row>
    <row r="2009" spans="1:1">
      <c r="A2009" s="2" t="s">
        <v>1978</v>
      </c>
    </row>
    <row r="2010" spans="1:1">
      <c r="A2010" s="2" t="s">
        <v>1979</v>
      </c>
    </row>
    <row r="2011" spans="1:1">
      <c r="A2011" s="2" t="s">
        <v>1980</v>
      </c>
    </row>
    <row r="2012" spans="1:1">
      <c r="A2012" s="2" t="s">
        <v>1981</v>
      </c>
    </row>
    <row r="2013" spans="1:1">
      <c r="A2013" s="2" t="s">
        <v>1982</v>
      </c>
    </row>
    <row r="2014" spans="1:1">
      <c r="A2014" s="2" t="s">
        <v>1983</v>
      </c>
    </row>
    <row r="2015" spans="1:1">
      <c r="A2015" s="2" t="s">
        <v>1984</v>
      </c>
    </row>
    <row r="2016" spans="1:1">
      <c r="A2016" s="2" t="s">
        <v>1985</v>
      </c>
    </row>
    <row r="2017" spans="1:1">
      <c r="A2017" s="2" t="s">
        <v>1986</v>
      </c>
    </row>
    <row r="2018" spans="1:1">
      <c r="A2018" s="2" t="s">
        <v>1987</v>
      </c>
    </row>
    <row r="2019" spans="1:1">
      <c r="A2019" s="2" t="s">
        <v>1988</v>
      </c>
    </row>
    <row r="2020" spans="1:1">
      <c r="A2020" s="2" t="s">
        <v>1989</v>
      </c>
    </row>
    <row r="2021" spans="1:1">
      <c r="A2021" s="2" t="s">
        <v>1990</v>
      </c>
    </row>
    <row r="2022" spans="1:1">
      <c r="A2022" s="2" t="s">
        <v>1991</v>
      </c>
    </row>
    <row r="2023" spans="1:1">
      <c r="A2023" s="2" t="s">
        <v>1992</v>
      </c>
    </row>
    <row r="2024" spans="1:1">
      <c r="A2024" s="2" t="s">
        <v>1993</v>
      </c>
    </row>
    <row r="2025" spans="1:1">
      <c r="A2025" s="2" t="s">
        <v>1994</v>
      </c>
    </row>
    <row r="2026" spans="1:1">
      <c r="A2026" s="2" t="s">
        <v>1995</v>
      </c>
    </row>
    <row r="2027" spans="1:1">
      <c r="A2027" s="2" t="s">
        <v>1996</v>
      </c>
    </row>
    <row r="2028" spans="1:1">
      <c r="A2028" s="2" t="s">
        <v>1997</v>
      </c>
    </row>
    <row r="2029" spans="1:1">
      <c r="A2029" s="2" t="s">
        <v>1998</v>
      </c>
    </row>
    <row r="2030" spans="1:1">
      <c r="A2030" s="2" t="s">
        <v>1999</v>
      </c>
    </row>
    <row r="2031" spans="1:1">
      <c r="A2031" s="2" t="s">
        <v>2000</v>
      </c>
    </row>
    <row r="2032" spans="1:1">
      <c r="A2032" s="2" t="s">
        <v>2001</v>
      </c>
    </row>
    <row r="2033" spans="1:1">
      <c r="A2033" s="2" t="s">
        <v>2002</v>
      </c>
    </row>
    <row r="2034" spans="1:1">
      <c r="A2034" s="2" t="s">
        <v>2003</v>
      </c>
    </row>
    <row r="2035" spans="1:1">
      <c r="A2035" s="2" t="s">
        <v>2004</v>
      </c>
    </row>
    <row r="2036" spans="1:1">
      <c r="A2036" s="2" t="s">
        <v>2005</v>
      </c>
    </row>
    <row r="2037" spans="1:1">
      <c r="A2037" s="2" t="s">
        <v>2006</v>
      </c>
    </row>
    <row r="2038" spans="1:1">
      <c r="A2038" s="2" t="s">
        <v>2007</v>
      </c>
    </row>
    <row r="2039" spans="1:1">
      <c r="A2039" s="2" t="s">
        <v>2008</v>
      </c>
    </row>
    <row r="2040" spans="1:1">
      <c r="A2040" s="2" t="s">
        <v>2009</v>
      </c>
    </row>
    <row r="2041" spans="1:1">
      <c r="A2041" s="2" t="s">
        <v>2010</v>
      </c>
    </row>
    <row r="2042" spans="1:1">
      <c r="A2042" s="2" t="s">
        <v>2011</v>
      </c>
    </row>
    <row r="2043" spans="1:1">
      <c r="A2043" s="2" t="s">
        <v>2012</v>
      </c>
    </row>
    <row r="2044" spans="1:1">
      <c r="A2044" s="2" t="s">
        <v>2013</v>
      </c>
    </row>
    <row r="2045" spans="1:1">
      <c r="A2045" s="2" t="s">
        <v>2014</v>
      </c>
    </row>
    <row r="2046" spans="1:1">
      <c r="A2046" s="2" t="s">
        <v>2015</v>
      </c>
    </row>
    <row r="2047" spans="1:1">
      <c r="A2047" s="2" t="s">
        <v>2016</v>
      </c>
    </row>
    <row r="2048" spans="1:1">
      <c r="A2048" s="2" t="s">
        <v>2017</v>
      </c>
    </row>
    <row r="2049" spans="1:1">
      <c r="A2049" s="2" t="s">
        <v>2018</v>
      </c>
    </row>
    <row r="2050" spans="1:1">
      <c r="A2050" s="2" t="s">
        <v>2019</v>
      </c>
    </row>
    <row r="2051" spans="1:1">
      <c r="A2051" s="2" t="s">
        <v>2020</v>
      </c>
    </row>
    <row r="2052" spans="1:1">
      <c r="A2052" s="2" t="s">
        <v>2021</v>
      </c>
    </row>
    <row r="2053" spans="1:1">
      <c r="A2053" s="2" t="s">
        <v>2022</v>
      </c>
    </row>
    <row r="2054" spans="1:1">
      <c r="A2054" s="2" t="s">
        <v>2023</v>
      </c>
    </row>
    <row r="2055" spans="1:1">
      <c r="A2055" s="2" t="s">
        <v>2024</v>
      </c>
    </row>
    <row r="2056" spans="1:1">
      <c r="A2056" s="2" t="s">
        <v>2025</v>
      </c>
    </row>
    <row r="2057" spans="1:1">
      <c r="A2057" s="2" t="s">
        <v>2026</v>
      </c>
    </row>
    <row r="2058" spans="1:1">
      <c r="A2058" s="2" t="s">
        <v>2027</v>
      </c>
    </row>
    <row r="2059" spans="1:1">
      <c r="A2059" s="2" t="s">
        <v>2028</v>
      </c>
    </row>
    <row r="2060" spans="1:1">
      <c r="A2060" s="2" t="s">
        <v>2029</v>
      </c>
    </row>
    <row r="2061" spans="1:1">
      <c r="A2061" s="2" t="s">
        <v>2030</v>
      </c>
    </row>
    <row r="2062" spans="1:1">
      <c r="A2062" s="2" t="s">
        <v>2031</v>
      </c>
    </row>
    <row r="2063" spans="1:1">
      <c r="A2063" s="2" t="s">
        <v>2032</v>
      </c>
    </row>
    <row r="2064" spans="1:1">
      <c r="A2064" s="2" t="s">
        <v>2033</v>
      </c>
    </row>
    <row r="2065" spans="1:1">
      <c r="A2065" s="2" t="s">
        <v>2034</v>
      </c>
    </row>
    <row r="2066" spans="1:1">
      <c r="A2066" s="2" t="s">
        <v>2035</v>
      </c>
    </row>
    <row r="2067" spans="1:1">
      <c r="A2067" s="2" t="s">
        <v>2036</v>
      </c>
    </row>
    <row r="2068" spans="1:1">
      <c r="A2068" s="2" t="s">
        <v>2037</v>
      </c>
    </row>
    <row r="2069" spans="1:1">
      <c r="A2069" s="2" t="s">
        <v>2038</v>
      </c>
    </row>
    <row r="2070" spans="1:1">
      <c r="A2070" s="2" t="s">
        <v>2039</v>
      </c>
    </row>
    <row r="2071" spans="1:1">
      <c r="A2071" s="2" t="s">
        <v>2040</v>
      </c>
    </row>
    <row r="2072" spans="1:1">
      <c r="A2072" s="2" t="s">
        <v>2041</v>
      </c>
    </row>
    <row r="2073" spans="1:1">
      <c r="A2073" s="2" t="s">
        <v>2042</v>
      </c>
    </row>
    <row r="2074" spans="1:1">
      <c r="A2074" s="2" t="s">
        <v>2043</v>
      </c>
    </row>
    <row r="2075" spans="1:1">
      <c r="A2075" s="2" t="s">
        <v>2044</v>
      </c>
    </row>
    <row r="2076" spans="1:1">
      <c r="A2076" s="2" t="s">
        <v>2045</v>
      </c>
    </row>
    <row r="2077" spans="1:1">
      <c r="A2077" s="2" t="s">
        <v>2046</v>
      </c>
    </row>
    <row r="2078" spans="1:1">
      <c r="A2078" s="2" t="s">
        <v>2047</v>
      </c>
    </row>
    <row r="2079" spans="1:1">
      <c r="A2079" s="2" t="s">
        <v>2048</v>
      </c>
    </row>
    <row r="2080" spans="1:1">
      <c r="A2080" s="2" t="s">
        <v>2049</v>
      </c>
    </row>
    <row r="2081" spans="1:1">
      <c r="A2081" s="2" t="s">
        <v>2050</v>
      </c>
    </row>
    <row r="2082" spans="1:1">
      <c r="A2082" s="2" t="s">
        <v>2051</v>
      </c>
    </row>
    <row r="2083" spans="1:1">
      <c r="A2083" s="2" t="s">
        <v>2052</v>
      </c>
    </row>
    <row r="2084" spans="1:1">
      <c r="A2084" s="2" t="s">
        <v>2053</v>
      </c>
    </row>
    <row r="2085" spans="1:1">
      <c r="A2085" s="2" t="s">
        <v>2054</v>
      </c>
    </row>
    <row r="2086" spans="1:1">
      <c r="A2086" s="2" t="s">
        <v>2055</v>
      </c>
    </row>
    <row r="2087" spans="1:1">
      <c r="A2087" s="2" t="s">
        <v>2056</v>
      </c>
    </row>
    <row r="2088" spans="1:1">
      <c r="A2088" s="2" t="s">
        <v>2057</v>
      </c>
    </row>
    <row r="2089" spans="1:1">
      <c r="A2089" s="2" t="s">
        <v>2058</v>
      </c>
    </row>
    <row r="2090" spans="1:1">
      <c r="A2090" s="2" t="s">
        <v>2059</v>
      </c>
    </row>
    <row r="2091" spans="1:1">
      <c r="A2091" s="2" t="s">
        <v>2060</v>
      </c>
    </row>
    <row r="2092" spans="1:1">
      <c r="A2092" s="2" t="s">
        <v>2061</v>
      </c>
    </row>
    <row r="2093" spans="1:1">
      <c r="A2093" s="2" t="s">
        <v>2062</v>
      </c>
    </row>
    <row r="2094" spans="1:1">
      <c r="A2094" s="2" t="s">
        <v>2063</v>
      </c>
    </row>
    <row r="2095" spans="1:1">
      <c r="A2095" s="2" t="s">
        <v>2064</v>
      </c>
    </row>
    <row r="2096" spans="1:1">
      <c r="A2096" s="2" t="s">
        <v>2065</v>
      </c>
    </row>
    <row r="2097" spans="1:1">
      <c r="A2097" s="2" t="s">
        <v>2066</v>
      </c>
    </row>
    <row r="2098" spans="1:1">
      <c r="A2098" s="2" t="s">
        <v>2067</v>
      </c>
    </row>
    <row r="2099" spans="1:1">
      <c r="A2099" s="2" t="s">
        <v>2068</v>
      </c>
    </row>
    <row r="2100" spans="1:1">
      <c r="A2100" s="2" t="s">
        <v>2069</v>
      </c>
    </row>
    <row r="2101" spans="1:1">
      <c r="A2101" s="2" t="s">
        <v>2070</v>
      </c>
    </row>
    <row r="2102" spans="1:1">
      <c r="A2102" s="2" t="s">
        <v>2071</v>
      </c>
    </row>
    <row r="2103" spans="1:1">
      <c r="A2103" s="2" t="s">
        <v>2072</v>
      </c>
    </row>
    <row r="2104" spans="1:1">
      <c r="A2104" s="2" t="s">
        <v>2073</v>
      </c>
    </row>
    <row r="2105" spans="1:1">
      <c r="A2105" s="2" t="s">
        <v>2074</v>
      </c>
    </row>
    <row r="2106" spans="1:1">
      <c r="A2106" s="2" t="s">
        <v>2075</v>
      </c>
    </row>
    <row r="2107" spans="1:1">
      <c r="A2107" s="2" t="s">
        <v>2076</v>
      </c>
    </row>
    <row r="2108" spans="1:1">
      <c r="A2108" s="2" t="s">
        <v>2077</v>
      </c>
    </row>
    <row r="2109" spans="1:1">
      <c r="A2109" s="2" t="s">
        <v>2078</v>
      </c>
    </row>
    <row r="2110" spans="1:1">
      <c r="A2110" s="2" t="s">
        <v>2079</v>
      </c>
    </row>
    <row r="2111" spans="1:1">
      <c r="A2111" s="2" t="s">
        <v>2080</v>
      </c>
    </row>
    <row r="2112" spans="1:1">
      <c r="A2112" s="2" t="s">
        <v>2081</v>
      </c>
    </row>
    <row r="2113" spans="1:1">
      <c r="A2113" s="2" t="s">
        <v>2082</v>
      </c>
    </row>
    <row r="2114" spans="1:1">
      <c r="A2114" s="2" t="s">
        <v>2083</v>
      </c>
    </row>
    <row r="2115" spans="1:1">
      <c r="A2115" s="2" t="s">
        <v>2084</v>
      </c>
    </row>
    <row r="2116" spans="1:1">
      <c r="A2116" s="2" t="s">
        <v>2085</v>
      </c>
    </row>
    <row r="2117" spans="1:1">
      <c r="A2117" s="2" t="s">
        <v>2086</v>
      </c>
    </row>
    <row r="2118" spans="1:1">
      <c r="A2118" s="2" t="s">
        <v>2087</v>
      </c>
    </row>
    <row r="2119" spans="1:1">
      <c r="A2119" s="2" t="s">
        <v>2088</v>
      </c>
    </row>
    <row r="2120" spans="1:1">
      <c r="A2120" s="2" t="s">
        <v>2089</v>
      </c>
    </row>
    <row r="2121" spans="1:1">
      <c r="A2121" s="2" t="s">
        <v>2090</v>
      </c>
    </row>
    <row r="2122" spans="1:1">
      <c r="A2122" s="2" t="s">
        <v>2091</v>
      </c>
    </row>
    <row r="2123" spans="1:1">
      <c r="A2123" s="2" t="s">
        <v>2092</v>
      </c>
    </row>
    <row r="2124" spans="1:1">
      <c r="A2124" s="2" t="s">
        <v>2093</v>
      </c>
    </row>
    <row r="2125" spans="1:1">
      <c r="A2125" s="2" t="s">
        <v>2094</v>
      </c>
    </row>
    <row r="2126" spans="1:1">
      <c r="A2126" s="2" t="s">
        <v>2095</v>
      </c>
    </row>
    <row r="2127" spans="1:1">
      <c r="A2127" s="2" t="s">
        <v>2096</v>
      </c>
    </row>
    <row r="2128" spans="1:1">
      <c r="A2128" s="2" t="s">
        <v>2097</v>
      </c>
    </row>
    <row r="2129" spans="1:1">
      <c r="A2129" s="2" t="s">
        <v>2098</v>
      </c>
    </row>
    <row r="2130" spans="1:1">
      <c r="A2130" s="2" t="s">
        <v>2099</v>
      </c>
    </row>
    <row r="2131" spans="1:1">
      <c r="A2131" s="2" t="s">
        <v>2100</v>
      </c>
    </row>
    <row r="2132" spans="1:1">
      <c r="A2132" s="2" t="s">
        <v>2101</v>
      </c>
    </row>
    <row r="2133" spans="1:1">
      <c r="A2133" s="2" t="s">
        <v>2102</v>
      </c>
    </row>
    <row r="2134" spans="1:1">
      <c r="A2134" s="2" t="s">
        <v>2103</v>
      </c>
    </row>
    <row r="2135" spans="1:1">
      <c r="A2135" s="2" t="s">
        <v>2104</v>
      </c>
    </row>
    <row r="2136" spans="1:1">
      <c r="A2136" s="2" t="s">
        <v>2105</v>
      </c>
    </row>
    <row r="2137" spans="1:1">
      <c r="A2137" s="2" t="s">
        <v>2106</v>
      </c>
    </row>
    <row r="2138" spans="1:1">
      <c r="A2138" s="2" t="s">
        <v>2107</v>
      </c>
    </row>
    <row r="2139" spans="1:1">
      <c r="A2139" s="2" t="s">
        <v>2108</v>
      </c>
    </row>
    <row r="2140" spans="1:1">
      <c r="A2140" s="2" t="s">
        <v>2109</v>
      </c>
    </row>
    <row r="2141" spans="1:1">
      <c r="A2141" s="2" t="s">
        <v>2110</v>
      </c>
    </row>
    <row r="2142" spans="1:1">
      <c r="A2142" s="2" t="s">
        <v>2111</v>
      </c>
    </row>
    <row r="2143" spans="1:1">
      <c r="A2143" s="2" t="s">
        <v>2112</v>
      </c>
    </row>
    <row r="2144" spans="1:1">
      <c r="A2144" s="2" t="s">
        <v>2113</v>
      </c>
    </row>
    <row r="2145" spans="1:1">
      <c r="A2145" s="2" t="s">
        <v>2114</v>
      </c>
    </row>
    <row r="2146" spans="1:1">
      <c r="A2146" s="2" t="s">
        <v>2115</v>
      </c>
    </row>
    <row r="2147" spans="1:1">
      <c r="A2147" s="2" t="s">
        <v>2116</v>
      </c>
    </row>
    <row r="2148" spans="1:1">
      <c r="A2148" s="2" t="s">
        <v>2117</v>
      </c>
    </row>
    <row r="2149" spans="1:1">
      <c r="A2149" s="2" t="s">
        <v>2118</v>
      </c>
    </row>
    <row r="2150" spans="1:1">
      <c r="A2150" s="2" t="s">
        <v>2119</v>
      </c>
    </row>
    <row r="2151" spans="1:1">
      <c r="A2151" s="2" t="s">
        <v>2120</v>
      </c>
    </row>
    <row r="2152" spans="1:1">
      <c r="A2152" s="2" t="s">
        <v>2121</v>
      </c>
    </row>
    <row r="2153" spans="1:1">
      <c r="A2153" s="2" t="s">
        <v>2122</v>
      </c>
    </row>
    <row r="2154" spans="1:1">
      <c r="A2154" s="1"/>
    </row>
    <row r="2155" spans="1:1">
      <c r="A2155" s="2" t="s">
        <v>2123</v>
      </c>
    </row>
    <row r="2156" spans="1:1">
      <c r="A2156" s="2" t="s">
        <v>2124</v>
      </c>
    </row>
    <row r="2157" spans="1:1">
      <c r="A2157" s="2" t="s">
        <v>2125</v>
      </c>
    </row>
    <row r="2158" spans="1:1">
      <c r="A2158" s="2" t="s">
        <v>2126</v>
      </c>
    </row>
    <row r="2159" spans="1:1">
      <c r="A2159" s="2" t="s">
        <v>2127</v>
      </c>
    </row>
    <row r="2160" spans="1:1">
      <c r="A2160" s="2" t="s">
        <v>2128</v>
      </c>
    </row>
    <row r="2161" spans="1:1">
      <c r="A2161" s="2" t="s">
        <v>2129</v>
      </c>
    </row>
    <row r="2162" spans="1:1">
      <c r="A2162" s="2" t="s">
        <v>2130</v>
      </c>
    </row>
    <row r="2163" spans="1:1">
      <c r="A2163" s="2" t="s">
        <v>2131</v>
      </c>
    </row>
    <row r="2164" spans="1:1">
      <c r="A2164" s="2" t="s">
        <v>2132</v>
      </c>
    </row>
    <row r="2165" spans="1:1">
      <c r="A2165" s="2" t="s">
        <v>2133</v>
      </c>
    </row>
    <row r="2166" spans="1:1">
      <c r="A2166" s="2" t="s">
        <v>2134</v>
      </c>
    </row>
    <row r="2167" spans="1:1">
      <c r="A2167" s="2" t="s">
        <v>2135</v>
      </c>
    </row>
    <row r="2168" spans="1:1">
      <c r="A2168" s="2" t="s">
        <v>2136</v>
      </c>
    </row>
    <row r="2169" spans="1:1">
      <c r="A2169" s="2" t="s">
        <v>2137</v>
      </c>
    </row>
    <row r="2170" spans="1:1">
      <c r="A2170" s="2" t="s">
        <v>2138</v>
      </c>
    </row>
    <row r="2171" spans="1:1">
      <c r="A2171" s="2" t="s">
        <v>2139</v>
      </c>
    </row>
    <row r="2172" spans="1:1">
      <c r="A2172" s="2" t="s">
        <v>2140</v>
      </c>
    </row>
    <row r="2173" spans="1:1">
      <c r="A2173" s="2" t="s">
        <v>2141</v>
      </c>
    </row>
    <row r="2174" spans="1:1">
      <c r="A2174" s="2" t="s">
        <v>2142</v>
      </c>
    </row>
    <row r="2175" spans="1:1">
      <c r="A2175" s="2" t="s">
        <v>2143</v>
      </c>
    </row>
    <row r="2176" spans="1:1">
      <c r="A2176" s="2" t="s">
        <v>2144</v>
      </c>
    </row>
    <row r="2177" spans="1:1">
      <c r="A2177" s="2" t="s">
        <v>2145</v>
      </c>
    </row>
    <row r="2178" spans="1:1">
      <c r="A2178" s="2" t="s">
        <v>2146</v>
      </c>
    </row>
    <row r="2179" spans="1:1">
      <c r="A2179" s="2" t="s">
        <v>2147</v>
      </c>
    </row>
    <row r="2180" spans="1:1">
      <c r="A2180" s="2" t="s">
        <v>2148</v>
      </c>
    </row>
    <row r="2181" spans="1:1">
      <c r="A2181" s="2" t="s">
        <v>2149</v>
      </c>
    </row>
    <row r="2182" spans="1:1">
      <c r="A2182" s="2" t="s">
        <v>2150</v>
      </c>
    </row>
    <row r="2183" spans="1:1">
      <c r="A2183" s="2" t="s">
        <v>2151</v>
      </c>
    </row>
    <row r="2184" spans="1:1">
      <c r="A2184" s="2" t="s">
        <v>2152</v>
      </c>
    </row>
    <row r="2185" spans="1:1">
      <c r="A2185" s="2" t="s">
        <v>2153</v>
      </c>
    </row>
    <row r="2186" spans="1:1">
      <c r="A2186" s="2" t="s">
        <v>2154</v>
      </c>
    </row>
    <row r="2187" spans="1:1">
      <c r="A2187" s="2" t="s">
        <v>2155</v>
      </c>
    </row>
    <row r="2188" spans="1:1">
      <c r="A2188" s="2" t="s">
        <v>2156</v>
      </c>
    </row>
    <row r="2189" spans="1:1">
      <c r="A2189" s="2" t="s">
        <v>2157</v>
      </c>
    </row>
    <row r="2190" spans="1:1">
      <c r="A2190" s="2" t="s">
        <v>2158</v>
      </c>
    </row>
    <row r="2191" spans="1:1">
      <c r="A2191" s="2" t="s">
        <v>2159</v>
      </c>
    </row>
    <row r="2192" spans="1:1">
      <c r="A2192" s="2" t="s">
        <v>2160</v>
      </c>
    </row>
    <row r="2193" spans="1:1">
      <c r="A2193" s="2" t="s">
        <v>2161</v>
      </c>
    </row>
    <row r="2194" spans="1:1">
      <c r="A2194" s="2" t="s">
        <v>2162</v>
      </c>
    </row>
    <row r="2195" spans="1:1">
      <c r="A2195" s="2" t="s">
        <v>2163</v>
      </c>
    </row>
    <row r="2196" spans="1:1">
      <c r="A2196" s="2" t="s">
        <v>2164</v>
      </c>
    </row>
    <row r="2197" spans="1:1">
      <c r="A2197" s="2" t="s">
        <v>2165</v>
      </c>
    </row>
    <row r="2198" spans="1:1">
      <c r="A2198" s="2" t="s">
        <v>2166</v>
      </c>
    </row>
    <row r="2199" spans="1:1">
      <c r="A2199" s="2" t="s">
        <v>2167</v>
      </c>
    </row>
    <row r="2200" spans="1:1">
      <c r="A2200" s="2" t="s">
        <v>2168</v>
      </c>
    </row>
    <row r="2201" spans="1:1">
      <c r="A2201" s="2" t="s">
        <v>2169</v>
      </c>
    </row>
    <row r="2202" spans="1:1">
      <c r="A2202" s="2" t="s">
        <v>2170</v>
      </c>
    </row>
    <row r="2203" spans="1:1">
      <c r="A2203" s="2" t="s">
        <v>2171</v>
      </c>
    </row>
    <row r="2204" spans="1:1">
      <c r="A2204" s="2" t="s">
        <v>2172</v>
      </c>
    </row>
    <row r="2205" spans="1:1">
      <c r="A2205" s="2" t="s">
        <v>2173</v>
      </c>
    </row>
    <row r="2206" spans="1:1">
      <c r="A2206" s="2" t="s">
        <v>2174</v>
      </c>
    </row>
    <row r="2207" spans="1:1">
      <c r="A2207" s="2" t="s">
        <v>2175</v>
      </c>
    </row>
    <row r="2208" spans="1:1">
      <c r="A2208" s="2" t="s">
        <v>2176</v>
      </c>
    </row>
    <row r="2209" spans="1:1">
      <c r="A2209" s="2" t="s">
        <v>2177</v>
      </c>
    </row>
    <row r="2210" spans="1:1">
      <c r="A2210" s="2" t="s">
        <v>2178</v>
      </c>
    </row>
    <row r="2211" spans="1:1">
      <c r="A2211" s="2" t="s">
        <v>2179</v>
      </c>
    </row>
    <row r="2212" spans="1:1">
      <c r="A2212" s="2" t="s">
        <v>2180</v>
      </c>
    </row>
    <row r="2213" spans="1:1">
      <c r="A2213" s="2" t="s">
        <v>2181</v>
      </c>
    </row>
    <row r="2214" spans="1:1">
      <c r="A2214" s="2" t="s">
        <v>2182</v>
      </c>
    </row>
    <row r="2215" spans="1:1">
      <c r="A2215" s="2" t="s">
        <v>2183</v>
      </c>
    </row>
    <row r="2216" spans="1:1">
      <c r="A2216" s="2" t="s">
        <v>2184</v>
      </c>
    </row>
    <row r="2217" spans="1:1">
      <c r="A2217" s="2" t="s">
        <v>2185</v>
      </c>
    </row>
    <row r="2218" spans="1:1">
      <c r="A2218" s="2" t="s">
        <v>2186</v>
      </c>
    </row>
    <row r="2219" spans="1:1">
      <c r="A2219" s="2" t="s">
        <v>2187</v>
      </c>
    </row>
    <row r="2220" spans="1:1">
      <c r="A2220" s="2" t="s">
        <v>2188</v>
      </c>
    </row>
    <row r="2221" spans="1:1">
      <c r="A2221" s="2" t="s">
        <v>2189</v>
      </c>
    </row>
    <row r="2222" spans="1:1">
      <c r="A2222" s="2" t="s">
        <v>2190</v>
      </c>
    </row>
    <row r="2223" spans="1:1">
      <c r="A2223" s="2" t="s">
        <v>2191</v>
      </c>
    </row>
    <row r="2224" spans="1:1">
      <c r="A2224" s="2" t="s">
        <v>2192</v>
      </c>
    </row>
    <row r="2225" spans="1:1">
      <c r="A2225" s="2" t="s">
        <v>2193</v>
      </c>
    </row>
    <row r="2226" spans="1:1">
      <c r="A2226" s="2" t="s">
        <v>2194</v>
      </c>
    </row>
    <row r="2227" spans="1:1">
      <c r="A2227" s="2" t="s">
        <v>2195</v>
      </c>
    </row>
    <row r="2228" spans="1:1">
      <c r="A2228" s="2" t="s">
        <v>2196</v>
      </c>
    </row>
    <row r="2229" spans="1:1">
      <c r="A2229" s="2" t="s">
        <v>2197</v>
      </c>
    </row>
    <row r="2230" spans="1:1">
      <c r="A2230" s="2" t="s">
        <v>2198</v>
      </c>
    </row>
    <row r="2231" spans="1:1">
      <c r="A2231" s="2" t="s">
        <v>2199</v>
      </c>
    </row>
    <row r="2232" spans="1:1">
      <c r="A2232" s="2" t="s">
        <v>2200</v>
      </c>
    </row>
    <row r="2233" spans="1:1">
      <c r="A2233" s="2" t="s">
        <v>2201</v>
      </c>
    </row>
    <row r="2234" spans="1:1">
      <c r="A2234" s="2" t="s">
        <v>2202</v>
      </c>
    </row>
    <row r="2235" spans="1:1">
      <c r="A2235" s="2" t="s">
        <v>2203</v>
      </c>
    </row>
    <row r="2236" spans="1:1">
      <c r="A2236" s="2" t="s">
        <v>2204</v>
      </c>
    </row>
    <row r="2237" spans="1:1">
      <c r="A2237" s="2" t="s">
        <v>2205</v>
      </c>
    </row>
    <row r="2238" spans="1:1">
      <c r="A2238" s="2" t="s">
        <v>2206</v>
      </c>
    </row>
    <row r="2239" spans="1:1">
      <c r="A2239" s="2" t="s">
        <v>2207</v>
      </c>
    </row>
    <row r="2240" spans="1:1">
      <c r="A2240" s="2" t="s">
        <v>2208</v>
      </c>
    </row>
    <row r="2241" spans="1:1">
      <c r="A2241" s="2" t="s">
        <v>2209</v>
      </c>
    </row>
    <row r="2242" spans="1:1">
      <c r="A2242" s="2" t="s">
        <v>2210</v>
      </c>
    </row>
    <row r="2243" spans="1:1">
      <c r="A2243" s="2" t="s">
        <v>2211</v>
      </c>
    </row>
    <row r="2244" spans="1:1">
      <c r="A2244" s="2" t="s">
        <v>2212</v>
      </c>
    </row>
    <row r="2245" spans="1:1">
      <c r="A2245" s="2" t="s">
        <v>2213</v>
      </c>
    </row>
    <row r="2246" spans="1:1">
      <c r="A2246" s="2" t="s">
        <v>2214</v>
      </c>
    </row>
    <row r="2247" spans="1:1">
      <c r="A2247" s="2" t="s">
        <v>2215</v>
      </c>
    </row>
    <row r="2248" spans="1:1">
      <c r="A2248" s="2" t="s">
        <v>2216</v>
      </c>
    </row>
    <row r="2249" spans="1:1">
      <c r="A2249" s="2" t="s">
        <v>2217</v>
      </c>
    </row>
    <row r="2250" spans="1:1">
      <c r="A2250" s="2" t="s">
        <v>2218</v>
      </c>
    </row>
    <row r="2251" spans="1:1">
      <c r="A2251" s="2" t="s">
        <v>2219</v>
      </c>
    </row>
    <row r="2252" spans="1:1">
      <c r="A2252" s="2" t="s">
        <v>2220</v>
      </c>
    </row>
    <row r="2253" spans="1:1">
      <c r="A2253" s="2" t="s">
        <v>2221</v>
      </c>
    </row>
    <row r="2254" spans="1:1">
      <c r="A2254" s="2" t="s">
        <v>2222</v>
      </c>
    </row>
    <row r="2255" spans="1:1">
      <c r="A2255" s="2" t="s">
        <v>2223</v>
      </c>
    </row>
    <row r="2256" spans="1:1">
      <c r="A2256" s="2" t="s">
        <v>2224</v>
      </c>
    </row>
    <row r="2257" spans="1:1">
      <c r="A2257" s="2" t="s">
        <v>2225</v>
      </c>
    </row>
    <row r="2258" spans="1:1">
      <c r="A2258" s="2" t="s">
        <v>2226</v>
      </c>
    </row>
    <row r="2259" spans="1:1">
      <c r="A2259" s="2" t="s">
        <v>2227</v>
      </c>
    </row>
    <row r="2260" spans="1:1">
      <c r="A2260" s="2" t="s">
        <v>2228</v>
      </c>
    </row>
    <row r="2261" spans="1:1">
      <c r="A2261" s="2" t="s">
        <v>2229</v>
      </c>
    </row>
    <row r="2262" spans="1:1">
      <c r="A2262" s="2" t="s">
        <v>2230</v>
      </c>
    </row>
    <row r="2263" spans="1:1">
      <c r="A2263" s="2" t="s">
        <v>2231</v>
      </c>
    </row>
    <row r="2264" spans="1:1">
      <c r="A2264" s="2" t="s">
        <v>2232</v>
      </c>
    </row>
    <row r="2265" spans="1:1">
      <c r="A2265" s="2" t="s">
        <v>2233</v>
      </c>
    </row>
    <row r="2266" spans="1:1">
      <c r="A2266" s="2" t="s">
        <v>2234</v>
      </c>
    </row>
    <row r="2267" spans="1:1">
      <c r="A2267" s="2" t="s">
        <v>2235</v>
      </c>
    </row>
    <row r="2268" spans="1:1">
      <c r="A2268" s="2" t="s">
        <v>2236</v>
      </c>
    </row>
    <row r="2269" spans="1:1">
      <c r="A2269" s="2" t="s">
        <v>2237</v>
      </c>
    </row>
    <row r="2270" spans="1:1">
      <c r="A2270" s="2" t="s">
        <v>2238</v>
      </c>
    </row>
    <row r="2271" spans="1:1">
      <c r="A2271" s="2" t="s">
        <v>2239</v>
      </c>
    </row>
    <row r="2272" spans="1:1">
      <c r="A2272" s="2" t="s">
        <v>2240</v>
      </c>
    </row>
    <row r="2273" spans="1:1">
      <c r="A2273" s="2" t="s">
        <v>2241</v>
      </c>
    </row>
    <row r="2274" spans="1:1">
      <c r="A2274" s="2" t="s">
        <v>2242</v>
      </c>
    </row>
    <row r="2275" spans="1:1">
      <c r="A2275" s="2" t="s">
        <v>2243</v>
      </c>
    </row>
    <row r="2276" spans="1:1">
      <c r="A2276" s="2" t="s">
        <v>2244</v>
      </c>
    </row>
    <row r="2277" spans="1:1">
      <c r="A2277" s="2" t="s">
        <v>2245</v>
      </c>
    </row>
    <row r="2278" spans="1:1">
      <c r="A2278" s="2" t="s">
        <v>2246</v>
      </c>
    </row>
    <row r="2279" spans="1:1">
      <c r="A2279" s="2" t="s">
        <v>2247</v>
      </c>
    </row>
    <row r="2280" spans="1:1">
      <c r="A2280" s="2" t="s">
        <v>2248</v>
      </c>
    </row>
    <row r="2281" spans="1:1">
      <c r="A2281" s="2" t="s">
        <v>2249</v>
      </c>
    </row>
    <row r="2282" spans="1:1">
      <c r="A2282" s="2" t="s">
        <v>2250</v>
      </c>
    </row>
    <row r="2283" spans="1:1">
      <c r="A2283" s="2" t="s">
        <v>2251</v>
      </c>
    </row>
    <row r="2284" spans="1:1">
      <c r="A2284" s="2" t="s">
        <v>2252</v>
      </c>
    </row>
    <row r="2285" spans="1:1">
      <c r="A2285" s="2" t="s">
        <v>2253</v>
      </c>
    </row>
    <row r="2286" spans="1:1">
      <c r="A2286" s="2" t="s">
        <v>2254</v>
      </c>
    </row>
    <row r="2287" spans="1:1">
      <c r="A2287" s="2" t="s">
        <v>2255</v>
      </c>
    </row>
    <row r="2288" spans="1:1">
      <c r="A2288" s="2" t="s">
        <v>2256</v>
      </c>
    </row>
    <row r="2289" spans="1:1">
      <c r="A2289" s="2" t="s">
        <v>2257</v>
      </c>
    </row>
    <row r="2290" spans="1:1">
      <c r="A2290" s="2" t="s">
        <v>2258</v>
      </c>
    </row>
    <row r="2291" spans="1:1">
      <c r="A2291" s="2" t="s">
        <v>2259</v>
      </c>
    </row>
    <row r="2292" spans="1:1">
      <c r="A2292" s="2" t="s">
        <v>2260</v>
      </c>
    </row>
    <row r="2293" spans="1:1">
      <c r="A2293" s="2" t="s">
        <v>2261</v>
      </c>
    </row>
    <row r="2294" spans="1:1">
      <c r="A2294" s="2" t="s">
        <v>2262</v>
      </c>
    </row>
    <row r="2295" spans="1:1">
      <c r="A2295" s="2" t="s">
        <v>2263</v>
      </c>
    </row>
    <row r="2296" spans="1:1">
      <c r="A2296" s="2" t="s">
        <v>2264</v>
      </c>
    </row>
    <row r="2297" spans="1:1">
      <c r="A2297" s="2" t="s">
        <v>2265</v>
      </c>
    </row>
    <row r="2298" spans="1:1">
      <c r="A2298" s="2" t="s">
        <v>2266</v>
      </c>
    </row>
    <row r="2299" spans="1:1">
      <c r="A2299" s="2" t="s">
        <v>2267</v>
      </c>
    </row>
    <row r="2300" spans="1:1">
      <c r="A2300" s="2" t="s">
        <v>2268</v>
      </c>
    </row>
    <row r="2301" spans="1:1">
      <c r="A2301" s="2" t="s">
        <v>2269</v>
      </c>
    </row>
    <row r="2302" spans="1:1">
      <c r="A2302" s="2" t="s">
        <v>2270</v>
      </c>
    </row>
    <row r="2303" spans="1:1">
      <c r="A2303" s="2" t="s">
        <v>2271</v>
      </c>
    </row>
    <row r="2304" spans="1:1">
      <c r="A2304" s="2" t="s">
        <v>2272</v>
      </c>
    </row>
    <row r="2305" spans="1:1">
      <c r="A2305" s="2" t="s">
        <v>2273</v>
      </c>
    </row>
    <row r="2306" spans="1:1">
      <c r="A2306" s="2" t="s">
        <v>2274</v>
      </c>
    </row>
    <row r="2307" spans="1:1">
      <c r="A2307" s="2" t="s">
        <v>2275</v>
      </c>
    </row>
    <row r="2308" spans="1:1">
      <c r="A2308" s="2" t="s">
        <v>2276</v>
      </c>
    </row>
    <row r="2309" spans="1:1">
      <c r="A2309" s="2" t="s">
        <v>2277</v>
      </c>
    </row>
    <row r="2310" spans="1:1">
      <c r="A2310" s="2" t="s">
        <v>2278</v>
      </c>
    </row>
    <row r="2311" spans="1:1">
      <c r="A2311" s="2" t="s">
        <v>2279</v>
      </c>
    </row>
    <row r="2312" spans="1:1">
      <c r="A2312" s="2" t="s">
        <v>2280</v>
      </c>
    </row>
    <row r="2313" spans="1:1">
      <c r="A2313" s="2" t="s">
        <v>2281</v>
      </c>
    </row>
    <row r="2314" spans="1:1">
      <c r="A2314" s="2" t="s">
        <v>2282</v>
      </c>
    </row>
    <row r="2315" spans="1:1">
      <c r="A2315" s="2" t="s">
        <v>2283</v>
      </c>
    </row>
    <row r="2316" spans="1:1">
      <c r="A2316" s="2" t="s">
        <v>2284</v>
      </c>
    </row>
    <row r="2317" spans="1:1">
      <c r="A2317" s="2" t="s">
        <v>2285</v>
      </c>
    </row>
    <row r="2318" spans="1:1">
      <c r="A2318" s="2" t="s">
        <v>2286</v>
      </c>
    </row>
    <row r="2319" spans="1:1">
      <c r="A2319" s="2" t="s">
        <v>2287</v>
      </c>
    </row>
    <row r="2320" spans="1:1">
      <c r="A2320" s="2" t="s">
        <v>2288</v>
      </c>
    </row>
    <row r="2321" spans="1:1">
      <c r="A2321" s="2" t="s">
        <v>2289</v>
      </c>
    </row>
    <row r="2322" spans="1:1">
      <c r="A2322" s="2" t="s">
        <v>2290</v>
      </c>
    </row>
    <row r="2323" spans="1:1">
      <c r="A2323" s="2" t="s">
        <v>2291</v>
      </c>
    </row>
    <row r="2324" spans="1:1">
      <c r="A2324" s="2" t="s">
        <v>2292</v>
      </c>
    </row>
    <row r="2325" spans="1:1">
      <c r="A2325" s="2" t="s">
        <v>2293</v>
      </c>
    </row>
    <row r="2326" spans="1:1">
      <c r="A2326" s="2" t="s">
        <v>2294</v>
      </c>
    </row>
    <row r="2327" spans="1:1">
      <c r="A2327" s="2" t="s">
        <v>2295</v>
      </c>
    </row>
    <row r="2328" spans="1:1">
      <c r="A2328" s="2" t="s">
        <v>2296</v>
      </c>
    </row>
    <row r="2329" spans="1:1">
      <c r="A2329" s="2" t="s">
        <v>2297</v>
      </c>
    </row>
    <row r="2330" spans="1:1">
      <c r="A2330" s="2" t="s">
        <v>2298</v>
      </c>
    </row>
    <row r="2331" spans="1:1">
      <c r="A2331" s="2" t="s">
        <v>2299</v>
      </c>
    </row>
    <row r="2332" spans="1:1">
      <c r="A2332" s="2" t="s">
        <v>2300</v>
      </c>
    </row>
    <row r="2333" spans="1:1">
      <c r="A2333" s="2" t="s">
        <v>2301</v>
      </c>
    </row>
    <row r="2334" spans="1:1">
      <c r="A2334" s="2" t="s">
        <v>2302</v>
      </c>
    </row>
    <row r="2335" spans="1:1">
      <c r="A2335" s="2" t="s">
        <v>2303</v>
      </c>
    </row>
    <row r="2336" spans="1:1">
      <c r="A2336" s="2" t="s">
        <v>2304</v>
      </c>
    </row>
    <row r="2337" spans="1:1">
      <c r="A2337" s="2" t="s">
        <v>2305</v>
      </c>
    </row>
    <row r="2338" spans="1:1">
      <c r="A2338" s="2" t="s">
        <v>2306</v>
      </c>
    </row>
    <row r="2339" spans="1:1">
      <c r="A2339" s="2" t="s">
        <v>2307</v>
      </c>
    </row>
    <row r="2340" spans="1:1">
      <c r="A2340" s="2" t="s">
        <v>2308</v>
      </c>
    </row>
    <row r="2341" spans="1:1">
      <c r="A2341" s="2" t="s">
        <v>2309</v>
      </c>
    </row>
    <row r="2342" spans="1:1">
      <c r="A2342" s="2" t="s">
        <v>2310</v>
      </c>
    </row>
    <row r="2343" spans="1:1">
      <c r="A2343" s="2" t="s">
        <v>2311</v>
      </c>
    </row>
    <row r="2344" spans="1:1">
      <c r="A2344" s="2" t="s">
        <v>2312</v>
      </c>
    </row>
    <row r="2345" spans="1:1">
      <c r="A2345" s="2" t="s">
        <v>2313</v>
      </c>
    </row>
    <row r="2346" spans="1:1">
      <c r="A2346" s="2" t="s">
        <v>2314</v>
      </c>
    </row>
    <row r="2347" spans="1:1">
      <c r="A2347" s="2" t="s">
        <v>2315</v>
      </c>
    </row>
    <row r="2348" spans="1:1">
      <c r="A2348" s="2" t="s">
        <v>2316</v>
      </c>
    </row>
    <row r="2349" spans="1:1">
      <c r="A2349" s="2" t="s">
        <v>2317</v>
      </c>
    </row>
    <row r="2350" spans="1:1">
      <c r="A2350" s="2" t="s">
        <v>2318</v>
      </c>
    </row>
    <row r="2351" spans="1:1">
      <c r="A2351" s="2" t="s">
        <v>2319</v>
      </c>
    </row>
    <row r="2352" spans="1:1">
      <c r="A2352" s="2" t="s">
        <v>2320</v>
      </c>
    </row>
    <row r="2353" spans="1:1">
      <c r="A2353" s="2" t="s">
        <v>2321</v>
      </c>
    </row>
    <row r="2354" spans="1:1">
      <c r="A2354" s="2" t="s">
        <v>2322</v>
      </c>
    </row>
    <row r="2355" spans="1:1">
      <c r="A2355" s="2" t="s">
        <v>2323</v>
      </c>
    </row>
    <row r="2356" spans="1:1">
      <c r="A2356" s="2" t="s">
        <v>2324</v>
      </c>
    </row>
    <row r="2357" spans="1:1">
      <c r="A2357" s="2" t="s">
        <v>2325</v>
      </c>
    </row>
    <row r="2358" spans="1:1">
      <c r="A2358" s="2" t="s">
        <v>2326</v>
      </c>
    </row>
    <row r="2359" spans="1:1">
      <c r="A2359" s="2" t="s">
        <v>2327</v>
      </c>
    </row>
    <row r="2360" spans="1:1">
      <c r="A2360" s="2" t="s">
        <v>2328</v>
      </c>
    </row>
    <row r="2361" spans="1:1">
      <c r="A2361" s="2" t="s">
        <v>2329</v>
      </c>
    </row>
    <row r="2362" spans="1:1">
      <c r="A2362" s="2" t="s">
        <v>2330</v>
      </c>
    </row>
    <row r="2363" spans="1:1">
      <c r="A2363" s="2" t="s">
        <v>2331</v>
      </c>
    </row>
    <row r="2364" spans="1:1">
      <c r="A2364" s="2" t="s">
        <v>2332</v>
      </c>
    </row>
    <row r="2365" spans="1:1">
      <c r="A2365" s="2" t="s">
        <v>2333</v>
      </c>
    </row>
    <row r="2366" spans="1:1">
      <c r="A2366" s="2" t="s">
        <v>2334</v>
      </c>
    </row>
    <row r="2367" spans="1:1">
      <c r="A2367" s="2" t="s">
        <v>2335</v>
      </c>
    </row>
    <row r="2368" spans="1:1">
      <c r="A2368" s="2" t="s">
        <v>2336</v>
      </c>
    </row>
    <row r="2369" spans="1:1">
      <c r="A2369" s="2" t="s">
        <v>2337</v>
      </c>
    </row>
    <row r="2370" spans="1:1">
      <c r="A2370" s="2" t="s">
        <v>2338</v>
      </c>
    </row>
    <row r="2371" spans="1:1">
      <c r="A2371" s="2" t="s">
        <v>2339</v>
      </c>
    </row>
    <row r="2372" spans="1:1">
      <c r="A2372" s="2" t="s">
        <v>2340</v>
      </c>
    </row>
    <row r="2373" spans="1:1">
      <c r="A2373" s="2" t="s">
        <v>2341</v>
      </c>
    </row>
    <row r="2374" spans="1:1">
      <c r="A2374" s="2" t="s">
        <v>2342</v>
      </c>
    </row>
    <row r="2375" spans="1:1">
      <c r="A2375" s="2" t="s">
        <v>2343</v>
      </c>
    </row>
    <row r="2376" spans="1:1">
      <c r="A2376" s="2" t="s">
        <v>2344</v>
      </c>
    </row>
    <row r="2377" spans="1:1">
      <c r="A2377" s="2" t="s">
        <v>2345</v>
      </c>
    </row>
    <row r="2378" spans="1:1">
      <c r="A2378" s="2" t="s">
        <v>2346</v>
      </c>
    </row>
    <row r="2379" spans="1:1">
      <c r="A2379" s="2" t="s">
        <v>2347</v>
      </c>
    </row>
    <row r="2380" spans="1:1">
      <c r="A2380" s="2" t="s">
        <v>2348</v>
      </c>
    </row>
    <row r="2381" spans="1:1">
      <c r="A2381" s="2" t="s">
        <v>2349</v>
      </c>
    </row>
    <row r="2382" spans="1:1">
      <c r="A2382" s="2" t="s">
        <v>2350</v>
      </c>
    </row>
    <row r="2383" spans="1:1">
      <c r="A2383" s="2" t="s">
        <v>2351</v>
      </c>
    </row>
    <row r="2384" spans="1:1">
      <c r="A2384" s="2" t="s">
        <v>2352</v>
      </c>
    </row>
    <row r="2385" spans="1:1">
      <c r="A2385" s="2" t="s">
        <v>2353</v>
      </c>
    </row>
    <row r="2386" spans="1:1">
      <c r="A2386" s="2" t="s">
        <v>2354</v>
      </c>
    </row>
    <row r="2387" spans="1:1">
      <c r="A2387" s="2" t="s">
        <v>2355</v>
      </c>
    </row>
    <row r="2388" spans="1:1">
      <c r="A2388" s="2" t="s">
        <v>2356</v>
      </c>
    </row>
    <row r="2389" spans="1:1">
      <c r="A2389" s="2" t="s">
        <v>2357</v>
      </c>
    </row>
    <row r="2390" spans="1:1">
      <c r="A2390" s="2" t="s">
        <v>2358</v>
      </c>
    </row>
    <row r="2391" spans="1:1">
      <c r="A2391" s="2" t="s">
        <v>2359</v>
      </c>
    </row>
    <row r="2392" spans="1:1">
      <c r="A2392" s="2" t="s">
        <v>2360</v>
      </c>
    </row>
    <row r="2393" spans="1:1">
      <c r="A2393" s="2" t="s">
        <v>2361</v>
      </c>
    </row>
    <row r="2394" spans="1:1">
      <c r="A2394" s="2" t="s">
        <v>2362</v>
      </c>
    </row>
    <row r="2395" spans="1:1">
      <c r="A2395" s="2" t="s">
        <v>2363</v>
      </c>
    </row>
    <row r="2396" spans="1:1">
      <c r="A2396" s="2" t="s">
        <v>2364</v>
      </c>
    </row>
    <row r="2397" spans="1:1">
      <c r="A2397" s="2" t="s">
        <v>2365</v>
      </c>
    </row>
    <row r="2398" spans="1:1">
      <c r="A2398" s="2" t="s">
        <v>2366</v>
      </c>
    </row>
    <row r="2399" spans="1:1">
      <c r="A2399" s="2" t="s">
        <v>2367</v>
      </c>
    </row>
    <row r="2400" spans="1:1">
      <c r="A2400" s="2" t="s">
        <v>2368</v>
      </c>
    </row>
    <row r="2401" spans="1:1">
      <c r="A2401" s="2" t="s">
        <v>2369</v>
      </c>
    </row>
    <row r="2402" spans="1:1">
      <c r="A2402" s="2" t="s">
        <v>2370</v>
      </c>
    </row>
    <row r="2403" spans="1:1">
      <c r="A2403" s="2" t="s">
        <v>2371</v>
      </c>
    </row>
    <row r="2404" spans="1:1">
      <c r="A2404" s="2" t="s">
        <v>2372</v>
      </c>
    </row>
    <row r="2405" spans="1:1">
      <c r="A2405" s="2" t="s">
        <v>2373</v>
      </c>
    </row>
    <row r="2406" spans="1:1">
      <c r="A2406" s="2" t="s">
        <v>2374</v>
      </c>
    </row>
    <row r="2407" spans="1:1">
      <c r="A2407" s="2" t="s">
        <v>2375</v>
      </c>
    </row>
    <row r="2408" spans="1:1">
      <c r="A2408" s="2" t="s">
        <v>2376</v>
      </c>
    </row>
    <row r="2409" spans="1:1">
      <c r="A2409" s="2" t="s">
        <v>2377</v>
      </c>
    </row>
    <row r="2410" spans="1:1">
      <c r="A2410" s="2" t="s">
        <v>2378</v>
      </c>
    </row>
    <row r="2411" spans="1:1">
      <c r="A2411" s="2" t="s">
        <v>2379</v>
      </c>
    </row>
    <row r="2412" spans="1:1">
      <c r="A2412" s="2" t="s">
        <v>2380</v>
      </c>
    </row>
    <row r="2413" spans="1:1">
      <c r="A2413" s="2" t="s">
        <v>2381</v>
      </c>
    </row>
    <row r="2414" spans="1:1">
      <c r="A2414" s="2" t="s">
        <v>2382</v>
      </c>
    </row>
    <row r="2415" spans="1:1">
      <c r="A2415" s="2" t="s">
        <v>2383</v>
      </c>
    </row>
    <row r="2416" spans="1:1">
      <c r="A2416" s="2" t="s">
        <v>2384</v>
      </c>
    </row>
    <row r="2417" spans="1:1">
      <c r="A2417" s="2" t="s">
        <v>2385</v>
      </c>
    </row>
    <row r="2418" spans="1:1">
      <c r="A2418" s="2" t="s">
        <v>2386</v>
      </c>
    </row>
    <row r="2419" spans="1:1">
      <c r="A2419" s="2" t="s">
        <v>2387</v>
      </c>
    </row>
    <row r="2420" spans="1:1">
      <c r="A2420" s="2" t="s">
        <v>2388</v>
      </c>
    </row>
    <row r="2421" spans="1:1">
      <c r="A2421" s="2" t="s">
        <v>2389</v>
      </c>
    </row>
    <row r="2422" spans="1:1">
      <c r="A2422" s="2" t="s">
        <v>2390</v>
      </c>
    </row>
    <row r="2423" spans="1:1">
      <c r="A2423" s="2" t="s">
        <v>2391</v>
      </c>
    </row>
    <row r="2424" spans="1:1">
      <c r="A2424" s="2" t="s">
        <v>2392</v>
      </c>
    </row>
    <row r="2425" spans="1:1">
      <c r="A2425" s="2" t="s">
        <v>2393</v>
      </c>
    </row>
    <row r="2426" spans="1:1">
      <c r="A2426" s="2" t="s">
        <v>2394</v>
      </c>
    </row>
    <row r="2427" spans="1:1">
      <c r="A2427" s="2" t="s">
        <v>2395</v>
      </c>
    </row>
    <row r="2428" spans="1:1">
      <c r="A2428" s="2" t="s">
        <v>2396</v>
      </c>
    </row>
    <row r="2429" spans="1:1">
      <c r="A2429" s="2" t="s">
        <v>2397</v>
      </c>
    </row>
    <row r="2430" spans="1:1">
      <c r="A2430" s="2" t="s">
        <v>2398</v>
      </c>
    </row>
    <row r="2431" spans="1:1">
      <c r="A2431" s="2" t="s">
        <v>2399</v>
      </c>
    </row>
    <row r="2432" spans="1:1">
      <c r="A2432" s="2" t="s">
        <v>2400</v>
      </c>
    </row>
    <row r="2433" spans="1:1">
      <c r="A2433" s="2" t="s">
        <v>2401</v>
      </c>
    </row>
    <row r="2434" spans="1:1">
      <c r="A2434" s="2" t="s">
        <v>2402</v>
      </c>
    </row>
    <row r="2435" spans="1:1">
      <c r="A2435" s="2" t="s">
        <v>2403</v>
      </c>
    </row>
    <row r="2436" spans="1:1">
      <c r="A2436" s="2" t="s">
        <v>2404</v>
      </c>
    </row>
    <row r="2437" spans="1:1">
      <c r="A2437" s="2" t="s">
        <v>2405</v>
      </c>
    </row>
    <row r="2438" spans="1:1">
      <c r="A2438" s="2" t="s">
        <v>2406</v>
      </c>
    </row>
    <row r="2439" spans="1:1">
      <c r="A2439" s="2" t="s">
        <v>2407</v>
      </c>
    </row>
    <row r="2440" spans="1:1">
      <c r="A2440" s="2" t="s">
        <v>2408</v>
      </c>
    </row>
    <row r="2441" spans="1:1">
      <c r="A2441" s="2" t="s">
        <v>2409</v>
      </c>
    </row>
    <row r="2442" spans="1:1">
      <c r="A2442" s="2" t="s">
        <v>2410</v>
      </c>
    </row>
    <row r="2443" spans="1:1">
      <c r="A2443" s="2" t="s">
        <v>2411</v>
      </c>
    </row>
    <row r="2444" spans="1:1">
      <c r="A2444" s="2" t="s">
        <v>2412</v>
      </c>
    </row>
    <row r="2445" spans="1:1">
      <c r="A2445" s="2" t="s">
        <v>2413</v>
      </c>
    </row>
    <row r="2446" spans="1:1">
      <c r="A2446" s="2" t="s">
        <v>2414</v>
      </c>
    </row>
    <row r="2447" spans="1:1">
      <c r="A2447" s="2" t="s">
        <v>2415</v>
      </c>
    </row>
    <row r="2448" spans="1:1">
      <c r="A2448" s="2" t="s">
        <v>2416</v>
      </c>
    </row>
    <row r="2449" spans="1:1">
      <c r="A2449" s="2" t="s">
        <v>2417</v>
      </c>
    </row>
    <row r="2450" spans="1:1">
      <c r="A2450" s="2" t="s">
        <v>2418</v>
      </c>
    </row>
    <row r="2451" spans="1:1">
      <c r="A2451" s="2" t="s">
        <v>2419</v>
      </c>
    </row>
    <row r="2452" spans="1:1">
      <c r="A2452" s="2" t="s">
        <v>2420</v>
      </c>
    </row>
    <row r="2453" spans="1:1">
      <c r="A2453" s="2" t="s">
        <v>2421</v>
      </c>
    </row>
    <row r="2454" spans="1:1">
      <c r="A2454" s="2" t="s">
        <v>2422</v>
      </c>
    </row>
    <row r="2455" spans="1:1">
      <c r="A2455" s="2" t="s">
        <v>2423</v>
      </c>
    </row>
    <row r="2456" spans="1:1">
      <c r="A2456" s="2" t="s">
        <v>2424</v>
      </c>
    </row>
    <row r="2457" spans="1:1">
      <c r="A2457" s="2" t="s">
        <v>2425</v>
      </c>
    </row>
    <row r="2458" spans="1:1">
      <c r="A2458" s="2" t="s">
        <v>2426</v>
      </c>
    </row>
    <row r="2459" spans="1:1">
      <c r="A2459" s="2" t="s">
        <v>2427</v>
      </c>
    </row>
    <row r="2460" spans="1:1">
      <c r="A2460" s="2" t="s">
        <v>2428</v>
      </c>
    </row>
    <row r="2461" spans="1:1">
      <c r="A2461" s="2" t="s">
        <v>2429</v>
      </c>
    </row>
    <row r="2462" spans="1:1">
      <c r="A2462" s="2" t="s">
        <v>2430</v>
      </c>
    </row>
    <row r="2463" spans="1:1">
      <c r="A2463" s="2" t="s">
        <v>2431</v>
      </c>
    </row>
    <row r="2464" spans="1:1">
      <c r="A2464" s="2" t="s">
        <v>2432</v>
      </c>
    </row>
    <row r="2465" spans="1:1">
      <c r="A2465" s="2" t="s">
        <v>2433</v>
      </c>
    </row>
    <row r="2466" spans="1:1">
      <c r="A2466" s="2" t="s">
        <v>2434</v>
      </c>
    </row>
    <row r="2467" spans="1:1">
      <c r="A2467" s="2" t="s">
        <v>2435</v>
      </c>
    </row>
    <row r="2468" spans="1:1">
      <c r="A2468" s="2" t="s">
        <v>2436</v>
      </c>
    </row>
    <row r="2469" spans="1:1">
      <c r="A2469" s="2" t="s">
        <v>2437</v>
      </c>
    </row>
    <row r="2470" spans="1:1">
      <c r="A2470" s="2" t="s">
        <v>2438</v>
      </c>
    </row>
    <row r="2471" spans="1:1">
      <c r="A2471" s="2" t="s">
        <v>2439</v>
      </c>
    </row>
    <row r="2472" spans="1:1">
      <c r="A2472" s="2" t="s">
        <v>2440</v>
      </c>
    </row>
    <row r="2473" spans="1:1">
      <c r="A2473" s="2" t="s">
        <v>2441</v>
      </c>
    </row>
    <row r="2474" spans="1:1">
      <c r="A2474" s="2" t="s">
        <v>2442</v>
      </c>
    </row>
    <row r="2475" spans="1:1">
      <c r="A2475" s="2" t="s">
        <v>2443</v>
      </c>
    </row>
    <row r="2476" spans="1:1">
      <c r="A2476" s="2" t="s">
        <v>2444</v>
      </c>
    </row>
    <row r="2477" spans="1:1">
      <c r="A2477" s="2" t="s">
        <v>2445</v>
      </c>
    </row>
    <row r="2478" spans="1:1">
      <c r="A2478" s="2" t="s">
        <v>2446</v>
      </c>
    </row>
    <row r="2479" spans="1:1">
      <c r="A2479" s="2" t="s">
        <v>2447</v>
      </c>
    </row>
    <row r="2480" spans="1:1">
      <c r="A2480" s="2" t="s">
        <v>2448</v>
      </c>
    </row>
    <row r="2481" spans="1:1">
      <c r="A2481" s="2" t="s">
        <v>2449</v>
      </c>
    </row>
    <row r="2482" spans="1:1">
      <c r="A2482" s="2" t="s">
        <v>2450</v>
      </c>
    </row>
    <row r="2483" spans="1:1">
      <c r="A2483" s="2" t="s">
        <v>2451</v>
      </c>
    </row>
    <row r="2484" spans="1:1">
      <c r="A2484" s="2" t="s">
        <v>2452</v>
      </c>
    </row>
    <row r="2485" spans="1:1">
      <c r="A2485" s="2" t="s">
        <v>2453</v>
      </c>
    </row>
    <row r="2486" spans="1:1">
      <c r="A2486" s="2" t="s">
        <v>2454</v>
      </c>
    </row>
    <row r="2487" spans="1:1">
      <c r="A2487" s="2" t="s">
        <v>2455</v>
      </c>
    </row>
    <row r="2488" spans="1:1">
      <c r="A2488" s="2" t="s">
        <v>2456</v>
      </c>
    </row>
    <row r="2489" spans="1:1">
      <c r="A2489" s="2" t="s">
        <v>2457</v>
      </c>
    </row>
    <row r="2490" spans="1:1">
      <c r="A2490" s="2" t="s">
        <v>2458</v>
      </c>
    </row>
    <row r="2491" spans="1:1">
      <c r="A2491" s="2" t="s">
        <v>2459</v>
      </c>
    </row>
    <row r="2492" spans="1:1">
      <c r="A2492" s="2" t="s">
        <v>2460</v>
      </c>
    </row>
    <row r="2493" spans="1:1">
      <c r="A2493" s="2" t="s">
        <v>2461</v>
      </c>
    </row>
    <row r="2494" spans="1:1">
      <c r="A2494" s="2" t="s">
        <v>2462</v>
      </c>
    </row>
    <row r="2495" spans="1:1">
      <c r="A2495" s="2" t="s">
        <v>2463</v>
      </c>
    </row>
    <row r="2496" spans="1:1">
      <c r="A2496" s="2" t="s">
        <v>2464</v>
      </c>
    </row>
    <row r="2497" spans="1:1">
      <c r="A2497" s="2" t="s">
        <v>2465</v>
      </c>
    </row>
    <row r="2498" spans="1:1">
      <c r="A2498" s="2" t="s">
        <v>2466</v>
      </c>
    </row>
    <row r="2499" spans="1:1">
      <c r="A2499" s="2" t="s">
        <v>2467</v>
      </c>
    </row>
    <row r="2500" spans="1:1">
      <c r="A2500" s="2" t="s">
        <v>2468</v>
      </c>
    </row>
    <row r="2501" spans="1:1">
      <c r="A2501" s="2" t="s">
        <v>2469</v>
      </c>
    </row>
    <row r="2502" spans="1:1">
      <c r="A2502" s="2" t="s">
        <v>2470</v>
      </c>
    </row>
    <row r="2503" spans="1:1">
      <c r="A2503" s="2" t="s">
        <v>2471</v>
      </c>
    </row>
    <row r="2504" spans="1:1">
      <c r="A2504" s="2" t="s">
        <v>2472</v>
      </c>
    </row>
    <row r="2505" spans="1:1">
      <c r="A2505" s="2" t="s">
        <v>2473</v>
      </c>
    </row>
    <row r="2506" spans="1:1">
      <c r="A2506" s="2" t="s">
        <v>2474</v>
      </c>
    </row>
    <row r="2507" spans="1:1">
      <c r="A2507" s="2" t="s">
        <v>2475</v>
      </c>
    </row>
    <row r="2508" spans="1:1">
      <c r="A2508" s="2" t="s">
        <v>2476</v>
      </c>
    </row>
    <row r="2509" spans="1:1">
      <c r="A2509" s="2" t="s">
        <v>2477</v>
      </c>
    </row>
    <row r="2510" spans="1:1">
      <c r="A2510" s="2" t="s">
        <v>2478</v>
      </c>
    </row>
    <row r="2511" spans="1:1">
      <c r="A2511" s="2" t="s">
        <v>2479</v>
      </c>
    </row>
    <row r="2512" spans="1:1">
      <c r="A2512" s="2" t="s">
        <v>2480</v>
      </c>
    </row>
    <row r="2513" spans="1:1">
      <c r="A2513" s="2" t="s">
        <v>2481</v>
      </c>
    </row>
    <row r="2514" spans="1:1">
      <c r="A2514" s="2" t="s">
        <v>2482</v>
      </c>
    </row>
    <row r="2515" spans="1:1">
      <c r="A2515" s="2" t="s">
        <v>2483</v>
      </c>
    </row>
    <row r="2516" spans="1:1">
      <c r="A2516" s="2" t="s">
        <v>2484</v>
      </c>
    </row>
    <row r="2517" spans="1:1">
      <c r="A2517" s="2" t="s">
        <v>2485</v>
      </c>
    </row>
    <row r="2518" spans="1:1">
      <c r="A2518" s="2" t="s">
        <v>2486</v>
      </c>
    </row>
    <row r="2519" spans="1:1">
      <c r="A2519" s="2" t="s">
        <v>2487</v>
      </c>
    </row>
    <row r="2520" spans="1:1">
      <c r="A2520" s="2" t="s">
        <v>2488</v>
      </c>
    </row>
    <row r="2521" spans="1:1">
      <c r="A2521" s="2" t="s">
        <v>2489</v>
      </c>
    </row>
    <row r="2522" spans="1:1">
      <c r="A2522" s="2" t="s">
        <v>2490</v>
      </c>
    </row>
    <row r="2523" spans="1:1">
      <c r="A2523" s="2" t="s">
        <v>2491</v>
      </c>
    </row>
    <row r="2524" spans="1:1">
      <c r="A2524" s="2" t="s">
        <v>2492</v>
      </c>
    </row>
    <row r="2525" spans="1:1">
      <c r="A2525" s="2" t="s">
        <v>2493</v>
      </c>
    </row>
    <row r="2526" spans="1:1">
      <c r="A2526" s="2" t="s">
        <v>2494</v>
      </c>
    </row>
    <row r="2527" spans="1:1">
      <c r="A2527" s="2" t="s">
        <v>2495</v>
      </c>
    </row>
    <row r="2528" spans="1:1">
      <c r="A2528" s="2" t="s">
        <v>2496</v>
      </c>
    </row>
    <row r="2529" spans="1:1">
      <c r="A2529" s="2" t="s">
        <v>2497</v>
      </c>
    </row>
    <row r="2530" spans="1:1">
      <c r="A2530" s="2" t="s">
        <v>2498</v>
      </c>
    </row>
    <row r="2531" spans="1:1">
      <c r="A2531" s="2" t="s">
        <v>2499</v>
      </c>
    </row>
    <row r="2532" spans="1:1">
      <c r="A2532" s="2" t="s">
        <v>2500</v>
      </c>
    </row>
    <row r="2533" spans="1:1">
      <c r="A2533" s="2" t="s">
        <v>2501</v>
      </c>
    </row>
    <row r="2534" spans="1:1">
      <c r="A2534" s="2" t="s">
        <v>2502</v>
      </c>
    </row>
    <row r="2535" spans="1:1">
      <c r="A2535" s="2" t="s">
        <v>2503</v>
      </c>
    </row>
    <row r="2536" spans="1:1">
      <c r="A2536" s="2" t="s">
        <v>2504</v>
      </c>
    </row>
    <row r="2537" spans="1:1">
      <c r="A2537" s="2" t="s">
        <v>2505</v>
      </c>
    </row>
    <row r="2538" spans="1:1">
      <c r="A2538" s="2" t="s">
        <v>2506</v>
      </c>
    </row>
    <row r="2539" spans="1:1">
      <c r="A2539" s="2" t="s">
        <v>2507</v>
      </c>
    </row>
    <row r="2540" spans="1:1">
      <c r="A2540" s="2" t="s">
        <v>2508</v>
      </c>
    </row>
    <row r="2541" spans="1:1">
      <c r="A2541" s="2" t="s">
        <v>2509</v>
      </c>
    </row>
    <row r="2542" spans="1:1">
      <c r="A2542" s="2" t="s">
        <v>2510</v>
      </c>
    </row>
    <row r="2543" spans="1:1">
      <c r="A2543" s="2" t="s">
        <v>2511</v>
      </c>
    </row>
    <row r="2544" spans="1:1">
      <c r="A2544" s="2" t="s">
        <v>2512</v>
      </c>
    </row>
    <row r="2545" spans="1:1">
      <c r="A2545" s="2" t="s">
        <v>2513</v>
      </c>
    </row>
    <row r="2546" spans="1:1">
      <c r="A2546" s="2" t="s">
        <v>2514</v>
      </c>
    </row>
    <row r="2547" spans="1:1">
      <c r="A2547" s="2" t="s">
        <v>2515</v>
      </c>
    </row>
    <row r="2548" spans="1:1">
      <c r="A2548" s="2" t="s">
        <v>2516</v>
      </c>
    </row>
    <row r="2549" spans="1:1">
      <c r="A2549" s="2" t="s">
        <v>2517</v>
      </c>
    </row>
    <row r="2550" spans="1:1">
      <c r="A2550" s="2" t="s">
        <v>2518</v>
      </c>
    </row>
    <row r="2551" spans="1:1">
      <c r="A2551" s="1"/>
    </row>
    <row r="2552" spans="1:1">
      <c r="A2552" s="2" t="s">
        <v>2519</v>
      </c>
    </row>
    <row r="2553" spans="1:1">
      <c r="A2553" s="2" t="s">
        <v>2520</v>
      </c>
    </row>
    <row r="2554" spans="1:1">
      <c r="A2554" s="2" t="s">
        <v>2521</v>
      </c>
    </row>
    <row r="2555" spans="1:1">
      <c r="A2555" s="2" t="s">
        <v>2522</v>
      </c>
    </row>
    <row r="2556" spans="1:1">
      <c r="A2556" s="2" t="s">
        <v>2523</v>
      </c>
    </row>
    <row r="2557" spans="1:1">
      <c r="A2557" s="2" t="s">
        <v>2524</v>
      </c>
    </row>
    <row r="2558" spans="1:1">
      <c r="A2558" s="2" t="s">
        <v>2525</v>
      </c>
    </row>
    <row r="2559" spans="1:1">
      <c r="A2559" s="2" t="s">
        <v>2526</v>
      </c>
    </row>
    <row r="2560" spans="1:1">
      <c r="A2560" s="2" t="s">
        <v>2527</v>
      </c>
    </row>
    <row r="2561" spans="1:1">
      <c r="A2561" s="2" t="s">
        <v>2528</v>
      </c>
    </row>
    <row r="2562" spans="1:1">
      <c r="A2562" s="2" t="s">
        <v>2529</v>
      </c>
    </row>
    <row r="2563" spans="1:1">
      <c r="A2563" s="2" t="s">
        <v>2530</v>
      </c>
    </row>
    <row r="2564" spans="1:1">
      <c r="A2564" s="2" t="s">
        <v>2531</v>
      </c>
    </row>
    <row r="2565" spans="1:1">
      <c r="A2565" s="2" t="s">
        <v>2532</v>
      </c>
    </row>
    <row r="2566" spans="1:1">
      <c r="A2566" s="2" t="s">
        <v>2533</v>
      </c>
    </row>
    <row r="2567" spans="1:1">
      <c r="A2567" s="2" t="s">
        <v>2534</v>
      </c>
    </row>
    <row r="2568" spans="1:1">
      <c r="A2568" s="2" t="s">
        <v>2535</v>
      </c>
    </row>
    <row r="2569" spans="1:1">
      <c r="A2569" s="2" t="s">
        <v>2536</v>
      </c>
    </row>
    <row r="2570" spans="1:1">
      <c r="A2570" s="2" t="s">
        <v>2537</v>
      </c>
    </row>
    <row r="2571" spans="1:1">
      <c r="A2571" s="2" t="s">
        <v>2538</v>
      </c>
    </row>
    <row r="2572" spans="1:1">
      <c r="A2572" s="2" t="s">
        <v>2539</v>
      </c>
    </row>
    <row r="2573" spans="1:1">
      <c r="A2573" s="2" t="s">
        <v>2540</v>
      </c>
    </row>
    <row r="2574" spans="1:1">
      <c r="A2574" s="2" t="s">
        <v>2541</v>
      </c>
    </row>
    <row r="2575" spans="1:1">
      <c r="A2575" s="2" t="s">
        <v>2542</v>
      </c>
    </row>
    <row r="2576" spans="1:1">
      <c r="A2576" s="2" t="s">
        <v>2543</v>
      </c>
    </row>
    <row r="2577" spans="1:1">
      <c r="A2577" s="2" t="s">
        <v>2544</v>
      </c>
    </row>
    <row r="2578" spans="1:1">
      <c r="A2578" s="2" t="s">
        <v>2545</v>
      </c>
    </row>
    <row r="2579" spans="1:1">
      <c r="A2579" s="2" t="s">
        <v>2546</v>
      </c>
    </row>
    <row r="2580" spans="1:1">
      <c r="A2580" s="2" t="s">
        <v>2547</v>
      </c>
    </row>
    <row r="2581" spans="1:1">
      <c r="A2581" s="2" t="s">
        <v>2548</v>
      </c>
    </row>
    <row r="2582" spans="1:1">
      <c r="A2582" s="2" t="s">
        <v>2549</v>
      </c>
    </row>
    <row r="2583" spans="1:1">
      <c r="A2583" s="2" t="s">
        <v>2550</v>
      </c>
    </row>
    <row r="2584" spans="1:1">
      <c r="A2584" s="2" t="s">
        <v>2551</v>
      </c>
    </row>
    <row r="2585" spans="1:1">
      <c r="A2585" s="2" t="s">
        <v>2552</v>
      </c>
    </row>
    <row r="2586" spans="1:1">
      <c r="A2586" s="2" t="s">
        <v>2553</v>
      </c>
    </row>
    <row r="2587" spans="1:1">
      <c r="A2587" s="2" t="s">
        <v>2554</v>
      </c>
    </row>
    <row r="2588" spans="1:1">
      <c r="A2588" s="2" t="s">
        <v>2555</v>
      </c>
    </row>
    <row r="2589" spans="1:1">
      <c r="A2589" s="2" t="s">
        <v>2556</v>
      </c>
    </row>
    <row r="2590" spans="1:1">
      <c r="A2590" s="2" t="s">
        <v>2557</v>
      </c>
    </row>
    <row r="2591" spans="1:1">
      <c r="A2591" s="2" t="s">
        <v>2558</v>
      </c>
    </row>
    <row r="2592" spans="1:1">
      <c r="A2592" s="2" t="s">
        <v>2559</v>
      </c>
    </row>
    <row r="2593" spans="1:1">
      <c r="A2593" s="2" t="s">
        <v>2560</v>
      </c>
    </row>
    <row r="2594" spans="1:1">
      <c r="A2594" s="2" t="s">
        <v>2561</v>
      </c>
    </row>
    <row r="2595" spans="1:1">
      <c r="A2595" s="1"/>
    </row>
    <row r="2596" spans="1:1">
      <c r="A2596" s="2" t="s">
        <v>2562</v>
      </c>
    </row>
    <row r="2597" spans="1:1">
      <c r="A2597" s="2" t="s">
        <v>2563</v>
      </c>
    </row>
    <row r="2598" spans="1:1">
      <c r="A2598" s="2" t="s">
        <v>2564</v>
      </c>
    </row>
    <row r="2599" spans="1:1">
      <c r="A2599" s="2" t="s">
        <v>2565</v>
      </c>
    </row>
    <row r="2600" spans="1:1">
      <c r="A2600" s="2" t="s">
        <v>2566</v>
      </c>
    </row>
    <row r="2601" spans="1:1">
      <c r="A2601" s="2" t="s">
        <v>2567</v>
      </c>
    </row>
    <row r="2602" spans="1:1">
      <c r="A2602" s="2" t="s">
        <v>2568</v>
      </c>
    </row>
    <row r="2603" spans="1:1">
      <c r="A2603" s="2" t="s">
        <v>2569</v>
      </c>
    </row>
    <row r="2604" spans="1:1">
      <c r="A2604" s="2" t="s">
        <v>2570</v>
      </c>
    </row>
    <row r="2605" spans="1:1">
      <c r="A2605" s="2" t="s">
        <v>2571</v>
      </c>
    </row>
    <row r="2606" spans="1:1">
      <c r="A2606" s="2" t="s">
        <v>2572</v>
      </c>
    </row>
    <row r="2607" spans="1:1">
      <c r="A2607" s="2" t="s">
        <v>2573</v>
      </c>
    </row>
    <row r="2608" spans="1:1">
      <c r="A2608" s="2" t="s">
        <v>2574</v>
      </c>
    </row>
    <row r="2609" spans="1:1">
      <c r="A2609" s="2" t="s">
        <v>2575</v>
      </c>
    </row>
    <row r="2610" spans="1:1">
      <c r="A2610" s="2" t="s">
        <v>2576</v>
      </c>
    </row>
    <row r="2611" spans="1:1">
      <c r="A2611" s="2" t="s">
        <v>2577</v>
      </c>
    </row>
    <row r="2612" spans="1:1">
      <c r="A2612" s="2" t="s">
        <v>2578</v>
      </c>
    </row>
    <row r="2613" spans="1:1">
      <c r="A2613" s="2" t="s">
        <v>2579</v>
      </c>
    </row>
    <row r="2614" spans="1:1">
      <c r="A2614" s="2" t="s">
        <v>2580</v>
      </c>
    </row>
    <row r="2615" spans="1:1">
      <c r="A2615" s="2" t="s">
        <v>2581</v>
      </c>
    </row>
    <row r="2616" spans="1:1">
      <c r="A2616" s="2" t="s">
        <v>2582</v>
      </c>
    </row>
    <row r="2617" spans="1:1">
      <c r="A2617" s="2" t="s">
        <v>2583</v>
      </c>
    </row>
    <row r="2618" spans="1:1">
      <c r="A2618" s="2" t="s">
        <v>2584</v>
      </c>
    </row>
    <row r="2619" spans="1:1">
      <c r="A2619" s="2" t="s">
        <v>2585</v>
      </c>
    </row>
    <row r="2620" spans="1:1">
      <c r="A2620" s="2" t="s">
        <v>2586</v>
      </c>
    </row>
    <row r="2621" spans="1:1">
      <c r="A2621" s="2" t="s">
        <v>2587</v>
      </c>
    </row>
    <row r="2622" spans="1:1">
      <c r="A2622" s="2" t="s">
        <v>2588</v>
      </c>
    </row>
    <row r="2623" spans="1:1">
      <c r="A2623" s="2" t="s">
        <v>2589</v>
      </c>
    </row>
    <row r="2624" spans="1:1">
      <c r="A2624" s="2" t="s">
        <v>2590</v>
      </c>
    </row>
    <row r="2625" spans="1:1">
      <c r="A2625" s="2" t="s">
        <v>2591</v>
      </c>
    </row>
    <row r="2626" spans="1:1">
      <c r="A2626" s="2" t="s">
        <v>2592</v>
      </c>
    </row>
    <row r="2627" spans="1:1">
      <c r="A2627" s="2" t="s">
        <v>2593</v>
      </c>
    </row>
    <row r="2628" spans="1:1">
      <c r="A2628" s="2" t="s">
        <v>2594</v>
      </c>
    </row>
    <row r="2629" spans="1:1">
      <c r="A2629" s="2" t="s">
        <v>2595</v>
      </c>
    </row>
    <row r="2630" spans="1:1">
      <c r="A2630" s="2" t="s">
        <v>2596</v>
      </c>
    </row>
    <row r="2631" spans="1:1">
      <c r="A2631" s="2" t="s">
        <v>2597</v>
      </c>
    </row>
    <row r="2632" spans="1:1">
      <c r="A2632" s="2" t="s">
        <v>2598</v>
      </c>
    </row>
    <row r="2633" spans="1:1">
      <c r="A2633" s="2" t="s">
        <v>2599</v>
      </c>
    </row>
    <row r="2634" spans="1:1">
      <c r="A2634" s="2" t="s">
        <v>2600</v>
      </c>
    </row>
    <row r="2635" spans="1:1">
      <c r="A2635" s="2" t="s">
        <v>2601</v>
      </c>
    </row>
    <row r="2636" spans="1:1">
      <c r="A2636" s="2" t="s">
        <v>2602</v>
      </c>
    </row>
    <row r="2637" spans="1:1">
      <c r="A2637" s="2" t="s">
        <v>2603</v>
      </c>
    </row>
    <row r="2638" spans="1:1">
      <c r="A2638" s="2" t="s">
        <v>2604</v>
      </c>
    </row>
    <row r="2639" spans="1:1">
      <c r="A2639" s="2" t="s">
        <v>2605</v>
      </c>
    </row>
    <row r="2640" spans="1:1">
      <c r="A2640" s="2" t="s">
        <v>2606</v>
      </c>
    </row>
    <row r="2641" spans="1:1">
      <c r="A2641" s="2" t="s">
        <v>2607</v>
      </c>
    </row>
    <row r="2642" spans="1:1">
      <c r="A2642" s="2" t="s">
        <v>2608</v>
      </c>
    </row>
    <row r="2643" spans="1:1">
      <c r="A2643" s="2" t="s">
        <v>2609</v>
      </c>
    </row>
    <row r="2644" spans="1:1">
      <c r="A2644" s="2" t="s">
        <v>2610</v>
      </c>
    </row>
    <row r="2645" spans="1:1">
      <c r="A2645" s="2" t="s">
        <v>2611</v>
      </c>
    </row>
    <row r="2646" spans="1:1">
      <c r="A2646" s="2" t="s">
        <v>2612</v>
      </c>
    </row>
    <row r="2647" spans="1:1">
      <c r="A2647" s="2" t="s">
        <v>2613</v>
      </c>
    </row>
    <row r="2648" spans="1:1">
      <c r="A2648" s="2" t="s">
        <v>2614</v>
      </c>
    </row>
    <row r="2649" spans="1:1">
      <c r="A2649" s="2" t="s">
        <v>2615</v>
      </c>
    </row>
    <row r="2650" spans="1:1">
      <c r="A2650" s="2" t="s">
        <v>2616</v>
      </c>
    </row>
    <row r="2651" spans="1:1">
      <c r="A2651" s="2" t="s">
        <v>2617</v>
      </c>
    </row>
    <row r="2652" spans="1:1">
      <c r="A2652" s="2" t="s">
        <v>2618</v>
      </c>
    </row>
    <row r="2653" spans="1:1">
      <c r="A2653" s="2" t="s">
        <v>2619</v>
      </c>
    </row>
    <row r="2654" spans="1:1">
      <c r="A2654" s="2" t="s">
        <v>2620</v>
      </c>
    </row>
    <row r="2655" spans="1:1">
      <c r="A2655" s="2" t="s">
        <v>2621</v>
      </c>
    </row>
    <row r="2656" spans="1:1">
      <c r="A2656" s="2" t="s">
        <v>2622</v>
      </c>
    </row>
    <row r="2657" spans="1:1">
      <c r="A2657" s="2" t="s">
        <v>2623</v>
      </c>
    </row>
    <row r="2658" spans="1:1">
      <c r="A2658" s="2" t="s">
        <v>2624</v>
      </c>
    </row>
    <row r="2659" spans="1:1">
      <c r="A2659" s="2" t="s">
        <v>2625</v>
      </c>
    </row>
    <row r="2660" spans="1:1">
      <c r="A2660" s="2" t="s">
        <v>2626</v>
      </c>
    </row>
    <row r="2661" spans="1:1">
      <c r="A2661" s="2" t="s">
        <v>2627</v>
      </c>
    </row>
    <row r="2662" spans="1:1">
      <c r="A2662" s="2" t="s">
        <v>2628</v>
      </c>
    </row>
    <row r="2663" spans="1:1">
      <c r="A2663" s="2" t="s">
        <v>2629</v>
      </c>
    </row>
    <row r="2664" spans="1:1">
      <c r="A2664" s="2" t="s">
        <v>2630</v>
      </c>
    </row>
    <row r="2665" spans="1:1">
      <c r="A2665" s="2" t="s">
        <v>2631</v>
      </c>
    </row>
    <row r="2666" spans="1:1">
      <c r="A2666" s="2" t="s">
        <v>2632</v>
      </c>
    </row>
    <row r="2667" spans="1:1">
      <c r="A2667" s="2" t="s">
        <v>2633</v>
      </c>
    </row>
    <row r="2668" spans="1:1">
      <c r="A2668" s="2" t="s">
        <v>2634</v>
      </c>
    </row>
    <row r="2669" spans="1:1">
      <c r="A2669" s="2" t="s">
        <v>2635</v>
      </c>
    </row>
    <row r="2670" spans="1:1">
      <c r="A2670" s="2" t="s">
        <v>2636</v>
      </c>
    </row>
    <row r="2671" spans="1:1">
      <c r="A2671" s="2" t="s">
        <v>2637</v>
      </c>
    </row>
    <row r="2672" spans="1:1">
      <c r="A2672" s="2" t="s">
        <v>2638</v>
      </c>
    </row>
    <row r="2673" spans="1:1">
      <c r="A2673" s="2" t="s">
        <v>2639</v>
      </c>
    </row>
    <row r="2674" spans="1:1">
      <c r="A2674" s="2" t="s">
        <v>2640</v>
      </c>
    </row>
    <row r="2675" spans="1:1">
      <c r="A2675" s="2" t="s">
        <v>2641</v>
      </c>
    </row>
    <row r="2676" spans="1:1">
      <c r="A2676" s="2" t="s">
        <v>2642</v>
      </c>
    </row>
    <row r="2677" spans="1:1">
      <c r="A2677" s="2" t="s">
        <v>2643</v>
      </c>
    </row>
    <row r="2678" spans="1:1">
      <c r="A2678" s="2" t="s">
        <v>2644</v>
      </c>
    </row>
    <row r="2679" spans="1:1">
      <c r="A2679" s="2" t="s">
        <v>2645</v>
      </c>
    </row>
    <row r="2680" spans="1:1">
      <c r="A2680" s="2" t="s">
        <v>2646</v>
      </c>
    </row>
    <row r="2681" spans="1:1">
      <c r="A2681" s="2" t="s">
        <v>2647</v>
      </c>
    </row>
    <row r="2682" spans="1:1">
      <c r="A2682" s="2" t="s">
        <v>2648</v>
      </c>
    </row>
    <row r="2683" spans="1:1">
      <c r="A2683" s="2" t="s">
        <v>2649</v>
      </c>
    </row>
    <row r="2684" spans="1:1">
      <c r="A2684" s="2" t="s">
        <v>2650</v>
      </c>
    </row>
    <row r="2685" spans="1:1">
      <c r="A2685" s="2" t="s">
        <v>2651</v>
      </c>
    </row>
    <row r="2686" spans="1:1">
      <c r="A2686" s="2" t="s">
        <v>2652</v>
      </c>
    </row>
    <row r="2687" spans="1:1">
      <c r="A2687" s="2" t="s">
        <v>2653</v>
      </c>
    </row>
    <row r="2688" spans="1:1">
      <c r="A2688" s="2" t="s">
        <v>2654</v>
      </c>
    </row>
    <row r="2689" spans="1:1">
      <c r="A2689" s="2" t="s">
        <v>2655</v>
      </c>
    </row>
    <row r="2690" spans="1:1">
      <c r="A2690" s="2" t="s">
        <v>2656</v>
      </c>
    </row>
    <row r="2691" spans="1:1">
      <c r="A2691" s="2" t="s">
        <v>2657</v>
      </c>
    </row>
    <row r="2692" spans="1:1">
      <c r="A2692" s="2" t="s">
        <v>2658</v>
      </c>
    </row>
    <row r="2693" spans="1:1">
      <c r="A2693" s="2" t="s">
        <v>2659</v>
      </c>
    </row>
    <row r="2694" spans="1:1">
      <c r="A2694" s="2" t="s">
        <v>2660</v>
      </c>
    </row>
    <row r="2695" spans="1:1">
      <c r="A2695" s="2" t="s">
        <v>2661</v>
      </c>
    </row>
    <row r="2696" spans="1:1">
      <c r="A2696" s="2" t="s">
        <v>2662</v>
      </c>
    </row>
    <row r="2697" spans="1:1">
      <c r="A2697" s="2" t="s">
        <v>2663</v>
      </c>
    </row>
    <row r="2698" spans="1:1">
      <c r="A2698" s="2" t="s">
        <v>2664</v>
      </c>
    </row>
    <row r="2699" spans="1:1">
      <c r="A2699" s="2" t="s">
        <v>2665</v>
      </c>
    </row>
    <row r="2700" spans="1:1">
      <c r="A2700" s="2" t="s">
        <v>2666</v>
      </c>
    </row>
    <row r="2701" spans="1:1">
      <c r="A2701" s="2" t="s">
        <v>2667</v>
      </c>
    </row>
    <row r="2702" spans="1:1">
      <c r="A2702" s="2" t="s">
        <v>2668</v>
      </c>
    </row>
    <row r="2703" spans="1:1">
      <c r="A2703" s="2" t="s">
        <v>2669</v>
      </c>
    </row>
    <row r="2704" spans="1:1">
      <c r="A2704" s="2" t="s">
        <v>2670</v>
      </c>
    </row>
    <row r="2705" spans="1:1">
      <c r="A2705" s="2" t="s">
        <v>2671</v>
      </c>
    </row>
    <row r="2706" spans="1:1">
      <c r="A2706" s="2" t="s">
        <v>2672</v>
      </c>
    </row>
    <row r="2707" spans="1:1">
      <c r="A2707" s="2" t="s">
        <v>2673</v>
      </c>
    </row>
    <row r="2708" spans="1:1">
      <c r="A2708" s="2" t="s">
        <v>2674</v>
      </c>
    </row>
    <row r="2709" spans="1:1">
      <c r="A2709" s="2" t="s">
        <v>2675</v>
      </c>
    </row>
    <row r="2710" spans="1:1">
      <c r="A2710" s="2" t="s">
        <v>2676</v>
      </c>
    </row>
    <row r="2711" spans="1:1">
      <c r="A2711" s="2" t="s">
        <v>2677</v>
      </c>
    </row>
    <row r="2712" spans="1:1">
      <c r="A2712" s="2" t="s">
        <v>2678</v>
      </c>
    </row>
    <row r="2713" spans="1:1">
      <c r="A2713" s="2" t="s">
        <v>2679</v>
      </c>
    </row>
    <row r="2714" spans="1:1">
      <c r="A2714" s="2" t="s">
        <v>2680</v>
      </c>
    </row>
    <row r="2715" spans="1:1">
      <c r="A2715" s="2" t="s">
        <v>2681</v>
      </c>
    </row>
    <row r="2716" spans="1:1">
      <c r="A2716" s="2" t="s">
        <v>2682</v>
      </c>
    </row>
    <row r="2717" spans="1:1">
      <c r="A2717" s="2" t="s">
        <v>2683</v>
      </c>
    </row>
    <row r="2718" spans="1:1">
      <c r="A2718" s="2" t="s">
        <v>2684</v>
      </c>
    </row>
    <row r="2719" spans="1:1">
      <c r="A2719" s="2" t="s">
        <v>2685</v>
      </c>
    </row>
    <row r="2720" spans="1:1">
      <c r="A2720" s="2" t="s">
        <v>2686</v>
      </c>
    </row>
    <row r="2721" spans="1:1">
      <c r="A2721" s="2" t="s">
        <v>2687</v>
      </c>
    </row>
    <row r="2722" spans="1:1">
      <c r="A2722" s="2" t="s">
        <v>2688</v>
      </c>
    </row>
    <row r="2723" spans="1:1">
      <c r="A2723" s="2" t="s">
        <v>2689</v>
      </c>
    </row>
    <row r="2724" spans="1:1">
      <c r="A2724" s="2" t="s">
        <v>2690</v>
      </c>
    </row>
    <row r="2725" spans="1:1">
      <c r="A2725" s="2" t="s">
        <v>2691</v>
      </c>
    </row>
    <row r="2726" spans="1:1">
      <c r="A2726" s="2" t="s">
        <v>2692</v>
      </c>
    </row>
    <row r="2727" spans="1:1">
      <c r="A2727" s="2" t="s">
        <v>2693</v>
      </c>
    </row>
    <row r="2728" spans="1:1">
      <c r="A2728" s="2" t="s">
        <v>2694</v>
      </c>
    </row>
    <row r="2729" spans="1:1">
      <c r="A2729" s="2" t="s">
        <v>2695</v>
      </c>
    </row>
    <row r="2730" spans="1:1">
      <c r="A2730" s="2" t="s">
        <v>2696</v>
      </c>
    </row>
    <row r="2731" spans="1:1">
      <c r="A2731" s="2" t="s">
        <v>2697</v>
      </c>
    </row>
    <row r="2732" spans="1:1">
      <c r="A2732" s="2" t="s">
        <v>2698</v>
      </c>
    </row>
    <row r="2733" spans="1:1">
      <c r="A2733" s="2" t="s">
        <v>2699</v>
      </c>
    </row>
    <row r="2734" spans="1:1">
      <c r="A2734" s="2" t="s">
        <v>2700</v>
      </c>
    </row>
    <row r="2735" spans="1:1">
      <c r="A2735" s="2" t="s">
        <v>2701</v>
      </c>
    </row>
    <row r="2736" spans="1:1">
      <c r="A2736" s="2" t="s">
        <v>2702</v>
      </c>
    </row>
    <row r="2737" spans="1:1">
      <c r="A2737" s="2" t="s">
        <v>2703</v>
      </c>
    </row>
    <row r="2738" spans="1:1">
      <c r="A2738" s="2" t="s">
        <v>2704</v>
      </c>
    </row>
    <row r="2739" spans="1:1">
      <c r="A2739" s="2" t="s">
        <v>2705</v>
      </c>
    </row>
    <row r="2740" spans="1:1">
      <c r="A2740" s="2" t="s">
        <v>2706</v>
      </c>
    </row>
    <row r="2741" spans="1:1">
      <c r="A2741" s="2" t="s">
        <v>2707</v>
      </c>
    </row>
    <row r="2742" spans="1:1">
      <c r="A2742" s="2" t="s">
        <v>2708</v>
      </c>
    </row>
    <row r="2743" spans="1:1">
      <c r="A2743" s="2" t="s">
        <v>2709</v>
      </c>
    </row>
    <row r="2744" spans="1:1">
      <c r="A2744" s="2" t="s">
        <v>2710</v>
      </c>
    </row>
    <row r="2745" spans="1:1">
      <c r="A2745" s="2" t="s">
        <v>2711</v>
      </c>
    </row>
    <row r="2746" spans="1:1">
      <c r="A2746" s="2" t="s">
        <v>2712</v>
      </c>
    </row>
    <row r="2747" spans="1:1">
      <c r="A2747" s="2" t="s">
        <v>2713</v>
      </c>
    </row>
    <row r="2748" spans="1:1">
      <c r="A2748" s="2" t="s">
        <v>2714</v>
      </c>
    </row>
    <row r="2749" spans="1:1">
      <c r="A2749" s="2" t="s">
        <v>2715</v>
      </c>
    </row>
    <row r="2750" spans="1:1">
      <c r="A2750" s="2" t="s">
        <v>2716</v>
      </c>
    </row>
    <row r="2751" spans="1:1">
      <c r="A2751" s="2" t="s">
        <v>2717</v>
      </c>
    </row>
    <row r="2752" spans="1:1">
      <c r="A2752" s="2" t="s">
        <v>2718</v>
      </c>
    </row>
    <row r="2753" spans="1:1">
      <c r="A2753" s="2" t="s">
        <v>2719</v>
      </c>
    </row>
    <row r="2754" spans="1:1">
      <c r="A2754" s="2" t="s">
        <v>2720</v>
      </c>
    </row>
    <row r="2755" spans="1:1">
      <c r="A2755" s="2" t="s">
        <v>2721</v>
      </c>
    </row>
    <row r="2756" spans="1:1">
      <c r="A2756" s="2" t="s">
        <v>2722</v>
      </c>
    </row>
    <row r="2757" spans="1:1">
      <c r="A2757" s="2" t="s">
        <v>2723</v>
      </c>
    </row>
    <row r="2758" spans="1:1">
      <c r="A2758" s="2" t="s">
        <v>2724</v>
      </c>
    </row>
    <row r="2759" spans="1:1">
      <c r="A2759" s="2" t="s">
        <v>2725</v>
      </c>
    </row>
    <row r="2760" spans="1:1">
      <c r="A2760" s="2" t="s">
        <v>2726</v>
      </c>
    </row>
    <row r="2761" spans="1:1">
      <c r="A2761" s="2" t="s">
        <v>2727</v>
      </c>
    </row>
    <row r="2762" spans="1:1">
      <c r="A2762" s="2" t="s">
        <v>2728</v>
      </c>
    </row>
    <row r="2763" spans="1:1">
      <c r="A2763" s="2" t="s">
        <v>2729</v>
      </c>
    </row>
    <row r="2764" spans="1:1">
      <c r="A2764" s="2" t="s">
        <v>2730</v>
      </c>
    </row>
    <row r="2765" spans="1:1">
      <c r="A2765" s="2" t="s">
        <v>2731</v>
      </c>
    </row>
    <row r="2766" spans="1:1">
      <c r="A2766" s="2" t="s">
        <v>2732</v>
      </c>
    </row>
    <row r="2767" spans="1:1">
      <c r="A2767" s="2" t="s">
        <v>2733</v>
      </c>
    </row>
    <row r="2768" spans="1:1">
      <c r="A2768" s="2" t="s">
        <v>2734</v>
      </c>
    </row>
    <row r="2769" spans="1:1">
      <c r="A2769" s="2" t="s">
        <v>2735</v>
      </c>
    </row>
    <row r="2770" spans="1:1">
      <c r="A2770" s="2" t="s">
        <v>2736</v>
      </c>
    </row>
    <row r="2771" spans="1:1">
      <c r="A2771" s="2" t="s">
        <v>2737</v>
      </c>
    </row>
    <row r="2772" spans="1:1">
      <c r="A2772" s="2" t="s">
        <v>2738</v>
      </c>
    </row>
    <row r="2773" spans="1:1">
      <c r="A2773" s="2" t="s">
        <v>2739</v>
      </c>
    </row>
    <row r="2774" spans="1:1">
      <c r="A2774" s="2" t="s">
        <v>2740</v>
      </c>
    </row>
    <row r="2775" spans="1:1">
      <c r="A2775" s="2" t="s">
        <v>2741</v>
      </c>
    </row>
    <row r="2776" spans="1:1">
      <c r="A2776" s="2" t="s">
        <v>2742</v>
      </c>
    </row>
    <row r="2777" spans="1:1">
      <c r="A2777" s="2" t="s">
        <v>2743</v>
      </c>
    </row>
    <row r="2778" spans="1:1">
      <c r="A2778" s="2" t="s">
        <v>2744</v>
      </c>
    </row>
    <row r="2779" spans="1:1">
      <c r="A2779" s="2" t="s">
        <v>2745</v>
      </c>
    </row>
    <row r="2780" spans="1:1">
      <c r="A2780" s="2" t="s">
        <v>2746</v>
      </c>
    </row>
    <row r="2781" spans="1:1">
      <c r="A2781" s="2" t="s">
        <v>2747</v>
      </c>
    </row>
    <row r="2782" spans="1:1">
      <c r="A2782" s="2" t="s">
        <v>2748</v>
      </c>
    </row>
    <row r="2783" spans="1:1">
      <c r="A2783" s="2" t="s">
        <v>2749</v>
      </c>
    </row>
    <row r="2784" spans="1:1">
      <c r="A2784" s="2" t="s">
        <v>2750</v>
      </c>
    </row>
    <row r="2785" spans="1:1">
      <c r="A2785" s="2" t="s">
        <v>2751</v>
      </c>
    </row>
    <row r="2786" spans="1:1">
      <c r="A2786" s="2" t="s">
        <v>2752</v>
      </c>
    </row>
    <row r="2787" spans="1:1">
      <c r="A2787" s="2" t="s">
        <v>2753</v>
      </c>
    </row>
    <row r="2788" spans="1:1">
      <c r="A2788" s="2" t="s">
        <v>2754</v>
      </c>
    </row>
    <row r="2789" spans="1:1">
      <c r="A2789" s="2" t="s">
        <v>2755</v>
      </c>
    </row>
    <row r="2790" spans="1:1">
      <c r="A2790" s="2" t="s">
        <v>2756</v>
      </c>
    </row>
    <row r="2791" spans="1:1">
      <c r="A2791" s="2" t="s">
        <v>2757</v>
      </c>
    </row>
    <row r="2792" spans="1:1">
      <c r="A2792" s="2" t="s">
        <v>2758</v>
      </c>
    </row>
    <row r="2793" spans="1:1">
      <c r="A2793" s="2" t="s">
        <v>2759</v>
      </c>
    </row>
    <row r="2794" spans="1:1">
      <c r="A2794" s="2" t="s">
        <v>2760</v>
      </c>
    </row>
    <row r="2795" spans="1:1">
      <c r="A2795" s="2" t="s">
        <v>2761</v>
      </c>
    </row>
    <row r="2796" spans="1:1">
      <c r="A2796" s="2" t="s">
        <v>2762</v>
      </c>
    </row>
    <row r="2797" spans="1:1">
      <c r="A2797" s="2" t="s">
        <v>2763</v>
      </c>
    </row>
    <row r="2798" spans="1:1">
      <c r="A2798" s="2" t="s">
        <v>2764</v>
      </c>
    </row>
    <row r="2799" spans="1:1">
      <c r="A2799" s="2" t="s">
        <v>2765</v>
      </c>
    </row>
    <row r="2800" spans="1:1">
      <c r="A2800" s="2" t="s">
        <v>2766</v>
      </c>
    </row>
    <row r="2801" spans="1:1">
      <c r="A2801" s="2" t="s">
        <v>2767</v>
      </c>
    </row>
    <row r="2802" spans="1:1">
      <c r="A2802" s="2" t="s">
        <v>2768</v>
      </c>
    </row>
    <row r="2803" spans="1:1">
      <c r="A2803" s="2" t="s">
        <v>2769</v>
      </c>
    </row>
    <row r="2804" spans="1:1">
      <c r="A2804" s="2" t="s">
        <v>2770</v>
      </c>
    </row>
    <row r="2805" spans="1:1">
      <c r="A2805" s="2" t="s">
        <v>2771</v>
      </c>
    </row>
    <row r="2806" spans="1:1">
      <c r="A2806" s="2" t="s">
        <v>2772</v>
      </c>
    </row>
    <row r="2807" spans="1:1">
      <c r="A2807" s="2" t="s">
        <v>2773</v>
      </c>
    </row>
    <row r="2808" spans="1:1">
      <c r="A2808" s="2" t="s">
        <v>2774</v>
      </c>
    </row>
    <row r="2809" spans="1:1">
      <c r="A2809" s="2" t="s">
        <v>2775</v>
      </c>
    </row>
    <row r="2810" spans="1:1">
      <c r="A2810" s="2" t="s">
        <v>2776</v>
      </c>
    </row>
    <row r="2811" spans="1:1">
      <c r="A2811" s="2" t="s">
        <v>2777</v>
      </c>
    </row>
    <row r="2812" spans="1:1">
      <c r="A2812" s="2" t="s">
        <v>2778</v>
      </c>
    </row>
    <row r="2813" spans="1:1">
      <c r="A2813" s="2" t="s">
        <v>2779</v>
      </c>
    </row>
    <row r="2814" spans="1:1">
      <c r="A2814" s="2" t="s">
        <v>2780</v>
      </c>
    </row>
    <row r="2815" spans="1:1">
      <c r="A2815" s="2" t="s">
        <v>2781</v>
      </c>
    </row>
    <row r="2816" spans="1:1">
      <c r="A2816" s="2" t="s">
        <v>2782</v>
      </c>
    </row>
    <row r="2817" spans="1:1">
      <c r="A2817" s="2" t="s">
        <v>2783</v>
      </c>
    </row>
    <row r="2818" spans="1:1">
      <c r="A2818" s="2" t="s">
        <v>2784</v>
      </c>
    </row>
    <row r="2819" spans="1:1">
      <c r="A2819" s="2" t="s">
        <v>2785</v>
      </c>
    </row>
    <row r="2820" spans="1:1">
      <c r="A2820" s="2" t="s">
        <v>2786</v>
      </c>
    </row>
    <row r="2821" spans="1:1">
      <c r="A2821" s="2" t="s">
        <v>2787</v>
      </c>
    </row>
    <row r="2822" spans="1:1">
      <c r="A2822" s="2" t="s">
        <v>2788</v>
      </c>
    </row>
    <row r="2823" spans="1:1">
      <c r="A2823" s="2" t="s">
        <v>2789</v>
      </c>
    </row>
    <row r="2824" spans="1:1">
      <c r="A2824" s="2" t="s">
        <v>2790</v>
      </c>
    </row>
    <row r="2825" spans="1:1">
      <c r="A2825" s="2" t="s">
        <v>2791</v>
      </c>
    </row>
    <row r="2826" spans="1:1">
      <c r="A2826" s="2" t="s">
        <v>2792</v>
      </c>
    </row>
    <row r="2827" spans="1:1">
      <c r="A2827" s="2" t="s">
        <v>2793</v>
      </c>
    </row>
    <row r="2828" spans="1:1">
      <c r="A2828" s="2" t="s">
        <v>2794</v>
      </c>
    </row>
    <row r="2829" spans="1:1">
      <c r="A2829" s="2" t="s">
        <v>2795</v>
      </c>
    </row>
    <row r="2830" spans="1:1">
      <c r="A2830" s="2" t="s">
        <v>2796</v>
      </c>
    </row>
    <row r="2831" spans="1:1">
      <c r="A2831" s="2" t="s">
        <v>2797</v>
      </c>
    </row>
    <row r="2832" spans="1:1">
      <c r="A2832" s="2" t="s">
        <v>2798</v>
      </c>
    </row>
    <row r="2833" spans="1:1">
      <c r="A2833" s="2" t="s">
        <v>2799</v>
      </c>
    </row>
    <row r="2834" spans="1:1">
      <c r="A2834" s="2" t="s">
        <v>2800</v>
      </c>
    </row>
    <row r="2835" spans="1:1">
      <c r="A2835" s="2" t="s">
        <v>2801</v>
      </c>
    </row>
    <row r="2836" spans="1:1">
      <c r="A2836" s="2" t="s">
        <v>2802</v>
      </c>
    </row>
    <row r="2837" spans="1:1">
      <c r="A2837" s="2" t="s">
        <v>2803</v>
      </c>
    </row>
    <row r="2838" spans="1:1">
      <c r="A2838" s="2" t="s">
        <v>2804</v>
      </c>
    </row>
    <row r="2839" spans="1:1">
      <c r="A2839" s="2" t="s">
        <v>2805</v>
      </c>
    </row>
    <row r="2840" spans="1:1">
      <c r="A2840" s="2" t="s">
        <v>2806</v>
      </c>
    </row>
    <row r="2841" spans="1:1">
      <c r="A2841" s="2" t="s">
        <v>2807</v>
      </c>
    </row>
    <row r="2842" spans="1:1">
      <c r="A2842" s="2" t="s">
        <v>2808</v>
      </c>
    </row>
    <row r="2843" spans="1:1">
      <c r="A2843" s="2" t="s">
        <v>2809</v>
      </c>
    </row>
    <row r="2844" spans="1:1">
      <c r="A2844" s="2" t="s">
        <v>2810</v>
      </c>
    </row>
    <row r="2845" spans="1:1">
      <c r="A2845" s="2" t="s">
        <v>2811</v>
      </c>
    </row>
    <row r="2846" spans="1:1">
      <c r="A2846" s="2" t="s">
        <v>2812</v>
      </c>
    </row>
    <row r="2847" spans="1:1">
      <c r="A2847" s="2" t="s">
        <v>2813</v>
      </c>
    </row>
    <row r="2848" spans="1:1">
      <c r="A2848" s="2" t="s">
        <v>2814</v>
      </c>
    </row>
    <row r="2849" spans="1:1">
      <c r="A2849" s="2" t="s">
        <v>2815</v>
      </c>
    </row>
    <row r="2850" spans="1:1">
      <c r="A2850" s="2" t="s">
        <v>2816</v>
      </c>
    </row>
    <row r="2851" spans="1:1">
      <c r="A2851" s="2" t="s">
        <v>2817</v>
      </c>
    </row>
    <row r="2852" spans="1:1">
      <c r="A2852" s="2" t="s">
        <v>2818</v>
      </c>
    </row>
    <row r="2853" spans="1:1">
      <c r="A2853" s="2" t="s">
        <v>2819</v>
      </c>
    </row>
    <row r="2854" spans="1:1">
      <c r="A2854" s="2" t="s">
        <v>2820</v>
      </c>
    </row>
    <row r="2855" spans="1:1">
      <c r="A2855" s="2" t="s">
        <v>2821</v>
      </c>
    </row>
    <row r="2856" spans="1:1">
      <c r="A2856" s="2" t="s">
        <v>2822</v>
      </c>
    </row>
    <row r="2857" spans="1:1">
      <c r="A2857" s="2" t="s">
        <v>2823</v>
      </c>
    </row>
    <row r="2858" spans="1:1">
      <c r="A2858" s="2" t="s">
        <v>2824</v>
      </c>
    </row>
    <row r="2859" spans="1:1">
      <c r="A2859" s="2" t="s">
        <v>2825</v>
      </c>
    </row>
    <row r="2860" spans="1:1">
      <c r="A2860" s="2" t="s">
        <v>2826</v>
      </c>
    </row>
    <row r="2861" spans="1:1">
      <c r="A2861" s="2" t="s">
        <v>2827</v>
      </c>
    </row>
    <row r="2862" spans="1:1">
      <c r="A2862" s="2" t="s">
        <v>2828</v>
      </c>
    </row>
    <row r="2863" spans="1:1">
      <c r="A2863" s="2" t="s">
        <v>2829</v>
      </c>
    </row>
    <row r="2864" spans="1:1">
      <c r="A2864" s="2" t="s">
        <v>2830</v>
      </c>
    </row>
    <row r="2865" spans="1:1">
      <c r="A2865" s="2" t="s">
        <v>2831</v>
      </c>
    </row>
    <row r="2866" spans="1:1">
      <c r="A2866" s="2" t="s">
        <v>2832</v>
      </c>
    </row>
    <row r="2867" spans="1:1">
      <c r="A2867" s="2" t="s">
        <v>2833</v>
      </c>
    </row>
    <row r="2868" spans="1:1">
      <c r="A2868" s="2" t="s">
        <v>2834</v>
      </c>
    </row>
    <row r="2869" spans="1:1">
      <c r="A2869" s="2" t="s">
        <v>2835</v>
      </c>
    </row>
    <row r="2870" spans="1:1">
      <c r="A2870" s="2" t="s">
        <v>2836</v>
      </c>
    </row>
    <row r="2871" spans="1:1">
      <c r="A2871" s="2" t="s">
        <v>2837</v>
      </c>
    </row>
    <row r="2872" spans="1:1">
      <c r="A2872" s="2" t="s">
        <v>2838</v>
      </c>
    </row>
    <row r="2873" spans="1:1">
      <c r="A2873" s="2" t="s">
        <v>2839</v>
      </c>
    </row>
    <row r="2874" spans="1:1">
      <c r="A2874" s="2" t="s">
        <v>2840</v>
      </c>
    </row>
    <row r="2875" spans="1:1">
      <c r="A2875" s="2" t="s">
        <v>2841</v>
      </c>
    </row>
    <row r="2876" spans="1:1">
      <c r="A2876" s="2" t="s">
        <v>2842</v>
      </c>
    </row>
    <row r="2877" spans="1:1">
      <c r="A2877" s="2" t="s">
        <v>2843</v>
      </c>
    </row>
    <row r="2878" spans="1:1">
      <c r="A2878" s="2" t="s">
        <v>2844</v>
      </c>
    </row>
    <row r="2879" spans="1:1">
      <c r="A2879" s="2" t="s">
        <v>2845</v>
      </c>
    </row>
    <row r="2880" spans="1:1">
      <c r="A2880" s="2" t="s">
        <v>2846</v>
      </c>
    </row>
    <row r="2881" spans="1:1">
      <c r="A2881" s="2" t="s">
        <v>2847</v>
      </c>
    </row>
    <row r="2882" spans="1:1">
      <c r="A2882" s="2" t="s">
        <v>2848</v>
      </c>
    </row>
    <row r="2883" spans="1:1">
      <c r="A2883" s="2" t="s">
        <v>2849</v>
      </c>
    </row>
    <row r="2884" spans="1:1">
      <c r="A2884" s="2" t="s">
        <v>2850</v>
      </c>
    </row>
    <row r="2885" spans="1:1">
      <c r="A2885" s="2" t="s">
        <v>2851</v>
      </c>
    </row>
    <row r="2886" spans="1:1">
      <c r="A2886" s="2" t="s">
        <v>2852</v>
      </c>
    </row>
    <row r="2887" spans="1:1">
      <c r="A2887" s="2" t="s">
        <v>2853</v>
      </c>
    </row>
    <row r="2888" spans="1:1">
      <c r="A2888" s="2" t="s">
        <v>2854</v>
      </c>
    </row>
    <row r="2889" spans="1:1">
      <c r="A2889" s="2" t="s">
        <v>2855</v>
      </c>
    </row>
    <row r="2890" spans="1:1">
      <c r="A2890" s="2" t="s">
        <v>2856</v>
      </c>
    </row>
    <row r="2891" spans="1:1">
      <c r="A2891" s="2" t="s">
        <v>2857</v>
      </c>
    </row>
    <row r="2892" spans="1:1">
      <c r="A2892" s="2" t="s">
        <v>2858</v>
      </c>
    </row>
    <row r="2893" spans="1:1">
      <c r="A2893" s="2" t="s">
        <v>2859</v>
      </c>
    </row>
    <row r="2894" spans="1:1">
      <c r="A2894" s="2" t="s">
        <v>2860</v>
      </c>
    </row>
    <row r="2895" spans="1:1">
      <c r="A2895" s="2" t="s">
        <v>2861</v>
      </c>
    </row>
    <row r="2896" spans="1:1">
      <c r="A2896" s="2" t="s">
        <v>2862</v>
      </c>
    </row>
    <row r="2897" spans="1:1">
      <c r="A2897" s="2" t="s">
        <v>2863</v>
      </c>
    </row>
    <row r="2898" spans="1:1">
      <c r="A2898" s="2" t="s">
        <v>2864</v>
      </c>
    </row>
    <row r="2899" spans="1:1">
      <c r="A2899" s="2" t="s">
        <v>2865</v>
      </c>
    </row>
    <row r="2900" spans="1:1">
      <c r="A2900" s="2" t="s">
        <v>2866</v>
      </c>
    </row>
    <row r="2901" spans="1:1">
      <c r="A2901" s="2" t="s">
        <v>2867</v>
      </c>
    </row>
    <row r="2902" spans="1:1">
      <c r="A2902" s="2" t="s">
        <v>2868</v>
      </c>
    </row>
    <row r="2903" spans="1:1">
      <c r="A2903" s="2" t="s">
        <v>2869</v>
      </c>
    </row>
    <row r="2904" spans="1:1">
      <c r="A2904" s="2" t="s">
        <v>2870</v>
      </c>
    </row>
    <row r="2905" spans="1:1">
      <c r="A2905" s="2" t="s">
        <v>2871</v>
      </c>
    </row>
    <row r="2906" spans="1:1">
      <c r="A2906" s="2" t="s">
        <v>2872</v>
      </c>
    </row>
    <row r="2907" spans="1:1">
      <c r="A2907" s="2" t="s">
        <v>2873</v>
      </c>
    </row>
    <row r="2908" spans="1:1">
      <c r="A2908" s="2" t="s">
        <v>2874</v>
      </c>
    </row>
    <row r="2909" spans="1:1">
      <c r="A2909" s="2" t="s">
        <v>2875</v>
      </c>
    </row>
    <row r="2910" spans="1:1">
      <c r="A2910" s="2" t="s">
        <v>2876</v>
      </c>
    </row>
    <row r="2911" spans="1:1">
      <c r="A2911" s="2" t="s">
        <v>2877</v>
      </c>
    </row>
    <row r="2912" spans="1:1">
      <c r="A2912" s="2" t="s">
        <v>2878</v>
      </c>
    </row>
    <row r="2913" spans="1:1">
      <c r="A2913" s="2" t="s">
        <v>2879</v>
      </c>
    </row>
    <row r="2914" spans="1:1">
      <c r="A2914" s="2" t="s">
        <v>2880</v>
      </c>
    </row>
    <row r="2915" spans="1:1">
      <c r="A2915" s="2" t="s">
        <v>2881</v>
      </c>
    </row>
    <row r="2916" spans="1:1">
      <c r="A2916" s="2" t="s">
        <v>2882</v>
      </c>
    </row>
    <row r="2917" spans="1:1">
      <c r="A2917" s="2" t="s">
        <v>2883</v>
      </c>
    </row>
    <row r="2918" spans="1:1">
      <c r="A2918" s="2" t="s">
        <v>2884</v>
      </c>
    </row>
    <row r="2919" spans="1:1">
      <c r="A2919" s="2" t="s">
        <v>2885</v>
      </c>
    </row>
    <row r="2920" spans="1:1">
      <c r="A2920" s="2" t="s">
        <v>2886</v>
      </c>
    </row>
    <row r="2921" spans="1:1">
      <c r="A2921" s="2" t="s">
        <v>2887</v>
      </c>
    </row>
    <row r="2922" spans="1:1">
      <c r="A2922" s="2" t="s">
        <v>2888</v>
      </c>
    </row>
    <row r="2923" spans="1:1">
      <c r="A2923" s="2" t="s">
        <v>2889</v>
      </c>
    </row>
    <row r="2924" spans="1:1">
      <c r="A2924" s="2" t="s">
        <v>2890</v>
      </c>
    </row>
    <row r="2925" spans="1:1">
      <c r="A2925" s="2" t="s">
        <v>2891</v>
      </c>
    </row>
    <row r="2926" spans="1:1">
      <c r="A2926" s="2" t="s">
        <v>2892</v>
      </c>
    </row>
    <row r="2927" spans="1:1">
      <c r="A2927" s="2" t="s">
        <v>2893</v>
      </c>
    </row>
    <row r="2928" spans="1:1">
      <c r="A2928" s="2" t="s">
        <v>2894</v>
      </c>
    </row>
    <row r="2929" spans="1:1">
      <c r="A2929" s="2" t="s">
        <v>2895</v>
      </c>
    </row>
    <row r="2930" spans="1:1">
      <c r="A2930" s="2" t="s">
        <v>2896</v>
      </c>
    </row>
    <row r="2931" spans="1:1">
      <c r="A2931" s="2" t="s">
        <v>2897</v>
      </c>
    </row>
    <row r="2932" spans="1:1">
      <c r="A2932" s="2" t="s">
        <v>2898</v>
      </c>
    </row>
    <row r="2933" spans="1:1">
      <c r="A2933" s="2" t="s">
        <v>2899</v>
      </c>
    </row>
    <row r="2934" spans="1:1">
      <c r="A2934" s="2" t="s">
        <v>2900</v>
      </c>
    </row>
    <row r="2935" spans="1:1">
      <c r="A2935" s="2" t="s">
        <v>2901</v>
      </c>
    </row>
    <row r="2936" spans="1:1">
      <c r="A2936" s="2" t="s">
        <v>2902</v>
      </c>
    </row>
    <row r="2937" spans="1:1">
      <c r="A2937" s="2" t="s">
        <v>2903</v>
      </c>
    </row>
    <row r="2938" spans="1:1">
      <c r="A2938" s="2" t="s">
        <v>2904</v>
      </c>
    </row>
    <row r="2939" spans="1:1">
      <c r="A2939" s="2" t="s">
        <v>2905</v>
      </c>
    </row>
    <row r="2940" spans="1:1">
      <c r="A2940" s="2" t="s">
        <v>2906</v>
      </c>
    </row>
    <row r="2941" spans="1:1">
      <c r="A2941" s="2" t="s">
        <v>2907</v>
      </c>
    </row>
    <row r="2942" spans="1:1">
      <c r="A2942" s="2" t="s">
        <v>2908</v>
      </c>
    </row>
    <row r="2943" spans="1:1">
      <c r="A2943" s="2" t="s">
        <v>2909</v>
      </c>
    </row>
    <row r="2944" spans="1:1">
      <c r="A2944" s="2" t="s">
        <v>2910</v>
      </c>
    </row>
    <row r="2945" spans="1:1">
      <c r="A2945" s="2" t="s">
        <v>2911</v>
      </c>
    </row>
    <row r="2946" spans="1:1">
      <c r="A2946" s="2" t="s">
        <v>2912</v>
      </c>
    </row>
    <row r="2947" spans="1:1">
      <c r="A2947" s="2" t="s">
        <v>2913</v>
      </c>
    </row>
    <row r="2948" spans="1:1">
      <c r="A2948" s="2" t="s">
        <v>2914</v>
      </c>
    </row>
    <row r="2949" spans="1:1">
      <c r="A2949" s="2" t="s">
        <v>2915</v>
      </c>
    </row>
    <row r="2950" spans="1:1">
      <c r="A2950" s="2" t="s">
        <v>2916</v>
      </c>
    </row>
    <row r="2951" spans="1:1">
      <c r="A2951" s="2" t="s">
        <v>2917</v>
      </c>
    </row>
    <row r="2952" spans="1:1">
      <c r="A2952" s="2" t="s">
        <v>2918</v>
      </c>
    </row>
    <row r="2953" spans="1:1">
      <c r="A2953" s="2" t="s">
        <v>2919</v>
      </c>
    </row>
    <row r="2954" spans="1:1">
      <c r="A2954" s="2" t="s">
        <v>2920</v>
      </c>
    </row>
    <row r="2955" spans="1:1">
      <c r="A2955" s="2" t="s">
        <v>2921</v>
      </c>
    </row>
    <row r="2956" spans="1:1">
      <c r="A2956" s="2" t="s">
        <v>2922</v>
      </c>
    </row>
    <row r="2957" spans="1:1">
      <c r="A2957" s="2" t="s">
        <v>2923</v>
      </c>
    </row>
    <row r="2958" spans="1:1">
      <c r="A2958" s="2" t="s">
        <v>2924</v>
      </c>
    </row>
    <row r="2959" spans="1:1">
      <c r="A2959" s="2" t="s">
        <v>2925</v>
      </c>
    </row>
    <row r="2960" spans="1:1">
      <c r="A2960" s="2" t="s">
        <v>2926</v>
      </c>
    </row>
    <row r="2961" spans="1:1">
      <c r="A2961" s="2" t="s">
        <v>2927</v>
      </c>
    </row>
    <row r="2962" spans="1:1">
      <c r="A2962" s="2" t="s">
        <v>2928</v>
      </c>
    </row>
    <row r="2963" spans="1:1">
      <c r="A2963" s="2" t="s">
        <v>2929</v>
      </c>
    </row>
    <row r="2964" spans="1:1">
      <c r="A2964" s="2" t="s">
        <v>2930</v>
      </c>
    </row>
    <row r="2965" spans="1:1">
      <c r="A2965" s="2" t="s">
        <v>2931</v>
      </c>
    </row>
    <row r="2966" spans="1:1">
      <c r="A2966" s="2" t="s">
        <v>2932</v>
      </c>
    </row>
    <row r="2967" spans="1:1">
      <c r="A2967" s="2" t="s">
        <v>2933</v>
      </c>
    </row>
    <row r="2968" spans="1:1">
      <c r="A2968" s="2" t="s">
        <v>2934</v>
      </c>
    </row>
    <row r="2969" spans="1:1">
      <c r="A2969" s="2" t="s">
        <v>2935</v>
      </c>
    </row>
    <row r="2970" spans="1:1">
      <c r="A2970" s="2" t="s">
        <v>2936</v>
      </c>
    </row>
    <row r="2971" spans="1:1">
      <c r="A2971" s="2" t="s">
        <v>2937</v>
      </c>
    </row>
    <row r="2972" spans="1:1">
      <c r="A2972" s="2" t="s">
        <v>2938</v>
      </c>
    </row>
    <row r="2973" spans="1:1">
      <c r="A2973" s="2" t="s">
        <v>2939</v>
      </c>
    </row>
    <row r="2974" spans="1:1">
      <c r="A2974" s="2" t="s">
        <v>2940</v>
      </c>
    </row>
    <row r="2975" spans="1:1">
      <c r="A2975" s="2" t="s">
        <v>2941</v>
      </c>
    </row>
    <row r="2976" spans="1:1">
      <c r="A2976" s="2" t="s">
        <v>2942</v>
      </c>
    </row>
    <row r="2977" spans="1:1">
      <c r="A2977" s="2" t="s">
        <v>2943</v>
      </c>
    </row>
    <row r="2978" spans="1:1">
      <c r="A2978" s="2" t="s">
        <v>2944</v>
      </c>
    </row>
    <row r="2979" spans="1:1">
      <c r="A2979" s="2" t="s">
        <v>2945</v>
      </c>
    </row>
    <row r="2980" spans="1:1">
      <c r="A2980" s="2" t="s">
        <v>2946</v>
      </c>
    </row>
    <row r="2981" spans="1:1">
      <c r="A2981" s="2" t="s">
        <v>2947</v>
      </c>
    </row>
    <row r="2982" spans="1:1">
      <c r="A2982" s="2" t="s">
        <v>2948</v>
      </c>
    </row>
    <row r="2983" spans="1:1">
      <c r="A2983" s="2" t="s">
        <v>2949</v>
      </c>
    </row>
    <row r="2984" spans="1:1">
      <c r="A2984" s="2" t="s">
        <v>2950</v>
      </c>
    </row>
    <row r="2985" spans="1:1">
      <c r="A2985" s="2" t="s">
        <v>2951</v>
      </c>
    </row>
    <row r="2986" spans="1:1">
      <c r="A2986" s="2" t="s">
        <v>2952</v>
      </c>
    </row>
    <row r="2987" spans="1:1">
      <c r="A2987" s="2" t="s">
        <v>2953</v>
      </c>
    </row>
    <row r="2988" spans="1:1">
      <c r="A2988" s="2" t="s">
        <v>2954</v>
      </c>
    </row>
    <row r="2989" spans="1:1">
      <c r="A2989" s="2" t="s">
        <v>2955</v>
      </c>
    </row>
    <row r="2990" spans="1:1">
      <c r="A2990" s="2" t="s">
        <v>2956</v>
      </c>
    </row>
    <row r="2991" spans="1:1">
      <c r="A2991" s="2" t="s">
        <v>2957</v>
      </c>
    </row>
    <row r="2992" spans="1:1">
      <c r="A2992" s="2" t="s">
        <v>2958</v>
      </c>
    </row>
    <row r="2993" spans="1:1">
      <c r="A2993" s="2" t="s">
        <v>2959</v>
      </c>
    </row>
    <row r="2994" spans="1:1">
      <c r="A2994" s="2" t="s">
        <v>2960</v>
      </c>
    </row>
    <row r="2995" spans="1:1">
      <c r="A2995" s="2" t="s">
        <v>2961</v>
      </c>
    </row>
    <row r="2996" spans="1:1">
      <c r="A2996" s="2" t="s">
        <v>2962</v>
      </c>
    </row>
    <row r="2997" spans="1:1">
      <c r="A2997" s="2" t="s">
        <v>2963</v>
      </c>
    </row>
    <row r="2998" spans="1:1">
      <c r="A2998" s="2" t="s">
        <v>2964</v>
      </c>
    </row>
    <row r="2999" spans="1:1">
      <c r="A2999" s="2" t="s">
        <v>2965</v>
      </c>
    </row>
    <row r="3000" spans="1:1">
      <c r="A3000" s="2" t="s">
        <v>2966</v>
      </c>
    </row>
    <row r="3001" spans="1:1">
      <c r="A3001" s="2" t="s">
        <v>2967</v>
      </c>
    </row>
    <row r="3002" spans="1:1">
      <c r="A3002" s="2" t="s">
        <v>2968</v>
      </c>
    </row>
    <row r="3003" spans="1:1">
      <c r="A3003" s="2" t="s">
        <v>2969</v>
      </c>
    </row>
    <row r="3004" spans="1:1">
      <c r="A3004" s="2" t="s">
        <v>2970</v>
      </c>
    </row>
    <row r="3005" spans="1:1">
      <c r="A3005" s="2" t="s">
        <v>2971</v>
      </c>
    </row>
    <row r="3006" spans="1:1">
      <c r="A3006" s="2" t="s">
        <v>2972</v>
      </c>
    </row>
    <row r="3007" spans="1:1">
      <c r="A3007" s="2" t="s">
        <v>2973</v>
      </c>
    </row>
    <row r="3008" spans="1:1">
      <c r="A3008" s="2" t="s">
        <v>2974</v>
      </c>
    </row>
    <row r="3009" spans="1:1">
      <c r="A3009" s="2" t="s">
        <v>2975</v>
      </c>
    </row>
    <row r="3010" spans="1:1">
      <c r="A3010" s="2" t="s">
        <v>2976</v>
      </c>
    </row>
    <row r="3011" spans="1:1">
      <c r="A3011" s="2" t="s">
        <v>2977</v>
      </c>
    </row>
    <row r="3012" spans="1:1">
      <c r="A3012" s="2" t="s">
        <v>2978</v>
      </c>
    </row>
    <row r="3013" spans="1:1">
      <c r="A3013" s="2" t="s">
        <v>2979</v>
      </c>
    </row>
    <row r="3014" spans="1:1">
      <c r="A3014" s="2" t="s">
        <v>2980</v>
      </c>
    </row>
    <row r="3015" spans="1:1">
      <c r="A3015" s="2" t="s">
        <v>2981</v>
      </c>
    </row>
    <row r="3016" spans="1:1">
      <c r="A3016" s="2" t="s">
        <v>2982</v>
      </c>
    </row>
    <row r="3017" spans="1:1">
      <c r="A3017" s="2" t="s">
        <v>2983</v>
      </c>
    </row>
    <row r="3018" spans="1:1">
      <c r="A3018" s="2" t="s">
        <v>2984</v>
      </c>
    </row>
    <row r="3019" spans="1:1">
      <c r="A3019" s="2" t="s">
        <v>2985</v>
      </c>
    </row>
    <row r="3020" spans="1:1">
      <c r="A3020" s="2" t="s">
        <v>2986</v>
      </c>
    </row>
    <row r="3021" spans="1:1">
      <c r="A3021" s="2" t="s">
        <v>2987</v>
      </c>
    </row>
    <row r="3022" spans="1:1">
      <c r="A3022" s="2" t="s">
        <v>2988</v>
      </c>
    </row>
    <row r="3023" spans="1:1">
      <c r="A3023" s="2" t="s">
        <v>2989</v>
      </c>
    </row>
    <row r="3024" spans="1:1">
      <c r="A3024" s="2" t="s">
        <v>2990</v>
      </c>
    </row>
    <row r="3025" spans="1:1">
      <c r="A3025" s="2" t="s">
        <v>2991</v>
      </c>
    </row>
    <row r="3026" spans="1:1">
      <c r="A3026" s="2" t="s">
        <v>2992</v>
      </c>
    </row>
    <row r="3027" spans="1:1">
      <c r="A3027" s="2" t="s">
        <v>2993</v>
      </c>
    </row>
    <row r="3028" spans="1:1">
      <c r="A3028" s="2" t="s">
        <v>2994</v>
      </c>
    </row>
    <row r="3029" spans="1:1">
      <c r="A3029" s="2" t="s">
        <v>2995</v>
      </c>
    </row>
    <row r="3030" spans="1:1">
      <c r="A3030" s="2" t="s">
        <v>2996</v>
      </c>
    </row>
    <row r="3031" spans="1:1">
      <c r="A3031" s="2" t="s">
        <v>2997</v>
      </c>
    </row>
    <row r="3032" spans="1:1">
      <c r="A3032" s="2" t="s">
        <v>2998</v>
      </c>
    </row>
    <row r="3033" spans="1:1">
      <c r="A3033" s="2" t="s">
        <v>2999</v>
      </c>
    </row>
    <row r="3034" spans="1:1">
      <c r="A3034" s="2" t="s">
        <v>3000</v>
      </c>
    </row>
    <row r="3035" spans="1:1">
      <c r="A3035" s="2" t="s">
        <v>3001</v>
      </c>
    </row>
    <row r="3036" spans="1:1">
      <c r="A3036" s="2" t="s">
        <v>3002</v>
      </c>
    </row>
    <row r="3037" spans="1:1">
      <c r="A3037" s="2" t="s">
        <v>3003</v>
      </c>
    </row>
    <row r="3038" spans="1:1">
      <c r="A3038" s="2" t="s">
        <v>3004</v>
      </c>
    </row>
    <row r="3039" spans="1:1">
      <c r="A3039" s="2" t="s">
        <v>3005</v>
      </c>
    </row>
    <row r="3040" spans="1:1">
      <c r="A3040" s="2" t="s">
        <v>3006</v>
      </c>
    </row>
    <row r="3041" spans="1:1">
      <c r="A3041" s="2" t="s">
        <v>3007</v>
      </c>
    </row>
    <row r="3042" spans="1:1">
      <c r="A3042" s="2" t="s">
        <v>3008</v>
      </c>
    </row>
    <row r="3043" spans="1:1">
      <c r="A3043" s="2" t="s">
        <v>3009</v>
      </c>
    </row>
    <row r="3044" spans="1:1">
      <c r="A3044" s="2" t="s">
        <v>3010</v>
      </c>
    </row>
    <row r="3045" spans="1:1">
      <c r="A3045" s="2" t="s">
        <v>3011</v>
      </c>
    </row>
    <row r="3046" spans="1:1">
      <c r="A3046" s="2" t="s">
        <v>3012</v>
      </c>
    </row>
    <row r="3047" spans="1:1">
      <c r="A3047" s="2" t="s">
        <v>3013</v>
      </c>
    </row>
    <row r="3048" spans="1:1">
      <c r="A3048" s="2" t="s">
        <v>3014</v>
      </c>
    </row>
    <row r="3049" spans="1:1">
      <c r="A3049" s="2" t="s">
        <v>3015</v>
      </c>
    </row>
    <row r="3050" spans="1:1">
      <c r="A3050" s="2" t="s">
        <v>3016</v>
      </c>
    </row>
    <row r="3051" spans="1:1">
      <c r="A3051" s="2" t="s">
        <v>3017</v>
      </c>
    </row>
    <row r="3052" spans="1:1">
      <c r="A3052" s="2" t="s">
        <v>3018</v>
      </c>
    </row>
    <row r="3053" spans="1:1">
      <c r="A3053" s="2" t="s">
        <v>3019</v>
      </c>
    </row>
    <row r="3054" spans="1:1">
      <c r="A3054" s="2" t="s">
        <v>3020</v>
      </c>
    </row>
    <row r="3055" spans="1:1">
      <c r="A3055" s="2" t="s">
        <v>3021</v>
      </c>
    </row>
    <row r="3056" spans="1:1">
      <c r="A3056" s="2" t="s">
        <v>3022</v>
      </c>
    </row>
    <row r="3057" spans="1:1">
      <c r="A3057" s="2" t="s">
        <v>3023</v>
      </c>
    </row>
    <row r="3058" spans="1:1">
      <c r="A3058" s="2" t="s">
        <v>3024</v>
      </c>
    </row>
    <row r="3059" spans="1:1">
      <c r="A3059" s="2" t="s">
        <v>3025</v>
      </c>
    </row>
    <row r="3060" spans="1:1">
      <c r="A3060" s="2" t="s">
        <v>3026</v>
      </c>
    </row>
    <row r="3061" spans="1:1">
      <c r="A3061" s="2" t="s">
        <v>3027</v>
      </c>
    </row>
    <row r="3062" spans="1:1">
      <c r="A3062" s="2" t="s">
        <v>3028</v>
      </c>
    </row>
    <row r="3063" spans="1:1">
      <c r="A3063" s="2" t="s">
        <v>3029</v>
      </c>
    </row>
    <row r="3064" spans="1:1">
      <c r="A3064" s="2" t="s">
        <v>3030</v>
      </c>
    </row>
    <row r="3065" spans="1:1">
      <c r="A3065" s="2" t="s">
        <v>3031</v>
      </c>
    </row>
    <row r="3066" spans="1:1">
      <c r="A3066" s="2" t="s">
        <v>3032</v>
      </c>
    </row>
    <row r="3067" spans="1:1">
      <c r="A3067" s="2" t="s">
        <v>3033</v>
      </c>
    </row>
    <row r="3068" spans="1:1">
      <c r="A3068" s="2" t="s">
        <v>3034</v>
      </c>
    </row>
    <row r="3069" spans="1:1">
      <c r="A3069" s="2" t="s">
        <v>3035</v>
      </c>
    </row>
    <row r="3070" spans="1:1">
      <c r="A3070" s="2" t="s">
        <v>3036</v>
      </c>
    </row>
    <row r="3071" spans="1:1">
      <c r="A3071" s="2" t="s">
        <v>3037</v>
      </c>
    </row>
    <row r="3072" spans="1:1">
      <c r="A3072" s="2" t="s">
        <v>3038</v>
      </c>
    </row>
    <row r="3073" spans="1:1">
      <c r="A3073" s="2" t="s">
        <v>3039</v>
      </c>
    </row>
    <row r="3074" spans="1:1">
      <c r="A3074" s="2" t="s">
        <v>3040</v>
      </c>
    </row>
    <row r="3075" spans="1:1">
      <c r="A3075" s="2" t="s">
        <v>3041</v>
      </c>
    </row>
    <row r="3076" spans="1:1">
      <c r="A3076" s="2" t="s">
        <v>3042</v>
      </c>
    </row>
    <row r="3077" spans="1:1">
      <c r="A3077" s="2" t="s">
        <v>3043</v>
      </c>
    </row>
    <row r="3078" spans="1:1">
      <c r="A3078" s="2" t="s">
        <v>3044</v>
      </c>
    </row>
    <row r="3079" spans="1:1">
      <c r="A3079" s="2" t="s">
        <v>3045</v>
      </c>
    </row>
    <row r="3080" spans="1:1">
      <c r="A3080" s="2" t="s">
        <v>3046</v>
      </c>
    </row>
    <row r="3081" spans="1:1">
      <c r="A3081" s="2" t="s">
        <v>3047</v>
      </c>
    </row>
    <row r="3082" spans="1:1">
      <c r="A3082" s="2" t="s">
        <v>3048</v>
      </c>
    </row>
    <row r="3083" spans="1:1">
      <c r="A3083" s="2" t="s">
        <v>3049</v>
      </c>
    </row>
    <row r="3084" spans="1:1">
      <c r="A3084" s="2" t="s">
        <v>3050</v>
      </c>
    </row>
    <row r="3085" spans="1:1">
      <c r="A3085" s="2" t="s">
        <v>3051</v>
      </c>
    </row>
    <row r="3086" spans="1:1">
      <c r="A3086" s="2" t="s">
        <v>3052</v>
      </c>
    </row>
    <row r="3087" spans="1:1">
      <c r="A3087" s="2" t="s">
        <v>3053</v>
      </c>
    </row>
    <row r="3088" spans="1:1">
      <c r="A3088" s="2" t="s">
        <v>3054</v>
      </c>
    </row>
    <row r="3089" spans="1:1">
      <c r="A3089" s="2" t="s">
        <v>3055</v>
      </c>
    </row>
    <row r="3090" spans="1:1">
      <c r="A3090" s="2" t="s">
        <v>3056</v>
      </c>
    </row>
    <row r="3091" spans="1:1">
      <c r="A3091" s="2" t="s">
        <v>3057</v>
      </c>
    </row>
    <row r="3092" spans="1:1">
      <c r="A3092" s="2" t="s">
        <v>3058</v>
      </c>
    </row>
    <row r="3093" spans="1:1">
      <c r="A3093" s="2" t="s">
        <v>3059</v>
      </c>
    </row>
    <row r="3094" spans="1:1">
      <c r="A3094" s="2" t="s">
        <v>3060</v>
      </c>
    </row>
    <row r="3095" spans="1:1">
      <c r="A3095" s="2" t="s">
        <v>3061</v>
      </c>
    </row>
    <row r="3096" spans="1:1">
      <c r="A3096" s="2" t="s">
        <v>3062</v>
      </c>
    </row>
    <row r="3097" spans="1:1">
      <c r="A3097" s="2" t="s">
        <v>3063</v>
      </c>
    </row>
    <row r="3098" spans="1:1">
      <c r="A3098" s="2" t="s">
        <v>3064</v>
      </c>
    </row>
    <row r="3099" spans="1:1">
      <c r="A3099" s="2" t="s">
        <v>3065</v>
      </c>
    </row>
    <row r="3100" spans="1:1">
      <c r="A3100" s="2" t="s">
        <v>3066</v>
      </c>
    </row>
    <row r="3101" spans="1:1">
      <c r="A3101" s="2" t="s">
        <v>3067</v>
      </c>
    </row>
    <row r="3102" spans="1:1">
      <c r="A3102" s="2" t="s">
        <v>3068</v>
      </c>
    </row>
    <row r="3103" spans="1:1">
      <c r="A3103" s="2" t="s">
        <v>3069</v>
      </c>
    </row>
    <row r="3104" spans="1:1">
      <c r="A3104" s="2" t="s">
        <v>3070</v>
      </c>
    </row>
    <row r="3105" spans="1:1">
      <c r="A3105" s="2" t="s">
        <v>3071</v>
      </c>
    </row>
    <row r="3106" spans="1:1">
      <c r="A3106" s="2" t="s">
        <v>3072</v>
      </c>
    </row>
    <row r="3107" spans="1:1">
      <c r="A3107" s="2" t="s">
        <v>3073</v>
      </c>
    </row>
    <row r="3108" spans="1:1">
      <c r="A3108" s="2" t="s">
        <v>3074</v>
      </c>
    </row>
    <row r="3109" spans="1:1">
      <c r="A3109" s="2" t="s">
        <v>3075</v>
      </c>
    </row>
    <row r="3110" spans="1:1">
      <c r="A3110" s="2" t="s">
        <v>3076</v>
      </c>
    </row>
    <row r="3111" spans="1:1">
      <c r="A3111" s="2" t="s">
        <v>3077</v>
      </c>
    </row>
    <row r="3112" spans="1:1">
      <c r="A3112" s="2" t="s">
        <v>3078</v>
      </c>
    </row>
    <row r="3113" spans="1:1">
      <c r="A3113" s="2" t="s">
        <v>3079</v>
      </c>
    </row>
    <row r="3114" spans="1:1">
      <c r="A3114" s="2" t="s">
        <v>3080</v>
      </c>
    </row>
    <row r="3115" spans="1:1">
      <c r="A3115" s="2" t="s">
        <v>3081</v>
      </c>
    </row>
    <row r="3116" spans="1:1">
      <c r="A3116" s="2" t="s">
        <v>3082</v>
      </c>
    </row>
    <row r="3117" spans="1:1">
      <c r="A3117" s="2" t="s">
        <v>3083</v>
      </c>
    </row>
    <row r="3118" spans="1:1">
      <c r="A3118" s="2" t="s">
        <v>3084</v>
      </c>
    </row>
    <row r="3119" spans="1:1">
      <c r="A3119" s="2" t="s">
        <v>3085</v>
      </c>
    </row>
    <row r="3120" spans="1:1">
      <c r="A3120" s="2" t="s">
        <v>3086</v>
      </c>
    </row>
    <row r="3121" spans="1:1">
      <c r="A3121" s="2" t="s">
        <v>3087</v>
      </c>
    </row>
    <row r="3122" spans="1:1">
      <c r="A3122" s="2" t="s">
        <v>3088</v>
      </c>
    </row>
    <row r="3123" spans="1:1">
      <c r="A3123" s="2" t="s">
        <v>3089</v>
      </c>
    </row>
    <row r="3124" spans="1:1">
      <c r="A3124" s="2" t="s">
        <v>3090</v>
      </c>
    </row>
    <row r="3125" spans="1:1">
      <c r="A3125" s="2" t="s">
        <v>3091</v>
      </c>
    </row>
    <row r="3126" spans="1:1">
      <c r="A3126" s="2" t="s">
        <v>3092</v>
      </c>
    </row>
    <row r="3127" spans="1:1">
      <c r="A3127" s="2" t="s">
        <v>3093</v>
      </c>
    </row>
    <row r="3128" spans="1:1">
      <c r="A3128" s="2" t="s">
        <v>3094</v>
      </c>
    </row>
    <row r="3129" spans="1:1">
      <c r="A3129" s="2" t="s">
        <v>3095</v>
      </c>
    </row>
    <row r="3130" spans="1:1">
      <c r="A3130" s="2" t="s">
        <v>3096</v>
      </c>
    </row>
    <row r="3131" spans="1:1">
      <c r="A3131" s="1"/>
    </row>
    <row r="3132" spans="1:1">
      <c r="A3132" s="2" t="s">
        <v>3097</v>
      </c>
    </row>
    <row r="3133" spans="1:1">
      <c r="A3133" s="2" t="s">
        <v>3098</v>
      </c>
    </row>
    <row r="3134" spans="1:1">
      <c r="A3134" s="2" t="s">
        <v>3099</v>
      </c>
    </row>
    <row r="3135" spans="1:1">
      <c r="A3135" s="2" t="s">
        <v>3100</v>
      </c>
    </row>
    <row r="3136" spans="1:1">
      <c r="A3136" s="2" t="s">
        <v>3101</v>
      </c>
    </row>
    <row r="3137" spans="1:1">
      <c r="A3137" s="2" t="s">
        <v>3102</v>
      </c>
    </row>
    <row r="3138" spans="1:1">
      <c r="A3138" s="2" t="s">
        <v>3103</v>
      </c>
    </row>
    <row r="3139" spans="1:1">
      <c r="A3139" s="1"/>
    </row>
    <row r="3140" spans="1:1">
      <c r="A3140" s="2" t="s">
        <v>3104</v>
      </c>
    </row>
    <row r="3141" spans="1:1">
      <c r="A3141" s="2" t="s">
        <v>3105</v>
      </c>
    </row>
    <row r="3142" spans="1:1">
      <c r="A3142" s="1"/>
    </row>
    <row r="3143" spans="1:1">
      <c r="A3143" s="2" t="s">
        <v>3106</v>
      </c>
    </row>
    <row r="3144" spans="1:1">
      <c r="A3144" s="1"/>
    </row>
    <row r="3145" spans="1:1">
      <c r="A3145" s="2" t="s">
        <v>3107</v>
      </c>
    </row>
    <row r="3146" spans="1:1">
      <c r="A3146" s="2" t="s">
        <v>3108</v>
      </c>
    </row>
    <row r="3147" spans="1:1">
      <c r="A3147" s="2" t="s">
        <v>3109</v>
      </c>
    </row>
    <row r="3148" spans="1:1">
      <c r="A3148" s="2" t="s">
        <v>3110</v>
      </c>
    </row>
    <row r="3149" spans="1:1">
      <c r="A3149" s="2" t="s">
        <v>3111</v>
      </c>
    </row>
    <row r="3150" spans="1:1">
      <c r="A3150" s="2" t="s">
        <v>3112</v>
      </c>
    </row>
    <row r="3151" spans="1:1">
      <c r="A3151" s="1"/>
    </row>
    <row r="3152" spans="1:1">
      <c r="A3152" s="2" t="s">
        <v>3113</v>
      </c>
    </row>
    <row r="3153" spans="1:1">
      <c r="A3153" s="2" t="s">
        <v>3114</v>
      </c>
    </row>
    <row r="3154" spans="1:1">
      <c r="A3154" s="2" t="s">
        <v>3115</v>
      </c>
    </row>
    <row r="3155" spans="1:1">
      <c r="A3155" s="2" t="s">
        <v>3116</v>
      </c>
    </row>
    <row r="3156" spans="1:1">
      <c r="A3156" s="2" t="s">
        <v>3117</v>
      </c>
    </row>
    <row r="3157" spans="1:1">
      <c r="A3157" s="1"/>
    </row>
    <row r="3158" spans="1:1">
      <c r="A3158" s="2" t="s">
        <v>3118</v>
      </c>
    </row>
    <row r="3159" spans="1:1">
      <c r="A3159" s="2" t="s">
        <v>3119</v>
      </c>
    </row>
    <row r="3160" spans="1:1">
      <c r="A3160" s="1"/>
    </row>
    <row r="3161" spans="1:1">
      <c r="A3161" s="2" t="s">
        <v>3120</v>
      </c>
    </row>
    <row r="3162" spans="1:1">
      <c r="A3162" s="1"/>
    </row>
    <row r="3163" spans="1:1">
      <c r="A3163" s="2" t="s">
        <v>3121</v>
      </c>
    </row>
    <row r="3164" spans="1:1">
      <c r="A3164" s="2" t="s">
        <v>3122</v>
      </c>
    </row>
    <row r="3165" spans="1:1">
      <c r="A3165" s="2" t="s">
        <v>3123</v>
      </c>
    </row>
    <row r="3166" spans="1:1">
      <c r="A3166" s="2" t="s">
        <v>3124</v>
      </c>
    </row>
    <row r="3167" spans="1:1">
      <c r="A3167" s="2" t="s">
        <v>3125</v>
      </c>
    </row>
    <row r="3168" spans="1:1">
      <c r="A3168" s="2" t="s">
        <v>3126</v>
      </c>
    </row>
    <row r="3169" spans="1:1">
      <c r="A3169" s="2" t="s">
        <v>3127</v>
      </c>
    </row>
    <row r="3170" spans="1:1">
      <c r="A3170" s="2" t="s">
        <v>3128</v>
      </c>
    </row>
    <row r="3171" spans="1:1">
      <c r="A3171" s="2" t="s">
        <v>3129</v>
      </c>
    </row>
    <row r="3172" spans="1:1">
      <c r="A3172" s="2" t="s">
        <v>3130</v>
      </c>
    </row>
    <row r="3173" spans="1:1">
      <c r="A3173" s="2" t="s">
        <v>3131</v>
      </c>
    </row>
    <row r="3174" spans="1:1">
      <c r="A3174" s="2" t="s">
        <v>3132</v>
      </c>
    </row>
    <row r="3175" spans="1:1">
      <c r="A3175" s="2" t="s">
        <v>3133</v>
      </c>
    </row>
    <row r="3176" spans="1:1">
      <c r="A3176" s="2" t="s">
        <v>3134</v>
      </c>
    </row>
    <row r="3177" spans="1:1">
      <c r="A3177" s="2" t="s">
        <v>3135</v>
      </c>
    </row>
    <row r="3178" spans="1:1">
      <c r="A3178" s="2" t="s">
        <v>3136</v>
      </c>
    </row>
    <row r="3179" spans="1:1">
      <c r="A3179" s="2" t="s">
        <v>3137</v>
      </c>
    </row>
    <row r="3180" spans="1:1">
      <c r="A3180" s="2" t="s">
        <v>3138</v>
      </c>
    </row>
    <row r="3181" spans="1:1">
      <c r="A3181" s="2" t="s">
        <v>3139</v>
      </c>
    </row>
    <row r="3182" spans="1:1">
      <c r="A3182" s="2" t="s">
        <v>3140</v>
      </c>
    </row>
    <row r="3183" spans="1:1">
      <c r="A3183" s="2" t="s">
        <v>3141</v>
      </c>
    </row>
    <row r="3184" spans="1:1">
      <c r="A3184" s="2" t="s">
        <v>3142</v>
      </c>
    </row>
    <row r="3185" spans="1:1">
      <c r="A3185" s="2" t="s">
        <v>3143</v>
      </c>
    </row>
    <row r="3186" spans="1:1">
      <c r="A3186" s="2" t="s">
        <v>3144</v>
      </c>
    </row>
    <row r="3187" spans="1:1">
      <c r="A3187" s="2" t="s">
        <v>3145</v>
      </c>
    </row>
    <row r="3188" spans="1:1">
      <c r="A3188" s="2" t="s">
        <v>3146</v>
      </c>
    </row>
    <row r="3189" spans="1:1">
      <c r="A3189" s="2" t="s">
        <v>3147</v>
      </c>
    </row>
    <row r="3190" spans="1:1">
      <c r="A3190" s="2" t="s">
        <v>3148</v>
      </c>
    </row>
    <row r="3191" spans="1:1">
      <c r="A3191" s="2" t="s">
        <v>3149</v>
      </c>
    </row>
    <row r="3192" spans="1:1">
      <c r="A3192" s="2" t="s">
        <v>3150</v>
      </c>
    </row>
    <row r="3193" spans="1:1">
      <c r="A3193" s="2" t="s">
        <v>3151</v>
      </c>
    </row>
    <row r="3194" spans="1:1">
      <c r="A3194" s="2" t="s">
        <v>3152</v>
      </c>
    </row>
    <row r="3195" spans="1:1">
      <c r="A3195" s="2" t="s">
        <v>3153</v>
      </c>
    </row>
    <row r="3196" spans="1:1">
      <c r="A3196" s="2" t="s">
        <v>3154</v>
      </c>
    </row>
    <row r="3197" spans="1:1">
      <c r="A3197" s="2" t="s">
        <v>3155</v>
      </c>
    </row>
    <row r="3198" spans="1:1">
      <c r="A3198" s="2" t="s">
        <v>3156</v>
      </c>
    </row>
    <row r="3199" spans="1:1">
      <c r="A3199" s="2" t="s">
        <v>3157</v>
      </c>
    </row>
    <row r="3200" spans="1:1">
      <c r="A3200" s="2" t="s">
        <v>3158</v>
      </c>
    </row>
    <row r="3201" spans="1:1">
      <c r="A3201" s="2" t="s">
        <v>3159</v>
      </c>
    </row>
    <row r="3202" spans="1:1">
      <c r="A3202" s="2" t="s">
        <v>3160</v>
      </c>
    </row>
    <row r="3203" spans="1:1">
      <c r="A3203" s="2" t="s">
        <v>3161</v>
      </c>
    </row>
    <row r="3204" spans="1:1">
      <c r="A3204" s="2" t="s">
        <v>3162</v>
      </c>
    </row>
    <row r="3205" spans="1:1">
      <c r="A3205" s="2" t="s">
        <v>3163</v>
      </c>
    </row>
    <row r="3206" spans="1:1">
      <c r="A3206" s="2" t="s">
        <v>3164</v>
      </c>
    </row>
    <row r="3207" spans="1:1">
      <c r="A3207" s="2" t="s">
        <v>3165</v>
      </c>
    </row>
    <row r="3208" spans="1:1">
      <c r="A3208" s="2" t="s">
        <v>3166</v>
      </c>
    </row>
    <row r="3209" spans="1:1">
      <c r="A3209" s="2" t="s">
        <v>3167</v>
      </c>
    </row>
    <row r="3210" spans="1:1">
      <c r="A3210" s="2" t="s">
        <v>3168</v>
      </c>
    </row>
    <row r="3211" spans="1:1">
      <c r="A3211" s="2" t="s">
        <v>3169</v>
      </c>
    </row>
    <row r="3212" spans="1:1">
      <c r="A3212" s="2" t="s">
        <v>3170</v>
      </c>
    </row>
    <row r="3213" spans="1:1">
      <c r="A3213" s="2" t="s">
        <v>3171</v>
      </c>
    </row>
    <row r="3214" spans="1:1">
      <c r="A3214" s="2" t="s">
        <v>3172</v>
      </c>
    </row>
    <row r="3215" spans="1:1">
      <c r="A3215" s="2" t="s">
        <v>3173</v>
      </c>
    </row>
    <row r="3216" spans="1:1">
      <c r="A3216" s="2" t="s">
        <v>3174</v>
      </c>
    </row>
    <row r="3217" spans="1:1">
      <c r="A3217" s="2" t="s">
        <v>3175</v>
      </c>
    </row>
    <row r="3218" spans="1:1">
      <c r="A3218" s="2" t="s">
        <v>3176</v>
      </c>
    </row>
    <row r="3219" spans="1:1">
      <c r="A3219" s="2" t="s">
        <v>3177</v>
      </c>
    </row>
    <row r="3220" spans="1:1">
      <c r="A3220" s="2" t="s">
        <v>3178</v>
      </c>
    </row>
    <row r="3221" spans="1:1">
      <c r="A3221" s="2" t="s">
        <v>3179</v>
      </c>
    </row>
    <row r="3222" spans="1:1">
      <c r="A3222" s="2" t="s">
        <v>3180</v>
      </c>
    </row>
    <row r="3223" spans="1:1">
      <c r="A3223" s="2" t="s">
        <v>3181</v>
      </c>
    </row>
    <row r="3224" spans="1:1">
      <c r="A3224" s="2" t="s">
        <v>3182</v>
      </c>
    </row>
    <row r="3225" spans="1:1">
      <c r="A3225" s="2" t="s">
        <v>3183</v>
      </c>
    </row>
    <row r="3226" spans="1:1">
      <c r="A3226" s="2" t="s">
        <v>3184</v>
      </c>
    </row>
    <row r="3227" spans="1:1">
      <c r="A3227" s="2" t="s">
        <v>3185</v>
      </c>
    </row>
    <row r="3228" spans="1:1">
      <c r="A3228" s="2" t="s">
        <v>3186</v>
      </c>
    </row>
    <row r="3229" spans="1:1">
      <c r="A3229" s="2" t="s">
        <v>3187</v>
      </c>
    </row>
    <row r="3230" spans="1:1">
      <c r="A3230" s="1"/>
    </row>
    <row r="3231" spans="1:1">
      <c r="A3231" s="2" t="s">
        <v>3188</v>
      </c>
    </row>
    <row r="3232" spans="1:1">
      <c r="A3232" s="2" t="s">
        <v>3189</v>
      </c>
    </row>
    <row r="3233" spans="1:1">
      <c r="A3233" s="2" t="s">
        <v>3190</v>
      </c>
    </row>
    <row r="3234" spans="1:1">
      <c r="A3234" s="2" t="s">
        <v>3191</v>
      </c>
    </row>
    <row r="3235" spans="1:1">
      <c r="A3235" s="2" t="s">
        <v>3192</v>
      </c>
    </row>
    <row r="3236" spans="1:1">
      <c r="A3236" s="2" t="s">
        <v>3193</v>
      </c>
    </row>
    <row r="3237" spans="1:1">
      <c r="A3237" s="2" t="s">
        <v>3194</v>
      </c>
    </row>
    <row r="3238" spans="1:1">
      <c r="A3238" s="2" t="s">
        <v>3195</v>
      </c>
    </row>
    <row r="3239" spans="1:1">
      <c r="A3239" s="2" t="s">
        <v>3196</v>
      </c>
    </row>
    <row r="3240" spans="1:1">
      <c r="A3240" s="2" t="s">
        <v>3197</v>
      </c>
    </row>
    <row r="3241" spans="1:1">
      <c r="A3241" s="2" t="s">
        <v>3198</v>
      </c>
    </row>
    <row r="3242" spans="1:1">
      <c r="A3242" s="2" t="s">
        <v>3199</v>
      </c>
    </row>
    <row r="3243" spans="1:1">
      <c r="A3243" s="2" t="s">
        <v>3200</v>
      </c>
    </row>
    <row r="3244" spans="1:1">
      <c r="A3244" s="2" t="s">
        <v>3201</v>
      </c>
    </row>
    <row r="3245" spans="1:1">
      <c r="A3245" s="2" t="s">
        <v>3202</v>
      </c>
    </row>
    <row r="3246" spans="1:1">
      <c r="A3246" s="2" t="s">
        <v>3203</v>
      </c>
    </row>
    <row r="3247" spans="1:1">
      <c r="A3247" s="2" t="s">
        <v>3204</v>
      </c>
    </row>
    <row r="3248" spans="1:1">
      <c r="A3248" s="2" t="s">
        <v>3205</v>
      </c>
    </row>
    <row r="3249" spans="1:1">
      <c r="A3249" s="2" t="s">
        <v>3206</v>
      </c>
    </row>
    <row r="3250" spans="1:1">
      <c r="A3250" s="2" t="s">
        <v>3207</v>
      </c>
    </row>
    <row r="3251" spans="1:1">
      <c r="A3251" s="1"/>
    </row>
    <row r="3252" spans="1:1">
      <c r="A3252" s="2" t="s">
        <v>3208</v>
      </c>
    </row>
    <row r="3253" spans="1:1">
      <c r="A3253" s="2" t="s">
        <v>3209</v>
      </c>
    </row>
    <row r="3254" spans="1:1">
      <c r="A3254" s="1"/>
    </row>
    <row r="3255" spans="1:1">
      <c r="A3255" s="2" t="s">
        <v>3210</v>
      </c>
    </row>
    <row r="3256" spans="1:1">
      <c r="A3256" s="2" t="s">
        <v>3211</v>
      </c>
    </row>
    <row r="3257" spans="1:1">
      <c r="A3257" s="2" t="s">
        <v>3212</v>
      </c>
    </row>
    <row r="3258" spans="1:1">
      <c r="A3258" s="2" t="s">
        <v>3213</v>
      </c>
    </row>
    <row r="3259" spans="1:1">
      <c r="A3259" s="2" t="s">
        <v>3214</v>
      </c>
    </row>
    <row r="3260" spans="1:1">
      <c r="A3260" s="2" t="s">
        <v>3215</v>
      </c>
    </row>
    <row r="3261" spans="1:1">
      <c r="A3261" s="2" t="s">
        <v>3216</v>
      </c>
    </row>
    <row r="3262" spans="1:1">
      <c r="A3262" s="2" t="s">
        <v>3217</v>
      </c>
    </row>
    <row r="3263" spans="1:1">
      <c r="A3263" s="2" t="s">
        <v>3218</v>
      </c>
    </row>
    <row r="3264" spans="1:1">
      <c r="A3264" s="1"/>
    </row>
    <row r="3265" spans="1:1">
      <c r="A3265" s="2" t="s">
        <v>3219</v>
      </c>
    </row>
    <row r="3266" spans="1:1">
      <c r="A3266" s="2" t="s">
        <v>3220</v>
      </c>
    </row>
    <row r="3267" spans="1:1">
      <c r="A3267" s="2" t="s">
        <v>3221</v>
      </c>
    </row>
    <row r="3268" spans="1:1">
      <c r="A3268" s="2" t="s">
        <v>3222</v>
      </c>
    </row>
    <row r="3269" spans="1:1">
      <c r="A3269" s="2" t="s">
        <v>3223</v>
      </c>
    </row>
    <row r="3270" spans="1:1">
      <c r="A3270" s="2" t="s">
        <v>3224</v>
      </c>
    </row>
    <row r="3271" spans="1:1">
      <c r="A3271" s="2" t="s">
        <v>3225</v>
      </c>
    </row>
    <row r="3272" spans="1:1">
      <c r="A3272" s="2" t="s">
        <v>3226</v>
      </c>
    </row>
    <row r="3273" spans="1:1">
      <c r="A3273" s="2" t="s">
        <v>3227</v>
      </c>
    </row>
    <row r="3274" spans="1:1">
      <c r="A3274" s="2" t="s">
        <v>3228</v>
      </c>
    </row>
    <row r="3275" spans="1:1">
      <c r="A3275" s="2" t="s">
        <v>3229</v>
      </c>
    </row>
    <row r="3276" spans="1:1">
      <c r="A3276" s="1"/>
    </row>
    <row r="3277" spans="1:1">
      <c r="A3277" s="2" t="s">
        <v>3230</v>
      </c>
    </row>
    <row r="3278" spans="1:1">
      <c r="A3278" s="2" t="s">
        <v>3231</v>
      </c>
    </row>
    <row r="3279" spans="1:1">
      <c r="A3279" s="2" t="s">
        <v>3232</v>
      </c>
    </row>
    <row r="3280" spans="1:1">
      <c r="A3280" s="2" t="s">
        <v>3233</v>
      </c>
    </row>
    <row r="3281" spans="1:1">
      <c r="A3281" s="2" t="s">
        <v>3234</v>
      </c>
    </row>
    <row r="3282" spans="1:1">
      <c r="A3282" s="2" t="s">
        <v>3235</v>
      </c>
    </row>
    <row r="3283" spans="1:1">
      <c r="A3283" s="2" t="s">
        <v>3236</v>
      </c>
    </row>
    <row r="3284" spans="1:1">
      <c r="A3284" s="2" t="s">
        <v>3237</v>
      </c>
    </row>
    <row r="3285" spans="1:1">
      <c r="A3285" s="2" t="s">
        <v>3238</v>
      </c>
    </row>
    <row r="3286" spans="1:1">
      <c r="A3286" s="2" t="s">
        <v>3239</v>
      </c>
    </row>
    <row r="3287" spans="1:1">
      <c r="A3287" s="2" t="s">
        <v>3240</v>
      </c>
    </row>
    <row r="3288" spans="1:1">
      <c r="A3288" s="2" t="s">
        <v>3241</v>
      </c>
    </row>
    <row r="3289" spans="1:1">
      <c r="A3289" s="2" t="s">
        <v>3242</v>
      </c>
    </row>
    <row r="3290" spans="1:1">
      <c r="A3290" s="2" t="s">
        <v>3243</v>
      </c>
    </row>
    <row r="3291" spans="1:1">
      <c r="A3291" s="2" t="s">
        <v>3244</v>
      </c>
    </row>
    <row r="3292" spans="1:1">
      <c r="A3292" s="2" t="s">
        <v>3245</v>
      </c>
    </row>
    <row r="3293" spans="1:1">
      <c r="A3293" s="2" t="s">
        <v>3246</v>
      </c>
    </row>
    <row r="3294" spans="1:1">
      <c r="A3294" s="2" t="s">
        <v>3247</v>
      </c>
    </row>
    <row r="3295" spans="1:1">
      <c r="A3295" s="2" t="s">
        <v>3248</v>
      </c>
    </row>
    <row r="3296" spans="1:1">
      <c r="A3296" s="1"/>
    </row>
    <row r="3297" spans="1:1">
      <c r="A3297" s="2" t="s">
        <v>3249</v>
      </c>
    </row>
    <row r="3298" spans="1:1">
      <c r="A3298" s="2" t="s">
        <v>3250</v>
      </c>
    </row>
    <row r="3299" spans="1:1">
      <c r="A3299" s="2" t="s">
        <v>3251</v>
      </c>
    </row>
    <row r="3300" spans="1:1">
      <c r="A3300" s="2" t="s">
        <v>3252</v>
      </c>
    </row>
    <row r="3301" spans="1:1">
      <c r="A3301" s="2" t="s">
        <v>3253</v>
      </c>
    </row>
    <row r="3302" spans="1:1">
      <c r="A3302" s="2" t="s">
        <v>3254</v>
      </c>
    </row>
    <row r="3303" spans="1:1">
      <c r="A3303" s="2" t="s">
        <v>3255</v>
      </c>
    </row>
    <row r="3304" spans="1:1">
      <c r="A3304" s="2" t="s">
        <v>3256</v>
      </c>
    </row>
    <row r="3305" spans="1:1">
      <c r="A3305" s="2" t="s">
        <v>3257</v>
      </c>
    </row>
    <row r="3306" spans="1:1">
      <c r="A3306" s="2" t="s">
        <v>3258</v>
      </c>
    </row>
    <row r="3307" spans="1:1">
      <c r="A3307" s="2" t="s">
        <v>3259</v>
      </c>
    </row>
    <row r="3308" spans="1:1">
      <c r="A3308" s="2" t="s">
        <v>3260</v>
      </c>
    </row>
    <row r="3309" spans="1:1">
      <c r="A3309" s="1"/>
    </row>
    <row r="3310" spans="1:1">
      <c r="A3310" s="2" t="s">
        <v>3261</v>
      </c>
    </row>
    <row r="3311" spans="1:1">
      <c r="A3311" s="2" t="s">
        <v>3262</v>
      </c>
    </row>
    <row r="3312" spans="1:1">
      <c r="A3312" s="2" t="s">
        <v>3263</v>
      </c>
    </row>
    <row r="3313" spans="1:1">
      <c r="A3313" s="2" t="s">
        <v>3264</v>
      </c>
    </row>
    <row r="3314" spans="1:1">
      <c r="A3314" s="2" t="s">
        <v>3265</v>
      </c>
    </row>
    <row r="3315" spans="1:1">
      <c r="A3315" s="2" t="s">
        <v>3266</v>
      </c>
    </row>
    <row r="3316" spans="1:1">
      <c r="A3316" s="2" t="s">
        <v>3267</v>
      </c>
    </row>
    <row r="3317" spans="1:1">
      <c r="A3317" s="2" t="s">
        <v>3268</v>
      </c>
    </row>
    <row r="3318" spans="1:1">
      <c r="A3318" s="2" t="s">
        <v>3269</v>
      </c>
    </row>
    <row r="3319" spans="1:1">
      <c r="A3319" s="2" t="s">
        <v>3270</v>
      </c>
    </row>
    <row r="3320" spans="1:1">
      <c r="A3320" s="2" t="s">
        <v>3271</v>
      </c>
    </row>
    <row r="3321" spans="1:1">
      <c r="A3321" s="2" t="s">
        <v>3272</v>
      </c>
    </row>
    <row r="3322" spans="1:1">
      <c r="A3322" s="2" t="s">
        <v>3273</v>
      </c>
    </row>
    <row r="3323" spans="1:1">
      <c r="A3323" s="2" t="s">
        <v>3274</v>
      </c>
    </row>
    <row r="3324" spans="1:1">
      <c r="A3324" s="2" t="s">
        <v>3275</v>
      </c>
    </row>
    <row r="3325" spans="1:1">
      <c r="A3325" s="1"/>
    </row>
    <row r="3326" spans="1:1">
      <c r="A3326" s="2" t="s">
        <v>3276</v>
      </c>
    </row>
    <row r="3327" spans="1:1">
      <c r="A3327" s="2" t="s">
        <v>3277</v>
      </c>
    </row>
    <row r="3328" spans="1:1">
      <c r="A3328" s="1"/>
    </row>
    <row r="3329" spans="1:1">
      <c r="A3329" s="2" t="s">
        <v>3278</v>
      </c>
    </row>
    <row r="3330" spans="1:1">
      <c r="A3330" s="1"/>
    </row>
    <row r="3331" spans="1:1">
      <c r="A3331" s="2" t="s">
        <v>3279</v>
      </c>
    </row>
    <row r="3332" spans="1:1">
      <c r="A3332" s="2" t="s">
        <v>3280</v>
      </c>
    </row>
    <row r="3333" spans="1:1">
      <c r="A3333" s="2" t="s">
        <v>3281</v>
      </c>
    </row>
    <row r="3334" spans="1:1">
      <c r="A3334" s="2" t="s">
        <v>3282</v>
      </c>
    </row>
    <row r="3335" spans="1:1">
      <c r="A3335" s="2" t="s">
        <v>3283</v>
      </c>
    </row>
    <row r="3336" spans="1:1">
      <c r="A3336" s="2" t="s">
        <v>3284</v>
      </c>
    </row>
    <row r="3337" spans="1:1">
      <c r="A3337" s="2" t="s">
        <v>3285</v>
      </c>
    </row>
    <row r="3338" spans="1:1">
      <c r="A3338" s="2" t="s">
        <v>3286</v>
      </c>
    </row>
    <row r="3339" spans="1:1">
      <c r="A3339" s="2" t="s">
        <v>3287</v>
      </c>
    </row>
    <row r="3340" spans="1:1">
      <c r="A3340" s="2" t="s">
        <v>3288</v>
      </c>
    </row>
    <row r="3341" spans="1:1">
      <c r="A3341" s="2" t="s">
        <v>3289</v>
      </c>
    </row>
    <row r="3342" spans="1:1">
      <c r="A3342" s="2" t="s">
        <v>3290</v>
      </c>
    </row>
    <row r="3343" spans="1:1">
      <c r="A3343" s="2" t="s">
        <v>3291</v>
      </c>
    </row>
    <row r="3344" spans="1:1">
      <c r="A3344" s="2" t="s">
        <v>3292</v>
      </c>
    </row>
    <row r="3345" spans="1:1">
      <c r="A3345" s="2" t="s">
        <v>3293</v>
      </c>
    </row>
    <row r="3346" spans="1:1">
      <c r="A3346" s="2" t="s">
        <v>3294</v>
      </c>
    </row>
    <row r="3347" spans="1:1">
      <c r="A3347" s="2" t="s">
        <v>3295</v>
      </c>
    </row>
    <row r="3348" spans="1:1">
      <c r="A3348" s="2" t="s">
        <v>3296</v>
      </c>
    </row>
    <row r="3349" spans="1:1">
      <c r="A3349" s="2" t="s">
        <v>3297</v>
      </c>
    </row>
    <row r="3350" spans="1:1">
      <c r="A3350" s="2" t="s">
        <v>3298</v>
      </c>
    </row>
    <row r="3351" spans="1:1">
      <c r="A3351" s="1"/>
    </row>
    <row r="3352" spans="1:1">
      <c r="A3352" s="2" t="s">
        <v>3299</v>
      </c>
    </row>
    <row r="3353" spans="1:1">
      <c r="A3353" s="2" t="s">
        <v>3300</v>
      </c>
    </row>
    <row r="3354" spans="1:1">
      <c r="A3354" s="2" t="s">
        <v>3301</v>
      </c>
    </row>
    <row r="3355" spans="1:1">
      <c r="A3355" s="2" t="s">
        <v>3302</v>
      </c>
    </row>
    <row r="3356" spans="1:1">
      <c r="A3356" s="2" t="s">
        <v>3303</v>
      </c>
    </row>
    <row r="3357" spans="1:1">
      <c r="A3357" s="2" t="s">
        <v>3304</v>
      </c>
    </row>
    <row r="3358" spans="1:1">
      <c r="A3358" s="2" t="s">
        <v>3305</v>
      </c>
    </row>
    <row r="3359" spans="1:1">
      <c r="A3359" s="2" t="s">
        <v>3306</v>
      </c>
    </row>
    <row r="3360" spans="1:1">
      <c r="A3360" s="2" t="s">
        <v>3307</v>
      </c>
    </row>
    <row r="3361" spans="1:1">
      <c r="A3361" s="2" t="s">
        <v>3308</v>
      </c>
    </row>
    <row r="3362" spans="1:1">
      <c r="A3362" s="2" t="s">
        <v>3309</v>
      </c>
    </row>
    <row r="3363" spans="1:1">
      <c r="A3363" s="2" t="s">
        <v>3310</v>
      </c>
    </row>
    <row r="3364" spans="1:1">
      <c r="A3364" s="2" t="s">
        <v>3311</v>
      </c>
    </row>
    <row r="3365" spans="1:1">
      <c r="A3365" s="2" t="s">
        <v>3312</v>
      </c>
    </row>
    <row r="3366" spans="1:1">
      <c r="A3366" s="2" t="s">
        <v>3313</v>
      </c>
    </row>
    <row r="3367" spans="1:1">
      <c r="A3367" s="2" t="s">
        <v>3314</v>
      </c>
    </row>
    <row r="3368" spans="1:1">
      <c r="A3368" s="2" t="s">
        <v>3315</v>
      </c>
    </row>
    <row r="3369" spans="1:1">
      <c r="A3369" s="1"/>
    </row>
    <row r="3370" spans="1:1">
      <c r="A3370" s="2" t="s">
        <v>3316</v>
      </c>
    </row>
    <row r="3371" spans="1:1">
      <c r="A3371" s="2" t="s">
        <v>3317</v>
      </c>
    </row>
    <row r="3372" spans="1:1">
      <c r="A3372" s="2" t="s">
        <v>3318</v>
      </c>
    </row>
    <row r="3373" spans="1:1">
      <c r="A3373" s="2" t="s">
        <v>3319</v>
      </c>
    </row>
    <row r="3374" spans="1:1">
      <c r="A3374" s="2" t="s">
        <v>3320</v>
      </c>
    </row>
    <row r="3375" spans="1:1">
      <c r="A3375" s="2" t="s">
        <v>3321</v>
      </c>
    </row>
    <row r="3376" spans="1:1">
      <c r="A3376" s="2" t="s">
        <v>3322</v>
      </c>
    </row>
    <row r="3377" spans="1:1">
      <c r="A3377" s="2" t="s">
        <v>3323</v>
      </c>
    </row>
    <row r="3378" spans="1:1">
      <c r="A3378" s="2" t="s">
        <v>3324</v>
      </c>
    </row>
    <row r="3379" spans="1:1">
      <c r="A3379" s="2" t="s">
        <v>3325</v>
      </c>
    </row>
    <row r="3380" spans="1:1">
      <c r="A3380" s="2" t="s">
        <v>3326</v>
      </c>
    </row>
    <row r="3381" spans="1:1">
      <c r="A3381" s="2" t="s">
        <v>3327</v>
      </c>
    </row>
    <row r="3382" spans="1:1">
      <c r="A3382" s="2" t="s">
        <v>3328</v>
      </c>
    </row>
    <row r="3383" spans="1:1">
      <c r="A3383" s="2" t="s">
        <v>3329</v>
      </c>
    </row>
    <row r="3384" spans="1:1">
      <c r="A3384" s="2" t="s">
        <v>3330</v>
      </c>
    </row>
    <row r="3385" spans="1:1">
      <c r="A3385" s="2" t="s">
        <v>3331</v>
      </c>
    </row>
    <row r="3386" spans="1:1">
      <c r="A3386" s="2" t="s">
        <v>3332</v>
      </c>
    </row>
    <row r="3387" spans="1:1">
      <c r="A3387" s="2" t="s">
        <v>3333</v>
      </c>
    </row>
    <row r="3388" spans="1:1">
      <c r="A3388" s="2" t="s">
        <v>3334</v>
      </c>
    </row>
    <row r="3389" spans="1:1">
      <c r="A3389" s="2" t="s">
        <v>3335</v>
      </c>
    </row>
    <row r="3390" spans="1:1">
      <c r="A3390" s="2" t="s">
        <v>3336</v>
      </c>
    </row>
    <row r="3391" spans="1:1">
      <c r="A3391" s="2" t="s">
        <v>3337</v>
      </c>
    </row>
    <row r="3392" spans="1:1">
      <c r="A3392" s="2" t="s">
        <v>3338</v>
      </c>
    </row>
    <row r="3393" spans="1:1">
      <c r="A3393" s="2" t="s">
        <v>3339</v>
      </c>
    </row>
    <row r="3394" spans="1:1">
      <c r="A3394" s="2" t="s">
        <v>3340</v>
      </c>
    </row>
    <row r="3395" spans="1:1">
      <c r="A3395" s="2" t="s">
        <v>3341</v>
      </c>
    </row>
    <row r="3396" spans="1:1">
      <c r="A3396" s="2" t="s">
        <v>3342</v>
      </c>
    </row>
    <row r="3397" spans="1:1">
      <c r="A3397" s="2" t="s">
        <v>3343</v>
      </c>
    </row>
    <row r="3398" spans="1:1">
      <c r="A3398" s="2" t="s">
        <v>3344</v>
      </c>
    </row>
    <row r="3399" spans="1:1">
      <c r="A3399" s="2" t="s">
        <v>3345</v>
      </c>
    </row>
    <row r="3400" spans="1:1">
      <c r="A3400" s="2" t="s">
        <v>3346</v>
      </c>
    </row>
    <row r="3401" spans="1:1">
      <c r="A3401" s="2" t="s">
        <v>3347</v>
      </c>
    </row>
    <row r="3402" spans="1:1">
      <c r="A3402" s="2" t="s">
        <v>3348</v>
      </c>
    </row>
    <row r="3403" spans="1:1">
      <c r="A3403" s="2" t="s">
        <v>3349</v>
      </c>
    </row>
    <row r="3404" spans="1:1">
      <c r="A3404" s="2" t="s">
        <v>3350</v>
      </c>
    </row>
    <row r="3405" spans="1:1">
      <c r="A3405" s="1"/>
    </row>
    <row r="3406" spans="1:1">
      <c r="A3406" s="2" t="s">
        <v>3351</v>
      </c>
    </row>
    <row r="3407" spans="1:1">
      <c r="A3407" s="2" t="s">
        <v>3352</v>
      </c>
    </row>
    <row r="3408" spans="1:1">
      <c r="A3408" s="2" t="s">
        <v>3353</v>
      </c>
    </row>
    <row r="3409" spans="1:1">
      <c r="A3409" s="2" t="s">
        <v>3354</v>
      </c>
    </row>
    <row r="3410" spans="1:1">
      <c r="A3410" s="2" t="s">
        <v>3355</v>
      </c>
    </row>
    <row r="3411" spans="1:1">
      <c r="A3411" s="2" t="s">
        <v>3356</v>
      </c>
    </row>
    <row r="3412" spans="1:1">
      <c r="A3412" s="2" t="s">
        <v>3357</v>
      </c>
    </row>
    <row r="3413" spans="1:1">
      <c r="A3413" s="2" t="s">
        <v>3358</v>
      </c>
    </row>
    <row r="3414" spans="1:1">
      <c r="A3414" s="2" t="s">
        <v>3359</v>
      </c>
    </row>
    <row r="3415" spans="1:1">
      <c r="A3415" s="2" t="s">
        <v>3360</v>
      </c>
    </row>
    <row r="3416" spans="1:1">
      <c r="A3416" s="2" t="s">
        <v>3361</v>
      </c>
    </row>
    <row r="3417" spans="1:1">
      <c r="A3417" s="2" t="s">
        <v>3362</v>
      </c>
    </row>
    <row r="3418" spans="1:1">
      <c r="A3418" s="2" t="s">
        <v>3363</v>
      </c>
    </row>
    <row r="3419" spans="1:1">
      <c r="A3419" s="2" t="s">
        <v>3364</v>
      </c>
    </row>
    <row r="3420" spans="1:1">
      <c r="A3420" s="2" t="s">
        <v>3365</v>
      </c>
    </row>
    <row r="3421" spans="1:1">
      <c r="A3421" s="2" t="s">
        <v>3366</v>
      </c>
    </row>
    <row r="3422" spans="1:1">
      <c r="A3422" s="2" t="s">
        <v>3367</v>
      </c>
    </row>
    <row r="3423" spans="1:1">
      <c r="A3423" s="2" t="s">
        <v>3368</v>
      </c>
    </row>
    <row r="3424" spans="1:1">
      <c r="A3424" s="1"/>
    </row>
    <row r="3425" spans="1:1">
      <c r="A3425" s="2" t="s">
        <v>3369</v>
      </c>
    </row>
    <row r="3426" spans="1:1">
      <c r="A3426" s="2" t="s">
        <v>3370</v>
      </c>
    </row>
    <row r="3427" spans="1:1">
      <c r="A3427" s="2" t="s">
        <v>3371</v>
      </c>
    </row>
    <row r="3428" spans="1:1">
      <c r="A3428" s="2" t="s">
        <v>3372</v>
      </c>
    </row>
    <row r="3429" spans="1:1">
      <c r="A3429" s="2" t="s">
        <v>3373</v>
      </c>
    </row>
    <row r="3430" spans="1:1">
      <c r="A3430" s="2" t="s">
        <v>3374</v>
      </c>
    </row>
    <row r="3431" spans="1:1">
      <c r="A3431" s="1"/>
    </row>
    <row r="3432" spans="1:1">
      <c r="A3432" s="2" t="s">
        <v>3375</v>
      </c>
    </row>
    <row r="3433" spans="1:1">
      <c r="A3433" s="2" t="s">
        <v>3376</v>
      </c>
    </row>
    <row r="3434" spans="1:1">
      <c r="A3434" s="2" t="s">
        <v>3377</v>
      </c>
    </row>
    <row r="3435" spans="1:1">
      <c r="A3435" s="2" t="s">
        <v>3378</v>
      </c>
    </row>
    <row r="3436" spans="1:1">
      <c r="A3436" s="2" t="s">
        <v>3379</v>
      </c>
    </row>
    <row r="3437" spans="1:1">
      <c r="A3437" s="2" t="s">
        <v>3380</v>
      </c>
    </row>
    <row r="3438" spans="1:1">
      <c r="A3438" s="2" t="s">
        <v>3381</v>
      </c>
    </row>
    <row r="3439" spans="1:1">
      <c r="A3439" s="2" t="s">
        <v>3382</v>
      </c>
    </row>
    <row r="3440" spans="1:1">
      <c r="A3440" s="2" t="s">
        <v>3383</v>
      </c>
    </row>
    <row r="3441" spans="1:1">
      <c r="A3441" s="2" t="s">
        <v>3384</v>
      </c>
    </row>
    <row r="3442" spans="1:1">
      <c r="A3442" s="2" t="s">
        <v>3385</v>
      </c>
    </row>
    <row r="3443" spans="1:1">
      <c r="A3443" s="2" t="s">
        <v>3386</v>
      </c>
    </row>
    <row r="3444" spans="1:1">
      <c r="A3444" s="2" t="s">
        <v>3387</v>
      </c>
    </row>
    <row r="3445" spans="1:1">
      <c r="A3445" s="2" t="s">
        <v>3388</v>
      </c>
    </row>
    <row r="3446" spans="1:1">
      <c r="A3446" s="2" t="s">
        <v>3389</v>
      </c>
    </row>
    <row r="3447" spans="1:1">
      <c r="A3447" s="1"/>
    </row>
    <row r="3448" spans="1:1">
      <c r="A3448" s="2" t="s">
        <v>3390</v>
      </c>
    </row>
    <row r="3449" spans="1:1">
      <c r="A3449" s="2" t="s">
        <v>3391</v>
      </c>
    </row>
    <row r="3450" spans="1:1">
      <c r="A3450" s="2" t="s">
        <v>3392</v>
      </c>
    </row>
    <row r="3451" spans="1:1">
      <c r="A3451" s="2" t="s">
        <v>3393</v>
      </c>
    </row>
    <row r="3452" spans="1:1">
      <c r="A3452" s="2" t="s">
        <v>3394</v>
      </c>
    </row>
    <row r="3453" spans="1:1">
      <c r="A3453" s="2" t="s">
        <v>3395</v>
      </c>
    </row>
    <row r="3454" spans="1:1">
      <c r="A3454" s="2" t="s">
        <v>3396</v>
      </c>
    </row>
    <row r="3455" spans="1:1">
      <c r="A3455" s="2" t="s">
        <v>3397</v>
      </c>
    </row>
    <row r="3456" spans="1:1">
      <c r="A3456" s="2" t="s">
        <v>3398</v>
      </c>
    </row>
    <row r="3457" spans="1:1">
      <c r="A3457" s="2" t="s">
        <v>3399</v>
      </c>
    </row>
    <row r="3458" spans="1:1">
      <c r="A3458" s="2" t="s">
        <v>3400</v>
      </c>
    </row>
    <row r="3459" spans="1:1">
      <c r="A3459" s="2" t="s">
        <v>3401</v>
      </c>
    </row>
    <row r="3460" spans="1:1">
      <c r="A3460" s="2" t="s">
        <v>3402</v>
      </c>
    </row>
    <row r="3461" spans="1:1">
      <c r="A3461" s="2" t="s">
        <v>3403</v>
      </c>
    </row>
    <row r="3462" spans="1:1">
      <c r="A3462" s="2" t="s">
        <v>3404</v>
      </c>
    </row>
    <row r="3463" spans="1:1">
      <c r="A3463" s="2" t="s">
        <v>3405</v>
      </c>
    </row>
    <row r="3464" spans="1:1">
      <c r="A3464" s="2" t="s">
        <v>3406</v>
      </c>
    </row>
    <row r="3465" spans="1:1">
      <c r="A3465" s="2" t="s">
        <v>3407</v>
      </c>
    </row>
    <row r="3466" spans="1:1">
      <c r="A3466" s="2" t="s">
        <v>3408</v>
      </c>
    </row>
    <row r="3467" spans="1:1">
      <c r="A3467" s="2" t="s">
        <v>3409</v>
      </c>
    </row>
    <row r="3468" spans="1:1">
      <c r="A3468" s="1"/>
    </row>
    <row r="3469" spans="1:1">
      <c r="A3469" s="2" t="s">
        <v>3410</v>
      </c>
    </row>
    <row r="3470" spans="1:1">
      <c r="A3470" s="2" t="s">
        <v>3411</v>
      </c>
    </row>
    <row r="3471" spans="1:1">
      <c r="A3471" s="2" t="s">
        <v>3412</v>
      </c>
    </row>
    <row r="3472" spans="1:1">
      <c r="A3472" s="2" t="s">
        <v>3413</v>
      </c>
    </row>
    <row r="3473" spans="1:1">
      <c r="A3473" s="2" t="s">
        <v>3414</v>
      </c>
    </row>
    <row r="3474" spans="1:1">
      <c r="A3474" s="2" t="s">
        <v>3415</v>
      </c>
    </row>
    <row r="3475" spans="1:1">
      <c r="A3475" s="2" t="s">
        <v>3416</v>
      </c>
    </row>
    <row r="3476" spans="1:1">
      <c r="A3476" s="2" t="s">
        <v>3417</v>
      </c>
    </row>
    <row r="3477" spans="1:1">
      <c r="A3477" s="1"/>
    </row>
    <row r="3478" spans="1:1">
      <c r="A3478" s="2" t="s">
        <v>3418</v>
      </c>
    </row>
    <row r="3479" spans="1:1">
      <c r="A3479" s="2" t="s">
        <v>3419</v>
      </c>
    </row>
    <row r="3480" spans="1:1">
      <c r="A3480" s="1"/>
    </row>
    <row r="3481" spans="1:1">
      <c r="A3481" s="2" t="s">
        <v>3420</v>
      </c>
    </row>
    <row r="3482" spans="1:1">
      <c r="A3482" s="1"/>
    </row>
    <row r="3483" spans="1:1">
      <c r="A3483" s="2" t="s">
        <v>3421</v>
      </c>
    </row>
    <row r="3484" spans="1:1">
      <c r="A3484" s="2" t="s">
        <v>3422</v>
      </c>
    </row>
    <row r="3485" spans="1:1">
      <c r="A3485" s="2" t="s">
        <v>3423</v>
      </c>
    </row>
    <row r="3486" spans="1:1">
      <c r="A3486" s="2" t="s">
        <v>3424</v>
      </c>
    </row>
    <row r="3487" spans="1:1">
      <c r="A3487" s="2" t="s">
        <v>3425</v>
      </c>
    </row>
    <row r="3488" spans="1:1">
      <c r="A3488" s="2" t="s">
        <v>3426</v>
      </c>
    </row>
    <row r="3489" spans="1:1">
      <c r="A3489" s="2" t="s">
        <v>3427</v>
      </c>
    </row>
    <row r="3490" spans="1:1">
      <c r="A3490" s="2" t="s">
        <v>3428</v>
      </c>
    </row>
    <row r="3491" spans="1:1">
      <c r="A3491" s="2" t="s">
        <v>3429</v>
      </c>
    </row>
    <row r="3492" spans="1:1">
      <c r="A3492" s="1"/>
    </row>
    <row r="3493" spans="1:1">
      <c r="A3493" s="2" t="s">
        <v>3430</v>
      </c>
    </row>
    <row r="3494" spans="1:1">
      <c r="A3494" s="2" t="s">
        <v>3431</v>
      </c>
    </row>
    <row r="3495" spans="1:1">
      <c r="A3495" s="2" t="s">
        <v>3432</v>
      </c>
    </row>
    <row r="3496" spans="1:1">
      <c r="A3496" s="2" t="s">
        <v>3433</v>
      </c>
    </row>
    <row r="3497" spans="1:1">
      <c r="A3497" s="2" t="s">
        <v>3434</v>
      </c>
    </row>
    <row r="3498" spans="1:1">
      <c r="A3498" s="2" t="s">
        <v>3435</v>
      </c>
    </row>
    <row r="3499" spans="1:1">
      <c r="A3499" s="2" t="s">
        <v>3436</v>
      </c>
    </row>
    <row r="3500" spans="1:1">
      <c r="A3500" s="2" t="s">
        <v>3437</v>
      </c>
    </row>
    <row r="3501" spans="1:1">
      <c r="A3501" s="2" t="s">
        <v>3438</v>
      </c>
    </row>
    <row r="3502" spans="1:1">
      <c r="A3502" s="2" t="s">
        <v>3439</v>
      </c>
    </row>
    <row r="3503" spans="1:1">
      <c r="A3503" s="2" t="s">
        <v>3440</v>
      </c>
    </row>
    <row r="3504" spans="1:1">
      <c r="A3504" s="2" t="s">
        <v>3441</v>
      </c>
    </row>
    <row r="3505" spans="1:1">
      <c r="A3505" s="2" t="s">
        <v>3442</v>
      </c>
    </row>
    <row r="3506" spans="1:1">
      <c r="A3506" s="2" t="s">
        <v>3443</v>
      </c>
    </row>
    <row r="3507" spans="1:1">
      <c r="A3507" s="2" t="s">
        <v>3444</v>
      </c>
    </row>
    <row r="3508" spans="1:1">
      <c r="A3508" s="2" t="s">
        <v>3445</v>
      </c>
    </row>
    <row r="3509" spans="1:1">
      <c r="A3509" s="2" t="s">
        <v>3446</v>
      </c>
    </row>
    <row r="3510" spans="1:1">
      <c r="A3510" s="1"/>
    </row>
    <row r="3511" spans="1:1">
      <c r="A3511" s="2" t="s">
        <v>3447</v>
      </c>
    </row>
    <row r="3512" spans="1:1">
      <c r="A3512" s="2" t="s">
        <v>3448</v>
      </c>
    </row>
    <row r="3513" spans="1:1">
      <c r="A3513" s="2" t="s">
        <v>3449</v>
      </c>
    </row>
    <row r="3514" spans="1:1">
      <c r="A3514" s="2" t="s">
        <v>3450</v>
      </c>
    </row>
    <row r="3515" spans="1:1">
      <c r="A3515" s="2" t="s">
        <v>3451</v>
      </c>
    </row>
    <row r="3516" spans="1:1">
      <c r="A3516" s="2" t="s">
        <v>3452</v>
      </c>
    </row>
    <row r="3517" spans="1:1">
      <c r="A3517" s="2" t="s">
        <v>3453</v>
      </c>
    </row>
    <row r="3518" spans="1:1">
      <c r="A3518" s="2" t="s">
        <v>3454</v>
      </c>
    </row>
    <row r="3519" spans="1:1">
      <c r="A3519" s="2" t="s">
        <v>3455</v>
      </c>
    </row>
    <row r="3520" spans="1:1">
      <c r="A3520" s="2" t="s">
        <v>3456</v>
      </c>
    </row>
    <row r="3521" spans="1:1">
      <c r="A3521" s="2" t="s">
        <v>3457</v>
      </c>
    </row>
    <row r="3522" spans="1:1">
      <c r="A3522" s="2" t="s">
        <v>3458</v>
      </c>
    </row>
    <row r="3523" spans="1:1">
      <c r="A3523" s="2" t="s">
        <v>3459</v>
      </c>
    </row>
    <row r="3524" spans="1:1">
      <c r="A3524" s="2" t="s">
        <v>3460</v>
      </c>
    </row>
    <row r="3525" spans="1:1">
      <c r="A3525" s="2" t="s">
        <v>3461</v>
      </c>
    </row>
    <row r="3526" spans="1:1">
      <c r="A3526" s="2" t="s">
        <v>3462</v>
      </c>
    </row>
    <row r="3527" spans="1:1">
      <c r="A3527" s="2" t="s">
        <v>3463</v>
      </c>
    </row>
    <row r="3528" spans="1:1">
      <c r="A3528" s="2" t="s">
        <v>3464</v>
      </c>
    </row>
    <row r="3529" spans="1:1">
      <c r="A3529" s="2" t="s">
        <v>3465</v>
      </c>
    </row>
    <row r="3530" spans="1:1">
      <c r="A3530" s="2" t="s">
        <v>3466</v>
      </c>
    </row>
    <row r="3531" spans="1:1">
      <c r="A3531" s="2" t="s">
        <v>3467</v>
      </c>
    </row>
    <row r="3532" spans="1:1">
      <c r="A3532" s="2" t="s">
        <v>3468</v>
      </c>
    </row>
    <row r="3533" spans="1:1">
      <c r="A3533" s="2" t="s">
        <v>3469</v>
      </c>
    </row>
    <row r="3534" spans="1:1">
      <c r="A3534" s="2" t="s">
        <v>3470</v>
      </c>
    </row>
    <row r="3535" spans="1:1">
      <c r="A3535" s="2" t="s">
        <v>3471</v>
      </c>
    </row>
    <row r="3536" spans="1:1">
      <c r="A3536" s="2" t="s">
        <v>3472</v>
      </c>
    </row>
    <row r="3537" spans="1:1">
      <c r="A3537" s="2" t="s">
        <v>3473</v>
      </c>
    </row>
    <row r="3538" spans="1:1">
      <c r="A3538" s="2" t="s">
        <v>3474</v>
      </c>
    </row>
    <row r="3539" spans="1:1">
      <c r="A3539" s="2" t="s">
        <v>3475</v>
      </c>
    </row>
    <row r="3540" spans="1:1">
      <c r="A3540" s="2" t="s">
        <v>3476</v>
      </c>
    </row>
    <row r="3541" spans="1:1">
      <c r="A3541" s="2" t="s">
        <v>3477</v>
      </c>
    </row>
    <row r="3542" spans="1:1">
      <c r="A3542" s="2" t="s">
        <v>3478</v>
      </c>
    </row>
    <row r="3543" spans="1:1">
      <c r="A3543" s="2" t="s">
        <v>3479</v>
      </c>
    </row>
    <row r="3544" spans="1:1">
      <c r="A3544" s="1"/>
    </row>
    <row r="3545" spans="1:1">
      <c r="A3545" s="2" t="s">
        <v>3480</v>
      </c>
    </row>
    <row r="3546" spans="1:1">
      <c r="A3546" s="2" t="s">
        <v>3481</v>
      </c>
    </row>
    <row r="3547" spans="1:1">
      <c r="A3547" s="2" t="s">
        <v>3482</v>
      </c>
    </row>
    <row r="3548" spans="1:1">
      <c r="A3548" s="2" t="s">
        <v>3483</v>
      </c>
    </row>
    <row r="3549" spans="1:1">
      <c r="A3549" s="2" t="s">
        <v>3484</v>
      </c>
    </row>
    <row r="3550" spans="1:1">
      <c r="A3550" s="2" t="s">
        <v>3485</v>
      </c>
    </row>
    <row r="3551" spans="1:1">
      <c r="A3551" s="2" t="s">
        <v>3486</v>
      </c>
    </row>
    <row r="3552" spans="1:1">
      <c r="A3552" s="2" t="s">
        <v>3487</v>
      </c>
    </row>
    <row r="3553" spans="1:1">
      <c r="A3553" s="1"/>
    </row>
    <row r="3554" spans="1:1">
      <c r="A3554" s="2" t="s">
        <v>3488</v>
      </c>
    </row>
    <row r="3555" spans="1:1">
      <c r="A3555" s="2" t="s">
        <v>3489</v>
      </c>
    </row>
    <row r="3556" spans="1:1">
      <c r="A3556" s="2" t="s">
        <v>3490</v>
      </c>
    </row>
    <row r="3557" spans="1:1">
      <c r="A3557" s="2" t="s">
        <v>3491</v>
      </c>
    </row>
    <row r="3558" spans="1:1">
      <c r="A3558" s="2" t="s">
        <v>3492</v>
      </c>
    </row>
    <row r="3559" spans="1:1">
      <c r="A3559" s="2" t="s">
        <v>3493</v>
      </c>
    </row>
    <row r="3560" spans="1:1">
      <c r="A3560" s="2" t="s">
        <v>3494</v>
      </c>
    </row>
    <row r="3561" spans="1:1">
      <c r="A3561" s="2" t="s">
        <v>3495</v>
      </c>
    </row>
    <row r="3562" spans="1:1">
      <c r="A3562" s="2" t="s">
        <v>3496</v>
      </c>
    </row>
    <row r="3563" spans="1:1">
      <c r="A3563" s="2" t="s">
        <v>3497</v>
      </c>
    </row>
    <row r="3564" spans="1:1">
      <c r="A3564" s="2" t="s">
        <v>3498</v>
      </c>
    </row>
    <row r="3565" spans="1:1">
      <c r="A3565" s="2" t="s">
        <v>3499</v>
      </c>
    </row>
    <row r="3566" spans="1:1">
      <c r="A3566" s="2" t="s">
        <v>3500</v>
      </c>
    </row>
    <row r="3567" spans="1:1">
      <c r="A3567" s="2" t="s">
        <v>3501</v>
      </c>
    </row>
    <row r="3568" spans="1:1">
      <c r="A3568" s="2" t="s">
        <v>3502</v>
      </c>
    </row>
    <row r="3569" spans="1:1">
      <c r="A3569" s="2" t="s">
        <v>3503</v>
      </c>
    </row>
    <row r="3570" spans="1:1">
      <c r="A3570" s="2" t="s">
        <v>3504</v>
      </c>
    </row>
    <row r="3571" spans="1:1">
      <c r="A3571" s="2" t="s">
        <v>3505</v>
      </c>
    </row>
    <row r="3572" spans="1:1">
      <c r="A3572" s="2" t="s">
        <v>3506</v>
      </c>
    </row>
    <row r="3573" spans="1:1">
      <c r="A3573" s="1"/>
    </row>
    <row r="3574" spans="1:1">
      <c r="A3574" s="2" t="s">
        <v>3507</v>
      </c>
    </row>
    <row r="3575" spans="1:1">
      <c r="A3575" s="2" t="s">
        <v>3508</v>
      </c>
    </row>
    <row r="3576" spans="1:1">
      <c r="A3576" s="2" t="s">
        <v>3509</v>
      </c>
    </row>
    <row r="3577" spans="1:1">
      <c r="A3577" s="2" t="s">
        <v>3510</v>
      </c>
    </row>
    <row r="3578" spans="1:1">
      <c r="A3578" s="2" t="s">
        <v>3511</v>
      </c>
    </row>
    <row r="3579" spans="1:1">
      <c r="A3579" s="2" t="s">
        <v>3512</v>
      </c>
    </row>
    <row r="3580" spans="1:1">
      <c r="A3580" s="2" t="s">
        <v>3513</v>
      </c>
    </row>
    <row r="3581" spans="1:1">
      <c r="A3581" s="2" t="s">
        <v>3514</v>
      </c>
    </row>
    <row r="3582" spans="1:1">
      <c r="A3582" s="2" t="s">
        <v>3515</v>
      </c>
    </row>
    <row r="3583" spans="1:1">
      <c r="A3583" s="2" t="s">
        <v>3516</v>
      </c>
    </row>
    <row r="3584" spans="1:1">
      <c r="A3584" s="2" t="s">
        <v>3517</v>
      </c>
    </row>
    <row r="3585" spans="1:1">
      <c r="A3585" s="2" t="s">
        <v>3518</v>
      </c>
    </row>
    <row r="3586" spans="1:1">
      <c r="A3586" s="2" t="s">
        <v>3519</v>
      </c>
    </row>
    <row r="3587" spans="1:1">
      <c r="A3587" s="2" t="s">
        <v>3520</v>
      </c>
    </row>
    <row r="3588" spans="1:1">
      <c r="A3588" s="2" t="s">
        <v>3521</v>
      </c>
    </row>
    <row r="3589" spans="1:1">
      <c r="A3589" s="2" t="s">
        <v>3522</v>
      </c>
    </row>
    <row r="3590" spans="1:1">
      <c r="A3590" s="2" t="s">
        <v>3523</v>
      </c>
    </row>
    <row r="3591" spans="1:1">
      <c r="A3591" s="2" t="s">
        <v>3524</v>
      </c>
    </row>
    <row r="3592" spans="1:1">
      <c r="A3592" s="2" t="s">
        <v>3525</v>
      </c>
    </row>
    <row r="3593" spans="1:1">
      <c r="A3593" s="2" t="s">
        <v>3526</v>
      </c>
    </row>
    <row r="3594" spans="1:1">
      <c r="A3594" s="2" t="s">
        <v>3527</v>
      </c>
    </row>
    <row r="3595" spans="1:1">
      <c r="A3595" s="2" t="s">
        <v>3528</v>
      </c>
    </row>
    <row r="3596" spans="1:1">
      <c r="A3596" s="2" t="s">
        <v>3529</v>
      </c>
    </row>
    <row r="3597" spans="1:1">
      <c r="A3597" s="2" t="s">
        <v>3530</v>
      </c>
    </row>
    <row r="3598" spans="1:1">
      <c r="A3598" s="2" t="s">
        <v>3531</v>
      </c>
    </row>
    <row r="3599" spans="1:1">
      <c r="A3599" s="2" t="s">
        <v>3532</v>
      </c>
    </row>
    <row r="3600" spans="1:1">
      <c r="A3600" s="2" t="s">
        <v>3533</v>
      </c>
    </row>
    <row r="3601" spans="1:1">
      <c r="A3601" s="2" t="s">
        <v>3534</v>
      </c>
    </row>
    <row r="3602" spans="1:1">
      <c r="A3602" s="2" t="s">
        <v>3535</v>
      </c>
    </row>
    <row r="3603" spans="1:1">
      <c r="A3603" s="2" t="s">
        <v>3536</v>
      </c>
    </row>
    <row r="3604" spans="1:1">
      <c r="A3604" s="2" t="s">
        <v>3537</v>
      </c>
    </row>
    <row r="3605" spans="1:1">
      <c r="A3605" s="2" t="s">
        <v>3538</v>
      </c>
    </row>
    <row r="3606" spans="1:1">
      <c r="A3606" s="2" t="s">
        <v>3539</v>
      </c>
    </row>
    <row r="3607" spans="1:1">
      <c r="A3607" s="2" t="s">
        <v>3540</v>
      </c>
    </row>
    <row r="3608" spans="1:1">
      <c r="A3608" s="2" t="s">
        <v>3541</v>
      </c>
    </row>
    <row r="3609" spans="1:1">
      <c r="A3609" s="2" t="s">
        <v>3542</v>
      </c>
    </row>
    <row r="3610" spans="1:1">
      <c r="A3610" s="2" t="s">
        <v>3543</v>
      </c>
    </row>
    <row r="3611" spans="1:1">
      <c r="A3611" s="2" t="s">
        <v>3544</v>
      </c>
    </row>
    <row r="3612" spans="1:1">
      <c r="A3612" s="2" t="s">
        <v>3545</v>
      </c>
    </row>
    <row r="3613" spans="1:1">
      <c r="A3613" s="2" t="s">
        <v>3546</v>
      </c>
    </row>
    <row r="3614" spans="1:1">
      <c r="A3614" s="2" t="s">
        <v>3547</v>
      </c>
    </row>
    <row r="3615" spans="1:1">
      <c r="A3615" s="2" t="s">
        <v>3548</v>
      </c>
    </row>
    <row r="3616" spans="1:1">
      <c r="A3616" s="2" t="s">
        <v>3549</v>
      </c>
    </row>
    <row r="3617" spans="1:1">
      <c r="A3617" s="2" t="s">
        <v>3550</v>
      </c>
    </row>
    <row r="3618" spans="1:1">
      <c r="A3618" s="2" t="s">
        <v>3551</v>
      </c>
    </row>
    <row r="3619" spans="1:1">
      <c r="A3619" s="2" t="s">
        <v>3552</v>
      </c>
    </row>
    <row r="3620" spans="1:1">
      <c r="A3620" s="2" t="s">
        <v>3553</v>
      </c>
    </row>
    <row r="3621" spans="1:1">
      <c r="A3621" s="2" t="s">
        <v>3554</v>
      </c>
    </row>
    <row r="3622" spans="1:1">
      <c r="A3622" s="2" t="s">
        <v>3555</v>
      </c>
    </row>
    <row r="3623" spans="1:1">
      <c r="A3623" s="2" t="s">
        <v>3556</v>
      </c>
    </row>
    <row r="3624" spans="1:1">
      <c r="A3624" s="2" t="s">
        <v>3557</v>
      </c>
    </row>
    <row r="3625" spans="1:1">
      <c r="A3625" s="2" t="s">
        <v>3558</v>
      </c>
    </row>
    <row r="3626" spans="1:1">
      <c r="A3626" s="2" t="s">
        <v>3559</v>
      </c>
    </row>
    <row r="3627" spans="1:1">
      <c r="A3627" s="2" t="s">
        <v>3560</v>
      </c>
    </row>
    <row r="3628" spans="1:1">
      <c r="A3628" s="2" t="s">
        <v>3561</v>
      </c>
    </row>
    <row r="3629" spans="1:1">
      <c r="A3629" s="1"/>
    </row>
    <row r="3630" spans="1:1">
      <c r="A3630" s="2" t="s">
        <v>3562</v>
      </c>
    </row>
    <row r="3631" spans="1:1">
      <c r="A3631" s="2" t="s">
        <v>3563</v>
      </c>
    </row>
    <row r="3632" spans="1:1">
      <c r="A3632" s="2" t="s">
        <v>3564</v>
      </c>
    </row>
    <row r="3633" spans="1:1">
      <c r="A3633" s="2" t="s">
        <v>3565</v>
      </c>
    </row>
    <row r="3634" spans="1:1">
      <c r="A3634" s="2" t="s">
        <v>3566</v>
      </c>
    </row>
    <row r="3635" spans="1:1">
      <c r="A3635" s="2" t="s">
        <v>3567</v>
      </c>
    </row>
    <row r="3636" spans="1:1">
      <c r="A3636" s="2" t="s">
        <v>3568</v>
      </c>
    </row>
    <row r="3637" spans="1:1">
      <c r="A3637" s="2" t="s">
        <v>3569</v>
      </c>
    </row>
    <row r="3638" spans="1:1">
      <c r="A3638" s="2" t="s">
        <v>3570</v>
      </c>
    </row>
    <row r="3639" spans="1:1">
      <c r="A3639" s="2" t="s">
        <v>3571</v>
      </c>
    </row>
    <row r="3640" spans="1:1">
      <c r="A3640" s="2" t="s">
        <v>3572</v>
      </c>
    </row>
    <row r="3641" spans="1:1">
      <c r="A3641" s="2" t="s">
        <v>3573</v>
      </c>
    </row>
    <row r="3642" spans="1:1">
      <c r="A3642" s="1"/>
    </row>
    <row r="3643" spans="1:1">
      <c r="A3643" s="2" t="s">
        <v>3574</v>
      </c>
    </row>
    <row r="3644" spans="1:1">
      <c r="A3644" s="2" t="s">
        <v>3575</v>
      </c>
    </row>
    <row r="3645" spans="1:1">
      <c r="A3645" s="2" t="s">
        <v>3576</v>
      </c>
    </row>
    <row r="3646" spans="1:1">
      <c r="A3646" s="2" t="s">
        <v>3577</v>
      </c>
    </row>
    <row r="3647" spans="1:1">
      <c r="A3647" s="2" t="s">
        <v>3578</v>
      </c>
    </row>
    <row r="3648" spans="1:1">
      <c r="A3648" s="2" t="s">
        <v>3579</v>
      </c>
    </row>
    <row r="3649" spans="1:1">
      <c r="A3649" s="2" t="s">
        <v>3580</v>
      </c>
    </row>
    <row r="3650" spans="1:1">
      <c r="A3650" s="2" t="s">
        <v>3581</v>
      </c>
    </row>
    <row r="3651" spans="1:1">
      <c r="A3651" s="2" t="s">
        <v>3582</v>
      </c>
    </row>
    <row r="3652" spans="1:1">
      <c r="A3652" s="2" t="s">
        <v>3583</v>
      </c>
    </row>
    <row r="3653" spans="1:1">
      <c r="A3653" s="2" t="s">
        <v>3584</v>
      </c>
    </row>
    <row r="3654" spans="1:1">
      <c r="A3654" s="2" t="s">
        <v>3585</v>
      </c>
    </row>
    <row r="3655" spans="1:1">
      <c r="A3655" s="2" t="s">
        <v>3586</v>
      </c>
    </row>
    <row r="3656" spans="1:1">
      <c r="A3656" s="2" t="s">
        <v>3587</v>
      </c>
    </row>
    <row r="3657" spans="1:1">
      <c r="A3657" s="2" t="s">
        <v>3588</v>
      </c>
    </row>
    <row r="3658" spans="1:1">
      <c r="A3658" s="2" t="s">
        <v>3589</v>
      </c>
    </row>
    <row r="3659" spans="1:1">
      <c r="A3659" s="2" t="s">
        <v>3590</v>
      </c>
    </row>
    <row r="3660" spans="1:1">
      <c r="A3660" s="1"/>
    </row>
    <row r="3661" spans="1:1">
      <c r="A3661" s="2" t="s">
        <v>3591</v>
      </c>
    </row>
    <row r="3662" spans="1:1">
      <c r="A3662" s="2" t="s">
        <v>3592</v>
      </c>
    </row>
    <row r="3663" spans="1:1">
      <c r="A3663" s="2" t="s">
        <v>3593</v>
      </c>
    </row>
    <row r="3664" spans="1:1">
      <c r="A3664" s="2" t="s">
        <v>3594</v>
      </c>
    </row>
    <row r="3665" spans="1:1">
      <c r="A3665" s="1"/>
    </row>
    <row r="3666" spans="1:1">
      <c r="A3666" s="2" t="s">
        <v>3595</v>
      </c>
    </row>
    <row r="3667" spans="1:1">
      <c r="A3667" s="2" t="s">
        <v>3596</v>
      </c>
    </row>
    <row r="3668" spans="1:1">
      <c r="A3668" s="2" t="s">
        <v>3597</v>
      </c>
    </row>
    <row r="3669" spans="1:1">
      <c r="A3669" s="2" t="s">
        <v>3598</v>
      </c>
    </row>
    <row r="3670" spans="1:1">
      <c r="A3670" s="2" t="s">
        <v>3599</v>
      </c>
    </row>
    <row r="3671" spans="1:1">
      <c r="A3671" s="2" t="s">
        <v>3600</v>
      </c>
    </row>
    <row r="3672" spans="1:1">
      <c r="A3672" s="2" t="s">
        <v>3601</v>
      </c>
    </row>
    <row r="3673" spans="1:1">
      <c r="A3673" s="2" t="s">
        <v>3602</v>
      </c>
    </row>
    <row r="3674" spans="1:1">
      <c r="A3674" s="2" t="s">
        <v>3603</v>
      </c>
    </row>
    <row r="3675" spans="1:1">
      <c r="A3675" s="2" t="s">
        <v>3604</v>
      </c>
    </row>
    <row r="3676" spans="1:1">
      <c r="A3676" s="2" t="s">
        <v>3605</v>
      </c>
    </row>
    <row r="3677" spans="1:1">
      <c r="A3677" s="2" t="s">
        <v>3606</v>
      </c>
    </row>
    <row r="3678" spans="1:1">
      <c r="A3678" s="2" t="s">
        <v>3607</v>
      </c>
    </row>
    <row r="3679" spans="1:1">
      <c r="A3679" s="2" t="s">
        <v>3608</v>
      </c>
    </row>
    <row r="3680" spans="1:1">
      <c r="A3680" s="2" t="s">
        <v>3609</v>
      </c>
    </row>
    <row r="3681" spans="1:1">
      <c r="A3681" s="2" t="s">
        <v>3610</v>
      </c>
    </row>
    <row r="3682" spans="1:1">
      <c r="A3682" s="2" t="s">
        <v>3611</v>
      </c>
    </row>
    <row r="3683" spans="1:1">
      <c r="A3683" s="2" t="s">
        <v>3612</v>
      </c>
    </row>
    <row r="3684" spans="1:1">
      <c r="A3684" s="2" t="s">
        <v>3613</v>
      </c>
    </row>
    <row r="3685" spans="1:1">
      <c r="A3685" s="2" t="s">
        <v>3614</v>
      </c>
    </row>
    <row r="3686" spans="1:1">
      <c r="A3686" s="2" t="s">
        <v>3615</v>
      </c>
    </row>
    <row r="3687" spans="1:1">
      <c r="A3687" s="2" t="s">
        <v>3616</v>
      </c>
    </row>
    <row r="3688" spans="1:1">
      <c r="A3688" s="2" t="s">
        <v>3617</v>
      </c>
    </row>
    <row r="3689" spans="1:1">
      <c r="A3689" s="2" t="s">
        <v>3618</v>
      </c>
    </row>
    <row r="3690" spans="1:1">
      <c r="A3690" s="2" t="s">
        <v>3619</v>
      </c>
    </row>
    <row r="3691" spans="1:1">
      <c r="A3691" s="2" t="s">
        <v>3620</v>
      </c>
    </row>
    <row r="3692" spans="1:1">
      <c r="A3692" s="2" t="s">
        <v>3621</v>
      </c>
    </row>
    <row r="3693" spans="1:1">
      <c r="A3693" s="2" t="s">
        <v>3622</v>
      </c>
    </row>
    <row r="3694" spans="1:1">
      <c r="A3694" s="2" t="s">
        <v>3623</v>
      </c>
    </row>
    <row r="3695" spans="1:1">
      <c r="A3695" s="2" t="s">
        <v>3624</v>
      </c>
    </row>
    <row r="3696" spans="1:1">
      <c r="A3696" s="2" t="s">
        <v>3625</v>
      </c>
    </row>
    <row r="3697" spans="1:1">
      <c r="A3697" s="2" t="s">
        <v>3626</v>
      </c>
    </row>
    <row r="3698" spans="1:1">
      <c r="A3698" s="2" t="s">
        <v>3627</v>
      </c>
    </row>
    <row r="3699" spans="1:1">
      <c r="A3699" s="2" t="s">
        <v>3628</v>
      </c>
    </row>
    <row r="3700" spans="1:1">
      <c r="A3700" s="2" t="s">
        <v>3629</v>
      </c>
    </row>
    <row r="3701" spans="1:1">
      <c r="A3701" s="1"/>
    </row>
    <row r="3702" spans="1:1">
      <c r="A3702" s="2" t="s">
        <v>3630</v>
      </c>
    </row>
    <row r="3703" spans="1:1">
      <c r="A3703" s="2" t="s">
        <v>3631</v>
      </c>
    </row>
    <row r="3704" spans="1:1">
      <c r="A3704" s="2" t="s">
        <v>3632</v>
      </c>
    </row>
    <row r="3705" spans="1:1">
      <c r="A3705" s="2" t="s">
        <v>3633</v>
      </c>
    </row>
    <row r="3706" spans="1:1">
      <c r="A3706" s="2" t="s">
        <v>3634</v>
      </c>
    </row>
    <row r="3707" spans="1:1">
      <c r="A3707" s="2" t="s">
        <v>3635</v>
      </c>
    </row>
    <row r="3708" spans="1:1">
      <c r="A3708" s="2" t="s">
        <v>3636</v>
      </c>
    </row>
    <row r="3709" spans="1:1">
      <c r="A3709" s="2" t="s">
        <v>3637</v>
      </c>
    </row>
    <row r="3710" spans="1:1">
      <c r="A3710" s="2" t="s">
        <v>3638</v>
      </c>
    </row>
    <row r="3711" spans="1:1">
      <c r="A3711" s="2" t="s">
        <v>3639</v>
      </c>
    </row>
    <row r="3712" spans="1:1">
      <c r="A3712" s="2" t="s">
        <v>3640</v>
      </c>
    </row>
    <row r="3713" spans="1:1">
      <c r="A3713" s="2" t="s">
        <v>3641</v>
      </c>
    </row>
    <row r="3714" spans="1:1">
      <c r="A3714" s="2" t="s">
        <v>3642</v>
      </c>
    </row>
    <row r="3715" spans="1:1">
      <c r="A3715" s="2" t="s">
        <v>3643</v>
      </c>
    </row>
    <row r="3716" spans="1:1">
      <c r="A3716" s="2" t="s">
        <v>3644</v>
      </c>
    </row>
    <row r="3717" spans="1:1">
      <c r="A3717" s="2" t="s">
        <v>3645</v>
      </c>
    </row>
    <row r="3718" spans="1:1">
      <c r="A3718" s="2" t="s">
        <v>3646</v>
      </c>
    </row>
    <row r="3719" spans="1:1">
      <c r="A3719" s="2" t="s">
        <v>3647</v>
      </c>
    </row>
    <row r="3720" spans="1:1">
      <c r="A3720" s="2" t="s">
        <v>3648</v>
      </c>
    </row>
    <row r="3721" spans="1:1">
      <c r="A3721" s="2" t="s">
        <v>3649</v>
      </c>
    </row>
    <row r="3722" spans="1:1">
      <c r="A3722" s="2" t="s">
        <v>3650</v>
      </c>
    </row>
    <row r="3723" spans="1:1">
      <c r="A3723" s="2" t="s">
        <v>3651</v>
      </c>
    </row>
    <row r="3724" spans="1:1">
      <c r="A3724" s="2" t="s">
        <v>3652</v>
      </c>
    </row>
    <row r="3725" spans="1:1">
      <c r="A3725" s="2" t="s">
        <v>3653</v>
      </c>
    </row>
    <row r="3726" spans="1:1">
      <c r="A3726" s="2" t="s">
        <v>3654</v>
      </c>
    </row>
    <row r="3727" spans="1:1">
      <c r="A3727" s="2" t="s">
        <v>3655</v>
      </c>
    </row>
    <row r="3728" spans="1:1">
      <c r="A3728" s="2" t="s">
        <v>3656</v>
      </c>
    </row>
    <row r="3729" spans="1:1">
      <c r="A3729" s="2" t="s">
        <v>3657</v>
      </c>
    </row>
    <row r="3730" spans="1:1">
      <c r="A3730" s="2" t="s">
        <v>3658</v>
      </c>
    </row>
    <row r="3731" spans="1:1">
      <c r="A3731" s="2" t="s">
        <v>3659</v>
      </c>
    </row>
    <row r="3732" spans="1:1">
      <c r="A3732" s="2" t="s">
        <v>3660</v>
      </c>
    </row>
    <row r="3733" spans="1:1">
      <c r="A3733" s="2" t="s">
        <v>3661</v>
      </c>
    </row>
    <row r="3734" spans="1:1">
      <c r="A3734" s="2" t="s">
        <v>3662</v>
      </c>
    </row>
    <row r="3735" spans="1:1">
      <c r="A3735" s="2" t="s">
        <v>3663</v>
      </c>
    </row>
    <row r="3736" spans="1:1">
      <c r="A3736" s="2" t="s">
        <v>3664</v>
      </c>
    </row>
    <row r="3737" spans="1:1">
      <c r="A3737" s="2" t="s">
        <v>3665</v>
      </c>
    </row>
    <row r="3738" spans="1:1">
      <c r="A3738" s="2" t="s">
        <v>3666</v>
      </c>
    </row>
    <row r="3739" spans="1:1">
      <c r="A3739" s="2" t="s">
        <v>3667</v>
      </c>
    </row>
    <row r="3740" spans="1:1">
      <c r="A3740" s="2" t="s">
        <v>3668</v>
      </c>
    </row>
    <row r="3741" spans="1:1">
      <c r="A3741" s="2" t="s">
        <v>3669</v>
      </c>
    </row>
    <row r="3742" spans="1:1">
      <c r="A3742" s="2" t="s">
        <v>3670</v>
      </c>
    </row>
    <row r="3743" spans="1:1">
      <c r="A3743" s="2" t="s">
        <v>3671</v>
      </c>
    </row>
    <row r="3744" spans="1:1">
      <c r="A3744" s="2" t="s">
        <v>3672</v>
      </c>
    </row>
    <row r="3745" spans="1:1">
      <c r="A3745" s="2" t="s">
        <v>3673</v>
      </c>
    </row>
    <row r="3746" spans="1:1">
      <c r="A3746" s="2" t="s">
        <v>3674</v>
      </c>
    </row>
    <row r="3747" spans="1:1">
      <c r="A3747" s="2" t="s">
        <v>3675</v>
      </c>
    </row>
    <row r="3748" spans="1:1">
      <c r="A3748" s="2" t="s">
        <v>3676</v>
      </c>
    </row>
    <row r="3749" spans="1:1">
      <c r="A3749" s="2" t="s">
        <v>3677</v>
      </c>
    </row>
    <row r="3750" spans="1:1">
      <c r="A3750" s="2" t="s">
        <v>3678</v>
      </c>
    </row>
    <row r="3751" spans="1:1">
      <c r="A3751" s="2" t="s">
        <v>3679</v>
      </c>
    </row>
    <row r="3752" spans="1:1">
      <c r="A3752" s="2" t="s">
        <v>3680</v>
      </c>
    </row>
    <row r="3753" spans="1:1">
      <c r="A3753" s="2" t="s">
        <v>3681</v>
      </c>
    </row>
    <row r="3754" spans="1:1">
      <c r="A3754" s="2" t="s">
        <v>3682</v>
      </c>
    </row>
    <row r="3755" spans="1:1">
      <c r="A3755" s="2" t="s">
        <v>3683</v>
      </c>
    </row>
    <row r="3756" spans="1:1">
      <c r="A3756" s="2" t="s">
        <v>3684</v>
      </c>
    </row>
    <row r="3757" spans="1:1">
      <c r="A3757" s="2" t="s">
        <v>3685</v>
      </c>
    </row>
    <row r="3758" spans="1:1">
      <c r="A3758" s="2" t="s">
        <v>3686</v>
      </c>
    </row>
    <row r="3759" spans="1:1">
      <c r="A3759" s="2" t="s">
        <v>3687</v>
      </c>
    </row>
    <row r="3760" spans="1:1">
      <c r="A3760" s="2" t="s">
        <v>3688</v>
      </c>
    </row>
    <row r="3761" spans="1:1">
      <c r="A3761" s="2" t="s">
        <v>3689</v>
      </c>
    </row>
    <row r="3762" spans="1:1">
      <c r="A3762" s="2" t="s">
        <v>3690</v>
      </c>
    </row>
    <row r="3763" spans="1:1">
      <c r="A3763" s="2" t="s">
        <v>3691</v>
      </c>
    </row>
    <row r="3764" spans="1:1">
      <c r="A3764" s="2" t="s">
        <v>3692</v>
      </c>
    </row>
    <row r="3765" spans="1:1">
      <c r="A3765" s="2" t="s">
        <v>3693</v>
      </c>
    </row>
    <row r="3766" spans="1:1">
      <c r="A3766" s="2" t="s">
        <v>3694</v>
      </c>
    </row>
    <row r="3767" spans="1:1">
      <c r="A3767" s="2" t="s">
        <v>3695</v>
      </c>
    </row>
    <row r="3768" spans="1:1">
      <c r="A3768" s="1"/>
    </row>
    <row r="3769" spans="1:1">
      <c r="A3769" s="2" t="s">
        <v>3696</v>
      </c>
    </row>
    <row r="3770" spans="1:1">
      <c r="A3770" s="2" t="s">
        <v>3697</v>
      </c>
    </row>
    <row r="3771" spans="1:1">
      <c r="A3771" s="1"/>
    </row>
    <row r="3772" spans="1:1">
      <c r="A3772" s="2" t="s">
        <v>3698</v>
      </c>
    </row>
    <row r="3773" spans="1:1">
      <c r="A3773" s="1"/>
    </row>
    <row r="3774" spans="1:1">
      <c r="A3774" s="2" t="s">
        <v>3699</v>
      </c>
    </row>
    <row r="3775" spans="1:1">
      <c r="A3775" s="2" t="s">
        <v>3700</v>
      </c>
    </row>
    <row r="3776" spans="1:1">
      <c r="A3776" s="2" t="s">
        <v>3701</v>
      </c>
    </row>
    <row r="3777" spans="1:1">
      <c r="A3777" s="2" t="s">
        <v>3702</v>
      </c>
    </row>
    <row r="3778" spans="1:1">
      <c r="A3778" s="2" t="s">
        <v>3703</v>
      </c>
    </row>
    <row r="3779" spans="1:1">
      <c r="A3779" s="2" t="s">
        <v>3704</v>
      </c>
    </row>
    <row r="3780" spans="1:1">
      <c r="A3780" s="2" t="s">
        <v>3705</v>
      </c>
    </row>
    <row r="3781" spans="1:1">
      <c r="A3781" s="2" t="s">
        <v>3706</v>
      </c>
    </row>
    <row r="3782" spans="1:1">
      <c r="A3782" s="2" t="s">
        <v>3707</v>
      </c>
    </row>
    <row r="3783" spans="1:1">
      <c r="A3783" s="2" t="s">
        <v>3708</v>
      </c>
    </row>
    <row r="3784" spans="1:1">
      <c r="A3784" s="2" t="s">
        <v>3709</v>
      </c>
    </row>
    <row r="3785" spans="1:1">
      <c r="A3785" s="2" t="s">
        <v>3710</v>
      </c>
    </row>
    <row r="3786" spans="1:1">
      <c r="A3786" s="2" t="s">
        <v>3711</v>
      </c>
    </row>
    <row r="3787" spans="1:1">
      <c r="A3787" s="2" t="s">
        <v>3712</v>
      </c>
    </row>
    <row r="3788" spans="1:1">
      <c r="A3788" s="2" t="s">
        <v>3713</v>
      </c>
    </row>
    <row r="3789" spans="1:1">
      <c r="A3789" s="2" t="s">
        <v>3714</v>
      </c>
    </row>
    <row r="3790" spans="1:1">
      <c r="A3790" s="2" t="s">
        <v>3715</v>
      </c>
    </row>
    <row r="3791" spans="1:1">
      <c r="A3791" s="2" t="s">
        <v>3716</v>
      </c>
    </row>
    <row r="3792" spans="1:1">
      <c r="A3792" s="2" t="s">
        <v>3717</v>
      </c>
    </row>
    <row r="3793" spans="1:1">
      <c r="A3793" s="2" t="s">
        <v>3718</v>
      </c>
    </row>
    <row r="3794" spans="1:1">
      <c r="A3794" s="2" t="s">
        <v>3719</v>
      </c>
    </row>
    <row r="3795" spans="1:1">
      <c r="A3795" s="2" t="s">
        <v>3720</v>
      </c>
    </row>
    <row r="3796" spans="1:1">
      <c r="A3796" s="2" t="s">
        <v>3721</v>
      </c>
    </row>
    <row r="3797" spans="1:1">
      <c r="A3797" s="2" t="s">
        <v>3722</v>
      </c>
    </row>
    <row r="3798" spans="1:1">
      <c r="A3798" s="1"/>
    </row>
    <row r="3799" spans="1:1">
      <c r="A3799" s="2" t="s">
        <v>3723</v>
      </c>
    </row>
    <row r="3800" spans="1:1">
      <c r="A3800" s="2" t="s">
        <v>3724</v>
      </c>
    </row>
    <row r="3801" spans="1:1">
      <c r="A3801" s="2" t="s">
        <v>3725</v>
      </c>
    </row>
    <row r="3802" spans="1:1">
      <c r="A3802" s="2" t="s">
        <v>3726</v>
      </c>
    </row>
    <row r="3803" spans="1:1">
      <c r="A3803" s="2" t="s">
        <v>3727</v>
      </c>
    </row>
    <row r="3804" spans="1:1">
      <c r="A3804" s="2" t="s">
        <v>3728</v>
      </c>
    </row>
    <row r="3805" spans="1:1">
      <c r="A3805" s="2" t="s">
        <v>3729</v>
      </c>
    </row>
    <row r="3806" spans="1:1">
      <c r="A3806" s="2" t="s">
        <v>3730</v>
      </c>
    </row>
    <row r="3807" spans="1:1">
      <c r="A3807" s="1"/>
    </row>
    <row r="3808" spans="1:1">
      <c r="A3808" s="2" t="s">
        <v>3731</v>
      </c>
    </row>
    <row r="3809" spans="1:1">
      <c r="A3809" s="2" t="s">
        <v>3732</v>
      </c>
    </row>
    <row r="3810" spans="1:1">
      <c r="A3810" s="2" t="s">
        <v>3733</v>
      </c>
    </row>
    <row r="3811" spans="1:1">
      <c r="A3811" s="2" t="s">
        <v>3734</v>
      </c>
    </row>
    <row r="3812" spans="1:1">
      <c r="A3812" s="2" t="s">
        <v>3735</v>
      </c>
    </row>
    <row r="3813" spans="1:1">
      <c r="A3813" s="2" t="s">
        <v>3736</v>
      </c>
    </row>
    <row r="3814" spans="1:1">
      <c r="A3814" s="2" t="s">
        <v>3737</v>
      </c>
    </row>
    <row r="3815" spans="1:1">
      <c r="A3815" s="2" t="s">
        <v>3738</v>
      </c>
    </row>
    <row r="3816" spans="1:1">
      <c r="A3816" s="2" t="s">
        <v>3739</v>
      </c>
    </row>
    <row r="3817" spans="1:1">
      <c r="A3817" s="2" t="s">
        <v>3740</v>
      </c>
    </row>
    <row r="3818" spans="1:1">
      <c r="A3818" s="2" t="s">
        <v>3741</v>
      </c>
    </row>
    <row r="3819" spans="1:1">
      <c r="A3819" s="2" t="s">
        <v>3742</v>
      </c>
    </row>
    <row r="3820" spans="1:1">
      <c r="A3820" s="2" t="s">
        <v>3743</v>
      </c>
    </row>
    <row r="3821" spans="1:1">
      <c r="A3821" s="2" t="s">
        <v>3744</v>
      </c>
    </row>
    <row r="3822" spans="1:1">
      <c r="A3822" s="2" t="s">
        <v>3745</v>
      </c>
    </row>
    <row r="3823" spans="1:1">
      <c r="A3823" s="2" t="s">
        <v>3746</v>
      </c>
    </row>
    <row r="3824" spans="1:1">
      <c r="A3824" s="2" t="s">
        <v>3747</v>
      </c>
    </row>
    <row r="3825" spans="1:1">
      <c r="A3825" s="2" t="s">
        <v>3748</v>
      </c>
    </row>
    <row r="3826" spans="1:1">
      <c r="A3826" s="2" t="s">
        <v>3749</v>
      </c>
    </row>
    <row r="3827" spans="1:1">
      <c r="A3827" s="2" t="s">
        <v>3750</v>
      </c>
    </row>
    <row r="3828" spans="1:1">
      <c r="A3828" s="2" t="s">
        <v>3751</v>
      </c>
    </row>
    <row r="3829" spans="1:1">
      <c r="A3829" s="2" t="s">
        <v>3752</v>
      </c>
    </row>
    <row r="3830" spans="1:1">
      <c r="A3830" s="2" t="s">
        <v>3753</v>
      </c>
    </row>
    <row r="3831" spans="1:1">
      <c r="A3831" s="2" t="s">
        <v>3754</v>
      </c>
    </row>
    <row r="3832" spans="1:1">
      <c r="A3832" s="2" t="s">
        <v>3755</v>
      </c>
    </row>
    <row r="3833" spans="1:1">
      <c r="A3833" s="2" t="s">
        <v>3756</v>
      </c>
    </row>
    <row r="3834" spans="1:1">
      <c r="A3834" s="2" t="s">
        <v>3757</v>
      </c>
    </row>
    <row r="3835" spans="1:1">
      <c r="A3835" s="2" t="s">
        <v>3758</v>
      </c>
    </row>
    <row r="3836" spans="1:1">
      <c r="A3836" s="2" t="s">
        <v>3759</v>
      </c>
    </row>
    <row r="3837" spans="1:1">
      <c r="A3837" s="1"/>
    </row>
    <row r="3838" spans="1:1">
      <c r="A3838" s="2" t="s">
        <v>3760</v>
      </c>
    </row>
    <row r="3839" spans="1:1">
      <c r="A3839" s="2" t="s">
        <v>3761</v>
      </c>
    </row>
    <row r="3840" spans="1:1">
      <c r="A3840" s="2" t="s">
        <v>3762</v>
      </c>
    </row>
    <row r="3841" spans="1:1">
      <c r="A3841" s="2" t="s">
        <v>3763</v>
      </c>
    </row>
    <row r="3842" spans="1:1">
      <c r="A3842" s="2" t="s">
        <v>3764</v>
      </c>
    </row>
    <row r="3843" spans="1:1">
      <c r="A3843" s="2" t="s">
        <v>3765</v>
      </c>
    </row>
    <row r="3844" spans="1:1">
      <c r="A3844" s="2" t="s">
        <v>3766</v>
      </c>
    </row>
    <row r="3845" spans="1:1">
      <c r="A3845" s="2" t="s">
        <v>3767</v>
      </c>
    </row>
    <row r="3846" spans="1:1">
      <c r="A3846" s="2" t="s">
        <v>3768</v>
      </c>
    </row>
    <row r="3847" spans="1:1">
      <c r="A3847" s="2" t="s">
        <v>3769</v>
      </c>
    </row>
    <row r="3848" spans="1:1">
      <c r="A3848" s="2" t="s">
        <v>3770</v>
      </c>
    </row>
    <row r="3849" spans="1:1">
      <c r="A3849" s="2" t="s">
        <v>3771</v>
      </c>
    </row>
    <row r="3850" spans="1:1">
      <c r="A3850" s="2" t="s">
        <v>3772</v>
      </c>
    </row>
    <row r="3851" spans="1:1">
      <c r="A3851" s="2" t="s">
        <v>3773</v>
      </c>
    </row>
    <row r="3852" spans="1:1">
      <c r="A3852" s="2" t="s">
        <v>3774</v>
      </c>
    </row>
    <row r="3853" spans="1:1">
      <c r="A3853" s="2" t="s">
        <v>3775</v>
      </c>
    </row>
    <row r="3854" spans="1:1">
      <c r="A3854" s="2" t="s">
        <v>3776</v>
      </c>
    </row>
    <row r="3855" spans="1:1">
      <c r="A3855" s="2" t="s">
        <v>3777</v>
      </c>
    </row>
    <row r="3856" spans="1:1">
      <c r="A3856" s="2" t="s">
        <v>3778</v>
      </c>
    </row>
    <row r="3857" spans="1:1">
      <c r="A3857" s="2" t="s">
        <v>3779</v>
      </c>
    </row>
    <row r="3858" spans="1:1">
      <c r="A3858" s="2" t="s">
        <v>3780</v>
      </c>
    </row>
    <row r="3859" spans="1:1">
      <c r="A3859" s="2" t="s">
        <v>3781</v>
      </c>
    </row>
    <row r="3860" spans="1:1">
      <c r="A3860" s="2" t="s">
        <v>3782</v>
      </c>
    </row>
    <row r="3861" spans="1:1">
      <c r="A3861" s="2" t="s">
        <v>3783</v>
      </c>
    </row>
    <row r="3862" spans="1:1">
      <c r="A3862" s="2" t="s">
        <v>3784</v>
      </c>
    </row>
    <row r="3863" spans="1:1">
      <c r="A3863" s="2" t="s">
        <v>3785</v>
      </c>
    </row>
    <row r="3864" spans="1:1">
      <c r="A3864" s="2" t="s">
        <v>3786</v>
      </c>
    </row>
    <row r="3865" spans="1:1">
      <c r="A3865" s="2" t="s">
        <v>3787</v>
      </c>
    </row>
    <row r="3866" spans="1:1">
      <c r="A3866" s="2" t="s">
        <v>3788</v>
      </c>
    </row>
    <row r="3867" spans="1:1">
      <c r="A3867" s="2" t="s">
        <v>3789</v>
      </c>
    </row>
    <row r="3868" spans="1:1">
      <c r="A3868" s="1"/>
    </row>
    <row r="3869" spans="1:1">
      <c r="A3869" s="2" t="s">
        <v>3790</v>
      </c>
    </row>
    <row r="3870" spans="1:1">
      <c r="A3870" s="2" t="s">
        <v>3791</v>
      </c>
    </row>
    <row r="3871" spans="1:1">
      <c r="A3871" s="2" t="s">
        <v>3792</v>
      </c>
    </row>
    <row r="3872" spans="1:1">
      <c r="A3872" s="2" t="s">
        <v>3793</v>
      </c>
    </row>
    <row r="3873" spans="1:1">
      <c r="A3873" s="2" t="s">
        <v>3794</v>
      </c>
    </row>
    <row r="3874" spans="1:1">
      <c r="A3874" s="2" t="s">
        <v>3795</v>
      </c>
    </row>
    <row r="3875" spans="1:1">
      <c r="A3875" s="2" t="s">
        <v>3796</v>
      </c>
    </row>
    <row r="3876" spans="1:1">
      <c r="A3876" s="2" t="s">
        <v>3797</v>
      </c>
    </row>
    <row r="3877" spans="1:1">
      <c r="A3877" s="2" t="s">
        <v>3798</v>
      </c>
    </row>
    <row r="3878" spans="1:1">
      <c r="A3878" s="1"/>
    </row>
    <row r="3879" spans="1:1">
      <c r="A3879" s="2" t="s">
        <v>3799</v>
      </c>
    </row>
    <row r="3880" spans="1:1">
      <c r="A3880" s="2" t="s">
        <v>3800</v>
      </c>
    </row>
    <row r="3881" spans="1:1">
      <c r="A3881" s="1"/>
    </row>
    <row r="3882" spans="1:1">
      <c r="A3882" s="2" t="s">
        <v>3801</v>
      </c>
    </row>
    <row r="3883" spans="1:1">
      <c r="A3883" s="1"/>
    </row>
    <row r="3884" spans="1:1">
      <c r="A3884" s="2" t="s">
        <v>3802</v>
      </c>
    </row>
    <row r="3885" spans="1:1">
      <c r="A3885" s="2" t="s">
        <v>3803</v>
      </c>
    </row>
    <row r="3886" spans="1:1">
      <c r="A3886" s="2" t="s">
        <v>3804</v>
      </c>
    </row>
    <row r="3887" spans="1:1">
      <c r="A3887" s="2" t="s">
        <v>3805</v>
      </c>
    </row>
    <row r="3888" spans="1:1">
      <c r="A3888" s="2" t="s">
        <v>3806</v>
      </c>
    </row>
    <row r="3889" spans="1:1">
      <c r="A3889" s="2" t="s">
        <v>3807</v>
      </c>
    </row>
    <row r="3890" spans="1:1">
      <c r="A3890" s="2" t="s">
        <v>3808</v>
      </c>
    </row>
    <row r="3891" spans="1:1">
      <c r="A3891" s="2" t="s">
        <v>3809</v>
      </c>
    </row>
    <row r="3892" spans="1:1">
      <c r="A3892" s="2" t="s">
        <v>3810</v>
      </c>
    </row>
    <row r="3893" spans="1:1">
      <c r="A3893" s="2" t="s">
        <v>3811</v>
      </c>
    </row>
    <row r="3894" spans="1:1">
      <c r="A3894" s="2" t="s">
        <v>3812</v>
      </c>
    </row>
    <row r="3895" spans="1:1">
      <c r="A3895" s="2" t="s">
        <v>3813</v>
      </c>
    </row>
    <row r="3896" spans="1:1">
      <c r="A3896" s="2" t="s">
        <v>3814</v>
      </c>
    </row>
    <row r="3897" spans="1:1">
      <c r="A3897" s="2" t="s">
        <v>3815</v>
      </c>
    </row>
    <row r="3898" spans="1:1">
      <c r="A3898" s="2" t="s">
        <v>3816</v>
      </c>
    </row>
    <row r="3899" spans="1:1">
      <c r="A3899" s="2" t="s">
        <v>3817</v>
      </c>
    </row>
    <row r="3900" spans="1:1">
      <c r="A3900" s="2" t="s">
        <v>3818</v>
      </c>
    </row>
    <row r="3901" spans="1:1">
      <c r="A3901" s="2" t="s">
        <v>3819</v>
      </c>
    </row>
    <row r="3902" spans="1:1">
      <c r="A3902" s="2" t="s">
        <v>3820</v>
      </c>
    </row>
    <row r="3903" spans="1:1">
      <c r="A3903" s="2" t="s">
        <v>3821</v>
      </c>
    </row>
    <row r="3904" spans="1:1">
      <c r="A3904" s="2" t="s">
        <v>3822</v>
      </c>
    </row>
    <row r="3905" spans="1:1">
      <c r="A3905" s="2" t="s">
        <v>3823</v>
      </c>
    </row>
    <row r="3906" spans="1:1">
      <c r="A3906" s="2" t="s">
        <v>3824</v>
      </c>
    </row>
    <row r="3907" spans="1:1">
      <c r="A3907" s="2" t="s">
        <v>3825</v>
      </c>
    </row>
    <row r="3908" spans="1:1">
      <c r="A3908" s="2" t="s">
        <v>3826</v>
      </c>
    </row>
    <row r="3909" spans="1:1">
      <c r="A3909" s="2" t="s">
        <v>3827</v>
      </c>
    </row>
    <row r="3910" spans="1:1">
      <c r="A3910" s="2" t="s">
        <v>3828</v>
      </c>
    </row>
    <row r="3911" spans="1:1">
      <c r="A3911" s="2" t="s">
        <v>3829</v>
      </c>
    </row>
    <row r="3912" spans="1:1">
      <c r="A3912" s="2" t="s">
        <v>3830</v>
      </c>
    </row>
    <row r="3913" spans="1:1">
      <c r="A3913" s="2" t="s">
        <v>3831</v>
      </c>
    </row>
    <row r="3914" spans="1:1">
      <c r="A3914" s="2" t="s">
        <v>3832</v>
      </c>
    </row>
    <row r="3915" spans="1:1">
      <c r="A3915" s="2" t="s">
        <v>3833</v>
      </c>
    </row>
    <row r="3916" spans="1:1">
      <c r="A3916" s="2" t="s">
        <v>3834</v>
      </c>
    </row>
    <row r="3917" spans="1:1">
      <c r="A3917" s="2" t="s">
        <v>3835</v>
      </c>
    </row>
    <row r="3918" spans="1:1">
      <c r="A3918" s="2" t="s">
        <v>3836</v>
      </c>
    </row>
    <row r="3919" spans="1:1">
      <c r="A3919" s="2" t="s">
        <v>3837</v>
      </c>
    </row>
    <row r="3920" spans="1:1">
      <c r="A3920" s="2" t="s">
        <v>3838</v>
      </c>
    </row>
    <row r="3921" spans="1:1">
      <c r="A3921" s="2" t="s">
        <v>3839</v>
      </c>
    </row>
    <row r="3922" spans="1:1">
      <c r="A3922" s="2" t="s">
        <v>3840</v>
      </c>
    </row>
    <row r="3923" spans="1:1">
      <c r="A3923" s="2" t="s">
        <v>3841</v>
      </c>
    </row>
    <row r="3924" spans="1:1">
      <c r="A3924" s="2" t="s">
        <v>3842</v>
      </c>
    </row>
    <row r="3925" spans="1:1">
      <c r="A3925" s="2" t="s">
        <v>3843</v>
      </c>
    </row>
    <row r="3926" spans="1:1">
      <c r="A3926" s="2" t="s">
        <v>3844</v>
      </c>
    </row>
    <row r="3927" spans="1:1">
      <c r="A3927" s="2" t="s">
        <v>3845</v>
      </c>
    </row>
    <row r="3928" spans="1:1">
      <c r="A3928" s="2" t="s">
        <v>3846</v>
      </c>
    </row>
    <row r="3929" spans="1:1">
      <c r="A3929" s="2" t="s">
        <v>3847</v>
      </c>
    </row>
    <row r="3930" spans="1:1">
      <c r="A3930" s="2" t="s">
        <v>3848</v>
      </c>
    </row>
    <row r="3931" spans="1:1">
      <c r="A3931" s="2" t="s">
        <v>3849</v>
      </c>
    </row>
    <row r="3932" spans="1:1">
      <c r="A3932" s="2" t="s">
        <v>3850</v>
      </c>
    </row>
    <row r="3933" spans="1:1">
      <c r="A3933" s="1"/>
    </row>
    <row r="3934" spans="1:1">
      <c r="A3934" s="2" t="s">
        <v>3851</v>
      </c>
    </row>
    <row r="3935" spans="1:1">
      <c r="A3935" s="2" t="s">
        <v>3852</v>
      </c>
    </row>
    <row r="3936" spans="1:1">
      <c r="A3936" s="2" t="s">
        <v>3853</v>
      </c>
    </row>
    <row r="3937" spans="1:1">
      <c r="A3937" s="2" t="s">
        <v>3854</v>
      </c>
    </row>
    <row r="3938" spans="1:1">
      <c r="A3938" s="2" t="s">
        <v>3855</v>
      </c>
    </row>
    <row r="3939" spans="1:1">
      <c r="A3939" s="2" t="s">
        <v>3856</v>
      </c>
    </row>
    <row r="3940" spans="1:1">
      <c r="A3940" s="2" t="s">
        <v>3857</v>
      </c>
    </row>
    <row r="3941" spans="1:1">
      <c r="A3941" s="2" t="s">
        <v>3858</v>
      </c>
    </row>
    <row r="3942" spans="1:1">
      <c r="A3942" s="2" t="s">
        <v>3859</v>
      </c>
    </row>
    <row r="3943" spans="1:1">
      <c r="A3943" s="2" t="s">
        <v>3860</v>
      </c>
    </row>
    <row r="3944" spans="1:1">
      <c r="A3944" s="1"/>
    </row>
    <row r="3945" spans="1:1">
      <c r="A3945" s="2" t="s">
        <v>3861</v>
      </c>
    </row>
    <row r="3946" spans="1:1">
      <c r="A3946" s="2" t="s">
        <v>3862</v>
      </c>
    </row>
    <row r="3947" spans="1:1">
      <c r="A3947" s="2" t="s">
        <v>3863</v>
      </c>
    </row>
    <row r="3948" spans="1:1">
      <c r="A3948" s="2" t="s">
        <v>3864</v>
      </c>
    </row>
    <row r="3949" spans="1:1">
      <c r="A3949" s="2" t="s">
        <v>3865</v>
      </c>
    </row>
    <row r="3950" spans="1:1">
      <c r="A3950" s="2" t="s">
        <v>3866</v>
      </c>
    </row>
    <row r="3951" spans="1:1">
      <c r="A3951" s="2" t="s">
        <v>3867</v>
      </c>
    </row>
    <row r="3952" spans="1:1">
      <c r="A3952" s="2" t="s">
        <v>3868</v>
      </c>
    </row>
    <row r="3953" spans="1:1">
      <c r="A3953" s="2" t="s">
        <v>3869</v>
      </c>
    </row>
    <row r="3954" spans="1:1">
      <c r="A3954" s="2" t="s">
        <v>3870</v>
      </c>
    </row>
    <row r="3955" spans="1:1">
      <c r="A3955" s="2" t="s">
        <v>3871</v>
      </c>
    </row>
    <row r="3956" spans="1:1">
      <c r="A3956" s="2" t="s">
        <v>3872</v>
      </c>
    </row>
    <row r="3957" spans="1:1">
      <c r="A3957" s="2" t="s">
        <v>3873</v>
      </c>
    </row>
    <row r="3958" spans="1:1">
      <c r="A3958" s="1"/>
    </row>
    <row r="3959" spans="1:1">
      <c r="A3959" s="2" t="s">
        <v>3874</v>
      </c>
    </row>
    <row r="3960" spans="1:1">
      <c r="A3960" s="2" t="s">
        <v>3875</v>
      </c>
    </row>
    <row r="3961" spans="1:1">
      <c r="A3961" s="2" t="s">
        <v>3876</v>
      </c>
    </row>
    <row r="3962" spans="1:1">
      <c r="A3962" s="2" t="s">
        <v>3877</v>
      </c>
    </row>
    <row r="3963" spans="1:1">
      <c r="A3963" s="2" t="s">
        <v>3878</v>
      </c>
    </row>
    <row r="3964" spans="1:1">
      <c r="A3964" s="2" t="s">
        <v>3879</v>
      </c>
    </row>
    <row r="3965" spans="1:1">
      <c r="A3965" s="2" t="s">
        <v>3880</v>
      </c>
    </row>
    <row r="3966" spans="1:1">
      <c r="A3966" s="2" t="s">
        <v>3881</v>
      </c>
    </row>
    <row r="3967" spans="1:1">
      <c r="A3967" s="2" t="s">
        <v>3882</v>
      </c>
    </row>
    <row r="3968" spans="1:1">
      <c r="A3968" s="2" t="s">
        <v>3883</v>
      </c>
    </row>
    <row r="3969" spans="1:1">
      <c r="A3969" s="1"/>
    </row>
    <row r="3970" spans="1:1">
      <c r="A3970" s="2" t="s">
        <v>3884</v>
      </c>
    </row>
    <row r="3971" spans="1:1">
      <c r="A3971" s="2" t="s">
        <v>3885</v>
      </c>
    </row>
    <row r="3972" spans="1:1">
      <c r="A3972" s="2" t="s">
        <v>3886</v>
      </c>
    </row>
    <row r="3973" spans="1:1">
      <c r="A3973" s="2" t="s">
        <v>3887</v>
      </c>
    </row>
    <row r="3974" spans="1:1">
      <c r="A3974" s="2" t="s">
        <v>3888</v>
      </c>
    </row>
    <row r="3975" spans="1:1">
      <c r="A3975" s="2" t="s">
        <v>3889</v>
      </c>
    </row>
    <row r="3976" spans="1:1">
      <c r="A3976" s="2" t="s">
        <v>3890</v>
      </c>
    </row>
    <row r="3977" spans="1:1">
      <c r="A3977" s="2" t="s">
        <v>3891</v>
      </c>
    </row>
    <row r="3978" spans="1:1">
      <c r="A3978" s="1"/>
    </row>
    <row r="3979" spans="1:1">
      <c r="A3979" s="2" t="s">
        <v>3892</v>
      </c>
    </row>
    <row r="3980" spans="1:1">
      <c r="A3980" s="2" t="s">
        <v>3893</v>
      </c>
    </row>
    <row r="3981" spans="1:1">
      <c r="A3981" s="2" t="s">
        <v>3894</v>
      </c>
    </row>
    <row r="3982" spans="1:1">
      <c r="A3982" s="2" t="s">
        <v>3895</v>
      </c>
    </row>
    <row r="3983" spans="1:1">
      <c r="A3983" s="2" t="s">
        <v>3896</v>
      </c>
    </row>
    <row r="3984" spans="1:1">
      <c r="A3984" s="2" t="s">
        <v>3897</v>
      </c>
    </row>
    <row r="3985" spans="1:1">
      <c r="A3985" s="2" t="s">
        <v>3898</v>
      </c>
    </row>
    <row r="3986" spans="1:1">
      <c r="A3986" s="2" t="s">
        <v>3899</v>
      </c>
    </row>
    <row r="3987" spans="1:1">
      <c r="A3987" s="2" t="s">
        <v>3900</v>
      </c>
    </row>
    <row r="3988" spans="1:1">
      <c r="A3988" s="2" t="s">
        <v>3901</v>
      </c>
    </row>
    <row r="3989" spans="1:1">
      <c r="A3989" s="2" t="s">
        <v>3902</v>
      </c>
    </row>
    <row r="3990" spans="1:1">
      <c r="A3990" s="2" t="s">
        <v>3903</v>
      </c>
    </row>
    <row r="3991" spans="1:1">
      <c r="A3991" s="2" t="s">
        <v>3904</v>
      </c>
    </row>
    <row r="3992" spans="1:1">
      <c r="A3992" s="2" t="s">
        <v>3905</v>
      </c>
    </row>
    <row r="3993" spans="1:1">
      <c r="A3993" s="2" t="s">
        <v>3906</v>
      </c>
    </row>
    <row r="3994" spans="1:1">
      <c r="A3994" s="2" t="s">
        <v>3907</v>
      </c>
    </row>
    <row r="3995" spans="1:1">
      <c r="A3995" s="2" t="s">
        <v>3908</v>
      </c>
    </row>
    <row r="3996" spans="1:1">
      <c r="A3996" s="2" t="s">
        <v>3909</v>
      </c>
    </row>
    <row r="3997" spans="1:1">
      <c r="A3997" s="2" t="s">
        <v>3910</v>
      </c>
    </row>
    <row r="3998" spans="1:1">
      <c r="A3998" s="1"/>
    </row>
    <row r="3999" spans="1:1">
      <c r="A3999" s="2" t="s">
        <v>3911</v>
      </c>
    </row>
    <row r="4000" spans="1:1">
      <c r="A4000" s="2" t="s">
        <v>3912</v>
      </c>
    </row>
    <row r="4001" spans="1:1">
      <c r="A4001" s="2" t="s">
        <v>3913</v>
      </c>
    </row>
    <row r="4002" spans="1:1">
      <c r="A4002" s="2" t="s">
        <v>3914</v>
      </c>
    </row>
    <row r="4003" spans="1:1">
      <c r="A4003" s="2" t="s">
        <v>3915</v>
      </c>
    </row>
    <row r="4004" spans="1:1">
      <c r="A4004" s="2" t="s">
        <v>3916</v>
      </c>
    </row>
    <row r="4005" spans="1:1">
      <c r="A4005" s="2" t="s">
        <v>3917</v>
      </c>
    </row>
    <row r="4006" spans="1:1">
      <c r="A4006" s="2" t="s">
        <v>3918</v>
      </c>
    </row>
    <row r="4007" spans="1:1">
      <c r="A4007" s="2" t="s">
        <v>3919</v>
      </c>
    </row>
    <row r="4008" spans="1:1">
      <c r="A4008" s="2" t="s">
        <v>3920</v>
      </c>
    </row>
    <row r="4009" spans="1:1">
      <c r="A4009" s="2" t="s">
        <v>3921</v>
      </c>
    </row>
    <row r="4010" spans="1:1">
      <c r="A4010" s="2" t="s">
        <v>3922</v>
      </c>
    </row>
    <row r="4011" spans="1:1">
      <c r="A4011" s="2" t="s">
        <v>3923</v>
      </c>
    </row>
    <row r="4012" spans="1:1">
      <c r="A4012" s="2" t="s">
        <v>3924</v>
      </c>
    </row>
    <row r="4013" spans="1:1">
      <c r="A4013" s="2" t="s">
        <v>3925</v>
      </c>
    </row>
    <row r="4014" spans="1:1">
      <c r="A4014" s="2" t="s">
        <v>3926</v>
      </c>
    </row>
    <row r="4015" spans="1:1">
      <c r="A4015" s="2" t="s">
        <v>3927</v>
      </c>
    </row>
    <row r="4016" spans="1:1">
      <c r="A4016" s="2" t="s">
        <v>3928</v>
      </c>
    </row>
    <row r="4017" spans="1:1">
      <c r="A4017" s="2" t="s">
        <v>3929</v>
      </c>
    </row>
    <row r="4018" spans="1:1">
      <c r="A4018" s="2" t="s">
        <v>3930</v>
      </c>
    </row>
    <row r="4019" spans="1:1">
      <c r="A4019" s="1"/>
    </row>
    <row r="4020" spans="1:1">
      <c r="A4020" s="2" t="s">
        <v>3931</v>
      </c>
    </row>
    <row r="4021" spans="1:1">
      <c r="A4021" s="2" t="s">
        <v>3932</v>
      </c>
    </row>
    <row r="4022" spans="1:1">
      <c r="A4022" s="2" t="s">
        <v>3933</v>
      </c>
    </row>
    <row r="4023" spans="1:1">
      <c r="A4023" s="2" t="s">
        <v>3934</v>
      </c>
    </row>
    <row r="4024" spans="1:1">
      <c r="A4024" s="2" t="s">
        <v>3935</v>
      </c>
    </row>
    <row r="4025" spans="1:1">
      <c r="A4025" s="2" t="s">
        <v>3936</v>
      </c>
    </row>
    <row r="4026" spans="1:1">
      <c r="A4026" s="2" t="s">
        <v>3937</v>
      </c>
    </row>
    <row r="4027" spans="1:1">
      <c r="A4027" s="2" t="s">
        <v>3938</v>
      </c>
    </row>
    <row r="4028" spans="1:1">
      <c r="A4028" s="2" t="s">
        <v>3939</v>
      </c>
    </row>
    <row r="4029" spans="1:1">
      <c r="A4029" s="2" t="s">
        <v>3940</v>
      </c>
    </row>
    <row r="4030" spans="1:1">
      <c r="A4030" s="2" t="s">
        <v>3941</v>
      </c>
    </row>
    <row r="4031" spans="1:1">
      <c r="A4031" s="2" t="s">
        <v>3942</v>
      </c>
    </row>
    <row r="4032" spans="1:1">
      <c r="A4032" s="2" t="s">
        <v>3943</v>
      </c>
    </row>
    <row r="4033" spans="1:1">
      <c r="A4033" s="2" t="s">
        <v>3944</v>
      </c>
    </row>
    <row r="4034" spans="1:1">
      <c r="A4034" s="2" t="s">
        <v>3945</v>
      </c>
    </row>
    <row r="4035" spans="1:1">
      <c r="A4035" s="2" t="s">
        <v>3946</v>
      </c>
    </row>
    <row r="4036" spans="1:1">
      <c r="A4036" s="2" t="s">
        <v>3947</v>
      </c>
    </row>
    <row r="4037" spans="1:1">
      <c r="A4037" s="2" t="s">
        <v>3948</v>
      </c>
    </row>
    <row r="4038" spans="1:1">
      <c r="A4038" s="2" t="s">
        <v>3949</v>
      </c>
    </row>
    <row r="4039" spans="1:1">
      <c r="A4039" s="2" t="s">
        <v>3950</v>
      </c>
    </row>
    <row r="4040" spans="1:1">
      <c r="A4040" s="1"/>
    </row>
    <row r="4041" spans="1:1">
      <c r="A4041" s="2" t="s">
        <v>3951</v>
      </c>
    </row>
    <row r="4042" spans="1:1">
      <c r="A4042" s="2" t="s">
        <v>3952</v>
      </c>
    </row>
    <row r="4043" spans="1:1">
      <c r="A4043" s="2" t="s">
        <v>3953</v>
      </c>
    </row>
    <row r="4044" spans="1:1">
      <c r="A4044" s="2" t="s">
        <v>3954</v>
      </c>
    </row>
    <row r="4045" spans="1:1">
      <c r="A4045" s="2" t="s">
        <v>3955</v>
      </c>
    </row>
    <row r="4046" spans="1:1">
      <c r="A4046" s="2" t="s">
        <v>3956</v>
      </c>
    </row>
    <row r="4047" spans="1:1">
      <c r="A4047" s="2" t="s">
        <v>3957</v>
      </c>
    </row>
    <row r="4048" spans="1:1">
      <c r="A4048" s="2" t="s">
        <v>3958</v>
      </c>
    </row>
    <row r="4049" spans="1:1">
      <c r="A4049" s="2" t="s">
        <v>3959</v>
      </c>
    </row>
    <row r="4050" spans="1:1">
      <c r="A4050" s="2" t="s">
        <v>3960</v>
      </c>
    </row>
    <row r="4051" spans="1:1">
      <c r="A4051" s="2" t="s">
        <v>3961</v>
      </c>
    </row>
    <row r="4052" spans="1:1">
      <c r="A4052" s="1"/>
    </row>
    <row r="4053" spans="1:1">
      <c r="A4053" s="2" t="s">
        <v>3962</v>
      </c>
    </row>
    <row r="4054" spans="1:1">
      <c r="A4054" s="2" t="s">
        <v>3963</v>
      </c>
    </row>
    <row r="4055" spans="1:1">
      <c r="A4055" s="2" t="s">
        <v>3964</v>
      </c>
    </row>
    <row r="4056" spans="1:1">
      <c r="A4056" s="2" t="s">
        <v>3965</v>
      </c>
    </row>
    <row r="4057" spans="1:1">
      <c r="A4057" s="2" t="s">
        <v>3966</v>
      </c>
    </row>
    <row r="4058" spans="1:1">
      <c r="A4058" s="2" t="s">
        <v>3967</v>
      </c>
    </row>
    <row r="4059" spans="1:1">
      <c r="A4059" s="2" t="s">
        <v>3968</v>
      </c>
    </row>
    <row r="4060" spans="1:1">
      <c r="A4060" s="2" t="s">
        <v>3969</v>
      </c>
    </row>
    <row r="4061" spans="1:1">
      <c r="A4061" s="2" t="s">
        <v>3970</v>
      </c>
    </row>
    <row r="4062" spans="1:1">
      <c r="A4062" s="2" t="s">
        <v>3971</v>
      </c>
    </row>
    <row r="4063" spans="1:1">
      <c r="A4063" s="2" t="s">
        <v>3972</v>
      </c>
    </row>
    <row r="4064" spans="1:1">
      <c r="A4064" s="2" t="s">
        <v>3973</v>
      </c>
    </row>
    <row r="4065" spans="1:1">
      <c r="A4065" s="2" t="s">
        <v>3974</v>
      </c>
    </row>
    <row r="4066" spans="1:1">
      <c r="A4066" s="2" t="s">
        <v>3975</v>
      </c>
    </row>
    <row r="4067" spans="1:1">
      <c r="A4067" s="2" t="s">
        <v>3976</v>
      </c>
    </row>
    <row r="4068" spans="1:1">
      <c r="A4068" s="2" t="s">
        <v>3977</v>
      </c>
    </row>
    <row r="4069" spans="1:1">
      <c r="A4069" s="1"/>
    </row>
    <row r="4070" spans="1:1">
      <c r="A4070" s="2" t="s">
        <v>3978</v>
      </c>
    </row>
    <row r="4071" spans="1:1">
      <c r="A4071" s="2" t="s">
        <v>3979</v>
      </c>
    </row>
    <row r="4072" spans="1:1">
      <c r="A4072" s="2" t="s">
        <v>3980</v>
      </c>
    </row>
    <row r="4073" spans="1:1">
      <c r="A4073" s="2" t="s">
        <v>3981</v>
      </c>
    </row>
    <row r="4074" spans="1:1">
      <c r="A4074" s="2" t="s">
        <v>3982</v>
      </c>
    </row>
    <row r="4075" spans="1:1">
      <c r="A4075" s="2" t="s">
        <v>3983</v>
      </c>
    </row>
    <row r="4076" spans="1:1">
      <c r="A4076" s="2" t="s">
        <v>3984</v>
      </c>
    </row>
    <row r="4077" spans="1:1">
      <c r="A4077" s="2" t="s">
        <v>3985</v>
      </c>
    </row>
    <row r="4078" spans="1:1">
      <c r="A4078" s="2" t="s">
        <v>3986</v>
      </c>
    </row>
    <row r="4079" spans="1:1">
      <c r="A4079" s="2" t="s">
        <v>3987</v>
      </c>
    </row>
    <row r="4080" spans="1:1">
      <c r="A4080" s="2" t="s">
        <v>3988</v>
      </c>
    </row>
    <row r="4081" spans="1:1">
      <c r="A4081" s="2" t="s">
        <v>3989</v>
      </c>
    </row>
    <row r="4082" spans="1:1">
      <c r="A4082" s="2" t="s">
        <v>3990</v>
      </c>
    </row>
    <row r="4083" spans="1:1">
      <c r="A4083" s="2" t="s">
        <v>3991</v>
      </c>
    </row>
    <row r="4084" spans="1:1">
      <c r="A4084" s="1"/>
    </row>
    <row r="4085" spans="1:1">
      <c r="A4085" s="2" t="s">
        <v>3992</v>
      </c>
    </row>
    <row r="4086" spans="1:1">
      <c r="A4086" s="2" t="s">
        <v>3993</v>
      </c>
    </row>
    <row r="4087" spans="1:1">
      <c r="A4087" s="2" t="s">
        <v>3994</v>
      </c>
    </row>
    <row r="4088" spans="1:1">
      <c r="A4088" s="2" t="s">
        <v>3995</v>
      </c>
    </row>
    <row r="4089" spans="1:1">
      <c r="A4089" s="2" t="s">
        <v>3996</v>
      </c>
    </row>
    <row r="4090" spans="1:1">
      <c r="A4090" s="2" t="s">
        <v>3997</v>
      </c>
    </row>
    <row r="4091" spans="1:1">
      <c r="A4091" s="2" t="s">
        <v>3998</v>
      </c>
    </row>
    <row r="4092" spans="1:1">
      <c r="A4092" s="2" t="s">
        <v>3999</v>
      </c>
    </row>
    <row r="4093" spans="1:1">
      <c r="A4093" s="2" t="s">
        <v>4000</v>
      </c>
    </row>
    <row r="4094" spans="1:1">
      <c r="A4094" s="2" t="s">
        <v>4001</v>
      </c>
    </row>
    <row r="4095" spans="1:1">
      <c r="A4095" s="2" t="s">
        <v>4002</v>
      </c>
    </row>
    <row r="4096" spans="1:1">
      <c r="A4096" s="2" t="s">
        <v>4003</v>
      </c>
    </row>
    <row r="4097" spans="1:1">
      <c r="A4097" s="2" t="s">
        <v>4004</v>
      </c>
    </row>
    <row r="4098" spans="1:1">
      <c r="A4098" s="2" t="s">
        <v>4005</v>
      </c>
    </row>
    <row r="4099" spans="1:1">
      <c r="A4099" s="2" t="s">
        <v>4006</v>
      </c>
    </row>
    <row r="4100" spans="1:1">
      <c r="A4100" s="2" t="s">
        <v>4007</v>
      </c>
    </row>
    <row r="4101" spans="1:1">
      <c r="A4101" s="2" t="s">
        <v>4008</v>
      </c>
    </row>
    <row r="4102" spans="1:1">
      <c r="A4102" s="2" t="s">
        <v>4009</v>
      </c>
    </row>
    <row r="4103" spans="1:1">
      <c r="A4103" s="2" t="s">
        <v>4010</v>
      </c>
    </row>
    <row r="4104" spans="1:1">
      <c r="A4104" s="2" t="s">
        <v>4011</v>
      </c>
    </row>
    <row r="4105" spans="1:1">
      <c r="A4105" s="2" t="s">
        <v>4012</v>
      </c>
    </row>
    <row r="4106" spans="1:1">
      <c r="A4106" s="2" t="s">
        <v>4013</v>
      </c>
    </row>
    <row r="4107" spans="1:1">
      <c r="A4107" s="2" t="s">
        <v>4014</v>
      </c>
    </row>
    <row r="4108" spans="1:1">
      <c r="A4108" s="2" t="s">
        <v>4015</v>
      </c>
    </row>
    <row r="4109" spans="1:1">
      <c r="A4109" s="2" t="s">
        <v>4016</v>
      </c>
    </row>
    <row r="4110" spans="1:1">
      <c r="A4110" s="2" t="s">
        <v>4017</v>
      </c>
    </row>
    <row r="4111" spans="1:1">
      <c r="A4111" s="2" t="s">
        <v>4018</v>
      </c>
    </row>
    <row r="4112" spans="1:1">
      <c r="A4112" s="2" t="s">
        <v>4019</v>
      </c>
    </row>
    <row r="4113" spans="1:1">
      <c r="A4113" s="2" t="s">
        <v>4020</v>
      </c>
    </row>
    <row r="4114" spans="1:1">
      <c r="A4114" s="2" t="s">
        <v>4021</v>
      </c>
    </row>
    <row r="4115" spans="1:1">
      <c r="A4115" s="2" t="s">
        <v>4022</v>
      </c>
    </row>
    <row r="4116" spans="1:1">
      <c r="A4116" s="2" t="s">
        <v>4023</v>
      </c>
    </row>
    <row r="4117" spans="1:1">
      <c r="A4117" s="1"/>
    </row>
    <row r="4118" spans="1:1">
      <c r="A4118" s="2" t="s">
        <v>4024</v>
      </c>
    </row>
    <row r="4119" spans="1:1">
      <c r="A4119" s="2" t="s">
        <v>4025</v>
      </c>
    </row>
    <row r="4120" spans="1:1">
      <c r="A4120" s="2" t="s">
        <v>4026</v>
      </c>
    </row>
    <row r="4121" spans="1:1">
      <c r="A4121" s="2" t="s">
        <v>4027</v>
      </c>
    </row>
    <row r="4122" spans="1:1">
      <c r="A4122" s="2" t="s">
        <v>4028</v>
      </c>
    </row>
    <row r="4123" spans="1:1">
      <c r="A4123" s="2" t="s">
        <v>4029</v>
      </c>
    </row>
    <row r="4124" spans="1:1">
      <c r="A4124" s="2" t="s">
        <v>4030</v>
      </c>
    </row>
    <row r="4125" spans="1:1">
      <c r="A4125" s="2" t="s">
        <v>4031</v>
      </c>
    </row>
    <row r="4126" spans="1:1">
      <c r="A4126" s="1"/>
    </row>
    <row r="4127" spans="1:1">
      <c r="A4127" s="2" t="s">
        <v>4032</v>
      </c>
    </row>
    <row r="4128" spans="1:1">
      <c r="A4128" s="2" t="s">
        <v>4033</v>
      </c>
    </row>
    <row r="4129" spans="1:1">
      <c r="A4129" s="2" t="s">
        <v>4034</v>
      </c>
    </row>
    <row r="4130" spans="1:1">
      <c r="A4130" s="2" t="s">
        <v>4035</v>
      </c>
    </row>
    <row r="4131" spans="1:1">
      <c r="A4131" s="2" t="s">
        <v>4036</v>
      </c>
    </row>
    <row r="4132" spans="1:1">
      <c r="A4132" s="2" t="s">
        <v>4037</v>
      </c>
    </row>
    <row r="4133" spans="1:1">
      <c r="A4133" s="2" t="s">
        <v>4038</v>
      </c>
    </row>
    <row r="4134" spans="1:1">
      <c r="A4134" s="2" t="s">
        <v>4039</v>
      </c>
    </row>
    <row r="4135" spans="1:1">
      <c r="A4135" s="2" t="s">
        <v>4040</v>
      </c>
    </row>
    <row r="4136" spans="1:1">
      <c r="A4136" s="2" t="s">
        <v>4041</v>
      </c>
    </row>
    <row r="4137" spans="1:1">
      <c r="A4137" s="2" t="s">
        <v>4042</v>
      </c>
    </row>
    <row r="4138" spans="1:1">
      <c r="A4138" s="2" t="s">
        <v>4043</v>
      </c>
    </row>
    <row r="4139" spans="1:1">
      <c r="A4139" s="2" t="s">
        <v>4044</v>
      </c>
    </row>
    <row r="4140" spans="1:1">
      <c r="A4140" s="2" t="s">
        <v>4045</v>
      </c>
    </row>
    <row r="4141" spans="1:1">
      <c r="A4141" s="2" t="s">
        <v>4046</v>
      </c>
    </row>
    <row r="4142" spans="1:1">
      <c r="A4142" s="2" t="s">
        <v>4047</v>
      </c>
    </row>
    <row r="4143" spans="1:1">
      <c r="A4143" s="2" t="s">
        <v>4048</v>
      </c>
    </row>
    <row r="4144" spans="1:1">
      <c r="A4144" s="2" t="s">
        <v>4049</v>
      </c>
    </row>
    <row r="4145" spans="1:1">
      <c r="A4145" s="2" t="s">
        <v>4050</v>
      </c>
    </row>
    <row r="4146" spans="1:1">
      <c r="A4146" s="2" t="s">
        <v>4051</v>
      </c>
    </row>
    <row r="4147" spans="1:1">
      <c r="A4147" s="2" t="s">
        <v>4052</v>
      </c>
    </row>
    <row r="4148" spans="1:1">
      <c r="A4148" s="2" t="s">
        <v>4053</v>
      </c>
    </row>
    <row r="4149" spans="1:1">
      <c r="A4149" s="2" t="s">
        <v>4054</v>
      </c>
    </row>
    <row r="4150" spans="1:1">
      <c r="A4150" s="2" t="s">
        <v>4055</v>
      </c>
    </row>
    <row r="4151" spans="1:1">
      <c r="A4151" s="2" t="s">
        <v>4056</v>
      </c>
    </row>
    <row r="4152" spans="1:1">
      <c r="A4152" s="2" t="s">
        <v>4057</v>
      </c>
    </row>
    <row r="4153" spans="1:1">
      <c r="A4153" s="2" t="s">
        <v>4058</v>
      </c>
    </row>
    <row r="4154" spans="1:1">
      <c r="A4154" s="2" t="s">
        <v>4059</v>
      </c>
    </row>
    <row r="4155" spans="1:1">
      <c r="A4155" s="2" t="s">
        <v>4060</v>
      </c>
    </row>
    <row r="4156" spans="1:1">
      <c r="A4156" s="2" t="s">
        <v>4061</v>
      </c>
    </row>
    <row r="4157" spans="1:1">
      <c r="A4157" s="2" t="s">
        <v>4062</v>
      </c>
    </row>
    <row r="4158" spans="1:1">
      <c r="A4158" s="2" t="s">
        <v>4063</v>
      </c>
    </row>
    <row r="4159" spans="1:1">
      <c r="A4159" s="2" t="s">
        <v>4064</v>
      </c>
    </row>
    <row r="4160" spans="1:1">
      <c r="A4160" s="2" t="s">
        <v>4065</v>
      </c>
    </row>
    <row r="4161" spans="1:1">
      <c r="A4161" s="2" t="s">
        <v>4066</v>
      </c>
    </row>
    <row r="4162" spans="1:1">
      <c r="A4162" s="2" t="s">
        <v>4067</v>
      </c>
    </row>
    <row r="4163" spans="1:1">
      <c r="A4163" s="1"/>
    </row>
    <row r="4164" spans="1:1">
      <c r="A4164" s="2" t="s">
        <v>4068</v>
      </c>
    </row>
    <row r="4165" spans="1:1">
      <c r="A4165" s="2" t="s">
        <v>4069</v>
      </c>
    </row>
    <row r="4166" spans="1:1">
      <c r="A4166" s="2" t="s">
        <v>4070</v>
      </c>
    </row>
    <row r="4167" spans="1:1">
      <c r="A4167" s="2" t="s">
        <v>4071</v>
      </c>
    </row>
    <row r="4168" spans="1:1">
      <c r="A4168" s="2" t="s">
        <v>4072</v>
      </c>
    </row>
    <row r="4169" spans="1:1">
      <c r="A4169" s="2" t="s">
        <v>4073</v>
      </c>
    </row>
    <row r="4170" spans="1:1">
      <c r="A4170" s="2" t="s">
        <v>4074</v>
      </c>
    </row>
    <row r="4171" spans="1:1">
      <c r="A4171" s="2" t="s">
        <v>4075</v>
      </c>
    </row>
    <row r="4172" spans="1:1">
      <c r="A4172" s="2" t="s">
        <v>4076</v>
      </c>
    </row>
    <row r="4173" spans="1:1">
      <c r="A4173" s="1"/>
    </row>
    <row r="4174" spans="1:1">
      <c r="A4174" s="2" t="s">
        <v>4077</v>
      </c>
    </row>
    <row r="4175" spans="1:1">
      <c r="A4175" s="2" t="s">
        <v>4078</v>
      </c>
    </row>
    <row r="4176" spans="1:1">
      <c r="A4176" s="2" t="s">
        <v>4079</v>
      </c>
    </row>
    <row r="4177" spans="1:1">
      <c r="A4177" s="2" t="s">
        <v>4080</v>
      </c>
    </row>
    <row r="4178" spans="1:1">
      <c r="A4178" s="2" t="s">
        <v>4081</v>
      </c>
    </row>
    <row r="4179" spans="1:1">
      <c r="A4179" s="2" t="s">
        <v>4082</v>
      </c>
    </row>
    <row r="4180" spans="1:1">
      <c r="A4180" s="1"/>
    </row>
    <row r="4181" spans="1:1">
      <c r="A4181" s="2" t="s">
        <v>4083</v>
      </c>
    </row>
    <row r="4182" spans="1:1">
      <c r="A4182" s="2" t="s">
        <v>4084</v>
      </c>
    </row>
    <row r="4183" spans="1:1">
      <c r="A4183" s="2" t="s">
        <v>4085</v>
      </c>
    </row>
    <row r="4184" spans="1:1">
      <c r="A4184" s="2" t="s">
        <v>4086</v>
      </c>
    </row>
    <row r="4185" spans="1:1">
      <c r="A4185" s="2" t="s">
        <v>4087</v>
      </c>
    </row>
    <row r="4186" spans="1:1">
      <c r="A4186" s="2" t="s">
        <v>4088</v>
      </c>
    </row>
    <row r="4187" spans="1:1">
      <c r="A4187" s="2" t="s">
        <v>4089</v>
      </c>
    </row>
    <row r="4188" spans="1:1">
      <c r="A4188" s="2" t="s">
        <v>4090</v>
      </c>
    </row>
    <row r="4189" spans="1:1">
      <c r="A4189" s="2" t="s">
        <v>4091</v>
      </c>
    </row>
    <row r="4190" spans="1:1">
      <c r="A4190" s="2" t="s">
        <v>4092</v>
      </c>
    </row>
    <row r="4191" spans="1:1">
      <c r="A4191" s="2" t="s">
        <v>4093</v>
      </c>
    </row>
    <row r="4192" spans="1:1">
      <c r="A4192" s="2" t="s">
        <v>4094</v>
      </c>
    </row>
    <row r="4193" spans="1:1">
      <c r="A4193" s="2" t="s">
        <v>4095</v>
      </c>
    </row>
    <row r="4194" spans="1:1">
      <c r="A4194" s="2" t="s">
        <v>4096</v>
      </c>
    </row>
    <row r="4195" spans="1:1">
      <c r="A4195" s="2" t="s">
        <v>4097</v>
      </c>
    </row>
    <row r="4196" spans="1:1">
      <c r="A4196" s="2" t="s">
        <v>4098</v>
      </c>
    </row>
    <row r="4197" spans="1:1">
      <c r="A4197" s="2" t="s">
        <v>4099</v>
      </c>
    </row>
    <row r="4198" spans="1:1">
      <c r="A4198" s="2" t="s">
        <v>4100</v>
      </c>
    </row>
    <row r="4199" spans="1:1">
      <c r="A4199" s="2" t="s">
        <v>4101</v>
      </c>
    </row>
    <row r="4200" spans="1:1">
      <c r="A4200" s="2" t="s">
        <v>4102</v>
      </c>
    </row>
    <row r="4201" spans="1:1">
      <c r="A4201" s="2" t="s">
        <v>4103</v>
      </c>
    </row>
    <row r="4202" spans="1:1">
      <c r="A4202" s="2" t="s">
        <v>4104</v>
      </c>
    </row>
    <row r="4203" spans="1:1">
      <c r="A4203" s="2" t="s">
        <v>4105</v>
      </c>
    </row>
    <row r="4204" spans="1:1">
      <c r="A4204" s="2" t="s">
        <v>4106</v>
      </c>
    </row>
    <row r="4205" spans="1:1">
      <c r="A4205" s="2" t="s">
        <v>4107</v>
      </c>
    </row>
    <row r="4206" spans="1:1">
      <c r="A4206" s="2" t="s">
        <v>4108</v>
      </c>
    </row>
    <row r="4207" spans="1:1">
      <c r="A4207" s="2" t="s">
        <v>4109</v>
      </c>
    </row>
    <row r="4208" spans="1:1">
      <c r="A4208" s="1"/>
    </row>
    <row r="4209" spans="1:1">
      <c r="A4209" s="2" t="s">
        <v>4110</v>
      </c>
    </row>
    <row r="4210" spans="1:1">
      <c r="A4210" s="2" t="s">
        <v>4111</v>
      </c>
    </row>
    <row r="4211" spans="1:1">
      <c r="A4211" s="2" t="s">
        <v>4112</v>
      </c>
    </row>
    <row r="4212" spans="1:1">
      <c r="A4212" s="2" t="s">
        <v>4113</v>
      </c>
    </row>
    <row r="4213" spans="1:1">
      <c r="A4213" s="2" t="s">
        <v>4114</v>
      </c>
    </row>
    <row r="4214" spans="1:1">
      <c r="A4214" s="2" t="s">
        <v>4115</v>
      </c>
    </row>
    <row r="4215" spans="1:1">
      <c r="A4215" s="2" t="s">
        <v>4116</v>
      </c>
    </row>
    <row r="4216" spans="1:1">
      <c r="A4216" s="2" t="s">
        <v>4117</v>
      </c>
    </row>
    <row r="4217" spans="1:1">
      <c r="A4217" s="2" t="s">
        <v>4118</v>
      </c>
    </row>
    <row r="4218" spans="1:1">
      <c r="A4218" s="1"/>
    </row>
    <row r="4219" spans="1:1">
      <c r="A4219" s="2" t="s">
        <v>4119</v>
      </c>
    </row>
    <row r="4220" spans="1:1">
      <c r="A4220" s="2" t="s">
        <v>4120</v>
      </c>
    </row>
    <row r="4221" spans="1:1">
      <c r="A4221" s="1"/>
    </row>
    <row r="4222" spans="1:1">
      <c r="A4222" s="2" t="s">
        <v>4121</v>
      </c>
    </row>
    <row r="4223" spans="1:1">
      <c r="A4223" s="1"/>
    </row>
    <row r="4224" spans="1:1">
      <c r="A4224" s="2" t="s">
        <v>4122</v>
      </c>
    </row>
    <row r="4225" spans="1:1">
      <c r="A4225" s="2" t="s">
        <v>4123</v>
      </c>
    </row>
    <row r="4226" spans="1:1">
      <c r="A4226" s="2" t="s">
        <v>4124</v>
      </c>
    </row>
    <row r="4227" spans="1:1">
      <c r="A4227" s="2" t="s">
        <v>4125</v>
      </c>
    </row>
    <row r="4228" spans="1:1">
      <c r="A4228" s="2" t="s">
        <v>4126</v>
      </c>
    </row>
    <row r="4229" spans="1:1">
      <c r="A4229" s="2" t="s">
        <v>4127</v>
      </c>
    </row>
    <row r="4230" spans="1:1">
      <c r="A4230" s="2" t="s">
        <v>4128</v>
      </c>
    </row>
    <row r="4231" spans="1:1">
      <c r="A4231" s="2" t="s">
        <v>4129</v>
      </c>
    </row>
    <row r="4232" spans="1:1">
      <c r="A4232" s="2" t="s">
        <v>4130</v>
      </c>
    </row>
    <row r="4233" spans="1:1">
      <c r="A4233" s="2" t="s">
        <v>4131</v>
      </c>
    </row>
    <row r="4234" spans="1:1">
      <c r="A4234" s="2" t="s">
        <v>4132</v>
      </c>
    </row>
    <row r="4235" spans="1:1">
      <c r="A4235" s="2" t="s">
        <v>4133</v>
      </c>
    </row>
    <row r="4236" spans="1:1">
      <c r="A4236" s="2" t="s">
        <v>4134</v>
      </c>
    </row>
    <row r="4237" spans="1:1">
      <c r="A4237" s="2" t="s">
        <v>4135</v>
      </c>
    </row>
    <row r="4238" spans="1:1">
      <c r="A4238" s="1"/>
    </row>
    <row r="4239" spans="1:1">
      <c r="A4239" s="2" t="s">
        <v>4136</v>
      </c>
    </row>
    <row r="4240" spans="1:1">
      <c r="A4240" s="2" t="s">
        <v>4137</v>
      </c>
    </row>
    <row r="4241" spans="1:1">
      <c r="A4241" s="2" t="s">
        <v>4138</v>
      </c>
    </row>
    <row r="4242" spans="1:1">
      <c r="A4242" s="2" t="s">
        <v>4139</v>
      </c>
    </row>
    <row r="4243" spans="1:1">
      <c r="A4243" s="2" t="s">
        <v>4140</v>
      </c>
    </row>
    <row r="4244" spans="1:1">
      <c r="A4244" s="2" t="s">
        <v>4141</v>
      </c>
    </row>
    <row r="4245" spans="1:1">
      <c r="A4245" s="2" t="s">
        <v>4142</v>
      </c>
    </row>
    <row r="4246" spans="1:1">
      <c r="A4246" s="2" t="s">
        <v>4143</v>
      </c>
    </row>
    <row r="4247" spans="1:1">
      <c r="A4247" s="2" t="s">
        <v>4144</v>
      </c>
    </row>
    <row r="4248" spans="1:1">
      <c r="A4248" s="2" t="s">
        <v>4145</v>
      </c>
    </row>
    <row r="4249" spans="1:1">
      <c r="A4249" s="2" t="s">
        <v>4146</v>
      </c>
    </row>
    <row r="4250" spans="1:1">
      <c r="A4250" s="2" t="s">
        <v>4147</v>
      </c>
    </row>
    <row r="4251" spans="1:1">
      <c r="A4251" s="2" t="s">
        <v>4148</v>
      </c>
    </row>
    <row r="4252" spans="1:1">
      <c r="A4252" s="2" t="s">
        <v>4149</v>
      </c>
    </row>
    <row r="4253" spans="1:1">
      <c r="A4253" s="2" t="s">
        <v>4150</v>
      </c>
    </row>
    <row r="4254" spans="1:1">
      <c r="A4254" s="2" t="s">
        <v>4151</v>
      </c>
    </row>
    <row r="4255" spans="1:1">
      <c r="A4255" s="2" t="s">
        <v>4152</v>
      </c>
    </row>
    <row r="4256" spans="1:1">
      <c r="A4256" s="1"/>
    </row>
    <row r="4257" spans="1:1">
      <c r="A4257" s="2" t="s">
        <v>4153</v>
      </c>
    </row>
    <row r="4258" spans="1:1">
      <c r="A4258" s="2" t="s">
        <v>4154</v>
      </c>
    </row>
    <row r="4259" spans="1:1">
      <c r="A4259" s="2" t="s">
        <v>4155</v>
      </c>
    </row>
    <row r="4260" spans="1:1">
      <c r="A4260" s="2" t="s">
        <v>4156</v>
      </c>
    </row>
    <row r="4261" spans="1:1">
      <c r="A4261" s="2" t="s">
        <v>4157</v>
      </c>
    </row>
    <row r="4262" spans="1:1">
      <c r="A4262" s="2" t="s">
        <v>4158</v>
      </c>
    </row>
    <row r="4263" spans="1:1">
      <c r="A4263" s="2" t="s">
        <v>4159</v>
      </c>
    </row>
    <row r="4264" spans="1:1">
      <c r="A4264" s="2" t="s">
        <v>4160</v>
      </c>
    </row>
    <row r="4265" spans="1:1">
      <c r="A4265" s="2" t="s">
        <v>4161</v>
      </c>
    </row>
    <row r="4266" spans="1:1">
      <c r="A4266" s="2" t="s">
        <v>4162</v>
      </c>
    </row>
    <row r="4267" spans="1:1">
      <c r="A4267" s="2" t="s">
        <v>4163</v>
      </c>
    </row>
    <row r="4268" spans="1:1">
      <c r="A4268" s="2" t="s">
        <v>4164</v>
      </c>
    </row>
    <row r="4269" spans="1:1">
      <c r="A4269" s="2" t="s">
        <v>4165</v>
      </c>
    </row>
    <row r="4270" spans="1:1">
      <c r="A4270" s="2" t="s">
        <v>4166</v>
      </c>
    </row>
    <row r="4271" spans="1:1">
      <c r="A4271" s="2" t="s">
        <v>4167</v>
      </c>
    </row>
    <row r="4272" spans="1:1">
      <c r="A4272" s="2" t="s">
        <v>4168</v>
      </c>
    </row>
    <row r="4273" spans="1:1">
      <c r="A4273" s="2" t="s">
        <v>4169</v>
      </c>
    </row>
    <row r="4274" spans="1:1">
      <c r="A4274" s="2" t="s">
        <v>4170</v>
      </c>
    </row>
    <row r="4275" spans="1:1">
      <c r="A4275" s="2" t="s">
        <v>4171</v>
      </c>
    </row>
    <row r="4276" spans="1:1">
      <c r="A4276" s="2" t="s">
        <v>4172</v>
      </c>
    </row>
    <row r="4277" spans="1:1">
      <c r="A4277" s="2" t="s">
        <v>4173</v>
      </c>
    </row>
    <row r="4278" spans="1:1">
      <c r="A4278" s="2" t="s">
        <v>4174</v>
      </c>
    </row>
    <row r="4279" spans="1:1">
      <c r="A4279" s="2" t="s">
        <v>4175</v>
      </c>
    </row>
    <row r="4280" spans="1:1">
      <c r="A4280" s="2" t="s">
        <v>4176</v>
      </c>
    </row>
    <row r="4281" spans="1:1">
      <c r="A4281" s="2" t="s">
        <v>4177</v>
      </c>
    </row>
    <row r="4282" spans="1:1">
      <c r="A4282" s="2" t="s">
        <v>4178</v>
      </c>
    </row>
    <row r="4283" spans="1:1">
      <c r="A4283" s="2" t="s">
        <v>4179</v>
      </c>
    </row>
    <row r="4284" spans="1:1">
      <c r="A4284" s="2" t="s">
        <v>4180</v>
      </c>
    </row>
    <row r="4285" spans="1:1">
      <c r="A4285" s="2" t="s">
        <v>4181</v>
      </c>
    </row>
    <row r="4286" spans="1:1">
      <c r="A4286" s="2" t="s">
        <v>4182</v>
      </c>
    </row>
    <row r="4287" spans="1:1">
      <c r="A4287" s="2" t="s">
        <v>4183</v>
      </c>
    </row>
    <row r="4288" spans="1:1">
      <c r="A4288" s="2" t="s">
        <v>4184</v>
      </c>
    </row>
    <row r="4289" spans="1:1">
      <c r="A4289" s="2" t="s">
        <v>4185</v>
      </c>
    </row>
    <row r="4290" spans="1:1">
      <c r="A4290" s="2" t="s">
        <v>4186</v>
      </c>
    </row>
    <row r="4291" spans="1:1">
      <c r="A4291" s="2" t="s">
        <v>4187</v>
      </c>
    </row>
    <row r="4292" spans="1:1">
      <c r="A4292" s="2" t="s">
        <v>4188</v>
      </c>
    </row>
    <row r="4293" spans="1:1">
      <c r="A4293" s="1"/>
    </row>
    <row r="4294" spans="1:1">
      <c r="A4294" s="2" t="s">
        <v>4189</v>
      </c>
    </row>
    <row r="4295" spans="1:1">
      <c r="A4295" s="2" t="s">
        <v>4190</v>
      </c>
    </row>
    <row r="4296" spans="1:1">
      <c r="A4296" s="2" t="s">
        <v>4191</v>
      </c>
    </row>
    <row r="4297" spans="1:1">
      <c r="A4297" s="2" t="s">
        <v>4192</v>
      </c>
    </row>
    <row r="4298" spans="1:1">
      <c r="A4298" s="2" t="s">
        <v>4193</v>
      </c>
    </row>
    <row r="4299" spans="1:1">
      <c r="A4299" s="2" t="s">
        <v>4194</v>
      </c>
    </row>
    <row r="4300" spans="1:1">
      <c r="A4300" s="2" t="s">
        <v>4195</v>
      </c>
    </row>
    <row r="4301" spans="1:1">
      <c r="A4301" s="2" t="s">
        <v>4196</v>
      </c>
    </row>
    <row r="4302" spans="1:1">
      <c r="A4302" s="2" t="s">
        <v>4197</v>
      </c>
    </row>
    <row r="4303" spans="1:1">
      <c r="A4303" s="2" t="s">
        <v>4198</v>
      </c>
    </row>
    <row r="4304" spans="1:1">
      <c r="A4304" s="2" t="s">
        <v>4199</v>
      </c>
    </row>
    <row r="4305" spans="1:1">
      <c r="A4305" s="2" t="s">
        <v>4200</v>
      </c>
    </row>
    <row r="4306" spans="1:1">
      <c r="A4306" s="2" t="s">
        <v>4201</v>
      </c>
    </row>
    <row r="4307" spans="1:1">
      <c r="A4307" s="2" t="s">
        <v>4202</v>
      </c>
    </row>
    <row r="4308" spans="1:1">
      <c r="A4308" s="2" t="s">
        <v>4203</v>
      </c>
    </row>
    <row r="4309" spans="1:1">
      <c r="A4309" s="2" t="s">
        <v>4204</v>
      </c>
    </row>
    <row r="4310" spans="1:1">
      <c r="A4310" s="2" t="s">
        <v>4205</v>
      </c>
    </row>
    <row r="4311" spans="1:1">
      <c r="A4311" s="2" t="s">
        <v>4206</v>
      </c>
    </row>
    <row r="4312" spans="1:1">
      <c r="A4312" s="2" t="s">
        <v>4207</v>
      </c>
    </row>
    <row r="4313" spans="1:1">
      <c r="A4313" s="2" t="s">
        <v>4208</v>
      </c>
    </row>
    <row r="4314" spans="1:1">
      <c r="A4314" s="2" t="s">
        <v>4209</v>
      </c>
    </row>
    <row r="4315" spans="1:1">
      <c r="A4315" s="2" t="s">
        <v>4210</v>
      </c>
    </row>
    <row r="4316" spans="1:1">
      <c r="A4316" s="1"/>
    </row>
    <row r="4317" spans="1:1">
      <c r="A4317" s="2" t="s">
        <v>4211</v>
      </c>
    </row>
    <row r="4318" spans="1:1">
      <c r="A4318" s="2" t="s">
        <v>4212</v>
      </c>
    </row>
    <row r="4319" spans="1:1">
      <c r="A4319" s="2" t="s">
        <v>4213</v>
      </c>
    </row>
    <row r="4320" spans="1:1">
      <c r="A4320" s="2" t="s">
        <v>4214</v>
      </c>
    </row>
    <row r="4321" spans="1:1">
      <c r="A4321" s="2" t="s">
        <v>4215</v>
      </c>
    </row>
    <row r="4322" spans="1:1">
      <c r="A4322" s="2" t="s">
        <v>4216</v>
      </c>
    </row>
    <row r="4323" spans="1:1">
      <c r="A4323" s="2" t="s">
        <v>4217</v>
      </c>
    </row>
    <row r="4324" spans="1:1">
      <c r="A4324" s="2" t="s">
        <v>4218</v>
      </c>
    </row>
    <row r="4325" spans="1:1">
      <c r="A4325" s="2" t="s">
        <v>4219</v>
      </c>
    </row>
    <row r="4326" spans="1:1">
      <c r="A4326" s="2" t="s">
        <v>4220</v>
      </c>
    </row>
    <row r="4327" spans="1:1">
      <c r="A4327" s="2" t="s">
        <v>4221</v>
      </c>
    </row>
    <row r="4328" spans="1:1">
      <c r="A4328" s="2" t="s">
        <v>4222</v>
      </c>
    </row>
    <row r="4329" spans="1:1">
      <c r="A4329" s="2" t="s">
        <v>4223</v>
      </c>
    </row>
    <row r="4330" spans="1:1">
      <c r="A4330" s="2" t="s">
        <v>4224</v>
      </c>
    </row>
    <row r="4331" spans="1:1">
      <c r="A4331" s="1"/>
    </row>
    <row r="4332" spans="1:1">
      <c r="A4332" s="2" t="s">
        <v>4225</v>
      </c>
    </row>
    <row r="4333" spans="1:1">
      <c r="A4333" s="2" t="s">
        <v>4226</v>
      </c>
    </row>
    <row r="4334" spans="1:1">
      <c r="A4334" s="2" t="s">
        <v>4227</v>
      </c>
    </row>
    <row r="4335" spans="1:1">
      <c r="A4335" s="2" t="s">
        <v>4228</v>
      </c>
    </row>
    <row r="4336" spans="1:1">
      <c r="A4336" s="2" t="s">
        <v>4229</v>
      </c>
    </row>
    <row r="4337" spans="1:1">
      <c r="A4337" s="2" t="s">
        <v>4230</v>
      </c>
    </row>
    <row r="4338" spans="1:1">
      <c r="A4338" s="2" t="s">
        <v>4231</v>
      </c>
    </row>
    <row r="4339" spans="1:1">
      <c r="A4339" s="2" t="s">
        <v>4232</v>
      </c>
    </row>
    <row r="4340" spans="1:1">
      <c r="A4340" s="2" t="s">
        <v>4233</v>
      </c>
    </row>
    <row r="4341" spans="1:1">
      <c r="A4341" s="2" t="s">
        <v>4234</v>
      </c>
    </row>
    <row r="4342" spans="1:1">
      <c r="A4342" s="2" t="s">
        <v>4235</v>
      </c>
    </row>
    <row r="4343" spans="1:1">
      <c r="A4343" s="2" t="s">
        <v>4236</v>
      </c>
    </row>
    <row r="4344" spans="1:1">
      <c r="A4344" s="2" t="s">
        <v>4237</v>
      </c>
    </row>
    <row r="4345" spans="1:1">
      <c r="A4345" s="2" t="s">
        <v>4238</v>
      </c>
    </row>
    <row r="4346" spans="1:1">
      <c r="A4346" s="2" t="s">
        <v>4239</v>
      </c>
    </row>
    <row r="4347" spans="1:1">
      <c r="A4347" s="2" t="s">
        <v>4240</v>
      </c>
    </row>
    <row r="4348" spans="1:1">
      <c r="A4348" s="2" t="s">
        <v>4241</v>
      </c>
    </row>
    <row r="4349" spans="1:1">
      <c r="A4349" s="2" t="s">
        <v>4242</v>
      </c>
    </row>
    <row r="4350" spans="1:1">
      <c r="A4350" s="2" t="s">
        <v>4243</v>
      </c>
    </row>
    <row r="4351" spans="1:1">
      <c r="A4351" s="2" t="s">
        <v>4244</v>
      </c>
    </row>
    <row r="4352" spans="1:1">
      <c r="A4352" s="2" t="s">
        <v>4245</v>
      </c>
    </row>
    <row r="4353" spans="1:1">
      <c r="A4353" s="2" t="s">
        <v>4246</v>
      </c>
    </row>
    <row r="4354" spans="1:1">
      <c r="A4354" s="2" t="s">
        <v>4247</v>
      </c>
    </row>
    <row r="4355" spans="1:1">
      <c r="A4355" s="2" t="s">
        <v>4248</v>
      </c>
    </row>
    <row r="4356" spans="1:1">
      <c r="A4356" s="2" t="s">
        <v>4249</v>
      </c>
    </row>
    <row r="4357" spans="1:1">
      <c r="A4357" s="2" t="s">
        <v>4250</v>
      </c>
    </row>
    <row r="4358" spans="1:1">
      <c r="A4358" s="2" t="s">
        <v>4251</v>
      </c>
    </row>
    <row r="4359" spans="1:1">
      <c r="A4359" s="2" t="s">
        <v>4252</v>
      </c>
    </row>
    <row r="4360" spans="1:1">
      <c r="A4360" s="2" t="s">
        <v>4253</v>
      </c>
    </row>
    <row r="4361" spans="1:1">
      <c r="A4361" s="2" t="s">
        <v>4254</v>
      </c>
    </row>
    <row r="4362" spans="1:1">
      <c r="A4362" s="2" t="s">
        <v>4255</v>
      </c>
    </row>
    <row r="4363" spans="1:1">
      <c r="A4363" s="2" t="s">
        <v>4256</v>
      </c>
    </row>
    <row r="4364" spans="1:1">
      <c r="A4364" s="2" t="s">
        <v>4257</v>
      </c>
    </row>
    <row r="4365" spans="1:1">
      <c r="A4365" s="2" t="s">
        <v>4258</v>
      </c>
    </row>
    <row r="4366" spans="1:1">
      <c r="A4366" s="1"/>
    </row>
    <row r="4367" spans="1:1">
      <c r="A4367" s="2" t="s">
        <v>4259</v>
      </c>
    </row>
    <row r="4368" spans="1:1">
      <c r="A4368" s="2" t="s">
        <v>4260</v>
      </c>
    </row>
    <row r="4369" spans="1:1">
      <c r="A4369" s="2" t="s">
        <v>4261</v>
      </c>
    </row>
    <row r="4370" spans="1:1">
      <c r="A4370" s="2" t="s">
        <v>4262</v>
      </c>
    </row>
    <row r="4371" spans="1:1">
      <c r="A4371" s="2" t="s">
        <v>4263</v>
      </c>
    </row>
    <row r="4372" spans="1:1">
      <c r="A4372" s="2" t="s">
        <v>4264</v>
      </c>
    </row>
    <row r="4373" spans="1:1">
      <c r="A4373" s="2" t="s">
        <v>4265</v>
      </c>
    </row>
    <row r="4374" spans="1:1">
      <c r="A4374" s="1"/>
    </row>
    <row r="4375" spans="1:1">
      <c r="A4375" s="2" t="s">
        <v>4266</v>
      </c>
    </row>
    <row r="4376" spans="1:1">
      <c r="A4376" s="2" t="s">
        <v>4267</v>
      </c>
    </row>
    <row r="4377" spans="1:1">
      <c r="A4377" s="2" t="s">
        <v>4268</v>
      </c>
    </row>
    <row r="4378" spans="1:1">
      <c r="A4378" s="2" t="s">
        <v>4269</v>
      </c>
    </row>
    <row r="4379" spans="1:1">
      <c r="A4379" s="2" t="s">
        <v>4270</v>
      </c>
    </row>
    <row r="4380" spans="1:1">
      <c r="A4380" s="2" t="s">
        <v>4271</v>
      </c>
    </row>
    <row r="4381" spans="1:1">
      <c r="A4381" s="2" t="s">
        <v>4272</v>
      </c>
    </row>
    <row r="4382" spans="1:1">
      <c r="A4382" s="2" t="s">
        <v>4273</v>
      </c>
    </row>
    <row r="4383" spans="1:1">
      <c r="A4383" s="1"/>
    </row>
    <row r="4384" spans="1:1">
      <c r="A4384" s="2" t="s">
        <v>4274</v>
      </c>
    </row>
    <row r="4385" spans="1:1">
      <c r="A4385" s="2" t="s">
        <v>4275</v>
      </c>
    </row>
    <row r="4386" spans="1:1">
      <c r="A4386" s="2" t="s">
        <v>4276</v>
      </c>
    </row>
    <row r="4387" spans="1:1">
      <c r="A4387" s="2" t="s">
        <v>4277</v>
      </c>
    </row>
    <row r="4388" spans="1:1">
      <c r="A4388" s="2" t="s">
        <v>4278</v>
      </c>
    </row>
    <row r="4389" spans="1:1">
      <c r="A4389" s="2" t="s">
        <v>4279</v>
      </c>
    </row>
    <row r="4390" spans="1:1">
      <c r="A4390" s="2" t="s">
        <v>4280</v>
      </c>
    </row>
    <row r="4391" spans="1:1">
      <c r="A4391" s="2" t="s">
        <v>4281</v>
      </c>
    </row>
    <row r="4392" spans="1:1">
      <c r="A4392" s="2" t="s">
        <v>4282</v>
      </c>
    </row>
    <row r="4393" spans="1:1">
      <c r="A4393" s="2" t="s">
        <v>4283</v>
      </c>
    </row>
    <row r="4394" spans="1:1">
      <c r="A4394" s="2" t="s">
        <v>4284</v>
      </c>
    </row>
    <row r="4395" spans="1:1">
      <c r="A4395" s="1"/>
    </row>
    <row r="4396" spans="1:1">
      <c r="A4396" s="2" t="s">
        <v>4285</v>
      </c>
    </row>
    <row r="4397" spans="1:1">
      <c r="A4397" s="2" t="s">
        <v>4286</v>
      </c>
    </row>
    <row r="4398" spans="1:1">
      <c r="A4398" s="2" t="s">
        <v>4287</v>
      </c>
    </row>
    <row r="4399" spans="1:1">
      <c r="A4399" s="1"/>
    </row>
    <row r="4400" spans="1:1">
      <c r="A4400" s="2" t="s">
        <v>4288</v>
      </c>
    </row>
    <row r="4401" spans="1:1">
      <c r="A4401" s="2" t="s">
        <v>4289</v>
      </c>
    </row>
    <row r="4402" spans="1:1">
      <c r="A4402" s="2" t="s">
        <v>4290</v>
      </c>
    </row>
    <row r="4403" spans="1:1">
      <c r="A4403" s="2" t="s">
        <v>4291</v>
      </c>
    </row>
    <row r="4404" spans="1:1">
      <c r="A4404" s="2" t="s">
        <v>4292</v>
      </c>
    </row>
    <row r="4405" spans="1:1">
      <c r="A4405" s="2" t="s">
        <v>4293</v>
      </c>
    </row>
    <row r="4406" spans="1:1">
      <c r="A4406" s="2" t="s">
        <v>4294</v>
      </c>
    </row>
    <row r="4407" spans="1:1">
      <c r="A4407" s="2" t="s">
        <v>4295</v>
      </c>
    </row>
    <row r="4408" spans="1:1">
      <c r="A4408" s="2" t="s">
        <v>4296</v>
      </c>
    </row>
    <row r="4409" spans="1:1">
      <c r="A4409" s="2" t="s">
        <v>4297</v>
      </c>
    </row>
    <row r="4410" spans="1:1">
      <c r="A4410" s="2" t="s">
        <v>4298</v>
      </c>
    </row>
    <row r="4411" spans="1:1">
      <c r="A4411" s="2" t="s">
        <v>4299</v>
      </c>
    </row>
    <row r="4412" spans="1:1">
      <c r="A4412" s="2" t="s">
        <v>4300</v>
      </c>
    </row>
    <row r="4413" spans="1:1">
      <c r="A4413" s="2" t="s">
        <v>4301</v>
      </c>
    </row>
    <row r="4414" spans="1:1">
      <c r="A4414" s="2" t="s">
        <v>4302</v>
      </c>
    </row>
    <row r="4415" spans="1:1">
      <c r="A4415" s="2" t="s">
        <v>4303</v>
      </c>
    </row>
    <row r="4416" spans="1:1">
      <c r="A4416" s="2" t="s">
        <v>4304</v>
      </c>
    </row>
    <row r="4417" spans="1:1">
      <c r="A4417" s="2" t="s">
        <v>4305</v>
      </c>
    </row>
    <row r="4418" spans="1:1">
      <c r="A4418" s="2" t="s">
        <v>4306</v>
      </c>
    </row>
    <row r="4419" spans="1:1">
      <c r="A4419" s="2" t="s">
        <v>4307</v>
      </c>
    </row>
    <row r="4420" spans="1:1">
      <c r="A4420" s="2" t="s">
        <v>4308</v>
      </c>
    </row>
    <row r="4421" spans="1:1">
      <c r="A4421" s="2" t="s">
        <v>4309</v>
      </c>
    </row>
    <row r="4422" spans="1:1">
      <c r="A4422" s="2" t="s">
        <v>4310</v>
      </c>
    </row>
    <row r="4423" spans="1:1">
      <c r="A4423" s="2" t="s">
        <v>4311</v>
      </c>
    </row>
    <row r="4424" spans="1:1">
      <c r="A4424" s="2" t="s">
        <v>4312</v>
      </c>
    </row>
    <row r="4425" spans="1:1">
      <c r="A4425" s="2" t="s">
        <v>4313</v>
      </c>
    </row>
    <row r="4426" spans="1:1">
      <c r="A4426" s="2" t="s">
        <v>4314</v>
      </c>
    </row>
    <row r="4427" spans="1:1">
      <c r="A4427" s="2" t="s">
        <v>4315</v>
      </c>
    </row>
    <row r="4428" spans="1:1">
      <c r="A4428" s="2" t="s">
        <v>4316</v>
      </c>
    </row>
    <row r="4429" spans="1:1">
      <c r="A4429" s="2" t="s">
        <v>4317</v>
      </c>
    </row>
    <row r="4430" spans="1:1">
      <c r="A4430" s="2" t="s">
        <v>4318</v>
      </c>
    </row>
    <row r="4431" spans="1:1">
      <c r="A4431" s="2" t="s">
        <v>4319</v>
      </c>
    </row>
    <row r="4432" spans="1:1">
      <c r="A4432" s="2" t="s">
        <v>4320</v>
      </c>
    </row>
    <row r="4433" spans="1:1">
      <c r="A4433" s="2" t="s">
        <v>4321</v>
      </c>
    </row>
    <row r="4434" spans="1:1">
      <c r="A4434" s="1"/>
    </row>
    <row r="4435" spans="1:1">
      <c r="A4435" s="2" t="s">
        <v>4322</v>
      </c>
    </row>
    <row r="4436" spans="1:1">
      <c r="A4436" s="2" t="s">
        <v>4323</v>
      </c>
    </row>
    <row r="4437" spans="1:1">
      <c r="A4437" s="2" t="s">
        <v>4324</v>
      </c>
    </row>
    <row r="4438" spans="1:1">
      <c r="A4438" s="2" t="s">
        <v>4325</v>
      </c>
    </row>
    <row r="4439" spans="1:1">
      <c r="A4439" s="2" t="s">
        <v>4326</v>
      </c>
    </row>
    <row r="4440" spans="1:1">
      <c r="A4440" s="2" t="s">
        <v>4327</v>
      </c>
    </row>
    <row r="4441" spans="1:1">
      <c r="A4441" s="2" t="s">
        <v>4328</v>
      </c>
    </row>
    <row r="4442" spans="1:1">
      <c r="A4442" s="2" t="s">
        <v>4329</v>
      </c>
    </row>
    <row r="4443" spans="1:1">
      <c r="A4443" s="2" t="s">
        <v>4330</v>
      </c>
    </row>
    <row r="4444" spans="1:1">
      <c r="A4444" s="2" t="s">
        <v>4331</v>
      </c>
    </row>
    <row r="4445" spans="1:1">
      <c r="A4445" s="2" t="s">
        <v>4332</v>
      </c>
    </row>
    <row r="4446" spans="1:1">
      <c r="A4446" s="2" t="s">
        <v>4333</v>
      </c>
    </row>
    <row r="4447" spans="1:1">
      <c r="A4447" s="2" t="s">
        <v>4334</v>
      </c>
    </row>
    <row r="4448" spans="1:1">
      <c r="A4448" s="2" t="s">
        <v>4335</v>
      </c>
    </row>
    <row r="4449" spans="1:1">
      <c r="A4449" s="2" t="s">
        <v>4336</v>
      </c>
    </row>
    <row r="4450" spans="1:1">
      <c r="A4450" s="2" t="s">
        <v>4337</v>
      </c>
    </row>
    <row r="4451" spans="1:1">
      <c r="A4451" s="2" t="s">
        <v>4338</v>
      </c>
    </row>
    <row r="4452" spans="1:1">
      <c r="A4452" s="2" t="s">
        <v>4339</v>
      </c>
    </row>
    <row r="4453" spans="1:1">
      <c r="A4453" s="2" t="s">
        <v>4340</v>
      </c>
    </row>
    <row r="4454" spans="1:1">
      <c r="A4454" s="2" t="s">
        <v>4341</v>
      </c>
    </row>
    <row r="4455" spans="1:1">
      <c r="A4455" s="2" t="s">
        <v>4342</v>
      </c>
    </row>
    <row r="4456" spans="1:1">
      <c r="A4456" s="2" t="s">
        <v>4343</v>
      </c>
    </row>
    <row r="4457" spans="1:1">
      <c r="A4457" s="2" t="s">
        <v>4344</v>
      </c>
    </row>
    <row r="4458" spans="1:1">
      <c r="A4458" s="2" t="s">
        <v>4345</v>
      </c>
    </row>
    <row r="4459" spans="1:1">
      <c r="A4459" s="2" t="s">
        <v>4346</v>
      </c>
    </row>
    <row r="4460" spans="1:1">
      <c r="A4460" s="2" t="s">
        <v>4347</v>
      </c>
    </row>
    <row r="4461" spans="1:1">
      <c r="A4461" s="1"/>
    </row>
    <row r="4462" spans="1:1">
      <c r="A4462" s="2" t="s">
        <v>4348</v>
      </c>
    </row>
    <row r="4463" spans="1:1">
      <c r="A4463" s="2" t="s">
        <v>4349</v>
      </c>
    </row>
    <row r="4464" spans="1:1">
      <c r="A4464" s="2" t="s">
        <v>4350</v>
      </c>
    </row>
    <row r="4465" spans="1:1">
      <c r="A4465" s="2" t="s">
        <v>4351</v>
      </c>
    </row>
    <row r="4466" spans="1:1">
      <c r="A4466" s="2" t="s">
        <v>4352</v>
      </c>
    </row>
    <row r="4467" spans="1:1">
      <c r="A4467" s="2" t="s">
        <v>4353</v>
      </c>
    </row>
    <row r="4468" spans="1:1">
      <c r="A4468" s="2" t="s">
        <v>4354</v>
      </c>
    </row>
    <row r="4469" spans="1:1">
      <c r="A4469" s="2" t="s">
        <v>4355</v>
      </c>
    </row>
    <row r="4470" spans="1:1">
      <c r="A4470" s="2" t="s">
        <v>4356</v>
      </c>
    </row>
    <row r="4471" spans="1:1">
      <c r="A4471" s="2" t="s">
        <v>4357</v>
      </c>
    </row>
    <row r="4472" spans="1:1">
      <c r="A4472" s="2" t="s">
        <v>4358</v>
      </c>
    </row>
    <row r="4473" spans="1:1">
      <c r="A4473" s="2" t="s">
        <v>4359</v>
      </c>
    </row>
    <row r="4474" spans="1:1">
      <c r="A4474" s="2" t="s">
        <v>4360</v>
      </c>
    </row>
    <row r="4475" spans="1:1">
      <c r="A4475" s="2" t="s">
        <v>4361</v>
      </c>
    </row>
    <row r="4476" spans="1:1">
      <c r="A4476" s="2" t="s">
        <v>4362</v>
      </c>
    </row>
    <row r="4477" spans="1:1">
      <c r="A4477" s="2" t="s">
        <v>4363</v>
      </c>
    </row>
    <row r="4478" spans="1:1">
      <c r="A4478" s="2" t="s">
        <v>4364</v>
      </c>
    </row>
    <row r="4479" spans="1:1">
      <c r="A4479" s="2" t="s">
        <v>4365</v>
      </c>
    </row>
    <row r="4480" spans="1:1">
      <c r="A4480" s="2" t="s">
        <v>4366</v>
      </c>
    </row>
    <row r="4481" spans="1:1">
      <c r="A4481" s="2" t="s">
        <v>4367</v>
      </c>
    </row>
    <row r="4482" spans="1:1">
      <c r="A4482" s="2" t="s">
        <v>4368</v>
      </c>
    </row>
    <row r="4483" spans="1:1">
      <c r="A4483" s="2" t="s">
        <v>4369</v>
      </c>
    </row>
    <row r="4484" spans="1:1">
      <c r="A4484" s="2" t="s">
        <v>4370</v>
      </c>
    </row>
    <row r="4485" spans="1:1">
      <c r="A4485" s="2" t="s">
        <v>4371</v>
      </c>
    </row>
    <row r="4486" spans="1:1">
      <c r="A4486" s="2" t="s">
        <v>4372</v>
      </c>
    </row>
    <row r="4487" spans="1:1">
      <c r="A4487" s="2" t="s">
        <v>4373</v>
      </c>
    </row>
    <row r="4488" spans="1:1">
      <c r="A4488" s="2" t="s">
        <v>4374</v>
      </c>
    </row>
    <row r="4489" spans="1:1">
      <c r="A4489" s="2" t="s">
        <v>4375</v>
      </c>
    </row>
    <row r="4490" spans="1:1">
      <c r="A4490" s="2" t="s">
        <v>4376</v>
      </c>
    </row>
    <row r="4491" spans="1:1">
      <c r="A4491" s="2" t="s">
        <v>4377</v>
      </c>
    </row>
    <row r="4492" spans="1:1">
      <c r="A4492" s="2" t="s">
        <v>4378</v>
      </c>
    </row>
    <row r="4493" spans="1:1">
      <c r="A4493" s="2" t="s">
        <v>4379</v>
      </c>
    </row>
    <row r="4494" spans="1:1">
      <c r="A4494" s="2" t="s">
        <v>4380</v>
      </c>
    </row>
    <row r="4495" spans="1:1">
      <c r="A4495" s="2" t="s">
        <v>4381</v>
      </c>
    </row>
    <row r="4496" spans="1:1">
      <c r="A4496" s="2" t="s">
        <v>4382</v>
      </c>
    </row>
    <row r="4497" spans="1:1">
      <c r="A4497" s="2" t="s">
        <v>4383</v>
      </c>
    </row>
    <row r="4498" spans="1:1">
      <c r="A4498" s="2" t="s">
        <v>4384</v>
      </c>
    </row>
    <row r="4499" spans="1:1">
      <c r="A4499" s="2" t="s">
        <v>4385</v>
      </c>
    </row>
    <row r="4500" spans="1:1">
      <c r="A4500" s="2" t="s">
        <v>4386</v>
      </c>
    </row>
    <row r="4501" spans="1:1">
      <c r="A4501" s="2" t="s">
        <v>4387</v>
      </c>
    </row>
    <row r="4502" spans="1:1">
      <c r="A4502" s="2" t="s">
        <v>4388</v>
      </c>
    </row>
    <row r="4503" spans="1:1">
      <c r="A4503" s="2" t="s">
        <v>4389</v>
      </c>
    </row>
    <row r="4504" spans="1:1">
      <c r="A4504" s="2" t="s">
        <v>4390</v>
      </c>
    </row>
    <row r="4505" spans="1:1">
      <c r="A4505" s="2" t="s">
        <v>4391</v>
      </c>
    </row>
    <row r="4506" spans="1:1">
      <c r="A4506" s="2" t="s">
        <v>4392</v>
      </c>
    </row>
    <row r="4507" spans="1:1">
      <c r="A4507" s="2" t="s">
        <v>4393</v>
      </c>
    </row>
    <row r="4508" spans="1:1">
      <c r="A4508" s="2" t="s">
        <v>4394</v>
      </c>
    </row>
    <row r="4509" spans="1:1">
      <c r="A4509" s="2" t="s">
        <v>4395</v>
      </c>
    </row>
    <row r="4510" spans="1:1">
      <c r="A4510" s="2" t="s">
        <v>4396</v>
      </c>
    </row>
    <row r="4511" spans="1:1">
      <c r="A4511" s="2" t="s">
        <v>4397</v>
      </c>
    </row>
    <row r="4512" spans="1:1">
      <c r="A4512" s="1"/>
    </row>
    <row r="4513" spans="1:1">
      <c r="A4513" s="2" t="s">
        <v>4398</v>
      </c>
    </row>
    <row r="4514" spans="1:1">
      <c r="A4514" s="2" t="s">
        <v>4399</v>
      </c>
    </row>
    <row r="4515" spans="1:1">
      <c r="A4515" s="2" t="s">
        <v>4400</v>
      </c>
    </row>
    <row r="4516" spans="1:1">
      <c r="A4516" s="2" t="s">
        <v>4401</v>
      </c>
    </row>
    <row r="4517" spans="1:1">
      <c r="A4517" s="2" t="s">
        <v>4402</v>
      </c>
    </row>
    <row r="4518" spans="1:1">
      <c r="A4518" s="2" t="s">
        <v>4403</v>
      </c>
    </row>
    <row r="4519" spans="1:1">
      <c r="A4519" s="2" t="s">
        <v>4404</v>
      </c>
    </row>
    <row r="4520" spans="1:1">
      <c r="A4520" s="2" t="s">
        <v>4405</v>
      </c>
    </row>
    <row r="4521" spans="1:1">
      <c r="A4521" s="2" t="s">
        <v>4406</v>
      </c>
    </row>
    <row r="4522" spans="1:1">
      <c r="A4522" s="2" t="s">
        <v>4407</v>
      </c>
    </row>
    <row r="4523" spans="1:1">
      <c r="A4523" s="2" t="s">
        <v>4408</v>
      </c>
    </row>
    <row r="4524" spans="1:1">
      <c r="A4524" s="2" t="s">
        <v>4409</v>
      </c>
    </row>
    <row r="4525" spans="1:1">
      <c r="A4525" s="2" t="s">
        <v>4410</v>
      </c>
    </row>
    <row r="4526" spans="1:1">
      <c r="A4526" s="2" t="s">
        <v>4411</v>
      </c>
    </row>
    <row r="4527" spans="1:1">
      <c r="A4527" s="2" t="s">
        <v>4412</v>
      </c>
    </row>
    <row r="4528" spans="1:1">
      <c r="A4528" s="2" t="s">
        <v>4413</v>
      </c>
    </row>
    <row r="4529" spans="1:1">
      <c r="A4529" s="2" t="s">
        <v>4414</v>
      </c>
    </row>
    <row r="4530" spans="1:1">
      <c r="A4530" s="2" t="s">
        <v>4415</v>
      </c>
    </row>
    <row r="4531" spans="1:1">
      <c r="A4531" s="2" t="s">
        <v>4416</v>
      </c>
    </row>
    <row r="4532" spans="1:1">
      <c r="A4532" s="2" t="s">
        <v>4417</v>
      </c>
    </row>
    <row r="4533" spans="1:1">
      <c r="A4533" s="2" t="s">
        <v>4418</v>
      </c>
    </row>
    <row r="4534" spans="1:1">
      <c r="A4534" s="2" t="s">
        <v>4419</v>
      </c>
    </row>
    <row r="4535" spans="1:1">
      <c r="A4535" s="2" t="s">
        <v>4420</v>
      </c>
    </row>
    <row r="4536" spans="1:1">
      <c r="A4536" s="2" t="s">
        <v>4421</v>
      </c>
    </row>
    <row r="4537" spans="1:1">
      <c r="A4537" s="2" t="s">
        <v>4422</v>
      </c>
    </row>
    <row r="4538" spans="1:1">
      <c r="A4538" s="2" t="s">
        <v>4423</v>
      </c>
    </row>
    <row r="4539" spans="1:1">
      <c r="A4539" s="2" t="s">
        <v>4424</v>
      </c>
    </row>
    <row r="4540" spans="1:1">
      <c r="A4540" s="2" t="s">
        <v>4425</v>
      </c>
    </row>
    <row r="4541" spans="1:1">
      <c r="A4541" s="2" t="s">
        <v>4426</v>
      </c>
    </row>
    <row r="4542" spans="1:1">
      <c r="A4542" s="2" t="s">
        <v>4427</v>
      </c>
    </row>
    <row r="4543" spans="1:1">
      <c r="A4543" s="2" t="s">
        <v>4428</v>
      </c>
    </row>
    <row r="4544" spans="1:1">
      <c r="A4544" s="2" t="s">
        <v>4429</v>
      </c>
    </row>
    <row r="4545" spans="1:1">
      <c r="A4545" s="2" t="s">
        <v>4430</v>
      </c>
    </row>
    <row r="4546" spans="1:1">
      <c r="A4546" s="2" t="s">
        <v>4431</v>
      </c>
    </row>
    <row r="4547" spans="1:1">
      <c r="A4547" s="2" t="s">
        <v>4432</v>
      </c>
    </row>
    <row r="4548" spans="1:1">
      <c r="A4548" s="2" t="s">
        <v>4433</v>
      </c>
    </row>
    <row r="4549" spans="1:1">
      <c r="A4549" s="2" t="s">
        <v>4434</v>
      </c>
    </row>
    <row r="4550" spans="1:1">
      <c r="A4550" s="2" t="s">
        <v>4435</v>
      </c>
    </row>
    <row r="4551" spans="1:1">
      <c r="A4551" s="2" t="s">
        <v>4436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AllCodes</vt:lpstr>
      <vt:lpstr>UTF-8Xlate</vt:lpstr>
      <vt:lpstr>OriginalText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Reta, Felix (Atlanta)</dc:creator>
  <cp:lastModifiedBy>Felix Reta</cp:lastModifiedBy>
  <dcterms:created xsi:type="dcterms:W3CDTF">2021-07-12T20:27:07Z</dcterms:created>
  <dcterms:modified xsi:type="dcterms:W3CDTF">2022-04-29T20:55:53Z</dcterms:modified>
</cp:coreProperties>
</file>