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pivotTables/pivotTable2.xml" ContentType="application/vnd.openxmlformats-officedocument.spreadsheetml.pivotTable+xml"/>
  <Override PartName="/xl/tables/table2.xml" ContentType="application/vnd.openxmlformats-officedocument.spreadsheetml.table+xml"/>
  <Override PartName="/xl/pivotTables/pivotTable3.xml" ContentType="application/vnd.openxmlformats-officedocument.spreadsheetml.pivot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alvariainc-my.sharepoint.com/personal/felix_reta_aspect_com/Documents/Documents/Personal/Excel/"/>
    </mc:Choice>
  </mc:AlternateContent>
  <xr:revisionPtr revIDLastSave="104664" documentId="8_{3C998869-3B6A-44B6-819F-843260D42A01}" xr6:coauthVersionLast="47" xr6:coauthVersionMax="47" xr10:uidLastSave="{6AACEFA3-35E0-47D3-B3B1-F3F0F0DA1285}"/>
  <bookViews>
    <workbookView xWindow="2655" yWindow="2730" windowWidth="25740" windowHeight="12795" activeTab="1" xr2:uid="{7758B92D-70A6-4CFB-A57C-F5B06DF1DE96}"/>
  </bookViews>
  <sheets>
    <sheet name="Sheet1" sheetId="14" r:id="rId1"/>
    <sheet name="Sheet3" sheetId="10" r:id="rId2"/>
    <sheet name="eMails" sheetId="1" r:id="rId3"/>
    <sheet name="Sheet5" sheetId="12" r:id="rId4"/>
    <sheet name="Calendar" sheetId="6" r:id="rId5"/>
    <sheet name="Sheet7" sheetId="13" r:id="rId6"/>
    <sheet name="Tasks" sheetId="11" r:id="rId7"/>
    <sheet name="Sheet2" sheetId="2" r:id="rId8"/>
  </sheets>
  <functionGroups builtInGroupCount="19"/>
  <externalReferences>
    <externalReference r:id="rId9"/>
  </externalReferences>
  <definedNames>
    <definedName name="eMail_date">eMails!$G$1</definedName>
    <definedName name="email_Folder">eMails!$E$1</definedName>
    <definedName name="eMail_sender">eMails!$H$1</definedName>
    <definedName name="eMail_subject">eMails!$F$1</definedName>
    <definedName name="eMail_text">eMails!$I$1</definedName>
    <definedName name="From_Date">eMails!$B$1</definedName>
    <definedName name="INPUT_REGION">'[1]Input Form'!$G$3</definedName>
    <definedName name="Project">Table2[[#Headers],[Project]]</definedName>
    <definedName name="Source">Table2[[#Headers],[Source]]</definedName>
  </definedNames>
  <calcPr calcId="191029"/>
  <pivotCaches>
    <pivotCache cacheId="19" r:id="rId10"/>
    <pivotCache cacheId="23" r:id="rId11"/>
    <pivotCache cacheId="35"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2" i="1" l="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A2" i="14" l="1"/>
  <c r="A3" i="14"/>
  <c r="A4" i="14"/>
  <c r="A5" i="14"/>
  <c r="A6" i="14"/>
  <c r="A7" i="14"/>
  <c r="A9" i="14"/>
  <c r="M2" i="2"/>
  <c r="M3" i="2"/>
  <c r="M4" i="2"/>
  <c r="M5" i="2"/>
  <c r="M6" i="2"/>
  <c r="M7" i="2"/>
  <c r="M8" i="2"/>
  <c r="M9" i="2"/>
  <c r="M10" i="2"/>
  <c r="M11" i="2"/>
  <c r="M12" i="2"/>
  <c r="M13" i="2"/>
  <c r="M14" i="2"/>
  <c r="M15" i="2"/>
  <c r="M16" i="2"/>
  <c r="M1" i="2"/>
  <c r="D12" i="14"/>
  <c r="D13" i="14"/>
  <c r="D8" i="14"/>
  <c r="C12" i="14"/>
  <c r="C13" i="14"/>
  <c r="C10" i="14"/>
  <c r="C8" i="14"/>
  <c r="D2" i="14"/>
  <c r="B11" i="14"/>
  <c r="B8" i="14"/>
  <c r="B2" i="14"/>
  <c r="B13" i="14"/>
  <c r="C5" i="14"/>
  <c r="C4" i="14"/>
  <c r="B12" i="14"/>
  <c r="C3" i="14"/>
  <c r="C2" i="14"/>
  <c r="B9" i="14"/>
  <c r="D5" i="14"/>
  <c r="B3" i="14"/>
  <c r="C6" i="14"/>
  <c r="B7" i="14"/>
  <c r="B5" i="14"/>
  <c r="G111" i="6" l="1"/>
  <c r="D11" i="14"/>
  <c r="D10" i="14"/>
  <c r="C11" i="14"/>
  <c r="D7" i="14"/>
  <c r="D4" i="14"/>
  <c r="C7" i="14"/>
  <c r="C9" i="14"/>
  <c r="B6" i="14"/>
  <c r="D6" i="14"/>
  <c r="D3" i="14"/>
  <c r="D9" i="14"/>
  <c r="B4" i="14"/>
  <c r="B10" i="14"/>
</calcChain>
</file>

<file path=xl/sharedStrings.xml><?xml version="1.0" encoding="utf-8"?>
<sst xmlns="http://schemas.openxmlformats.org/spreadsheetml/2006/main" count="2798" uniqueCount="758">
  <si>
    <t>From Date</t>
  </si>
  <si>
    <t>505898 Computershare</t>
  </si>
  <si>
    <t>505017 Camis</t>
  </si>
  <si>
    <t>504133 HGS</t>
  </si>
  <si>
    <t>505453 UBC</t>
  </si>
  <si>
    <t>505909 M&amp;T</t>
  </si>
  <si>
    <t>505921 PNC</t>
  </si>
  <si>
    <t>505926 AFNI</t>
  </si>
  <si>
    <t>505563 JetBlue</t>
  </si>
  <si>
    <t>505845 CAC Credit Acc</t>
  </si>
  <si>
    <t>505936 Accenture Dell</t>
  </si>
  <si>
    <t>505955-Rushmore Loan Screen pop migration</t>
  </si>
  <si>
    <t>505971 Assurant</t>
  </si>
  <si>
    <t>505967 JetBlue - PS-Secure Agent</t>
  </si>
  <si>
    <t>Subject</t>
  </si>
  <si>
    <t>Date</t>
  </si>
  <si>
    <t>Body</t>
  </si>
  <si>
    <t>Row Labels</t>
  </si>
  <si>
    <t>Grand Total</t>
  </si>
  <si>
    <t>Count of Subject</t>
  </si>
  <si>
    <t>Category</t>
  </si>
  <si>
    <t>Starting Date</t>
  </si>
  <si>
    <t>Ending Date</t>
  </si>
  <si>
    <t>Start Time</t>
  </si>
  <si>
    <t>End Time</t>
  </si>
  <si>
    <t>Hours</t>
  </si>
  <si>
    <t>Attendees</t>
  </si>
  <si>
    <t>Internet</t>
  </si>
  <si>
    <t>Manager</t>
  </si>
  <si>
    <t>Best Egg Weekly Project Status Meeting</t>
  </si>
  <si>
    <t>Purple Category</t>
  </si>
  <si>
    <t>Lunch</t>
  </si>
  <si>
    <t>Giles, Timothy, Reta, Felix [C], Hutcherson, Deborah [C], Lomakin, Roman, Ward, Mary, Bodrero, Brenda, Anderson, Amy, Paul, Michael, Gardner, Dee Dee, Wood, Daniel</t>
  </si>
  <si>
    <t>Managed Services/Private Cloud CAB CR Review</t>
  </si>
  <si>
    <t>Change Management, APS.AMER-PM-ALL, CAB - Hosted_MS, Newman, Randy, Goldstein, Jeffrey, Kumar, Narendra, Texter, Jim, Wise, Angela Joyce, Jefferson, John, Owens, Michael, Boughner, Randall, Scoot, Howard, Moore, Chris, Singh, Ashish, Taylor, Darryl, Durrough, Lenny, Pacheco, Henry, Neild, Robert, Serrano, Michelle, Schlinsog, Jason, Subbarayan, Saravanan, Smith, Rodney, Riley, MaryEllen, Jensen, John, Zuckerman, Dan, Sundararajan, Senthil, Chandorkar, Sujay, Lewandowski, Kimberly, Jones, Brian, Stewart, Kim</t>
  </si>
  <si>
    <t>Public Cloud CAB CR Review</t>
  </si>
  <si>
    <t>Alvaria Cloud CAB CR Review</t>
  </si>
  <si>
    <t>Change Management, APS.AMER-PM-ALL, CAB - Via, Jefferson, John, Lilic, Rusmin, Boughner, Randall, Kelly, Jarlath, Norton, David, Singh, Ashish, Wiegard, Hanno, Scoot, Howard, Durrough, Lenny, Murphy, Kealan, Ramadas, Ravishankara, Boring, Scott, Pacheco, Henry, McDonnell, Jon, Kumar, Narendra, Serrano, Michelle, Grigorian, Anna, Texter, Jim, Schlinsog, Jason, Crapps, MaryEllen [C], Subbarayan, Saravanan, Goldstein, Jeffrey, Smith, Rodney, Riley, MaryEllen, Beasley, Michael, Zuckerman, Dan, Kaleski, Mike, Craemer, Alex, Riemann, Mark, Jeffery, Richard, Chandorkar, Sujay, Lewandowski, Kimberly, Mauelshagen, Martin, Harper, Paul, Rai, Rohit, Jones, Brian, Stewart, Kim</t>
  </si>
  <si>
    <t>Weekly Status Meeting - WFM &amp; AQM Upgrade 505845 -CAC</t>
  </si>
  <si>
    <t>Project</t>
  </si>
  <si>
    <t>Other</t>
  </si>
  <si>
    <t>505845</t>
  </si>
  <si>
    <t>505936</t>
  </si>
  <si>
    <t>505926</t>
  </si>
  <si>
    <t>Weekly Project Status Meeting JetBlue/Alvaria [505563]</t>
  </si>
  <si>
    <t>505563</t>
  </si>
  <si>
    <t>Change Management, APS.AMER-PM-ALL, CAB - Cloud, Boughner, Randall, Owens, Michael, Texter, Jim, Scoot, Howard, Kumar, Narendra, Jefferson, John, Neild, Robert, Singh, Ashish, Rosario, Colin, Durrough, Lenny, Pacheco, Henry, Serrano, Michelle, Schlinsog, Jason, Subbarayan, Saravanan, Smith, Rodney, Goldstein, Jeffrey, Owen, Martin, Riley, MaryEllen, Lewandowski, Kimberly, Chandorkar, Sujay, Jones, Brian, Stewart, Kim</t>
  </si>
  <si>
    <t>505955</t>
  </si>
  <si>
    <t>505971</t>
  </si>
  <si>
    <t>505742</t>
  </si>
  <si>
    <t>Column Labels</t>
  </si>
  <si>
    <t>Schlinsog, Jason</t>
  </si>
  <si>
    <t>RE: Camis 505017 - WFM project - Optimization workshop</t>
  </si>
  <si>
    <t>RE: Browser Standardization | Bowser Extension SCripts</t>
  </si>
  <si>
    <t>RE: R.A.: Reta, Felix #391173 PA#: 505453, 50119 United Biosource LLC, Biggs, Tumoyia R</t>
  </si>
  <si>
    <t>Reta, Felix [C]</t>
  </si>
  <si>
    <t>RE: R.A.: Reta, Felix #391173 PA#: 505453, 50119 United Biosource LLC</t>
  </si>
  <si>
    <t>Folder</t>
  </si>
  <si>
    <t>Sender</t>
  </si>
  <si>
    <t>Weekly status meeting for 505936 -Synnex - Dell - Accenture - WFM Upgrade V19- V21.1</t>
  </si>
  <si>
    <t>505978</t>
  </si>
  <si>
    <t>Updated Project schedule [505563 -Jet Blue - Premise APM Upgrade to V.21]</t>
  </si>
  <si>
    <t>RE: JB ODBC Drivers</t>
  </si>
  <si>
    <t>RE: CMS 19 Alignment [505563 -Jet Blue - Premise APM Upgrade to V.21]</t>
  </si>
  <si>
    <t>RE: PNC Bank ACD add</t>
  </si>
  <si>
    <t>RE: PNC; Cloud adapter project touchpoint</t>
  </si>
  <si>
    <t>Bock, April [C]</t>
  </si>
  <si>
    <t>RE: Project 505926 AFNI Workforce expansion ACD &amp; RTA feeds to Cisco UCCE [Kickoff]</t>
  </si>
  <si>
    <t>Srinivas, Aswath</t>
  </si>
  <si>
    <t>RE: [EXTERNAL]RE: [EXTERNAL]Project 505926 AFNI Workforce expansion ACD &amp; RTA feeds to Cisco UCCE</t>
  </si>
  <si>
    <t>James Moore</t>
  </si>
  <si>
    <t>Beal, Steve</t>
  </si>
  <si>
    <t>FW: WFM Segment Export/Email testing [505845]</t>
  </si>
  <si>
    <t>RE: WFM Segment Export/Email testing</t>
  </si>
  <si>
    <t>505845 -Credit Acceptance Corp. - WFM/APM and AQM Upgrade to V21, Resource working hours per contract.</t>
  </si>
  <si>
    <t>RE: Stereo support readiness for 505845 -Credit Acceptance Corp. - WFM/APM and AQM Upgrade to V21.</t>
  </si>
  <si>
    <t>505936 -Synnex - Dell - Accenture - WFM Upgrade V19- V21.1</t>
  </si>
  <si>
    <t>505936 -Synnex - Dell - Accenture - WFM Upgrade V19- V21.1 Client briefing.</t>
  </si>
  <si>
    <t>Beal, Stephen (steve.beal@Alvaria.com)</t>
  </si>
  <si>
    <t>FW: Alvaria Workforce DR VM Move SOW [505971 Assurant full reinstall]</t>
  </si>
  <si>
    <t>Rafael Davila</t>
  </si>
  <si>
    <t>505978 Rushmore - New AQM Server</t>
  </si>
  <si>
    <t>RE: 505978 Rushmore - New AQM Server [EXTERNAL]</t>
  </si>
  <si>
    <t>Your daily briefing</t>
  </si>
  <si>
    <t>Microsoft Viva</t>
  </si>
  <si>
    <t>RE: Please assign me to transitioned projects from Deb 505845 CAC, 505563 JetBlue</t>
  </si>
  <si>
    <t>NA I&amp;O Practice Qrt PS Forecast by Project Schedule</t>
  </si>
  <si>
    <t>Report results ((JS) 30 days APS Go Live NA Trac)</t>
  </si>
  <si>
    <t>Jason Schlinsog</t>
  </si>
  <si>
    <t>RE: Synnex-Dell-Accenture- WFM Upgrade V19- V21.1 || Server Audit</t>
  </si>
  <si>
    <t>RE: R.A.: Reta, Felix #395033 PA#: 505845, 6167 Credit Acceptance Corp, REQ_UIP IC</t>
  </si>
  <si>
    <t>505017</t>
  </si>
  <si>
    <t>505453</t>
  </si>
  <si>
    <t>505909</t>
  </si>
  <si>
    <t>Projects</t>
  </si>
  <si>
    <t>505898</t>
  </si>
  <si>
    <t>Closing project, cont...</t>
  </si>
  <si>
    <t>Project 505926 AFNI Workforce expansion ACD &amp; RTA feeds to Cisco UCCE [Kickoff]</t>
  </si>
  <si>
    <t>505921</t>
  </si>
  <si>
    <t>Source</t>
  </si>
  <si>
    <t>Inbox email</t>
  </si>
  <si>
    <t>505983</t>
  </si>
  <si>
    <t>Folder email</t>
  </si>
  <si>
    <t>Timesheets</t>
  </si>
  <si>
    <t>Onboarding Document Checklist</t>
  </si>
  <si>
    <t>Review Alvaria SDLC &amp; RACI</t>
  </si>
  <si>
    <t>505898 UNIFIED IP™ SCREEN POP APPLICATION FOR SAGENT SOW</t>
  </si>
  <si>
    <t>☮ ⛵ Testing 1 2 3 action: Deleted</t>
  </si>
  <si>
    <t>R.A.: Reta, Felix #390201 PA#: 505898, 50801 Computershare Inc, REQ_Aspect Developer</t>
  </si>
  <si>
    <t>Clients</t>
  </si>
  <si>
    <t>Waterfield timesheet items</t>
  </si>
  <si>
    <t>Camis 505017 - WFM project - Optimization workshop</t>
  </si>
  <si>
    <t>FW: R.A.: Reta, Felix #390767 PA#: 505909, 6970 M&amp;T Bank, REQ_Solutions Architect</t>
  </si>
  <si>
    <t>3.4 Emailed Linda Hottum cust. PM 505909 M&amp;T Bank certs</t>
  </si>
  <si>
    <t>Schedule meeting with customer: subject: Scheduling your workshop.</t>
  </si>
  <si>
    <t>Final task, 5 days GC for United Biosource LLC : 505453 United BioSource Corp.-WFM Hosted Upgrade 8.3 to 21</t>
  </si>
  <si>
    <t>[EXTERNAL]Final task, 5 days GC for United Biosource LLC : 505453 United BioSource Corp.-WFM Hosted Upgrade 8.3 to 21</t>
  </si>
  <si>
    <t>Ping April for  Project 505921 PNC Bank</t>
  </si>
  <si>
    <t>RE: Kick off development for UNIFIED IP™ SCREEN POP APPLICATION FOR SAGENT [505898] Adjusted to client MT</t>
  </si>
  <si>
    <t>Sales to Implementation Kickoff Ring LLC action: from Inbox</t>
  </si>
  <si>
    <t>RE: PNC Technical meeting ACD Historical and RTA feeds into WFM [505921]</t>
  </si>
  <si>
    <t>RE: Updating UIP Call Center server SSL Certificates, Alvaria Case 01212743 [505909]</t>
  </si>
  <si>
    <t>FW: Scheduling your multichannel workshop. [504133 HGS USA - WFM 8.1 to 18.x Upgrade]</t>
  </si>
  <si>
    <t>INTERNAL - ICBC Cutover Planning and Readiness action: from Inbox</t>
  </si>
  <si>
    <t>FW: Updating UIP Call Center server SSL Certificates, Alvaria Case 01212743 [505909]</t>
  </si>
  <si>
    <t>RE: Alvaria / Aspect Resource &amp; Workset for PNC [505921]</t>
  </si>
  <si>
    <t>Practice QTR PS Forecast review</t>
  </si>
  <si>
    <t>Xpress</t>
  </si>
  <si>
    <t>RE: R.A.: Reta, Felix #391905 PA#: 505926, 6881 AFNI Inc, REQ_WFM IC</t>
  </si>
  <si>
    <t>RE: PNC Bank WFM Report Customization</t>
  </si>
  <si>
    <t>Issue S2I with team</t>
  </si>
  <si>
    <t>RE: RFC0150306 Update UIP Millsboro certificates on 3/22 at 9:30 pm ET</t>
  </si>
  <si>
    <t>505921 PNC Bank - PS, ACD Historical and RTA Feeds to WFM, Technical planning meeting cont...</t>
  </si>
  <si>
    <t>RE: [EXTERNAL]Final task, 5 days GC for United Biosource LLC : 505453 United BioSource Corp.-WFM Hosted Upgrade 8.3 to 21</t>
  </si>
  <si>
    <t>505017 Camis (Credit Acceptance Corp) - WFM Upgrade 8.3- 20</t>
  </si>
  <si>
    <t>FW: 505921 PNC Bank - PS, ACD Historical and RTA Feeds to WFM, Technical planning meeting cont...</t>
  </si>
  <si>
    <t>RE: 505921 PNC Bank - PS, ACD Historical and RTA Feeds to WFM, Technical planning meeting cont...</t>
  </si>
  <si>
    <t>RFC0150306 Update UIP Millsboro certificates on 3/22 at 9:30 pm ET</t>
  </si>
  <si>
    <t>Set up NS/SF</t>
  </si>
  <si>
    <t>3/24/2022 Dan Upton timesheet approval for 3hr 3/14 ,16,17. I can vouch for the 15 &amp; 17th when we kicked off &amp; continued tech discussions</t>
  </si>
  <si>
    <t>Please provide with email chain with PNC Joseph Lewandowski. Case 01253102</t>
  </si>
  <si>
    <t>ACD feed ticket 01253102.</t>
  </si>
  <si>
    <t>RE: 505926 AFNI Workforce expansion, Internal S2I meeting</t>
  </si>
  <si>
    <t>Please assign me to transitioned projects from Deb 505845 CAC, 505563 JetBlue</t>
  </si>
  <si>
    <t>RE: Template to Use Below - FW: Closing Project Process Question</t>
  </si>
  <si>
    <t>Emailed Adam AFNI, fup</t>
  </si>
  <si>
    <t>Project 505926 AFNI Workforce expansion ACD &amp; RTA feeds to Cisco UCCE.</t>
  </si>
  <si>
    <t>30 days APS Go Live</t>
  </si>
  <si>
    <t xml:space="preserve">RE: Weekly Project Status Meeting JetBlue/Alvaria </t>
  </si>
  <si>
    <t>505921 PNC Bank - PS, ACD Historical and RTA Feeds to WFM [Completion notice]</t>
  </si>
  <si>
    <t>505909 M&amp;T - Case 01212743- UIP Certs Expiring</t>
  </si>
  <si>
    <t>S2I meeting, SA, April Bock</t>
  </si>
  <si>
    <t>3.30 email to Richard &amp; Joseph to sign completion notice, fup reply</t>
  </si>
  <si>
    <t>505017 Camis Lori requested reminder end of April</t>
  </si>
  <si>
    <t>505845 CAC Issue meeting to formulate CR reqs with Dan Upton, Steve Beal and April</t>
  </si>
  <si>
    <t>Adam sent Cisco file to April, fup</t>
  </si>
  <si>
    <t>PNC closing [505921]</t>
  </si>
  <si>
    <t>Closing 505909 M&amp;T Bank certs</t>
  </si>
  <si>
    <t>R.A.: Reta, Felix #392592 PA#: 505936, 38389 TD SYNNEX Corporation, REQ_WFM BAC</t>
  </si>
  <si>
    <t>Close Milestone 1, initiation</t>
  </si>
  <si>
    <t>Project 505926 AFNI Workforce expansion ACD &amp; RTA feeds to Cisco UCCE</t>
  </si>
  <si>
    <t>Resource Allocation Approved (Resource: Biggs, Tumoyia R) [505926, 6881 AFNI Inc,]</t>
  </si>
  <si>
    <t>505955 Screen scraper upgrade.</t>
  </si>
  <si>
    <t>Accepted: Question about CTI pulling calls action: From ItemSend ☮</t>
  </si>
  <si>
    <t>505971 Assurant Meet with April on Friday 4.15</t>
  </si>
  <si>
    <t>FW: 4-13.22 Weekly Project Status Meeting JetBlue/Alvaria [505563]</t>
  </si>
  <si>
    <t>505845 Confirm with client that space and visibility to AQM servers is in place for all 3 environments</t>
  </si>
  <si>
    <t>505845 Schedule internal briefing chat with @April, @Steve, @Dan with assigned IC</t>
  </si>
  <si>
    <t>FW: jetblue</t>
  </si>
  <si>
    <t>Project 505926 AFNI Workforce expansion Workshop</t>
  </si>
  <si>
    <t>Stereo support readiness for 505845 -Credit Acceptance Corp. - WFM/APM and AQM Upgrade to V21.</t>
  </si>
  <si>
    <t>RE: 505978 Rushmore - New AQM Server.</t>
  </si>
  <si>
    <t>RE: CCI - Weekly Project Checkpoint</t>
  </si>
  <si>
    <t>(Resource: REQ_UIP IC) for 505845 -Credit Acceptance Corp. - WFM/APM and AQM Upgrade to V21</t>
  </si>
  <si>
    <t>Re: File media WFM 21.1 for 505936 -Synnex - Dell - Accenture - WFM Upgrade V19- V21.1</t>
  </si>
  <si>
    <t>4/21/2022 Order file media WFM 21.1</t>
  </si>
  <si>
    <t>RE: Re: File media WFM 21.1 for 505936 -Synnex - Dell - Accenture - WFM Upgrade V19- V21.1</t>
  </si>
  <si>
    <t>FW: 505936 -Synnex - Dell - Accenture - WFM Upgrade V19- V21.1</t>
  </si>
  <si>
    <t>RE: PM Feedback</t>
  </si>
  <si>
    <t>RE: 505978 Rushmore - New AQM Server CERTS [EXTERNAL]</t>
  </si>
  <si>
    <t>RE: Change Request for 505845 -Credit Acceptance Corp. - WFM/APM and AQM Upgrade to V21</t>
  </si>
  <si>
    <t>Shanoob, Muhammed</t>
  </si>
  <si>
    <t xml:space="preserve">Hi Reta, Felix [C], </t>
  </si>
  <si>
    <t xml:space="preserve">WARNING: This email </t>
  </si>
  <si>
    <t xml:space="preserve"> &lt;http://click.netsu</t>
  </si>
  <si>
    <t>Workshop Project 505926 AFNI Workforce expansion ACD &amp; RTA feeds to Cisco UCCE</t>
  </si>
  <si>
    <t>BAC Transition for 505845 -Credit Acceptance Corp. - WFM/APM and AQM Upgrade to V21 action: From ItemSend ☮</t>
  </si>
  <si>
    <t>505978 Rushmore - New AQM Server CERTS</t>
  </si>
  <si>
    <t>Manager, Projects</t>
  </si>
  <si>
    <t>CR002 Dev reset for [505845 -Credit Acceptance Corp. - WFM/APM and AQM Upgrade to V21</t>
  </si>
  <si>
    <t>LeftArrow:     UniConst = ChrW(8592)</t>
  </si>
  <si>
    <t>RightArrow:    UniConst = ChrW(8594)</t>
  </si>
  <si>
    <t>Clock2:        UniConst = ChrW(55357) &amp; ChrW(56657)</t>
  </si>
  <si>
    <t>SailBoat:      UniConst = ChrW(9973)</t>
  </si>
  <si>
    <t>PeaceLove:     UniConst = ChrW(9774)</t>
  </si>
  <si>
    <t>CheckOK:       UniConst = ChrW(9989)</t>
  </si>
  <si>
    <t>Ghost:         UniConst = ChrW(128123)</t>
  </si>
  <si>
    <t>MapleLeaf:     UniConst = ChrW(127809)</t>
  </si>
  <si>
    <t>Calaca:        UniConst = ChrW(128128)</t>
  </si>
  <si>
    <t>Corazon:       UniConst = ChrW(129505)</t>
  </si>
  <si>
    <t>Finger1:       UniConst = ChrW(128070)</t>
  </si>
  <si>
    <t>HandBro:       UniConst = ChrW(128587)</t>
  </si>
  <si>
    <t>Airplane:      UniConst = ChrW(9992)</t>
  </si>
  <si>
    <t>XMark:         UniConst = ChrW(917592)</t>
  </si>
  <si>
    <t>Umbrella:      UniConst = ChrW(127746)</t>
  </si>
  <si>
    <t>DogFace:</t>
  </si>
  <si>
    <t>✅</t>
  </si>
  <si>
    <t xml:space="preserve">UBC 4.7 Tumoyia scheduling, follow up completion </t>
  </si>
  <si>
    <t>505936 -Synnex - Dell - Accenture - WFM Upgrade V19- V21.1 WORKSHOP</t>
  </si>
  <si>
    <t>CR002 approval 505845 CAC</t>
  </si>
  <si>
    <t>☮ ⛵ 505983 TD Auto Finance - AQM Certs 2022 ✈🕑</t>
  </si>
  <si>
    <t>☮ ⛵ CMS 19 Alignment [505563 -Jet Blue - Premise APM Upgrade to V.21] ✈🕑</t>
  </si>
  <si>
    <t>☮ ⛵ 505971 Assurant - Full Reinstall - PS only ✈🕑</t>
  </si>
  <si>
    <t>☮ ⛵ RE: TD Bank Cert's - USAN resources ✈🕑</t>
  </si>
  <si>
    <t>☮ ⛵ RE: TDA USAN Certs - CSRs  - Replacement - April 12, 2022 Expiration [505983 AQM] ✈🕑</t>
  </si>
  <si>
    <t>☮ ⛵ RE: Project 505926 AFNI Workforce expansion Workshop ✈🕑</t>
  </si>
  <si>
    <t>☮ ⛵ RE: Afni WFM Files [505926 AFNI ] ✈🕑</t>
  </si>
  <si>
    <t>☮ ⛵ RE: 505978 Rushmore - New AQM Server CERTS [EXTERNAL] ✈🕑</t>
  </si>
  <si>
    <t>☮ ⛵ AQM Certificate Installation action: from Inbox ✈🕑</t>
  </si>
  <si>
    <t>☮ ⛵ RE: 505983 TD Auto Finance - AQM Certs 2022 ✈🕑</t>
  </si>
  <si>
    <t>☮ ⛵ RE: 505955 Screen scraper upgrade. [EXTERNAL] ✈🕑</t>
  </si>
  <si>
    <t>☮ ⛵ RE: 505971 Assurant - Full Reinstall - PS only ✈🕑</t>
  </si>
  <si>
    <t>☮ ⛵ RE: 505978 Rushmore - New AQM Server ✈🕑</t>
  </si>
  <si>
    <t>☮ ⛵ FW: WFM 21 Dev [505845 -Credit Acceptance Corp. - WFM/APM and AQM Upgrade to V21] ✈🕑</t>
  </si>
  <si>
    <t>☮ ⛵ 505955 Rushmore UIP Screen Pop Migration. ✈🕑</t>
  </si>
  <si>
    <t>☮ ⛵ CAC Stuff action: from Inbox ✈🕑</t>
  </si>
  <si>
    <t>☮ ⛵ RE: [EXTERNALBock, April [C] &lt;April.Bock@Alvaria.com&gt;]RE: Afni WFM Files ✈🕑</t>
  </si>
  <si>
    <t>☮ ⛵ Change Request. WFM 21 Dev [505845 -Credit Acceptance Corp. - WFM/APM and AQM Upgrade to V21] ✈🕑</t>
  </si>
  <si>
    <t>☮ ⛵ RE: WFM 21 Dev [505845 -Credit Acceptance Corp. - WFM/APM and AQM Upgrade to V21] ✈🕑</t>
  </si>
  <si>
    <t>Green Category</t>
  </si>
  <si>
    <t>Change Passwords</t>
  </si>
  <si>
    <t>505845 CR002 Sales Booking process started</t>
  </si>
  <si>
    <t>505967 For kickoff Daniel Wood</t>
  </si>
  <si>
    <t>505967</t>
  </si>
  <si>
    <t>Draft CR003 505845</t>
  </si>
  <si>
    <t>☮ ⛵ 505967 JetBlue - PS - Secure Agent ✈🕑</t>
  </si>
  <si>
    <t>☮ ⛵ AQM Cert  [505983 TD Auto Finance - AQM Certs 2022] ✈🕑</t>
  </si>
  <si>
    <t>☮ ⛵ Project review with CAC [505845 -Credit Acceptance Corp. - WFM/APM and AQM Upgrade to V21] ✈🕑</t>
  </si>
  <si>
    <t>☮ ⛵ Date proposed for move. [505971 Assurant - Full Reinstall - PS only] ✈🕑</t>
  </si>
  <si>
    <t>☮ ⛵ Synnex-Dell-Accenture- WFM Upgrade V19- V21.1 || APEA action: from Inbox ✈🕑</t>
  </si>
  <si>
    <t>☮ ⛵ RE: AQM Cert  [505983 TD Auto Finance - AQM Certs 2022] ✈🕑</t>
  </si>
  <si>
    <t>☮ ⛵ FW: AQM Cert  [505983 TD Auto Finance - AQM Certs 2022] ✈🕑</t>
  </si>
  <si>
    <t>ADAM BROWNFIELD</t>
  </si>
  <si>
    <t>Giles, Timothy</t>
  </si>
  <si>
    <t>Appointment</t>
  </si>
  <si>
    <t>☮ ⛵ RE: Camis 505017 - WFM project - Optimization workshop ✈🕑</t>
  </si>
  <si>
    <t>☮ ⛵ Computershare Inc : 505898 Computershare - Edge integration to Sagent (APS Only) ✈🕑</t>
  </si>
  <si>
    <t>☮ ⛵ RE: Afni WFM Files [505926 AFNI Workforce expansion ACD &amp; RTA feeds to Cisco UCCE] ✈🕑</t>
  </si>
  <si>
    <t>☮ ⛵ Accepted: Screen Pop Follow up meeting action: From ItemSend ☮ ✈🕑</t>
  </si>
  <si>
    <t>☮ ⛵ FW: 505978 Rushmore - New AQM Server [EXTERNAL] ✈🕑</t>
  </si>
  <si>
    <t>☮ ⛵ RE: Project review for CAC [505845 -Credit Acceptance Corp. - WFM/APM and  ✈🕑</t>
  </si>
  <si>
    <t>☮ ⛵ FW: [EXTERNAL]RE: Project 505926 AFNI Workforce expansion Workshop ✈🕑</t>
  </si>
  <si>
    <t>☮ ⛵ RE: [EXTERNAL]RE: Project 505926 AFNI Workforce expansion ACD &amp; RTA feeds to Cisco UCCE ✈🕑</t>
  </si>
  <si>
    <t>☮ ⛵ RE: 505978 Rushmore AQM Server, planning session. ✈🕑</t>
  </si>
  <si>
    <t>☮ ⛵ RE: [EXTERNAL]RE: Project 505926 AFNI Workforce expansion Workshop ✈🕑</t>
  </si>
  <si>
    <t>Change passwords</t>
  </si>
  <si>
    <t>Change Management</t>
  </si>
  <si>
    <t xml:space="preserve">Dear Felix,_x000D_
_x000D_
 _x000D_
_x000D_
</t>
  </si>
  <si>
    <t xml:space="preserve">Hi James,_x000D_
_x000D_
 _x000D_
_x000D_
I </t>
  </si>
  <si>
    <t>☮ ⛵ RE: Change Request for mobile app [CR003 505845 Credit Acceptance] ✈🕑</t>
  </si>
  <si>
    <t>☮ ⛵ RE: 505845 Credit Acceptance Corp :-AQM Upgrade to V21.1 Daily Update-18-Apr-22 ✈🕑</t>
  </si>
  <si>
    <t>☮ ⛵ TDA Certificate Update  - AQM Recorders and USAN AD Admin Portal  action: from Inbox ✈🕑</t>
  </si>
  <si>
    <t>RE: CAC PROD and DR AQM Install</t>
  </si>
  <si>
    <t xml:space="preserve">Hello Team,_x000D_
_x000D_
 _x000D_
_x000D_
</t>
  </si>
  <si>
    <t>Employee Mandatory Compliance Training</t>
  </si>
  <si>
    <t>Alla, Prabhakar</t>
  </si>
  <si>
    <t>Director 7 Screen Pop Project follow up meetings.</t>
  </si>
  <si>
    <t>505978 Rushmore Projected Go_Live Date @SF 5/20 ↑ 🕑</t>
  </si>
  <si>
    <t>☮ ⛵ RE: 505742 Consumer Cellular - Via WFM Training Lab ✈🕑</t>
  </si>
  <si>
    <t>505983 Projected Go_Live Date  5/31/2022 🕑</t>
  </si>
  <si>
    <t>☮ ⛵ RE: Date proposed for move. [505971 Assurant - Full Reinstall - PS only] ✈🕑</t>
  </si>
  <si>
    <t>☮ ⛵ FW: Escalation - Confirmation requested on updated CAC Gannt [505845 CAC] ✈🕑</t>
  </si>
  <si>
    <t>☮ ⛵ Timeline for go-live [505845 Credit Acceptance] ✈🕑</t>
  </si>
  <si>
    <t>☮ ⛵ RE: Escalation - Confirmation requested on updated CAC Gannt [505845 CAC] ✈🕑</t>
  </si>
  <si>
    <t>☮ ⛵ RE: Rushmore PROD AQM QWS server install | Daily updates ✈🕑</t>
  </si>
  <si>
    <t>☮ ⛵ RE: Screen Pop Follow up meeting [EXTERNAL] ✈🕑</t>
  </si>
  <si>
    <t>☮ ⛵ RE: Deploy to production RLMS-AQM19-QWS2 [505978] ✈🕑</t>
  </si>
  <si>
    <t>☮ ⛵ Milestone completion, please approve. [505983 TD Auto Finance certs.] ✈🕑</t>
  </si>
  <si>
    <t>505845 Credit Acceptance Corp. AQM open issues.</t>
  </si>
  <si>
    <t>☮ ⛵ RE: CAC_AQM_Issues_Highlighted  ✈🕑</t>
  </si>
  <si>
    <t>☮ ⛵ RE: 505926 AFNI Workforce expansion ACD &amp; RTA feeds to Cisco UCCE. ✈🕑</t>
  </si>
  <si>
    <t>eMails</t>
  </si>
  <si>
    <t>Meetings</t>
  </si>
  <si>
    <t>Tasks</t>
  </si>
  <si>
    <t>Dewald, Lori</t>
  </si>
  <si>
    <t>RE: RITM0196019 BP Account Created</t>
  </si>
  <si>
    <t>Mulholland, Jacob</t>
  </si>
  <si>
    <t>RE: UAT reported issues being worked. [505845 CAC]</t>
  </si>
  <si>
    <t>Chauhan, Sandeep</t>
  </si>
  <si>
    <t>Your Daily Digest from Datadog</t>
  </si>
  <si>
    <t>Datadog</t>
  </si>
  <si>
    <t xml:space="preserve"> &lt;https://app.datado</t>
  </si>
  <si>
    <t>[JIRA] (AQMDEV-71063) Migrated Templates from 18.1 to 21.1 show incorrect scores when used in 21.1</t>
  </si>
  <si>
    <t>Rainmaker User</t>
  </si>
  <si>
    <t xml:space="preserve"> &lt;https://www.gravat</t>
  </si>
  <si>
    <t>Natarajan, Natanam</t>
  </si>
  <si>
    <t xml:space="preserve"> 	Natarajan, Natanam</t>
  </si>
  <si>
    <t>Please see attached.</t>
  </si>
  <si>
    <t>Deshmukh, Rajeev</t>
  </si>
  <si>
    <t>Chmel, Greg</t>
  </si>
  <si>
    <t>Wood, Daniel</t>
  </si>
  <si>
    <t>Rucker, George</t>
  </si>
  <si>
    <t>Dear Rajeev,_x000D_
_x000D_
 _x000D_
_x000D_</t>
  </si>
  <si>
    <t>RE: Change Request. CR003 WFM 21 Dev [505845 -Credit Acceptance Corp. - WFM/APM and AQM Upgrade to V21]</t>
  </si>
  <si>
    <t>Bodrero, Brenda</t>
  </si>
  <si>
    <t>RE: Restore new 18.1 WFM database backup</t>
  </si>
  <si>
    <t xml:space="preserve">Hi Felix,_x000D_
_x000D_
 _x000D_
_x000D_
I </t>
  </si>
  <si>
    <t>Cammarata, Vincent</t>
  </si>
  <si>
    <t>William Eargle</t>
  </si>
  <si>
    <t xml:space="preserve"> _x000D_
_x000D_
 _x000D_
_x000D_
James Moor</t>
  </si>
  <si>
    <t>Blue Category</t>
  </si>
  <si>
    <t>Take a break</t>
  </si>
  <si>
    <t>Yellow Category</t>
  </si>
  <si>
    <t>Catch up on messages</t>
  </si>
  <si>
    <t>Screen Pop (Director 7) Tech Meeting 3</t>
  </si>
  <si>
    <t>Rafael Davila, Rucker, George, Reta, Felix [C], Pablo Ikehara, Thomas Pitts, Eugene Gugel, William Eargle, Cassandra Long</t>
  </si>
  <si>
    <t>Reta, Felix [C], Bock, April [C], Bock, April [C], felix.reta@gmail.com</t>
  </si>
  <si>
    <t>☮ ⛵ Completion notice Deploy to production RLMS-AQM19-QWS2 [505978 Rushmore new AQM server]  ✈🕑</t>
  </si>
  <si>
    <t>☮ ⛵ RE: JetBlue CMS data failure ✈🕑</t>
  </si>
  <si>
    <t>☮ ⛵ RE: Change Request CR003 [505845 CAC] ✈🕑</t>
  </si>
  <si>
    <t>☮ ⛵ FW: Change Request CR003 [505845 CAC] ✈🕑</t>
  </si>
  <si>
    <t>☮ ⛵ RE: Assurant || WFM ECO system DR move to ORD ✈🕑</t>
  </si>
  <si>
    <t>☮ ⛵ RE: 504133 hours not billing ✈🕑</t>
  </si>
  <si>
    <t>Appointment, Projects</t>
  </si>
  <si>
    <t>☮ ⛵ Please remove submitted hours in Netsuite. [504133] ✈🕑</t>
  </si>
  <si>
    <t>☮ ⛵ RE: CAC | AQM and DR AOAG ✈🕑</t>
  </si>
  <si>
    <t>☮ ⛵ FW: CAC | AQM and DR AOAG [505845] ✈🕑</t>
  </si>
  <si>
    <t>☮ ⛵ RE: CAC | AQM and DR AOAG [505845] ✈🕑</t>
  </si>
  <si>
    <t>☮ ⛵ FW: 504133 hours not billing ✈🕑</t>
  </si>
  <si>
    <t>☮ ⛵ UAT reported issues being worked. [505845 CAC] ✈🕑</t>
  </si>
  <si>
    <t>☮ ⛵ RE: CAC PROD and DR AQM Install ✈🕑</t>
  </si>
  <si>
    <t>☮ ⛵ RE: [EXTERNAL]RE: Afni WFM Files [505926 AFNI Workforce expansion ACD &amp; RTA feeds to Cisco UCCE] ✈🕑</t>
  </si>
  <si>
    <t>☮ ⛵ FW: RITM0196019 BP Account Created ✈🕑</t>
  </si>
  <si>
    <t>Sullivan, Jan, Lomakin, Roman, Simon, Francis, Nadgir, Sachin, Lamberth, Colin, Ramadas, Ravishankara, Norman Hutchinson, Matt Murphy, Kenneth Johnston, Paul Gimbutas, Das, Shounak, Epling, Darin, Shete, Abhijit, Reta, Felix [C], Sharif, Roshan [C], Trost, Lou Ann [C], Riley, MaryEllen</t>
  </si>
  <si>
    <t>505971 Assurant Projected Go_Live Date 6/24/2022 🕑</t>
  </si>
  <si>
    <t>☮ ⛵ RE: UAT reported issues being worked. [505845 CAC] ✈🕑</t>
  </si>
  <si>
    <t>☮ ⛵ FW: CAC PROD and DR AQM Install ✈🕑</t>
  </si>
  <si>
    <t>☮ ⛵ RE: RITM0196019 BP Account Created ✈🕑</t>
  </si>
  <si>
    <t>☮ ⛵ Change Request. CR003 WFM 21 Dev [505845 -Credit Acceptance Corp. - WFM/APM and AQM Upgrade to V21] ✈🕑</t>
  </si>
  <si>
    <t>☮ ⛵ FW: [JIRA] (AQMDEV-71062) Using pop out, media player does not expand with Window when stretched, fills with white space ✈🕑</t>
  </si>
  <si>
    <t>☮ ⛵ FW: Restore new 18.1 WFM database backup [505845 CAC] ✈🕑</t>
  </si>
  <si>
    <t>☮ ⛵ RE: Restore new 18.1 WFM database backup [505845 CAC CR004] ✈🕑</t>
  </si>
  <si>
    <t>☮ ⛵ RE: Restore new 18.1 WFM database backup CR004 [505845 CAC] ✈🕑</t>
  </si>
  <si>
    <t>☮ ⛵ RE: Change Request. CR003 WFM 21 Dev [505845 -Credit Acceptance Corp. - WFM/APM and AQM Upgrade to V21] ✈🕑</t>
  </si>
  <si>
    <t>☮ ⛵ Director (Screen Scrapper) Weekly meeting action: from Inbox ✈🕑</t>
  </si>
  <si>
    <t>☮ ⛵ FW: CR004 for 505845 Credit Acceptance AQM Upgrade, 2nd Db copy. ✈🕑</t>
  </si>
  <si>
    <t>☮ ⛵ RE: Lab environment [505563 -Jet Blue - Premise APM Upgrade to V.21] ✈🕑</t>
  </si>
  <si>
    <t>Culver, Brent</t>
  </si>
  <si>
    <t>I will be out of the</t>
  </si>
  <si>
    <t>RE: Synnex-Dell-Accenture- WFM Upgrade V19- V21.1</t>
  </si>
  <si>
    <t>Mishra, Nirmal</t>
  </si>
  <si>
    <t>Hello Russell,_x000D_
_x000D_
 _x000D_</t>
  </si>
  <si>
    <t>April Bock</t>
  </si>
  <si>
    <t>RE: Restore new 18.1 WFM database backup CR004 [505845 CAC]</t>
  </si>
  <si>
    <t>RE: [EXTERNAL]Closing project. [505926 AFNI Workforce expansion ACD &amp; RTA feeds to Cisco UCCE]</t>
  </si>
  <si>
    <t>Pacuribot, Jonathan Renz</t>
  </si>
  <si>
    <t>Gengaram, Karthi</t>
  </si>
  <si>
    <t xml:space="preserve"> 	Gengaram, Karthi &lt;</t>
  </si>
  <si>
    <t>Sure, we can discuss</t>
  </si>
  <si>
    <t xml:space="preserve">The earliest we can </t>
  </si>
  <si>
    <t>Hi James,_x000D_
_x000D_
 _x000D_
_x000D_
Be</t>
  </si>
  <si>
    <t>RE: [JIRA] (AQMDEV-71063) Migrated Templates from 18.1 to 21.1 show incorrect scores when used in 21.1</t>
  </si>
  <si>
    <t xml:space="preserve">Hello Jonathan,_x000D_
_x000D_
 </t>
  </si>
  <si>
    <t>Automatic reply: Restore new 18.1 WFM database backup CR004 [505845 CAC]</t>
  </si>
  <si>
    <t>Vaishali Mehta</t>
  </si>
  <si>
    <t>I I am on PTO on May</t>
  </si>
  <si>
    <t>Automatic reply: Change Request. CR003 WFM 21 Dev [505845 -Credit Acceptance Corp. - WFM/APM and AQM Upgrade to V21]</t>
  </si>
  <si>
    <t>*** OUT OF OFFICE***</t>
  </si>
  <si>
    <t>RE: Director (Screen Scrapper) Weekly meeting</t>
  </si>
  <si>
    <t>I have a training se</t>
  </si>
  <si>
    <t>RE: Alvaria - HGS/USA - Catch up call</t>
  </si>
  <si>
    <t>Demers, Paul</t>
  </si>
  <si>
    <t>Hi Ryan,_x000D_
_x000D_
 _x000D_
_x000D_
Tha</t>
  </si>
  <si>
    <t>Baello, Russell J. I.</t>
  </si>
  <si>
    <t>Automatic reply: Director (Screen Scrapper) Weekly meeting [EXTERNAL]</t>
  </si>
  <si>
    <t>Cassandra Long</t>
  </si>
  <si>
    <t>Thanks! _x000D_
_x000D_
 _x000D_
_x000D_
Gre</t>
  </si>
  <si>
    <t>Here is the signed C</t>
  </si>
  <si>
    <t xml:space="preserve">Project Milestone - Validation </t>
  </si>
  <si>
    <t>Felix_x000D_
_x000D_
 _x000D_
_x000D_
Hope y</t>
  </si>
  <si>
    <t>RE: EOM Timecards</t>
  </si>
  <si>
    <t xml:space="preserve">Today is the end of </t>
  </si>
  <si>
    <t>RE: New WBS Template_V2022</t>
  </si>
  <si>
    <t xml:space="preserve">All, _x000D_
_x000D_
 _x000D_
_x000D_
I had </t>
  </si>
  <si>
    <t xml:space="preserve">RE: Project Milestone - Validation </t>
  </si>
  <si>
    <t>Correct, this projec</t>
  </si>
  <si>
    <t>Subramanyam, Hari</t>
  </si>
  <si>
    <t xml:space="preserve"> 	Subramanyam, Hari </t>
  </si>
  <si>
    <t>Added Configuration:</t>
  </si>
  <si>
    <t>HI James _x000D_
_x000D_
I am do</t>
  </si>
  <si>
    <t>Hi James,_x000D_
_x000D_
_x000D_
We ca</t>
  </si>
  <si>
    <t>Just for documentati</t>
  </si>
  <si>
    <t>Harini R Desai mentioned you in a post</t>
  </si>
  <si>
    <t>Alvaria Inc.</t>
  </si>
  <si>
    <t>@Felix Reta @Nimmy A</t>
  </si>
  <si>
    <t>Lab environment</t>
  </si>
  <si>
    <t>Hey Felix,_x000D_
_x000D_
 _x000D_
_x000D_
B</t>
  </si>
  <si>
    <t>Your Daily Digest for Alvaria Inc</t>
  </si>
  <si>
    <t xml:space="preserve"> 	 _x000D_
 	 _x000D_
 	 Hi Feli</t>
  </si>
  <si>
    <t>Brad Messer</t>
  </si>
  <si>
    <t>Hi James -  the miss</t>
  </si>
  <si>
    <t>Hello – I believe an</t>
  </si>
  <si>
    <t xml:space="preserve">Total Records 55 _x000D_
	</t>
  </si>
  <si>
    <t>RE: Director (Screen Scrapper) Weekly meeting [EXTERNAL]</t>
  </si>
  <si>
    <t>Updated Project Purchase Order</t>
  </si>
  <si>
    <t xml:space="preserve"> _x000D_
_x000D_
 _x000D_
_x000D_
 _x000D_
_x000D_
James</t>
  </si>
  <si>
    <t>Completed_x000D_
_x000D_
 _x000D_
_x000D_
 _x000D_</t>
  </si>
  <si>
    <t>_x000D_
_x000D_
They looks to be</t>
  </si>
  <si>
    <t>RE: Lab environment [505563 -Jet Blue - Premise APM Upgrade to V.21]</t>
  </si>
  <si>
    <t>Hi Felix,_x000D_
_x000D_
 _x000D_
_x000D_
Le</t>
  </si>
  <si>
    <t>Hi Vincent_x000D_
 _x000D_
Sorry</t>
  </si>
  <si>
    <t>Engineering has repr</t>
  </si>
  <si>
    <t>Hey Vincent,_x000D_
_x000D_
 _x000D_
_x000D_</t>
  </si>
  <si>
    <t xml:space="preserve">I created a SQL ID_x000D_
</t>
  </si>
  <si>
    <t>FW: JetBlue Lab environment [505563]</t>
  </si>
  <si>
    <t>Lomakin, Roman</t>
  </si>
  <si>
    <t xml:space="preserve"> _x000D_
_x000D_
 _x000D_
_x000D_
Roman Loma</t>
  </si>
  <si>
    <t>HI James_x000D_
_x000D_
I am don</t>
  </si>
  <si>
    <t>RE: JetBlue Lab environment [505563]</t>
  </si>
  <si>
    <t xml:space="preserve">Hi Felix;_x000D_
_x000D_
 _x000D_
_x000D_
I </t>
  </si>
  <si>
    <t>RE: FW: CR004 for 505845 Credit Acceptance AQM Upgrade, 2nd Db copy.</t>
  </si>
  <si>
    <t xml:space="preserve">I hear ya! _x000D_
_x000D_
 _x000D_
_x000D_
</t>
  </si>
  <si>
    <t xml:space="preserve">Opp is 285311_x000D_
_x000D_
 _x000D_
</t>
  </si>
  <si>
    <t>Roman Specifically r</t>
  </si>
  <si>
    <t>RE: RE: Restore new 18.1 WFM database backup CR004 [505845 CAC]</t>
  </si>
  <si>
    <t>Mani, Subra</t>
  </si>
  <si>
    <t xml:space="preserve">Brent – thanks, you </t>
  </si>
  <si>
    <t>Hi Daniel_x000D_
 _x000D_
We are</t>
  </si>
  <si>
    <t xml:space="preserve">Congratulations to  Cara Williams on her new role - Project Office Analyst! </t>
  </si>
  <si>
    <t>Team,_x000D_
_x000D_
 _x000D_
_x000D_
I woul</t>
  </si>
  <si>
    <t>WFM PROD environment testing</t>
  </si>
  <si>
    <t xml:space="preserve">Aswath, please find </t>
  </si>
  <si>
    <t>RE: PA# 505936 Synnex-Dell-Accenture : WFM Upgrade v19.0 - v21.1 || Nightly Update</t>
  </si>
  <si>
    <t>Update : 1st -June-2</t>
  </si>
  <si>
    <t>Re: CAC PROD and DR AQM Install</t>
  </si>
  <si>
    <t>The testing last nig</t>
  </si>
  <si>
    <t>RE: WFM PROD environment testing</t>
  </si>
  <si>
    <t>Hi James _x000D_
_x000D_
It’s so</t>
  </si>
  <si>
    <t>Are we sure it’s  no</t>
  </si>
  <si>
    <t>HI James _x000D_
_x000D_
That is</t>
  </si>
  <si>
    <t xml:space="preserve">Thanks Aswath, what </t>
  </si>
  <si>
    <t>RE: APM Reporting Services</t>
  </si>
  <si>
    <t>+Daniel_x000D_
_x000D_
 _x000D_
_x000D_
Dani</t>
  </si>
  <si>
    <t>APM Reporting Services</t>
  </si>
  <si>
    <t>Hi Brenda;_x000D_
_x000D_
 _x000D_
_x000D_
F</t>
  </si>
  <si>
    <t>Automatic reply: 6.1.22 Weekly Project Status Meeting JetBlue/Alvaria [505563]</t>
  </si>
  <si>
    <t>Anderson, Amy</t>
  </si>
  <si>
    <t>Hello,_x000D_
_x000D_
I am curre</t>
  </si>
  <si>
    <t>Sure, no problem. JB</t>
  </si>
  <si>
    <t xml:space="preserve">We shouldn’t have a </t>
  </si>
  <si>
    <t>FW: Approved by Order Management</t>
  </si>
  <si>
    <t>FYI_x000D_
_x000D_
 _x000D_
_x000D_
Greg Chm</t>
  </si>
  <si>
    <t>RE: Jetblue brusk user access</t>
  </si>
  <si>
    <t>Rusk, Bruce</t>
  </si>
  <si>
    <t>Amy,_x000D_
_x000D_
 _x000D_
_x000D_
 _x000D_
_x000D_
Th</t>
  </si>
  <si>
    <t>**Internal**_x000D_
_x000D_
 _x000D_
_x000D_</t>
  </si>
  <si>
    <t>Re: Jetblue brusk user access</t>
  </si>
  <si>
    <t>+Brenda_x000D_
_x000D_
Hi Bruce,</t>
  </si>
  <si>
    <t>Automatic reply: Assurant || WFM ECO system DR move to ORD [505971 Full reinstall PS only]</t>
  </si>
  <si>
    <t>Smith, Cal</t>
  </si>
  <si>
    <t>Hi Bruce, _x000D_
_x000D_
 _x000D_
_x000D_
I</t>
  </si>
  <si>
    <t>WFO performance</t>
  </si>
  <si>
    <t xml:space="preserve">April and Felix,_x000D_
_x000D_
</t>
  </si>
  <si>
    <t>That did it, I’m abl</t>
  </si>
  <si>
    <t xml:space="preserve">Great! _x000D_
Thanks for </t>
  </si>
  <si>
    <t>RE: WFO performance</t>
  </si>
  <si>
    <t>James,_x000D_
_x000D_
Are you ta</t>
  </si>
  <si>
    <t>RE: APM WFM data</t>
  </si>
  <si>
    <t>Our PROD, LAB, and D</t>
  </si>
  <si>
    <t>21.1 on the pw1aqm21</t>
  </si>
  <si>
    <t>We don’t want is con</t>
  </si>
  <si>
    <t>FW: 01255974 support ticket for adaptor issue with CAC</t>
  </si>
  <si>
    <t xml:space="preserve">I found this, but I </t>
  </si>
  <si>
    <t>It should be working</t>
  </si>
  <si>
    <t>RE: [JIRA] (AQMDEV-71062) Using pop out, media player does not expand with Window when stretched, fills with white space</t>
  </si>
  <si>
    <t>They will install th</t>
  </si>
  <si>
    <t>Shanoob, can you giv</t>
  </si>
  <si>
    <t>Thomas Pitts</t>
  </si>
  <si>
    <t>Rajeev sent a message</t>
  </si>
  <si>
    <t>Deshmukh, Rajeev in Teams</t>
  </si>
  <si>
    <t>Engineering is worki</t>
  </si>
  <si>
    <t xml:space="preserve">Hi James,_x000D_
_x000D_
 _x000D_
_x000D_
A </t>
  </si>
  <si>
    <t>Dianne Pulles</t>
  </si>
  <si>
    <t xml:space="preserve">Good morning,_x000D_
_x000D_
 _x000D_
</t>
  </si>
  <si>
    <t>Hi_x000D_
_x000D_
 _x000D_
_x000D_
Could you</t>
  </si>
  <si>
    <t>WFM Issue</t>
  </si>
  <si>
    <t>April/Aswath, please</t>
  </si>
  <si>
    <t>Hi Felix;_x000D_
_x000D_
 _x000D_
_x000D_
Be</t>
  </si>
  <si>
    <t>Thanks Shanoob. Do y</t>
  </si>
  <si>
    <t>RE: WFM Issue</t>
  </si>
  <si>
    <t>Hello – here is a sc</t>
  </si>
  <si>
    <t xml:space="preserve">Name any date and I </t>
  </si>
  <si>
    <t>Screen Scrapper not working on Citrix</t>
  </si>
  <si>
    <t>Thank you!_x000D_
_x000D_
 _x000D_
_x000D_
T</t>
  </si>
  <si>
    <t>FW: APM WFM data</t>
  </si>
  <si>
    <t>Hi Felix,_x000D_
_x000D_
 _x000D_
_x000D_
Ca</t>
  </si>
  <si>
    <t>[JIRA] (AQMDEV-71074) New AOAG implementation to replace Peer To Peer Replication</t>
  </si>
  <si>
    <t>Purchase order for Empower Mobile Client (CR003)</t>
  </si>
  <si>
    <t>***CR #837 Initiated/edited***</t>
  </si>
  <si>
    <t>Reta, Felix (felix.reta@alvaria.com)</t>
  </si>
  <si>
    <t>***CR #838 Initiated/edited***</t>
  </si>
  <si>
    <t>RE: Assurant || WFM ECO system DR move to ORD [505971 Full reinstall PS only]</t>
  </si>
  <si>
    <t>Melinda I Memoli</t>
  </si>
  <si>
    <t>Jun</t>
  </si>
  <si>
    <t>All, _x000D_
_x000D_
 _x000D_
_x000D_
Please</t>
  </si>
  <si>
    <t>_x000D_
_x000D_
 _x000D_
_x000D_
Good aftern</t>
  </si>
  <si>
    <t>Singhal, Anukul</t>
  </si>
  <si>
    <t>Hi James,_x000D_
_x000D_
 _x000D_
_x000D_
We</t>
  </si>
  <si>
    <t>Hi Felix,_x000D_
_x000D_
 _x000D_
_x000D_
Ho</t>
  </si>
  <si>
    <t>AQM WFO defect</t>
  </si>
  <si>
    <t>April/Shanoob,_x000D_
_x000D_
Tw</t>
  </si>
  <si>
    <t>There is no easy way</t>
  </si>
  <si>
    <t>Change and Project Completed Status Report 20220527-20220602</t>
  </si>
  <si>
    <t>Change and Project Planned Work Report 20220603-20220609</t>
  </si>
  <si>
    <t>RE: Change and Project Completed Status Report 20220527-20220602</t>
  </si>
  <si>
    <t>Burnette, Charles</t>
  </si>
  <si>
    <t>Good afternoon my fr</t>
  </si>
  <si>
    <t>Good afternoon Charl</t>
  </si>
  <si>
    <t>Your digest email</t>
  </si>
  <si>
    <t>Private to you &lt;http</t>
  </si>
  <si>
    <t xml:space="preserve">Hello – As this was </t>
  </si>
  <si>
    <t>Re: WFM PROD environment testing</t>
  </si>
  <si>
    <t xml:space="preserve">I will do that this </t>
  </si>
  <si>
    <t>I am not ready for t</t>
  </si>
  <si>
    <t>Ok, I think I am set</t>
  </si>
  <si>
    <t>RE: AQM WFO defect updated list [505845 CAC]</t>
  </si>
  <si>
    <t>Thank you Felix. Are</t>
  </si>
  <si>
    <t>Thanks Brad. Can you</t>
  </si>
  <si>
    <t>Sounds right to me B</t>
  </si>
  <si>
    <t>It was case #0127473</t>
  </si>
  <si>
    <t>Did this resolve the</t>
  </si>
  <si>
    <t>Don’t forget that th</t>
  </si>
  <si>
    <t>Yes, it appears that</t>
  </si>
  <si>
    <t>Rajeev Deshmukh mentioned you in a post</t>
  </si>
  <si>
    <t>@Jacob Mulholland​ @</t>
  </si>
  <si>
    <t>RE: Confirmation about WBS CR004</t>
  </si>
  <si>
    <t>Poovaiah, Ponnamma</t>
  </si>
  <si>
    <t>I did some further t</t>
  </si>
  <si>
    <t>Please provide detai</t>
  </si>
  <si>
    <t>The Opp number on th</t>
  </si>
  <si>
    <t>RE: AQM WFO defect</t>
  </si>
  <si>
    <t>Please note that I m</t>
  </si>
  <si>
    <t>Hi Felix,_x000D_
_x000D_
 _x000D_
_x000D_
Op</t>
  </si>
  <si>
    <t>Hello All,_x000D_
_x000D_
 _x000D_
_x000D_
A</t>
  </si>
  <si>
    <t>Opportunity Number _x000D_</t>
  </si>
  <si>
    <t>I was able to roll e</t>
  </si>
  <si>
    <t>In the loadTemplates</t>
  </si>
  <si>
    <t>April or Aswath, can</t>
  </si>
  <si>
    <t>RE: Please assist with timesheet.</t>
  </si>
  <si>
    <t>Done_x000D_
_x000D_
 _x000D_
_x000D_
Thank y</t>
  </si>
  <si>
    <t>RE: 505742 Consumer Cellular - Via WFM Training Lab</t>
  </si>
  <si>
    <t>Amanda Paceley</t>
  </si>
  <si>
    <t>I’m just guessing th</t>
  </si>
  <si>
    <t>Hi James,_x000D_
_x000D_
 _x000D_
_x000D_
Th</t>
  </si>
  <si>
    <t>Would have been Frid</t>
  </si>
  <si>
    <t>Automatic reply: Please assist with timesheet.</t>
  </si>
  <si>
    <t>Out of Office Alert_x000D_</t>
  </si>
  <si>
    <t>Re: Please assist with timesheet.</t>
  </si>
  <si>
    <t>You were supposed to</t>
  </si>
  <si>
    <t xml:space="preserve">I have asked how we </t>
  </si>
  <si>
    <t>Latest Version with corrected config file</t>
  </si>
  <si>
    <t>RE: Computershare Inc : 505898 Computershare - Edge integration to Sagent (APS Only)</t>
  </si>
  <si>
    <t>Kolja Kristek</t>
  </si>
  <si>
    <t>That works, thank yo</t>
  </si>
  <si>
    <t>Hi Felix,_x000D_
_x000D_
 _x000D_
_x000D_
An</t>
  </si>
  <si>
    <t>MS/Private Cloud, Public Cloud and Alvaria Cloud CRs for CAB, 07 June 2022</t>
  </si>
  <si>
    <t>Unassigned Hours forecasted for Q2</t>
  </si>
  <si>
    <t>Attached is the unas</t>
  </si>
  <si>
    <t>Direct Link to Interaction</t>
  </si>
  <si>
    <t>April/Shanoob,_x000D_
_x000D_
We</t>
  </si>
  <si>
    <t>Automatic reply: Direct Link to Interaction [505845] UAT</t>
  </si>
  <si>
    <t>RE: Direct Link to Interaction [505845] UAT</t>
  </si>
  <si>
    <t>We don’t use WFO for</t>
  </si>
  <si>
    <t xml:space="preserve">Total Records 56 _x000D_
	</t>
  </si>
  <si>
    <t>Hello Felix,_x000D_
_x000D_
 _x000D_
_x000D_</t>
  </si>
  <si>
    <t>Noble Contact Center Expansion Projects - System Specifications</t>
  </si>
  <si>
    <t>All, _x000D_
_x000D_
 _x000D_
_x000D_
For th</t>
  </si>
  <si>
    <t>RE: Noble Contact Center Expansion Projects - System Specifications</t>
  </si>
  <si>
    <t>Please see updated S</t>
  </si>
  <si>
    <t>RE: Updated Project Plan Workbook Attached - RE: Best Egg Weekly Project Status Meeting</t>
  </si>
  <si>
    <t>Sullivan, Jan</t>
  </si>
  <si>
    <t>Hi all,_x000D_
 _x000D_
Attached</t>
  </si>
  <si>
    <t>RE: Latest Version with corrected config file</t>
  </si>
  <si>
    <t>No problem, it is ea</t>
  </si>
  <si>
    <t>RE: Latest Version with corrected config file [EXTERNAL]</t>
  </si>
  <si>
    <t>I checked in your co</t>
  </si>
  <si>
    <t>FW: R.A.: Reta, Felix #398851 PA#: 505936, 38389 TD SYNNEX Corporation, REQ_WFM IC</t>
  </si>
  <si>
    <t>Project Office NA</t>
  </si>
  <si>
    <t>Hi Anukul, _x000D_
_x000D_
Forwa</t>
  </si>
  <si>
    <t>RE: Synnex-Dell-Accenture- WFM Upgrade V19- V21.1 [505936]</t>
  </si>
  <si>
    <t>Hi James,_x000D_
_x000D_
 _x000D_
_x000D_
Wo</t>
  </si>
  <si>
    <t>FW: PM Team and the PS Management Call</t>
  </si>
  <si>
    <t xml:space="preserve">FYI._x000D_
_x000D_
 _x000D_
_x000D_
Please </t>
  </si>
  <si>
    <t>RE: R.A.: Reta, Felix #398851 PA#: 505936, 38389 TD SYNNEX Corporation, REQ_WFM IC</t>
  </si>
  <si>
    <t>Das, Shounak</t>
  </si>
  <si>
    <t>Hi Mary,_x000D_
_x000D_
 _x000D_
_x000D_
Ple</t>
  </si>
  <si>
    <t>Looping Nirmal_x000D_
_x000D_
 _x000D_</t>
  </si>
  <si>
    <t>Nirmal is assigned i</t>
  </si>
  <si>
    <t>Resource Allocation Approved (Resource: Mishra, Nirmal)</t>
  </si>
  <si>
    <t>Singhal, Anukul (Anukul.Singhal@Alvaria.com)</t>
  </si>
  <si>
    <t>James, Team,_x000D_
_x000D_
 _x000D_
_x000D_</t>
  </si>
  <si>
    <t>RE: CCI WEM upgrade (internal)</t>
  </si>
  <si>
    <t>Nadgir, Sachin</t>
  </si>
  <si>
    <t>Hello Dan,_x000D_
_x000D_
 _x000D_
_x000D_
P</t>
  </si>
  <si>
    <t>RE: RITM0196019 BP Account Created [505967 JetBlue]</t>
  </si>
  <si>
    <t>I will track that do</t>
  </si>
  <si>
    <t>RE: 505563 -Jet Blue - Premise APM Upgrade to V.21 Issues log updates.</t>
  </si>
  <si>
    <t>Hi Felix;_x000D_
_x000D_
 _x000D_
_x000D_
It</t>
  </si>
  <si>
    <t>Two case actually, I</t>
  </si>
  <si>
    <t>Hi Felix,_x000D_
_x000D_
 _x000D_
_x000D_
As</t>
  </si>
  <si>
    <t>Sorry, I have been h</t>
  </si>
  <si>
    <t>RE: APM WFM data [505563 UAT issues]</t>
  </si>
  <si>
    <t xml:space="preserve">Thanks Felix,_x000D_
_x000D_
 _x000D_
</t>
  </si>
  <si>
    <t>We’d discussed #6 on</t>
  </si>
  <si>
    <t>RE: Cutover confirmed. 505936 -Synnex - Dell - Accenture - WFM Upgrade V19- V21.1</t>
  </si>
  <si>
    <t>Re: APM WFM data [505563 UAT issues]</t>
  </si>
  <si>
    <t>You need to follow u</t>
  </si>
  <si>
    <t>I'm not sure which c</t>
  </si>
  <si>
    <t>RE: Test AQM 21.1 Production Site</t>
  </si>
  <si>
    <t>Hi Team,_x000D_
_x000D_
 _x000D_
_x000D_
Bel</t>
  </si>
  <si>
    <t>RE: Case 1274732 from issues log. [505845]</t>
  </si>
  <si>
    <t>FYI…After setting th</t>
  </si>
  <si>
    <t xml:space="preserve">Total Records 48 _x000D_
	</t>
  </si>
  <si>
    <t xml:space="preserve">Bruce  - Brent sent </t>
  </si>
  <si>
    <t>Re: Test AQM 21.1 Production Site</t>
  </si>
  <si>
    <t>+ @Robert Hickey &lt;ma</t>
  </si>
  <si>
    <t>My first name is Sub</t>
  </si>
  <si>
    <t>[JIRA] (AQMDEV-71185) Evaluating a recording, drop down box displays a partial list of Templates only.</t>
  </si>
  <si>
    <t>Rajeev, _x000D_
_x000D_
I realiz</t>
  </si>
  <si>
    <t>Re: Best Egg Weekly Project Status Meeting</t>
  </si>
  <si>
    <t>Schepis, Roman</t>
  </si>
  <si>
    <t>Thank you for attend</t>
  </si>
  <si>
    <t>FW: Restore new 18.1 WFM database backup</t>
  </si>
  <si>
    <t>fyi_x000D_
_x000D_
 _x000D_
_x000D_
Thanks,_x000D_</t>
  </si>
  <si>
    <t>Rajeev is yet to pro</t>
  </si>
  <si>
    <t>Felix, I just got th</t>
  </si>
  <si>
    <t>RE: Direct Link to Interaction</t>
  </si>
  <si>
    <t>Yes. It is true of b</t>
  </si>
  <si>
    <t>WFM Empower - DMZ Servers</t>
  </si>
  <si>
    <t>Felix/April/Aswath,_x000D_</t>
  </si>
  <si>
    <t>Rajeev, just to foll</t>
  </si>
  <si>
    <t>Zuckerman, Dan</t>
  </si>
  <si>
    <t>Roman – the LAB is t</t>
  </si>
  <si>
    <t>Re: CCI WEM upgrade (internal)</t>
  </si>
  <si>
    <t>Dan,_x000D_
_x000D_
The build fo</t>
  </si>
  <si>
    <t>Ok, thank you.  Sach</t>
  </si>
  <si>
    <t>Project Updates</t>
  </si>
  <si>
    <t xml:space="preserve">Felix, _x000D_
_x000D_
 _x000D_
_x000D_
Can </t>
  </si>
  <si>
    <t>HI Dan,_x000D_
_x000D_
 _x000D_
_x000D_
Sure</t>
  </si>
  <si>
    <t>INTERNAL ***********   RE: Weekly Status Meeting - WFM &amp; AQM Upgrade 505845 -CAC</t>
  </si>
  <si>
    <t>Hudson, Robert</t>
  </si>
  <si>
    <t>FYI for some referen</t>
  </si>
  <si>
    <t>Holiday, Scott</t>
  </si>
  <si>
    <t>Reminder: Juneteenth - Monday June 20th</t>
  </si>
  <si>
    <t>All, _x000D_
_x000D_
 _x000D_
_x000D_
Wanted</t>
  </si>
  <si>
    <t xml:space="preserve">APS to ACC - Community Intro </t>
  </si>
  <si>
    <t>Friendly Reminder - BID Updates</t>
  </si>
  <si>
    <t>All, _x000D_
_x000D_
 _x000D_
_x000D_
Just w</t>
  </si>
  <si>
    <t>It will need to be n</t>
  </si>
  <si>
    <t>Nirmal sent a message</t>
  </si>
  <si>
    <t>Mishra, Nirmal in Teams</t>
  </si>
  <si>
    <t>I have sent the meet</t>
  </si>
  <si>
    <t>#505936 Synnex-Dell-Accenture : WFM Upgrade v19- v21.1  || CUT-OVER update</t>
  </si>
  <si>
    <t>Hello All,_x000D_
_x000D_
 _x000D_
_x000D_
@</t>
  </si>
  <si>
    <t>Automatic reply: Cutover confirmed. 505936 -Synnex - Dell - Accenture - WFM Upgrade V19- V21.1</t>
  </si>
  <si>
    <t>Greetings,_x000D_
_x000D_
 _x000D_
_x000D_
I</t>
  </si>
  <si>
    <t>Automatic reply: 6.8.22 Weekly Project Status Meeting JetBlue/Alvaria [505563]</t>
  </si>
  <si>
    <t>Gardner, Dee Dee</t>
  </si>
  <si>
    <t>**Auto-reply here**_x000D_</t>
  </si>
  <si>
    <t>RE: #505936 Synnex-Dell-Accenture : WFM Upgrade v19- v21.1  || CUT-OVER update</t>
  </si>
  <si>
    <t>Hello All,_x000D_
_x000D_
 _x000D_
_x000D_
T</t>
  </si>
  <si>
    <t>I am not sure if thi</t>
  </si>
  <si>
    <t>FW: Reporting Services</t>
  </si>
  <si>
    <t>FYI_x000D_
_x000D_
 _x000D_
_x000D_
From: Ca</t>
  </si>
  <si>
    <t>RE: activate account for server access</t>
  </si>
  <si>
    <t>Hi Jay, _x000D_
_x000D_
 _x000D_
_x000D_
You</t>
  </si>
  <si>
    <t>FW: R.A.: Reta, Felix #399034 PA#: 505845, 6167 Credit Acceptance Corp, REQ_WFM IC</t>
  </si>
  <si>
    <t>Hi Team, _x000D_
_x000D_
Forward</t>
  </si>
  <si>
    <t>RE: R.A.: Reta, Felix #399034 PA#: 505845, 6167 Credit Acceptance Corp, REQ_WFM IC</t>
  </si>
  <si>
    <t>FW: R.A.: Reta, Felix #399036 PA#: 505845, 6167 Credit Acceptance Corp, REQ_WFM IC</t>
  </si>
  <si>
    <t>Pankaj has been assi</t>
  </si>
  <si>
    <t>Just to confirm this</t>
  </si>
  <si>
    <t xml:space="preserve">Okay thanks. Should </t>
  </si>
  <si>
    <t>Hi Mary,_x000D_
_x000D_
 _x000D_
_x000D_
Yes</t>
  </si>
  <si>
    <t>Okay great. Sorry fo</t>
  </si>
  <si>
    <t>News you might have missed</t>
  </si>
  <si>
    <t>SharePoint Online</t>
  </si>
  <si>
    <t xml:space="preserve"> 	Thursday, 09 Jun, </t>
  </si>
  <si>
    <t>Resource Allocation Approved (Resource: Srinivas, Aswath)</t>
  </si>
  <si>
    <t>Chandrashekar, Vinay (vinay.chandrashekar@Alvaria.com)</t>
  </si>
  <si>
    <t>RE: UBC Forecasting [505453 WFM upgrade] Back office.</t>
  </si>
  <si>
    <t>Epling, Darin</t>
  </si>
  <si>
    <t>Felix,_x000D_
_x000D_
 _x000D_
_x000D_
Final</t>
  </si>
  <si>
    <t>RE: Reminder: Juneteenth - Monday June 20th</t>
  </si>
  <si>
    <t xml:space="preserve">Correct, Waterfield </t>
  </si>
  <si>
    <t>GCD Initiative - PM awareness for any Project overlap</t>
  </si>
  <si>
    <t>All, _x000D_
_x000D_
 _x000D_
_x000D_
GCD ha</t>
  </si>
  <si>
    <t>RE: GCD Initiative - PM awareness for any Project overlap</t>
  </si>
  <si>
    <t>For the GCD Okta Mig</t>
  </si>
  <si>
    <t>MEMO: Milestone Dates - Updates needed</t>
  </si>
  <si>
    <t>Project Transition - PM: Felix Reta</t>
  </si>
  <si>
    <t>Previously I sent an</t>
  </si>
  <si>
    <t>Resource Allocation Approved (Resource: Kumar, Pankaj)</t>
  </si>
  <si>
    <t>Hi Team,_x000D_
_x000D_
 _x000D_
_x000D_
Upd</t>
  </si>
  <si>
    <t>RE: Project Transition - PM: Felix Reta</t>
  </si>
  <si>
    <t>Kumar1, Lokesh</t>
  </si>
  <si>
    <t>Hi Felix,_x000D_
_x000D_
 _x000D_
_x000D_
Ki</t>
  </si>
  <si>
    <t>RE: Approval for $0 CR001 to support CMS-19 [505563 JetBlue Premise APM Upgrade to v.21-Change Request]</t>
  </si>
  <si>
    <t xml:space="preserve">Thanks Tim,_x000D_
_x000D_
 _x000D_
_x000D_
</t>
  </si>
  <si>
    <t>#505936 Synnex-Dell-Accenture : WFM Upgrade v19- v21.1  ||  BID</t>
  </si>
  <si>
    <t>505955-Rushmore screen pop migration</t>
  </si>
  <si>
    <t>Updated deployment w</t>
  </si>
  <si>
    <t>Closing project. [505926 AFNI Workforce expansion ACD &amp; RTA feeds to Cisco UCCE]</t>
  </si>
  <si>
    <t>Good morning Adam_x000D_
_x000D_</t>
  </si>
  <si>
    <t>RE: Closing 505926 AFNI Workforce expansion ACD &amp; RTA feeds to Cisco UCCE</t>
  </si>
  <si>
    <t>This has been marked</t>
  </si>
  <si>
    <t>Project #505926 505926  AFNI - 3 ACD Streams - APS status changed</t>
  </si>
  <si>
    <t>K.P, Ponnamma (ponnamma.poovaiah@alvaria.com)</t>
  </si>
  <si>
    <t>Reta, Felix [C], Runyon, Michael, Hudson, Robert, april.bock@waterfield.com, Srinivas, Aswath, Hutcherson, Deborah [C], Shanoob, Muhammed, James Cousino, Robert Hickey, James Moore, Scott Korte, Jon Harris, Bock, April [C], Chris Moore, Borts, Michael</t>
  </si>
  <si>
    <t>505453 UBC Level set with Tumoyia</t>
  </si>
  <si>
    <t>505453 UBC Level set with Tumoyia, about 40 hrs left</t>
  </si>
  <si>
    <t>☮ ⛵ Approval for $0 CR001 to support CMS-19 [505563 JetBlue Premise APM Upgrade to v.21-Change Request] ✈🕑</t>
  </si>
  <si>
    <t>☮ ⛵ RE: Approval for $0 CR001 to support CMS-19 [505563 JetBlue Premise APM Upgrade to v.21-Change Request] ✈🕑</t>
  </si>
  <si>
    <t>☮ ⛵ Closing project. [505926 AFNI Workforce expansion ACD &amp; RTA feeds to Cisco UCCE] ✈🕑</t>
  </si>
  <si>
    <t>☮ ⛵ RE: Computershare Inc : 505898 Computershare - Edge integration to Sagent (APS Only) ✈🕑</t>
  </si>
  <si>
    <t>☮ ⛵ RE: Assurant || WFM ECO system DR move to ORD [505971 Full reinstall PS only] ✈🕑</t>
  </si>
  <si>
    <t>☮ ⛵ RE: FW: CR004 for 505845 Credit Acceptance AQM Upgrade, 2nd Db copy. ✈🕑</t>
  </si>
  <si>
    <t>505845 CR003 DMZ for CAC Approved by Order Management</t>
  </si>
  <si>
    <t>Jun Total</t>
  </si>
  <si>
    <t>3-Jun</t>
  </si>
  <si>
    <t>6-Jun</t>
  </si>
  <si>
    <t>7-Jun</t>
  </si>
  <si>
    <t>8-Jun</t>
  </si>
  <si>
    <t>9-Jun</t>
  </si>
  <si>
    <t>10-Jun</t>
  </si>
  <si>
    <t>Holiday</t>
  </si>
  <si>
    <t>Memorial Day</t>
  </si>
  <si>
    <t>Reta, Felix [C], Kumar, Pankaj, felix.reta@gmail.com, Biegel, Chris, Mishra, Nirmal, Anil Kunnanthody, Upton, Dan, Jonathan Renz Pacuribot, Russell j i Baello, Renier M Forio, Shete, Abhijit</t>
  </si>
  <si>
    <t>WFM Upgrade V19- V21.1</t>
  </si>
  <si>
    <t>Baello, Russell J. I., Reta, Felix [C], Mishra, Nirmal, BSC.Avaya.TechOps</t>
  </si>
  <si>
    <t>Synnex-Dell-Accenture- WFM Upgrade V19- V21.1</t>
  </si>
  <si>
    <t>Nirmal Mishra, Reta, Felix [C]</t>
  </si>
  <si>
    <t>Director (Screen Scrapper) Weekly meeting</t>
  </si>
  <si>
    <t>Rafael Davila, Rucker, George, Christopher Brown, Reta, Felix [C], Eugene Gugel, Thomas Pitts, William Eargle, Cassandra Long</t>
  </si>
  <si>
    <t>1:1 - Felix/April</t>
  </si>
  <si>
    <t>April Bock, Reta, Felix [C], Felix Reta</t>
  </si>
  <si>
    <t>TN</t>
  </si>
  <si>
    <t>TT</t>
  </si>
  <si>
    <t>Yukon</t>
  </si>
  <si>
    <t>Emergency/Overflow CAB CR Review</t>
  </si>
  <si>
    <t>Change Management, CAB - Hosted_MS, CAB - Cloud, CAB - Via, Jefferson, John, Kelly, Jarlath, Blackwell, John, Newman, Randy, Staten, Jonathan, Murphy, Kealan, Moore, Chris, Wiegard, Hanno, Durrough, Lenny, Singh, Ashish, Boughner, Randall, Boring, Scott, Norton, David, Pacheco, Henry, McDonnell, Jon, Kumar, Narendra, Piatt, Gregg, Grigorian, Anna, Serrano, Michelle, Olszewski, Tracey, Subbarayan, Saravanan, Casillas, Alex, Crapps, MaryEllen [C], Smith, Rodney, Owen, Martin, Riley, MaryEllen, Goldstein, Jeffrey, Harper, Paul, Beasley, Michael, Jensen, John, Zuckerman, Dan, Kaleski, Mike, Craemer, Alex, Sundararajan, Senthil, Riemann, Mark, Jeffery, Richard, Lewandowski, Kimberly, Chandorkar, Sujay, Mauelshagen, Martin, Ramadas, Ravishankara, Neild, Robert, Stewart, Kim, Rai, Rohit, APS.AMER-PM-ALL, Ammundsen, Diane [C], Rosario, Colin, Anderson, Jeff, Sharif, Roshan [C], Hamri, Hassan, Reta, Felix [C], Wieler, Beth, Holloway, Marcus, Rhodes, Jason, Sullivan, Jan, Halliwell, John, Donadeo, Chris, Carabbio, Joe, Jones, Brian, Raj, Arun, Kotturesha, Kuldeep, Russell, John, Trost, Lou Ann [C], Fingers, Harvie, Torres, Jaciel, Borts, Michael, Kumar, Santhosh, Bohan, Ciaran, Greene, Charles, Podlogar, Dan, Barnes, Lloyd, Human, Neal, Taylor, Darryl, Janes, Robert, Parker, Brian, Hartley, Karen, Allan, Craig, Kumar, Sudheer, Huang, Cody, Mahalingam, Karan, Jenkins, Huw, Ojha, Vishal, Palimar, Shravan, Springs, Vanessa, Reznikova, Ana, Berry, Andrew [C], Lilic, Rusmin, Bennett, Sean, Bunten, Paul, Sharma, Paresh, Bartlett, Sylvia, Immanuel, Doreen, Dwivedi, Sujit, Marino, Cathy, Sisson, Jonathon, Scoot, Howard, Black, Charlie, Austin, Adrian, Jones, Jeff, Texter, Jim, Heiberger, Ed</t>
  </si>
  <si>
    <t>Rafael Davila, Reta, Felix [C], Rucker, George, Thomas Pitts, Eugene Gugel, Pablo Ikehara</t>
  </si>
  <si>
    <t>Focus time</t>
  </si>
  <si>
    <t>VC</t>
  </si>
  <si>
    <t>Refresh QTR Forecast</t>
  </si>
  <si>
    <t>Reta, Felix [C], Sullivan, Jan, felix.reta@gmail.com</t>
  </si>
  <si>
    <t>VDI UAD Issues</t>
  </si>
  <si>
    <t>Pablo Ikehara, Rafael Davila, Rucker, George, Reta, Felix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</si>
</sst>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00B0F0"/>
      <name val="Calibri"/>
      <family val="2"/>
      <scheme val="minor"/>
    </font>
    <font>
      <sz val="8"/>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4">
    <xf numFmtId="0" fontId="0" fillId="0" borderId="0" xfId="0"/>
    <xf numFmtId="22" fontId="0" fillId="0" borderId="0" xfId="0" applyNumberFormat="1"/>
    <xf numFmtId="0" fontId="0" fillId="0" borderId="0" xfId="0" applyAlignment="1">
      <alignment wrapText="1"/>
    </xf>
    <xf numFmtId="14" fontId="0" fillId="2" borderId="0" xfId="0" applyNumberFormat="1" applyFill="1"/>
    <xf numFmtId="0" fontId="0" fillId="0" borderId="0" xfId="0" pivotButton="1"/>
    <xf numFmtId="0" fontId="0" fillId="0" borderId="0" xfId="0" applyAlignment="1">
      <alignment horizontal="left"/>
    </xf>
    <xf numFmtId="0" fontId="0" fillId="0" borderId="0" xfId="0" applyNumberFormat="1"/>
    <xf numFmtId="14" fontId="0" fillId="0" borderId="0" xfId="0" applyNumberFormat="1"/>
    <xf numFmtId="18" fontId="0" fillId="0" borderId="0" xfId="0" applyNumberFormat="1"/>
    <xf numFmtId="2" fontId="0" fillId="0" borderId="0" xfId="0" applyNumberFormat="1"/>
    <xf numFmtId="0" fontId="1" fillId="2" borderId="0" xfId="0" applyFont="1" applyFill="1"/>
    <xf numFmtId="22" fontId="1" fillId="2" borderId="0" xfId="0" applyNumberFormat="1" applyFont="1" applyFill="1"/>
    <xf numFmtId="0" fontId="1" fillId="2" borderId="0" xfId="0" applyFont="1" applyFill="1" applyAlignment="1">
      <alignment wrapText="1"/>
    </xf>
    <xf numFmtId="20" fontId="0" fillId="0" borderId="0" xfId="0" applyNumberFormat="1"/>
  </cellXfs>
  <cellStyles count="1">
    <cellStyle name="Normal" xfId="0" builtinId="0"/>
  </cellStyles>
  <dxfs count="14">
    <dxf>
      <numFmt numFmtId="0" formatCode="General"/>
    </dxf>
    <dxf>
      <numFmt numFmtId="2" formatCode="0.00"/>
    </dxf>
    <dxf>
      <numFmt numFmtId="23" formatCode="h:mm\ AM/PM"/>
    </dxf>
    <dxf>
      <numFmt numFmtId="23" formatCode="h:mm\ AM/PM"/>
    </dxf>
    <dxf>
      <numFmt numFmtId="19" formatCode="m/d/yyyy"/>
    </dxf>
    <dxf>
      <numFmt numFmtId="19" formatCode="m/d/yyyy"/>
    </dxf>
    <dxf>
      <numFmt numFmtId="2" formatCode="0.00"/>
    </dxf>
    <dxf>
      <numFmt numFmtId="23" formatCode="h:mm\ AM/PM"/>
    </dxf>
    <dxf>
      <numFmt numFmtId="23" formatCode="h:mm\ AM/PM"/>
    </dxf>
    <dxf>
      <numFmt numFmtId="19" formatCode="m/d/yyyy"/>
    </dxf>
    <dxf>
      <numFmt numFmtId="19" formatCode="m/d/yyyy"/>
    </dxf>
    <dxf>
      <alignment horizontal="general" vertical="bottom" textRotation="0" wrapText="1" indent="0" justifyLastLine="0" shrinkToFit="0" readingOrder="0"/>
    </dxf>
    <dxf>
      <numFmt numFmtId="27" formatCode="m/d/yyyy\ h:mm"/>
    </dxf>
    <dxf>
      <font>
        <strike val="0"/>
        <outline val="0"/>
        <shadow val="0"/>
        <u val="none"/>
        <vertAlign val="baseline"/>
        <sz val="11"/>
        <color rgb="FF00B0F0"/>
        <name val="Calibri"/>
        <family val="2"/>
        <scheme val="minor"/>
      </font>
      <fill>
        <patternFill patternType="solid">
          <fgColor indexed="64"/>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[Outlook extract emails.xlsm]Sheet3!PivotTable1</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Sheet3!$B$3:$B$5</c:f>
              <c:strCache>
                <c:ptCount val="1"/>
                <c:pt idx="0">
                  <c:v>Jun - 3-Jun</c:v>
                </c:pt>
              </c:strCache>
            </c:strRef>
          </c:tx>
          <c:spPr>
            <a:solidFill>
              <a:schemeClr val="accent1"/>
            </a:solidFill>
            <a:ln>
              <a:noFill/>
            </a:ln>
            <a:effectLst/>
            <a:sp3d/>
          </c:spPr>
          <c:invertIfNegative val="0"/>
          <c:cat>
            <c:strRef>
              <c:f>Sheet3!$A$6:$A$15</c:f>
              <c:strCache>
                <c:ptCount val="9"/>
                <c:pt idx="0">
                  <c:v>505453</c:v>
                </c:pt>
                <c:pt idx="1">
                  <c:v>505563</c:v>
                </c:pt>
                <c:pt idx="2">
                  <c:v>505742</c:v>
                </c:pt>
                <c:pt idx="3">
                  <c:v>505845</c:v>
                </c:pt>
                <c:pt idx="4">
                  <c:v>505898</c:v>
                </c:pt>
                <c:pt idx="5">
                  <c:v>505926</c:v>
                </c:pt>
                <c:pt idx="6">
                  <c:v>505936</c:v>
                </c:pt>
                <c:pt idx="7">
                  <c:v>505955</c:v>
                </c:pt>
                <c:pt idx="8">
                  <c:v>505967</c:v>
                </c:pt>
              </c:strCache>
            </c:strRef>
          </c:cat>
          <c:val>
            <c:numRef>
              <c:f>Sheet3!$B$6:$B$15</c:f>
              <c:numCache>
                <c:formatCode>General</c:formatCode>
                <c:ptCount val="9"/>
                <c:pt idx="1">
                  <c:v>2</c:v>
                </c:pt>
                <c:pt idx="3">
                  <c:v>12</c:v>
                </c:pt>
                <c:pt idx="6">
                  <c:v>1</c:v>
                </c:pt>
                <c:pt idx="7">
                  <c:v>3</c:v>
                </c:pt>
                <c:pt idx="8">
                  <c:v>2</c:v>
                </c:pt>
              </c:numCache>
            </c:numRef>
          </c:val>
          <c:extLst>
            <c:ext xmlns:c16="http://schemas.microsoft.com/office/drawing/2014/chart" uri="{C3380CC4-5D6E-409C-BE32-E72D297353CC}">
              <c16:uniqueId val="{00000000-7FE8-4DAA-BD7A-F29357EE957A}"/>
            </c:ext>
          </c:extLst>
        </c:ser>
        <c:ser>
          <c:idx val="1"/>
          <c:order val="1"/>
          <c:tx>
            <c:strRef>
              <c:f>Sheet3!$C$3:$C$5</c:f>
              <c:strCache>
                <c:ptCount val="1"/>
                <c:pt idx="0">
                  <c:v>Jun - 6-Jun</c:v>
                </c:pt>
              </c:strCache>
            </c:strRef>
          </c:tx>
          <c:spPr>
            <a:solidFill>
              <a:schemeClr val="accent2"/>
            </a:solidFill>
            <a:ln>
              <a:noFill/>
            </a:ln>
            <a:effectLst/>
            <a:sp3d/>
          </c:spPr>
          <c:invertIfNegative val="0"/>
          <c:cat>
            <c:strRef>
              <c:f>Sheet3!$A$6:$A$15</c:f>
              <c:strCache>
                <c:ptCount val="9"/>
                <c:pt idx="0">
                  <c:v>505453</c:v>
                </c:pt>
                <c:pt idx="1">
                  <c:v>505563</c:v>
                </c:pt>
                <c:pt idx="2">
                  <c:v>505742</c:v>
                </c:pt>
                <c:pt idx="3">
                  <c:v>505845</c:v>
                </c:pt>
                <c:pt idx="4">
                  <c:v>505898</c:v>
                </c:pt>
                <c:pt idx="5">
                  <c:v>505926</c:v>
                </c:pt>
                <c:pt idx="6">
                  <c:v>505936</c:v>
                </c:pt>
                <c:pt idx="7">
                  <c:v>505955</c:v>
                </c:pt>
                <c:pt idx="8">
                  <c:v>505967</c:v>
                </c:pt>
              </c:strCache>
            </c:strRef>
          </c:cat>
          <c:val>
            <c:numRef>
              <c:f>Sheet3!$C$6:$C$15</c:f>
              <c:numCache>
                <c:formatCode>General</c:formatCode>
                <c:ptCount val="9"/>
                <c:pt idx="2">
                  <c:v>1</c:v>
                </c:pt>
                <c:pt idx="3">
                  <c:v>29</c:v>
                </c:pt>
                <c:pt idx="4">
                  <c:v>1</c:v>
                </c:pt>
                <c:pt idx="7">
                  <c:v>1</c:v>
                </c:pt>
                <c:pt idx="8">
                  <c:v>1</c:v>
                </c:pt>
              </c:numCache>
            </c:numRef>
          </c:val>
          <c:extLst>
            <c:ext xmlns:c16="http://schemas.microsoft.com/office/drawing/2014/chart" uri="{C3380CC4-5D6E-409C-BE32-E72D297353CC}">
              <c16:uniqueId val="{00000001-7FE8-4DAA-BD7A-F29357EE957A}"/>
            </c:ext>
          </c:extLst>
        </c:ser>
        <c:ser>
          <c:idx val="2"/>
          <c:order val="2"/>
          <c:tx>
            <c:strRef>
              <c:f>Sheet3!$D$3:$D$5</c:f>
              <c:strCache>
                <c:ptCount val="1"/>
                <c:pt idx="0">
                  <c:v>Jun - 7-Jun</c:v>
                </c:pt>
              </c:strCache>
            </c:strRef>
          </c:tx>
          <c:spPr>
            <a:solidFill>
              <a:schemeClr val="accent3"/>
            </a:solidFill>
            <a:ln>
              <a:noFill/>
            </a:ln>
            <a:effectLst/>
            <a:sp3d/>
          </c:spPr>
          <c:invertIfNegative val="0"/>
          <c:cat>
            <c:strRef>
              <c:f>Sheet3!$A$6:$A$15</c:f>
              <c:strCache>
                <c:ptCount val="9"/>
                <c:pt idx="0">
                  <c:v>505453</c:v>
                </c:pt>
                <c:pt idx="1">
                  <c:v>505563</c:v>
                </c:pt>
                <c:pt idx="2">
                  <c:v>505742</c:v>
                </c:pt>
                <c:pt idx="3">
                  <c:v>505845</c:v>
                </c:pt>
                <c:pt idx="4">
                  <c:v>505898</c:v>
                </c:pt>
                <c:pt idx="5">
                  <c:v>505926</c:v>
                </c:pt>
                <c:pt idx="6">
                  <c:v>505936</c:v>
                </c:pt>
                <c:pt idx="7">
                  <c:v>505955</c:v>
                </c:pt>
                <c:pt idx="8">
                  <c:v>505967</c:v>
                </c:pt>
              </c:strCache>
            </c:strRef>
          </c:cat>
          <c:val>
            <c:numRef>
              <c:f>Sheet3!$D$6:$D$15</c:f>
              <c:numCache>
                <c:formatCode>General</c:formatCode>
                <c:ptCount val="9"/>
                <c:pt idx="1">
                  <c:v>6</c:v>
                </c:pt>
                <c:pt idx="3">
                  <c:v>8</c:v>
                </c:pt>
                <c:pt idx="6">
                  <c:v>7</c:v>
                </c:pt>
                <c:pt idx="7">
                  <c:v>2</c:v>
                </c:pt>
                <c:pt idx="8">
                  <c:v>1</c:v>
                </c:pt>
              </c:numCache>
            </c:numRef>
          </c:val>
          <c:extLst>
            <c:ext xmlns:c16="http://schemas.microsoft.com/office/drawing/2014/chart" uri="{C3380CC4-5D6E-409C-BE32-E72D297353CC}">
              <c16:uniqueId val="{00000002-7FE8-4DAA-BD7A-F29357EE957A}"/>
            </c:ext>
          </c:extLst>
        </c:ser>
        <c:ser>
          <c:idx val="3"/>
          <c:order val="3"/>
          <c:tx>
            <c:strRef>
              <c:f>Sheet3!$E$3:$E$5</c:f>
              <c:strCache>
                <c:ptCount val="1"/>
                <c:pt idx="0">
                  <c:v>Jun - 8-Jun</c:v>
                </c:pt>
              </c:strCache>
            </c:strRef>
          </c:tx>
          <c:spPr>
            <a:solidFill>
              <a:schemeClr val="accent4"/>
            </a:solidFill>
            <a:ln>
              <a:noFill/>
            </a:ln>
            <a:effectLst/>
            <a:sp3d/>
          </c:spPr>
          <c:invertIfNegative val="0"/>
          <c:cat>
            <c:strRef>
              <c:f>Sheet3!$A$6:$A$15</c:f>
              <c:strCache>
                <c:ptCount val="9"/>
                <c:pt idx="0">
                  <c:v>505453</c:v>
                </c:pt>
                <c:pt idx="1">
                  <c:v>505563</c:v>
                </c:pt>
                <c:pt idx="2">
                  <c:v>505742</c:v>
                </c:pt>
                <c:pt idx="3">
                  <c:v>505845</c:v>
                </c:pt>
                <c:pt idx="4">
                  <c:v>505898</c:v>
                </c:pt>
                <c:pt idx="5">
                  <c:v>505926</c:v>
                </c:pt>
                <c:pt idx="6">
                  <c:v>505936</c:v>
                </c:pt>
                <c:pt idx="7">
                  <c:v>505955</c:v>
                </c:pt>
                <c:pt idx="8">
                  <c:v>505967</c:v>
                </c:pt>
              </c:strCache>
            </c:strRef>
          </c:cat>
          <c:val>
            <c:numRef>
              <c:f>Sheet3!$E$6:$E$15</c:f>
              <c:numCache>
                <c:formatCode>General</c:formatCode>
                <c:ptCount val="9"/>
                <c:pt idx="1">
                  <c:v>5</c:v>
                </c:pt>
                <c:pt idx="3">
                  <c:v>28</c:v>
                </c:pt>
                <c:pt idx="6">
                  <c:v>9</c:v>
                </c:pt>
              </c:numCache>
            </c:numRef>
          </c:val>
          <c:extLst>
            <c:ext xmlns:c16="http://schemas.microsoft.com/office/drawing/2014/chart" uri="{C3380CC4-5D6E-409C-BE32-E72D297353CC}">
              <c16:uniqueId val="{00000003-7FE8-4DAA-BD7A-F29357EE957A}"/>
            </c:ext>
          </c:extLst>
        </c:ser>
        <c:ser>
          <c:idx val="4"/>
          <c:order val="4"/>
          <c:tx>
            <c:strRef>
              <c:f>Sheet3!$F$3:$F$5</c:f>
              <c:strCache>
                <c:ptCount val="1"/>
                <c:pt idx="0">
                  <c:v>Jun - 9-Jun</c:v>
                </c:pt>
              </c:strCache>
            </c:strRef>
          </c:tx>
          <c:spPr>
            <a:solidFill>
              <a:schemeClr val="accent5"/>
            </a:solidFill>
            <a:ln>
              <a:noFill/>
            </a:ln>
            <a:effectLst/>
            <a:sp3d/>
          </c:spPr>
          <c:invertIfNegative val="0"/>
          <c:cat>
            <c:strRef>
              <c:f>Sheet3!$A$6:$A$15</c:f>
              <c:strCache>
                <c:ptCount val="9"/>
                <c:pt idx="0">
                  <c:v>505453</c:v>
                </c:pt>
                <c:pt idx="1">
                  <c:v>505563</c:v>
                </c:pt>
                <c:pt idx="2">
                  <c:v>505742</c:v>
                </c:pt>
                <c:pt idx="3">
                  <c:v>505845</c:v>
                </c:pt>
                <c:pt idx="4">
                  <c:v>505898</c:v>
                </c:pt>
                <c:pt idx="5">
                  <c:v>505926</c:v>
                </c:pt>
                <c:pt idx="6">
                  <c:v>505936</c:v>
                </c:pt>
                <c:pt idx="7">
                  <c:v>505955</c:v>
                </c:pt>
                <c:pt idx="8">
                  <c:v>505967</c:v>
                </c:pt>
              </c:strCache>
            </c:strRef>
          </c:cat>
          <c:val>
            <c:numRef>
              <c:f>Sheet3!$F$6:$F$15</c:f>
              <c:numCache>
                <c:formatCode>General</c:formatCode>
                <c:ptCount val="9"/>
                <c:pt idx="0">
                  <c:v>1</c:v>
                </c:pt>
                <c:pt idx="1">
                  <c:v>2</c:v>
                </c:pt>
                <c:pt idx="3">
                  <c:v>14</c:v>
                </c:pt>
                <c:pt idx="5">
                  <c:v>2</c:v>
                </c:pt>
                <c:pt idx="6">
                  <c:v>6</c:v>
                </c:pt>
                <c:pt idx="7">
                  <c:v>1</c:v>
                </c:pt>
                <c:pt idx="8">
                  <c:v>1</c:v>
                </c:pt>
              </c:numCache>
            </c:numRef>
          </c:val>
          <c:extLst>
            <c:ext xmlns:c16="http://schemas.microsoft.com/office/drawing/2014/chart" uri="{C3380CC4-5D6E-409C-BE32-E72D297353CC}">
              <c16:uniqueId val="{00000004-7FE8-4DAA-BD7A-F29357EE957A}"/>
            </c:ext>
          </c:extLst>
        </c:ser>
        <c:ser>
          <c:idx val="5"/>
          <c:order val="5"/>
          <c:tx>
            <c:strRef>
              <c:f>Sheet3!$G$3:$G$5</c:f>
              <c:strCache>
                <c:ptCount val="1"/>
                <c:pt idx="0">
                  <c:v>Jun - 10-Jun</c:v>
                </c:pt>
              </c:strCache>
            </c:strRef>
          </c:tx>
          <c:spPr>
            <a:solidFill>
              <a:schemeClr val="accent6"/>
            </a:solidFill>
            <a:ln>
              <a:noFill/>
            </a:ln>
            <a:effectLst/>
            <a:sp3d/>
          </c:spPr>
          <c:invertIfNegative val="0"/>
          <c:cat>
            <c:strRef>
              <c:f>Sheet3!$A$6:$A$15</c:f>
              <c:strCache>
                <c:ptCount val="9"/>
                <c:pt idx="0">
                  <c:v>505453</c:v>
                </c:pt>
                <c:pt idx="1">
                  <c:v>505563</c:v>
                </c:pt>
                <c:pt idx="2">
                  <c:v>505742</c:v>
                </c:pt>
                <c:pt idx="3">
                  <c:v>505845</c:v>
                </c:pt>
                <c:pt idx="4">
                  <c:v>505898</c:v>
                </c:pt>
                <c:pt idx="5">
                  <c:v>505926</c:v>
                </c:pt>
                <c:pt idx="6">
                  <c:v>505936</c:v>
                </c:pt>
                <c:pt idx="7">
                  <c:v>505955</c:v>
                </c:pt>
                <c:pt idx="8">
                  <c:v>505967</c:v>
                </c:pt>
              </c:strCache>
            </c:strRef>
          </c:cat>
          <c:val>
            <c:numRef>
              <c:f>Sheet3!$G$6:$G$15</c:f>
              <c:numCache>
                <c:formatCode>General</c:formatCode>
                <c:ptCount val="9"/>
                <c:pt idx="3">
                  <c:v>2</c:v>
                </c:pt>
                <c:pt idx="7">
                  <c:v>1</c:v>
                </c:pt>
              </c:numCache>
            </c:numRef>
          </c:val>
          <c:extLst>
            <c:ext xmlns:c16="http://schemas.microsoft.com/office/drawing/2014/chart" uri="{C3380CC4-5D6E-409C-BE32-E72D297353CC}">
              <c16:uniqueId val="{00000005-7FE8-4DAA-BD7A-F29357EE957A}"/>
            </c:ext>
          </c:extLst>
        </c:ser>
        <c:dLbls>
          <c:showLegendKey val="0"/>
          <c:showVal val="0"/>
          <c:showCatName val="0"/>
          <c:showSerName val="0"/>
          <c:showPercent val="0"/>
          <c:showBubbleSize val="0"/>
        </c:dLbls>
        <c:gapWidth val="150"/>
        <c:shape val="box"/>
        <c:axId val="799990688"/>
        <c:axId val="800006080"/>
        <c:axId val="0"/>
      </c:bar3DChart>
      <c:catAx>
        <c:axId val="7999906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006080"/>
        <c:crosses val="autoZero"/>
        <c:auto val="1"/>
        <c:lblAlgn val="ctr"/>
        <c:lblOffset val="100"/>
        <c:noMultiLvlLbl val="0"/>
      </c:catAx>
      <c:valAx>
        <c:axId val="8000060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990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685800</xdr:colOff>
      <xdr:row>1</xdr:row>
      <xdr:rowOff>57150</xdr:rowOff>
    </xdr:from>
    <xdr:to>
      <xdr:col>21</xdr:col>
      <xdr:colOff>85725</xdr:colOff>
      <xdr:row>24</xdr:row>
      <xdr:rowOff>19050</xdr:rowOff>
    </xdr:to>
    <xdr:graphicFrame macro="">
      <xdr:nvGraphicFramePr>
        <xdr:cNvPr id="2" name="Chart 1">
          <a:extLst>
            <a:ext uri="{FF2B5EF4-FFF2-40B4-BE49-F238E27FC236}">
              <a16:creationId xmlns:a16="http://schemas.microsoft.com/office/drawing/2014/main" id="{EEDACE3F-8B90-446F-BC9F-B35A1ABA6E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felix_reta_aspect_com/Documents/Documents/Projects/505742%20Consumer%20Cellular%20Via%20WFM%20Lab/505742%20Consumer%20Cellular%20-%20Alvaria%20Cloud%20Workforce%20Lab%20WBS%2035419LT211020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Form"/>
      <sheetName val="Northern Europe Template"/>
      <sheetName val="Finance WBS"/>
      <sheetName val="New"/>
      <sheetName val="Mainland Europe Template"/>
      <sheetName val="WBS Template"/>
      <sheetName val="Rate Sheet"/>
      <sheetName val="Version Log"/>
      <sheetName val="References"/>
      <sheetName val="Deleted Items"/>
    </sheetNames>
    <sheetDataSet>
      <sheetData sheetId="0" refreshError="1"/>
      <sheetData sheetId="1">
        <row r="3">
          <cell r="G3" t="str">
            <v>US &amp; Canada</v>
          </cell>
        </row>
      </sheetData>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lix Reta" refreshedDate="44722.397993287035" createdVersion="7" refreshedVersion="7" minRefreshableVersion="3" recordCount="109" xr:uid="{A879AD81-DBD0-48E0-9F91-7AB1AF4635DD}">
  <cacheSource type="worksheet">
    <worksheetSource name="Table1"/>
  </cacheSource>
  <cacheFields count="9">
    <cacheField name="Project" numFmtId="0">
      <sharedItems containsBlank="1" count="13">
        <s v="Other"/>
        <s v="505936"/>
        <s v="505845"/>
        <s v="505563"/>
        <m/>
        <s v="505898" u="1"/>
        <s v="505978" u="1"/>
        <s v="505967" u="1"/>
        <s v="505955" u="1"/>
        <s v="505742" u="1"/>
        <s v="505983" u="1"/>
        <s v="505926" u="1"/>
        <s v="505971" u="1"/>
      </sharedItems>
    </cacheField>
    <cacheField name="Category" numFmtId="0">
      <sharedItems containsBlank="1"/>
    </cacheField>
    <cacheField name="Subject" numFmtId="0">
      <sharedItems containsDate="1" containsBlank="1" containsMixedTypes="1" minDate="1899-12-30T01:01:00" maxDate="1899-12-30T01:01:00"/>
    </cacheField>
    <cacheField name="Starting Date" numFmtId="14">
      <sharedItems containsNonDate="0" containsDate="1" containsString="0" containsBlank="1" minDate="2022-04-15T00:00:00" maxDate="2022-06-04T00:00:00" count="41">
        <d v="2022-06-01T00:00:00"/>
        <d v="2022-06-02T00:00:00"/>
        <d v="2022-06-03T00:00:00"/>
        <d v="2022-05-27T00:00:00"/>
        <d v="2022-05-30T00:00:00"/>
        <d v="2022-05-31T00:00:00"/>
        <m/>
        <d v="2022-05-19T00:00:00" u="1"/>
        <d v="2022-05-12T00:00:00" u="1"/>
        <d v="2022-04-26T00:00:00" u="1"/>
        <d v="2022-05-05T00:00:00" u="1"/>
        <d v="2022-04-19T00:00:00" u="1"/>
        <d v="2022-05-24T00:00:00" u="1"/>
        <d v="2022-05-17T00:00:00" u="1"/>
        <d v="2022-05-10T00:00:00" u="1"/>
        <d v="2022-05-03T00:00:00" u="1"/>
        <d v="2022-04-17T00:00:00" u="1"/>
        <d v="2022-05-15T00:00:00" u="1"/>
        <d v="2022-04-29T00:00:00" u="1"/>
        <d v="2022-05-08T00:00:00" u="1"/>
        <d v="2022-04-22T00:00:00" u="1"/>
        <d v="2022-05-01T00:00:00" u="1"/>
        <d v="2022-04-15T00:00:00" u="1"/>
        <d v="2022-05-20T00:00:00" u="1"/>
        <d v="2022-05-13T00:00:00" u="1"/>
        <d v="2022-04-27T00:00:00" u="1"/>
        <d v="2022-05-06T00:00:00" u="1"/>
        <d v="2022-04-20T00:00:00" u="1"/>
        <d v="2022-05-25T00:00:00" u="1"/>
        <d v="2022-05-18T00:00:00" u="1"/>
        <d v="2022-05-11T00:00:00" u="1"/>
        <d v="2022-04-25T00:00:00" u="1"/>
        <d v="2022-05-04T00:00:00" u="1"/>
        <d v="2022-04-18T00:00:00" u="1"/>
        <d v="2022-05-23T00:00:00" u="1"/>
        <d v="2022-05-16T00:00:00" u="1"/>
        <d v="2022-05-09T00:00:00" u="1"/>
        <d v="2022-05-02T00:00:00" u="1"/>
        <d v="2022-04-28T00:00:00" u="1"/>
        <d v="2022-04-21T00:00:00" u="1"/>
        <d v="2022-05-26T00:00:00" u="1"/>
      </sharedItems>
    </cacheField>
    <cacheField name="Ending Date" numFmtId="14">
      <sharedItems containsNonDate="0" containsDate="1" containsString="0" containsBlank="1" minDate="2022-05-27T00:00:00" maxDate="2022-06-04T00:00:00"/>
    </cacheField>
    <cacheField name="Start Time" numFmtId="18">
      <sharedItems containsNonDate="0" containsDate="1" containsString="0" containsBlank="1" minDate="1899-12-30T00:00:00" maxDate="1899-12-30T18:30:00"/>
    </cacheField>
    <cacheField name="End Time" numFmtId="18">
      <sharedItems containsNonDate="0" containsDate="1" containsString="0" containsBlank="1" minDate="1899-12-30T00:00:00" maxDate="1899-12-30T19:00:00"/>
    </cacheField>
    <cacheField name="Hours" numFmtId="2">
      <sharedItems containsString="0" containsBlank="1" containsNumber="1" minValue="0.25" maxValue="24"/>
    </cacheField>
    <cacheField name="Attendees"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lix Reta" refreshedDate="44722.398102893516" createdVersion="7" refreshedVersion="7" minRefreshableVersion="3" recordCount="269" xr:uid="{62E99083-FE5C-4CF9-B4DF-79958DE15E9C}">
  <cacheSource type="worksheet">
    <worksheetSource name="Table3"/>
  </cacheSource>
  <cacheFields count="10">
    <cacheField name="Project" numFmtId="0">
      <sharedItems containsBlank="1" count="18">
        <s v="Other"/>
        <s v="505898"/>
        <s v="505017"/>
        <s v="505909"/>
        <s v="505453"/>
        <s v="505921"/>
        <s v="505926"/>
        <s v="505563"/>
        <s v="505936"/>
        <s v="505845"/>
        <s v="505971"/>
        <s v="505955"/>
        <s v="505978"/>
        <s v="505983"/>
        <s v="505967"/>
        <s v="505742"/>
        <m u="1"/>
        <s v="504133" u="1"/>
      </sharedItems>
    </cacheField>
    <cacheField name="Category" numFmtId="0">
      <sharedItems containsBlank="1"/>
    </cacheField>
    <cacheField name="Subject" numFmtId="0">
      <sharedItems/>
    </cacheField>
    <cacheField name="Starting Date" numFmtId="14">
      <sharedItems containsSemiMixedTypes="0" containsNonDate="0" containsDate="1" containsString="0" minDate="2022-02-11T00:00:00" maxDate="2022-06-10T00:00:00"/>
    </cacheField>
    <cacheField name="Ending Date" numFmtId="14">
      <sharedItems containsSemiMixedTypes="0" containsNonDate="0" containsDate="1" containsString="0" minDate="2022-02-14T00:00:00" maxDate="2022-06-10T00:00:00" count="66">
        <d v="2022-02-14T00:00:00"/>
        <d v="2022-02-18T00:00:00"/>
        <d v="2022-02-24T00:00:00"/>
        <d v="2022-04-19T00:00:00"/>
        <d v="2022-03-02T00:00:00"/>
        <d v="2022-02-26T00:00:00"/>
        <d v="2022-03-07T00:00:00"/>
        <d v="2022-02-28T00:00:00"/>
        <d v="2022-03-01T00:00:00"/>
        <d v="2022-03-04T00:00:00"/>
        <d v="2022-03-15T00:00:00"/>
        <d v="2022-03-16T00:00:00"/>
        <d v="2022-03-09T00:00:00"/>
        <d v="2022-03-11T00:00:00"/>
        <d v="2022-03-22T00:00:00"/>
        <d v="2022-03-14T00:00:00"/>
        <d v="2022-03-24T00:00:00"/>
        <d v="2022-03-17T00:00:00"/>
        <d v="2022-03-21T00:00:00"/>
        <d v="2022-04-22T00:00:00"/>
        <d v="2022-04-29T00:00:00"/>
        <d v="2022-04-08T00:00:00"/>
        <d v="2022-03-29T00:00:00"/>
        <d v="2022-03-28T00:00:00"/>
        <d v="2022-04-11T00:00:00"/>
        <d v="2022-04-01T00:00:00"/>
        <d v="2022-04-04T00:00:00"/>
        <d v="2022-04-06T00:00:00"/>
        <d v="2022-04-14T00:00:00"/>
        <d v="2022-04-05T00:00:00"/>
        <d v="2022-04-12T00:00:00"/>
        <d v="2022-04-07T00:00:00"/>
        <d v="2022-05-25T00:00:00"/>
        <d v="2022-05-13T00:00:00"/>
        <d v="2022-04-18T00:00:00"/>
        <d v="2022-04-13T00:00:00"/>
        <d v="2022-05-02T00:00:00"/>
        <d v="2022-04-15T00:00:00"/>
        <d v="2022-04-21T00:00:00"/>
        <d v="2022-04-27T00:00:00"/>
        <d v="2022-04-25T00:00:00"/>
        <d v="2022-04-26T00:00:00"/>
        <d v="2022-05-03T00:00:00"/>
        <d v="2022-04-28T00:00:00"/>
        <d v="2022-05-01T00:00:00"/>
        <d v="2022-05-05T00:00:00"/>
        <d v="2022-05-23T00:00:00"/>
        <d v="2022-05-09T00:00:00"/>
        <d v="2022-05-16T00:00:00"/>
        <d v="2022-06-02T00:00:00"/>
        <d v="2022-06-09T00:00:00"/>
        <d v="2022-05-04T00:00:00"/>
        <d v="2022-05-06T00:00:00"/>
        <d v="2022-05-19T00:00:00"/>
        <d v="2022-05-17T00:00:00"/>
        <d v="2022-06-01T00:00:00"/>
        <d v="2022-05-12T00:00:00"/>
        <d v="2022-05-10T00:00:00"/>
        <d v="2022-05-18T00:00:00"/>
        <d v="2022-06-08T00:00:00"/>
        <d v="2022-06-06T00:00:00"/>
        <d v="2022-05-27T00:00:00"/>
        <d v="2022-05-31T00:00:00"/>
        <d v="2022-05-26T00:00:00"/>
        <d v="2022-06-07T00:00:00"/>
        <d v="2022-06-03T00:00:00"/>
      </sharedItems>
    </cacheField>
    <cacheField name="Start Time" numFmtId="18">
      <sharedItems containsSemiMixedTypes="0" containsNonDate="0" containsDate="1" containsString="0" minDate="1899-12-30T00:00:00" maxDate="1899-12-31T00:00:00"/>
    </cacheField>
    <cacheField name="End Time" numFmtId="18">
      <sharedItems containsSemiMixedTypes="0" containsNonDate="0" containsDate="1" containsString="0" minDate="1899-12-30T00:00:00" maxDate="1899-12-31T00:00:00"/>
    </cacheField>
    <cacheField name="Hours" numFmtId="2">
      <sharedItems containsSemiMixedTypes="0" containsString="0" containsNumber="1" containsInteger="1" minValue="-312" maxValue="1296"/>
    </cacheField>
    <cacheField name="Attendees" numFmtId="0">
      <sharedItems/>
    </cacheField>
    <cacheField name="✅"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lix Reta" refreshedDate="44722.434253472224" createdVersion="7" refreshedVersion="7" minRefreshableVersion="3" recordCount="429" xr:uid="{DF86612E-768F-4896-991E-9BC98462B040}">
  <cacheSource type="worksheet">
    <worksheetSource name="Table2"/>
  </cacheSource>
  <cacheFields count="8">
    <cacheField name="Folder" numFmtId="0">
      <sharedItems containsBlank="1" containsMixedTypes="1" containsNumber="1" containsInteger="1" minValue="504133" maxValue="504133"/>
    </cacheField>
    <cacheField name="Subject" numFmtId="0">
      <sharedItems containsBlank="1"/>
    </cacheField>
    <cacheField name="Date" numFmtId="22">
      <sharedItems containsNonDate="0" containsDate="1" containsString="0" containsBlank="1" minDate="2022-05-27T08:53:21" maxDate="2022-06-10T09:27:49" count="321">
        <d v="2022-05-27T14:16:39"/>
        <d v="2022-05-27T08:53:21"/>
        <d v="2022-06-09T10:28:00"/>
        <d v="2022-06-09T11:45:00"/>
        <d v="2022-06-08T15:20:00"/>
        <d v="2022-05-27T08:59:36"/>
        <d v="2022-05-27T12:58:57"/>
        <d v="2022-06-01T11:02:34"/>
        <d v="2022-06-01T15:53:24"/>
        <d v="2022-06-01T16:07:48"/>
        <d v="2022-06-09T09:05:16"/>
        <d v="2022-06-07T11:14:40"/>
        <d v="2022-06-02T09:36:43"/>
        <d v="2022-05-30T04:22:46"/>
        <d v="2022-05-28T00:55:54"/>
        <d v="2022-05-27T16:28:24"/>
        <d v="2022-05-27T15:50:43"/>
        <d v="2022-05-31T07:16:15"/>
        <d v="2022-05-31T07:27:09"/>
        <d v="2022-05-31T07:36:30"/>
        <d v="2022-05-31T07:36:17"/>
        <d v="2022-05-31T08:04:09"/>
        <d v="2022-05-31T08:23:37"/>
        <d v="2022-05-31T08:32:48"/>
        <d v="2022-05-31T09:08:15"/>
        <d v="2022-05-31T09:21:48"/>
        <d v="2022-05-31T09:42:06"/>
        <d v="2022-05-31T09:46:49"/>
        <d v="2022-05-31T09:49:40"/>
        <d v="2022-05-31T09:49:59"/>
        <d v="2022-05-31T09:55:08"/>
        <d v="2022-05-31T09:56:33"/>
        <d v="2022-05-31T09:59:34"/>
        <d v="2022-05-31T10:00:04"/>
        <d v="2022-05-31T10:41:12"/>
        <d v="2022-05-31T11:09:07"/>
        <d v="2022-05-31T11:17:17"/>
        <d v="2022-05-31T11:35:23"/>
        <d v="2022-05-31T11:55:48"/>
        <d v="2022-05-31T12:01:43"/>
        <d v="2022-05-31T12:02:35"/>
        <d v="2022-05-31T12:23:09"/>
        <d v="2022-05-31T12:46:08"/>
        <d v="2022-05-31T14:28:39"/>
        <d v="2022-05-31T15:19:00"/>
        <d v="2022-05-31T15:27:18"/>
        <d v="2022-05-31T15:27:06"/>
        <d v="2022-05-31T17:44:25"/>
        <d v="2022-06-01T00:28:21"/>
        <d v="2022-06-01T05:03:43"/>
        <d v="2022-06-01T06:04:42"/>
        <d v="2022-06-01T06:35:29"/>
        <d v="2022-06-01T07:26:12"/>
        <d v="2022-06-01T08:00:20"/>
        <d v="2022-06-01T08:03:43"/>
        <d v="2022-06-01T08:55:25"/>
        <d v="2022-06-01T08:55:24"/>
        <d v="2022-06-01T08:55:36"/>
        <d v="2022-06-01T09:08:03"/>
        <d v="2022-06-01T09:26:45"/>
        <d v="2022-06-01T09:50:09"/>
        <d v="2022-06-01T09:57:50"/>
        <d v="2022-06-01T10:16:53"/>
        <d v="2022-06-01T10:20:23"/>
        <d v="2022-06-01T10:50:22"/>
        <d v="2022-06-01T10:59:32"/>
        <d v="2022-06-01T11:17:01"/>
        <d v="2022-06-01T12:07:14"/>
        <d v="2022-06-01T12:19:35"/>
        <d v="2022-06-01T12:26:29"/>
        <d v="2022-06-01T12:26:23"/>
        <d v="2022-06-01T12:29:23"/>
        <d v="2022-06-01T12:43:07"/>
        <d v="2022-06-01T12:46:37"/>
        <d v="2022-06-01T12:49:35"/>
        <d v="2022-06-01T12:58:03"/>
        <d v="2022-06-01T13:02:06"/>
        <d v="2022-06-01T13:15:13"/>
        <d v="2022-06-01T13:27:43"/>
        <d v="2022-06-01T15:03:48"/>
        <d v="2022-06-01T15:58:14"/>
        <d v="2022-06-02T00:18:30"/>
        <d v="2022-06-02T06:09:53"/>
        <d v="2022-06-02T08:06:22"/>
        <d v="2022-06-02T08:23:34"/>
        <d v="2022-06-02T09:45:11"/>
        <d v="2022-06-02T09:48:51"/>
        <d v="2022-06-02T09:53:01"/>
        <d v="2022-06-02T10:15:51"/>
        <d v="2022-06-02T10:27:30"/>
        <d v="2022-06-02T10:22:27"/>
        <d v="2022-06-02T10:18:31"/>
        <d v="2022-06-02T10:46:06"/>
        <d v="2022-06-02T10:52:25"/>
        <d v="2022-06-02T10:56:04"/>
        <d v="2022-06-02T11:09:20"/>
        <d v="2022-06-02T11:17:04"/>
        <d v="2022-06-02T11:43:09"/>
        <d v="2022-06-02T12:07:46"/>
        <d v="2022-06-02T12:14:49"/>
        <d v="2022-06-02T12:38:37"/>
        <d v="2022-06-02T12:39:19"/>
        <d v="2022-06-02T12:52:05"/>
        <d v="2022-06-02T12:56:50"/>
        <d v="2022-06-02T13:10:12"/>
        <d v="2022-06-02T13:21:02"/>
        <d v="2022-06-02T13:22:05"/>
        <d v="2022-06-02T13:23:13"/>
        <d v="2022-06-02T14:25:05"/>
        <d v="2022-06-02T15:05:15"/>
        <d v="2022-06-02T15:07:14"/>
        <d v="2022-06-02T15:16:48"/>
        <d v="2022-06-02T15:25:44"/>
        <d v="2022-06-02T16:26:28"/>
        <d v="2022-06-02T17:54:03"/>
        <d v="2022-06-02T18:46:17"/>
        <d v="2022-06-02T18:46:11"/>
        <d v="2022-06-02T18:46:50"/>
        <d v="2022-06-02T18:47:58"/>
        <d v="2022-06-02T18:49:01"/>
        <d v="2022-06-02T19:10:31"/>
        <d v="2022-06-02T20:09:41"/>
        <d v="2022-06-02T23:52:22"/>
        <d v="2022-06-03T00:30:05"/>
        <d v="2022-06-03T00:39:34"/>
        <d v="2022-06-03T00:44:57"/>
        <d v="2022-06-03T05:34:36"/>
        <d v="2022-06-03T07:42:41"/>
        <d v="2022-06-03T08:29:53"/>
        <d v="2022-06-03T09:03:47"/>
        <d v="2022-06-03T09:12:27"/>
        <d v="2022-06-03T09:15:00"/>
        <d v="2022-06-03T09:32:28"/>
        <d v="2022-06-03T10:39:46"/>
        <d v="2022-06-03T10:50:48"/>
        <d v="2022-06-03T10:55:35"/>
        <d v="2022-06-03T11:09:14"/>
        <d v="2022-06-03T11:16:47"/>
        <d v="2022-06-03T12:05:45"/>
        <d v="2022-06-03T14:17:06"/>
        <d v="2022-06-03T14:17:39"/>
        <d v="2022-06-03T15:20:44"/>
        <d v="2022-06-03T15:29:33"/>
        <d v="2022-06-03T16:14:36"/>
        <d v="2022-06-03T16:32:50"/>
        <d v="2022-06-03T17:32:57"/>
        <d v="2022-06-03T17:47:53"/>
        <d v="2022-06-03T17:48:39"/>
        <d v="2022-06-03T18:06:22"/>
        <d v="2022-06-06T07:13:01"/>
        <d v="2022-06-06T06:20:20"/>
        <d v="2022-06-06T00:47:15"/>
        <d v="2022-06-04T00:31:22"/>
        <d v="2022-06-06T08:09:39"/>
        <d v="2022-06-06T08:16:45"/>
        <d v="2022-06-06T08:20:12"/>
        <d v="2022-06-06T08:35:18"/>
        <d v="2022-06-06T08:48:02"/>
        <d v="2022-06-06T09:00:23"/>
        <d v="2022-06-06T09:10:32"/>
        <d v="2022-06-06T09:25:26"/>
        <d v="2022-06-06T09:27:52"/>
        <d v="2022-06-06T09:28:28"/>
        <d v="2022-06-06T09:36:07"/>
        <d v="2022-06-06T10:19:58"/>
        <d v="2022-06-06T10:25:02"/>
        <d v="2022-06-06T10:25:43"/>
        <d v="2022-06-06T10:28:44"/>
        <d v="2022-06-06T10:29:16"/>
        <d v="2022-06-06T10:31:18"/>
        <d v="2022-06-06T10:31:49"/>
        <d v="2022-06-06T10:32:29"/>
        <d v="2022-06-06T10:32:18"/>
        <d v="2022-06-06T10:34:11"/>
        <d v="2022-06-06T11:00:00"/>
        <d v="2022-06-06T11:04:52"/>
        <d v="2022-06-06T11:16:00"/>
        <d v="2022-06-06T11:32:33"/>
        <d v="2022-06-06T11:55:50"/>
        <d v="2022-06-06T13:18:35"/>
        <d v="2022-06-06T13:22:33"/>
        <d v="2022-06-06T13:29:43"/>
        <d v="2022-06-06T14:00:47"/>
        <d v="2022-06-06T14:10:27"/>
        <d v="2022-06-06T14:33:53"/>
        <d v="2022-06-06T14:48:56"/>
        <d v="2022-06-06T15:03:31"/>
        <d v="2022-06-06T16:09:39"/>
        <d v="2022-06-06T16:43:42"/>
        <d v="2022-06-06T17:01:42"/>
        <d v="2022-06-06T17:26:12"/>
        <d v="2022-06-06T17:35:39"/>
        <d v="2022-06-07T00:21:57"/>
        <d v="2022-06-07T05:49:07"/>
        <d v="2022-06-07T05:49:11"/>
        <d v="2022-06-07T07:12:05"/>
        <d v="2022-06-07T07:19:00"/>
        <d v="2022-06-07T08:00:18"/>
        <d v="2022-06-07T08:46:25"/>
        <d v="2022-06-07T09:14:07"/>
        <d v="2022-06-07T09:14:29"/>
        <d v="2022-06-07T09:14:39"/>
        <d v="2022-06-07T09:38:18"/>
        <d v="2022-06-07T09:44:35"/>
        <d v="2022-06-07T09:49:49"/>
        <d v="2022-06-07T09:52:45"/>
        <d v="2022-06-07T09:56:16"/>
        <d v="2022-06-07T10:23:53"/>
        <d v="2022-06-07T10:25:26"/>
        <d v="2022-06-07T10:38:28"/>
        <d v="2022-06-07T11:43:39"/>
        <d v="2022-06-07T11:54:14"/>
        <d v="2022-06-07T13:06:36"/>
        <d v="2022-06-07T13:09:11"/>
        <d v="2022-06-07T13:26:04"/>
        <d v="2022-06-07T13:28:13"/>
        <d v="2022-06-07T14:57:14"/>
        <d v="2022-06-07T15:59:06"/>
        <d v="2022-06-07T16:08:48"/>
        <d v="2022-06-07T17:09:42"/>
        <d v="2022-06-07T17:16:12"/>
        <d v="2022-06-07T17:24:04"/>
        <d v="2022-06-07T17:25:07"/>
        <d v="2022-06-07T17:49:16"/>
        <d v="2022-06-07T19:36:32"/>
        <d v="2022-06-07T20:33:44"/>
        <d v="2022-06-08T00:34:36"/>
        <d v="2022-06-08T00:45:36"/>
        <d v="2022-06-08T01:35:06"/>
        <d v="2022-06-08T02:04:09"/>
        <d v="2022-06-08T03:10:51"/>
        <d v="2022-06-08T05:01:43"/>
        <d v="2022-06-08T05:05:04"/>
        <d v="2022-06-08T05:14:05"/>
        <d v="2022-06-08T05:38:29"/>
        <d v="2022-06-08T07:34:54"/>
        <d v="2022-06-08T07:42:20"/>
        <d v="2022-06-08T08:00:31"/>
        <d v="2022-06-08T08:06:40"/>
        <d v="2022-06-08T08:23:52"/>
        <d v="2022-06-08T08:59:23"/>
        <d v="2022-06-08T09:18:35"/>
        <d v="2022-06-08T09:23:03"/>
        <d v="2022-06-08T09:31:28"/>
        <d v="2022-06-08T09:41:59"/>
        <d v="2022-06-08T09:53:10"/>
        <d v="2022-06-08T09:54:16"/>
        <d v="2022-06-08T09:54:19"/>
        <d v="2022-06-08T10:04:47"/>
        <d v="2022-06-08T10:21:30"/>
        <d v="2022-06-08T11:12:41"/>
        <d v="2022-06-08T11:18:10"/>
        <d v="2022-06-08T11:34:14"/>
        <d v="2022-06-08T11:35:09"/>
        <d v="2022-06-08T11:40:55"/>
        <d v="2022-06-08T11:41:59"/>
        <d v="2022-06-08T11:50:11"/>
        <d v="2022-06-08T11:56:33"/>
        <d v="2022-06-08T12:12:09"/>
        <d v="2022-06-08T12:17:16"/>
        <d v="2022-06-08T12:18:09"/>
        <d v="2022-06-08T12:24:07"/>
        <d v="2022-06-08T12:31:30"/>
        <d v="2022-06-08T12:34:07"/>
        <d v="2022-06-08T12:49:05"/>
        <d v="2022-06-08T12:49:08"/>
        <d v="2022-06-08T12:50:11"/>
        <d v="2022-06-08T13:13:58"/>
        <d v="2022-06-08T13:23:43"/>
        <d v="2022-06-08T13:32:05"/>
        <d v="2022-06-08T13:46:30"/>
        <d v="2022-06-08T13:46:50"/>
        <d v="2022-06-08T13:54:56"/>
        <d v="2022-06-08T14:24:01"/>
        <d v="2022-06-08T14:32:11"/>
        <d v="2022-06-08T17:09:36"/>
        <d v="2022-06-08T17:12:47"/>
        <d v="2022-06-08T17:13:36"/>
        <d v="2022-06-08T22:06:18"/>
        <d v="2022-06-08T22:23:46"/>
        <d v="2022-06-09T00:26:56"/>
        <d v="2022-06-09T03:16:57"/>
        <d v="2022-06-09T04:22:45"/>
        <d v="2022-06-09T06:34:07"/>
        <d v="2022-06-09T06:37:08"/>
        <d v="2022-06-09T06:43:08"/>
        <d v="2022-06-09T06:47:20"/>
        <d v="2022-06-09T06:56:09"/>
        <d v="2022-06-09T08:36:03"/>
        <d v="2022-06-09T08:39:29"/>
        <d v="2022-06-09T08:42:09"/>
        <d v="2022-06-09T08:42:04"/>
        <d v="2022-06-09T09:09:31"/>
        <d v="2022-06-09T09:28:36"/>
        <d v="2022-06-09T09:29:17"/>
        <d v="2022-06-09T10:33:10"/>
        <d v="2022-06-09T10:41:19"/>
        <d v="2022-06-09T10:43:03"/>
        <d v="2022-06-09T10:47:32"/>
        <d v="2022-06-09T10:55:50"/>
        <d v="2022-06-09T10:58:47"/>
        <d v="2022-06-09T11:06:14"/>
        <d v="2022-06-09T11:07:49"/>
        <d v="2022-06-09T11:10:31"/>
        <d v="2022-06-09T11:18:36"/>
        <d v="2022-06-09T11:19:27"/>
        <d v="2022-06-09T11:24:20"/>
        <d v="2022-06-09T11:28:20"/>
        <d v="2022-06-09T17:01:29"/>
        <d v="2022-06-09T19:07:54"/>
        <d v="2022-06-09T19:25:21"/>
        <d v="2022-06-09T19:26:45"/>
        <d v="2022-06-09T19:48:41"/>
        <d v="2022-06-09T19:48:59"/>
        <d v="2022-06-10T01:57:20"/>
        <d v="2022-06-10T01:58:46"/>
        <d v="2022-06-10T02:04:29"/>
        <d v="2022-06-10T04:26:13"/>
        <d v="2022-06-10T05:37:57"/>
        <d v="2022-06-10T09:27:49"/>
        <m/>
      </sharedItems>
      <fieldGroup par="7" base="2">
        <rangePr groupBy="days" startDate="2022-05-27T08:53:21" endDate="2022-06-10T09:27:49"/>
        <groupItems count="368">
          <s v="(blank)"/>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0/2022"/>
        </groupItems>
      </fieldGroup>
    </cacheField>
    <cacheField name="Sender" numFmtId="0">
      <sharedItems containsBlank="1"/>
    </cacheField>
    <cacheField name="Body" numFmtId="0">
      <sharedItems containsBlank="1"/>
    </cacheField>
    <cacheField name="Project" numFmtId="0">
      <sharedItems count="19">
        <s v="505926"/>
        <s v="505563"/>
        <s v="505845"/>
        <s v="505936"/>
        <s v="505955"/>
        <s v="505971"/>
        <s v=""/>
        <s v="504133"/>
        <s v="505967"/>
        <s v="505742"/>
        <s v="505898"/>
        <s v="505453"/>
        <s v="505978" u="1"/>
        <s v="505909" u="1"/>
        <s v="505921" u="1"/>
        <s v="Other" u="1"/>
        <s v="505983" u="1"/>
        <s v="505530" u="1"/>
        <s v="505017" u="1"/>
      </sharedItems>
    </cacheField>
    <cacheField name="Source" numFmtId="0">
      <sharedItems containsBlank="1"/>
    </cacheField>
    <cacheField name="Months" numFmtId="0" databaseField="0">
      <fieldGroup base="2">
        <rangePr groupBy="months" startDate="2022-05-27T08:53:21" endDate="2022-06-10T09:27:49"/>
        <groupItems count="14">
          <s v="&lt;5/27/2022"/>
          <s v="Jan"/>
          <s v="Feb"/>
          <s v="Mar"/>
          <s v="Apr"/>
          <s v="May"/>
          <s v="Jun"/>
          <s v="Jul"/>
          <s v="Aug"/>
          <s v="Sep"/>
          <s v="Oct"/>
          <s v="Nov"/>
          <s v="Dec"/>
          <s v="&gt;6/10/2022"/>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
  <r>
    <x v="0"/>
    <s v="Appointment"/>
    <s v="TN"/>
    <x v="0"/>
    <d v="2022-06-01T00:00:00"/>
    <d v="1899-12-30T15:00:00"/>
    <d v="1899-12-30T16:00:00"/>
    <n v="1"/>
    <s v="Reta, Felix [C]"/>
  </r>
  <r>
    <x v="0"/>
    <s v="Appointment"/>
    <s v="TT"/>
    <x v="0"/>
    <d v="2022-06-01T00:00:00"/>
    <d v="1899-12-30T15:00:00"/>
    <d v="1899-12-30T15:30:00"/>
    <n v="0.5"/>
    <s v="Reta, Felix [C]"/>
  </r>
  <r>
    <x v="0"/>
    <s v="Appointment"/>
    <s v="Yukon"/>
    <x v="1"/>
    <d v="2022-06-02T00:00:00"/>
    <d v="1899-12-30T08:00:00"/>
    <d v="1899-12-30T09:00:00"/>
    <n v="1"/>
    <s v="Reta, Felix [C]"/>
  </r>
  <r>
    <x v="0"/>
    <s v="Appointment"/>
    <s v="VC"/>
    <x v="2"/>
    <d v="2022-06-03T00:00:00"/>
    <d v="1899-12-30T10:00:00"/>
    <d v="1899-12-30T10:30:00"/>
    <n v="0.5"/>
    <s v="Reta, Felix [C]"/>
  </r>
  <r>
    <x v="0"/>
    <s v="Blue Category"/>
    <s v="Take a break"/>
    <x v="3"/>
    <d v="2022-05-27T00:00:00"/>
    <d v="1899-12-30T10:45:00"/>
    <d v="1899-12-30T11:00:00"/>
    <n v="0.25"/>
    <m/>
  </r>
  <r>
    <x v="0"/>
    <s v="Blue Category"/>
    <s v="Take a break"/>
    <x v="3"/>
    <d v="2022-05-27T00:00:00"/>
    <d v="1899-12-30T14:45:00"/>
    <d v="1899-12-30T15:00:00"/>
    <n v="0.25"/>
    <m/>
  </r>
  <r>
    <x v="0"/>
    <s v="Green Category"/>
    <s v="Focus time"/>
    <x v="1"/>
    <d v="2022-06-02T00:00:00"/>
    <d v="1899-12-30T14:00:00"/>
    <d v="1899-12-30T16:00:00"/>
    <n v="2"/>
    <m/>
  </r>
  <r>
    <x v="0"/>
    <s v="Green Category"/>
    <s v="Focus time"/>
    <x v="1"/>
    <d v="2022-06-02T00:00:00"/>
    <d v="1899-12-30T16:00:00"/>
    <d v="1899-12-30T17:00:00"/>
    <n v="1"/>
    <m/>
  </r>
  <r>
    <x v="0"/>
    <s v="Holiday"/>
    <s v="Memorial Day"/>
    <x v="4"/>
    <d v="2022-05-31T00:00:00"/>
    <d v="1899-12-30T00:00:00"/>
    <d v="1899-12-30T00:00:00"/>
    <n v="24"/>
    <m/>
  </r>
  <r>
    <x v="0"/>
    <s v="Internet"/>
    <s v="Screen Pop (Director 7) Tech Meeting 3"/>
    <x v="3"/>
    <d v="2022-05-27T00:00:00"/>
    <d v="1899-12-30T11:00:00"/>
    <d v="1899-12-30T12:00:00"/>
    <n v="1"/>
    <s v="Rafael Davila, Rucker, George, Reta, Felix [C], Pablo Ikehara, Thomas Pitts, Eugene Gugel, William Eargle, Cassandra Long"/>
  </r>
  <r>
    <x v="0"/>
    <s v="Internet"/>
    <d v="1899-12-30T01:01:00"/>
    <x v="3"/>
    <d v="2022-05-27T00:00:00"/>
    <d v="1899-12-30T14:30:00"/>
    <d v="1899-12-30T15:00:00"/>
    <n v="0.5"/>
    <s v="Reta, Felix [C], Bock, April [C], Bock, April [C], felix.reta@gmail.com"/>
  </r>
  <r>
    <x v="0"/>
    <s v="Internet"/>
    <s v="Managed Services/Private Cloud CAB CR Review"/>
    <x v="5"/>
    <d v="2022-05-31T00:00:00"/>
    <d v="1899-12-30T09:00:00"/>
    <d v="1899-12-30T09:30:00"/>
    <n v="0.5"/>
    <s v="Change Management, APS.AMER-PM-ALL, CAB - Hosted_MS, Newman, Randy, Goldstein, Jeffrey, Kumar, Narendra, Texter, Jim, Wise, Angela Joyce, Jefferson, John, Owens, Michael, Boughner, Randall, Scoot, Howard, Moore, Chris, Singh, Ashish, Taylor, Darryl, Durrough, Lenny, Pacheco, Henry, Neild, Robert, Serrano, Michelle, Schlinsog, Jason, Subbarayan, Saravanan, Smith, Rodney, Riley, MaryEllen, Jensen, John, Zuckerman, Dan, Sundararajan, Senthil, Chandorkar, Sujay, Lewandowski, Kimberly, Jones, Brian, Stewart, Kim"/>
  </r>
  <r>
    <x v="0"/>
    <s v="Internet"/>
    <s v="Public Cloud CAB CR Review"/>
    <x v="5"/>
    <d v="2022-05-31T00:00:00"/>
    <d v="1899-12-30T09:30:00"/>
    <d v="1899-12-30T10:00:00"/>
    <n v="0.5"/>
    <s v="Change Management, APS.AMER-PM-ALL, CAB - Cloud, Boughner, Randall, Owens, Michael, Texter, Jim, Scoot, Howard, Kumar, Narendra, Jefferson, John, Neild, Robert, Singh, Ashish, Rosario, Colin, Durrough, Lenny, Pacheco, Henry, Serrano, Michelle, Schlinsog, Jason, Subbarayan, Saravanan, Smith, Rodney, Goldstein, Jeffrey, Owen, Martin, Riley, MaryEllen, Lewandowski, Kimberly, Chandorkar, Sujay, Jones, Brian, Stewart, Kim"/>
  </r>
  <r>
    <x v="1"/>
    <s v="Internet"/>
    <s v="Weekly status meeting for 505936 -Synnex - Dell - Accenture - WFM Upgrade V19- V21.1"/>
    <x v="5"/>
    <d v="2022-05-31T00:00:00"/>
    <d v="1899-12-30T10:00:00"/>
    <d v="1899-12-30T10:30:00"/>
    <n v="0.5"/>
    <s v="Reta, Felix [C], Kumar, Pankaj, felix.reta@gmail.com, Biegel, Chris, Mishra, Nirmal, Anil Kunnanthody, Upton, Dan, Jonathan Renz Pacuribot, Russell j i Baello, Renier M Forio, Shete, Abhijit"/>
  </r>
  <r>
    <x v="0"/>
    <s v="Internet"/>
    <s v="Alvaria Cloud CAB CR Review"/>
    <x v="5"/>
    <d v="2022-05-31T00:00:00"/>
    <d v="1899-12-30T10:00:00"/>
    <d v="1899-12-30T11:00:00"/>
    <n v="1"/>
    <s v="Change Management, APS.AMER-PM-ALL, CAB - Via, Jefferson, John, Lilic, Rusmin, Boughner, Randall, Kelly, Jarlath, Norton, David, Singh, Ashish, Wiegard, Hanno, Scoot, Howard, Durrough, Lenny, Murphy, Kealan, Ramadas, Ravishankara, Boring, Scott, Pacheco, Henry, McDonnell, Jon, Kumar, Narendra, Serrano, Michelle, Grigorian, Anna, Texter, Jim, Schlinsog, Jason, Crapps, MaryEllen [C], Subbarayan, Saravanan, Goldstein, Jeffrey, Smith, Rodney, Riley, MaryEllen, Beasley, Michael, Zuckerman, Dan, Kaleski, Mike, Craemer, Alex, Riemann, Mark, Jeffery, Richard, Chandorkar, Sujay, Lewandowski, Kimberly, Mauelshagen, Martin, Harper, Paul, Rai, Rohit, Jones, Brian, Stewart, Kim"/>
  </r>
  <r>
    <x v="0"/>
    <s v="Internet"/>
    <s v="WFM Upgrade V19- V21.1"/>
    <x v="5"/>
    <d v="2022-05-31T00:00:00"/>
    <d v="1899-12-30T12:00:00"/>
    <d v="1899-12-30T12:30:00"/>
    <n v="0.5"/>
    <s v="Baello, Russell J. I., Reta, Felix [C], Mishra, Nirmal, BSC.Avaya.TechOps"/>
  </r>
  <r>
    <x v="0"/>
    <s v="Internet"/>
    <s v="Synnex-Dell-Accenture- WFM Upgrade V19- V21.1"/>
    <x v="5"/>
    <d v="2022-05-31T00:00:00"/>
    <d v="1899-12-30T12:10:00"/>
    <d v="1899-12-30T13:10:00"/>
    <n v="1"/>
    <s v="Nirmal Mishra, Reta, Felix [C]"/>
  </r>
  <r>
    <x v="2"/>
    <s v="Internet"/>
    <s v="Weekly Status Meeting - WFM &amp; AQM Upgrade 505845 -CAC"/>
    <x v="5"/>
    <d v="2022-05-31T00:00:00"/>
    <d v="1899-12-30T14:00:00"/>
    <d v="1899-12-30T14:30:00"/>
    <n v="0.5"/>
    <s v="Reta, Felix [C], Runyon, Michael, Hudson, Robert, april.bock@waterfield.com, Srinivas, Aswath, Hutcherson, Deborah [C], Shanoob, Muhammed, James Cousino, Robert Hickey, James Moore, Scott Korte, Jon Harris, Bock, April [C], Chris Moore, Borts, Michael"/>
  </r>
  <r>
    <x v="0"/>
    <s v="Internet"/>
    <s v="Director (Screen Scrapper) Weekly meeting"/>
    <x v="0"/>
    <d v="2022-06-01T00:00:00"/>
    <d v="1899-12-30T11:00:00"/>
    <d v="1899-12-30T12:00:00"/>
    <n v="1"/>
    <s v="Rafael Davila, Rucker, George, Christopher Brown, Reta, Felix [C], Eugene Gugel, Thomas Pitts, William Eargle, Cassandra Long"/>
  </r>
  <r>
    <x v="0"/>
    <s v="Internet"/>
    <s v="1:1 - Felix/April"/>
    <x v="0"/>
    <d v="2022-06-01T00:00:00"/>
    <d v="1899-12-30T12:30:00"/>
    <d v="1899-12-30T13:00:00"/>
    <n v="0.5"/>
    <s v="April Bock, Reta, Felix [C], Felix Reta"/>
  </r>
  <r>
    <x v="0"/>
    <s v="Internet"/>
    <s v="Synnex-Dell-Accenture- WFM Upgrade V19- V21.1"/>
    <x v="0"/>
    <d v="2022-06-01T00:00:00"/>
    <d v="1899-12-30T13:00:00"/>
    <d v="1899-12-30T14:00:00"/>
    <n v="1"/>
    <s v="Nirmal Mishra, Reta, Felix [C]"/>
  </r>
  <r>
    <x v="3"/>
    <s v="Internet"/>
    <s v="Weekly Project Status Meeting JetBlue/Alvaria [505563]"/>
    <x v="0"/>
    <d v="2022-06-01T00:00:00"/>
    <d v="1899-12-30T16:00:00"/>
    <d v="1899-12-30T16:30:00"/>
    <n v="0.5"/>
    <s v="Giles, Timothy, Reta, Felix [C], Hutcherson, Deborah [C], Lomakin, Roman, Ward, Mary, Bodrero, Brenda, Anderson, Amy, Paul, Michael, Gardner, Dee Dee, Wood, Daniel"/>
  </r>
  <r>
    <x v="0"/>
    <s v="Internet"/>
    <s v="Emergency/Overflow CAB CR Review"/>
    <x v="1"/>
    <d v="2022-06-02T00:00:00"/>
    <d v="1899-12-30T10:00:00"/>
    <d v="1899-12-30T11:00:00"/>
    <n v="1"/>
    <s v="Change Management, CAB - Hosted_MS, CAB - Cloud, CAB - Via, Jefferson, John, Kelly, Jarlath, Blackwell, John, Newman, Randy, Staten, Jonathan, Murphy, Kealan, Moore, Chris, Wiegard, Hanno, Durrough, Lenny, Singh, Ashish, Boughner, Randall, Boring, Scott, Norton, David, Pacheco, Henry, McDonnell, Jon, Kumar, Narendra, Piatt, Gregg, Grigorian, Anna, Serrano, Michelle, Olszewski, Tracey, Subbarayan, Saravanan, Casillas, Alex, Crapps, MaryEllen [C], Smith, Rodney, Owen, Martin, Riley, MaryEllen, Goldstein, Jeffrey, Harper, Paul, Beasley, Michael, Jensen, John, Zuckerman, Dan, Kaleski, Mike, Craemer, Alex, Sundararajan, Senthil, Riemann, Mark, Jeffery, Richard, Lewandowski, Kimberly, Chandorkar, Sujay, Mauelshagen, Martin, Ramadas, Ravishankara, Neild, Robert, Stewart, Kim, Rai, Rohit, APS.AMER-PM-ALL, Ammundsen, Diane [C], Rosario, Colin, Anderson, Jeff, Sharif, Roshan [C], Hamri, Hassan, Reta, Felix [C], Wieler, Beth, Holloway, Marcus, Rhodes, Jason, Sullivan, Jan, Halliwell, John, Donadeo, Chris, Carabbio, Joe, Jones, Brian, Raj, Arun, Kotturesha, Kuldeep, Russell, John, Trost, Lou Ann [C], Fingers, Harvie, Torres, Jaciel, Borts, Michael, Kumar, Santhosh, Bohan, Ciaran, Greene, Charles, Podlogar, Dan, Barnes, Lloyd, Human, Neal, Taylor, Darryl, Janes, Robert, Parker, Brian, Hartley, Karen, Allan, Craig, Kumar, Sudheer, Huang, Cody, Mahalingam, Karan, Jenkins, Huw, Ojha, Vishal, Palimar, Shravan, Springs, Vanessa, Reznikova, Ana, Berry, Andrew [C], Lilic, Rusmin, Bennett, Sean, Bunten, Paul, Sharma, Paresh, Bartlett, Sylvia, Immanuel, Doreen, Dwivedi, Sujit, Marino, Cathy, Sisson, Jonathon, Scoot, Howard, Black, Charlie, Austin, Adrian, Jones, Jeff, Texter, Jim, Heiberger, Ed"/>
  </r>
  <r>
    <x v="0"/>
    <s v="Internet"/>
    <s v="Refresh QTR Forecast"/>
    <x v="2"/>
    <d v="2022-06-03T00:00:00"/>
    <d v="1899-12-30T11:30:00"/>
    <d v="1899-12-30T12:00:00"/>
    <n v="0.5"/>
    <s v="Reta, Felix [C], Sullivan, Jan, felix.reta@gmail.com"/>
  </r>
  <r>
    <x v="0"/>
    <s v="Internet"/>
    <s v="VDI UAD Issues"/>
    <x v="2"/>
    <d v="2022-06-03T00:00:00"/>
    <d v="1899-12-30T18:30:00"/>
    <d v="1899-12-30T19:00:00"/>
    <n v="0.5"/>
    <s v="Pablo Ikehara, Rafael Davila, Rucker, George, Reta, Felix [C]"/>
  </r>
  <r>
    <x v="0"/>
    <s v="Manager"/>
    <s v="Best Egg Weekly Project Status Meeting"/>
    <x v="0"/>
    <d v="2022-06-01T00:00:00"/>
    <d v="1899-12-30T11:30:00"/>
    <d v="1899-12-30T12:00:00"/>
    <n v="0.5"/>
    <s v="Sullivan, Jan, Lomakin, Roman, Simon, Francis, Nadgir, Sachin, Lamberth, Colin, Ramadas, Ravishankara, Norman Hutchinson, Matt Murphy, Kenneth Johnston, Paul Gimbutas, Das, Shounak, Epling, Darin, Shete, Abhijit, Reta, Felix [C], Sharif, Roshan [C], Trost, Lou Ann [C], Riley, MaryEllen"/>
  </r>
  <r>
    <x v="0"/>
    <s v="Projects"/>
    <s v="Director 7 Screen Pop Project follow up meetings."/>
    <x v="1"/>
    <d v="2022-06-02T00:00:00"/>
    <d v="1899-12-30T11:00:00"/>
    <d v="1899-12-30T11:30:00"/>
    <n v="0.5"/>
    <s v="Rafael Davila, Reta, Felix [C], Rucker, George, Thomas Pitts, Eugene Gugel, Pablo Ikehara"/>
  </r>
  <r>
    <x v="0"/>
    <s v="Purple Category"/>
    <s v="Lunch"/>
    <x v="3"/>
    <d v="2022-05-27T00:00:00"/>
    <d v="1899-12-30T13:00:00"/>
    <d v="1899-12-30T14:00:00"/>
    <n v="1"/>
    <m/>
  </r>
  <r>
    <x v="0"/>
    <s v="Purple Category"/>
    <s v="Lunch"/>
    <x v="4"/>
    <d v="2022-05-30T00:00:00"/>
    <d v="1899-12-30T13:00:00"/>
    <d v="1899-12-30T14:00:00"/>
    <n v="1"/>
    <m/>
  </r>
  <r>
    <x v="0"/>
    <s v="Purple Category"/>
    <s v="Lunch"/>
    <x v="5"/>
    <d v="2022-05-31T00:00:00"/>
    <d v="1899-12-30T13:00:00"/>
    <d v="1899-12-30T14:00:00"/>
    <n v="1"/>
    <m/>
  </r>
  <r>
    <x v="0"/>
    <s v="Purple Category"/>
    <s v="Lunch"/>
    <x v="0"/>
    <d v="2022-06-01T00:00:00"/>
    <d v="1899-12-30T13:00:00"/>
    <d v="1899-12-30T14:00:00"/>
    <n v="1"/>
    <m/>
  </r>
  <r>
    <x v="0"/>
    <s v="Purple Category"/>
    <s v="Lunch"/>
    <x v="1"/>
    <d v="2022-06-02T00:00:00"/>
    <d v="1899-12-30T13:00:00"/>
    <d v="1899-12-30T14:00:00"/>
    <n v="1"/>
    <m/>
  </r>
  <r>
    <x v="0"/>
    <s v="Purple Category"/>
    <s v="Lunch"/>
    <x v="2"/>
    <d v="2022-06-03T00:00:00"/>
    <d v="1899-12-30T13:00:00"/>
    <d v="1899-12-30T14:00:00"/>
    <n v="1"/>
    <m/>
  </r>
  <r>
    <x v="0"/>
    <s v="Yellow Category"/>
    <s v="Catch up on messages"/>
    <x v="3"/>
    <d v="2022-05-27T00:00:00"/>
    <d v="1899-12-30T16:30:00"/>
    <d v="1899-12-30T17:00:00"/>
    <n v="0.5"/>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r>
    <x v="4"/>
    <m/>
    <m/>
    <x v="6"/>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9">
  <r>
    <x v="0"/>
    <m/>
    <s v="Timesheets"/>
    <d v="2022-02-11T00:00:00"/>
    <x v="0"/>
    <d v="1899-12-30T00:00:00"/>
    <d v="1899-12-30T00:00:00"/>
    <n v="72"/>
    <s v="Reta, Felix [C]"/>
    <m/>
  </r>
  <r>
    <x v="0"/>
    <m/>
    <s v="Timesheets"/>
    <d v="2022-02-18T00:00:00"/>
    <x v="1"/>
    <d v="1899-12-30T00:00:00"/>
    <d v="1899-12-30T00:00:00"/>
    <n v="0"/>
    <s v="Reta, Felix [C]"/>
    <m/>
  </r>
  <r>
    <x v="0"/>
    <m/>
    <s v="Timesheets"/>
    <d v="2022-02-25T00:00:00"/>
    <x v="1"/>
    <d v="1899-12-30T00:00:00"/>
    <d v="1899-12-30T00:00:00"/>
    <n v="-168"/>
    <s v="Reta, Felix [C]"/>
    <m/>
  </r>
  <r>
    <x v="0"/>
    <s v="Manager"/>
    <s v="Onboarding Document Checklist"/>
    <d v="2022-02-24T00:00:00"/>
    <x v="2"/>
    <d v="1899-12-30T00:00:00"/>
    <d v="1899-12-30T00:00:00"/>
    <n v="0"/>
    <s v="Reta, Felix [C]"/>
    <m/>
  </r>
  <r>
    <x v="0"/>
    <s v="Manager"/>
    <s v="Review Alvaria SDLC &amp; RACI"/>
    <d v="2022-02-24T00:00:00"/>
    <x v="3"/>
    <d v="1899-12-30T00:00:00"/>
    <d v="1899-12-30T00:00:00"/>
    <n v="1296"/>
    <s v="Reta, Felix [C]"/>
    <m/>
  </r>
  <r>
    <x v="1"/>
    <s v="Projects"/>
    <s v="505898 UNIFIED IP™ SCREEN POP APPLICATION FOR SAGENT SOW"/>
    <d v="2022-02-25T00:00:00"/>
    <x v="4"/>
    <d v="1899-12-30T00:00:00"/>
    <d v="1899-12-30T00:00:00"/>
    <n v="120"/>
    <s v="Reta, Felix [C]"/>
    <m/>
  </r>
  <r>
    <x v="0"/>
    <m/>
    <s v="Timesheets"/>
    <d v="2022-03-04T00:00:00"/>
    <x v="5"/>
    <d v="1899-12-30T00:00:00"/>
    <d v="1899-12-30T00:00:00"/>
    <n v="-144"/>
    <s v="Reta, Felix [C]"/>
    <m/>
  </r>
  <r>
    <x v="0"/>
    <m/>
    <s v="Timesheets"/>
    <d v="2022-03-11T00:00:00"/>
    <x v="5"/>
    <d v="1899-12-30T00:00:00"/>
    <d v="1899-12-30T00:00:00"/>
    <n v="-312"/>
    <s v="Reta, Felix [C]"/>
    <m/>
  </r>
  <r>
    <x v="0"/>
    <m/>
    <s v="Timesheets"/>
    <d v="2022-03-04T00:00:00"/>
    <x v="6"/>
    <d v="1899-12-30T00:00:00"/>
    <d v="1899-12-30T00:00:00"/>
    <n v="72"/>
    <s v="Reta, Felix [C]"/>
    <m/>
  </r>
  <r>
    <x v="0"/>
    <s v="Internet"/>
    <s v="☮ ⛵ Testing 1 2 3 action: Deleted"/>
    <d v="2022-02-28T00:00:00"/>
    <x v="7"/>
    <d v="1899-12-30T00:00:00"/>
    <d v="1899-12-30T00:00:00"/>
    <n v="0"/>
    <s v="Reta, Felix [C]"/>
    <m/>
  </r>
  <r>
    <x v="1"/>
    <s v="Projects"/>
    <s v="R.A.: Reta, Felix #390201 PA#: 505898, 50801 Computershare Inc, REQ_Aspect Developer"/>
    <d v="2022-02-25T00:00:00"/>
    <x v="8"/>
    <d v="1899-12-30T00:00:00"/>
    <d v="1899-12-30T00:00:00"/>
    <n v="96"/>
    <s v="Reta, Felix [C]"/>
    <m/>
  </r>
  <r>
    <x v="0"/>
    <s v="Clients"/>
    <s v="Waterfield timesheet items"/>
    <d v="2022-03-01T00:00:00"/>
    <x v="9"/>
    <d v="1899-12-30T00:00:00"/>
    <d v="1899-12-30T00:00:00"/>
    <n v="72"/>
    <s v="Reta, Felix [C]"/>
    <m/>
  </r>
  <r>
    <x v="2"/>
    <s v="Projects"/>
    <s v="Camis 505017 - WFM project - Optimization workshop"/>
    <d v="2022-03-09T00:00:00"/>
    <x v="10"/>
    <d v="1899-12-30T00:00:00"/>
    <d v="1899-12-30T00:00:00"/>
    <n v="144"/>
    <s v="Reta, Felix [C]"/>
    <m/>
  </r>
  <r>
    <x v="3"/>
    <s v="Projects"/>
    <s v="FW: R.A.: Reta, Felix #390767 PA#: 505909, 6970 M&amp;T Bank, REQ_Solutions Architect"/>
    <d v="2022-03-03T00:00:00"/>
    <x v="6"/>
    <d v="1899-12-30T00:00:00"/>
    <d v="1899-12-30T00:00:00"/>
    <n v="96"/>
    <s v="Reta, Felix [C]"/>
    <m/>
  </r>
  <r>
    <x v="3"/>
    <s v="Projects"/>
    <s v="3.4 Emailed Linda Hottum cust. PM 505909 M&amp;T Bank certs"/>
    <d v="2022-03-09T00:00:00"/>
    <x v="11"/>
    <d v="1899-12-30T00:00:00"/>
    <d v="1899-12-30T00:00:00"/>
    <n v="168"/>
    <s v="Reta, Felix [C]"/>
    <m/>
  </r>
  <r>
    <x v="0"/>
    <m/>
    <s v="Schedule meeting with customer: subject: Scheduling your workshop."/>
    <d v="2022-03-09T00:00:00"/>
    <x v="12"/>
    <d v="1899-12-30T00:00:00"/>
    <d v="1899-12-30T00:00:00"/>
    <n v="0"/>
    <s v="Reta, Felix [C]"/>
    <m/>
  </r>
  <r>
    <x v="4"/>
    <s v="Projects"/>
    <s v="Final task, 5 days GC for United Biosource LLC : 505453 United BioSource Corp.-WFM Hosted Upgrade 8.3 to 21"/>
    <d v="2022-03-11T00:00:00"/>
    <x v="13"/>
    <d v="1899-12-30T00:00:00"/>
    <d v="1899-12-30T00:00:00"/>
    <n v="0"/>
    <s v="Reta, Felix [C]"/>
    <m/>
  </r>
  <r>
    <x v="4"/>
    <s v="Projects"/>
    <s v="[EXTERNAL]Final task, 5 days GC for United Biosource LLC : 505453 United BioSource Corp.-WFM Hosted Upgrade 8.3 to 21"/>
    <d v="2022-03-11T00:00:00"/>
    <x v="14"/>
    <d v="1899-12-30T00:00:00"/>
    <d v="1899-12-30T00:00:00"/>
    <n v="264"/>
    <s v="Reta, Felix [C]"/>
    <m/>
  </r>
  <r>
    <x v="0"/>
    <s v="Manager"/>
    <s v="Timesheets"/>
    <d v="2022-03-11T00:00:00"/>
    <x v="13"/>
    <d v="1899-12-30T00:00:00"/>
    <d v="1899-12-30T00:00:00"/>
    <n v="0"/>
    <s v="Reta, Felix [C]"/>
    <m/>
  </r>
  <r>
    <x v="5"/>
    <s v="Projects"/>
    <s v="Ping April for  Project 505921 PNC Bank"/>
    <d v="2022-03-15T00:00:00"/>
    <x v="10"/>
    <d v="1899-12-30T00:00:00"/>
    <d v="1899-12-30T00:00:00"/>
    <n v="0"/>
    <s v="Reta, Felix [C]"/>
    <m/>
  </r>
  <r>
    <x v="1"/>
    <s v="Projects"/>
    <s v="RE: Kick off development for UNIFIED IP™ SCREEN POP APPLICATION FOR SAGENT [505898] Adjusted to client MT"/>
    <d v="2022-03-14T00:00:00"/>
    <x v="15"/>
    <d v="1899-12-30T00:00:00"/>
    <d v="1899-12-30T00:00:00"/>
    <n v="0"/>
    <s v="Reta, Felix [C]"/>
    <m/>
  </r>
  <r>
    <x v="0"/>
    <s v="Projects"/>
    <s v="Sales to Implementation Kickoff Ring LLC action: from Inbox"/>
    <d v="2022-03-14T00:00:00"/>
    <x v="15"/>
    <d v="1899-12-30T00:00:00"/>
    <d v="1899-12-30T00:00:00"/>
    <n v="0"/>
    <s v="Reta, Felix [C]"/>
    <m/>
  </r>
  <r>
    <x v="5"/>
    <s v="Projects"/>
    <s v="RE: PNC Technical meeting ACD Historical and RTA feeds into WFM [505921]"/>
    <d v="2022-03-14T00:00:00"/>
    <x v="15"/>
    <d v="1899-12-30T00:00:00"/>
    <d v="1899-12-30T00:00:00"/>
    <n v="0"/>
    <s v="Reta, Felix [C]"/>
    <m/>
  </r>
  <r>
    <x v="3"/>
    <s v="Projects"/>
    <s v="RE: Updating UIP Call Center server SSL Certificates, Alvaria Case 01212743 [505909]"/>
    <d v="2022-03-15T00:00:00"/>
    <x v="10"/>
    <d v="1899-12-30T00:00:00"/>
    <d v="1899-12-30T00:00:00"/>
    <n v="0"/>
    <s v="Reta, Felix [C]"/>
    <m/>
  </r>
  <r>
    <x v="0"/>
    <s v="Projects"/>
    <s v="FW: Scheduling your multichannel workshop. [504133 HGS USA - WFM 8.1 to 18.x Upgrade]"/>
    <d v="2022-03-15T00:00:00"/>
    <x v="16"/>
    <d v="1899-12-30T00:00:00"/>
    <d v="1899-12-30T00:00:00"/>
    <n v="216"/>
    <s v="Reta, Felix [C]"/>
    <m/>
  </r>
  <r>
    <x v="0"/>
    <s v="Projects"/>
    <s v="INTERNAL - ICBC Cutover Planning and Readiness action: from Inbox"/>
    <d v="2022-03-15T00:00:00"/>
    <x v="17"/>
    <d v="1899-12-30T00:00:00"/>
    <d v="1899-12-30T00:00:00"/>
    <n v="48"/>
    <s v="Reta, Felix [C]"/>
    <m/>
  </r>
  <r>
    <x v="5"/>
    <s v="Projects"/>
    <s v="RE: PNC Technical meeting ACD Historical and RTA feeds into WFM [505921]"/>
    <d v="2022-03-15T00:00:00"/>
    <x v="17"/>
    <d v="1899-12-30T00:00:00"/>
    <d v="1899-12-30T00:00:00"/>
    <n v="48"/>
    <s v="Reta, Felix [C]"/>
    <m/>
  </r>
  <r>
    <x v="3"/>
    <s v="Projects"/>
    <s v="FW: Updating UIP Call Center server SSL Certificates, Alvaria Case 01212743 [505909]"/>
    <d v="2022-03-16T00:00:00"/>
    <x v="11"/>
    <d v="1899-12-30T00:00:00"/>
    <d v="1899-12-30T00:00:00"/>
    <n v="0"/>
    <s v="Reta, Felix [C]"/>
    <m/>
  </r>
  <r>
    <x v="3"/>
    <s v="Projects"/>
    <s v="RE: Updating UIP Call Center server SSL Certificates, Alvaria Case 01212743 [505909]"/>
    <d v="2022-03-16T00:00:00"/>
    <x v="17"/>
    <d v="1899-12-30T00:00:00"/>
    <d v="1899-12-30T00:00:00"/>
    <n v="24"/>
    <s v="Reta, Felix [C]"/>
    <m/>
  </r>
  <r>
    <x v="5"/>
    <s v="Projects"/>
    <s v="RE: Alvaria / Aspect Resource &amp; Workset for PNC [505921]"/>
    <d v="2022-03-16T00:00:00"/>
    <x v="11"/>
    <d v="1899-12-30T00:00:00"/>
    <d v="1899-12-30T00:00:00"/>
    <n v="0"/>
    <s v="Reta, Felix [C]"/>
    <m/>
  </r>
  <r>
    <x v="0"/>
    <s v="Internet"/>
    <s v="Xpress"/>
    <d v="2022-03-16T00:00:00"/>
    <x v="17"/>
    <d v="1899-12-30T00:00:00"/>
    <d v="1899-12-30T00:00:00"/>
    <n v="24"/>
    <s v="Reta, Felix [C]"/>
    <m/>
  </r>
  <r>
    <x v="6"/>
    <s v="Projects"/>
    <s v="RE: R.A.: Reta, Felix #391905 PA#: 505926, 6881 AFNI Inc, REQ_WFM IC"/>
    <d v="2022-03-17T00:00:00"/>
    <x v="18"/>
    <d v="1899-12-30T00:00:00"/>
    <d v="1899-12-30T00:00:00"/>
    <n v="96"/>
    <s v="Reta, Felix [C]"/>
    <m/>
  </r>
  <r>
    <x v="0"/>
    <s v="Projects"/>
    <s v="RE: PNC Bank WFM Report Customization"/>
    <d v="2022-03-17T00:00:00"/>
    <x v="18"/>
    <d v="1899-12-30T00:00:00"/>
    <d v="1899-12-30T00:00:00"/>
    <n v="96"/>
    <s v="Reta, Felix [C]"/>
    <m/>
  </r>
  <r>
    <x v="0"/>
    <m/>
    <s v="Issue S2I with team"/>
    <d v="2022-03-21T00:00:00"/>
    <x v="16"/>
    <d v="1899-12-30T00:00:00"/>
    <d v="1899-12-30T00:00:00"/>
    <n v="72"/>
    <s v="Reta, Felix [C]"/>
    <m/>
  </r>
  <r>
    <x v="0"/>
    <s v="Projects"/>
    <s v="RE: RFC0150306 Update UIP Millsboro certificates on 3/22 at 9:30 pm ET"/>
    <d v="2022-03-21T00:00:00"/>
    <x v="18"/>
    <d v="1899-12-30T00:00:00"/>
    <d v="1899-12-30T00:00:00"/>
    <n v="0"/>
    <s v="Reta, Felix [C]"/>
    <m/>
  </r>
  <r>
    <x v="0"/>
    <s v="Manager"/>
    <s v="Timesheets"/>
    <d v="2022-03-18T00:00:00"/>
    <x v="18"/>
    <d v="1899-12-30T00:00:00"/>
    <d v="1899-12-30T00:00:00"/>
    <n v="72"/>
    <s v="Reta, Felix [C]"/>
    <m/>
  </r>
  <r>
    <x v="5"/>
    <s v="Projects"/>
    <s v="505921 PNC Bank - PS, ACD Historical and RTA Feeds to WFM, Technical planning meeting cont..."/>
    <d v="2022-03-18T00:00:00"/>
    <x v="19"/>
    <d v="1899-12-30T00:00:00"/>
    <d v="1899-12-30T00:00:00"/>
    <n v="840"/>
    <s v="Reta, Felix [C]"/>
    <m/>
  </r>
  <r>
    <x v="4"/>
    <s v="Projects"/>
    <s v="RE: [EXTERNAL]Final task, 5 days GC for United Biosource LLC : 505453 United BioSource Corp.-WFM Hosted Upgrade 8.3 to 21"/>
    <d v="2022-03-21T00:00:00"/>
    <x v="14"/>
    <d v="1899-12-30T00:00:00"/>
    <d v="1899-12-30T00:00:00"/>
    <n v="24"/>
    <s v="Reta, Felix [C]"/>
    <m/>
  </r>
  <r>
    <x v="4"/>
    <s v="Projects"/>
    <s v="RE: R.A.: Reta, Felix #391173 PA#: 505453, 50119 United Biosource LLC, Biggs, Tumoyia R"/>
    <d v="2022-03-21T00:00:00"/>
    <x v="18"/>
    <d v="1899-12-30T00:00:00"/>
    <d v="1899-12-30T00:00:00"/>
    <n v="0"/>
    <s v="Reta, Felix [C]"/>
    <m/>
  </r>
  <r>
    <x v="2"/>
    <s v="Projects"/>
    <s v="RE: Camis 505017 - WFM project - Optimization workshop"/>
    <d v="2022-03-22T00:00:00"/>
    <x v="20"/>
    <d v="1899-12-30T00:00:00"/>
    <d v="1899-12-30T00:00:00"/>
    <n v="912"/>
    <s v="Reta, Felix [C]"/>
    <m/>
  </r>
  <r>
    <x v="4"/>
    <s v="Projects"/>
    <s v="RE: [EXTERNAL]Final task, 5 days GC for United Biosource LLC : 505453 United BioSource Corp.-WFM Hosted Upgrade 8.3 to 21"/>
    <d v="2022-03-22T00:00:00"/>
    <x v="21"/>
    <d v="1899-12-30T00:00:00"/>
    <d v="1899-12-30T00:00:00"/>
    <n v="408"/>
    <s v="Reta, Felix [C]"/>
    <m/>
  </r>
  <r>
    <x v="2"/>
    <s v="Projects"/>
    <s v="505017 Camis (Credit Acceptance Corp) - WFM Upgrade 8.3- 20"/>
    <d v="2022-03-22T00:00:00"/>
    <x v="16"/>
    <d v="1899-12-30T00:00:00"/>
    <d v="1899-12-30T00:00:00"/>
    <n v="48"/>
    <s v="Reta, Felix [C]"/>
    <m/>
  </r>
  <r>
    <x v="5"/>
    <s v="Projects"/>
    <s v="FW: 505921 PNC Bank - PS, ACD Historical and RTA Feeds to WFM, Technical planning meeting cont..."/>
    <d v="2022-03-22T00:00:00"/>
    <x v="14"/>
    <d v="1899-12-30T00:00:00"/>
    <d v="1899-12-30T00:00:00"/>
    <n v="0"/>
    <s v="Reta, Felix [C]"/>
    <m/>
  </r>
  <r>
    <x v="5"/>
    <s v="Projects"/>
    <s v="RE: 505921 PNC Bank - PS, ACD Historical and RTA Feeds to WFM, Technical planning meeting cont..."/>
    <d v="2022-03-22T00:00:00"/>
    <x v="16"/>
    <d v="1899-12-30T00:00:00"/>
    <d v="1899-12-30T00:00:00"/>
    <n v="48"/>
    <s v="Reta, Felix [C]"/>
    <m/>
  </r>
  <r>
    <x v="0"/>
    <s v="Projects"/>
    <s v="RFC0150306 Update UIP Millsboro certificates on 3/22 at 9:30 pm ET"/>
    <d v="2022-03-23T00:00:00"/>
    <x v="22"/>
    <d v="1899-12-30T00:00:00"/>
    <d v="1899-12-30T00:00:00"/>
    <n v="144"/>
    <s v="Reta, Felix [C]"/>
    <m/>
  </r>
  <r>
    <x v="0"/>
    <m/>
    <s v="Set up NS/SF"/>
    <d v="2022-03-24T00:00:00"/>
    <x v="16"/>
    <d v="1899-12-30T00:00:00"/>
    <d v="1899-12-30T00:00:00"/>
    <n v="0"/>
    <s v="Reta, Felix [C]"/>
    <m/>
  </r>
  <r>
    <x v="5"/>
    <s v="Projects"/>
    <s v="RE: 505921 PNC Bank - PS, ACD Historical and RTA Feeds to WFM, Technical planning meeting cont..."/>
    <d v="2022-03-24T00:00:00"/>
    <x v="16"/>
    <d v="1899-12-30T00:00:00"/>
    <d v="1899-12-30T00:00:00"/>
    <n v="0"/>
    <s v="Reta, Felix [C]"/>
    <m/>
  </r>
  <r>
    <x v="0"/>
    <m/>
    <s v="3/24/2022 Dan Upton timesheet approval for 3hr 3/14 ,16,17. I can vouch for the 15 &amp; 17th when we kicked off &amp; continued tech discussions"/>
    <d v="2022-03-24T00:00:00"/>
    <x v="23"/>
    <d v="1899-12-30T00:00:00"/>
    <d v="1899-12-30T00:00:00"/>
    <n v="96"/>
    <s v="Reta, Felix [C]"/>
    <m/>
  </r>
  <r>
    <x v="0"/>
    <s v="Projects"/>
    <s v="Please provide with email chain with PNC Joseph Lewandowski. Case 01253102"/>
    <d v="2022-03-24T00:00:00"/>
    <x v="16"/>
    <d v="1899-12-30T00:00:00"/>
    <d v="1899-12-30T00:00:00"/>
    <n v="0"/>
    <s v="Reta, Felix [C]"/>
    <m/>
  </r>
  <r>
    <x v="0"/>
    <s v="Projects"/>
    <s v="ACD feed ticket 01253102."/>
    <d v="2022-03-24T00:00:00"/>
    <x v="16"/>
    <d v="1899-12-30T00:00:00"/>
    <d v="1899-12-30T00:00:00"/>
    <n v="0"/>
    <s v="Reta, Felix [C]"/>
    <m/>
  </r>
  <r>
    <x v="0"/>
    <s v="Manager"/>
    <s v="Timesheets"/>
    <d v="2022-03-25T00:00:00"/>
    <x v="23"/>
    <d v="1899-12-30T00:00:00"/>
    <d v="1899-12-30T00:00:00"/>
    <n v="72"/>
    <s v="Reta, Felix [C]"/>
    <m/>
  </r>
  <r>
    <x v="0"/>
    <s v="Projects"/>
    <s v="Practice QTR PS Forecast review"/>
    <d v="2022-03-17T00:00:00"/>
    <x v="23"/>
    <d v="1899-12-30T00:00:00"/>
    <d v="1899-12-30T00:00:00"/>
    <n v="264"/>
    <s v="Reta, Felix [C]"/>
    <m/>
  </r>
  <r>
    <x v="0"/>
    <s v="Projects"/>
    <s v="RE: PNC; Cloud adapter project touchpoint"/>
    <d v="2022-03-28T00:00:00"/>
    <x v="24"/>
    <d v="1899-12-30T00:00:00"/>
    <d v="1899-12-30T00:00:00"/>
    <n v="336"/>
    <s v="Reta, Felix [C]"/>
    <m/>
  </r>
  <r>
    <x v="6"/>
    <s v="Projects"/>
    <s v="RE: 505926 AFNI Workforce expansion, Internal S2I meeting"/>
    <d v="2022-03-29T00:00:00"/>
    <x v="22"/>
    <d v="1899-12-30T00:00:00"/>
    <d v="1899-12-30T00:00:00"/>
    <n v="0"/>
    <s v="Reta, Felix [C]"/>
    <m/>
  </r>
  <r>
    <x v="7"/>
    <s v="Projects"/>
    <s v="Please assign me to transitioned projects from Deb 505845 CAC, 505563 JetBlue"/>
    <d v="2022-03-29T00:00:00"/>
    <x v="22"/>
    <d v="1899-12-30T00:00:00"/>
    <d v="1899-12-30T00:00:00"/>
    <n v="0"/>
    <s v="Reta, Felix [C]"/>
    <m/>
  </r>
  <r>
    <x v="7"/>
    <s v="Projects"/>
    <s v="RE: Please assign me to transitioned projects from Deb 505845 CAC, 505563 JetBlue"/>
    <d v="2022-03-29T00:00:00"/>
    <x v="22"/>
    <d v="1899-12-30T00:00:00"/>
    <d v="1899-12-30T00:00:00"/>
    <n v="0"/>
    <s v="Reta, Felix [C]"/>
    <m/>
  </r>
  <r>
    <x v="0"/>
    <s v="Projects"/>
    <s v="RE: Template to Use Below - FW: Closing Project Process Question"/>
    <d v="2022-03-29T00:00:00"/>
    <x v="24"/>
    <d v="1899-12-30T00:00:00"/>
    <d v="1899-12-30T00:00:00"/>
    <n v="312"/>
    <s v="Reta, Felix [C]"/>
    <m/>
  </r>
  <r>
    <x v="0"/>
    <m/>
    <s v="Emailed Adam AFNI, fup"/>
    <d v="2022-03-31T00:00:00"/>
    <x v="22"/>
    <d v="1899-12-30T00:00:00"/>
    <d v="1899-12-30T00:00:00"/>
    <n v="-48"/>
    <s v="Reta, Felix [C]"/>
    <m/>
  </r>
  <r>
    <x v="6"/>
    <s v="Projects"/>
    <s v="Project 505926 AFNI Workforce expansion ACD &amp; RTA feeds to Cisco UCCE."/>
    <d v="2022-03-29T00:00:00"/>
    <x v="25"/>
    <d v="1899-12-30T00:00:00"/>
    <d v="1899-12-30T00:00:00"/>
    <n v="72"/>
    <s v="Reta, Felix [C]"/>
    <m/>
  </r>
  <r>
    <x v="0"/>
    <s v="Projects"/>
    <s v="Closing project, cont..."/>
    <d v="2022-03-29T00:00:00"/>
    <x v="22"/>
    <d v="1899-12-30T00:00:00"/>
    <d v="1899-12-30T00:00:00"/>
    <n v="0"/>
    <s v="Reta, Felix [C]"/>
    <m/>
  </r>
  <r>
    <x v="6"/>
    <s v="Projects"/>
    <s v="Project 505926 AFNI Workforce expansion ACD &amp; RTA feeds to Cisco UCCE [Kickoff]"/>
    <d v="2022-03-29T00:00:00"/>
    <x v="25"/>
    <d v="1899-12-30T00:00:00"/>
    <d v="1899-12-30T00:00:00"/>
    <n v="72"/>
    <s v="Reta, Felix [C]"/>
    <m/>
  </r>
  <r>
    <x v="0"/>
    <m/>
    <s v="30 days APS Go Live"/>
    <d v="2022-03-30T00:00:00"/>
    <x v="26"/>
    <d v="1899-12-30T00:00:00"/>
    <d v="1899-12-30T00:00:00"/>
    <n v="120"/>
    <s v="Reta, Felix [C]"/>
    <m/>
  </r>
  <r>
    <x v="0"/>
    <s v="Projects"/>
    <s v="RE: Weekly Project Status Meeting JetBlue/Alvaria "/>
    <d v="2022-03-30T00:00:00"/>
    <x v="27"/>
    <d v="1899-12-30T00:00:00"/>
    <d v="1899-12-30T00:00:00"/>
    <n v="168"/>
    <s v="Reta, Felix [C]"/>
    <m/>
  </r>
  <r>
    <x v="5"/>
    <s v="Projects"/>
    <s v="505921 PNC Bank - PS, ACD Historical and RTA Feeds to WFM [Completion notice]"/>
    <d v="2022-03-30T00:00:00"/>
    <x v="24"/>
    <d v="1899-12-30T00:00:00"/>
    <d v="1899-12-30T00:00:00"/>
    <n v="288"/>
    <s v="Reta, Felix [C]"/>
    <m/>
  </r>
  <r>
    <x v="3"/>
    <s v="Projects"/>
    <s v="505909 M&amp;T - Case 01212743- UIP Certs Expiring"/>
    <d v="2022-03-30T00:00:00"/>
    <x v="28"/>
    <d v="1899-12-30T00:00:00"/>
    <d v="1899-12-30T00:00:00"/>
    <n v="360"/>
    <s v="Reta, Felix [C]"/>
    <m/>
  </r>
  <r>
    <x v="6"/>
    <s v="Projects"/>
    <s v="RE: Project 505926 AFNI Workforce expansion ACD &amp; RTA feeds to Cisco UCCE [Kickoff]"/>
    <d v="2022-04-01T00:00:00"/>
    <x v="24"/>
    <d v="1899-12-30T00:00:00"/>
    <d v="1899-12-30T00:00:00"/>
    <n v="240"/>
    <s v="Reta, Felix [C]"/>
    <m/>
  </r>
  <r>
    <x v="8"/>
    <s v="Projects"/>
    <s v="505936 -Synnex - Dell - Accenture - WFM Upgrade V19- V21.1"/>
    <d v="2022-04-01T00:00:00"/>
    <x v="29"/>
    <d v="1899-12-30T00:00:00"/>
    <d v="1899-12-30T00:00:00"/>
    <n v="96"/>
    <s v="Reta, Felix [C]"/>
    <m/>
  </r>
  <r>
    <x v="0"/>
    <s v="Manager"/>
    <s v="Timesheets"/>
    <d v="2022-04-01T00:00:00"/>
    <x v="26"/>
    <d v="1899-12-30T00:00:00"/>
    <d v="1899-12-30T00:00:00"/>
    <n v="72"/>
    <s v="Reta, Felix [C]"/>
    <m/>
  </r>
  <r>
    <x v="0"/>
    <s v="Projects"/>
    <s v="RE: Browser Standardization | Bowser Extension SCripts"/>
    <d v="2022-04-04T00:00:00"/>
    <x v="30"/>
    <d v="1899-12-30T00:00:00"/>
    <d v="1899-12-30T00:00:00"/>
    <n v="192"/>
    <s v="Reta, Felix [C]"/>
    <m/>
  </r>
  <r>
    <x v="0"/>
    <s v="Projects"/>
    <s v="Practice QTR PS Forecast review"/>
    <d v="2022-03-24T00:00:00"/>
    <x v="31"/>
    <d v="1899-12-30T00:00:00"/>
    <d v="1899-12-30T00:00:00"/>
    <n v="336"/>
    <s v="Reta, Felix [C]"/>
    <m/>
  </r>
  <r>
    <x v="0"/>
    <m/>
    <s v="S2I meeting, SA, April Bock"/>
    <d v="2022-04-11T00:00:00"/>
    <x v="31"/>
    <d v="1899-12-30T00:00:00"/>
    <d v="1899-12-30T00:00:00"/>
    <n v="-96"/>
    <s v="Reta, Felix [C]"/>
    <m/>
  </r>
  <r>
    <x v="9"/>
    <s v="Projects"/>
    <s v="FW: WFM Segment Export/Email testing [505845]"/>
    <d v="2022-04-05T00:00:00"/>
    <x v="31"/>
    <d v="1899-12-30T00:00:00"/>
    <d v="1899-12-30T00:00:00"/>
    <n v="48"/>
    <s v="Reta, Felix [C]"/>
    <m/>
  </r>
  <r>
    <x v="0"/>
    <s v="Appointment"/>
    <s v="Employee Mandatory Compliance Training"/>
    <d v="2022-05-19T00:00:00"/>
    <x v="32"/>
    <d v="1899-12-30T00:00:00"/>
    <d v="1899-12-30T00:00:00"/>
    <n v="144"/>
    <s v="Reta, Felix [C]"/>
    <m/>
  </r>
  <r>
    <x v="4"/>
    <s v="Projects"/>
    <s v="RE: R.A.: Reta, Felix #391173 PA#: 505453, 50119 United Biosource LLC"/>
    <d v="2022-04-05T00:00:00"/>
    <x v="31"/>
    <d v="1899-12-30T00:00:00"/>
    <d v="1899-12-30T00:00:00"/>
    <n v="48"/>
    <s v="Reta, Felix [C]"/>
    <m/>
  </r>
  <r>
    <x v="0"/>
    <m/>
    <s v="3.30 email to Richard &amp; Joseph to sign completion notice, fup reply"/>
    <d v="2022-04-07T00:00:00"/>
    <x v="19"/>
    <d v="1899-12-30T00:00:00"/>
    <d v="1899-12-30T00:00:00"/>
    <n v="360"/>
    <s v="Reta, Felix [C]"/>
    <m/>
  </r>
  <r>
    <x v="8"/>
    <s v="Projects"/>
    <s v="505936 -Synnex - Dell - Accenture - WFM Upgrade V19- V21.1 Client briefing."/>
    <d v="2022-04-06T00:00:00"/>
    <x v="21"/>
    <d v="1899-12-30T00:00:00"/>
    <d v="1899-12-30T00:00:00"/>
    <n v="48"/>
    <s v="Reta, Felix [C]"/>
    <m/>
  </r>
  <r>
    <x v="0"/>
    <s v="Projects"/>
    <s v="RE: PNC Bank ACD add"/>
    <d v="2022-04-07T00:00:00"/>
    <x v="21"/>
    <d v="1899-12-30T00:00:00"/>
    <d v="1899-12-30T00:00:00"/>
    <n v="24"/>
    <s v="Reta, Felix [C]"/>
    <m/>
  </r>
  <r>
    <x v="2"/>
    <s v="Projects"/>
    <s v="505017 Camis Lori requested reminder end of April"/>
    <d v="2022-05-06T00:00:00"/>
    <x v="33"/>
    <d v="1899-12-30T00:00:00"/>
    <d v="1899-12-30T00:00:00"/>
    <n v="168"/>
    <s v="Reta, Felix [C]"/>
    <m/>
  </r>
  <r>
    <x v="9"/>
    <m/>
    <s v="505845 CAC Issue meeting to formulate CR reqs with Dan Upton, Steve Beal and April"/>
    <d v="2022-04-08T00:00:00"/>
    <x v="34"/>
    <d v="1899-12-30T00:00:00"/>
    <d v="1899-12-30T00:00:00"/>
    <n v="240"/>
    <s v="Reta, Felix [C]"/>
    <m/>
  </r>
  <r>
    <x v="0"/>
    <m/>
    <s v="Adam sent Cisco file to April, fup"/>
    <d v="2022-04-11T00:00:00"/>
    <x v="35"/>
    <d v="1899-12-30T00:00:00"/>
    <d v="1899-12-30T00:00:00"/>
    <n v="48"/>
    <s v="Reta, Felix [C]"/>
    <m/>
  </r>
  <r>
    <x v="5"/>
    <s v="Projects"/>
    <s v="PNC closing [505921]"/>
    <d v="2022-04-11T00:00:00"/>
    <x v="19"/>
    <d v="1899-12-30T00:00:00"/>
    <d v="1899-12-30T00:00:00"/>
    <n v="264"/>
    <s v="Reta, Felix [C]"/>
    <m/>
  </r>
  <r>
    <x v="0"/>
    <s v="Manager"/>
    <s v="Timesheets"/>
    <d v="2022-04-08T00:00:00"/>
    <x v="24"/>
    <d v="1899-12-30T00:00:00"/>
    <d v="1899-12-30T00:00:00"/>
    <n v="72"/>
    <s v="Reta, Felix [C]"/>
    <m/>
  </r>
  <r>
    <x v="3"/>
    <s v="Projects"/>
    <s v="Closing 505909 M&amp;T Bank certs"/>
    <d v="2022-04-11T00:00:00"/>
    <x v="35"/>
    <d v="1899-12-30T00:00:00"/>
    <d v="1899-12-30T00:00:00"/>
    <n v="48"/>
    <s v="Reta, Felix [C]"/>
    <m/>
  </r>
  <r>
    <x v="0"/>
    <s v="Projects"/>
    <s v="Practice QTR PS Forecast review"/>
    <d v="2022-03-31T00:00:00"/>
    <x v="24"/>
    <d v="1899-12-30T00:00:00"/>
    <d v="1899-12-30T00:00:00"/>
    <n v="264"/>
    <s v="Reta, Felix [C]"/>
    <m/>
  </r>
  <r>
    <x v="8"/>
    <s v="Projects"/>
    <s v="R.A.: Reta, Felix #392592 PA#: 505936, 38389 TD SYNNEX Corporation, REQ_WFM BAC"/>
    <d v="2022-04-11T00:00:00"/>
    <x v="34"/>
    <d v="1899-12-30T00:00:00"/>
    <d v="1899-12-30T00:00:00"/>
    <n v="168"/>
    <s v="Reta, Felix [C]"/>
    <m/>
  </r>
  <r>
    <x v="0"/>
    <m/>
    <s v="Close Milestone 1, initiation"/>
    <d v="2022-04-14T00:00:00"/>
    <x v="3"/>
    <d v="1899-12-30T00:00:00"/>
    <d v="1899-12-30T00:00:00"/>
    <n v="120"/>
    <s v="Reta, Felix [C]"/>
    <m/>
  </r>
  <r>
    <x v="6"/>
    <s v="Projects"/>
    <s v="Workshop Project 505926 AFNI Workforce expansion ACD &amp; RTA feeds to Cisco UCCE"/>
    <d v="2022-04-12T00:00:00"/>
    <x v="36"/>
    <d v="1899-12-30T00:00:00"/>
    <d v="1899-12-30T00:00:00"/>
    <n v="480"/>
    <s v="Reta, Felix [C]"/>
    <m/>
  </r>
  <r>
    <x v="6"/>
    <s v="Projects"/>
    <s v="Resource Allocation Approved (Resource: Biggs, Tumoyia R) [505926, 6881 AFNI Inc,]"/>
    <d v="2022-04-13T00:00:00"/>
    <x v="37"/>
    <d v="1899-12-30T00:00:00"/>
    <d v="1899-12-30T00:00:00"/>
    <n v="48"/>
    <s v="Reta, Felix [C]"/>
    <m/>
  </r>
  <r>
    <x v="6"/>
    <s v="Projects"/>
    <s v="Project 505926 AFNI Workforce expansion ACD &amp; RTA feeds to Cisco UCCE"/>
    <d v="2022-04-13T00:00:00"/>
    <x v="38"/>
    <d v="1899-12-30T00:00:00"/>
    <d v="1899-12-30T00:00:00"/>
    <n v="192"/>
    <s v="Reta, Felix [C]"/>
    <m/>
  </r>
  <r>
    <x v="10"/>
    <s v="Projects"/>
    <s v="FW: Alvaria Workforce DR VM Move SOW [505971 Assurant full reinstall]"/>
    <d v="2022-04-13T00:00:00"/>
    <x v="28"/>
    <d v="1899-12-30T00:00:00"/>
    <d v="1899-12-30T00:00:00"/>
    <n v="24"/>
    <s v="Reta, Felix [C]"/>
    <m/>
  </r>
  <r>
    <x v="6"/>
    <s v="Projects"/>
    <s v="RE: [EXTERNAL]RE: [EXTERNAL]Project 505926 AFNI Workforce expansion ACD &amp; RTA feeds to Cisco UCCE"/>
    <d v="2022-04-13T00:00:00"/>
    <x v="38"/>
    <d v="1899-12-30T00:00:00"/>
    <d v="1899-12-30T00:00:00"/>
    <n v="192"/>
    <s v="Reta, Felix [C]"/>
    <m/>
  </r>
  <r>
    <x v="11"/>
    <s v="Projects"/>
    <s v="505955 Screen scraper upgrade."/>
    <d v="2022-04-13T00:00:00"/>
    <x v="35"/>
    <d v="1899-12-30T00:00:00"/>
    <d v="1899-12-30T00:00:00"/>
    <n v="0"/>
    <s v="Reta, Felix [C]"/>
    <m/>
  </r>
  <r>
    <x v="0"/>
    <m/>
    <s v="UBC 4.7 Tumoyia scheduling, follow up completion "/>
    <d v="2022-04-18T00:00:00"/>
    <x v="39"/>
    <d v="1899-12-30T00:00:00"/>
    <d v="1899-12-30T00:00:00"/>
    <n v="216"/>
    <s v="Reta, Felix [C]"/>
    <m/>
  </r>
  <r>
    <x v="7"/>
    <s v="Projects"/>
    <s v="RE: CMS 19 Alignment [505563 -Jet Blue - Premise APM Upgrade to V.21]"/>
    <d v="2022-04-13T00:00:00"/>
    <x v="34"/>
    <d v="1899-12-30T00:00:00"/>
    <d v="1899-12-30T00:00:00"/>
    <n v="120"/>
    <s v="Reta, Felix [C]"/>
    <m/>
  </r>
  <r>
    <x v="0"/>
    <s v="Projects"/>
    <s v="Accepted: Question about CTI pulling calls action: From ItemSend ☮"/>
    <d v="2022-04-14T00:00:00"/>
    <x v="38"/>
    <d v="1899-12-30T00:00:00"/>
    <d v="1899-12-30T00:00:00"/>
    <n v="168"/>
    <s v="Reta, Felix [C]"/>
    <m/>
  </r>
  <r>
    <x v="7"/>
    <s v="Projects"/>
    <s v="Updated Project schedule [505563 -Jet Blue - Premise APM Upgrade to V.21]"/>
    <d v="2022-04-14T00:00:00"/>
    <x v="38"/>
    <d v="1899-12-30T00:00:00"/>
    <d v="1899-12-30T00:00:00"/>
    <n v="168"/>
    <s v="Reta, Felix [C]"/>
    <m/>
  </r>
  <r>
    <x v="9"/>
    <s v="Projects"/>
    <s v="505845 -Credit Acceptance Corp. - WFM/APM and AQM Upgrade to V21, Resource working hours per contract."/>
    <d v="2022-04-14T00:00:00"/>
    <x v="28"/>
    <d v="1899-12-30T00:00:00"/>
    <d v="1899-12-30T00:00:00"/>
    <n v="0"/>
    <s v="Reta, Felix [C]"/>
    <m/>
  </r>
  <r>
    <x v="12"/>
    <s v="Projects"/>
    <s v="505978 Rushmore - New AQM Server"/>
    <d v="2022-04-14T00:00:00"/>
    <x v="3"/>
    <d v="1899-12-30T00:00:00"/>
    <d v="1899-12-30T00:00:00"/>
    <n v="120"/>
    <s v="Reta, Felix [C]"/>
    <m/>
  </r>
  <r>
    <x v="10"/>
    <m/>
    <s v="505971 Assurant Meet with April on Friday 4.15"/>
    <d v="2022-04-15T00:00:00"/>
    <x v="3"/>
    <d v="1899-12-30T00:00:00"/>
    <d v="1899-12-30T00:00:00"/>
    <n v="96"/>
    <s v="Reta, Felix [C]"/>
    <m/>
  </r>
  <r>
    <x v="12"/>
    <s v="Projects"/>
    <s v="RE: 505978 Rushmore - New AQM Server [EXTERNAL]"/>
    <d v="2022-04-15T00:00:00"/>
    <x v="3"/>
    <d v="1899-12-30T00:00:00"/>
    <d v="1899-12-30T00:00:00"/>
    <n v="96"/>
    <s v="Reta, Felix [C]"/>
    <m/>
  </r>
  <r>
    <x v="0"/>
    <s v="Projects"/>
    <s v="RE: JB ODBC Drivers"/>
    <d v="2022-04-18T00:00:00"/>
    <x v="40"/>
    <d v="1899-12-30T00:00:00"/>
    <d v="1899-12-30T00:00:00"/>
    <n v="168"/>
    <s v="Reta, Felix [C]"/>
    <m/>
  </r>
  <r>
    <x v="7"/>
    <s v="Projects"/>
    <s v="FW: 4-13.22 Weekly Project Status Meeting JetBlue/Alvaria [505563]"/>
    <d v="2022-04-18T00:00:00"/>
    <x v="40"/>
    <d v="1899-12-30T00:00:00"/>
    <d v="1899-12-30T00:00:00"/>
    <n v="168"/>
    <s v="Reta, Felix [C]"/>
    <m/>
  </r>
  <r>
    <x v="7"/>
    <s v="Projects"/>
    <s v="FW: 4-13.22 Weekly Project Status Meeting JetBlue/Alvaria [505563]"/>
    <d v="2022-04-18T00:00:00"/>
    <x v="40"/>
    <d v="1899-12-30T00:00:00"/>
    <d v="1899-12-30T00:00:00"/>
    <n v="168"/>
    <s v="Reta, Felix [C]"/>
    <m/>
  </r>
  <r>
    <x v="9"/>
    <m/>
    <s v="505845 Confirm with client that space and visibility to AQM servers is in place for all 3 environments"/>
    <d v="2022-04-20T00:00:00"/>
    <x v="19"/>
    <d v="1899-12-30T00:00:00"/>
    <d v="1899-12-30T00:00:00"/>
    <n v="48"/>
    <s v="Reta, Felix [C]"/>
    <m/>
  </r>
  <r>
    <x v="9"/>
    <m/>
    <s v="505845 Schedule internal briefing chat with @April, @Steve, @Dan with assigned IC"/>
    <d v="2022-04-20T00:00:00"/>
    <x v="19"/>
    <d v="1899-12-30T00:00:00"/>
    <d v="1899-12-30T00:00:00"/>
    <n v="48"/>
    <s v="Reta, Felix [C]"/>
    <m/>
  </r>
  <r>
    <x v="0"/>
    <s v="Projects"/>
    <s v="FW: jetblue"/>
    <d v="2022-04-18T00:00:00"/>
    <x v="40"/>
    <d v="1899-12-30T00:00:00"/>
    <d v="1899-12-30T00:00:00"/>
    <n v="168"/>
    <s v="Reta, Felix [C]"/>
    <m/>
  </r>
  <r>
    <x v="6"/>
    <s v="Projects"/>
    <s v="Project 505926 AFNI Workforce expansion Workshop"/>
    <d v="2022-04-18T00:00:00"/>
    <x v="36"/>
    <d v="1899-12-30T00:00:00"/>
    <d v="1899-12-30T00:00:00"/>
    <n v="336"/>
    <s v="Reta, Felix [C]"/>
    <m/>
  </r>
  <r>
    <x v="0"/>
    <s v="Projects"/>
    <s v="Practice QTR PS Forecast review"/>
    <d v="2022-03-17T00:00:00"/>
    <x v="34"/>
    <d v="1899-12-30T00:00:00"/>
    <d v="1899-12-30T00:00:00"/>
    <n v="768"/>
    <s v="Reta, Felix [C]"/>
    <m/>
  </r>
  <r>
    <x v="9"/>
    <s v="Projects"/>
    <s v="Stereo support readiness for 505845 -Credit Acceptance Corp. - WFM/APM and AQM Upgrade to V21."/>
    <d v="2022-04-18T00:00:00"/>
    <x v="40"/>
    <d v="1899-12-30T00:00:00"/>
    <d v="1899-12-30T00:00:00"/>
    <n v="168"/>
    <s v="Reta, Felix [C]"/>
    <m/>
  </r>
  <r>
    <x v="0"/>
    <s v="Manager"/>
    <s v="Timesheets"/>
    <d v="2022-04-15T00:00:00"/>
    <x v="3"/>
    <d v="1899-12-30T00:00:00"/>
    <d v="1899-12-30T00:00:00"/>
    <n v="96"/>
    <s v="Reta, Felix [C]"/>
    <m/>
  </r>
  <r>
    <x v="0"/>
    <s v="Projects"/>
    <s v="Practice QTR PS Forecast review"/>
    <d v="2022-03-24T00:00:00"/>
    <x v="3"/>
    <d v="1899-12-30T00:00:00"/>
    <d v="1899-12-30T00:00:00"/>
    <n v="624"/>
    <s v="Reta, Felix [C]"/>
    <m/>
  </r>
  <r>
    <x v="12"/>
    <s v="Projects"/>
    <s v="RE: 505978 Rushmore - New AQM Server."/>
    <d v="2022-04-19T00:00:00"/>
    <x v="41"/>
    <d v="1899-12-30T00:00:00"/>
    <d v="1899-12-30T00:00:00"/>
    <n v="168"/>
    <s v="Reta, Felix [C]"/>
    <m/>
  </r>
  <r>
    <x v="0"/>
    <s v="Projects"/>
    <s v="Practice QTR PS Forecast review"/>
    <d v="2022-03-31T00:00:00"/>
    <x v="3"/>
    <d v="1899-12-30T00:00:00"/>
    <d v="1899-12-30T00:00:00"/>
    <n v="456"/>
    <s v="Reta, Felix [C]"/>
    <m/>
  </r>
  <r>
    <x v="9"/>
    <s v="Projects"/>
    <s v="RE: Stereo support readiness for 505845 -Credit Acceptance Corp. - WFM/APM and AQM Upgrade to V21."/>
    <d v="2022-04-20T00:00:00"/>
    <x v="19"/>
    <d v="1899-12-30T00:00:00"/>
    <d v="1899-12-30T00:00:00"/>
    <n v="48"/>
    <s v="Reta, Felix [C]"/>
    <m/>
  </r>
  <r>
    <x v="0"/>
    <s v="Projects"/>
    <s v="RE: CCI - Weekly Project Checkpoint"/>
    <d v="2022-04-20T00:00:00"/>
    <x v="19"/>
    <d v="1899-12-30T00:00:00"/>
    <d v="1899-12-30T00:00:00"/>
    <n v="48"/>
    <s v="Reta, Felix [C]"/>
    <m/>
  </r>
  <r>
    <x v="8"/>
    <s v="Projects"/>
    <s v="505936 -Synnex - Dell - Accenture - WFM Upgrade V19- V21.1 WORKSHOP"/>
    <d v="2022-04-20T00:00:00"/>
    <x v="42"/>
    <d v="1899-12-30T00:00:00"/>
    <d v="1899-12-30T00:00:00"/>
    <n v="312"/>
    <s v="Reta, Felix [C]"/>
    <m/>
  </r>
  <r>
    <x v="9"/>
    <s v="Projects"/>
    <s v="(Resource: REQ_UIP IC) for 505845 -Credit Acceptance Corp. - WFM/APM and AQM Upgrade to V21"/>
    <d v="2022-04-20T00:00:00"/>
    <x v="19"/>
    <d v="1899-12-30T00:00:00"/>
    <d v="1899-12-30T00:00:00"/>
    <n v="48"/>
    <s v="Reta, Felix [C]"/>
    <m/>
  </r>
  <r>
    <x v="9"/>
    <s v="Projects"/>
    <s v="RE: Stereo support readiness for 505845 -Credit Acceptance Corp. - WFM/APM and AQM Upgrade to V21."/>
    <d v="2022-04-20T00:00:00"/>
    <x v="38"/>
    <d v="1899-12-30T00:00:00"/>
    <d v="1899-12-30T00:00:00"/>
    <n v="24"/>
    <s v="Reta, Felix [C]"/>
    <m/>
  </r>
  <r>
    <x v="8"/>
    <s v="Projects"/>
    <s v="Re: File media WFM 21.1 for 505936 -Synnex - Dell - Accenture - WFM Upgrade V19- V21.1"/>
    <d v="2022-04-21T00:00:00"/>
    <x v="19"/>
    <d v="1899-12-30T00:00:00"/>
    <d v="1899-12-30T00:00:00"/>
    <n v="24"/>
    <s v="Reta, Felix [C]"/>
    <m/>
  </r>
  <r>
    <x v="0"/>
    <m/>
    <s v="4/21/2022 Order file media WFM 21.1"/>
    <d v="2022-04-22T00:00:00"/>
    <x v="19"/>
    <d v="1899-12-30T00:00:00"/>
    <d v="1899-12-30T00:00:00"/>
    <n v="0"/>
    <s v="Reta, Felix [C]"/>
    <m/>
  </r>
  <r>
    <x v="8"/>
    <s v="Projects"/>
    <s v="RE: Re: File media WFM 21.1 for 505936 -Synnex - Dell - Accenture - WFM Upgrade V19- V21.1"/>
    <d v="2022-04-21T00:00:00"/>
    <x v="39"/>
    <d v="1899-12-30T00:00:00"/>
    <d v="1899-12-30T00:00:00"/>
    <n v="144"/>
    <s v="Reta, Felix [C]"/>
    <m/>
  </r>
  <r>
    <x v="9"/>
    <s v="Projects"/>
    <s v="RE: R.A.: Reta, Felix #395033 PA#: 505845, 6167 Credit Acceptance Corp, REQ_UIP IC"/>
    <d v="2022-04-21T00:00:00"/>
    <x v="19"/>
    <d v="1899-12-30T00:00:00"/>
    <d v="1899-12-30T00:00:00"/>
    <n v="24"/>
    <s v="Reta, Felix [C]"/>
    <m/>
  </r>
  <r>
    <x v="8"/>
    <s v="Projects"/>
    <s v="FW: 505936 -Synnex - Dell - Accenture - WFM Upgrade V19- V21.1"/>
    <d v="2022-04-21T00:00:00"/>
    <x v="42"/>
    <d v="1899-12-30T00:00:00"/>
    <d v="1899-12-30T00:00:00"/>
    <n v="288"/>
    <s v="Reta, Felix [C]"/>
    <m/>
  </r>
  <r>
    <x v="0"/>
    <s v="Projects"/>
    <s v="Practice QTR PS Forecast review"/>
    <d v="2022-04-21T00:00:00"/>
    <x v="38"/>
    <d v="1899-12-30T00:00:00"/>
    <d v="1899-12-30T00:00:00"/>
    <n v="0"/>
    <s v="Reta, Felix [C]"/>
    <m/>
  </r>
  <r>
    <x v="9"/>
    <s v="Projects"/>
    <s v="BAC Transition for 505845 -Credit Acceptance Corp. - WFM/APM and AQM Upgrade to V21 action: From ItemSend ☮"/>
    <d v="2022-04-21T00:00:00"/>
    <x v="19"/>
    <d v="1899-12-30T00:00:00"/>
    <d v="1899-12-30T00:00:00"/>
    <n v="24"/>
    <s v="Reta, Felix [C]"/>
    <m/>
  </r>
  <r>
    <x v="12"/>
    <s v="Projects"/>
    <s v="505978 Rushmore - New AQM Server CERTS"/>
    <d v="2022-04-21T00:00:00"/>
    <x v="19"/>
    <d v="1899-12-30T00:00:00"/>
    <d v="1899-12-30T00:00:00"/>
    <n v="24"/>
    <s v="Reta, Felix [C]"/>
    <m/>
  </r>
  <r>
    <x v="0"/>
    <s v="Projects"/>
    <s v="RE: PM Feedback"/>
    <d v="2022-04-22T00:00:00"/>
    <x v="19"/>
    <d v="1899-12-30T00:00:00"/>
    <d v="1899-12-30T00:00:00"/>
    <n v="0"/>
    <s v="Reta, Felix [C]"/>
    <m/>
  </r>
  <r>
    <x v="0"/>
    <s v="Projects"/>
    <s v="RE: Synnex-Dell-Accenture- WFM Upgrade V19- V21.1 || Server Audit"/>
    <d v="2022-04-22T00:00:00"/>
    <x v="20"/>
    <d v="1899-12-30T00:00:00"/>
    <d v="1899-12-30T00:00:00"/>
    <n v="168"/>
    <s v="Reta, Felix [C]"/>
    <m/>
  </r>
  <r>
    <x v="9"/>
    <s v="Manager, Projects"/>
    <s v="CR002 Dev reset for [505845 -Credit Acceptance Corp. - WFM/APM and AQM Upgrade to V21"/>
    <d v="2022-04-22T00:00:00"/>
    <x v="20"/>
    <d v="1899-12-30T00:00:00"/>
    <d v="1899-12-30T00:00:00"/>
    <n v="168"/>
    <s v="Reta, Felix [C]"/>
    <m/>
  </r>
  <r>
    <x v="12"/>
    <s v="Projects"/>
    <s v="RE: 505978 Rushmore - New AQM Server CERTS [EXTERNAL]"/>
    <d v="2022-04-22T00:00:00"/>
    <x v="20"/>
    <d v="1899-12-30T00:00:00"/>
    <d v="1899-12-30T00:00:00"/>
    <n v="168"/>
    <s v="Reta, Felix [C]"/>
    <m/>
  </r>
  <r>
    <x v="9"/>
    <s v="Projects"/>
    <s v="RE: Change Request for 505845 -Credit Acceptance Corp. - WFM/APM and AQM Upgrade to V21"/>
    <d v="2022-04-22T00:00:00"/>
    <x v="20"/>
    <d v="1899-12-30T00:00:00"/>
    <d v="1899-12-30T00:00:00"/>
    <n v="168"/>
    <s v="Reta, Felix [C]"/>
    <m/>
  </r>
  <r>
    <x v="9"/>
    <s v="Projects"/>
    <s v="CR002 approval 505845 CAC"/>
    <d v="2022-04-22T00:00:00"/>
    <x v="20"/>
    <d v="1899-12-30T00:00:00"/>
    <d v="1899-12-30T00:00:00"/>
    <n v="168"/>
    <s v="Reta, Felix [C]"/>
    <m/>
  </r>
  <r>
    <x v="13"/>
    <s v="Projects"/>
    <s v="☮ ⛵ 505983 TD Auto Finance - AQM Certs 2022 ✈🕑"/>
    <d v="2022-04-22T00:00:00"/>
    <x v="40"/>
    <d v="1899-12-30T00:00:00"/>
    <d v="1899-12-30T00:00:00"/>
    <n v="72"/>
    <s v="Reta, Felix [C]"/>
    <m/>
  </r>
  <r>
    <x v="7"/>
    <s v="Projects"/>
    <s v="☮ ⛵ CMS 19 Alignment [505563 -Jet Blue - Premise APM Upgrade to V.21] ✈🕑"/>
    <d v="2022-04-22T00:00:00"/>
    <x v="36"/>
    <d v="1899-12-30T00:00:00"/>
    <d v="1899-12-30T00:00:00"/>
    <n v="240"/>
    <s v="Reta, Felix [C]"/>
    <m/>
  </r>
  <r>
    <x v="10"/>
    <s v="Projects"/>
    <s v="☮ ⛵ 505971 Assurant - Full Reinstall - PS only ✈🕑"/>
    <d v="2022-04-22T00:00:00"/>
    <x v="20"/>
    <d v="1899-12-30T00:00:00"/>
    <d v="1899-12-30T00:00:00"/>
    <n v="168"/>
    <s v="Reta, Felix [C]"/>
    <m/>
  </r>
  <r>
    <x v="0"/>
    <s v="Manager, Projects"/>
    <s v="☮ ⛵ RE: TD Bank Cert's - USAN resources ✈🕑"/>
    <d v="2022-04-25T00:00:00"/>
    <x v="40"/>
    <d v="1899-12-30T00:00:00"/>
    <d v="1899-12-30T00:00:00"/>
    <n v="0"/>
    <s v="Reta, Felix [C]"/>
    <m/>
  </r>
  <r>
    <x v="0"/>
    <s v="Manager"/>
    <s v="Timesheets"/>
    <d v="2022-04-22T00:00:00"/>
    <x v="40"/>
    <d v="1899-12-30T00:00:00"/>
    <d v="1899-12-30T00:00:00"/>
    <n v="72"/>
    <s v="Reta, Felix [C]"/>
    <m/>
  </r>
  <r>
    <x v="13"/>
    <s v="Projects"/>
    <s v="☮ ⛵ RE: TDA USAN Certs - CSRs  - Replacement - April 12, 2022 Expiration [505983 AQM] ✈🕑"/>
    <d v="2022-04-25T00:00:00"/>
    <x v="39"/>
    <d v="1899-12-30T00:00:00"/>
    <d v="1899-12-30T00:00:00"/>
    <n v="48"/>
    <s v="Reta, Felix [C]"/>
    <m/>
  </r>
  <r>
    <x v="6"/>
    <s v="Projects"/>
    <s v="☮ ⛵ RE: Project 505926 AFNI Workforce expansion Workshop ✈🕑"/>
    <d v="2022-04-25T00:00:00"/>
    <x v="36"/>
    <d v="1899-12-30T00:00:00"/>
    <d v="1899-12-30T00:00:00"/>
    <n v="168"/>
    <s v="Reta, Felix [C]"/>
    <m/>
  </r>
  <r>
    <x v="6"/>
    <s v="Projects"/>
    <s v="☮ ⛵ RE: Afni WFM Files [505926 AFNI ] ✈🕑"/>
    <d v="2022-04-25T00:00:00"/>
    <x v="36"/>
    <d v="1899-12-30T00:00:00"/>
    <d v="1899-12-30T00:00:00"/>
    <n v="168"/>
    <s v="Reta, Felix [C]"/>
    <m/>
  </r>
  <r>
    <x v="12"/>
    <s v="Projects"/>
    <s v="☮ ⛵ RE: 505978 Rushmore - New AQM Server CERTS [EXTERNAL] ✈🕑"/>
    <d v="2022-04-25T00:00:00"/>
    <x v="36"/>
    <d v="1899-12-30T00:00:00"/>
    <d v="1899-12-30T00:00:00"/>
    <n v="168"/>
    <s v="Reta, Felix [C]"/>
    <m/>
  </r>
  <r>
    <x v="12"/>
    <s v="Projects"/>
    <s v="☮ ⛵ RE: 505978 Rushmore - New AQM Server CERTS [EXTERNAL] ✈🕑"/>
    <d v="2022-04-25T00:00:00"/>
    <x v="36"/>
    <d v="1899-12-30T00:00:00"/>
    <d v="1899-12-30T00:00:00"/>
    <n v="168"/>
    <s v="Reta, Felix [C]"/>
    <m/>
  </r>
  <r>
    <x v="0"/>
    <s v="Projects"/>
    <s v="☮ ⛵ AQM Certificate Installation action: from Inbox ✈🕑"/>
    <d v="2022-04-25T00:00:00"/>
    <x v="36"/>
    <d v="1899-12-30T00:00:00"/>
    <d v="1899-12-30T00:00:00"/>
    <n v="168"/>
    <s v="Reta, Felix [C]"/>
    <m/>
  </r>
  <r>
    <x v="13"/>
    <s v="Projects"/>
    <s v="☮ ⛵ RE: 505983 TD Auto Finance - AQM Certs 2022 ✈🕑"/>
    <d v="2022-04-25T00:00:00"/>
    <x v="43"/>
    <d v="1899-12-30T00:00:00"/>
    <d v="1899-12-30T00:00:00"/>
    <n v="72"/>
    <s v="Reta, Felix [C]"/>
    <m/>
  </r>
  <r>
    <x v="11"/>
    <s v="Projects"/>
    <s v="☮ ⛵ RE: 505955 Screen scraper upgrade. [EXTERNAL] ✈🕑"/>
    <d v="2022-04-25T00:00:00"/>
    <x v="44"/>
    <d v="1899-12-30T00:00:00"/>
    <d v="1899-12-30T00:00:00"/>
    <n v="144"/>
    <s v="Reta, Felix [C]"/>
    <m/>
  </r>
  <r>
    <x v="13"/>
    <s v="Projects"/>
    <s v="☮ ⛵ RE: 505983 TD Auto Finance - AQM Certs 2022 ✈🕑"/>
    <d v="2022-04-25T00:00:00"/>
    <x v="44"/>
    <d v="1899-12-30T00:00:00"/>
    <d v="1899-12-30T00:00:00"/>
    <n v="144"/>
    <s v="Reta, Felix [C]"/>
    <m/>
  </r>
  <r>
    <x v="10"/>
    <s v="Projects"/>
    <s v="☮ ⛵ RE: 505971 Assurant - Full Reinstall - PS only ✈🕑"/>
    <d v="2022-04-25T00:00:00"/>
    <x v="44"/>
    <d v="1899-12-30T00:00:00"/>
    <d v="1899-12-30T00:00:00"/>
    <n v="144"/>
    <s v="Reta, Felix [C]"/>
    <m/>
  </r>
  <r>
    <x v="10"/>
    <s v="Projects"/>
    <s v="☮ ⛵ RE: 505971 Assurant - Full Reinstall - PS only ✈🕑"/>
    <d v="2022-04-25T00:00:00"/>
    <x v="44"/>
    <d v="1899-12-30T00:00:00"/>
    <d v="1899-12-30T00:00:00"/>
    <n v="144"/>
    <s v="Reta, Felix [C]"/>
    <m/>
  </r>
  <r>
    <x v="12"/>
    <s v="Projects"/>
    <s v="☮ ⛵ RE: 505978 Rushmore - New AQM Server ✈🕑"/>
    <d v="2022-04-25T00:00:00"/>
    <x v="36"/>
    <d v="1899-12-30T00:00:00"/>
    <d v="1899-12-30T00:00:00"/>
    <n v="168"/>
    <s v="Reta, Felix [C]"/>
    <m/>
  </r>
  <r>
    <x v="9"/>
    <s v="Projects"/>
    <s v="☮ ⛵ FW: WFM 21 Dev [505845 -Credit Acceptance Corp. - WFM/APM and AQM Upgrade to V21] ✈🕑"/>
    <d v="2022-04-25T00:00:00"/>
    <x v="44"/>
    <d v="1899-12-30T00:00:00"/>
    <d v="1899-12-30T00:00:00"/>
    <n v="144"/>
    <s v="Reta, Felix [C]"/>
    <m/>
  </r>
  <r>
    <x v="11"/>
    <s v="Projects"/>
    <s v="☮ ⛵ 505955 Rushmore UIP Screen Pop Migration. ✈🕑"/>
    <d v="2022-04-26T00:00:00"/>
    <x v="42"/>
    <d v="1899-12-30T00:00:00"/>
    <d v="1899-12-30T00:00:00"/>
    <n v="168"/>
    <s v="Reta, Felix [C]"/>
    <m/>
  </r>
  <r>
    <x v="0"/>
    <s v="Projects"/>
    <s v="☮ ⛵ CAC Stuff action: from Inbox ✈🕑"/>
    <d v="2022-04-26T00:00:00"/>
    <x v="42"/>
    <d v="1899-12-30T00:00:00"/>
    <d v="1899-12-30T00:00:00"/>
    <n v="168"/>
    <s v="Reta, Felix [C]"/>
    <m/>
  </r>
  <r>
    <x v="0"/>
    <s v="Projects"/>
    <s v="☮ ⛵ RE: [EXTERNALBock, April [C] &lt;April.Bock@Alvaria.com&gt;]RE: Afni WFM Files ✈🕑"/>
    <d v="2022-04-26T00:00:00"/>
    <x v="42"/>
    <d v="1899-12-30T00:00:00"/>
    <d v="1899-12-30T00:00:00"/>
    <n v="168"/>
    <s v="Reta, Felix [C]"/>
    <m/>
  </r>
  <r>
    <x v="9"/>
    <s v="Projects"/>
    <s v="☮ ⛵ Change Request. WFM 21 Dev [505845 -Credit Acceptance Corp. - WFM/APM and AQM Upgrade to V21] ✈🕑"/>
    <d v="2022-04-26T00:00:00"/>
    <x v="39"/>
    <d v="1899-12-30T00:00:00"/>
    <d v="1899-12-30T00:00:00"/>
    <n v="24"/>
    <s v="Reta, Felix [C]"/>
    <m/>
  </r>
  <r>
    <x v="9"/>
    <s v="Projects"/>
    <s v="☮ ⛵ RE: WFM 21 Dev [505845 -Credit Acceptance Corp. - WFM/APM and AQM Upgrade to V21] ✈🕑"/>
    <d v="2022-04-27T00:00:00"/>
    <x v="39"/>
    <d v="1899-12-30T00:00:00"/>
    <d v="1899-12-30T00:00:00"/>
    <n v="0"/>
    <s v="Reta, Felix [C]"/>
    <m/>
  </r>
  <r>
    <x v="0"/>
    <s v="Green Category"/>
    <s v="Change Passwords"/>
    <d v="2022-04-27T00:00:00"/>
    <x v="45"/>
    <d v="1899-12-30T00:00:00"/>
    <d v="1899-12-30T00:00:00"/>
    <n v="192"/>
    <s v="Reta, Felix [C]"/>
    <m/>
  </r>
  <r>
    <x v="10"/>
    <s v="Projects"/>
    <s v="☮ ⛵ RE: 505971 Assurant - Full Reinstall - PS only ✈🕑"/>
    <d v="2022-04-27T00:00:00"/>
    <x v="39"/>
    <d v="1899-12-30T00:00:00"/>
    <d v="1899-12-30T00:00:00"/>
    <n v="0"/>
    <s v="Reta, Felix [C]"/>
    <m/>
  </r>
  <r>
    <x v="13"/>
    <s v="Projects"/>
    <s v="☮ ⛵ RE: 505983 TD Auto Finance - AQM Certs 2022 ✈🕑"/>
    <d v="2022-04-27T00:00:00"/>
    <x v="39"/>
    <d v="1899-12-30T00:00:00"/>
    <d v="1899-12-30T00:00:00"/>
    <n v="0"/>
    <s v="Reta, Felix [C]"/>
    <m/>
  </r>
  <r>
    <x v="0"/>
    <s v="Appointment, Projects"/>
    <s v="☮ ⛵ Please remove submitted hours in Netsuite. [504133] ✈🕑"/>
    <d v="2022-05-19T00:00:00"/>
    <x v="46"/>
    <d v="1899-12-30T00:00:00"/>
    <d v="1899-12-30T00:00:00"/>
    <n v="96"/>
    <s v="Reta, Felix [C]"/>
    <m/>
  </r>
  <r>
    <x v="0"/>
    <s v="Manager"/>
    <s v="Timesheets"/>
    <d v="2022-05-06T00:00:00"/>
    <x v="47"/>
    <d v="1899-12-30T00:00:00"/>
    <d v="1899-12-30T00:00:00"/>
    <n v="72"/>
    <s v="Reta, Felix [C]"/>
    <m/>
  </r>
  <r>
    <x v="0"/>
    <s v="Manager"/>
    <s v="Timesheets"/>
    <d v="2022-05-13T00:00:00"/>
    <x v="48"/>
    <d v="1899-12-30T00:00:00"/>
    <d v="1899-12-30T00:00:00"/>
    <n v="72"/>
    <s v="Reta, Felix [C]"/>
    <m/>
  </r>
  <r>
    <x v="0"/>
    <s v="Manager"/>
    <s v="Timesheets"/>
    <d v="2022-05-20T00:00:00"/>
    <x v="46"/>
    <d v="1899-12-30T00:00:00"/>
    <d v="1899-12-30T00:00:00"/>
    <n v="72"/>
    <s v="Reta, Felix [C]"/>
    <m/>
  </r>
  <r>
    <x v="0"/>
    <s v="Manager"/>
    <s v="Timesheets"/>
    <d v="2022-05-27T00:00:00"/>
    <x v="49"/>
    <d v="1899-12-30T00:00:00"/>
    <d v="1899-12-30T00:00:00"/>
    <n v="144"/>
    <s v="Reta, Felix [C]"/>
    <m/>
  </r>
  <r>
    <x v="14"/>
    <s v="Projects"/>
    <s v="☮ ⛵ 505967 JetBlue - PS - Secure Agent ✈🕑"/>
    <d v="2022-04-27T00:00:00"/>
    <x v="20"/>
    <d v="1899-12-30T00:00:00"/>
    <d v="1899-12-30T00:00:00"/>
    <n v="48"/>
    <s v="Reta, Felix [C]"/>
    <m/>
  </r>
  <r>
    <x v="13"/>
    <s v="Projects"/>
    <s v="☮ ⛵ AQM Cert  [505983 TD Auto Finance - AQM Certs 2022] ✈🕑"/>
    <d v="2022-04-28T00:00:00"/>
    <x v="42"/>
    <d v="1899-12-30T00:00:00"/>
    <d v="1899-12-30T00:00:00"/>
    <n v="120"/>
    <s v="Reta, Felix [C]"/>
    <m/>
  </r>
  <r>
    <x v="0"/>
    <s v="Manager"/>
    <s v="Timesheets"/>
    <d v="2022-06-03T00:00:00"/>
    <x v="50"/>
    <d v="1899-12-30T00:00:00"/>
    <d v="1899-12-30T00:00:00"/>
    <n v="144"/>
    <s v="Reta, Felix [C]"/>
    <m/>
  </r>
  <r>
    <x v="9"/>
    <s v="Projects"/>
    <s v="☮ ⛵ Project review with CAC [505845 -Credit Acceptance Corp. - WFM/APM and AQM Upgrade to V21] ✈🕑"/>
    <d v="2022-04-28T00:00:00"/>
    <x v="36"/>
    <d v="1899-12-30T00:00:00"/>
    <d v="1899-12-30T00:00:00"/>
    <n v="96"/>
    <s v="Reta, Felix [C]"/>
    <m/>
  </r>
  <r>
    <x v="0"/>
    <s v="Projects"/>
    <s v="RE: WFM Segment Export/Email testing"/>
    <d v="2022-04-05T00:00:00"/>
    <x v="31"/>
    <d v="1899-12-30T00:00:00"/>
    <d v="1899-12-30T00:00:00"/>
    <n v="48"/>
    <s v="Reta, Felix [C]"/>
    <m/>
  </r>
  <r>
    <x v="10"/>
    <s v="Projects"/>
    <s v="☮ ⛵ RE: 505971 Assurant - Full Reinstall - PS only ✈🕑"/>
    <d v="2022-04-27T00:00:00"/>
    <x v="51"/>
    <d v="1899-12-30T00:00:00"/>
    <d v="1899-12-30T00:00:00"/>
    <n v="168"/>
    <s v="Reta, Felix [C]"/>
    <m/>
  </r>
  <r>
    <x v="6"/>
    <s v="Projects"/>
    <s v="☮ ⛵ RE: Project 505926 AFNI Workforce expansion Workshop ✈🕑"/>
    <d v="2022-04-28T00:00:00"/>
    <x v="45"/>
    <d v="1899-12-30T00:00:00"/>
    <d v="1899-12-30T00:00:00"/>
    <n v="168"/>
    <s v="Reta, Felix [C]"/>
    <m/>
  </r>
  <r>
    <x v="10"/>
    <s v="Projects"/>
    <s v="☮ ⛵ Date proposed for move. [505971 Assurant - Full Reinstall - PS only] ✈🕑"/>
    <d v="2022-04-28T00:00:00"/>
    <x v="51"/>
    <d v="1899-12-30T00:00:00"/>
    <d v="1899-12-30T00:00:00"/>
    <n v="144"/>
    <s v="Reta, Felix [C]"/>
    <m/>
  </r>
  <r>
    <x v="13"/>
    <s v="Projects"/>
    <s v="☮ ⛵ FW: AQM Cert  [505983 TD Auto Finance - AQM Certs 2022] ✈🕑"/>
    <d v="2022-04-29T00:00:00"/>
    <x v="42"/>
    <d v="1899-12-30T00:00:00"/>
    <d v="1899-12-30T00:00:00"/>
    <n v="96"/>
    <s v="Reta, Felix [C]"/>
    <m/>
  </r>
  <r>
    <x v="2"/>
    <s v="Projects"/>
    <s v="☮ ⛵ RE: Camis 505017 - WFM project - Optimization workshop ✈🕑"/>
    <d v="2022-04-29T00:00:00"/>
    <x v="45"/>
    <d v="1899-12-30T00:00:00"/>
    <d v="1899-12-30T00:00:00"/>
    <n v="144"/>
    <s v="Reta, Felix [C]"/>
    <m/>
  </r>
  <r>
    <x v="1"/>
    <s v="Projects"/>
    <s v="☮ ⛵ Computershare Inc : 505898 Computershare - Edge integration to Sagent (APS Only) ✈🕑"/>
    <d v="2022-05-02T00:00:00"/>
    <x v="47"/>
    <d v="1899-12-30T00:00:00"/>
    <d v="1899-12-30T00:00:00"/>
    <n v="168"/>
    <s v="Reta, Felix [C]"/>
    <m/>
  </r>
  <r>
    <x v="6"/>
    <s v="Projects"/>
    <s v="☮ ⛵ RE: Afni WFM Files [505926 AFNI Workforce expansion ACD &amp; RTA feeds to Cisco UCCE] ✈🕑"/>
    <d v="2022-05-02T00:00:00"/>
    <x v="47"/>
    <d v="1899-12-30T00:00:00"/>
    <d v="1899-12-30T00:00:00"/>
    <n v="168"/>
    <s v="Reta, Felix [C]"/>
    <m/>
  </r>
  <r>
    <x v="6"/>
    <s v="Projects"/>
    <s v="☮ ⛵ RE: Project 505926 AFNI Workforce expansion Workshop ✈🕑"/>
    <d v="2022-05-02T00:00:00"/>
    <x v="52"/>
    <d v="1899-12-30T00:00:00"/>
    <d v="1899-12-30T00:00:00"/>
    <n v="96"/>
    <s v="Reta, Felix [C]"/>
    <m/>
  </r>
  <r>
    <x v="6"/>
    <s v="Projects"/>
    <s v="☮ ⛵ RE: Project 505926 AFNI Workforce expansion Workshop ✈🕑"/>
    <d v="2022-05-02T00:00:00"/>
    <x v="52"/>
    <d v="1899-12-30T00:00:00"/>
    <d v="1899-12-30T00:00:00"/>
    <n v="96"/>
    <s v="Reta, Felix [C]"/>
    <m/>
  </r>
  <r>
    <x v="0"/>
    <s v="Projects"/>
    <s v="☮ ⛵ Accepted: Screen Pop Follow up meeting action: From ItemSend ☮ ✈🕑"/>
    <d v="2022-05-02T00:00:00"/>
    <x v="52"/>
    <d v="1899-12-30T00:00:00"/>
    <d v="1899-12-30T00:00:00"/>
    <n v="96"/>
    <s v="Reta, Felix [C]"/>
    <m/>
  </r>
  <r>
    <x v="12"/>
    <s v="Projects"/>
    <s v="☮ ⛵ FW: 505978 Rushmore - New AQM Server [EXTERNAL] ✈🕑"/>
    <d v="2022-05-02T00:00:00"/>
    <x v="47"/>
    <d v="1899-12-30T00:00:00"/>
    <d v="1899-12-30T00:00:00"/>
    <n v="168"/>
    <s v="Reta, Felix [C]"/>
    <m/>
  </r>
  <r>
    <x v="13"/>
    <s v="Projects"/>
    <s v="☮ ⛵ RE: AQM Cert  [505983 TD Auto Finance - AQM Certs 2022] ✈🕑"/>
    <d v="2022-05-03T00:00:00"/>
    <x v="52"/>
    <d v="1899-12-30T00:00:00"/>
    <d v="1899-12-30T00:00:00"/>
    <n v="72"/>
    <s v="Reta, Felix [C]"/>
    <m/>
  </r>
  <r>
    <x v="0"/>
    <s v="Manager"/>
    <s v="Timesheets"/>
    <d v="2022-04-29T00:00:00"/>
    <x v="42"/>
    <d v="1899-12-30T00:00:00"/>
    <d v="1899-12-30T00:00:00"/>
    <n v="96"/>
    <s v="Reta, Felix [C]"/>
    <m/>
  </r>
  <r>
    <x v="15"/>
    <s v="Projects"/>
    <s v="☮ ⛵ RE: 505742 Consumer Cellular - Via WFM Training Lab ✈🕑"/>
    <d v="2022-05-03T00:00:00"/>
    <x v="53"/>
    <d v="1899-12-30T00:00:00"/>
    <d v="1899-12-30T00:00:00"/>
    <n v="384"/>
    <s v="Reta, Felix [C]"/>
    <m/>
  </r>
  <r>
    <x v="13"/>
    <m/>
    <s v="505983 Projected Go_Live Date  5/31/2022 🕑"/>
    <d v="2022-05-04T00:00:00"/>
    <x v="54"/>
    <d v="1899-12-30T00:00:00"/>
    <d v="1899-12-30T00:00:00"/>
    <n v="312"/>
    <s v="Reta, Felix [C]"/>
    <m/>
  </r>
  <r>
    <x v="10"/>
    <m/>
    <s v="505971 Assurant Projected Go_Live Date 6/24/2022 🕑"/>
    <d v="2022-05-04T00:00:00"/>
    <x v="55"/>
    <d v="1899-12-30T00:00:00"/>
    <d v="1899-12-30T00:00:00"/>
    <n v="672"/>
    <s v="Reta, Felix [C]"/>
    <m/>
  </r>
  <r>
    <x v="0"/>
    <s v="Projects"/>
    <s v="Practice QTR PS Forecast review"/>
    <d v="2022-05-05T00:00:00"/>
    <x v="45"/>
    <d v="1899-12-30T00:00:00"/>
    <d v="1899-12-30T00:00:00"/>
    <n v="0"/>
    <s v="Reta, Felix [C]"/>
    <m/>
  </r>
  <r>
    <x v="9"/>
    <s v="Projects"/>
    <s v="☮ ⛵ RE: Project review for CAC [505845 -Credit Acceptance Corp. - WFM/APM and  ✈🕑"/>
    <d v="2022-05-05T00:00:00"/>
    <x v="56"/>
    <d v="1899-12-30T00:00:00"/>
    <d v="1899-12-30T00:00:00"/>
    <n v="168"/>
    <s v="Reta, Felix [C]"/>
    <m/>
  </r>
  <r>
    <x v="6"/>
    <s v="Projects"/>
    <s v="☮ ⛵ FW: [EXTERNAL]RE: Project 505926 AFNI Workforce expansion Workshop ✈🕑"/>
    <d v="2022-05-05T00:00:00"/>
    <x v="56"/>
    <d v="1899-12-30T00:00:00"/>
    <d v="1899-12-30T00:00:00"/>
    <n v="168"/>
    <s v="Reta, Felix [C]"/>
    <m/>
  </r>
  <r>
    <x v="6"/>
    <s v="Projects"/>
    <s v="☮ ⛵ RE: [EXTERNAL]RE: Project 505926 AFNI Workforce expansion ACD &amp; RTA feeds to Cisco UCCE ✈🕑"/>
    <d v="2022-05-05T00:00:00"/>
    <x v="56"/>
    <d v="1899-12-30T00:00:00"/>
    <d v="1899-12-30T00:00:00"/>
    <n v="168"/>
    <s v="Reta, Felix [C]"/>
    <m/>
  </r>
  <r>
    <x v="12"/>
    <s v="Projects"/>
    <s v="☮ ⛵ RE: 505978 Rushmore AQM Server, planning session. ✈🕑"/>
    <d v="2022-05-05T00:00:00"/>
    <x v="56"/>
    <d v="1899-12-30T00:00:00"/>
    <d v="1899-12-30T00:00:00"/>
    <n v="168"/>
    <s v="Reta, Felix [C]"/>
    <m/>
  </r>
  <r>
    <x v="6"/>
    <s v="Projects"/>
    <s v="☮ ⛵ RE: [EXTERNAL]RE: Project 505926 AFNI Workforce expansion Workshop ✈🕑"/>
    <d v="2022-05-05T00:00:00"/>
    <x v="56"/>
    <d v="1899-12-30T00:00:00"/>
    <d v="1899-12-30T00:00:00"/>
    <n v="168"/>
    <s v="Reta, Felix [C]"/>
    <m/>
  </r>
  <r>
    <x v="0"/>
    <s v="Appointment"/>
    <s v="Change passwords"/>
    <d v="2022-05-04T00:00:00"/>
    <x v="52"/>
    <d v="1899-12-30T00:00:00"/>
    <d v="1899-12-30T00:00:00"/>
    <n v="48"/>
    <s v="Reta, Felix [C]"/>
    <m/>
  </r>
  <r>
    <x v="13"/>
    <s v="Projects"/>
    <s v="☮ ⛵ FW: AQM Cert  [505983 TD Auto Finance - AQM Certs 2022] ✈🕑"/>
    <d v="2022-05-06T00:00:00"/>
    <x v="57"/>
    <d v="1899-12-30T00:00:00"/>
    <d v="1899-12-30T00:00:00"/>
    <n v="96"/>
    <s v="Reta, Felix [C]"/>
    <m/>
  </r>
  <r>
    <x v="9"/>
    <s v="Projects"/>
    <s v="☮ ⛵ RE: Change Request for mobile app [CR003 505845 Credit Acceptance] ✈🕑"/>
    <d v="2022-05-09T00:00:00"/>
    <x v="47"/>
    <d v="1899-12-30T00:00:00"/>
    <d v="1899-12-30T00:00:00"/>
    <n v="0"/>
    <s v="Reta, Felix [C]"/>
    <m/>
  </r>
  <r>
    <x v="13"/>
    <s v="Projects"/>
    <s v="☮ ⛵ RE: AQM Cert  [505983 TD Auto Finance - AQM Certs 2022] ✈🕑"/>
    <d v="2022-05-09T00:00:00"/>
    <x v="56"/>
    <d v="1899-12-30T00:00:00"/>
    <d v="1899-12-30T00:00:00"/>
    <n v="72"/>
    <s v="Reta, Felix [C]"/>
    <m/>
  </r>
  <r>
    <x v="9"/>
    <s v="Projects"/>
    <s v="☮ ⛵ RE: 505845 Credit Acceptance Corp :-AQM Upgrade to V21.1 Daily Update-18-Apr-22 ✈🕑"/>
    <d v="2022-05-09T00:00:00"/>
    <x v="47"/>
    <d v="1899-12-30T00:00:00"/>
    <d v="1899-12-30T00:00:00"/>
    <n v="0"/>
    <s v="Reta, Felix [C]"/>
    <m/>
  </r>
  <r>
    <x v="10"/>
    <s v="Projects"/>
    <s v="☮ ⛵ RE: Date proposed for move. [505971 Assurant - Full Reinstall - PS only] ✈🕑"/>
    <d v="2022-05-09T00:00:00"/>
    <x v="54"/>
    <d v="1899-12-30T00:00:00"/>
    <d v="1899-12-30T00:00:00"/>
    <n v="192"/>
    <s v="Reta, Felix [C]"/>
    <m/>
  </r>
  <r>
    <x v="0"/>
    <s v="Projects"/>
    <s v="☮ ⛵ Synnex-Dell-Accenture- WFM Upgrade V19- V21.1 || APEA action: from Inbox ✈🕑"/>
    <d v="2022-04-29T00:00:00"/>
    <x v="52"/>
    <d v="1899-12-30T00:00:00"/>
    <d v="1899-12-30T00:00:00"/>
    <n v="168"/>
    <s v="Reta, Felix [C]"/>
    <m/>
  </r>
  <r>
    <x v="13"/>
    <s v="Projects"/>
    <s v="☮ ⛵ RE: AQM Cert  [505983 TD Auto Finance - AQM Certs 2022] ✈🕑"/>
    <d v="2022-04-29T00:00:00"/>
    <x v="42"/>
    <d v="1899-12-30T00:00:00"/>
    <d v="1899-12-30T00:00:00"/>
    <n v="96"/>
    <s v="Reta, Felix [C]"/>
    <m/>
  </r>
  <r>
    <x v="0"/>
    <s v="Projects"/>
    <s v="Practice QTR PS Forecast review"/>
    <d v="2022-04-28T00:00:00"/>
    <x v="20"/>
    <d v="1899-12-30T00:00:00"/>
    <d v="1899-12-30T00:00:00"/>
    <n v="24"/>
    <s v="Reta, Felix [C]"/>
    <m/>
  </r>
  <r>
    <x v="6"/>
    <s v="Projects"/>
    <s v="☮ ⛵ RE: Afni WFM Files [505926 AFNI Workforce expansion ACD &amp; RTA feeds to Cisco UCCE] ✈🕑"/>
    <d v="2022-05-10T00:00:00"/>
    <x v="46"/>
    <d v="1899-12-30T00:00:00"/>
    <d v="1899-12-30T00:00:00"/>
    <n v="312"/>
    <s v="Reta, Felix [C]"/>
    <m/>
  </r>
  <r>
    <x v="13"/>
    <s v="Projects"/>
    <s v="☮ ⛵ RE: AQM Cert  [505983 TD Auto Finance - AQM Certs 2022] ✈🕑"/>
    <d v="2022-05-10T00:00:00"/>
    <x v="33"/>
    <d v="1899-12-30T00:00:00"/>
    <d v="1899-12-30T00:00:00"/>
    <n v="72"/>
    <s v="Reta, Felix [C]"/>
    <m/>
  </r>
  <r>
    <x v="9"/>
    <s v="Projects"/>
    <s v="☮ ⛵ FW: Escalation - Confirmation requested on updated CAC Gannt [505845 CAC] ✈🕑"/>
    <d v="2022-05-10T00:00:00"/>
    <x v="58"/>
    <d v="1899-12-30T00:00:00"/>
    <d v="1899-12-30T00:00:00"/>
    <n v="192"/>
    <s v="Reta, Felix [C]"/>
    <m/>
  </r>
  <r>
    <x v="9"/>
    <s v="Projects"/>
    <s v="☮ ⛵ Timeline for go-live [505845 Credit Acceptance] ✈🕑"/>
    <d v="2022-05-10T00:00:00"/>
    <x v="54"/>
    <d v="1899-12-30T00:00:00"/>
    <d v="1899-12-30T00:00:00"/>
    <n v="168"/>
    <s v="Reta, Felix [C]"/>
    <m/>
  </r>
  <r>
    <x v="0"/>
    <s v="Projects"/>
    <s v="☮ ⛵ TDA Certificate Update  - AQM Recorders and USAN AD Admin Portal  action: from Inbox ✈🕑"/>
    <d v="2022-05-10T00:00:00"/>
    <x v="56"/>
    <d v="1899-12-30T00:00:00"/>
    <d v="1899-12-30T00:00:00"/>
    <n v="48"/>
    <s v="Reta, Felix [C]"/>
    <m/>
  </r>
  <r>
    <x v="9"/>
    <s v="Projects"/>
    <s v="☮ ⛵ RE: Escalation - Confirmation requested on updated CAC Gannt [505845 CAC] ✈🕑"/>
    <d v="2022-05-10T00:00:00"/>
    <x v="54"/>
    <d v="1899-12-30T00:00:00"/>
    <d v="1899-12-30T00:00:00"/>
    <n v="168"/>
    <s v="Reta, Felix [C]"/>
    <m/>
  </r>
  <r>
    <x v="0"/>
    <s v="Projects"/>
    <s v="☮ ⛵ RE: Rushmore PROD AQM QWS server install | Daily updates ✈🕑"/>
    <d v="2022-05-10T00:00:00"/>
    <x v="54"/>
    <d v="1899-12-30T00:00:00"/>
    <d v="1899-12-30T00:00:00"/>
    <n v="168"/>
    <s v="Reta, Felix [C]"/>
    <m/>
  </r>
  <r>
    <x v="0"/>
    <s v="Projects"/>
    <s v="☮ ⛵ RE: Screen Pop Follow up meeting [EXTERNAL] ✈🕑"/>
    <d v="2022-05-11T00:00:00"/>
    <x v="58"/>
    <d v="1899-12-30T00:00:00"/>
    <d v="1899-12-30T00:00:00"/>
    <n v="168"/>
    <s v="Reta, Felix [C]"/>
    <m/>
  </r>
  <r>
    <x v="13"/>
    <s v="Projects"/>
    <s v="☮ ⛵ RE: AQM Cert  [505983 TD Auto Finance - AQM Certs 2022] ✈🕑"/>
    <d v="2022-05-12T00:00:00"/>
    <x v="56"/>
    <d v="1899-12-30T00:00:00"/>
    <d v="1899-12-30T00:00:00"/>
    <n v="0"/>
    <s v="Reta, Felix [C]"/>
    <m/>
  </r>
  <r>
    <x v="10"/>
    <s v="Projects"/>
    <s v="☮ ⛵ RE: Date proposed for move. [505971 Assurant - Full Reinstall - PS only] ✈🕑"/>
    <d v="2022-05-12T00:00:00"/>
    <x v="58"/>
    <d v="1899-12-30T00:00:00"/>
    <d v="1899-12-30T00:00:00"/>
    <n v="144"/>
    <s v="Reta, Felix [C]"/>
    <m/>
  </r>
  <r>
    <x v="0"/>
    <s v="Projects"/>
    <s v="Practice QTR PS Forecast review"/>
    <d v="2022-05-12T00:00:00"/>
    <x v="56"/>
    <d v="1899-12-30T00:00:00"/>
    <d v="1899-12-30T00:00:00"/>
    <n v="0"/>
    <s v="Reta, Felix [C]"/>
    <m/>
  </r>
  <r>
    <x v="12"/>
    <s v="Projects"/>
    <s v="☮ ⛵ RE: Deploy to production RLMS-AQM19-QWS2 [505978] ✈🕑"/>
    <d v="2022-05-12T00:00:00"/>
    <x v="48"/>
    <d v="1899-12-30T00:00:00"/>
    <d v="1899-12-30T00:00:00"/>
    <n v="96"/>
    <s v="Reta, Felix [C]"/>
    <m/>
  </r>
  <r>
    <x v="12"/>
    <s v="Projects"/>
    <s v="☮ ⛵ Completion notice Deploy to production RLMS-AQM19-QWS2 [505978 Rushmore new AQM server]  ✈🕑"/>
    <d v="2022-05-16T00:00:00"/>
    <x v="46"/>
    <d v="1899-12-30T00:00:00"/>
    <d v="1899-12-30T00:00:00"/>
    <n v="168"/>
    <s v="Reta, Felix [C]"/>
    <m/>
  </r>
  <r>
    <x v="0"/>
    <s v="Projects"/>
    <s v="☮ ⛵ RE: JetBlue CMS data failure ✈🕑"/>
    <d v="2022-05-16T00:00:00"/>
    <x v="46"/>
    <d v="1899-12-30T00:00:00"/>
    <d v="1899-12-30T00:00:00"/>
    <n v="168"/>
    <s v="Reta, Felix [C]"/>
    <m/>
  </r>
  <r>
    <x v="9"/>
    <s v="Projects"/>
    <s v="☮ ⛵ RE: Change Request CR003 [505845 CAC] ✈🕑"/>
    <d v="2022-05-17T00:00:00"/>
    <x v="46"/>
    <d v="1899-12-30T00:00:00"/>
    <d v="1899-12-30T00:00:00"/>
    <n v="144"/>
    <s v="Reta, Felix [C]"/>
    <m/>
  </r>
  <r>
    <x v="13"/>
    <s v="Projects"/>
    <s v="☮ ⛵ Milestone completion, please approve. [505983 TD Auto Finance certs.] ✈🕑"/>
    <d v="2022-05-17T00:00:00"/>
    <x v="53"/>
    <d v="1899-12-30T00:00:00"/>
    <d v="1899-12-30T00:00:00"/>
    <n v="48"/>
    <s v="Reta, Felix [C]"/>
    <m/>
  </r>
  <r>
    <x v="9"/>
    <s v="Projects"/>
    <s v="☮ ⛵ FW: Change Request CR003 [505845 CAC] ✈🕑"/>
    <d v="2022-05-17T00:00:00"/>
    <x v="46"/>
    <d v="1899-12-30T00:00:00"/>
    <d v="1899-12-30T00:00:00"/>
    <n v="144"/>
    <s v="Reta, Felix [C]"/>
    <m/>
  </r>
  <r>
    <x v="0"/>
    <s v="Projects"/>
    <s v="☮ ⛵ RE: Assurant || WFM ECO system DR move to ORD ✈🕑"/>
    <d v="2022-05-17T00:00:00"/>
    <x v="32"/>
    <d v="1899-12-30T00:00:00"/>
    <d v="1899-12-30T00:00:00"/>
    <n v="192"/>
    <s v="Reta, Felix [C]"/>
    <m/>
  </r>
  <r>
    <x v="7"/>
    <s v="Projects"/>
    <s v="☮ ⛵ Approval for $0 CR001 to support CMS-19 [505563 JetBlue Premise APM Upgrade to v.21-Change Request] ✈🕑"/>
    <d v="2022-05-18T00:00:00"/>
    <x v="59"/>
    <d v="1899-12-30T00:00:00"/>
    <d v="1899-12-30T00:00:00"/>
    <n v="504"/>
    <s v="Reta, Felix [C]"/>
    <m/>
  </r>
  <r>
    <x v="0"/>
    <s v="Projects"/>
    <s v="☮ ⛵ RE: CAC_AQM_Issues_Highlighted  ✈🕑"/>
    <d v="2022-05-18T00:00:00"/>
    <x v="58"/>
    <d v="1899-12-30T00:00:00"/>
    <d v="1899-12-30T00:00:00"/>
    <n v="0"/>
    <s v="Reta, Felix [C]"/>
    <m/>
  </r>
  <r>
    <x v="6"/>
    <s v="Projects"/>
    <s v="☮ ⛵ RE: 505926 AFNI Workforce expansion ACD &amp; RTA feeds to Cisco UCCE. ✈🕑"/>
    <d v="2022-05-18T00:00:00"/>
    <x v="53"/>
    <d v="1899-12-30T00:00:00"/>
    <d v="1899-12-30T00:00:00"/>
    <n v="24"/>
    <s v="Reta, Felix [C]"/>
    <m/>
  </r>
  <r>
    <x v="0"/>
    <s v="Projects"/>
    <s v="☮ ⛵ RE: 504133 hours not billing ✈🕑"/>
    <d v="2022-05-19T00:00:00"/>
    <x v="32"/>
    <d v="1899-12-30T00:00:00"/>
    <d v="1899-12-30T00:00:00"/>
    <n v="144"/>
    <s v="Reta, Felix [C]"/>
    <m/>
  </r>
  <r>
    <x v="0"/>
    <s v="Projects"/>
    <s v="☮ ⛵ RE: CAC | AQM and DR AOAG ✈🕑"/>
    <d v="2022-05-19T00:00:00"/>
    <x v="46"/>
    <d v="1899-12-30T00:00:00"/>
    <d v="1899-12-30T00:00:00"/>
    <n v="96"/>
    <s v="Reta, Felix [C]"/>
    <m/>
  </r>
  <r>
    <x v="0"/>
    <s v="Projects"/>
    <s v="Practice QTR PS Forecast review"/>
    <d v="2022-05-19T00:00:00"/>
    <x v="53"/>
    <d v="1899-12-30T00:00:00"/>
    <d v="1899-12-30T00:00:00"/>
    <n v="0"/>
    <s v="Reta, Felix [C]"/>
    <m/>
  </r>
  <r>
    <x v="0"/>
    <s v="Projects"/>
    <s v="☮ ⛵ RE: Assurant || WFM ECO system DR move to ORD ✈🕑"/>
    <d v="2022-05-19T00:00:00"/>
    <x v="32"/>
    <d v="1899-12-30T00:00:00"/>
    <d v="1899-12-30T00:00:00"/>
    <n v="144"/>
    <s v="Reta, Felix [C]"/>
    <m/>
  </r>
  <r>
    <x v="15"/>
    <s v="Projects"/>
    <s v="☮ ⛵ RE: 505742 Consumer Cellular - Via WFM Training Lab ✈🕑"/>
    <d v="2022-05-19T00:00:00"/>
    <x v="60"/>
    <d v="1899-12-30T00:00:00"/>
    <d v="1899-12-30T00:00:00"/>
    <n v="432"/>
    <s v="Reta, Felix [C]"/>
    <m/>
  </r>
  <r>
    <x v="9"/>
    <s v="Projects"/>
    <s v="☮ ⛵ FW: CAC | AQM and DR AOAG [505845] ✈🕑"/>
    <d v="2022-05-19T00:00:00"/>
    <x v="46"/>
    <d v="1899-12-30T00:00:00"/>
    <d v="1899-12-30T00:00:00"/>
    <n v="96"/>
    <s v="Reta, Felix [C]"/>
    <m/>
  </r>
  <r>
    <x v="9"/>
    <s v="Projects"/>
    <s v="☮ ⛵ RE: CAC | AQM and DR AOAG [505845] ✈🕑"/>
    <d v="2022-05-19T00:00:00"/>
    <x v="46"/>
    <d v="1899-12-30T00:00:00"/>
    <d v="1899-12-30T00:00:00"/>
    <n v="96"/>
    <s v="Reta, Felix [C]"/>
    <m/>
  </r>
  <r>
    <x v="0"/>
    <s v="Projects"/>
    <s v="☮ ⛵ FW: 504133 hours not billing ✈🕑"/>
    <d v="2022-05-20T00:00:00"/>
    <x v="61"/>
    <d v="1899-12-30T00:00:00"/>
    <d v="1899-12-30T00:00:00"/>
    <n v="168"/>
    <s v="Reta, Felix [C]"/>
    <m/>
  </r>
  <r>
    <x v="9"/>
    <s v="Projects"/>
    <s v="☮ ⛵ RE: CAC | AQM and DR AOAG [505845] ✈🕑"/>
    <d v="2022-05-20T00:00:00"/>
    <x v="46"/>
    <d v="1899-12-30T00:00:00"/>
    <d v="1899-12-30T00:00:00"/>
    <n v="72"/>
    <s v="Reta, Felix [C]"/>
    <m/>
  </r>
  <r>
    <x v="7"/>
    <s v="Projects"/>
    <s v="☮ ⛵ RE: Approval for $0 CR001 to support CMS-19 [505563 JetBlue Premise APM Upgrade to v.21-Change Request] ✈🕑"/>
    <d v="2022-05-20T00:00:00"/>
    <x v="59"/>
    <d v="1899-12-30T00:00:00"/>
    <d v="1899-12-30T00:00:00"/>
    <n v="456"/>
    <s v="Reta, Felix [C]"/>
    <m/>
  </r>
  <r>
    <x v="9"/>
    <s v="Projects"/>
    <s v="☮ ⛵ UAT reported issues being worked. [505845 CAC] ✈🕑"/>
    <d v="2022-05-23T00:00:00"/>
    <x v="46"/>
    <d v="1899-12-30T00:00:00"/>
    <d v="1899-12-30T00:00:00"/>
    <n v="0"/>
    <s v="Reta, Felix [C]"/>
    <m/>
  </r>
  <r>
    <x v="0"/>
    <s v="Projects"/>
    <s v="☮ ⛵ RE: CAC PROD and DR AQM Install ✈🕑"/>
    <d v="2022-05-23T00:00:00"/>
    <x v="46"/>
    <d v="1899-12-30T00:00:00"/>
    <d v="1899-12-30T00:00:00"/>
    <n v="0"/>
    <s v="Reta, Felix [C]"/>
    <m/>
  </r>
  <r>
    <x v="6"/>
    <s v="Projects"/>
    <s v="☮ ⛵ RE: [EXTERNAL]RE: Afni WFM Files [505926 AFNI Workforce expansion ACD &amp; RTA feeds to Cisco UCCE] ✈🕑"/>
    <d v="2022-05-23T00:00:00"/>
    <x v="32"/>
    <d v="1899-12-30T00:00:00"/>
    <d v="1899-12-30T00:00:00"/>
    <n v="48"/>
    <s v="Reta, Felix [C]"/>
    <m/>
  </r>
  <r>
    <x v="0"/>
    <s v="Projects"/>
    <s v="☮ ⛵ RE: CAC PROD and DR AQM Install ✈🕑"/>
    <d v="2022-05-23T00:00:00"/>
    <x v="62"/>
    <d v="1899-12-30T00:00:00"/>
    <d v="1899-12-30T00:00:00"/>
    <n v="192"/>
    <s v="Reta, Felix [C]"/>
    <m/>
  </r>
  <r>
    <x v="9"/>
    <s v="Projects"/>
    <s v="☮ ⛵ RE: UAT reported issues being worked. [505845 CAC] ✈🕑"/>
    <d v="2022-05-23T00:00:00"/>
    <x v="62"/>
    <d v="1899-12-30T00:00:00"/>
    <d v="1899-12-30T00:00:00"/>
    <n v="192"/>
    <s v="Reta, Felix [C]"/>
    <m/>
  </r>
  <r>
    <x v="0"/>
    <s v="Projects"/>
    <s v="☮ ⛵ FW: CAC PROD and DR AQM Install ✈🕑"/>
    <d v="2022-05-23T00:00:00"/>
    <x v="62"/>
    <d v="1899-12-30T00:00:00"/>
    <d v="1899-12-30T00:00:00"/>
    <n v="192"/>
    <s v="Reta, Felix [C]"/>
    <m/>
  </r>
  <r>
    <x v="9"/>
    <s v="Projects"/>
    <s v="☮ ⛵ RE: UAT reported issues being worked. [505845 CAC] ✈🕑"/>
    <d v="2022-05-23T00:00:00"/>
    <x v="62"/>
    <d v="1899-12-30T00:00:00"/>
    <d v="1899-12-30T00:00:00"/>
    <n v="192"/>
    <s v="Reta, Felix [C]"/>
    <m/>
  </r>
  <r>
    <x v="9"/>
    <s v="Projects"/>
    <s v="☮ ⛵ RE: UAT reported issues being worked. [505845 CAC] ✈🕑"/>
    <d v="2022-05-23T00:00:00"/>
    <x v="62"/>
    <d v="1899-12-30T00:00:00"/>
    <d v="1899-12-30T00:00:00"/>
    <n v="192"/>
    <s v="Reta, Felix [C]"/>
    <m/>
  </r>
  <r>
    <x v="0"/>
    <s v="Projects"/>
    <s v="☮ ⛵ FW: RITM0196019 BP Account Created ✈🕑"/>
    <d v="2022-05-25T00:00:00"/>
    <x v="32"/>
    <d v="1899-12-30T00:00:00"/>
    <d v="1899-12-30T00:00:00"/>
    <n v="0"/>
    <s v="Reta, Felix [C]"/>
    <m/>
  </r>
  <r>
    <x v="0"/>
    <s v="Projects"/>
    <s v="☮ ⛵ RE: RITM0196019 BP Account Created ✈🕑"/>
    <d v="2022-05-25T00:00:00"/>
    <x v="55"/>
    <d v="1899-12-30T00:00:00"/>
    <d v="1899-12-30T00:00:00"/>
    <n v="168"/>
    <s v="Reta, Felix [C]"/>
    <m/>
  </r>
  <r>
    <x v="0"/>
    <s v="Projects"/>
    <s v="☮ ⛵ RE: CAC PROD and DR AQM Install ✈🕑"/>
    <d v="2022-05-25T00:00:00"/>
    <x v="55"/>
    <d v="1899-12-30T00:00:00"/>
    <d v="1899-12-30T00:00:00"/>
    <n v="168"/>
    <s v="Reta, Felix [C]"/>
    <m/>
  </r>
  <r>
    <x v="9"/>
    <s v="Projects"/>
    <s v="☮ ⛵ Change Request. CR003 WFM 21 Dev [505845 -Credit Acceptance Corp. - WFM/APM and AQM Upgrade to V21] ✈🕑"/>
    <d v="2022-05-25T00:00:00"/>
    <x v="55"/>
    <d v="1899-12-30T00:00:00"/>
    <d v="1899-12-30T00:00:00"/>
    <n v="168"/>
    <s v="Reta, Felix [C]"/>
    <m/>
  </r>
  <r>
    <x v="0"/>
    <s v="Projects"/>
    <s v="☮ ⛵ FW: [JIRA] (AQMDEV-71062) Using pop out, media player does not expand with Window when stretched, fills with white space ✈🕑"/>
    <d v="2022-05-25T00:00:00"/>
    <x v="49"/>
    <d v="1899-12-30T00:00:00"/>
    <d v="1899-12-30T00:00:00"/>
    <n v="192"/>
    <s v="Reta, Felix [C]"/>
    <m/>
  </r>
  <r>
    <x v="0"/>
    <s v="Projects"/>
    <s v="☮ ⛵ RE: Assurant || WFM ECO system DR move to ORD ✈🕑"/>
    <d v="2022-05-25T00:00:00"/>
    <x v="49"/>
    <d v="1899-12-30T00:00:00"/>
    <d v="1899-12-30T00:00:00"/>
    <n v="192"/>
    <s v="Reta, Felix [C]"/>
    <m/>
  </r>
  <r>
    <x v="9"/>
    <s v="Projects"/>
    <s v="☮ ⛵ FW: Restore new 18.1 WFM database backup [505845 CAC] ✈🕑"/>
    <d v="2022-05-26T00:00:00"/>
    <x v="49"/>
    <d v="1899-12-30T00:00:00"/>
    <d v="1899-12-30T00:00:00"/>
    <n v="168"/>
    <s v="Reta, Felix [C]"/>
    <m/>
  </r>
  <r>
    <x v="9"/>
    <s v="Projects"/>
    <s v="☮ ⛵ RE: Restore new 18.1 WFM database backup [505845 CAC CR004] ✈🕑"/>
    <d v="2022-05-26T00:00:00"/>
    <x v="49"/>
    <d v="1899-12-30T00:00:00"/>
    <d v="1899-12-30T00:00:00"/>
    <n v="168"/>
    <s v="Reta, Felix [C]"/>
    <m/>
  </r>
  <r>
    <x v="9"/>
    <s v="Projects"/>
    <s v="☮ ⛵ RE: Restore new 18.1 WFM database backup CR004 [505845 CAC] ✈🕑"/>
    <d v="2022-05-26T00:00:00"/>
    <x v="49"/>
    <d v="1899-12-30T00:00:00"/>
    <d v="1899-12-30T00:00:00"/>
    <n v="168"/>
    <s v="Reta, Felix [C]"/>
    <m/>
  </r>
  <r>
    <x v="0"/>
    <s v="Projects"/>
    <s v="Practice QTR PS Forecast review"/>
    <d v="2022-05-26T00:00:00"/>
    <x v="63"/>
    <d v="1899-12-30T00:00:00"/>
    <d v="1899-12-30T00:00:00"/>
    <n v="0"/>
    <s v="Reta, Felix [C]"/>
    <m/>
  </r>
  <r>
    <x v="6"/>
    <s v="Projects"/>
    <s v="☮ ⛵ Closing project. [505926 AFNI Workforce expansion ACD &amp; RTA feeds to Cisco UCCE] ✈🕑"/>
    <d v="2022-05-27T00:00:00"/>
    <x v="50"/>
    <d v="1899-12-30T00:00:00"/>
    <d v="1899-12-30T00:00:00"/>
    <n v="312"/>
    <s v="Reta, Felix [C]"/>
    <m/>
  </r>
  <r>
    <x v="1"/>
    <s v="Projects"/>
    <s v="☮ ⛵ RE: Computershare Inc : 505898 Computershare - Edge integration to Sagent (APS Only) ✈🕑"/>
    <d v="2022-05-31T00:00:00"/>
    <x v="64"/>
    <d v="1899-12-30T00:00:00"/>
    <d v="1899-12-30T00:00:00"/>
    <n v="168"/>
    <s v="Reta, Felix [C]"/>
    <m/>
  </r>
  <r>
    <x v="9"/>
    <s v="Projects"/>
    <s v="☮ ⛵ RE: Restore new 18.1 WFM database backup CR004 [505845 CAC] ✈🕑"/>
    <d v="2022-05-31T00:00:00"/>
    <x v="49"/>
    <d v="1899-12-30T00:00:00"/>
    <d v="1899-12-30T00:00:00"/>
    <n v="48"/>
    <s v="Reta, Felix [C]"/>
    <m/>
  </r>
  <r>
    <x v="9"/>
    <s v="Projects"/>
    <s v="☮ ⛵ RE: Change Request. CR003 WFM 21 Dev [505845 -Credit Acceptance Corp. - WFM/APM and AQM Upgrade to V21] ✈🕑"/>
    <d v="2022-05-31T00:00:00"/>
    <x v="49"/>
    <d v="1899-12-30T00:00:00"/>
    <d v="1899-12-30T00:00:00"/>
    <n v="48"/>
    <s v="Reta, Felix [C]"/>
    <m/>
  </r>
  <r>
    <x v="0"/>
    <s v="Projects"/>
    <s v="☮ ⛵ Director (Screen Scrapper) Weekly meeting action: from Inbox ✈🕑"/>
    <d v="2022-05-31T00:00:00"/>
    <x v="49"/>
    <d v="1899-12-30T00:00:00"/>
    <d v="1899-12-30T00:00:00"/>
    <n v="48"/>
    <s v="Reta, Felix [C]"/>
    <m/>
  </r>
  <r>
    <x v="0"/>
    <s v="Projects"/>
    <s v="☮ ⛵ RE: RITM0196019 BP Account Created ✈🕑"/>
    <d v="2022-06-01T00:00:00"/>
    <x v="55"/>
    <d v="1899-12-30T00:00:00"/>
    <d v="1899-12-30T00:00:00"/>
    <n v="0"/>
    <s v="Reta, Felix [C]"/>
    <m/>
  </r>
  <r>
    <x v="9"/>
    <s v="Projects"/>
    <s v="☮ ⛵ FW: CR004 for 505845 Credit Acceptance AQM Upgrade, 2nd Db copy. ✈🕑"/>
    <d v="2022-06-01T00:00:00"/>
    <x v="55"/>
    <d v="1899-12-30T00:00:00"/>
    <d v="1899-12-30T00:00:00"/>
    <n v="0"/>
    <s v="Reta, Felix [C]"/>
    <m/>
  </r>
  <r>
    <x v="7"/>
    <s v="Projects"/>
    <s v="☮ ⛵ RE: Lab environment [505563 -Jet Blue - Premise APM Upgrade to V.21] ✈🕑"/>
    <d v="2022-06-01T00:00:00"/>
    <x v="55"/>
    <d v="1899-12-30T00:00:00"/>
    <d v="1899-12-30T00:00:00"/>
    <n v="0"/>
    <s v="Reta, Felix [C]"/>
    <m/>
  </r>
  <r>
    <x v="10"/>
    <s v="Projects"/>
    <s v="☮ ⛵ RE: Assurant || WFM ECO system DR move to ORD [505971 Full reinstall PS only] ✈🕑"/>
    <d v="2022-06-01T00:00:00"/>
    <x v="59"/>
    <d v="1899-12-30T00:00:00"/>
    <d v="1899-12-30T00:00:00"/>
    <n v="168"/>
    <s v="Reta, Felix [C]"/>
    <m/>
  </r>
  <r>
    <x v="9"/>
    <s v="Projects"/>
    <s v="☮ ⛵ RE: FW: CR004 for 505845 Credit Acceptance AQM Upgrade, 2nd Db copy. ✈🕑"/>
    <d v="2022-06-01T00:00:00"/>
    <x v="50"/>
    <d v="1899-12-30T00:00:00"/>
    <d v="1899-12-30T00:00:00"/>
    <n v="192"/>
    <s v="Reta, Felix [C]"/>
    <m/>
  </r>
  <r>
    <x v="9"/>
    <s v="Projects"/>
    <s v="☮ ⛵ RE: Restore new 18.1 WFM database backup CR004 [505845 CAC] ✈🕑"/>
    <d v="2022-06-01T00:00:00"/>
    <x v="65"/>
    <d v="1899-12-30T00:00:00"/>
    <d v="1899-12-30T00:00:00"/>
    <n v="48"/>
    <s v="Reta, Felix [C]"/>
    <m/>
  </r>
  <r>
    <x v="9"/>
    <s v="Projects"/>
    <s v="505845 CR003 DMZ for CAC Approved by Order Management"/>
    <d v="2022-06-03T00:00:00"/>
    <x v="50"/>
    <d v="1899-12-30T00:00:00"/>
    <d v="1899-12-30T00:00:00"/>
    <n v="144"/>
    <s v="Reta, Felix [C]"/>
    <m/>
  </r>
  <r>
    <x v="0"/>
    <s v="Projects"/>
    <s v="Practice QTR PS Forecast review"/>
    <d v="2022-06-02T00:00:00"/>
    <x v="49"/>
    <d v="1899-12-30T00:00:00"/>
    <d v="1899-12-30T00:00:00"/>
    <n v="0"/>
    <s v="Reta, Felix [C]"/>
    <m/>
  </r>
  <r>
    <x v="0"/>
    <s v="Projects"/>
    <s v="Practice QTR PS Forecast review"/>
    <d v="2022-06-09T00:00:00"/>
    <x v="50"/>
    <d v="1899-12-30T00:00:00"/>
    <d v="1899-12-30T00:00:00"/>
    <n v="0"/>
    <s v="Reta, Felix [C]"/>
    <m/>
  </r>
  <r>
    <x v="12"/>
    <m/>
    <s v="505978 Rushmore Projected Go_Live Date @SF 5/20 ↑ 🕑"/>
    <d v="2022-05-02T00:00:00"/>
    <x v="58"/>
    <d v="1899-12-30T00:00:00"/>
    <d v="1899-12-30T00:00:00"/>
    <n v="384"/>
    <s v="Reta, Felix [C]"/>
    <m/>
  </r>
  <r>
    <x v="9"/>
    <m/>
    <s v="505845 CR002 Sales Booking process started"/>
    <d v="2022-05-02T00:00:00"/>
    <x v="42"/>
    <d v="1899-12-30T00:00:00"/>
    <d v="1899-12-30T00:00:00"/>
    <n v="24"/>
    <s v="Reta, Felix [C]"/>
    <m/>
  </r>
  <r>
    <x v="14"/>
    <m/>
    <s v="505967 For kickoff Daniel Wood"/>
    <d v="2022-04-27T00:00:00"/>
    <x v="20"/>
    <d v="1899-12-30T00:00:00"/>
    <d v="1899-12-30T00:00:00"/>
    <n v="48"/>
    <s v="Reta, Felix [C]"/>
    <m/>
  </r>
  <r>
    <x v="9"/>
    <m/>
    <s v="Draft CR003 505845"/>
    <d v="2022-04-28T00:00:00"/>
    <x v="45"/>
    <d v="1899-12-30T00:00:00"/>
    <d v="1899-12-30T00:00:00"/>
    <n v="168"/>
    <s v="Reta, Felix [C]"/>
    <m/>
  </r>
  <r>
    <x v="4"/>
    <m/>
    <s v="505453 UBC Level set with Tumoyia"/>
    <d v="2022-05-17T00:00:00"/>
    <x v="60"/>
    <d v="1899-12-30T00:00:00"/>
    <d v="1899-12-30T00:00:00"/>
    <n v="480"/>
    <s v="Reta, Felix [C]"/>
    <m/>
  </r>
  <r>
    <x v="4"/>
    <m/>
    <s v="505453 UBC Level set with Tumoyia, about 40 hrs left"/>
    <d v="2022-05-17T00:00:00"/>
    <x v="50"/>
    <d v="1899-12-30T00:00:00"/>
    <d v="1899-12-30T00:00:00"/>
    <n v="552"/>
    <s v="Reta, Felix [C]"/>
    <m/>
  </r>
  <r>
    <x v="9"/>
    <m/>
    <s v="505845 Credit Acceptance Corp. AQM open issues."/>
    <d v="2022-05-18T00:00:00"/>
    <x v="58"/>
    <d v="1899-12-30T00:00:00"/>
    <d v="1899-12-30T00:00:00"/>
    <n v="0"/>
    <s v="Reta, Felix [C]"/>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9">
  <r>
    <s v="505926 AFNI"/>
    <s v="RE: [EXTERNAL]Closing project. [505926 AFNI Workforce expansion ACD &amp; RTA feeds to Cisco UCCE]"/>
    <x v="0"/>
    <s v="ADAM BROWNFIELD"/>
    <s v="WARNING: This email "/>
    <x v="0"/>
    <s v="Folder email"/>
  </r>
  <r>
    <s v="505926 AFNI"/>
    <s v="Closing project. [505926 AFNI Workforce expansion ACD &amp; RTA feeds to Cisco UCCE]"/>
    <x v="1"/>
    <s v="Reta, Felix [C]"/>
    <s v="Good morning Adam_x000d__x000a__x000d_"/>
    <x v="0"/>
    <s v="Folder email"/>
  </r>
  <r>
    <s v="505926 AFNI"/>
    <s v="RE: Closing 505926 AFNI Workforce expansion ACD &amp; RTA feeds to Cisco UCCE"/>
    <x v="2"/>
    <s v="Schlinsog, Jason"/>
    <s v="This has been marked"/>
    <x v="0"/>
    <s v="Folder email"/>
  </r>
  <r>
    <s v="505926 AFNI"/>
    <s v="Project #505926 505926  AFNI - 3 ACD Streams - APS status changed"/>
    <x v="3"/>
    <s v="K.P, Ponnamma (ponnamma.poovaiah@alvaria.com)"/>
    <s v=" &lt;http://click.netsu"/>
    <x v="0"/>
    <s v="Folder email"/>
  </r>
  <r>
    <s v="505563 JetBlue"/>
    <s v="RE: Approval for $0 CR001 to support CMS-19 [505563 JetBlue Premise APM Upgrade to v.21-Change Request]"/>
    <x v="4"/>
    <s v="Reta, Felix [C]"/>
    <s v="Thanks Tim,_x000d__x000a__x000d__x000a_ _x000d__x000a__x000d__x000a_"/>
    <x v="1"/>
    <s v="Folder email"/>
  </r>
  <r>
    <s v="505845 CAC Credit Acc"/>
    <s v="RE: UAT reported issues being worked. [505845 CAC]"/>
    <x v="5"/>
    <s v="Chauhan, Sandeep"/>
    <s v="Dear Felix,_x000d__x000a__x000d__x000a_ _x000d__x000a__x000d__x000a_"/>
    <x v="2"/>
    <s v="Folder email"/>
  </r>
  <r>
    <s v="505845 CAC Credit Acc"/>
    <s v="Purchase order for Empower Mobile Client (CR003)"/>
    <x v="6"/>
    <s v="James Moore"/>
    <s v=" _x000d__x000a__x000d__x000a_ _x000d__x000a__x000d__x000a_James Moor"/>
    <x v="2"/>
    <s v="Folder email"/>
  </r>
  <r>
    <s v="505845 CAC Credit Acc"/>
    <s v="FW: Approved by Order Management"/>
    <x v="7"/>
    <s v="Chmel, Greg"/>
    <s v="FYI_x000d__x000a__x000d__x000a_ _x000d__x000a__x000d__x000a_Greg Chm"/>
    <x v="2"/>
    <s v="Folder email"/>
  </r>
  <r>
    <s v="505845 CAC Credit Acc"/>
    <s v="***CR #837 Initiated/edited***"/>
    <x v="8"/>
    <s v="Reta, Felix (felix.reta@alvaria.com)"/>
    <s v=" &lt;http://click.netsu"/>
    <x v="2"/>
    <s v="Folder email"/>
  </r>
  <r>
    <s v="505845 CAC Credit Acc"/>
    <s v="***CR #838 Initiated/edited***"/>
    <x v="9"/>
    <s v="Reta, Felix (felix.reta@alvaria.com)"/>
    <s v=" &lt;http://click.netsu"/>
    <x v="2"/>
    <s v="Folder email"/>
  </r>
  <r>
    <s v="505936 Accenture Dell"/>
    <s v="#505936 Synnex-Dell-Accenture : WFM Upgrade v19- v21.1  ||  BID"/>
    <x v="10"/>
    <s v="Mishra, Nirmal"/>
    <s v="Hello Felix,_x000d__x000a__x000d__x000a_ _x000d__x000a__x000d_"/>
    <x v="3"/>
    <s v="Folder email"/>
  </r>
  <r>
    <s v="505955-Rushmore screen pop migration"/>
    <s v="RE: Director (Screen Scrapper) Weekly meeting [EXTERNAL]"/>
    <x v="11"/>
    <s v="Rucker, George"/>
    <s v="Updated deployment w"/>
    <x v="4"/>
    <s v="Folder email"/>
  </r>
  <r>
    <s v="505971 Assurant"/>
    <s v="RE: Assurant || WFM ECO system DR move to ORD [505971 Full reinstall PS only]"/>
    <x v="12"/>
    <s v="Melinda I Memoli"/>
    <s v="WARNING: This email "/>
    <x v="5"/>
    <s v="Folder email"/>
  </r>
  <r>
    <m/>
    <s v="Your daily briefing"/>
    <x v="13"/>
    <s v="Microsoft Viva"/>
    <s v="Hi Reta, Felix [C], "/>
    <x v="6"/>
    <s v="Inbox email"/>
  </r>
  <r>
    <s v="505845"/>
    <s v="RE: CAC PROD and DR AQM Install"/>
    <x v="14"/>
    <s v="Shanoob, Muhammed"/>
    <s v="Sure, we can discuss"/>
    <x v="2"/>
    <s v="Inbox email"/>
  </r>
  <r>
    <s v="505845"/>
    <s v="RE: CAC PROD and DR AQM Install"/>
    <x v="15"/>
    <s v="James Moore"/>
    <s v="The earliest we can "/>
    <x v="2"/>
    <s v="Inbox email"/>
  </r>
  <r>
    <s v="505845"/>
    <s v="RE: CAC PROD and DR AQM Install"/>
    <x v="16"/>
    <s v="Shanoob, Muhammed"/>
    <s v="Hi James,_x000d__x000a__x000d__x000a_ _x000d__x000a__x000d__x000a_Be"/>
    <x v="2"/>
    <s v="Inbox email"/>
  </r>
  <r>
    <m/>
    <s v="Your daily briefing"/>
    <x v="17"/>
    <s v="Microsoft Viva"/>
    <s v="Hi Reta, Felix [C], "/>
    <x v="6"/>
    <s v="Inbox email"/>
  </r>
  <r>
    <s v="505845"/>
    <s v="[JIRA] (AQMDEV-71063) Migrated Templates from 18.1 to 21.1 show incorrect scores when used in 21.1"/>
    <x v="18"/>
    <s v="Deshmukh, Rajeev"/>
    <s v=" &lt;https://www.gravat"/>
    <x v="2"/>
    <s v="Inbox email"/>
  </r>
  <r>
    <s v="505845"/>
    <s v="[JIRA] (AQMDEV-71063) Migrated Templates from 18.1 to 21.1 show incorrect scores when used in 21.1"/>
    <x v="19"/>
    <s v="Gengaram, Karthi"/>
    <s v=" _x0009_Gengaram, Karthi &lt;"/>
    <x v="2"/>
    <s v="Inbox email"/>
  </r>
  <r>
    <s v="505845"/>
    <s v="[JIRA] (AQMDEV-71063) Migrated Templates from 18.1 to 21.1 show incorrect scores when used in 21.1"/>
    <x v="20"/>
    <s v="Gengaram, Karthi"/>
    <s v=" _x0009_Gengaram, Karthi &lt;"/>
    <x v="2"/>
    <s v="Inbox email"/>
  </r>
  <r>
    <s v="505845"/>
    <s v="[JIRA] (AQMDEV-71063) Migrated Templates from 18.1 to 21.1 show incorrect scores when used in 21.1"/>
    <x v="21"/>
    <s v="Deshmukh, Rajeev"/>
    <s v=" &lt;https://www.gravat"/>
    <x v="2"/>
    <s v="Inbox email"/>
  </r>
  <r>
    <s v="505845"/>
    <s v="RE: [JIRA] (AQMDEV-71063) Migrated Templates from 18.1 to 21.1 show incorrect scores when used in 21.1"/>
    <x v="22"/>
    <s v="Chauhan, Sandeep"/>
    <s v="Dear Felix,_x000d__x000a__x000d__x000a_ _x000d__x000a__x000d__x000a_"/>
    <x v="2"/>
    <s v="Inbox email"/>
  </r>
  <r>
    <s v="505936"/>
    <s v="RE: Synnex-Dell-Accenture- WFM Upgrade V19- V21.1"/>
    <x v="23"/>
    <s v="Mishra, Nirmal"/>
    <s v="Hello Jonathan,_x000d__x000a__x000d__x000a_ "/>
    <x v="3"/>
    <s v="Inbox email"/>
  </r>
  <r>
    <s v="505845"/>
    <s v="Automatic reply: Restore new 18.1 WFM database backup CR004 [505845 CAC]"/>
    <x v="24"/>
    <s v="Vaishali Mehta"/>
    <s v="I I am on PTO on May"/>
    <x v="2"/>
    <s v="Inbox email"/>
  </r>
  <r>
    <s v="505845"/>
    <s v="Automatic reply: Change Request. CR003 WFM 21 Dev [505845 -Credit Acceptance Corp. - WFM/APM and AQM Upgrade to V21]"/>
    <x v="25"/>
    <s v="Chmel, Greg"/>
    <s v="*** OUT OF OFFICE***"/>
    <x v="2"/>
    <s v="Inbox email"/>
  </r>
  <r>
    <s v="505955-Rushmore screen pop migration"/>
    <s v="RE: Director (Screen Scrapper) Weekly meeting"/>
    <x v="26"/>
    <s v="Rucker, George"/>
    <s v="I have a training se"/>
    <x v="4"/>
    <s v="Inbox email"/>
  </r>
  <r>
    <s v="505845"/>
    <s v="RE: UAT reported issues being worked. [505845 CAC]"/>
    <x v="27"/>
    <s v="Chauhan, Sandeep"/>
    <s v="Dear Rajeev,_x000d__x000a__x000d__x000a_ _x000d__x000a__x000d_"/>
    <x v="2"/>
    <s v="Inbox email"/>
  </r>
  <r>
    <n v="504133"/>
    <s v="RE: Alvaria - HGS/USA - Catch up call"/>
    <x v="28"/>
    <s v="Demers, Paul"/>
    <s v="Hi Ryan,_x000d__x000a__x000d__x000a_ _x000d__x000a__x000d__x000a_Tha"/>
    <x v="7"/>
    <s v="Inbox email"/>
  </r>
  <r>
    <s v="505936"/>
    <s v="RE: Synnex-Dell-Accenture- WFM Upgrade V19- V21.1"/>
    <x v="29"/>
    <s v="Baello, Russell J. I."/>
    <s v="WARNING: This email "/>
    <x v="3"/>
    <s v="Inbox email"/>
  </r>
  <r>
    <s v="505955-Rushmore screen pop migration"/>
    <s v="Automatic reply: Director (Screen Scrapper) Weekly meeting [EXTERNAL]"/>
    <x v="30"/>
    <s v="Cassandra Long"/>
    <s v="WARNING: This email "/>
    <x v="4"/>
    <s v="Inbox email"/>
  </r>
  <r>
    <s v="505955-Rushmore screen pop migration"/>
    <s v="Automatic reply: Director (Screen Scrapper) Weekly meeting [EXTERNAL]"/>
    <x v="31"/>
    <s v="William Eargle"/>
    <s v="WARNING: This email "/>
    <x v="4"/>
    <s v="Inbox email"/>
  </r>
  <r>
    <s v="505845"/>
    <s v="RE: Change Request. CR003 WFM 21 Dev [505845 -Credit Acceptance Corp. - WFM/APM and AQM Upgrade to V21]"/>
    <x v="32"/>
    <s v="Chmel, Greg"/>
    <s v="Thanks! _x000d__x000a__x000d__x000a_ _x000d__x000a__x000d__x000a_Gre"/>
    <x v="2"/>
    <s v="Inbox email"/>
  </r>
  <r>
    <s v="505845"/>
    <s v="RE: Restore new 18.1 WFM database backup CR004 [505845 CAC]"/>
    <x v="33"/>
    <s v="James Moore"/>
    <s v="Here is the signed C"/>
    <x v="2"/>
    <s v="Inbox email"/>
  </r>
  <r>
    <m/>
    <s v="Project Milestone - Validation "/>
    <x v="34"/>
    <s v="Schlinsog, Jason"/>
    <s v="Felix_x000d__x000a__x000d__x000a_ _x000d__x000a__x000d__x000a_Hope y"/>
    <x v="6"/>
    <s v="Inbox email"/>
  </r>
  <r>
    <m/>
    <s v="RE: EOM Timecards"/>
    <x v="35"/>
    <s v="April Bock"/>
    <s v="Today is the end of "/>
    <x v="6"/>
    <s v="Inbox email"/>
  </r>
  <r>
    <m/>
    <s v="RE: New WBS Template_V2022"/>
    <x v="36"/>
    <s v="Schlinsog, Jason"/>
    <s v="All, _x000d__x000a__x000d__x000a_ _x000d__x000a__x000d__x000a_I had "/>
    <x v="6"/>
    <s v="Inbox email"/>
  </r>
  <r>
    <s v="505845"/>
    <s v="[JIRA] (AQMDEV-71063) Migrated Templates from 18.1 to 21.1 show incorrect scores when used in 21.1"/>
    <x v="37"/>
    <s v="Deshmukh, Rajeev"/>
    <s v=" &lt;https://www.gravat"/>
    <x v="2"/>
    <s v="Inbox email"/>
  </r>
  <r>
    <m/>
    <s v="RE: Project Milestone - Validation "/>
    <x v="38"/>
    <s v="Schlinsog, Jason"/>
    <s v="Correct, this projec"/>
    <x v="6"/>
    <s v="Inbox email"/>
  </r>
  <r>
    <s v="505845"/>
    <s v="[JIRA] (AQMDEV-71063) Migrated Templates from 18.1 to 21.1 show incorrect scores when used in 21.1"/>
    <x v="39"/>
    <s v="Subramanyam, Hari"/>
    <s v=" _x0009_Subramanyam, Hari "/>
    <x v="2"/>
    <s v="Inbox email"/>
  </r>
  <r>
    <s v="505845"/>
    <s v="[JIRA] (AQMDEV-71063) Migrated Templates from 18.1 to 21.1 show incorrect scores when used in 21.1"/>
    <x v="40"/>
    <s v="Subramanyam, Hari"/>
    <s v=" _x0009_Subramanyam, Hari "/>
    <x v="2"/>
    <s v="Inbox email"/>
  </r>
  <r>
    <s v="505955-Rushmore screen pop migration"/>
    <s v="RE: Director (Screen Scrapper) Weekly meeting"/>
    <x v="41"/>
    <s v="Rucker, George"/>
    <s v="Added Configuration:"/>
    <x v="4"/>
    <s v="Inbox email"/>
  </r>
  <r>
    <s v="505845"/>
    <s v="RE: Restore new 18.1 WFM database backup"/>
    <x v="42"/>
    <s v="Srinivas, Aswath"/>
    <s v="HI James _x000d__x000a__x000d__x000a_I am do"/>
    <x v="2"/>
    <s v="Inbox email"/>
  </r>
  <r>
    <s v="505845"/>
    <s v="RE: CAC PROD and DR AQM Install"/>
    <x v="43"/>
    <s v="Shanoob, Muhammed"/>
    <s v="Hi James,_x000d__x000a__x000d__x000a__x000d__x000a_We ca"/>
    <x v="2"/>
    <s v="Inbox email"/>
  </r>
  <r>
    <s v="505936"/>
    <s v="RE: Synnex-Dell-Accenture- WFM Upgrade V19- V21.1"/>
    <x v="44"/>
    <s v="Baello, Russell J. I."/>
    <s v="WARNING: This email "/>
    <x v="3"/>
    <s v="Inbox email"/>
  </r>
  <r>
    <s v="505845"/>
    <s v="RE: Restore new 18.1 WFM database backup"/>
    <x v="45"/>
    <s v="James Moore"/>
    <s v="Just for documentati"/>
    <x v="2"/>
    <s v="Inbox email"/>
  </r>
  <r>
    <m/>
    <s v="Harini R Desai mentioned you in a post"/>
    <x v="46"/>
    <s v="Alvaria Inc."/>
    <s v="@Felix Reta @Nimmy A"/>
    <x v="6"/>
    <s v="Inbox email"/>
  </r>
  <r>
    <s v="505563"/>
    <s v="Lab environment"/>
    <x v="47"/>
    <s v="Giles, Timothy"/>
    <s v="Hey Felix,_x000d__x000a__x000d__x000a_ _x000d__x000a__x000d__x000a_B"/>
    <x v="1"/>
    <s v="Inbox email"/>
  </r>
  <r>
    <m/>
    <s v="Your Daily Digest for Alvaria Inc"/>
    <x v="48"/>
    <s v="Alvaria Inc."/>
    <s v=" _x0009_ _x000d__x000a_ _x0009_ _x000d__x000a_ _x0009_ Hi Feli"/>
    <x v="6"/>
    <s v="Inbox email"/>
  </r>
  <r>
    <m/>
    <s v="NA I&amp;O Practice Qrt PS Forecast by Project Schedule"/>
    <x v="49"/>
    <s v="Beal, Stephen (steve.beal@Alvaria.com)"/>
    <s v=" &lt;http://click.netsu"/>
    <x v="6"/>
    <s v="Inbox email"/>
  </r>
  <r>
    <s v="505845"/>
    <s v="RE: Restore new 18.1 WFM database backup"/>
    <x v="50"/>
    <s v="Brad Messer"/>
    <s v="Hi James -  the miss"/>
    <x v="2"/>
    <s v="Inbox email"/>
  </r>
  <r>
    <m/>
    <s v="Your daily briefing"/>
    <x v="51"/>
    <s v="Microsoft Viva"/>
    <s v="Hi Reta, Felix [C], "/>
    <x v="6"/>
    <s v="Inbox email"/>
  </r>
  <r>
    <s v="505845"/>
    <s v="RE: Restore new 18.1 WFM database backup"/>
    <x v="52"/>
    <s v="Brad Messer"/>
    <s v="Hello – I believe an"/>
    <x v="2"/>
    <s v="Inbox email"/>
  </r>
  <r>
    <m/>
    <s v="Report results ((JS) 30 days APS Go Live NA Trac)"/>
    <x v="53"/>
    <s v="Jason Schlinsog"/>
    <s v="Total Records 55 _x000d__x000a__x0009_"/>
    <x v="6"/>
    <s v="Inbox email"/>
  </r>
  <r>
    <s v="505845"/>
    <s v="[JIRA] (AQMDEV-71063) Migrated Templates from 18.1 to 21.1 show incorrect scores when used in 21.1"/>
    <x v="54"/>
    <s v="Deshmukh, Rajeev"/>
    <s v=" &lt;https://www.gravat"/>
    <x v="2"/>
    <s v="Inbox email"/>
  </r>
  <r>
    <s v="505845"/>
    <s v="[JIRA] (AQMDEV-71063) Migrated Templates from 18.1 to 21.1 show incorrect scores when used in 21.1"/>
    <x v="55"/>
    <s v="Rainmaker User"/>
    <s v=" &lt;https://www.gravat"/>
    <x v="2"/>
    <s v="Inbox email"/>
  </r>
  <r>
    <s v="505845"/>
    <s v="[JIRA] (AQMDEV-71063) Migrated Templates from 18.1 to 21.1 show incorrect scores when used in 21.1"/>
    <x v="56"/>
    <s v="Rainmaker User"/>
    <s v=" &lt;https://www.gravat"/>
    <x v="2"/>
    <s v="Inbox email"/>
  </r>
  <r>
    <s v="505845"/>
    <s v="[JIRA] (AQMDEV-71063) Migrated Templates from 18.1 to 21.1 show incorrect scores when used in 21.1"/>
    <x v="57"/>
    <s v="Rainmaker User"/>
    <s v=" &lt;https://www.gravat"/>
    <x v="2"/>
    <s v="Inbox email"/>
  </r>
  <r>
    <s v="505955-Rushmore screen pop migration"/>
    <s v="RE: Director (Screen Scrapper) Weekly meeting [EXTERNAL]"/>
    <x v="58"/>
    <s v="Rafael Davila"/>
    <s v="WARNING: This email "/>
    <x v="4"/>
    <s v="Inbox email"/>
  </r>
  <r>
    <m/>
    <s v="Updated Project Purchase Order"/>
    <x v="59"/>
    <s v="James Moore"/>
    <s v=" _x000d__x000a__x000d__x000a_ _x000d__x000a__x000d__x000a_ _x000d__x000a__x000d__x000a_James"/>
    <x v="6"/>
    <s v="Inbox email"/>
  </r>
  <r>
    <s v="505967"/>
    <s v="RE: RITM0196019 BP Account Created"/>
    <x v="60"/>
    <s v="Cammarata, Vincent"/>
    <s v="Completed_x000d__x000a__x000d__x000a_ _x000d__x000a__x000d__x000a_ _x000d_"/>
    <x v="8"/>
    <s v="Inbox email"/>
  </r>
  <r>
    <s v="505845"/>
    <s v="RE: Restore new 18.1 WFM database backup"/>
    <x v="61"/>
    <s v="James Moore"/>
    <s v="_x000d__x000a__x000d__x000a_They looks to be"/>
    <x v="2"/>
    <s v="Inbox email"/>
  </r>
  <r>
    <s v="505563"/>
    <s v="RE: Lab environment [505563 -Jet Blue - Premise APM Upgrade to V.21]"/>
    <x v="62"/>
    <s v="Giles, Timothy"/>
    <s v="Hi Felix,_x000d__x000a__x000d__x000a_ _x000d__x000a__x000d__x000a_Le"/>
    <x v="1"/>
    <s v="Inbox email"/>
  </r>
  <r>
    <s v="505967"/>
    <s v="RE: RITM0196019 BP Account Created"/>
    <x v="63"/>
    <s v="Alla, Prabhakar"/>
    <s v="Hi Vincent_x000d__x000a_ _x000d__x000a_Sorry"/>
    <x v="8"/>
    <s v="Inbox email"/>
  </r>
  <r>
    <s v="505845"/>
    <s v="RE: UAT reported issues being worked. [505845 CAC]"/>
    <x v="64"/>
    <s v="Deshmukh, Rajeev"/>
    <s v="Engineering has repr"/>
    <x v="2"/>
    <s v="Inbox email"/>
  </r>
  <r>
    <s v="505967"/>
    <s v="RE: RITM0196019 BP Account Created"/>
    <x v="65"/>
    <s v="Wood, Daniel"/>
    <s v="Hey Vincent,_x000d__x000a__x000d__x000a_ _x000d__x000a__x000d_"/>
    <x v="8"/>
    <s v="Inbox email"/>
  </r>
  <r>
    <s v="505967"/>
    <s v="RE: RITM0196019 BP Account Created"/>
    <x v="66"/>
    <s v="Cammarata, Vincent"/>
    <s v="I created a SQL ID_x000d__x000a_"/>
    <x v="8"/>
    <s v="Inbox email"/>
  </r>
  <r>
    <s v="505563"/>
    <s v="FW: JetBlue Lab environment [505563]"/>
    <x v="67"/>
    <s v="Lomakin, Roman"/>
    <s v=" _x000d__x000a__x000d__x000a_ _x000d__x000a__x000d__x000a_Roman Loma"/>
    <x v="1"/>
    <s v="Inbox email"/>
  </r>
  <r>
    <s v="505936"/>
    <s v="RE: Synnex-Dell-Accenture- WFM Upgrade V19- V21.1"/>
    <x v="68"/>
    <s v="Baello, Russell J. I."/>
    <s v="WARNING: This email "/>
    <x v="3"/>
    <s v="Inbox email"/>
  </r>
  <r>
    <m/>
    <s v="RE: Restore new 18.1 WFM database backup"/>
    <x v="69"/>
    <s v="Srinivas, Aswath"/>
    <s v="HI James_x000d__x000a__x000d__x000a_I am don"/>
    <x v="6"/>
    <s v="Inbox email"/>
  </r>
  <r>
    <s v="505936"/>
    <s v="RE: Synnex-Dell-Accenture- WFM Upgrade V19- V21.1"/>
    <x v="70"/>
    <s v="Mishra, Nirmal"/>
    <s v="Hello Russell,_x000d__x000a__x000d__x000a_ _x000d_"/>
    <x v="3"/>
    <s v="Inbox email"/>
  </r>
  <r>
    <s v="505563"/>
    <s v="RE: JetBlue Lab environment [505563]"/>
    <x v="71"/>
    <s v="Culver, Brent"/>
    <s v="Hi Felix;_x000d__x000a__x000d__x000a_ _x000d__x000a__x000d__x000a_I "/>
    <x v="1"/>
    <s v="Inbox email"/>
  </r>
  <r>
    <s v="505845"/>
    <s v="RE: FW: CR004 for 505845 Credit Acceptance AQM Upgrade, 2nd Db copy."/>
    <x v="72"/>
    <s v="Chmel, Greg"/>
    <s v="I hear ya! _x000d__x000a__x000d__x000a_ _x000d__x000a__x000d__x000a_"/>
    <x v="2"/>
    <s v="Inbox email"/>
  </r>
  <r>
    <s v="505845"/>
    <s v="RE: FW: CR004 for 505845 Credit Acceptance AQM Upgrade, 2nd Db copy."/>
    <x v="73"/>
    <s v="Chmel, Greg"/>
    <s v="Opp is 285311_x000d__x000a__x000d__x000a_ _x000d__x000a_"/>
    <x v="2"/>
    <s v="Inbox email"/>
  </r>
  <r>
    <s v="505563"/>
    <s v="RE: JetBlue Lab environment [505563]"/>
    <x v="74"/>
    <s v="Culver, Brent"/>
    <s v="Roman Specifically r"/>
    <x v="1"/>
    <s v="Inbox email"/>
  </r>
  <r>
    <s v="505845"/>
    <s v="RE: RE: Restore new 18.1 WFM database backup CR004 [505845 CAC]"/>
    <x v="75"/>
    <s v="Schlinsog, Jason"/>
    <s v="Please see attached."/>
    <x v="2"/>
    <s v="Inbox email"/>
  </r>
  <r>
    <s v="505563"/>
    <s v="RE: JetBlue Lab environment [505563]"/>
    <x v="76"/>
    <s v="Mani, Subra"/>
    <s v="Brent – thanks, you "/>
    <x v="1"/>
    <s v="Inbox email"/>
  </r>
  <r>
    <s v="505563"/>
    <s v="RE: JetBlue Lab environment [505563]"/>
    <x v="77"/>
    <s v="Culver, Brent"/>
    <s v="Hi Felix;_x000d__x000a__x000d__x000a_ _x000d__x000a__x000d__x000a_I "/>
    <x v="1"/>
    <s v="Inbox email"/>
  </r>
  <r>
    <s v="505967"/>
    <s v="RE: RITM0196019 BP Account Created"/>
    <x v="78"/>
    <s v="Alla, Prabhakar"/>
    <s v="Hi Daniel_x000d__x000a_ _x000d__x000a_We are"/>
    <x v="8"/>
    <s v="Inbox email"/>
  </r>
  <r>
    <m/>
    <s v="Congratulations to  Cara Williams on her new role - Project Office Analyst! "/>
    <x v="79"/>
    <s v="Schlinsog, Jason"/>
    <s v="Team,_x000d__x000a__x000d__x000a_ _x000d__x000a__x000d__x000a_I woul"/>
    <x v="6"/>
    <s v="Inbox email"/>
  </r>
  <r>
    <s v="505845"/>
    <s v="WFM PROD environment testing"/>
    <x v="80"/>
    <s v="James Moore"/>
    <s v="Aswath, please find "/>
    <x v="2"/>
    <s v="Inbox email"/>
  </r>
  <r>
    <m/>
    <s v="Your Daily Digest for Alvaria Inc"/>
    <x v="81"/>
    <s v="Alvaria Inc."/>
    <s v=" _x0009_ _x000d__x000a_ _x0009_ _x000d__x000a_ _x0009_ Hi Feli"/>
    <x v="6"/>
    <s v="Inbox email"/>
  </r>
  <r>
    <m/>
    <s v="Your daily briefing"/>
    <x v="82"/>
    <s v="Microsoft Viva"/>
    <s v="Hi Reta, Felix [C], "/>
    <x v="6"/>
    <s v="Inbox email"/>
  </r>
  <r>
    <s v="505936"/>
    <s v="RE: PA# 505936 Synnex-Dell-Accenture : WFM Upgrade v19.0 - v21.1 || Nightly Update"/>
    <x v="83"/>
    <s v="Mishra, Nirmal"/>
    <s v="Update : 1st -June-2"/>
    <x v="3"/>
    <s v="Inbox email"/>
  </r>
  <r>
    <s v="505845"/>
    <s v="Re: CAC PROD and DR AQM Install"/>
    <x v="84"/>
    <s v="James Moore"/>
    <s v="The testing last nig"/>
    <x v="2"/>
    <s v="Inbox email"/>
  </r>
  <r>
    <s v="505845"/>
    <s v="RE: WFM PROD environment testing"/>
    <x v="85"/>
    <s v="Srinivas, Aswath"/>
    <s v="Hi James _x000d__x000a__x000d__x000a_It’s so"/>
    <x v="2"/>
    <s v="Inbox email"/>
  </r>
  <r>
    <s v="505845"/>
    <s v="RE: WFM PROD environment testing"/>
    <x v="86"/>
    <s v="James Moore"/>
    <s v="Are we sure it’s  no"/>
    <x v="2"/>
    <s v="Inbox email"/>
  </r>
  <r>
    <s v="505845"/>
    <s v="RE: WFM PROD environment testing"/>
    <x v="87"/>
    <s v="Srinivas, Aswath"/>
    <s v="HI James _x000d__x000a__x000d__x000a_That is"/>
    <x v="2"/>
    <s v="Inbox email"/>
  </r>
  <r>
    <s v="505845"/>
    <s v="RE: WFM PROD environment testing"/>
    <x v="88"/>
    <s v="James Moore"/>
    <s v="Thanks Aswath, what "/>
    <x v="2"/>
    <s v="Inbox email"/>
  </r>
  <r>
    <s v="505563"/>
    <s v="RE: APM Reporting Services"/>
    <x v="89"/>
    <s v="Bodrero, Brenda"/>
    <s v="+Daniel_x000d__x000a__x000d__x000a_ _x000d__x000a__x000d__x000a_Dani"/>
    <x v="1"/>
    <s v="Inbox email"/>
  </r>
  <r>
    <s v="505563"/>
    <s v="APM Reporting Services"/>
    <x v="90"/>
    <s v="Culver, Brent"/>
    <s v="Hi Brenda;_x000d__x000a__x000d__x000a_ _x000d__x000a__x000d__x000a_F"/>
    <x v="1"/>
    <s v="Inbox email"/>
  </r>
  <r>
    <s v="505563"/>
    <s v="Automatic reply: 6.1.22 Weekly Project Status Meeting JetBlue/Alvaria [505563]"/>
    <x v="91"/>
    <s v="Anderson, Amy"/>
    <s v="Hello,_x000d__x000a__x000d__x000a_I am curre"/>
    <x v="1"/>
    <s v="Inbox email"/>
  </r>
  <r>
    <s v="505563"/>
    <s v="RE: APM Reporting Services"/>
    <x v="92"/>
    <s v="Wood, Daniel"/>
    <s v="Sure, no problem. JB"/>
    <x v="1"/>
    <s v="Inbox email"/>
  </r>
  <r>
    <s v="505845"/>
    <s v="RE: WFM PROD environment testing"/>
    <x v="93"/>
    <s v="Brad Messer"/>
    <s v="We shouldn’t have a "/>
    <x v="2"/>
    <s v="Inbox email"/>
  </r>
  <r>
    <m/>
    <s v="FW: Approved by Order Management"/>
    <x v="94"/>
    <s v="Chmel, Greg"/>
    <s v="FYI_x000d__x000a__x000d__x000a_ _x000d__x000a__x000d__x000a_Greg Chm"/>
    <x v="6"/>
    <s v="Inbox email"/>
  </r>
  <r>
    <s v="505967"/>
    <s v="RE: Jetblue brusk user access"/>
    <x v="95"/>
    <s v="Rusk, Bruce"/>
    <s v="Amy,_x000d__x000a__x000d__x000a_ _x000d__x000a__x000d__x000a_ _x000d__x000a__x000d__x000a_Th"/>
    <x v="8"/>
    <s v="Inbox email"/>
  </r>
  <r>
    <s v="505845"/>
    <s v="RE: CAC PROD and DR AQM Install"/>
    <x v="96"/>
    <s v="Shanoob, Muhammed"/>
    <s v="**Internal**_x000d__x000a__x000d__x000a_ _x000d__x000a__x000d_"/>
    <x v="2"/>
    <s v="Inbox email"/>
  </r>
  <r>
    <s v="505967"/>
    <s v="Re: Jetblue brusk user access"/>
    <x v="97"/>
    <s v="Anderson, Amy"/>
    <s v="+Brenda_x000d__x000a__x000d__x000a_Hi Bruce,"/>
    <x v="8"/>
    <s v="Inbox email"/>
  </r>
  <r>
    <s v="505971"/>
    <s v="Automatic reply: Assurant || WFM ECO system DR move to ORD [505971 Full reinstall PS only]"/>
    <x v="98"/>
    <s v="Smith, Cal"/>
    <s v="I will be out of the"/>
    <x v="5"/>
    <s v="Inbox email"/>
  </r>
  <r>
    <s v="505967"/>
    <s v="RE: Jetblue brusk user access"/>
    <x v="99"/>
    <s v="Anderson, Amy"/>
    <s v="Hi Bruce, _x000d__x000a__x000d__x000a_ _x000d__x000a__x000d__x000a_I"/>
    <x v="8"/>
    <s v="Inbox email"/>
  </r>
  <r>
    <s v="505845"/>
    <s v="WFO performance"/>
    <x v="100"/>
    <s v="James Moore"/>
    <s v="April and Felix,_x000d__x000a__x000d__x000a_"/>
    <x v="2"/>
    <s v="Inbox email"/>
  </r>
  <r>
    <s v="505563"/>
    <s v="RE: Jetblue brusk user access"/>
    <x v="101"/>
    <s v="Rusk, Bruce"/>
    <s v="That did it, I’m abl"/>
    <x v="1"/>
    <s v="Inbox email"/>
  </r>
  <r>
    <s v="505563"/>
    <s v="Re: Jetblue brusk user access"/>
    <x v="102"/>
    <s v="Anderson, Amy"/>
    <s v="Great! _x000d__x000a_Thanks for "/>
    <x v="1"/>
    <s v="Inbox email"/>
  </r>
  <r>
    <s v="505845"/>
    <s v="RE: WFO performance"/>
    <x v="103"/>
    <s v="Bock, April [C]"/>
    <s v="James,_x000d__x000a__x000d__x000a_Are you ta"/>
    <x v="2"/>
    <s v="Inbox email"/>
  </r>
  <r>
    <s v="505845"/>
    <s v="RE: APM WFM data"/>
    <x v="104"/>
    <s v="Wood, Daniel"/>
    <s v="Our PROD, LAB, and D"/>
    <x v="2"/>
    <s v="Inbox email"/>
  </r>
  <r>
    <s v="505955-Rushmore screen pop migration"/>
    <s v="RE: Director (Screen Scrapper) Weekly meeting"/>
    <x v="105"/>
    <s v="Rucker, George"/>
    <s v="Added Configuration:"/>
    <x v="4"/>
    <s v="Inbox email"/>
  </r>
  <r>
    <s v="505845"/>
    <s v="RE: WFO performance"/>
    <x v="106"/>
    <s v="James Moore"/>
    <s v="21.1 on the pw1aqm21"/>
    <x v="2"/>
    <s v="Inbox email"/>
  </r>
  <r>
    <s v="505563"/>
    <s v="RE: APM WFM data"/>
    <x v="107"/>
    <s v="Bodrero, Brenda"/>
    <s v="We don’t want is con"/>
    <x v="1"/>
    <s v="Inbox email"/>
  </r>
  <r>
    <s v="505936"/>
    <s v="RE: Synnex-Dell-Accenture- WFM Upgrade V19- V21.1"/>
    <x v="108"/>
    <s v="Baello, Russell J. I."/>
    <s v="WARNING: This email "/>
    <x v="3"/>
    <s v="Inbox email"/>
  </r>
  <r>
    <s v="505936"/>
    <s v="RE: Synnex-Dell-Accenture- WFM Upgrade V19- V21.1"/>
    <x v="109"/>
    <s v="Pacuribot, Jonathan Renz"/>
    <s v="WARNING: This email "/>
    <x v="3"/>
    <s v="Inbox email"/>
  </r>
  <r>
    <s v="505936"/>
    <s v="RE: Synnex-Dell-Accenture- WFM Upgrade V19- V21.1"/>
    <x v="110"/>
    <s v="Mishra, Nirmal"/>
    <s v="Hello Jonathan,_x000d__x000a__x000d__x000a_ "/>
    <x v="3"/>
    <s v="Inbox email"/>
  </r>
  <r>
    <s v="505845"/>
    <s v="FW: 01255974 support ticket for adaptor issue with CAC"/>
    <x v="111"/>
    <s v="Bock, April [C]"/>
    <s v="I found this, but I "/>
    <x v="2"/>
    <s v="Inbox email"/>
  </r>
  <r>
    <s v="505845"/>
    <s v="RE: WFM PROD environment testing"/>
    <x v="112"/>
    <s v="Bock, April [C]"/>
    <s v="It should be working"/>
    <x v="2"/>
    <s v="Inbox email"/>
  </r>
  <r>
    <s v="505845"/>
    <s v="RE: [JIRA] (AQMDEV-71062) Using pop out, media player does not expand with Window when stretched, fills with white space"/>
    <x v="113"/>
    <s v="Bock, April [C]"/>
    <s v="They will install th"/>
    <x v="2"/>
    <s v="Inbox email"/>
  </r>
  <r>
    <s v="505845"/>
    <s v="RE: CAC PROD and DR AQM Install"/>
    <x v="114"/>
    <s v="James Moore"/>
    <s v="Shanoob, can you giv"/>
    <x v="2"/>
    <s v="Inbox email"/>
  </r>
  <r>
    <s v="505955-Rushmore screen pop migration"/>
    <s v="RE: Director (Screen Scrapper) Weekly meeting [EXTERNAL]"/>
    <x v="115"/>
    <s v="Rafael Davila"/>
    <s v="WARNING: This email "/>
    <x v="4"/>
    <s v="Inbox email"/>
  </r>
  <r>
    <s v="505955-Rushmore screen pop migration"/>
    <s v="RE: Director (Screen Scrapper) Weekly meeting [EXTERNAL]"/>
    <x v="116"/>
    <s v="Rafael Davila"/>
    <s v="WARNING: This email "/>
    <x v="4"/>
    <s v="Inbox email"/>
  </r>
  <r>
    <s v="505955-Rushmore screen pop migration"/>
    <s v="RE: Director (Screen Scrapper) Weekly meeting [EXTERNAL]"/>
    <x v="117"/>
    <s v="Rafael Davila"/>
    <s v="WARNING: This email "/>
    <x v="4"/>
    <s v="Inbox email"/>
  </r>
  <r>
    <s v="505955-Rushmore screen pop migration"/>
    <s v="RE: Director (Screen Scrapper) Weekly meeting [EXTERNAL]"/>
    <x v="118"/>
    <s v="Thomas Pitts"/>
    <s v="WARNING: This email "/>
    <x v="4"/>
    <s v="Inbox email"/>
  </r>
  <r>
    <s v="505955-Rushmore screen pop migration"/>
    <s v="RE: Director (Screen Scrapper) Weekly meeting [EXTERNAL]"/>
    <x v="119"/>
    <s v="Rafael Davila"/>
    <s v="WARNING: This email "/>
    <x v="4"/>
    <s v="Inbox email"/>
  </r>
  <r>
    <m/>
    <s v="Rajeev sent a message"/>
    <x v="120"/>
    <s v="Deshmukh, Rajeev in Teams"/>
    <s v="Engineering is worki"/>
    <x v="6"/>
    <s v="Inbox email"/>
  </r>
  <r>
    <s v="505936"/>
    <s v="RE: Synnex-Dell-Accenture- WFM Upgrade V19- V21.1"/>
    <x v="121"/>
    <s v="Pacuribot, Jonathan Renz"/>
    <s v="WARNING: This email "/>
    <x v="3"/>
    <s v="Inbox email"/>
  </r>
  <r>
    <m/>
    <s v="Your Daily Digest from Datadog"/>
    <x v="122"/>
    <s v="Datadog"/>
    <s v=" &lt;https://app.datado"/>
    <x v="6"/>
    <s v="Inbox email"/>
  </r>
  <r>
    <s v="505845"/>
    <s v="RE: CAC PROD and DR AQM Install"/>
    <x v="123"/>
    <s v="Shanoob, Muhammed"/>
    <s v="Hi James,_x000d__x000a__x000d__x000a_ _x000d__x000a__x000d__x000a_A "/>
    <x v="2"/>
    <s v="Inbox email"/>
  </r>
  <r>
    <m/>
    <s v="Your Daily Digest for Alvaria Inc"/>
    <x v="124"/>
    <s v="Alvaria Inc."/>
    <s v=" _x0009_ _x000d__x000a_ _x0009_ _x000d__x000a_ _x0009_ Hi Feli"/>
    <x v="6"/>
    <s v="Inbox email"/>
  </r>
  <r>
    <s v="505845"/>
    <s v="RE: WFO performance"/>
    <x v="125"/>
    <s v="Shanoob, Muhammed"/>
    <s v="Hi James,_x000d__x000a__x000d__x000a_ _x000d__x000a__x000d__x000a_I "/>
    <x v="2"/>
    <s v="Inbox email"/>
  </r>
  <r>
    <m/>
    <s v="Your daily briefing"/>
    <x v="126"/>
    <s v="Microsoft Viva"/>
    <s v="Hi Reta, Felix [C], "/>
    <x v="6"/>
    <s v="Inbox email"/>
  </r>
  <r>
    <s v="505845"/>
    <s v="RE: WFO performance"/>
    <x v="127"/>
    <s v="Dianne Pulles"/>
    <s v="Good morning,_x000d__x000a__x000d__x000a_ _x000d__x000a_"/>
    <x v="2"/>
    <s v="Inbox email"/>
  </r>
  <r>
    <s v="505845"/>
    <s v="RE: WFO performance"/>
    <x v="128"/>
    <s v="Shanoob, Muhammed"/>
    <s v="Hi_x000d__x000a__x000d__x000a_ _x000d__x000a__x000d__x000a_Could you"/>
    <x v="2"/>
    <s v="Inbox email"/>
  </r>
  <r>
    <s v="505845"/>
    <s v="WFM Issue"/>
    <x v="129"/>
    <s v="James Moore"/>
    <s v="April/Aswath, please"/>
    <x v="2"/>
    <s v="Inbox email"/>
  </r>
  <r>
    <s v="505563"/>
    <s v="RE: Lab environment [505563 -Jet Blue - Premise APM Upgrade to V.21]"/>
    <x v="130"/>
    <s v="Culver, Brent"/>
    <s v="Hi Felix;_x000d__x000a__x000d__x000a_ _x000d__x000a__x000d__x000a_Be"/>
    <x v="1"/>
    <s v="Inbox email"/>
  </r>
  <r>
    <s v="505845"/>
    <s v="RE: CAC PROD and DR AQM Install"/>
    <x v="131"/>
    <s v="James Moore"/>
    <s v="Thanks Shanoob. Do y"/>
    <x v="2"/>
    <s v="Inbox email"/>
  </r>
  <r>
    <s v="505845"/>
    <s v="RE: WFM Issue"/>
    <x v="132"/>
    <s v="Brad Messer"/>
    <s v="Hello – here is a sc"/>
    <x v="2"/>
    <s v="Inbox email"/>
  </r>
  <r>
    <s v="505845"/>
    <s v="RE: CAC PROD and DR AQM Install"/>
    <x v="133"/>
    <s v="Shanoob, Muhammed"/>
    <s v="Hi James,_x000d__x000a__x000d__x000a_ _x000d__x000a__x000d__x000a_I "/>
    <x v="2"/>
    <s v="Inbox email"/>
  </r>
  <r>
    <s v="505845"/>
    <s v="RE: CAC PROD and DR AQM Install"/>
    <x v="134"/>
    <s v="James Moore"/>
    <s v="Name any date and I "/>
    <x v="2"/>
    <s v="Inbox email"/>
  </r>
  <r>
    <s v="505955-Rushmore screen pop migration"/>
    <s v="Screen Scrapper not working on Citrix"/>
    <x v="135"/>
    <s v="Rafael Davila"/>
    <s v="WARNING: This email "/>
    <x v="4"/>
    <s v="Inbox email"/>
  </r>
  <r>
    <s v="505936"/>
    <s v="RE: Synnex-Dell-Accenture- WFM Upgrade V19- V21.1"/>
    <x v="136"/>
    <s v="Pacuribot, Jonathan Renz"/>
    <s v="WARNING: This email "/>
    <x v="3"/>
    <s v="Inbox email"/>
  </r>
  <r>
    <s v="505563"/>
    <s v="RE: APM WFM data"/>
    <x v="137"/>
    <s v="Bodrero, Brenda"/>
    <s v="Thank you!_x000d__x000a__x000d__x000a_ _x000d__x000a__x000d__x000a_T"/>
    <x v="1"/>
    <s v="Inbox email"/>
  </r>
  <r>
    <s v="505967"/>
    <s v="FW: APM WFM data"/>
    <x v="138"/>
    <s v="Giles, Timothy"/>
    <s v="Hi Felix,_x000d__x000a__x000d__x000a_ _x000d__x000a__x000d__x000a_Ca"/>
    <x v="8"/>
    <s v="Inbox email"/>
  </r>
  <r>
    <s v="505845"/>
    <s v="[JIRA] (AQMDEV-71074) New AOAG implementation to replace Peer To Peer Replication"/>
    <x v="139"/>
    <s v="Rainmaker User"/>
    <s v=" &lt;https://www.gravat"/>
    <x v="2"/>
    <s v="Inbox email"/>
  </r>
  <r>
    <s v="505845"/>
    <s v="[JIRA] (AQMDEV-71074) New AOAG implementation to replace Peer To Peer Replication"/>
    <x v="140"/>
    <s v="Rainmaker User"/>
    <s v=" &lt;https://www.gravat"/>
    <x v="2"/>
    <s v="Inbox email"/>
  </r>
  <r>
    <s v="505967"/>
    <s v="RE: APM WFM data"/>
    <x v="141"/>
    <s v="Giles, Timothy"/>
    <s v="Hi Felix,_x000d__x000a__x000d__x000a_ _x000d__x000a__x000d__x000a_Ho"/>
    <x v="8"/>
    <s v="Inbox email"/>
  </r>
  <r>
    <s v="505845"/>
    <s v="AQM WFO defect"/>
    <x v="142"/>
    <s v="James Moore"/>
    <s v="April/Shanoob,_x000d__x000a__x000d__x000a_Tw"/>
    <x v="2"/>
    <s v="Inbox email"/>
  </r>
  <r>
    <s v="505955-Rushmore screen pop migration"/>
    <s v="RE: Director (Screen Scrapper) Weekly meeting [EXTERNAL]"/>
    <x v="143"/>
    <s v="Rafael Davila"/>
    <s v="WARNING: This email "/>
    <x v="4"/>
    <s v="Inbox email"/>
  </r>
  <r>
    <s v="505955-Rushmore screen pop migration"/>
    <s v="RE: Director (Screen Scrapper) Weekly meeting [EXTERNAL]"/>
    <x v="144"/>
    <s v="Rucker, George"/>
    <s v="There is no easy way"/>
    <x v="4"/>
    <s v="Inbox email"/>
  </r>
  <r>
    <m/>
    <s v="Change and Project Completed Status Report 20220527-20220602"/>
    <x v="145"/>
    <s v="Change Management"/>
    <s v="_x000d__x000a__x000d__x000a_ _x000d__x000a__x000d__x000a_Good aftern"/>
    <x v="6"/>
    <s v="Inbox email"/>
  </r>
  <r>
    <m/>
    <s v="Change and Project Planned Work Report 20220603-20220609"/>
    <x v="146"/>
    <s v="Change Management"/>
    <s v="_x000d__x000a__x000d__x000a_ _x000d__x000a__x000d__x000a_Good aftern"/>
    <x v="6"/>
    <s v="Inbox email"/>
  </r>
  <r>
    <m/>
    <s v="RE: Change and Project Completed Status Report 20220527-20220602"/>
    <x v="147"/>
    <s v="Burnette, Charles"/>
    <s v="Good afternoon my fr"/>
    <x v="6"/>
    <s v="Inbox email"/>
  </r>
  <r>
    <m/>
    <s v="RE: Change and Project Completed Status Report 20220527-20220602"/>
    <x v="148"/>
    <s v="Change Management"/>
    <s v="Good afternoon Charl"/>
    <x v="6"/>
    <s v="Inbox email"/>
  </r>
  <r>
    <m/>
    <s v="Your digest email"/>
    <x v="149"/>
    <s v="Microsoft Viva"/>
    <s v="Private to you &lt;http"/>
    <x v="6"/>
    <s v="Inbox email"/>
  </r>
  <r>
    <m/>
    <s v="Your daily briefing"/>
    <x v="150"/>
    <s v="Microsoft Viva"/>
    <s v="Hi Reta, Felix [C], "/>
    <x v="6"/>
    <s v="Inbox email"/>
  </r>
  <r>
    <s v="505845"/>
    <s v="[JIRA] (AQMDEV-71074) New AOAG implementation to replace Peer To Peer Replication"/>
    <x v="151"/>
    <s v="Natarajan, Natanam"/>
    <s v=" _x0009_Natarajan, Natanam"/>
    <x v="2"/>
    <s v="Inbox email"/>
  </r>
  <r>
    <m/>
    <s v="Your Daily Digest for Alvaria Inc"/>
    <x v="152"/>
    <s v="Alvaria Inc."/>
    <s v=" _x0009_ _x000d__x000a_ _x0009_ _x000d__x000a_ _x0009_ Hi Feli"/>
    <x v="6"/>
    <s v="Inbox email"/>
  </r>
  <r>
    <s v="505845"/>
    <s v="RE: WFM Issue"/>
    <x v="153"/>
    <s v="Brad Messer"/>
    <s v="Hello – As this was "/>
    <x v="2"/>
    <s v="Inbox email"/>
  </r>
  <r>
    <s v="505845"/>
    <s v="Re: WFM PROD environment testing"/>
    <x v="154"/>
    <s v="James Moore"/>
    <s v="I will do that this "/>
    <x v="2"/>
    <s v="Inbox email"/>
  </r>
  <r>
    <s v="505845"/>
    <s v="RE: WFM PROD environment testing"/>
    <x v="155"/>
    <s v="Brad Messer"/>
    <s v="I am not ready for t"/>
    <x v="2"/>
    <s v="Inbox email"/>
  </r>
  <r>
    <s v="505845"/>
    <s v="RE: WFM PROD environment testing"/>
    <x v="156"/>
    <s v="Brad Messer"/>
    <s v="Ok, I think I am set"/>
    <x v="2"/>
    <s v="Inbox email"/>
  </r>
  <r>
    <s v="505845"/>
    <s v="RE: AQM WFO defect updated list [505845 CAC]"/>
    <x v="157"/>
    <s v="James Moore"/>
    <s v="Thank you Felix. Are"/>
    <x v="2"/>
    <s v="Inbox email"/>
  </r>
  <r>
    <s v="505845"/>
    <s v="RE: WFM Issue"/>
    <x v="158"/>
    <s v="James Moore"/>
    <s v="Thanks Brad. Can you"/>
    <x v="2"/>
    <s v="Inbox email"/>
  </r>
  <r>
    <s v="505845"/>
    <s v="RE: WFM PROD environment testing"/>
    <x v="159"/>
    <s v="James Moore"/>
    <s v="Sounds right to me B"/>
    <x v="2"/>
    <s v="Inbox email"/>
  </r>
  <r>
    <s v="505845"/>
    <s v="RE: WFM Issue"/>
    <x v="160"/>
    <s v="Brad Messer"/>
    <s v="It was case #0127473"/>
    <x v="2"/>
    <s v="Inbox email"/>
  </r>
  <r>
    <s v="505845"/>
    <s v="RE: WFM Issue"/>
    <x v="161"/>
    <s v="James Moore"/>
    <s v="Did this resolve the"/>
    <x v="2"/>
    <s v="Inbox email"/>
  </r>
  <r>
    <s v="505845"/>
    <s v="RE: WFM PROD environment testing"/>
    <x v="162"/>
    <s v="Brad Messer"/>
    <s v="Don’t forget that th"/>
    <x v="2"/>
    <s v="Inbox email"/>
  </r>
  <r>
    <s v="505845"/>
    <s v="RE: WFM Issue"/>
    <x v="163"/>
    <s v="Brad Messer"/>
    <s v="Yes, it appears that"/>
    <x v="2"/>
    <s v="Inbox email"/>
  </r>
  <r>
    <m/>
    <s v="Rajeev Deshmukh mentioned you in a post"/>
    <x v="164"/>
    <s v="Alvaria Inc."/>
    <s v="@Jacob Mulholland​ @"/>
    <x v="6"/>
    <s v="Inbox email"/>
  </r>
  <r>
    <s v="505845"/>
    <s v="RE: Confirmation about WBS CR004"/>
    <x v="165"/>
    <s v="Poovaiah, Ponnamma"/>
    <s v="Hi Felix,_x000d__x000a__x000d__x000a_ _x000d__x000a__x000d__x000a_I "/>
    <x v="2"/>
    <s v="Inbox email"/>
  </r>
  <r>
    <s v="505845"/>
    <s v="RE: WFM Issue"/>
    <x v="166"/>
    <s v="Brad Messer"/>
    <s v="I did some further t"/>
    <x v="2"/>
    <s v="Inbox email"/>
  </r>
  <r>
    <s v="505845"/>
    <s v="RE: WFM Issue"/>
    <x v="167"/>
    <s v="James Moore"/>
    <s v="Please provide detai"/>
    <x v="2"/>
    <s v="Inbox email"/>
  </r>
  <r>
    <s v="505845"/>
    <s v="RE: Confirmation about WBS CR004"/>
    <x v="168"/>
    <s v="Chmel, Greg"/>
    <s v="The Opp number on th"/>
    <x v="2"/>
    <s v="Inbox email"/>
  </r>
  <r>
    <s v="505845"/>
    <s v="RE: AQM WFO defect"/>
    <x v="169"/>
    <s v="James Moore"/>
    <s v="Please note that I m"/>
    <x v="2"/>
    <s v="Inbox email"/>
  </r>
  <r>
    <s v="505845"/>
    <s v="RE: Confirmation about WBS CR004"/>
    <x v="170"/>
    <s v="Poovaiah, Ponnamma"/>
    <s v="Hi Felix,_x000d__x000a__x000d__x000a_ _x000d__x000a__x000d__x000a_Op"/>
    <x v="2"/>
    <s v="Inbox email"/>
  </r>
  <r>
    <s v="505845"/>
    <s v="RE: AQM WFO defect"/>
    <x v="171"/>
    <s v="Mulholland, Jacob"/>
    <s v="Hello All,_x000d__x000a__x000d__x000a_ _x000d__x000a__x000d__x000a_A"/>
    <x v="2"/>
    <s v="Inbox email"/>
  </r>
  <r>
    <s v="505845"/>
    <s v="RE: Confirmation about WBS CR004"/>
    <x v="172"/>
    <s v="Chmel, Greg"/>
    <s v="Opportunity Number _x000d_"/>
    <x v="2"/>
    <s v="Inbox email"/>
  </r>
  <r>
    <s v="505845"/>
    <s v="RE: WFM Issue"/>
    <x v="173"/>
    <s v="Brad Messer"/>
    <s v="I was able to roll e"/>
    <x v="2"/>
    <s v="Inbox email"/>
  </r>
  <r>
    <s v="505845"/>
    <s v="RE: AQM WFO defect"/>
    <x v="174"/>
    <s v="James Moore"/>
    <s v="In the loadTemplates"/>
    <x v="2"/>
    <s v="Inbox email"/>
  </r>
  <r>
    <s v="505845"/>
    <s v="RE: WFM Issue"/>
    <x v="175"/>
    <s v="James Moore"/>
    <s v="April or Aswath, can"/>
    <x v="2"/>
    <s v="Inbox email"/>
  </r>
  <r>
    <m/>
    <s v="RE: Please assist with timesheet."/>
    <x v="176"/>
    <s v="April Bock"/>
    <s v="Done_x000d__x000a__x000d__x000a_ _x000d__x000a__x000d__x000a_Thank y"/>
    <x v="6"/>
    <s v="Inbox email"/>
  </r>
  <r>
    <s v="505742"/>
    <s v="RE: 505742 Consumer Cellular - Via WFM Training Lab"/>
    <x v="177"/>
    <s v="Amanda Paceley"/>
    <s v="WARNING: This email "/>
    <x v="9"/>
    <s v="Inbox email"/>
  </r>
  <r>
    <s v="505845"/>
    <s v="RE: Confirmation about WBS CR004"/>
    <x v="178"/>
    <s v="Chmel, Greg"/>
    <s v="I’m just guessing th"/>
    <x v="2"/>
    <s v="Inbox email"/>
  </r>
  <r>
    <s v="505845"/>
    <s v="RE: AQM WFO defect"/>
    <x v="179"/>
    <s v="Deshmukh, Rajeev"/>
    <s v="Hi James,_x000d__x000a__x000d__x000a_ _x000d__x000a__x000d__x000a_Th"/>
    <x v="2"/>
    <s v="Inbox email"/>
  </r>
  <r>
    <s v="505845"/>
    <s v="RE: AQM WFO defect"/>
    <x v="180"/>
    <s v="James Moore"/>
    <s v="Would have been Frid"/>
    <x v="2"/>
    <s v="Inbox email"/>
  </r>
  <r>
    <m/>
    <s v="Automatic reply: Please assist with timesheet."/>
    <x v="181"/>
    <s v="April Bock"/>
    <s v="Out of Office Alert_x000d_"/>
    <x v="6"/>
    <s v="Inbox email"/>
  </r>
  <r>
    <m/>
    <s v="Re: Please assist with timesheet."/>
    <x v="182"/>
    <s v="April Bock"/>
    <s v="You were supposed to"/>
    <x v="6"/>
    <s v="Inbox email"/>
  </r>
  <r>
    <m/>
    <s v="Re: Please assist with timesheet."/>
    <x v="183"/>
    <s v="April Bock"/>
    <s v="I have asked how we "/>
    <x v="6"/>
    <s v="Inbox email"/>
  </r>
  <r>
    <s v="505955-Rushmore screen pop migration"/>
    <s v="Latest Version with corrected config file"/>
    <x v="184"/>
    <s v="Rafael Davila"/>
    <s v="WARNING: This email "/>
    <x v="4"/>
    <s v="Inbox email"/>
  </r>
  <r>
    <s v="505898"/>
    <s v="RE: Computershare Inc : 505898 Computershare - Edge integration to Sagent (APS Only)"/>
    <x v="185"/>
    <s v="Kolja Kristek"/>
    <s v="That works, thank yo"/>
    <x v="10"/>
    <s v="Inbox email"/>
  </r>
  <r>
    <s v="505967"/>
    <s v="FW: APM WFM data"/>
    <x v="186"/>
    <s v="Giles, Timothy"/>
    <s v="Hi Felix,_x000d__x000a__x000d__x000a_ _x000d__x000a__x000d__x000a_An"/>
    <x v="8"/>
    <s v="Inbox email"/>
  </r>
  <r>
    <m/>
    <s v="MS/Private Cloud, Public Cloud and Alvaria Cloud CRs for CAB, 07 June 2022"/>
    <x v="187"/>
    <s v="Change Management"/>
    <s v="Hello Team,_x000d__x000a__x000d__x000a_ _x000d__x000a__x000d__x000a_"/>
    <x v="6"/>
    <s v="Inbox email"/>
  </r>
  <r>
    <m/>
    <s v="Unassigned Hours forecasted for Q2"/>
    <x v="188"/>
    <s v="Dewald, Lori"/>
    <s v="Attached is the unas"/>
    <x v="6"/>
    <s v="Inbox email"/>
  </r>
  <r>
    <s v="505845"/>
    <s v="Direct Link to Interaction"/>
    <x v="189"/>
    <s v="James Moore"/>
    <s v="April/Shanoob,_x000d__x000a__x000d__x000a_We"/>
    <x v="2"/>
    <s v="Inbox email"/>
  </r>
  <r>
    <s v="505845"/>
    <s v="Automatic reply: Direct Link to Interaction [505845] UAT"/>
    <x v="190"/>
    <s v="Bock, April [C]"/>
    <s v="Out of Office Alert_x000d_"/>
    <x v="2"/>
    <s v="Inbox email"/>
  </r>
  <r>
    <s v="505845"/>
    <s v="RE: Direct Link to Interaction [505845] UAT"/>
    <x v="191"/>
    <s v="James Moore"/>
    <s v="We don’t use WFO for"/>
    <x v="2"/>
    <s v="Inbox email"/>
  </r>
  <r>
    <m/>
    <s v="Your Daily Digest for Alvaria Inc"/>
    <x v="192"/>
    <s v="Alvaria Inc."/>
    <s v=" _x0009_ _x000d__x000a_ _x0009_ _x000d__x000a_ _x0009_ Hi Feli"/>
    <x v="6"/>
    <s v="Inbox email"/>
  </r>
  <r>
    <s v="505845"/>
    <s v="[JIRA] (AQMDEV-71074) New AOAG implementation to replace Peer To Peer Replication"/>
    <x v="193"/>
    <s v="Natarajan, Natanam"/>
    <s v=" _x0009_Natarajan, Natanam"/>
    <x v="2"/>
    <s v="Inbox email"/>
  </r>
  <r>
    <s v="505845"/>
    <s v="[JIRA] (AQMDEV-71074) New AOAG implementation to replace Peer To Peer Replication"/>
    <x v="194"/>
    <s v="Natarajan, Natanam"/>
    <s v=" _x0009_Natarajan, Natanam"/>
    <x v="2"/>
    <s v="Inbox email"/>
  </r>
  <r>
    <s v="505845"/>
    <s v="[JIRA] (AQMDEV-71074) New AOAG implementation to replace Peer To Peer Replication"/>
    <x v="195"/>
    <s v="Deshmukh, Rajeev"/>
    <s v=" &lt;https://www.gravat"/>
    <x v="2"/>
    <s v="Inbox email"/>
  </r>
  <r>
    <m/>
    <s v="Your daily briefing"/>
    <x v="196"/>
    <s v="Microsoft Viva"/>
    <s v="Hi Reta, Felix [C], "/>
    <x v="6"/>
    <s v="Inbox email"/>
  </r>
  <r>
    <m/>
    <s v="Report results ((JS) 30 days APS Go Live NA Trac)"/>
    <x v="197"/>
    <s v="Jason Schlinsog"/>
    <s v="Total Records 56 _x000d__x000a__x0009_"/>
    <x v="6"/>
    <s v="Inbox email"/>
  </r>
  <r>
    <s v="505936"/>
    <s v="RE: Synnex-Dell-Accenture- WFM Upgrade V19- V21.1"/>
    <x v="198"/>
    <s v="Mishra, Nirmal"/>
    <s v="Hello Felix,_x000d__x000a__x000d__x000a_ _x000d__x000a__x000d_"/>
    <x v="3"/>
    <s v="Inbox email"/>
  </r>
  <r>
    <s v="505845"/>
    <s v="[JIRA] (AQMDEV-71074) New AOAG implementation to replace Peer To Peer Replication"/>
    <x v="199"/>
    <s v="Natarajan, Natanam"/>
    <s v=" _x0009_Natarajan, Natanam"/>
    <x v="2"/>
    <s v="Inbox email"/>
  </r>
  <r>
    <s v="505845"/>
    <s v="[JIRA] (AQMDEV-71074) New AOAG implementation to replace Peer To Peer Replication"/>
    <x v="200"/>
    <s v="Natarajan, Natanam"/>
    <s v=" _x0009_Natarajan, Natanam"/>
    <x v="2"/>
    <s v="Inbox email"/>
  </r>
  <r>
    <s v="505845"/>
    <s v="[JIRA] (AQMDEV-71074) New AOAG implementation to replace Peer To Peer Replication"/>
    <x v="201"/>
    <s v="Natarajan, Natanam"/>
    <s v=" _x0009_Natarajan, Natanam"/>
    <x v="2"/>
    <s v="Inbox email"/>
  </r>
  <r>
    <m/>
    <s v="Noble Contact Center Expansion Projects - System Specifications"/>
    <x v="202"/>
    <s v="Schlinsog, Jason"/>
    <s v="All, _x000d__x000a__x000d__x000a_ _x000d__x000a__x000d__x000a_For th"/>
    <x v="6"/>
    <s v="Inbox email"/>
  </r>
  <r>
    <m/>
    <s v="RE: Noble Contact Center Expansion Projects - System Specifications"/>
    <x v="203"/>
    <s v="Schlinsog, Jason"/>
    <s v="Please see updated S"/>
    <x v="6"/>
    <s v="Inbox email"/>
  </r>
  <r>
    <m/>
    <s v="RE: Updated Project Plan Workbook Attached - RE: Best Egg Weekly Project Status Meeting"/>
    <x v="204"/>
    <s v="Sullivan, Jan"/>
    <s v="Hi all,_x000d__x000a_ _x000d__x000a_Attached"/>
    <x v="6"/>
    <s v="Inbox email"/>
  </r>
  <r>
    <m/>
    <s v="RE: Latest Version with corrected config file"/>
    <x v="205"/>
    <s v="Rucker, George"/>
    <s v="No problem, it is ea"/>
    <x v="6"/>
    <s v="Inbox email"/>
  </r>
  <r>
    <s v="505955-Rushmore screen pop migration"/>
    <s v="RE: Latest Version with corrected config file [EXTERNAL]"/>
    <x v="206"/>
    <s v="Rafael Davila"/>
    <s v="WARNING: This email "/>
    <x v="4"/>
    <s v="Inbox email"/>
  </r>
  <r>
    <m/>
    <s v="RE: Latest Version with corrected config file [EXTERNAL]"/>
    <x v="207"/>
    <s v="Rucker, George"/>
    <s v="I checked in your co"/>
    <x v="6"/>
    <s v="Inbox email"/>
  </r>
  <r>
    <s v="505936"/>
    <s v="FW: R.A.: Reta, Felix #398851 PA#: 505936, 38389 TD SYNNEX Corporation, REQ_WFM IC"/>
    <x v="208"/>
    <s v="Project Office NA"/>
    <s v="Hi Anukul, _x000d__x000a__x000d__x000a_Forwa"/>
    <x v="3"/>
    <s v="Inbox email"/>
  </r>
  <r>
    <s v="505936"/>
    <s v="RE: Synnex-Dell-Accenture- WFM Upgrade V19- V21.1 [505936]"/>
    <x v="209"/>
    <s v="Mishra, Nirmal"/>
    <s v="Hello Felix,_x000d__x000a__x000d__x000a_ _x000d__x000a__x000d_"/>
    <x v="3"/>
    <s v="Inbox email"/>
  </r>
  <r>
    <s v="505845"/>
    <s v="RE: AQM WFO defect"/>
    <x v="210"/>
    <s v="Deshmukh, Rajeev"/>
    <s v="Hi James,_x000d__x000a__x000d__x000a_ _x000d__x000a__x000d__x000a_Wo"/>
    <x v="2"/>
    <s v="Inbox email"/>
  </r>
  <r>
    <m/>
    <s v="FW: PM Team and the PS Management Call"/>
    <x v="211"/>
    <s v="Schlinsog, Jason"/>
    <s v="FYI._x000d__x000a__x000d__x000a_ _x000d__x000a__x000d__x000a_Please "/>
    <x v="6"/>
    <s v="Inbox email"/>
  </r>
  <r>
    <s v="505936"/>
    <s v="RE: R.A.: Reta, Felix #398851 PA#: 505936, 38389 TD SYNNEX Corporation, REQ_WFM IC"/>
    <x v="212"/>
    <s v="Das, Shounak"/>
    <s v="Hi Mary,_x000d__x000a__x000d__x000a_ _x000d__x000a__x000d__x000a_Ple"/>
    <x v="3"/>
    <s v="Inbox email"/>
  </r>
  <r>
    <s v="505936"/>
    <s v="RE: R.A.: Reta, Felix #398851 PA#: 505936, 38389 TD SYNNEX Corporation, REQ_WFM IC"/>
    <x v="213"/>
    <s v="Das, Shounak"/>
    <s v="Looping Nirmal_x000d__x000a__x000d__x000a_ _x000d_"/>
    <x v="3"/>
    <s v="Inbox email"/>
  </r>
  <r>
    <s v="505936"/>
    <s v="RE: R.A.: Reta, Felix #398851 PA#: 505936, 38389 TD SYNNEX Corporation, REQ_WFM IC"/>
    <x v="214"/>
    <s v="Project Office NA"/>
    <s v="Nirmal is assigned i"/>
    <x v="3"/>
    <s v="Inbox email"/>
  </r>
  <r>
    <m/>
    <s v="Resource Allocation Approved (Resource: Mishra, Nirmal)"/>
    <x v="215"/>
    <s v="Singhal, Anukul (Anukul.Singhal@Alvaria.com)"/>
    <s v=" &lt;http://click.netsu"/>
    <x v="6"/>
    <s v="Inbox email"/>
  </r>
  <r>
    <s v="505845"/>
    <s v="RE: AQM WFO defect"/>
    <x v="216"/>
    <s v="Beal, Steve"/>
    <s v="James, Team,_x000d__x000a__x000d__x000a_ _x000d__x000a__x000d_"/>
    <x v="2"/>
    <s v="Inbox email"/>
  </r>
  <r>
    <m/>
    <s v="RE: CCI WEM upgrade (internal)"/>
    <x v="217"/>
    <s v="Nadgir, Sachin"/>
    <s v="Hello Dan,_x000d__x000a__x000d__x000a_ _x000d__x000a__x000d__x000a_P"/>
    <x v="6"/>
    <s v="Inbox email"/>
  </r>
  <r>
    <s v="505967"/>
    <s v="RE: RITM0196019 BP Account Created [505967 JetBlue]"/>
    <x v="218"/>
    <s v="Giles, Timothy"/>
    <s v="I will track that do"/>
    <x v="8"/>
    <s v="Inbox email"/>
  </r>
  <r>
    <s v="505563"/>
    <s v="RE: 505563 -Jet Blue - Premise APM Upgrade to V.21 Issues log updates."/>
    <x v="219"/>
    <s v="Culver, Brent"/>
    <s v="Hi Felix;_x000d__x000a__x000d__x000a_ _x000d__x000a__x000d__x000a_It"/>
    <x v="1"/>
    <s v="Inbox email"/>
  </r>
  <r>
    <s v="505563"/>
    <s v="RE: 505563 -Jet Blue - Premise APM Upgrade to V.21 Issues log updates."/>
    <x v="220"/>
    <s v="Culver, Brent"/>
    <s v="Two case actually, I"/>
    <x v="1"/>
    <s v="Inbox email"/>
  </r>
  <r>
    <s v="505563"/>
    <s v="FW: APM WFM data"/>
    <x v="221"/>
    <s v="Giles, Timothy"/>
    <s v="Hi Felix,_x000d__x000a__x000d__x000a_ _x000d__x000a__x000d__x000a_As"/>
    <x v="1"/>
    <s v="Inbox email"/>
  </r>
  <r>
    <s v="505563"/>
    <s v="RE: APM WFM data"/>
    <x v="222"/>
    <s v="Giles, Timothy"/>
    <s v="Sorry, I have been h"/>
    <x v="1"/>
    <s v="Inbox email"/>
  </r>
  <r>
    <s v="505563"/>
    <s v="RE: APM WFM data [505563 UAT issues]"/>
    <x v="223"/>
    <s v="Giles, Timothy"/>
    <s v="Thanks Felix,_x000d__x000a__x000d__x000a_ _x000d__x000a_"/>
    <x v="1"/>
    <s v="Inbox email"/>
  </r>
  <r>
    <s v="505563"/>
    <s v="RE: APM WFM data [505563 UAT issues]"/>
    <x v="224"/>
    <s v="Culver, Brent"/>
    <s v="We’d discussed #6 on"/>
    <x v="1"/>
    <s v="Inbox email"/>
  </r>
  <r>
    <s v="505936"/>
    <s v="RE: Cutover confirmed. 505936 -Synnex - Dell - Accenture - WFM Upgrade V19- V21.1"/>
    <x v="225"/>
    <s v="Pacuribot, Jonathan Renz"/>
    <s v="WARNING: This email "/>
    <x v="3"/>
    <s v="Inbox email"/>
  </r>
  <r>
    <m/>
    <s v="Your Daily Digest for Alvaria Inc"/>
    <x v="226"/>
    <s v="Alvaria Inc."/>
    <s v=" _x0009_ _x000d__x000a_ _x0009_ _x000d__x000a_ _x0009_ Hi Feli"/>
    <x v="6"/>
    <s v="Inbox email"/>
  </r>
  <r>
    <s v="505563"/>
    <s v="Re: APM WFM data [505563 UAT issues]"/>
    <x v="227"/>
    <s v="Mani, Subra"/>
    <s v="You need to follow u"/>
    <x v="1"/>
    <s v="Inbox email"/>
  </r>
  <r>
    <s v="505563"/>
    <s v="RE: APM WFM data [505563 UAT issues]"/>
    <x v="228"/>
    <s v="Rusk, Bruce"/>
    <s v="I'm not sure which c"/>
    <x v="1"/>
    <s v="Inbox email"/>
  </r>
  <r>
    <s v="505936"/>
    <s v="RE: Cutover confirmed. 505936 -Synnex - Dell - Accenture - WFM Upgrade V19- V21.1"/>
    <x v="229"/>
    <s v="Mishra, Nirmal"/>
    <s v="Hello Jonathan,_x000d__x000a__x000d__x000a_ "/>
    <x v="3"/>
    <s v="Inbox email"/>
  </r>
  <r>
    <s v="505845"/>
    <s v="RE: Test AQM 21.1 Production Site"/>
    <x v="230"/>
    <s v="Shanoob, Muhammed"/>
    <s v="Hi Team,_x000d__x000a__x000d__x000a_ _x000d__x000a__x000d__x000a_Bel"/>
    <x v="2"/>
    <s v="Inbox email"/>
  </r>
  <r>
    <s v="505936"/>
    <s v="RE: Cutover confirmed. 505936 -Synnex - Dell - Accenture - WFM Upgrade V19- V21.1"/>
    <x v="231"/>
    <s v="Pacuribot, Jonathan Renz"/>
    <s v="WARNING: This email "/>
    <x v="3"/>
    <s v="Inbox email"/>
  </r>
  <r>
    <m/>
    <s v="NA I&amp;O Practice Qrt PS Forecast by Project Schedule"/>
    <x v="232"/>
    <s v="Beal, Stephen (steve.beal@Alvaria.com)"/>
    <s v=" &lt;http://click.netsu"/>
    <x v="6"/>
    <s v="Inbox email"/>
  </r>
  <r>
    <s v="505845"/>
    <s v="[JIRA] (AQMDEV-71074) New AOAG implementation to replace Peer To Peer Replication"/>
    <x v="233"/>
    <s v="Natarajan, Natanam"/>
    <s v=" _x0009_Natarajan, Natanam"/>
    <x v="2"/>
    <s v="Inbox email"/>
  </r>
  <r>
    <s v="505845"/>
    <s v="RE: Case 1274732 from issues log. [505845]"/>
    <x v="234"/>
    <s v="Brad Messer"/>
    <s v="FYI…After setting th"/>
    <x v="2"/>
    <s v="Inbox email"/>
  </r>
  <r>
    <s v="505936"/>
    <s v="RE: Cutover confirmed. 505936 -Synnex - Dell - Accenture - WFM Upgrade V19- V21.1"/>
    <x v="235"/>
    <s v="Mishra, Nirmal"/>
    <s v="Hello Jonathan,_x000d__x000a__x000d__x000a_ "/>
    <x v="3"/>
    <s v="Inbox email"/>
  </r>
  <r>
    <m/>
    <s v="Your daily briefing"/>
    <x v="236"/>
    <s v="Microsoft Viva"/>
    <s v="Hi Reta, Felix [C], "/>
    <x v="6"/>
    <s v="Inbox email"/>
  </r>
  <r>
    <m/>
    <s v="Report results ((JS) 30 days APS Go Live NA Trac)"/>
    <x v="237"/>
    <s v="Jason Schlinsog"/>
    <s v="Total Records 48 _x000d__x000a__x0009_"/>
    <x v="6"/>
    <s v="Inbox email"/>
  </r>
  <r>
    <s v="505563"/>
    <s v="RE: APM WFM data [505563 UAT issues]"/>
    <x v="238"/>
    <s v="Mani, Subra"/>
    <s v="Bruce  - Brent sent "/>
    <x v="1"/>
    <s v="Inbox email"/>
  </r>
  <r>
    <s v="505845"/>
    <s v="Re: Test AQM 21.1 Production Site"/>
    <x v="239"/>
    <s v="James Moore"/>
    <s v="+ @Robert Hickey &lt;ma"/>
    <x v="2"/>
    <s v="Inbox email"/>
  </r>
  <r>
    <s v="505563"/>
    <s v="RE: APM WFM data [505563 UAT issues]"/>
    <x v="240"/>
    <s v="Mani, Subra"/>
    <s v="My first name is Sub"/>
    <x v="1"/>
    <s v="Inbox email"/>
  </r>
  <r>
    <s v="505936"/>
    <s v="RE: Cutover confirmed. 505936 -Synnex - Dell - Accenture - WFM Upgrade V19- V21.1"/>
    <x v="241"/>
    <s v="Pacuribot, Jonathan Renz"/>
    <s v="WARNING: This email "/>
    <x v="3"/>
    <s v="Inbox email"/>
  </r>
  <r>
    <s v="505936"/>
    <s v="RE: Cutover confirmed. 505936 -Synnex - Dell - Accenture - WFM Upgrade V19- V21.1"/>
    <x v="242"/>
    <s v="Mishra, Nirmal"/>
    <s v="Hello Jonathan,_x000d__x000a__x000d__x000a_ "/>
    <x v="3"/>
    <s v="Inbox email"/>
  </r>
  <r>
    <s v="505936"/>
    <s v="RE: Cutover confirmed. 505936 -Synnex - Dell - Accenture - WFM Upgrade V19- V21.1"/>
    <x v="243"/>
    <s v="Pacuribot, Jonathan Renz"/>
    <s v="WARNING: This email "/>
    <x v="3"/>
    <s v="Inbox email"/>
  </r>
  <r>
    <s v="505936"/>
    <s v="RE: Cutover confirmed. 505936 -Synnex - Dell - Accenture - WFM Upgrade V19- V21.1"/>
    <x v="244"/>
    <s v="Mishra, Nirmal"/>
    <s v="Hello Jonathan,_x000d__x000a__x000d__x000a_ "/>
    <x v="3"/>
    <s v="Inbox email"/>
  </r>
  <r>
    <s v="505845"/>
    <s v="[JIRA] (AQMDEV-71185) Evaluating a recording, drop down box displays a partial list of Templates only."/>
    <x v="245"/>
    <s v="Deshmukh, Rajeev"/>
    <s v=" &lt;https://www.gravat"/>
    <x v="2"/>
    <s v="Inbox email"/>
  </r>
  <r>
    <s v="505845"/>
    <s v="[JIRA] (AQMDEV-71185) Evaluating a recording, drop down box displays a partial list of Templates only."/>
    <x v="246"/>
    <s v="Rainmaker User"/>
    <s v=" &lt;https://www.gravat"/>
    <x v="2"/>
    <s v="Inbox email"/>
  </r>
  <r>
    <s v="505845"/>
    <s v="[JIRA] (AQMDEV-71185) Evaluating a recording, drop down box displays a partial list of Templates only."/>
    <x v="247"/>
    <s v="Rainmaker User"/>
    <s v=" &lt;https://www.gravat"/>
    <x v="2"/>
    <s v="Inbox email"/>
  </r>
  <r>
    <s v="505845"/>
    <s v="[JIRA] (AQMDEV-71185) Evaluating a recording, drop down box displays a partial list of Templates only."/>
    <x v="248"/>
    <s v="Gengaram, Karthi"/>
    <s v=" _x0009_Gengaram, Karthi &lt;"/>
    <x v="2"/>
    <s v="Inbox email"/>
  </r>
  <r>
    <s v="505845"/>
    <s v="[JIRA] (AQMDEV-71185) Evaluating a recording, drop down box displays a partial list of Templates only."/>
    <x v="249"/>
    <s v="Deshmukh, Rajeev"/>
    <s v=" &lt;https://www.gravat"/>
    <x v="2"/>
    <s v="Inbox email"/>
  </r>
  <r>
    <s v="505936"/>
    <s v="RE: Cutover confirmed. 505936 -Synnex - Dell - Accenture - WFM Upgrade V19- V21.1"/>
    <x v="250"/>
    <s v="Pacuribot, Jonathan Renz"/>
    <s v="WARNING: This email "/>
    <x v="3"/>
    <s v="Inbox email"/>
  </r>
  <r>
    <s v="505845"/>
    <s v="Direct Link to Interaction"/>
    <x v="251"/>
    <s v="James Moore"/>
    <s v="Rajeev, _x000d__x000a__x000d__x000a_I realiz"/>
    <x v="2"/>
    <s v="Inbox email"/>
  </r>
  <r>
    <s v="505845"/>
    <s v="[JIRA] (AQMDEV-71074) New AOAG implementation to replace Peer To Peer Replication"/>
    <x v="252"/>
    <s v="Deshmukh, Rajeev"/>
    <s v=" &lt;https://www.gravat"/>
    <x v="2"/>
    <s v="Inbox email"/>
  </r>
  <r>
    <s v="505845"/>
    <s v="[JIRA] (AQMDEV-71074) New AOAG implementation to replace Peer To Peer Replication"/>
    <x v="253"/>
    <s v="Deshmukh, Rajeev"/>
    <s v=" &lt;https://www.gravat"/>
    <x v="2"/>
    <s v="Inbox email"/>
  </r>
  <r>
    <m/>
    <s v="Re: Best Egg Weekly Project Status Meeting"/>
    <x v="254"/>
    <s v="Schepis, Roman"/>
    <s v="Thank you for attend"/>
    <x v="6"/>
    <s v="Inbox email"/>
  </r>
  <r>
    <s v="505845"/>
    <s v="FW: Restore new 18.1 WFM database backup"/>
    <x v="255"/>
    <s v="Srinivas, Aswath"/>
    <s v="fyi_x000d__x000a__x000d__x000a_ _x000d__x000a__x000d__x000a_Thanks,_x000d_"/>
    <x v="2"/>
    <s v="Inbox email"/>
  </r>
  <r>
    <s v="505936"/>
    <s v="RE: Cutover confirmed. 505936 -Synnex - Dell - Accenture - WFM Upgrade V19- V21.1"/>
    <x v="256"/>
    <s v="Pacuribot, Jonathan Renz"/>
    <s v="WARNING: This email "/>
    <x v="3"/>
    <s v="Inbox email"/>
  </r>
  <r>
    <s v="505845"/>
    <s v="RE: Test AQM 21.1 Production Site"/>
    <x v="257"/>
    <s v="Shanoob, Muhammed"/>
    <s v="Hi Felix,_x000d__x000a__x000d__x000a_ _x000d__x000a__x000d__x000a_As"/>
    <x v="2"/>
    <s v="Inbox email"/>
  </r>
  <r>
    <s v="505845"/>
    <s v="RE: Test AQM 21.1 Production Site"/>
    <x v="258"/>
    <s v="Shanoob, Muhammed"/>
    <s v="Rajeev is yet to pro"/>
    <x v="2"/>
    <s v="Inbox email"/>
  </r>
  <r>
    <s v="505845"/>
    <s v="[JIRA] (AQMDEV-71185) Evaluating a recording, drop down box displays a partial list of Templates only."/>
    <x v="259"/>
    <s v="Natarajan, Natanam"/>
    <s v=" _x0009_Natarajan, Natanam"/>
    <x v="2"/>
    <s v="Inbox email"/>
  </r>
  <r>
    <s v="505845"/>
    <s v="RE: Test AQM 21.1 Production Site"/>
    <x v="260"/>
    <s v="Shanoob, Muhammed"/>
    <s v="Felix, I just got th"/>
    <x v="2"/>
    <s v="Inbox email"/>
  </r>
  <r>
    <s v="505845"/>
    <s v="[JIRA] (AQMDEV-71185) Evaluating a recording, drop down box displays a partial list of Templates only."/>
    <x v="261"/>
    <s v="Natarajan, Natanam"/>
    <s v=" _x0009_Natarajan, Natanam"/>
    <x v="2"/>
    <s v="Inbox email"/>
  </r>
  <r>
    <s v="505845"/>
    <s v="RE: Direct Link to Interaction"/>
    <x v="262"/>
    <s v="James Moore"/>
    <s v="Yes. It is true of b"/>
    <x v="2"/>
    <s v="Inbox email"/>
  </r>
  <r>
    <s v="505845"/>
    <s v="WFM Empower - DMZ Servers"/>
    <x v="263"/>
    <s v="James Moore"/>
    <s v="Felix/April/Aswath,_x000d_"/>
    <x v="2"/>
    <s v="Inbox email"/>
  </r>
  <r>
    <s v="505845"/>
    <s v="[JIRA] (AQMDEV-71185) Evaluating a recording, drop down box displays a partial list of Templates only."/>
    <x v="264"/>
    <s v="Deshmukh, Rajeev"/>
    <s v=" &lt;https://www.gravat"/>
    <x v="2"/>
    <s v="Inbox email"/>
  </r>
  <r>
    <s v="505845"/>
    <s v="[JIRA] (AQMDEV-71185) Evaluating a recording, drop down box displays a partial list of Templates only."/>
    <x v="265"/>
    <s v="Deshmukh, Rajeev"/>
    <s v=" &lt;https://www.gravat"/>
    <x v="2"/>
    <s v="Inbox email"/>
  </r>
  <r>
    <s v="505845"/>
    <s v="[JIRA] (AQMDEV-71185) Evaluating a recording, drop down box displays a partial list of Templates only."/>
    <x v="266"/>
    <s v="Deshmukh, Rajeev"/>
    <s v=" &lt;https://www.gravat"/>
    <x v="2"/>
    <s v="Inbox email"/>
  </r>
  <r>
    <s v="505845"/>
    <s v="RE: Direct Link to Interaction"/>
    <x v="267"/>
    <s v="James Moore"/>
    <s v="Rajeev, just to foll"/>
    <x v="2"/>
    <s v="Inbox email"/>
  </r>
  <r>
    <m/>
    <s v="RE: CCI WEM upgrade (internal)"/>
    <x v="268"/>
    <s v="Zuckerman, Dan"/>
    <s v="Roman – the LAB is t"/>
    <x v="6"/>
    <s v="Inbox email"/>
  </r>
  <r>
    <m/>
    <s v="Re: CCI WEM upgrade (internal)"/>
    <x v="269"/>
    <s v="Schepis, Roman"/>
    <s v="Dan,_x000d__x000a__x000d__x000a_The build fo"/>
    <x v="6"/>
    <s v="Inbox email"/>
  </r>
  <r>
    <m/>
    <s v="RE: CCI WEM upgrade (internal)"/>
    <x v="270"/>
    <s v="Zuckerman, Dan"/>
    <s v="Ok, thank you.  Sach"/>
    <x v="6"/>
    <s v="Inbox email"/>
  </r>
  <r>
    <m/>
    <s v="Project Updates"/>
    <x v="271"/>
    <s v="Schlinsog, Jason"/>
    <s v="Felix, _x000d__x000a__x000d__x000a_ _x000d__x000a__x000d__x000a_Can "/>
    <x v="6"/>
    <s v="Inbox email"/>
  </r>
  <r>
    <m/>
    <s v="RE: CCI WEM upgrade (internal)"/>
    <x v="272"/>
    <s v="Nadgir, Sachin"/>
    <s v="HI Dan,_x000d__x000a__x000d__x000a_ _x000d__x000a__x000d__x000a_Sure"/>
    <x v="6"/>
    <s v="Inbox email"/>
  </r>
  <r>
    <s v="505845"/>
    <s v="INTERNAL ***********   RE: Weekly Status Meeting - WFM &amp; AQM Upgrade 505845 -CAC"/>
    <x v="273"/>
    <s v="Hudson, Robert"/>
    <s v="FYI for some referen"/>
    <x v="2"/>
    <s v="Inbox email"/>
  </r>
  <r>
    <s v="505845"/>
    <s v="[JIRA] (AQMDEV-71074) New AOAG implementation to replace Peer To Peer Replication"/>
    <x v="274"/>
    <s v="Holiday, Scott"/>
    <s v=" &lt;https://www.gravat"/>
    <x v="2"/>
    <s v="Inbox email"/>
  </r>
  <r>
    <m/>
    <s v="Reminder: Juneteenth - Monday June 20th"/>
    <x v="275"/>
    <s v="Schlinsog, Jason"/>
    <s v="All, _x000d__x000a__x000d__x000a_ _x000d__x000a__x000d__x000a_Wanted"/>
    <x v="6"/>
    <s v="Inbox email"/>
  </r>
  <r>
    <m/>
    <s v="APS to ACC - Community Intro "/>
    <x v="276"/>
    <s v="Schlinsog, Jason"/>
    <s v="All, _x000d__x000a__x000d__x000a_ _x000d__x000a__x000d__x000a_For th"/>
    <x v="6"/>
    <s v="Inbox email"/>
  </r>
  <r>
    <m/>
    <s v="Friendly Reminder - BID Updates"/>
    <x v="277"/>
    <s v="Schlinsog, Jason"/>
    <s v="All, _x000d__x000a__x000d__x000a_ _x000d__x000a__x000d__x000a_Just w"/>
    <x v="6"/>
    <s v="Inbox email"/>
  </r>
  <r>
    <s v="505845"/>
    <s v="RE: Test AQM 21.1 Production Site"/>
    <x v="278"/>
    <s v="Shanoob, Muhammed"/>
    <s v="Hi James,_x000d__x000a__x000d__x000a_ _x000d__x000a__x000d__x000a_We"/>
    <x v="2"/>
    <s v="Inbox email"/>
  </r>
  <r>
    <s v="505845"/>
    <s v="Re: Test AQM 21.1 Production Site"/>
    <x v="279"/>
    <s v="James Moore"/>
    <s v="It will need to be n"/>
    <x v="2"/>
    <s v="Inbox email"/>
  </r>
  <r>
    <m/>
    <s v="Your Daily Digest for Alvaria Inc"/>
    <x v="280"/>
    <s v="Alvaria Inc."/>
    <s v=" _x0009_ _x000d__x000a_ _x0009_ _x000d__x000a_ _x0009_ Hi Feli"/>
    <x v="6"/>
    <s v="Inbox email"/>
  </r>
  <r>
    <m/>
    <s v="Nirmal sent a message"/>
    <x v="281"/>
    <s v="Mishra, Nirmal in Teams"/>
    <s v="I have sent the meet"/>
    <x v="6"/>
    <s v="Inbox email"/>
  </r>
  <r>
    <s v="505936"/>
    <s v="#505936 Synnex-Dell-Accenture : WFM Upgrade v19- v21.1  || CUT-OVER update"/>
    <x v="282"/>
    <s v="Mishra, Nirmal"/>
    <s v="Hello All,_x000d__x000a__x000d__x000a_ _x000d__x000a__x000d__x000a_@"/>
    <x v="3"/>
    <s v="Inbox email"/>
  </r>
  <r>
    <s v="505845"/>
    <s v="[JIRA] (AQMDEV-71185) Evaluating a recording, drop down box displays a partial list of Templates only."/>
    <x v="283"/>
    <s v="Gengaram, Karthi"/>
    <s v=" _x0009_Gengaram, Karthi &lt;"/>
    <x v="2"/>
    <s v="Inbox email"/>
  </r>
  <r>
    <s v="505845"/>
    <s v="[JIRA] (AQMDEV-71063) Migrated Templates from 18.1 to 21.1 show incorrect scores when used in 21.1"/>
    <x v="284"/>
    <s v="Deshmukh, Rajeev"/>
    <s v=" &lt;https://www.gravat"/>
    <x v="2"/>
    <s v="Inbox email"/>
  </r>
  <r>
    <s v="505845"/>
    <s v="[JIRA] (AQMDEV-71063) Migrated Templates from 18.1 to 21.1 show incorrect scores when used in 21.1"/>
    <x v="285"/>
    <s v="Deshmukh, Rajeev"/>
    <s v=" &lt;https://www.gravat"/>
    <x v="2"/>
    <s v="Inbox email"/>
  </r>
  <r>
    <m/>
    <s v="Your daily briefing"/>
    <x v="286"/>
    <s v="Microsoft Viva"/>
    <s v="Hi Reta, Felix [C], "/>
    <x v="6"/>
    <s v="Inbox email"/>
  </r>
  <r>
    <s v="505845"/>
    <s v="[JIRA] (AQMDEV-71063) Migrated Templates from 18.1 to 21.1 show incorrect scores when used in 21.1"/>
    <x v="287"/>
    <s v="Gengaram, Karthi"/>
    <s v=" _x0009_Gengaram, Karthi &lt;"/>
    <x v="2"/>
    <s v="Inbox email"/>
  </r>
  <r>
    <s v="505936"/>
    <s v="Automatic reply: Cutover confirmed. 505936 -Synnex - Dell - Accenture - WFM Upgrade V19- V21.1"/>
    <x v="288"/>
    <s v="Singhal, Anukul"/>
    <s v="Greetings,_x000d__x000a__x000d__x000a_ _x000d__x000a__x000d__x000a_I"/>
    <x v="3"/>
    <s v="Inbox email"/>
  </r>
  <r>
    <s v="505936"/>
    <s v="RE: Cutover confirmed. 505936 -Synnex - Dell - Accenture - WFM Upgrade V19- V21.1"/>
    <x v="289"/>
    <s v="Pacuribot, Jonathan Renz"/>
    <s v="WARNING: This email "/>
    <x v="3"/>
    <s v="Inbox email"/>
  </r>
  <r>
    <s v="505563"/>
    <s v="Automatic reply: 6.8.22 Weekly Project Status Meeting JetBlue/Alvaria [505563]"/>
    <x v="290"/>
    <s v="Gardner, Dee Dee"/>
    <s v="**Auto-reply here**_x000d_"/>
    <x v="1"/>
    <s v="Inbox email"/>
  </r>
  <r>
    <s v="505936"/>
    <s v="RE: #505936 Synnex-Dell-Accenture : WFM Upgrade v19- v21.1  || CUT-OVER update"/>
    <x v="291"/>
    <s v="Mishra, Nirmal"/>
    <s v="Hello All,_x000d__x000a__x000d__x000a_ _x000d__x000a__x000d__x000a_T"/>
    <x v="3"/>
    <s v="Inbox email"/>
  </r>
  <r>
    <s v="505936"/>
    <s v="RE: #505936 Synnex-Dell-Accenture : WFM Upgrade v19- v21.1  || CUT-OVER update"/>
    <x v="292"/>
    <s v="Schlinsog, Jason"/>
    <s v="I am not sure if thi"/>
    <x v="3"/>
    <s v="Inbox email"/>
  </r>
  <r>
    <s v="505967"/>
    <s v="FW: Reporting Services"/>
    <x v="293"/>
    <s v="Giles, Timothy"/>
    <s v="FYI_x000d__x000a__x000d__x000a_ _x000d__x000a__x000d__x000a_From: Ca"/>
    <x v="8"/>
    <s v="Inbox email"/>
  </r>
  <r>
    <s v="505563"/>
    <s v="RE: activate account for server access"/>
    <x v="294"/>
    <s v="Anderson, Amy"/>
    <s v="Hi Jay, _x000d__x000a__x000d__x000a_ _x000d__x000a__x000d__x000a_You"/>
    <x v="1"/>
    <s v="Inbox email"/>
  </r>
  <r>
    <s v="505845"/>
    <s v="FW: R.A.: Reta, Felix #399034 PA#: 505845, 6167 Credit Acceptance Corp, REQ_WFM IC"/>
    <x v="295"/>
    <s v="Project Office NA"/>
    <s v="Hi Team, _x000d__x000a__x000d__x000a_Forward"/>
    <x v="2"/>
    <s v="Inbox email"/>
  </r>
  <r>
    <s v="505845"/>
    <s v="RE: R.A.: Reta, Felix #399034 PA#: 505845, 6167 Credit Acceptance Corp, REQ_WFM IC"/>
    <x v="296"/>
    <s v="Das, Shounak"/>
    <s v="Hi Mary,_x000d__x000a__x000d__x000a_ _x000d__x000a__x000d__x000a_Ple"/>
    <x v="2"/>
    <s v="Inbox email"/>
  </r>
  <r>
    <s v="505845"/>
    <s v="FW: R.A.: Reta, Felix #399036 PA#: 505845, 6167 Credit Acceptance Corp, REQ_WFM IC"/>
    <x v="297"/>
    <s v="Project Office NA"/>
    <s v="Hi Team, _x000d__x000a__x000d__x000a_Forward"/>
    <x v="2"/>
    <s v="Inbox email"/>
  </r>
  <r>
    <s v="505845"/>
    <s v="RE: R.A.: Reta, Felix #399034 PA#: 505845, 6167 Credit Acceptance Corp, REQ_WFM IC"/>
    <x v="298"/>
    <s v="Project Office NA"/>
    <s v="Pankaj has been assi"/>
    <x v="2"/>
    <s v="Inbox email"/>
  </r>
  <r>
    <s v="505845"/>
    <s v="RE: R.A.: Reta, Felix #399034 PA#: 505845, 6167 Credit Acceptance Corp, REQ_WFM IC"/>
    <x v="299"/>
    <s v="Das, Shounak"/>
    <s v="Hi Mary,_x000d__x000a__x000d__x000a_ _x000d__x000a__x000d__x000a_Ple"/>
    <x v="2"/>
    <s v="Inbox email"/>
  </r>
  <r>
    <s v="505845"/>
    <s v="RE: R.A.: Reta, Felix #399034 PA#: 505845, 6167 Credit Acceptance Corp, REQ_WFM IC"/>
    <x v="300"/>
    <s v="Project Office NA"/>
    <s v="Just to confirm this"/>
    <x v="2"/>
    <s v="Inbox email"/>
  </r>
  <r>
    <s v="505845"/>
    <s v="RE: R.A.: Reta, Felix #399034 PA#: 505845, 6167 Credit Acceptance Corp, REQ_WFM IC"/>
    <x v="301"/>
    <s v="Das, Shounak"/>
    <s v="Hi Mary,_x000d__x000a__x000d__x000a_ _x000d__x000a__x000d__x000a_Ple"/>
    <x v="2"/>
    <s v="Inbox email"/>
  </r>
  <r>
    <s v="505845"/>
    <s v="RE: R.A.: Reta, Felix #399034 PA#: 505845, 6167 Credit Acceptance Corp, REQ_WFM IC"/>
    <x v="302"/>
    <s v="Project Office NA"/>
    <s v="Okay thanks. Should "/>
    <x v="2"/>
    <s v="Inbox email"/>
  </r>
  <r>
    <s v="505845"/>
    <s v="RE: R.A.: Reta, Felix #399034 PA#: 505845, 6167 Credit Acceptance Corp, REQ_WFM IC"/>
    <x v="303"/>
    <s v="Das, Shounak"/>
    <s v="Hi Mary,_x000d__x000a__x000d__x000a_ _x000d__x000a__x000d__x000a_Yes"/>
    <x v="2"/>
    <s v="Inbox email"/>
  </r>
  <r>
    <s v="505845"/>
    <s v="RE: R.A.: Reta, Felix #399034 PA#: 505845, 6167 Credit Acceptance Corp, REQ_WFM IC"/>
    <x v="304"/>
    <s v="Project Office NA"/>
    <s v="Okay great. Sorry fo"/>
    <x v="2"/>
    <s v="Inbox email"/>
  </r>
  <r>
    <m/>
    <s v="News you might have missed"/>
    <x v="305"/>
    <s v="SharePoint Online"/>
    <s v=" _x0009_Thursday, 09 Jun, "/>
    <x v="6"/>
    <s v="Inbox email"/>
  </r>
  <r>
    <m/>
    <s v="Resource Allocation Approved (Resource: Srinivas, Aswath)"/>
    <x v="306"/>
    <s v="Chandrashekar, Vinay (vinay.chandrashekar@Alvaria.com)"/>
    <s v=" &lt;http://click.netsu"/>
    <x v="6"/>
    <s v="Inbox email"/>
  </r>
  <r>
    <s v="505453"/>
    <s v="RE: UBC Forecasting [505453 WFM upgrade] Back office."/>
    <x v="307"/>
    <s v="Epling, Darin"/>
    <s v="Felix,_x000d__x000a__x000d__x000a_ _x000d__x000a__x000d__x000a_Final"/>
    <x v="11"/>
    <s v="Inbox email"/>
  </r>
  <r>
    <s v="505955-Rushmore screen pop migration"/>
    <s v="RE: Latest Version with corrected config file [EXTERNAL]"/>
    <x v="308"/>
    <s v="Rafael Davila"/>
    <s v="WARNING: This email "/>
    <x v="4"/>
    <s v="Inbox email"/>
  </r>
  <r>
    <m/>
    <s v="RE: Reminder: Juneteenth - Monday June 20th"/>
    <x v="309"/>
    <s v="Schlinsog, Jason"/>
    <s v="Correct, Waterfield "/>
    <x v="6"/>
    <s v="Inbox email"/>
  </r>
  <r>
    <m/>
    <s v="GCD Initiative - PM awareness for any Project overlap"/>
    <x v="310"/>
    <s v="Schlinsog, Jason"/>
    <s v="All, _x000d__x000a__x000d__x000a_ _x000d__x000a__x000d__x000a_GCD ha"/>
    <x v="6"/>
    <s v="Inbox email"/>
  </r>
  <r>
    <m/>
    <s v="RE: GCD Initiative - PM awareness for any Project overlap"/>
    <x v="311"/>
    <s v="Schlinsog, Jason"/>
    <s v="For the GCD Okta Mig"/>
    <x v="6"/>
    <s v="Inbox email"/>
  </r>
  <r>
    <m/>
    <s v="MEMO: Milestone Dates - Updates needed"/>
    <x v="312"/>
    <s v="Schlinsog, Jason"/>
    <s v="All, _x000d__x000a__x000d__x000a_ _x000d__x000a__x000d__x000a_Please"/>
    <x v="6"/>
    <s v="Inbox email"/>
  </r>
  <r>
    <m/>
    <s v="Project Transition - PM: Felix Reta"/>
    <x v="313"/>
    <s v="Schlinsog, Jason"/>
    <s v="Previously I sent an"/>
    <x v="6"/>
    <s v="Inbox email"/>
  </r>
  <r>
    <m/>
    <s v="Resource Allocation Approved (Resource: Kumar, Pankaj)"/>
    <x v="314"/>
    <s v="Singhal, Anukul (Anukul.Singhal@Alvaria.com)"/>
    <s v=" &lt;http://click.netsu"/>
    <x v="6"/>
    <s v="Inbox email"/>
  </r>
  <r>
    <s v="505845"/>
    <s v="RE: Test AQM 21.1 Production Site"/>
    <x v="315"/>
    <s v="Shanoob, Muhammed"/>
    <s v="Hi Team,_x000d__x000a__x000d__x000a_ _x000d__x000a__x000d__x000a_Upd"/>
    <x v="2"/>
    <s v="Inbox email"/>
  </r>
  <r>
    <s v="505845"/>
    <s v="RE: Test AQM 21.1 Production Site"/>
    <x v="316"/>
    <s v="Shanoob, Muhammed"/>
    <s v="Hi James,_x000d__x000a__x000d__x000a_ _x000d__x000a__x000d__x000a_I "/>
    <x v="2"/>
    <s v="Inbox email"/>
  </r>
  <r>
    <m/>
    <s v="RE: Project Transition - PM: Felix Reta"/>
    <x v="317"/>
    <s v="Kumar1, Lokesh"/>
    <s v="Hi Felix,_x000d__x000a__x000d__x000a_ _x000d__x000a__x000d__x000a_Ki"/>
    <x v="6"/>
    <s v="Inbox email"/>
  </r>
  <r>
    <m/>
    <s v="Your daily briefing"/>
    <x v="318"/>
    <s v="Microsoft Viva"/>
    <s v="Hi Reta, Felix [C], "/>
    <x v="6"/>
    <s v="Inbox email"/>
  </r>
  <r>
    <s v="505955-Rushmore screen pop migration"/>
    <s v="RE: Latest Version with corrected config file [EXTERNAL]"/>
    <x v="319"/>
    <s v="Rafael Davila"/>
    <s v="WARNING: This email "/>
    <x v="4"/>
    <s v="Inbox email"/>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r>
    <m/>
    <m/>
    <x v="320"/>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77F7EB-783F-494F-B945-81E3318953C0}" name="PivotTable1" cacheId="3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3:I15" firstHeaderRow="1" firstDataRow="3" firstDataCol="1"/>
  <pivotFields count="8">
    <pivotField showAll="0"/>
    <pivotField dataField="1" showAll="0"/>
    <pivotField axis="axisCol"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axis="axisRow" showAll="0">
      <items count="20">
        <item h="1" x="6"/>
        <item x="7"/>
        <item m="1" x="18"/>
        <item x="11"/>
        <item m="1" x="17"/>
        <item x="1"/>
        <item x="9"/>
        <item x="2"/>
        <item x="10"/>
        <item m="1" x="13"/>
        <item m="1" x="14"/>
        <item x="0"/>
        <item x="3"/>
        <item x="4"/>
        <item x="8"/>
        <item x="5"/>
        <item m="1" x="12"/>
        <item m="1" x="15"/>
        <item m="1" x="16"/>
        <item t="default"/>
      </items>
    </pivotField>
    <pivotField showAll="0"/>
    <pivotField axis="axisCol" showAll="0">
      <items count="15">
        <item sd="0" x="0"/>
        <item sd="0" x="1"/>
        <item sd="0" x="2"/>
        <item sd="0" x="3"/>
        <item x="4"/>
        <item x="5"/>
        <item x="6"/>
        <item sd="0" x="7"/>
        <item sd="0" x="8"/>
        <item sd="0" x="9"/>
        <item sd="0" x="10"/>
        <item sd="0" x="11"/>
        <item sd="0" x="12"/>
        <item sd="0" x="13"/>
        <item t="default"/>
      </items>
    </pivotField>
  </pivotFields>
  <rowFields count="1">
    <field x="5"/>
  </rowFields>
  <rowItems count="10">
    <i>
      <x v="3"/>
    </i>
    <i>
      <x v="5"/>
    </i>
    <i>
      <x v="6"/>
    </i>
    <i>
      <x v="7"/>
    </i>
    <i>
      <x v="8"/>
    </i>
    <i>
      <x v="11"/>
    </i>
    <i>
      <x v="12"/>
    </i>
    <i>
      <x v="13"/>
    </i>
    <i>
      <x v="14"/>
    </i>
    <i t="grand">
      <x/>
    </i>
  </rowItems>
  <colFields count="2">
    <field x="7"/>
    <field x="2"/>
  </colFields>
  <colItems count="8">
    <i>
      <x v="6"/>
      <x v="155"/>
    </i>
    <i r="1">
      <x v="158"/>
    </i>
    <i r="1">
      <x v="159"/>
    </i>
    <i r="1">
      <x v="160"/>
    </i>
    <i r="1">
      <x v="161"/>
    </i>
    <i r="1">
      <x v="162"/>
    </i>
    <i t="default">
      <x v="6"/>
    </i>
    <i t="grand">
      <x/>
    </i>
  </colItems>
  <dataFields count="1">
    <dataField name="Count of Subject" fld="1" subtotal="count" baseField="0" baseItem="0"/>
  </dataFields>
  <chartFormats count="14">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3">
          <reference field="4294967294" count="1" selected="0">
            <x v="0"/>
          </reference>
          <reference field="2" count="1" selected="0">
            <x v="148"/>
          </reference>
          <reference field="7" count="1" selected="0">
            <x v="5"/>
          </reference>
        </references>
      </pivotArea>
    </chartFormat>
    <chartFormat chart="0" format="2" series="1">
      <pivotArea type="data" outline="0" fieldPosition="0">
        <references count="3">
          <reference field="4294967294" count="1" selected="0">
            <x v="0"/>
          </reference>
          <reference field="2" count="1" selected="0">
            <x v="149"/>
          </reference>
          <reference field="7" count="1" selected="0">
            <x v="5"/>
          </reference>
        </references>
      </pivotArea>
    </chartFormat>
    <chartFormat chart="0" format="3" series="1">
      <pivotArea type="data" outline="0" fieldPosition="0">
        <references count="3">
          <reference field="4294967294" count="1" selected="0">
            <x v="0"/>
          </reference>
          <reference field="2" count="1" selected="0">
            <x v="151"/>
          </reference>
          <reference field="7" count="1" selected="0">
            <x v="5"/>
          </reference>
        </references>
      </pivotArea>
    </chartFormat>
    <chartFormat chart="0" format="4" series="1">
      <pivotArea type="data" outline="0" fieldPosition="0">
        <references count="3">
          <reference field="4294967294" count="1" selected="0">
            <x v="0"/>
          </reference>
          <reference field="2" count="1" selected="0">
            <x v="152"/>
          </reference>
          <reference field="7" count="1" selected="0">
            <x v="5"/>
          </reference>
        </references>
      </pivotArea>
    </chartFormat>
    <chartFormat chart="0" format="5" series="1">
      <pivotArea type="data" outline="0" fieldPosition="0">
        <references count="3">
          <reference field="4294967294" count="1" selected="0">
            <x v="0"/>
          </reference>
          <reference field="2" count="1" selected="0">
            <x v="153"/>
          </reference>
          <reference field="7" count="1" selected="0">
            <x v="6"/>
          </reference>
        </references>
      </pivotArea>
    </chartFormat>
    <chartFormat chart="0" format="6" series="1">
      <pivotArea type="data" outline="0" fieldPosition="0">
        <references count="3">
          <reference field="4294967294" count="1" selected="0">
            <x v="0"/>
          </reference>
          <reference field="2" count="1" selected="0">
            <x v="154"/>
          </reference>
          <reference field="7" count="1" selected="0">
            <x v="6"/>
          </reference>
        </references>
      </pivotArea>
    </chartFormat>
    <chartFormat chart="0" format="7" series="1">
      <pivotArea type="data" outline="0" fieldPosition="0">
        <references count="3">
          <reference field="4294967294" count="1" selected="0">
            <x v="0"/>
          </reference>
          <reference field="2" count="1" selected="0">
            <x v="155"/>
          </reference>
          <reference field="7" count="1" selected="0">
            <x v="6"/>
          </reference>
        </references>
      </pivotArea>
    </chartFormat>
    <chartFormat chart="0" format="8" series="1">
      <pivotArea type="data" outline="0" fieldPosition="0">
        <references count="3">
          <reference field="4294967294" count="1" selected="0">
            <x v="0"/>
          </reference>
          <reference field="2" count="1" selected="0">
            <x v="156"/>
          </reference>
          <reference field="7" count="1" selected="0">
            <x v="6"/>
          </reference>
        </references>
      </pivotArea>
    </chartFormat>
    <chartFormat chart="0" format="9" series="1">
      <pivotArea type="data" outline="0" fieldPosition="0">
        <references count="3">
          <reference field="4294967294" count="1" selected="0">
            <x v="0"/>
          </reference>
          <reference field="2" count="1" selected="0">
            <x v="158"/>
          </reference>
          <reference field="7" count="1" selected="0">
            <x v="6"/>
          </reference>
        </references>
      </pivotArea>
    </chartFormat>
    <chartFormat chart="0" format="10" series="1">
      <pivotArea type="data" outline="0" fieldPosition="0">
        <references count="3">
          <reference field="4294967294" count="1" selected="0">
            <x v="0"/>
          </reference>
          <reference field="2" count="1" selected="0">
            <x v="159"/>
          </reference>
          <reference field="7" count="1" selected="0">
            <x v="6"/>
          </reference>
        </references>
      </pivotArea>
    </chartFormat>
    <chartFormat chart="0" format="11" series="1">
      <pivotArea type="data" outline="0" fieldPosition="0">
        <references count="3">
          <reference field="4294967294" count="1" selected="0">
            <x v="0"/>
          </reference>
          <reference field="2" count="1" selected="0">
            <x v="160"/>
          </reference>
          <reference field="7" count="1" selected="0">
            <x v="6"/>
          </reference>
        </references>
      </pivotArea>
    </chartFormat>
    <chartFormat chart="0" format="12" series="1">
      <pivotArea type="data" outline="0" fieldPosition="0">
        <references count="3">
          <reference field="4294967294" count="1" selected="0">
            <x v="0"/>
          </reference>
          <reference field="2" count="1" selected="0">
            <x v="161"/>
          </reference>
          <reference field="7" count="1" selected="0">
            <x v="6"/>
          </reference>
        </references>
      </pivotArea>
    </chartFormat>
    <chartFormat chart="0" format="13" series="1">
      <pivotArea type="data" outline="0" fieldPosition="0">
        <references count="3">
          <reference field="4294967294" count="1" selected="0">
            <x v="0"/>
          </reference>
          <reference field="2" count="1" selected="0">
            <x v="162"/>
          </reference>
          <reference field="7" count="1" selected="0">
            <x v="6"/>
          </reference>
        </references>
      </pivotArea>
    </chartFormat>
  </chartFormats>
  <pivotTableStyleInfo name="PivotStyleLight16" showRowHeaders="1" showColHeaders="1" showRowStripes="0" showColStripes="0" showLastColumn="1"/>
  <filters count="1">
    <filter fld="2" type="dateNewerThan" evalOrder="-1" id="1">
      <autoFilter ref="A1">
        <filterColumn colId="0">
          <customFilters>
            <customFilter operator="greaterThan" val="44715"/>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811C57B-B7A2-4AF2-9964-FF99A74352A8}" name="PivotTable2"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D8" firstHeaderRow="1" firstDataRow="2" firstDataCol="1"/>
  <pivotFields count="9">
    <pivotField axis="axisRow" showAll="0">
      <items count="14">
        <item x="3"/>
        <item m="1" x="9"/>
        <item x="2"/>
        <item m="1" x="5"/>
        <item m="1" x="11"/>
        <item x="1"/>
        <item m="1" x="8"/>
        <item m="1" x="12"/>
        <item m="1" x="6"/>
        <item h="1" x="0"/>
        <item h="1" x="4"/>
        <item h="1" m="1" x="7"/>
        <item h="1" m="1" x="10"/>
        <item t="default"/>
      </items>
    </pivotField>
    <pivotField showAll="0"/>
    <pivotField dataField="1" showAll="0"/>
    <pivotField axis="axisCol" numFmtId="14" showAll="0">
      <items count="42">
        <item m="1" x="22"/>
        <item m="1" x="16"/>
        <item m="1" x="33"/>
        <item m="1" x="11"/>
        <item m="1" x="27"/>
        <item m="1" x="39"/>
        <item m="1" x="20"/>
        <item x="6"/>
        <item m="1" x="25"/>
        <item m="1" x="31"/>
        <item m="1" x="9"/>
        <item m="1" x="38"/>
        <item m="1" x="18"/>
        <item m="1" x="10"/>
        <item m="1" x="21"/>
        <item m="1" x="37"/>
        <item m="1" x="15"/>
        <item m="1" x="32"/>
        <item m="1" x="26"/>
        <item m="1" x="19"/>
        <item m="1" x="14"/>
        <item m="1" x="36"/>
        <item m="1" x="30"/>
        <item m="1" x="8"/>
        <item m="1" x="24"/>
        <item m="1" x="23"/>
        <item m="1" x="29"/>
        <item m="1" x="7"/>
        <item m="1" x="17"/>
        <item m="1" x="35"/>
        <item m="1" x="13"/>
        <item m="1" x="40"/>
        <item m="1" x="34"/>
        <item m="1" x="12"/>
        <item m="1" x="28"/>
        <item x="3"/>
        <item x="0"/>
        <item x="1"/>
        <item x="2"/>
        <item x="4"/>
        <item x="5"/>
        <item t="default"/>
      </items>
    </pivotField>
    <pivotField numFmtId="14" showAll="0"/>
    <pivotField numFmtId="18" showAll="0"/>
    <pivotField numFmtId="18" showAll="0"/>
    <pivotField numFmtId="2" showAll="0"/>
    <pivotField showAll="0"/>
  </pivotFields>
  <rowFields count="1">
    <field x="0"/>
  </rowFields>
  <rowItems count="4">
    <i>
      <x/>
    </i>
    <i>
      <x v="2"/>
    </i>
    <i>
      <x v="5"/>
    </i>
    <i t="grand">
      <x/>
    </i>
  </rowItems>
  <colFields count="1">
    <field x="3"/>
  </colFields>
  <colItems count="3">
    <i>
      <x v="36"/>
    </i>
    <i>
      <x v="40"/>
    </i>
    <i t="grand">
      <x/>
    </i>
  </colItems>
  <dataFields count="1">
    <dataField name="Count of Subject"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954D8E3-8EBC-4E3F-BB69-1D88BCCF707E}" name="PivotTable3" cacheId="2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K13" firstHeaderRow="1" firstDataRow="2" firstDataCol="1"/>
  <pivotFields count="10">
    <pivotField axis="axisRow" showAll="0">
      <items count="19">
        <item m="1" x="17"/>
        <item x="2"/>
        <item x="4"/>
        <item x="7"/>
        <item x="9"/>
        <item x="1"/>
        <item x="3"/>
        <item x="5"/>
        <item x="6"/>
        <item x="8"/>
        <item x="11"/>
        <item x="10"/>
        <item x="12"/>
        <item x="0"/>
        <item m="1" x="16"/>
        <item x="13"/>
        <item x="14"/>
        <item x="15"/>
        <item t="default"/>
      </items>
    </pivotField>
    <pivotField showAll="0"/>
    <pivotField dataField="1" showAll="0"/>
    <pivotField showAll="0"/>
    <pivotField axis="axisCol" multipleItemSelectionAllowed="1" showAll="0" sortType="ascending">
      <items count="67">
        <item h="1" x="0"/>
        <item h="1" x="1"/>
        <item h="1" x="2"/>
        <item h="1" x="5"/>
        <item h="1" x="7"/>
        <item h="1" x="8"/>
        <item h="1" x="4"/>
        <item h="1" x="9"/>
        <item h="1" x="6"/>
        <item h="1" x="12"/>
        <item h="1" x="13"/>
        <item h="1" x="15"/>
        <item h="1" x="10"/>
        <item h="1" x="11"/>
        <item h="1" x="17"/>
        <item h="1" x="18"/>
        <item h="1" x="14"/>
        <item h="1" x="16"/>
        <item h="1" x="23"/>
        <item h="1" x="22"/>
        <item h="1" x="25"/>
        <item h="1" x="26"/>
        <item h="1" x="29"/>
        <item h="1" x="27"/>
        <item h="1" x="31"/>
        <item h="1" x="21"/>
        <item h="1" x="24"/>
        <item h="1" x="30"/>
        <item h="1" x="35"/>
        <item h="1" x="28"/>
        <item h="1" x="37"/>
        <item h="1" x="34"/>
        <item h="1" x="3"/>
        <item h="1" x="38"/>
        <item h="1" x="19"/>
        <item h="1" x="40"/>
        <item h="1" x="41"/>
        <item h="1" x="39"/>
        <item h="1" x="43"/>
        <item h="1" x="20"/>
        <item h="1" x="44"/>
        <item h="1" x="36"/>
        <item h="1" x="42"/>
        <item h="1" x="51"/>
        <item h="1" x="45"/>
        <item h="1" x="52"/>
        <item h="1" x="47"/>
        <item h="1" x="57"/>
        <item h="1" x="56"/>
        <item h="1" x="33"/>
        <item h="1" x="48"/>
        <item h="1" x="54"/>
        <item h="1" x="58"/>
        <item h="1" x="53"/>
        <item h="1" x="46"/>
        <item h="1" x="32"/>
        <item h="1" x="63"/>
        <item x="61"/>
        <item x="62"/>
        <item x="55"/>
        <item x="49"/>
        <item x="65"/>
        <item x="60"/>
        <item x="64"/>
        <item x="59"/>
        <item x="50"/>
        <item t="default"/>
      </items>
    </pivotField>
    <pivotField showAll="0"/>
    <pivotField showAll="0"/>
    <pivotField showAll="0"/>
    <pivotField showAll="0"/>
    <pivotField showAll="0"/>
  </pivotFields>
  <rowFields count="1">
    <field x="0"/>
  </rowFields>
  <rowItems count="9">
    <i>
      <x v="2"/>
    </i>
    <i>
      <x v="3"/>
    </i>
    <i>
      <x v="4"/>
    </i>
    <i>
      <x v="5"/>
    </i>
    <i>
      <x v="8"/>
    </i>
    <i>
      <x v="11"/>
    </i>
    <i>
      <x v="13"/>
    </i>
    <i>
      <x v="17"/>
    </i>
    <i t="grand">
      <x/>
    </i>
  </rowItems>
  <colFields count="1">
    <field x="4"/>
  </colFields>
  <colItems count="10">
    <i>
      <x v="57"/>
    </i>
    <i>
      <x v="58"/>
    </i>
    <i>
      <x v="59"/>
    </i>
    <i>
      <x v="60"/>
    </i>
    <i>
      <x v="61"/>
    </i>
    <i>
      <x v="62"/>
    </i>
    <i>
      <x v="63"/>
    </i>
    <i>
      <x v="64"/>
    </i>
    <i>
      <x v="65"/>
    </i>
    <i t="grand">
      <x/>
    </i>
  </colItems>
  <dataFields count="1">
    <dataField name="Count of Subject" fld="2" subtotal="count" baseField="0" baseItem="0"/>
  </dataFields>
  <pivotTableStyleInfo name="PivotStyleLight16" showRowHeaders="1" showColHeaders="1" showRowStripes="0" showColStripes="0" showLastColumn="1"/>
  <filters count="1">
    <filter fld="3" type="dateNewerThan" evalOrder="-1" id="2">
      <autoFilter ref="A1">
        <filterColumn colId="0">
          <customFilters>
            <customFilter operator="greaterThan" val="44673"/>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D7E40B-45A4-4347-9DF3-DE4621FAC235}" name="Table2" displayName="Table2" ref="E1:K430" totalsRowShown="0" headerRowDxfId="13">
  <autoFilter ref="E1:K430" xr:uid="{3ED7E40B-45A4-4347-9DF3-DE4621FAC235}"/>
  <sortState xmlns:xlrd2="http://schemas.microsoft.com/office/spreadsheetml/2017/richdata2" ref="E15:K430">
    <sortCondition ref="F1:F430"/>
  </sortState>
  <tableColumns count="7">
    <tableColumn id="1" xr3:uid="{F6C2A695-6C4C-4AD9-9200-91A03EF1DFA4}" name="Folder"/>
    <tableColumn id="2" xr3:uid="{8592385A-0E8C-411F-8662-D37DC8B63DA9}" name="Subject"/>
    <tableColumn id="3" xr3:uid="{DCE899C4-6298-4B33-9533-D597DB95FC6A}" name="Date" dataDxfId="12"/>
    <tableColumn id="4" xr3:uid="{F59039F7-7729-489D-BD60-B87112F0887B}" name="Sender"/>
    <tableColumn id="5" xr3:uid="{FBEEA2D4-FA0B-4270-9FE4-48705D7AF363}" name="Body" dataDxfId="11"/>
    <tableColumn id="6" xr3:uid="{75A86417-35B1-4025-A129-3795850CE11F}" name="Project" dataDxfId="0">
      <calculatedColumnFormula>LEFT(Table2[[#This Row],[Folder]],6)</calculatedColumnFormula>
    </tableColumn>
    <tableColumn id="7" xr3:uid="{8A16ECFA-D8B3-4B70-9E7A-8D875731804D}" name="Source"/>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AABE42-AFE5-4F78-8A88-8F2A96ADF2E1}" name="Table1" displayName="Table1" ref="A1:I110" totalsRowShown="0">
  <autoFilter ref="A1:I110" xr:uid="{87AABE42-AFE5-4F78-8A88-8F2A96ADF2E1}"/>
  <tableColumns count="9">
    <tableColumn id="1" xr3:uid="{D24400B4-45E4-4DB5-9591-B850ABC2DFB8}" name="Project"/>
    <tableColumn id="2" xr3:uid="{95428B72-087A-40BD-84AC-1C080D97E8A3}" name="Category"/>
    <tableColumn id="3" xr3:uid="{ADA49873-EDC1-4DFD-977D-975EF1A310F4}" name="Subject"/>
    <tableColumn id="4" xr3:uid="{B5272581-5F8C-4FBB-8858-CC41B4A6D46B}" name="Starting Date" dataDxfId="10"/>
    <tableColumn id="5" xr3:uid="{934C2891-18DC-4A85-9761-9FD46CDE14C9}" name="Ending Date" dataDxfId="9"/>
    <tableColumn id="6" xr3:uid="{6B171F20-0A9D-4AD3-A84A-7528C5DF1A35}" name="Start Time" dataDxfId="8"/>
    <tableColumn id="7" xr3:uid="{881F306C-82F7-4477-B694-A0535D11BA7C}" name="End Time" dataDxfId="7"/>
    <tableColumn id="8" xr3:uid="{CF896FAC-F1A6-4E4A-B53B-BDD3B5712483}" name="Hours" dataDxfId="6"/>
    <tableColumn id="9" xr3:uid="{FF664D00-AB87-4D00-9639-DD824816E419}" name="Attende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432D41-C980-4F44-82FE-E653F3B5C3CA}" name="Table3" displayName="Table3" ref="A1:J270" totalsRowShown="0">
  <autoFilter ref="A1:J270" xr:uid="{D9432D41-C980-4F44-82FE-E653F3B5C3CA}">
    <filterColumn colId="4">
      <filters blank="1">
        <dateGroupItem year="2022" month="5" day="12" dateTimeGrouping="day"/>
        <dateGroupItem year="2022" month="5" day="13" dateTimeGrouping="day"/>
      </filters>
    </filterColumn>
  </autoFilter>
  <tableColumns count="10">
    <tableColumn id="1" xr3:uid="{2F537723-785A-4C97-92AF-1799520A1F75}" name="Project"/>
    <tableColumn id="2" xr3:uid="{CFEE96CC-3639-45C0-9C31-0266BEB4405B}" name="Category"/>
    <tableColumn id="3" xr3:uid="{BB7EAA2E-0D7D-4F8C-BB40-0ADB7237A759}" name="Subject"/>
    <tableColumn id="4" xr3:uid="{FB625737-B9BF-4522-AF60-CF106CA484CB}" name="Starting Date" dataDxfId="5"/>
    <tableColumn id="5" xr3:uid="{6008E485-FCAD-4F41-A8C0-C7C7270A4F0B}" name="Ending Date" dataDxfId="4"/>
    <tableColumn id="6" xr3:uid="{BC971494-79AC-48DF-A390-01A27988D176}" name="Start Time" dataDxfId="3"/>
    <tableColumn id="7" xr3:uid="{05B8DA42-83EB-4DB6-A9C5-8DF9562669B4}" name="End Time" dataDxfId="2"/>
    <tableColumn id="8" xr3:uid="{434DBBC8-F29D-4E67-82BD-8BC0EF8FB822}" name="Hours" dataDxfId="1"/>
    <tableColumn id="9" xr3:uid="{3A24C378-9BF4-41C1-995F-D74A6393F3B1}" name="Attendees"/>
    <tableColumn id="10" xr3:uid="{5D41E3CA-9484-4DD3-84C4-B7C177FE297D}" name="✅"/>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255B7-A1FE-4E59-BC71-8BF1B1A2C2F7}">
  <sheetPr codeName="Sheet8"/>
  <dimension ref="A1:D13"/>
  <sheetViews>
    <sheetView workbookViewId="0">
      <selection activeCell="A2" sqref="A2"/>
    </sheetView>
  </sheetViews>
  <sheetFormatPr defaultRowHeight="15" x14ac:dyDescent="0.25"/>
  <cols>
    <col min="1" max="1" width="7" bestFit="1" customWidth="1"/>
  </cols>
  <sheetData>
    <row r="1" spans="1:4" x14ac:dyDescent="0.25">
      <c r="B1" t="s">
        <v>281</v>
      </c>
      <c r="C1" t="s">
        <v>282</v>
      </c>
      <c r="D1" t="s">
        <v>283</v>
      </c>
    </row>
    <row r="2" spans="1:4" x14ac:dyDescent="0.25">
      <c r="A2" s="5" t="str">
        <f>Sheet3!A6</f>
        <v>505453</v>
      </c>
      <c r="B2" t="str">
        <f>IFERROR(GETPIVOTDATA("Subject",Sheet3!$A$3,"Project",$A2,"Months",5),"")</f>
        <v/>
      </c>
      <c r="C2" t="str">
        <f>IFERROR(GETPIVOTDATA("Subject",Sheet5!$A$3,"Project",$A2),"")</f>
        <v/>
      </c>
      <c r="D2">
        <f>IFERROR(GETPIVOTDATA("Subject",Sheet7!$A$3,"Project",$A2),"")</f>
        <v>2</v>
      </c>
    </row>
    <row r="3" spans="1:4" x14ac:dyDescent="0.25">
      <c r="A3" s="5" t="str">
        <f>Sheet3!A7</f>
        <v>505563</v>
      </c>
      <c r="B3" t="str">
        <f>IFERROR(GETPIVOTDATA("Subject",Sheet3!$A$3,"Project",$A3,"Months",5),"")</f>
        <v/>
      </c>
      <c r="C3">
        <f>IFERROR(GETPIVOTDATA("Subject",Sheet5!$A$3,"Project",$A3),"")</f>
        <v>1</v>
      </c>
      <c r="D3">
        <f>IFERROR(GETPIVOTDATA("Subject",Sheet7!$A$3,"Project",$A3),"")</f>
        <v>3</v>
      </c>
    </row>
    <row r="4" spans="1:4" x14ac:dyDescent="0.25">
      <c r="A4" s="5" t="str">
        <f>Sheet3!A8</f>
        <v>505742</v>
      </c>
      <c r="B4" t="str">
        <f>IFERROR(GETPIVOTDATA("Subject",Sheet3!$A$3,"Project",$A4,"Months",5),"")</f>
        <v/>
      </c>
      <c r="C4" t="str">
        <f>IFERROR(GETPIVOTDATA("Subject",Sheet5!$A$3,"Project",$A4),"")</f>
        <v/>
      </c>
      <c r="D4">
        <f>IFERROR(GETPIVOTDATA("Subject",Sheet7!$A$3,"Project",$A4),"")</f>
        <v>1</v>
      </c>
    </row>
    <row r="5" spans="1:4" x14ac:dyDescent="0.25">
      <c r="A5" s="5" t="str">
        <f>Sheet3!A9</f>
        <v>505845</v>
      </c>
      <c r="B5" t="str">
        <f>IFERROR(GETPIVOTDATA("Subject",Sheet3!$A$3,"Project",$A5,"Months",5),"")</f>
        <v/>
      </c>
      <c r="C5">
        <f>IFERROR(GETPIVOTDATA("Subject",Sheet5!$A$3,"Project",$A5),"")</f>
        <v>1</v>
      </c>
      <c r="D5">
        <f>IFERROR(GETPIVOTDATA("Subject",Sheet7!$A$3,"Project",$A5),"")</f>
        <v>13</v>
      </c>
    </row>
    <row r="6" spans="1:4" x14ac:dyDescent="0.25">
      <c r="A6" s="5" t="str">
        <f>Sheet3!A10</f>
        <v>505898</v>
      </c>
      <c r="B6" t="str">
        <f>IFERROR(GETPIVOTDATA("Subject",Sheet3!$A$3,"Project",$A6,"Months",5),"")</f>
        <v/>
      </c>
      <c r="C6" t="str">
        <f>IFERROR(GETPIVOTDATA("Subject",Sheet5!$A$3,"Project",$A6),"")</f>
        <v/>
      </c>
      <c r="D6">
        <f>IFERROR(GETPIVOTDATA("Subject",Sheet7!$A$3,"Project",$A6),"")</f>
        <v>1</v>
      </c>
    </row>
    <row r="7" spans="1:4" x14ac:dyDescent="0.25">
      <c r="A7" s="5" t="str">
        <f>Sheet3!A11</f>
        <v>505926</v>
      </c>
      <c r="B7" t="str">
        <f>IFERROR(GETPIVOTDATA("Subject",Sheet3!$A$3,"Project",$A7,"Months",5),"")</f>
        <v/>
      </c>
      <c r="C7" t="str">
        <f>IFERROR(GETPIVOTDATA("Subject",Sheet5!$A$3,"Project",$A7),"")</f>
        <v/>
      </c>
      <c r="D7">
        <f>IFERROR(GETPIVOTDATA("Subject",Sheet7!$A$3,"Project",$A7),"")</f>
        <v>1</v>
      </c>
    </row>
    <row r="8" spans="1:4" x14ac:dyDescent="0.25">
      <c r="A8" t="s">
        <v>91</v>
      </c>
      <c r="B8" t="str">
        <f>IFERROR(GETPIVOTDATA("Subject",Sheet3!$A$3,"Project",$A8,"Months",5),"")</f>
        <v/>
      </c>
      <c r="C8" t="str">
        <f>IFERROR(GETPIVOTDATA("Subject",Sheet5!$A$3,"Project",$A8),"")</f>
        <v/>
      </c>
      <c r="D8" t="str">
        <f>IFERROR(GETPIVOTDATA("Subject",Sheet7!$A$3,"Project",$A8),"")</f>
        <v/>
      </c>
    </row>
    <row r="9" spans="1:4" x14ac:dyDescent="0.25">
      <c r="A9" s="5" t="str">
        <f>Sheet3!A13</f>
        <v>505955</v>
      </c>
      <c r="B9" t="str">
        <f>IFERROR(GETPIVOTDATA("Subject",Sheet3!$A$3,"Project",$A9,"Months",5),"")</f>
        <v/>
      </c>
      <c r="C9" t="str">
        <f>IFERROR(GETPIVOTDATA("Subject",Sheet5!$A$3,"Project",$A9),"")</f>
        <v/>
      </c>
      <c r="D9" t="str">
        <f>IFERROR(GETPIVOTDATA("Subject",Sheet7!$A$3,"Project",$A9),"")</f>
        <v/>
      </c>
    </row>
    <row r="10" spans="1:4" x14ac:dyDescent="0.25">
      <c r="A10" s="5"/>
      <c r="B10" t="str">
        <f>IFERROR(GETPIVOTDATA("Subject",Sheet3!$A$3,"Project",$A10,"Months",5),"")</f>
        <v/>
      </c>
      <c r="C10" t="str">
        <f>IFERROR(GETPIVOTDATA("Subject",Sheet5!$A$3,"Project",$A10),"")</f>
        <v/>
      </c>
      <c r="D10" t="str">
        <f>IFERROR(GETPIVOTDATA("Subject",Sheet7!$A$3,"Project",$A10),"")</f>
        <v/>
      </c>
    </row>
    <row r="11" spans="1:4" x14ac:dyDescent="0.25">
      <c r="A11" s="5"/>
      <c r="B11" t="str">
        <f>IFERROR(GETPIVOTDATA("Subject",Sheet3!$A$3,"Project",$A11,"Months",5),"")</f>
        <v/>
      </c>
      <c r="C11" t="str">
        <f>IFERROR(GETPIVOTDATA("Subject",Sheet5!$A$3,"Project",$A11),"")</f>
        <v/>
      </c>
      <c r="D11" t="str">
        <f>IFERROR(GETPIVOTDATA("Subject",Sheet7!$A$3,"Project",$A11),"")</f>
        <v/>
      </c>
    </row>
    <row r="12" spans="1:4" x14ac:dyDescent="0.25">
      <c r="B12" t="str">
        <f>IFERROR(GETPIVOTDATA("Subject",Sheet3!$A$3,"Project",$A12,"Months",5),"")</f>
        <v/>
      </c>
      <c r="C12" t="str">
        <f>IFERROR(GETPIVOTDATA("Subject",Sheet5!$A$3,"Project",$A12),"")</f>
        <v/>
      </c>
      <c r="D12" t="str">
        <f>IFERROR(GETPIVOTDATA("Subject",Sheet7!$A$3,"Project",$A12),"")</f>
        <v/>
      </c>
    </row>
    <row r="13" spans="1:4" x14ac:dyDescent="0.25">
      <c r="B13" t="str">
        <f>IFERROR(GETPIVOTDATA("Subject",Sheet3!$A$3,"Project",$A8,"Months",5),"")</f>
        <v/>
      </c>
      <c r="C13" t="str">
        <f>IFERROR(GETPIVOTDATA("Subject",Sheet5!$A$3,"Project",$A8),"")</f>
        <v/>
      </c>
      <c r="D13" t="str">
        <f>IFERROR(GETPIVOTDATA("Subject",Sheet7!$A$3,"Project",$A13),"")</f>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6E93B-A3E0-4C79-AE59-1DD4CA1F6DBD}">
  <sheetPr codeName="Sheet3"/>
  <dimension ref="A3:I15"/>
  <sheetViews>
    <sheetView tabSelected="1" workbookViewId="0">
      <selection activeCell="A12" sqref="A12:I12"/>
      <pivotSelection pane="bottomRight" showHeader="1" extendable="1" axis="axisRow" start="6" max="10" activeRow="11" previousRow="11" click="1" r:id="rId1">
        <pivotArea dataOnly="0" fieldPosition="0">
          <references count="1">
            <reference field="5" count="1">
              <x v="12"/>
            </reference>
          </references>
        </pivotArea>
      </pivotSelection>
    </sheetView>
  </sheetViews>
  <sheetFormatPr defaultRowHeight="15" x14ac:dyDescent="0.25"/>
  <cols>
    <col min="1" max="1" width="15.7109375" bestFit="1" customWidth="1"/>
    <col min="2" max="2" width="16.28515625" bestFit="1" customWidth="1"/>
    <col min="3" max="6" width="5.7109375" bestFit="1" customWidth="1"/>
    <col min="7" max="7" width="6.7109375" bestFit="1" customWidth="1"/>
    <col min="8" max="8" width="8.85546875" bestFit="1" customWidth="1"/>
    <col min="9" max="10" width="11.28515625" bestFit="1" customWidth="1"/>
    <col min="11" max="11" width="8.85546875" bestFit="1" customWidth="1"/>
    <col min="12" max="12" width="11.28515625" bestFit="1" customWidth="1"/>
    <col min="13" max="15" width="5.7109375" bestFit="1" customWidth="1"/>
    <col min="16" max="16" width="6.7109375" bestFit="1" customWidth="1"/>
    <col min="17" max="17" width="8.85546875" bestFit="1" customWidth="1"/>
    <col min="18" max="18" width="11.28515625" bestFit="1" customWidth="1"/>
    <col min="19" max="20" width="5.7109375" bestFit="1" customWidth="1"/>
    <col min="21" max="21" width="6.7109375" bestFit="1" customWidth="1"/>
    <col min="22" max="22" width="8.85546875" bestFit="1" customWidth="1"/>
    <col min="23" max="23" width="11.28515625" bestFit="1" customWidth="1"/>
    <col min="24" max="31" width="13.85546875" bestFit="1" customWidth="1"/>
    <col min="32" max="32" width="12.7109375" bestFit="1" customWidth="1"/>
    <col min="33" max="37" width="13.85546875" bestFit="1" customWidth="1"/>
    <col min="38" max="39" width="12.7109375" bestFit="1" customWidth="1"/>
    <col min="40" max="41" width="13.85546875" bestFit="1" customWidth="1"/>
    <col min="42" max="42" width="12.7109375" bestFit="1" customWidth="1"/>
    <col min="43" max="66" width="13.85546875" bestFit="1" customWidth="1"/>
    <col min="67" max="67" width="12.7109375" bestFit="1" customWidth="1"/>
    <col min="68" max="72" width="13.85546875" bestFit="1" customWidth="1"/>
    <col min="73" max="119" width="14.85546875" bestFit="1" customWidth="1"/>
    <col min="120" max="120" width="13.85546875" bestFit="1" customWidth="1"/>
    <col min="121" max="125" width="14.85546875" bestFit="1" customWidth="1"/>
    <col min="126" max="126" width="11.28515625" bestFit="1" customWidth="1"/>
  </cols>
  <sheetData>
    <row r="3" spans="1:9" x14ac:dyDescent="0.25">
      <c r="A3" s="4" t="s">
        <v>19</v>
      </c>
      <c r="B3" s="4" t="s">
        <v>50</v>
      </c>
    </row>
    <row r="4" spans="1:9" x14ac:dyDescent="0.25">
      <c r="B4" t="s">
        <v>503</v>
      </c>
      <c r="H4" t="s">
        <v>728</v>
      </c>
      <c r="I4" t="s">
        <v>18</v>
      </c>
    </row>
    <row r="5" spans="1:9" x14ac:dyDescent="0.25">
      <c r="A5" s="4" t="s">
        <v>17</v>
      </c>
      <c r="B5" t="s">
        <v>729</v>
      </c>
      <c r="C5" t="s">
        <v>730</v>
      </c>
      <c r="D5" t="s">
        <v>731</v>
      </c>
      <c r="E5" t="s">
        <v>732</v>
      </c>
      <c r="F5" t="s">
        <v>733</v>
      </c>
      <c r="G5" t="s">
        <v>734</v>
      </c>
    </row>
    <row r="6" spans="1:9" x14ac:dyDescent="0.25">
      <c r="A6" s="5" t="s">
        <v>92</v>
      </c>
      <c r="B6" s="6"/>
      <c r="C6" s="6"/>
      <c r="D6" s="6"/>
      <c r="E6" s="6"/>
      <c r="F6" s="6">
        <v>1</v>
      </c>
      <c r="G6" s="6"/>
      <c r="H6" s="6">
        <v>1</v>
      </c>
      <c r="I6" s="6">
        <v>1</v>
      </c>
    </row>
    <row r="7" spans="1:9" x14ac:dyDescent="0.25">
      <c r="A7" s="5" t="s">
        <v>45</v>
      </c>
      <c r="B7" s="6">
        <v>2</v>
      </c>
      <c r="C7" s="6"/>
      <c r="D7" s="6">
        <v>6</v>
      </c>
      <c r="E7" s="6">
        <v>5</v>
      </c>
      <c r="F7" s="6">
        <v>2</v>
      </c>
      <c r="G7" s="6"/>
      <c r="H7" s="6">
        <v>15</v>
      </c>
      <c r="I7" s="6">
        <v>15</v>
      </c>
    </row>
    <row r="8" spans="1:9" x14ac:dyDescent="0.25">
      <c r="A8" s="5" t="s">
        <v>49</v>
      </c>
      <c r="B8" s="6"/>
      <c r="C8" s="6">
        <v>1</v>
      </c>
      <c r="D8" s="6"/>
      <c r="E8" s="6"/>
      <c r="F8" s="6"/>
      <c r="G8" s="6"/>
      <c r="H8" s="6">
        <v>1</v>
      </c>
      <c r="I8" s="6">
        <v>1</v>
      </c>
    </row>
    <row r="9" spans="1:9" x14ac:dyDescent="0.25">
      <c r="A9" s="5" t="s">
        <v>41</v>
      </c>
      <c r="B9" s="6">
        <v>12</v>
      </c>
      <c r="C9" s="6">
        <v>29</v>
      </c>
      <c r="D9" s="6">
        <v>8</v>
      </c>
      <c r="E9" s="6">
        <v>28</v>
      </c>
      <c r="F9" s="6">
        <v>14</v>
      </c>
      <c r="G9" s="6">
        <v>2</v>
      </c>
      <c r="H9" s="6">
        <v>93</v>
      </c>
      <c r="I9" s="6">
        <v>93</v>
      </c>
    </row>
    <row r="10" spans="1:9" x14ac:dyDescent="0.25">
      <c r="A10" s="5" t="s">
        <v>95</v>
      </c>
      <c r="B10" s="6"/>
      <c r="C10" s="6">
        <v>1</v>
      </c>
      <c r="D10" s="6"/>
      <c r="E10" s="6"/>
      <c r="F10" s="6"/>
      <c r="G10" s="6"/>
      <c r="H10" s="6">
        <v>1</v>
      </c>
      <c r="I10" s="6">
        <v>1</v>
      </c>
    </row>
    <row r="11" spans="1:9" x14ac:dyDescent="0.25">
      <c r="A11" s="5" t="s">
        <v>43</v>
      </c>
      <c r="B11" s="6"/>
      <c r="C11" s="6"/>
      <c r="D11" s="6"/>
      <c r="E11" s="6"/>
      <c r="F11" s="6">
        <v>2</v>
      </c>
      <c r="G11" s="6"/>
      <c r="H11" s="6">
        <v>2</v>
      </c>
      <c r="I11" s="6">
        <v>2</v>
      </c>
    </row>
    <row r="12" spans="1:9" x14ac:dyDescent="0.25">
      <c r="A12" s="5" t="s">
        <v>42</v>
      </c>
      <c r="B12" s="6">
        <v>1</v>
      </c>
      <c r="C12" s="6"/>
      <c r="D12" s="6">
        <v>7</v>
      </c>
      <c r="E12" s="6">
        <v>9</v>
      </c>
      <c r="F12" s="6">
        <v>6</v>
      </c>
      <c r="G12" s="6"/>
      <c r="H12" s="6">
        <v>23</v>
      </c>
      <c r="I12" s="6">
        <v>23</v>
      </c>
    </row>
    <row r="13" spans="1:9" x14ac:dyDescent="0.25">
      <c r="A13" s="5" t="s">
        <v>47</v>
      </c>
      <c r="B13" s="6">
        <v>3</v>
      </c>
      <c r="C13" s="6">
        <v>1</v>
      </c>
      <c r="D13" s="6">
        <v>2</v>
      </c>
      <c r="E13" s="6"/>
      <c r="F13" s="6">
        <v>1</v>
      </c>
      <c r="G13" s="6">
        <v>1</v>
      </c>
      <c r="H13" s="6">
        <v>8</v>
      </c>
      <c r="I13" s="6">
        <v>8</v>
      </c>
    </row>
    <row r="14" spans="1:9" x14ac:dyDescent="0.25">
      <c r="A14" s="5" t="s">
        <v>233</v>
      </c>
      <c r="B14" s="6">
        <v>2</v>
      </c>
      <c r="C14" s="6">
        <v>1</v>
      </c>
      <c r="D14" s="6">
        <v>1</v>
      </c>
      <c r="E14" s="6"/>
      <c r="F14" s="6">
        <v>1</v>
      </c>
      <c r="G14" s="6"/>
      <c r="H14" s="6">
        <v>5</v>
      </c>
      <c r="I14" s="6">
        <v>5</v>
      </c>
    </row>
    <row r="15" spans="1:9" x14ac:dyDescent="0.25">
      <c r="A15" s="5" t="s">
        <v>18</v>
      </c>
      <c r="B15" s="6">
        <v>20</v>
      </c>
      <c r="C15" s="6">
        <v>33</v>
      </c>
      <c r="D15" s="6">
        <v>24</v>
      </c>
      <c r="E15" s="6">
        <v>42</v>
      </c>
      <c r="F15" s="6">
        <v>27</v>
      </c>
      <c r="G15" s="6">
        <v>3</v>
      </c>
      <c r="H15" s="6">
        <v>149</v>
      </c>
      <c r="I15" s="6">
        <v>149</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02015-0108-460A-87FD-2381EE68536E}">
  <sheetPr codeName="Sheet1"/>
  <dimension ref="A1:K430"/>
  <sheetViews>
    <sheetView workbookViewId="0">
      <selection activeCell="F308" sqref="F308"/>
    </sheetView>
  </sheetViews>
  <sheetFormatPr defaultRowHeight="12" customHeight="1" x14ac:dyDescent="0.25"/>
  <cols>
    <col min="1" max="1" width="10.140625" bestFit="1" customWidth="1"/>
    <col min="2" max="2" width="9.7109375" bestFit="1" customWidth="1"/>
    <col min="5" max="5" width="14" customWidth="1"/>
    <col min="6" max="6" width="24.140625" customWidth="1"/>
    <col min="7" max="7" width="14.85546875" bestFit="1" customWidth="1"/>
    <col min="8" max="8" width="21.5703125" customWidth="1"/>
    <col min="11" max="11" width="12.140625" bestFit="1" customWidth="1"/>
  </cols>
  <sheetData>
    <row r="1" spans="1:11" ht="12" customHeight="1" x14ac:dyDescent="0.25">
      <c r="A1" t="s">
        <v>0</v>
      </c>
      <c r="B1" s="3">
        <v>44708</v>
      </c>
      <c r="E1" s="10" t="s">
        <v>57</v>
      </c>
      <c r="F1" s="10" t="s">
        <v>14</v>
      </c>
      <c r="G1" s="11" t="s">
        <v>15</v>
      </c>
      <c r="H1" s="10" t="s">
        <v>58</v>
      </c>
      <c r="I1" s="12" t="s">
        <v>16</v>
      </c>
      <c r="J1" s="10" t="s">
        <v>39</v>
      </c>
      <c r="K1" s="10" t="s">
        <v>99</v>
      </c>
    </row>
    <row r="2" spans="1:11" ht="12" customHeight="1" x14ac:dyDescent="0.25">
      <c r="E2" t="s">
        <v>7</v>
      </c>
      <c r="F2" t="s">
        <v>354</v>
      </c>
      <c r="G2" s="1">
        <v>44708.594895833332</v>
      </c>
      <c r="H2" t="s">
        <v>242</v>
      </c>
      <c r="I2" s="2" t="s">
        <v>183</v>
      </c>
      <c r="J2" t="str">
        <f>LEFT(Table2[[#This Row],[Folder]],6)</f>
        <v>505926</v>
      </c>
      <c r="K2" t="s">
        <v>102</v>
      </c>
    </row>
    <row r="3" spans="1:11" ht="12" customHeight="1" x14ac:dyDescent="0.25">
      <c r="E3" t="s">
        <v>7</v>
      </c>
      <c r="F3" t="s">
        <v>712</v>
      </c>
      <c r="G3" s="1">
        <v>44708.370381944442</v>
      </c>
      <c r="H3" t="s">
        <v>55</v>
      </c>
      <c r="I3" s="2" t="s">
        <v>713</v>
      </c>
      <c r="J3" t="str">
        <f>LEFT(Table2[[#This Row],[Folder]],6)</f>
        <v>505926</v>
      </c>
      <c r="K3" t="s">
        <v>102</v>
      </c>
    </row>
    <row r="4" spans="1:11" ht="12" customHeight="1" x14ac:dyDescent="0.25">
      <c r="E4" t="s">
        <v>7</v>
      </c>
      <c r="F4" t="s">
        <v>714</v>
      </c>
      <c r="G4" s="1">
        <v>44721.436111111114</v>
      </c>
      <c r="H4" t="s">
        <v>51</v>
      </c>
      <c r="I4" s="2" t="s">
        <v>715</v>
      </c>
      <c r="J4" t="str">
        <f>LEFT(Table2[[#This Row],[Folder]],6)</f>
        <v>505926</v>
      </c>
      <c r="K4" t="s">
        <v>102</v>
      </c>
    </row>
    <row r="5" spans="1:11" ht="12" customHeight="1" x14ac:dyDescent="0.25">
      <c r="E5" t="s">
        <v>7</v>
      </c>
      <c r="F5" t="s">
        <v>716</v>
      </c>
      <c r="G5" s="1">
        <v>44721.489583333336</v>
      </c>
      <c r="H5" t="s">
        <v>717</v>
      </c>
      <c r="I5" s="2" t="s">
        <v>184</v>
      </c>
      <c r="J5" t="str">
        <f>LEFT(Table2[[#This Row],[Folder]],6)</f>
        <v>505926</v>
      </c>
      <c r="K5" t="s">
        <v>102</v>
      </c>
    </row>
    <row r="6" spans="1:11" ht="12" customHeight="1" x14ac:dyDescent="0.25">
      <c r="E6" t="s">
        <v>8</v>
      </c>
      <c r="F6" t="s">
        <v>707</v>
      </c>
      <c r="G6" s="1">
        <v>44720.638888888891</v>
      </c>
      <c r="H6" t="s">
        <v>55</v>
      </c>
      <c r="I6" s="2" t="s">
        <v>708</v>
      </c>
      <c r="J6" t="str">
        <f>LEFT(Table2[[#This Row],[Folder]],6)</f>
        <v>505563</v>
      </c>
      <c r="K6" t="s">
        <v>102</v>
      </c>
    </row>
    <row r="7" spans="1:11" ht="12" customHeight="1" x14ac:dyDescent="0.25">
      <c r="E7" t="s">
        <v>9</v>
      </c>
      <c r="F7" t="s">
        <v>287</v>
      </c>
      <c r="G7" s="1">
        <v>44708.374722222223</v>
      </c>
      <c r="H7" t="s">
        <v>288</v>
      </c>
      <c r="I7" s="2" t="s">
        <v>257</v>
      </c>
      <c r="J7" t="str">
        <f>LEFT(Table2[[#This Row],[Folder]],6)</f>
        <v>505845</v>
      </c>
      <c r="K7" t="s">
        <v>102</v>
      </c>
    </row>
    <row r="8" spans="1:11" ht="12" customHeight="1" x14ac:dyDescent="0.25">
      <c r="E8" t="s">
        <v>9</v>
      </c>
      <c r="F8" t="s">
        <v>497</v>
      </c>
      <c r="G8" s="1">
        <v>44708.540937500002</v>
      </c>
      <c r="H8" t="s">
        <v>70</v>
      </c>
      <c r="I8" s="2" t="s">
        <v>309</v>
      </c>
      <c r="J8" t="str">
        <f>LEFT(Table2[[#This Row],[Folder]],6)</f>
        <v>505845</v>
      </c>
      <c r="K8" t="s">
        <v>102</v>
      </c>
    </row>
    <row r="9" spans="1:11" ht="12" customHeight="1" x14ac:dyDescent="0.25">
      <c r="E9" t="s">
        <v>9</v>
      </c>
      <c r="F9" t="s">
        <v>450</v>
      </c>
      <c r="G9" s="1">
        <v>44713.460115740738</v>
      </c>
      <c r="H9" t="s">
        <v>299</v>
      </c>
      <c r="I9" s="2" t="s">
        <v>451</v>
      </c>
      <c r="J9" t="str">
        <f>LEFT(Table2[[#This Row],[Folder]],6)</f>
        <v>505845</v>
      </c>
      <c r="K9" t="s">
        <v>102</v>
      </c>
    </row>
    <row r="10" spans="1:11" ht="12" customHeight="1" x14ac:dyDescent="0.25">
      <c r="E10" t="s">
        <v>9</v>
      </c>
      <c r="F10" t="s">
        <v>498</v>
      </c>
      <c r="G10" s="1">
        <v>44713.662083333336</v>
      </c>
      <c r="H10" t="s">
        <v>499</v>
      </c>
      <c r="I10" s="2" t="s">
        <v>184</v>
      </c>
      <c r="J10" t="str">
        <f>LEFT(Table2[[#This Row],[Folder]],6)</f>
        <v>505845</v>
      </c>
      <c r="K10" t="s">
        <v>102</v>
      </c>
    </row>
    <row r="11" spans="1:11" ht="12" customHeight="1" x14ac:dyDescent="0.25">
      <c r="E11" t="s">
        <v>9</v>
      </c>
      <c r="F11" t="s">
        <v>500</v>
      </c>
      <c r="G11" s="1">
        <v>44713.672083333331</v>
      </c>
      <c r="H11" t="s">
        <v>499</v>
      </c>
      <c r="I11" s="2" t="s">
        <v>184</v>
      </c>
      <c r="J11" t="str">
        <f>LEFT(Table2[[#This Row],[Folder]],6)</f>
        <v>505845</v>
      </c>
      <c r="K11" t="s">
        <v>102</v>
      </c>
    </row>
    <row r="12" spans="1:11" ht="12" customHeight="1" x14ac:dyDescent="0.25">
      <c r="E12" t="s">
        <v>10</v>
      </c>
      <c r="F12" t="s">
        <v>709</v>
      </c>
      <c r="G12" s="1">
        <v>44721.378657407404</v>
      </c>
      <c r="H12" t="s">
        <v>350</v>
      </c>
      <c r="I12" s="2" t="s">
        <v>574</v>
      </c>
      <c r="J12" t="str">
        <f>LEFT(Table2[[#This Row],[Folder]],6)</f>
        <v>505936</v>
      </c>
      <c r="K12" t="s">
        <v>102</v>
      </c>
    </row>
    <row r="13" spans="1:11" ht="12" customHeight="1" x14ac:dyDescent="0.25">
      <c r="E13" t="s">
        <v>710</v>
      </c>
      <c r="F13" t="s">
        <v>403</v>
      </c>
      <c r="G13" s="1">
        <v>44719.468518518515</v>
      </c>
      <c r="H13" t="s">
        <v>301</v>
      </c>
      <c r="I13" s="2" t="s">
        <v>711</v>
      </c>
      <c r="J13" t="str">
        <f>LEFT(Table2[[#This Row],[Folder]],6)</f>
        <v>505955</v>
      </c>
      <c r="K13" t="s">
        <v>102</v>
      </c>
    </row>
    <row r="14" spans="1:11" ht="12" customHeight="1" x14ac:dyDescent="0.25">
      <c r="E14" t="s">
        <v>12</v>
      </c>
      <c r="F14" t="s">
        <v>501</v>
      </c>
      <c r="G14" s="1">
        <v>44714.400497685187</v>
      </c>
      <c r="H14" t="s">
        <v>502</v>
      </c>
      <c r="I14" s="2" t="s">
        <v>183</v>
      </c>
      <c r="J14" t="str">
        <f>LEFT(Table2[[#This Row],[Folder]],6)</f>
        <v>505971</v>
      </c>
      <c r="K14" t="s">
        <v>102</v>
      </c>
    </row>
    <row r="15" spans="1:11" ht="12" customHeight="1" x14ac:dyDescent="0.25">
      <c r="F15" t="s">
        <v>83</v>
      </c>
      <c r="G15" s="1">
        <v>44711.182476851849</v>
      </c>
      <c r="H15" t="s">
        <v>84</v>
      </c>
      <c r="I15" s="2" t="s">
        <v>182</v>
      </c>
      <c r="J15" t="str">
        <f>LEFT(Table2[[#This Row],[Folder]],6)</f>
        <v/>
      </c>
      <c r="K15" t="s">
        <v>100</v>
      </c>
    </row>
    <row r="16" spans="1:11" ht="12" customHeight="1" x14ac:dyDescent="0.25">
      <c r="E16" t="s">
        <v>41</v>
      </c>
      <c r="F16" t="s">
        <v>262</v>
      </c>
      <c r="G16" s="1">
        <v>44709.038819444446</v>
      </c>
      <c r="H16" t="s">
        <v>181</v>
      </c>
      <c r="I16" s="2" t="s">
        <v>358</v>
      </c>
      <c r="J16" t="str">
        <f>LEFT(Table2[[#This Row],[Folder]],6)</f>
        <v>505845</v>
      </c>
      <c r="K16" t="s">
        <v>100</v>
      </c>
    </row>
    <row r="17" spans="5:11" ht="12" customHeight="1" x14ac:dyDescent="0.25">
      <c r="E17" t="s">
        <v>41</v>
      </c>
      <c r="F17" t="s">
        <v>262</v>
      </c>
      <c r="G17" s="1">
        <v>44708.686388888891</v>
      </c>
      <c r="H17" t="s">
        <v>70</v>
      </c>
      <c r="I17" s="2" t="s">
        <v>359</v>
      </c>
      <c r="J17" t="str">
        <f>LEFT(Table2[[#This Row],[Folder]],6)</f>
        <v>505845</v>
      </c>
      <c r="K17" t="s">
        <v>100</v>
      </c>
    </row>
    <row r="18" spans="5:11" ht="12" customHeight="1" x14ac:dyDescent="0.25">
      <c r="E18" t="s">
        <v>41</v>
      </c>
      <c r="F18" t="s">
        <v>262</v>
      </c>
      <c r="G18" s="1">
        <v>44708.660219907404</v>
      </c>
      <c r="H18" t="s">
        <v>181</v>
      </c>
      <c r="I18" s="2" t="s">
        <v>360</v>
      </c>
      <c r="J18" t="str">
        <f>LEFT(Table2[[#This Row],[Folder]],6)</f>
        <v>505845</v>
      </c>
      <c r="K18" t="s">
        <v>100</v>
      </c>
    </row>
    <row r="19" spans="5:11" ht="12" customHeight="1" x14ac:dyDescent="0.25">
      <c r="F19" t="s">
        <v>83</v>
      </c>
      <c r="G19" s="1">
        <v>44712.302951388891</v>
      </c>
      <c r="H19" t="s">
        <v>84</v>
      </c>
      <c r="I19" s="2" t="s">
        <v>182</v>
      </c>
      <c r="J19" t="str">
        <f>LEFT(Table2[[#This Row],[Folder]],6)</f>
        <v/>
      </c>
      <c r="K19" t="s">
        <v>100</v>
      </c>
    </row>
    <row r="20" spans="5:11" ht="12" customHeight="1" x14ac:dyDescent="0.25">
      <c r="E20" t="s">
        <v>41</v>
      </c>
      <c r="F20" t="s">
        <v>292</v>
      </c>
      <c r="G20" s="1">
        <v>44712.310520833336</v>
      </c>
      <c r="H20" t="s">
        <v>298</v>
      </c>
      <c r="I20" s="2" t="s">
        <v>294</v>
      </c>
      <c r="J20" t="str">
        <f>LEFT(Table2[[#This Row],[Folder]],6)</f>
        <v>505845</v>
      </c>
      <c r="K20" t="s">
        <v>100</v>
      </c>
    </row>
    <row r="21" spans="5:11" ht="12" customHeight="1" x14ac:dyDescent="0.25">
      <c r="E21" t="s">
        <v>41</v>
      </c>
      <c r="F21" t="s">
        <v>292</v>
      </c>
      <c r="G21" s="1">
        <v>44712.317013888889</v>
      </c>
      <c r="H21" t="s">
        <v>356</v>
      </c>
      <c r="I21" s="2" t="s">
        <v>357</v>
      </c>
      <c r="J21" t="str">
        <f>LEFT(Table2[[#This Row],[Folder]],6)</f>
        <v>505845</v>
      </c>
      <c r="K21" t="s">
        <v>100</v>
      </c>
    </row>
    <row r="22" spans="5:11" ht="12" customHeight="1" x14ac:dyDescent="0.25">
      <c r="E22" t="s">
        <v>41</v>
      </c>
      <c r="F22" t="s">
        <v>292</v>
      </c>
      <c r="G22" s="1">
        <v>44712.316863425927</v>
      </c>
      <c r="H22" t="s">
        <v>356</v>
      </c>
      <c r="I22" s="2" t="s">
        <v>357</v>
      </c>
      <c r="J22" t="str">
        <f>LEFT(Table2[[#This Row],[Folder]],6)</f>
        <v>505845</v>
      </c>
      <c r="K22" t="s">
        <v>100</v>
      </c>
    </row>
    <row r="23" spans="5:11" ht="12" customHeight="1" x14ac:dyDescent="0.25">
      <c r="E23" t="s">
        <v>41</v>
      </c>
      <c r="F23" t="s">
        <v>292</v>
      </c>
      <c r="G23" s="1">
        <v>44712.336215277777</v>
      </c>
      <c r="H23" t="s">
        <v>298</v>
      </c>
      <c r="I23" s="2" t="s">
        <v>294</v>
      </c>
      <c r="J23" t="str">
        <f>LEFT(Table2[[#This Row],[Folder]],6)</f>
        <v>505845</v>
      </c>
      <c r="K23" t="s">
        <v>100</v>
      </c>
    </row>
    <row r="24" spans="5:11" ht="12" customHeight="1" x14ac:dyDescent="0.25">
      <c r="E24" t="s">
        <v>41</v>
      </c>
      <c r="F24" t="s">
        <v>361</v>
      </c>
      <c r="G24" s="1">
        <v>44712.349733796298</v>
      </c>
      <c r="H24" t="s">
        <v>288</v>
      </c>
      <c r="I24" s="2" t="s">
        <v>257</v>
      </c>
      <c r="J24" t="str">
        <f>LEFT(Table2[[#This Row],[Folder]],6)</f>
        <v>505845</v>
      </c>
      <c r="K24" t="s">
        <v>100</v>
      </c>
    </row>
    <row r="25" spans="5:11" ht="12" customHeight="1" x14ac:dyDescent="0.25">
      <c r="E25" t="s">
        <v>42</v>
      </c>
      <c r="F25" t="s">
        <v>349</v>
      </c>
      <c r="G25" s="1">
        <v>44712.356111111112</v>
      </c>
      <c r="H25" t="s">
        <v>350</v>
      </c>
      <c r="I25" s="2" t="s">
        <v>362</v>
      </c>
      <c r="J25" t="str">
        <f>LEFT(Table2[[#This Row],[Folder]],6)</f>
        <v>505936</v>
      </c>
      <c r="K25" t="s">
        <v>100</v>
      </c>
    </row>
    <row r="26" spans="5:11" ht="12" customHeight="1" x14ac:dyDescent="0.25">
      <c r="E26" t="s">
        <v>41</v>
      </c>
      <c r="F26" t="s">
        <v>363</v>
      </c>
      <c r="G26" s="1">
        <v>44712.380729166667</v>
      </c>
      <c r="H26" t="s">
        <v>364</v>
      </c>
      <c r="I26" s="2" t="s">
        <v>365</v>
      </c>
      <c r="J26" t="str">
        <f>LEFT(Table2[[#This Row],[Folder]],6)</f>
        <v>505845</v>
      </c>
      <c r="K26" t="s">
        <v>100</v>
      </c>
    </row>
    <row r="27" spans="5:11" ht="12" customHeight="1" x14ac:dyDescent="0.25">
      <c r="E27" t="s">
        <v>41</v>
      </c>
      <c r="F27" t="s">
        <v>366</v>
      </c>
      <c r="G27" s="1">
        <v>44712.390138888892</v>
      </c>
      <c r="H27" t="s">
        <v>299</v>
      </c>
      <c r="I27" s="2" t="s">
        <v>367</v>
      </c>
      <c r="J27" t="str">
        <f>LEFT(Table2[[#This Row],[Folder]],6)</f>
        <v>505845</v>
      </c>
      <c r="K27" t="s">
        <v>100</v>
      </c>
    </row>
    <row r="28" spans="5:11" ht="12" customHeight="1" x14ac:dyDescent="0.25">
      <c r="E28" t="s">
        <v>710</v>
      </c>
      <c r="F28" t="s">
        <v>368</v>
      </c>
      <c r="G28" s="1">
        <v>44712.404236111113</v>
      </c>
      <c r="H28" t="s">
        <v>301</v>
      </c>
      <c r="I28" s="2" t="s">
        <v>369</v>
      </c>
      <c r="J28" t="str">
        <f>LEFT(Table2[[#This Row],[Folder]],6)</f>
        <v>505955</v>
      </c>
      <c r="K28" t="s">
        <v>100</v>
      </c>
    </row>
    <row r="29" spans="5:11" ht="12" customHeight="1" x14ac:dyDescent="0.25">
      <c r="E29" t="s">
        <v>41</v>
      </c>
      <c r="F29" t="s">
        <v>287</v>
      </c>
      <c r="G29" s="1">
        <v>44712.407511574071</v>
      </c>
      <c r="H29" t="s">
        <v>288</v>
      </c>
      <c r="I29" s="2" t="s">
        <v>302</v>
      </c>
      <c r="J29" t="str">
        <f>LEFT(Table2[[#This Row],[Folder]],6)</f>
        <v>505845</v>
      </c>
      <c r="K29" t="s">
        <v>100</v>
      </c>
    </row>
    <row r="30" spans="5:11" ht="12" customHeight="1" x14ac:dyDescent="0.25">
      <c r="E30">
        <v>504133</v>
      </c>
      <c r="F30" t="s">
        <v>370</v>
      </c>
      <c r="G30" s="1">
        <v>44712.409490740742</v>
      </c>
      <c r="H30" t="s">
        <v>371</v>
      </c>
      <c r="I30" s="2" t="s">
        <v>372</v>
      </c>
      <c r="J30" t="str">
        <f>LEFT(Table2[[#This Row],[Folder]],6)</f>
        <v>504133</v>
      </c>
      <c r="K30" t="s">
        <v>100</v>
      </c>
    </row>
    <row r="31" spans="5:11" ht="12" customHeight="1" x14ac:dyDescent="0.25">
      <c r="E31" t="s">
        <v>42</v>
      </c>
      <c r="F31" t="s">
        <v>349</v>
      </c>
      <c r="G31" s="1">
        <v>44712.409710648149</v>
      </c>
      <c r="H31" t="s">
        <v>373</v>
      </c>
      <c r="I31" s="2" t="s">
        <v>183</v>
      </c>
      <c r="J31" t="str">
        <f>LEFT(Table2[[#This Row],[Folder]],6)</f>
        <v>505936</v>
      </c>
      <c r="K31" t="s">
        <v>100</v>
      </c>
    </row>
    <row r="32" spans="5:11" ht="12" customHeight="1" x14ac:dyDescent="0.25">
      <c r="E32" t="s">
        <v>710</v>
      </c>
      <c r="F32" t="s">
        <v>374</v>
      </c>
      <c r="G32" s="1">
        <v>44712.413287037038</v>
      </c>
      <c r="H32" t="s">
        <v>375</v>
      </c>
      <c r="I32" s="2" t="s">
        <v>183</v>
      </c>
      <c r="J32" t="str">
        <f>LEFT(Table2[[#This Row],[Folder]],6)</f>
        <v>505955</v>
      </c>
      <c r="K32" t="s">
        <v>100</v>
      </c>
    </row>
    <row r="33" spans="5:11" ht="12" customHeight="1" x14ac:dyDescent="0.25">
      <c r="E33" t="s">
        <v>710</v>
      </c>
      <c r="F33" t="s">
        <v>374</v>
      </c>
      <c r="G33" s="1">
        <v>44712.414270833331</v>
      </c>
      <c r="H33" t="s">
        <v>308</v>
      </c>
      <c r="I33" s="2" t="s">
        <v>183</v>
      </c>
      <c r="J33" t="str">
        <f>LEFT(Table2[[#This Row],[Folder]],6)</f>
        <v>505955</v>
      </c>
      <c r="K33" t="s">
        <v>100</v>
      </c>
    </row>
    <row r="34" spans="5:11" ht="12" customHeight="1" x14ac:dyDescent="0.25">
      <c r="E34" t="s">
        <v>41</v>
      </c>
      <c r="F34" t="s">
        <v>303</v>
      </c>
      <c r="G34" s="1">
        <v>44712.416365740741</v>
      </c>
      <c r="H34" t="s">
        <v>299</v>
      </c>
      <c r="I34" s="2" t="s">
        <v>376</v>
      </c>
      <c r="J34" t="str">
        <f>LEFT(Table2[[#This Row],[Folder]],6)</f>
        <v>505845</v>
      </c>
      <c r="K34" t="s">
        <v>100</v>
      </c>
    </row>
    <row r="35" spans="5:11" ht="12" customHeight="1" x14ac:dyDescent="0.25">
      <c r="E35" t="s">
        <v>41</v>
      </c>
      <c r="F35" t="s">
        <v>353</v>
      </c>
      <c r="G35" s="1">
        <v>44712.416712962964</v>
      </c>
      <c r="H35" t="s">
        <v>70</v>
      </c>
      <c r="I35" s="2" t="s">
        <v>377</v>
      </c>
      <c r="J35" t="str">
        <f>LEFT(Table2[[#This Row],[Folder]],6)</f>
        <v>505845</v>
      </c>
      <c r="K35" t="s">
        <v>100</v>
      </c>
    </row>
    <row r="36" spans="5:11" ht="12" customHeight="1" x14ac:dyDescent="0.25">
      <c r="F36" t="s">
        <v>378</v>
      </c>
      <c r="G36" s="1">
        <v>44712.445277777777</v>
      </c>
      <c r="H36" t="s">
        <v>51</v>
      </c>
      <c r="I36" s="2" t="s">
        <v>379</v>
      </c>
      <c r="J36" t="str">
        <f>LEFT(Table2[[#This Row],[Folder]],6)</f>
        <v/>
      </c>
      <c r="K36" t="s">
        <v>100</v>
      </c>
    </row>
    <row r="37" spans="5:11" ht="12" customHeight="1" x14ac:dyDescent="0.25">
      <c r="F37" t="s">
        <v>380</v>
      </c>
      <c r="G37" s="1">
        <v>44712.46466435185</v>
      </c>
      <c r="H37" t="s">
        <v>352</v>
      </c>
      <c r="I37" s="2" t="s">
        <v>381</v>
      </c>
      <c r="J37" t="str">
        <f>LEFT(Table2[[#This Row],[Folder]],6)</f>
        <v/>
      </c>
      <c r="K37" t="s">
        <v>100</v>
      </c>
    </row>
    <row r="38" spans="5:11" ht="12" customHeight="1" x14ac:dyDescent="0.25">
      <c r="F38" t="s">
        <v>382</v>
      </c>
      <c r="G38" s="1">
        <v>44712.470335648148</v>
      </c>
      <c r="H38" t="s">
        <v>51</v>
      </c>
      <c r="I38" s="2" t="s">
        <v>383</v>
      </c>
      <c r="J38" t="str">
        <f>LEFT(Table2[[#This Row],[Folder]],6)</f>
        <v/>
      </c>
      <c r="K38" t="s">
        <v>100</v>
      </c>
    </row>
    <row r="39" spans="5:11" ht="12" customHeight="1" x14ac:dyDescent="0.25">
      <c r="E39" t="s">
        <v>41</v>
      </c>
      <c r="F39" t="s">
        <v>292</v>
      </c>
      <c r="G39" s="1">
        <v>44712.482905092591</v>
      </c>
      <c r="H39" t="s">
        <v>298</v>
      </c>
      <c r="I39" s="2" t="s">
        <v>294</v>
      </c>
      <c r="J39" t="str">
        <f>LEFT(Table2[[#This Row],[Folder]],6)</f>
        <v>505845</v>
      </c>
      <c r="K39" t="s">
        <v>100</v>
      </c>
    </row>
    <row r="40" spans="5:11" ht="12" customHeight="1" x14ac:dyDescent="0.25">
      <c r="F40" t="s">
        <v>384</v>
      </c>
      <c r="G40" s="1">
        <v>44712.497083333335</v>
      </c>
      <c r="H40" t="s">
        <v>51</v>
      </c>
      <c r="I40" s="2" t="s">
        <v>385</v>
      </c>
      <c r="J40" t="str">
        <f>LEFT(Table2[[#This Row],[Folder]],6)</f>
        <v/>
      </c>
      <c r="K40" t="s">
        <v>100</v>
      </c>
    </row>
    <row r="41" spans="5:11" ht="12" customHeight="1" x14ac:dyDescent="0.25">
      <c r="E41" t="s">
        <v>41</v>
      </c>
      <c r="F41" t="s">
        <v>292</v>
      </c>
      <c r="G41" s="1">
        <v>44712.501192129632</v>
      </c>
      <c r="H41" t="s">
        <v>386</v>
      </c>
      <c r="I41" s="2" t="s">
        <v>387</v>
      </c>
      <c r="J41" t="str">
        <f>LEFT(Table2[[#This Row],[Folder]],6)</f>
        <v>505845</v>
      </c>
      <c r="K41" t="s">
        <v>100</v>
      </c>
    </row>
    <row r="42" spans="5:11" ht="12" customHeight="1" x14ac:dyDescent="0.25">
      <c r="E42" t="s">
        <v>41</v>
      </c>
      <c r="F42" t="s">
        <v>292</v>
      </c>
      <c r="G42" s="1">
        <v>44712.501793981479</v>
      </c>
      <c r="H42" t="s">
        <v>386</v>
      </c>
      <c r="I42" s="2" t="s">
        <v>387</v>
      </c>
      <c r="J42" t="str">
        <f>LEFT(Table2[[#This Row],[Folder]],6)</f>
        <v>505845</v>
      </c>
      <c r="K42" t="s">
        <v>100</v>
      </c>
    </row>
    <row r="43" spans="5:11" ht="12" customHeight="1" x14ac:dyDescent="0.25">
      <c r="E43" t="s">
        <v>710</v>
      </c>
      <c r="F43" t="s">
        <v>368</v>
      </c>
      <c r="G43" s="1">
        <v>44712.516076388885</v>
      </c>
      <c r="H43" t="s">
        <v>301</v>
      </c>
      <c r="I43" s="2" t="s">
        <v>388</v>
      </c>
      <c r="J43" t="str">
        <f>LEFT(Table2[[#This Row],[Folder]],6)</f>
        <v>505955</v>
      </c>
      <c r="K43" t="s">
        <v>100</v>
      </c>
    </row>
    <row r="44" spans="5:11" ht="12" customHeight="1" x14ac:dyDescent="0.25">
      <c r="E44" t="s">
        <v>41</v>
      </c>
      <c r="F44" t="s">
        <v>305</v>
      </c>
      <c r="G44" s="1">
        <v>44712.532037037039</v>
      </c>
      <c r="H44" t="s">
        <v>68</v>
      </c>
      <c r="I44" s="2" t="s">
        <v>389</v>
      </c>
      <c r="J44" t="str">
        <f>LEFT(Table2[[#This Row],[Folder]],6)</f>
        <v>505845</v>
      </c>
      <c r="K44" t="s">
        <v>100</v>
      </c>
    </row>
    <row r="45" spans="5:11" ht="12" customHeight="1" x14ac:dyDescent="0.25">
      <c r="E45" t="s">
        <v>41</v>
      </c>
      <c r="F45" t="s">
        <v>262</v>
      </c>
      <c r="G45" s="1">
        <v>44712.603229166663</v>
      </c>
      <c r="H45" t="s">
        <v>181</v>
      </c>
      <c r="I45" s="2" t="s">
        <v>390</v>
      </c>
      <c r="J45" t="str">
        <f>LEFT(Table2[[#This Row],[Folder]],6)</f>
        <v>505845</v>
      </c>
      <c r="K45" t="s">
        <v>100</v>
      </c>
    </row>
    <row r="46" spans="5:11" ht="12" customHeight="1" x14ac:dyDescent="0.25">
      <c r="E46" t="s">
        <v>42</v>
      </c>
      <c r="F46" t="s">
        <v>349</v>
      </c>
      <c r="G46" s="1">
        <v>44712.638194444444</v>
      </c>
      <c r="H46" t="s">
        <v>373</v>
      </c>
      <c r="I46" s="2" t="s">
        <v>183</v>
      </c>
      <c r="J46" t="str">
        <f>LEFT(Table2[[#This Row],[Folder]],6)</f>
        <v>505936</v>
      </c>
      <c r="K46" t="s">
        <v>100</v>
      </c>
    </row>
    <row r="47" spans="5:11" ht="12" customHeight="1" x14ac:dyDescent="0.25">
      <c r="E47" t="s">
        <v>41</v>
      </c>
      <c r="F47" t="s">
        <v>305</v>
      </c>
      <c r="G47" s="1">
        <v>44712.643958333334</v>
      </c>
      <c r="H47" t="s">
        <v>70</v>
      </c>
      <c r="I47" s="2" t="s">
        <v>391</v>
      </c>
      <c r="J47" t="str">
        <f>LEFT(Table2[[#This Row],[Folder]],6)</f>
        <v>505845</v>
      </c>
      <c r="K47" t="s">
        <v>100</v>
      </c>
    </row>
    <row r="48" spans="5:11" ht="12" customHeight="1" x14ac:dyDescent="0.25">
      <c r="F48" t="s">
        <v>392</v>
      </c>
      <c r="G48" s="1">
        <v>44712.643819444442</v>
      </c>
      <c r="H48" t="s">
        <v>393</v>
      </c>
      <c r="I48" s="2" t="s">
        <v>394</v>
      </c>
      <c r="J48" t="str">
        <f>LEFT(Table2[[#This Row],[Folder]],6)</f>
        <v/>
      </c>
      <c r="K48" t="s">
        <v>100</v>
      </c>
    </row>
    <row r="49" spans="5:11" ht="12" customHeight="1" x14ac:dyDescent="0.25">
      <c r="E49" t="s">
        <v>45</v>
      </c>
      <c r="F49" t="s">
        <v>395</v>
      </c>
      <c r="G49" s="1">
        <v>44712.739178240743</v>
      </c>
      <c r="H49" t="s">
        <v>243</v>
      </c>
      <c r="I49" s="2" t="s">
        <v>396</v>
      </c>
      <c r="J49" t="str">
        <f>LEFT(Table2[[#This Row],[Folder]],6)</f>
        <v>505563</v>
      </c>
      <c r="K49" t="s">
        <v>100</v>
      </c>
    </row>
    <row r="50" spans="5:11" ht="12" customHeight="1" x14ac:dyDescent="0.25">
      <c r="F50" t="s">
        <v>397</v>
      </c>
      <c r="G50" s="1">
        <v>44713.019687499997</v>
      </c>
      <c r="H50" t="s">
        <v>393</v>
      </c>
      <c r="I50" s="2" t="s">
        <v>398</v>
      </c>
      <c r="J50" t="str">
        <f>LEFT(Table2[[#This Row],[Folder]],6)</f>
        <v/>
      </c>
      <c r="K50" t="s">
        <v>100</v>
      </c>
    </row>
    <row r="51" spans="5:11" ht="12" customHeight="1" x14ac:dyDescent="0.25">
      <c r="F51" t="s">
        <v>86</v>
      </c>
      <c r="G51" s="1">
        <v>44713.210914351854</v>
      </c>
      <c r="H51" t="s">
        <v>78</v>
      </c>
      <c r="I51" s="2" t="s">
        <v>184</v>
      </c>
      <c r="J51" t="str">
        <f>LEFT(Table2[[#This Row],[Folder]],6)</f>
        <v/>
      </c>
      <c r="K51" t="s">
        <v>100</v>
      </c>
    </row>
    <row r="52" spans="5:11" ht="12" customHeight="1" x14ac:dyDescent="0.25">
      <c r="E52" t="s">
        <v>41</v>
      </c>
      <c r="F52" t="s">
        <v>305</v>
      </c>
      <c r="G52" s="1">
        <v>44713.253263888888</v>
      </c>
      <c r="H52" t="s">
        <v>399</v>
      </c>
      <c r="I52" s="2" t="s">
        <v>400</v>
      </c>
      <c r="J52" t="str">
        <f>LEFT(Table2[[#This Row],[Folder]],6)</f>
        <v>505845</v>
      </c>
      <c r="K52" t="s">
        <v>100</v>
      </c>
    </row>
    <row r="53" spans="5:11" ht="12" customHeight="1" x14ac:dyDescent="0.25">
      <c r="F53" t="s">
        <v>83</v>
      </c>
      <c r="G53" s="1">
        <v>44713.274641203701</v>
      </c>
      <c r="H53" t="s">
        <v>84</v>
      </c>
      <c r="I53" s="2" t="s">
        <v>182</v>
      </c>
      <c r="J53" t="str">
        <f>LEFT(Table2[[#This Row],[Folder]],6)</f>
        <v/>
      </c>
      <c r="K53" t="s">
        <v>100</v>
      </c>
    </row>
    <row r="54" spans="5:11" ht="12" customHeight="1" x14ac:dyDescent="0.25">
      <c r="E54" t="s">
        <v>41</v>
      </c>
      <c r="F54" t="s">
        <v>305</v>
      </c>
      <c r="G54" s="1">
        <v>44713.309861111113</v>
      </c>
      <c r="H54" t="s">
        <v>399</v>
      </c>
      <c r="I54" s="2" t="s">
        <v>401</v>
      </c>
      <c r="J54" t="str">
        <f>LEFT(Table2[[#This Row],[Folder]],6)</f>
        <v>505845</v>
      </c>
      <c r="K54" t="s">
        <v>100</v>
      </c>
    </row>
    <row r="55" spans="5:11" ht="12" customHeight="1" x14ac:dyDescent="0.25">
      <c r="F55" t="s">
        <v>87</v>
      </c>
      <c r="G55" s="1">
        <v>44713.333564814813</v>
      </c>
      <c r="H55" t="s">
        <v>88</v>
      </c>
      <c r="I55" s="2" t="s">
        <v>402</v>
      </c>
      <c r="J55" t="str">
        <f>LEFT(Table2[[#This Row],[Folder]],6)</f>
        <v/>
      </c>
      <c r="K55" t="s">
        <v>100</v>
      </c>
    </row>
    <row r="56" spans="5:11" ht="12" customHeight="1" x14ac:dyDescent="0.25">
      <c r="E56" t="s">
        <v>41</v>
      </c>
      <c r="F56" t="s">
        <v>292</v>
      </c>
      <c r="G56" s="1">
        <v>44713.335914351854</v>
      </c>
      <c r="H56" t="s">
        <v>298</v>
      </c>
      <c r="I56" s="2" t="s">
        <v>294</v>
      </c>
      <c r="J56" t="str">
        <f>LEFT(Table2[[#This Row],[Folder]],6)</f>
        <v>505845</v>
      </c>
      <c r="K56" t="s">
        <v>100</v>
      </c>
    </row>
    <row r="57" spans="5:11" ht="12" customHeight="1" x14ac:dyDescent="0.25">
      <c r="E57" t="s">
        <v>41</v>
      </c>
      <c r="F57" t="s">
        <v>292</v>
      </c>
      <c r="G57" s="1">
        <v>44713.371817129628</v>
      </c>
      <c r="H57" t="s">
        <v>293</v>
      </c>
      <c r="I57" s="2" t="s">
        <v>294</v>
      </c>
      <c r="J57" t="str">
        <f>LEFT(Table2[[#This Row],[Folder]],6)</f>
        <v>505845</v>
      </c>
      <c r="K57" t="s">
        <v>100</v>
      </c>
    </row>
    <row r="58" spans="5:11" ht="12" customHeight="1" x14ac:dyDescent="0.25">
      <c r="E58" t="s">
        <v>41</v>
      </c>
      <c r="F58" t="s">
        <v>292</v>
      </c>
      <c r="G58" s="1">
        <v>44713.371805555558</v>
      </c>
      <c r="H58" t="s">
        <v>293</v>
      </c>
      <c r="I58" s="2" t="s">
        <v>294</v>
      </c>
      <c r="J58" t="str">
        <f>LEFT(Table2[[#This Row],[Folder]],6)</f>
        <v>505845</v>
      </c>
      <c r="K58" t="s">
        <v>100</v>
      </c>
    </row>
    <row r="59" spans="5:11" ht="12" customHeight="1" x14ac:dyDescent="0.25">
      <c r="E59" t="s">
        <v>41</v>
      </c>
      <c r="F59" t="s">
        <v>292</v>
      </c>
      <c r="G59" s="1">
        <v>44713.371944444443</v>
      </c>
      <c r="H59" t="s">
        <v>293</v>
      </c>
      <c r="I59" s="2" t="s">
        <v>294</v>
      </c>
      <c r="J59" t="str">
        <f>LEFT(Table2[[#This Row],[Folder]],6)</f>
        <v>505845</v>
      </c>
      <c r="K59" t="s">
        <v>100</v>
      </c>
    </row>
    <row r="60" spans="5:11" ht="12" customHeight="1" x14ac:dyDescent="0.25">
      <c r="E60" t="s">
        <v>710</v>
      </c>
      <c r="F60" t="s">
        <v>403</v>
      </c>
      <c r="G60" s="1">
        <v>44713.380590277775</v>
      </c>
      <c r="H60" t="s">
        <v>80</v>
      </c>
      <c r="I60" s="2" t="s">
        <v>183</v>
      </c>
      <c r="J60" t="str">
        <f>LEFT(Table2[[#This Row],[Folder]],6)</f>
        <v>505955</v>
      </c>
      <c r="K60" t="s">
        <v>100</v>
      </c>
    </row>
    <row r="61" spans="5:11" ht="12" customHeight="1" x14ac:dyDescent="0.25">
      <c r="F61" t="s">
        <v>404</v>
      </c>
      <c r="G61" s="1">
        <v>44713.393576388888</v>
      </c>
      <c r="H61" t="s">
        <v>70</v>
      </c>
      <c r="I61" s="2" t="s">
        <v>405</v>
      </c>
      <c r="J61" t="str">
        <f>LEFT(Table2[[#This Row],[Folder]],6)</f>
        <v/>
      </c>
      <c r="K61" t="s">
        <v>100</v>
      </c>
    </row>
    <row r="62" spans="5:11" ht="12" customHeight="1" x14ac:dyDescent="0.25">
      <c r="E62" t="s">
        <v>233</v>
      </c>
      <c r="F62" t="s">
        <v>285</v>
      </c>
      <c r="G62" s="1">
        <v>44713.409826388888</v>
      </c>
      <c r="H62" t="s">
        <v>307</v>
      </c>
      <c r="I62" s="2" t="s">
        <v>406</v>
      </c>
      <c r="J62" t="str">
        <f>LEFT(Table2[[#This Row],[Folder]],6)</f>
        <v>505967</v>
      </c>
      <c r="K62" t="s">
        <v>100</v>
      </c>
    </row>
    <row r="63" spans="5:11" ht="12" customHeight="1" x14ac:dyDescent="0.25">
      <c r="E63" t="s">
        <v>41</v>
      </c>
      <c r="F63" t="s">
        <v>305</v>
      </c>
      <c r="G63" s="1">
        <v>44713.415162037039</v>
      </c>
      <c r="H63" t="s">
        <v>70</v>
      </c>
      <c r="I63" s="2" t="s">
        <v>407</v>
      </c>
      <c r="J63" t="str">
        <f>LEFT(Table2[[#This Row],[Folder]],6)</f>
        <v>505845</v>
      </c>
      <c r="K63" t="s">
        <v>100</v>
      </c>
    </row>
    <row r="64" spans="5:11" ht="12" customHeight="1" x14ac:dyDescent="0.25">
      <c r="E64" t="s">
        <v>45</v>
      </c>
      <c r="F64" t="s">
        <v>408</v>
      </c>
      <c r="G64" s="1">
        <v>44713.428391203706</v>
      </c>
      <c r="H64" t="s">
        <v>243</v>
      </c>
      <c r="I64" s="2" t="s">
        <v>409</v>
      </c>
      <c r="J64" t="str">
        <f>LEFT(Table2[[#This Row],[Folder]],6)</f>
        <v>505563</v>
      </c>
      <c r="K64" t="s">
        <v>100</v>
      </c>
    </row>
    <row r="65" spans="5:11" ht="12" customHeight="1" x14ac:dyDescent="0.25">
      <c r="E65" t="s">
        <v>233</v>
      </c>
      <c r="F65" t="s">
        <v>285</v>
      </c>
      <c r="G65" s="1">
        <v>44713.430821759262</v>
      </c>
      <c r="H65" t="s">
        <v>265</v>
      </c>
      <c r="I65" s="2" t="s">
        <v>410</v>
      </c>
      <c r="J65" t="str">
        <f>LEFT(Table2[[#This Row],[Folder]],6)</f>
        <v>505967</v>
      </c>
      <c r="K65" t="s">
        <v>100</v>
      </c>
    </row>
    <row r="66" spans="5:11" ht="12" customHeight="1" x14ac:dyDescent="0.25">
      <c r="E66" t="s">
        <v>41</v>
      </c>
      <c r="F66" t="s">
        <v>287</v>
      </c>
      <c r="G66" s="1">
        <v>44713.451643518521</v>
      </c>
      <c r="H66" t="s">
        <v>298</v>
      </c>
      <c r="I66" s="2" t="s">
        <v>411</v>
      </c>
      <c r="J66" t="str">
        <f>LEFT(Table2[[#This Row],[Folder]],6)</f>
        <v>505845</v>
      </c>
      <c r="K66" t="s">
        <v>100</v>
      </c>
    </row>
    <row r="67" spans="5:11" ht="12" customHeight="1" x14ac:dyDescent="0.25">
      <c r="E67" t="s">
        <v>233</v>
      </c>
      <c r="F67" t="s">
        <v>285</v>
      </c>
      <c r="G67" s="1">
        <v>44713.458009259259</v>
      </c>
      <c r="H67" t="s">
        <v>300</v>
      </c>
      <c r="I67" s="2" t="s">
        <v>412</v>
      </c>
      <c r="J67" t="str">
        <f>LEFT(Table2[[#This Row],[Folder]],6)</f>
        <v>505967</v>
      </c>
      <c r="K67" t="s">
        <v>100</v>
      </c>
    </row>
    <row r="68" spans="5:11" ht="12" customHeight="1" x14ac:dyDescent="0.25">
      <c r="E68" t="s">
        <v>233</v>
      </c>
      <c r="F68" t="s">
        <v>285</v>
      </c>
      <c r="G68" s="1">
        <v>44713.470150462963</v>
      </c>
      <c r="H68" t="s">
        <v>307</v>
      </c>
      <c r="I68" s="2" t="s">
        <v>413</v>
      </c>
      <c r="J68" t="str">
        <f>LEFT(Table2[[#This Row],[Folder]],6)</f>
        <v>505967</v>
      </c>
      <c r="K68" t="s">
        <v>100</v>
      </c>
    </row>
    <row r="69" spans="5:11" ht="12" customHeight="1" x14ac:dyDescent="0.25">
      <c r="E69" t="s">
        <v>45</v>
      </c>
      <c r="F69" t="s">
        <v>414</v>
      </c>
      <c r="G69" s="1">
        <v>44713.505023148151</v>
      </c>
      <c r="H69" t="s">
        <v>415</v>
      </c>
      <c r="I69" s="2" t="s">
        <v>416</v>
      </c>
      <c r="J69" t="str">
        <f>LEFT(Table2[[#This Row],[Folder]],6)</f>
        <v>505563</v>
      </c>
      <c r="K69" t="s">
        <v>100</v>
      </c>
    </row>
    <row r="70" spans="5:11" ht="12" customHeight="1" x14ac:dyDescent="0.25">
      <c r="E70" t="s">
        <v>42</v>
      </c>
      <c r="F70" t="s">
        <v>349</v>
      </c>
      <c r="G70" s="1">
        <v>44713.513599537036</v>
      </c>
      <c r="H70" t="s">
        <v>373</v>
      </c>
      <c r="I70" s="2" t="s">
        <v>183</v>
      </c>
      <c r="J70" t="str">
        <f>LEFT(Table2[[#This Row],[Folder]],6)</f>
        <v>505936</v>
      </c>
      <c r="K70" t="s">
        <v>100</v>
      </c>
    </row>
    <row r="71" spans="5:11" ht="12" customHeight="1" x14ac:dyDescent="0.25">
      <c r="F71" t="s">
        <v>305</v>
      </c>
      <c r="G71" s="1">
        <v>44713.518391203703</v>
      </c>
      <c r="H71" t="s">
        <v>68</v>
      </c>
      <c r="I71" s="2" t="s">
        <v>417</v>
      </c>
      <c r="J71" t="str">
        <f>LEFT(Table2[[#This Row],[Folder]],6)</f>
        <v/>
      </c>
      <c r="K71" t="s">
        <v>100</v>
      </c>
    </row>
    <row r="72" spans="5:11" ht="12" customHeight="1" x14ac:dyDescent="0.25">
      <c r="E72" t="s">
        <v>42</v>
      </c>
      <c r="F72" t="s">
        <v>349</v>
      </c>
      <c r="G72" s="1">
        <v>44713.518321759257</v>
      </c>
      <c r="H72" t="s">
        <v>350</v>
      </c>
      <c r="I72" s="2" t="s">
        <v>351</v>
      </c>
      <c r="J72" t="str">
        <f>LEFT(Table2[[#This Row],[Folder]],6)</f>
        <v>505936</v>
      </c>
      <c r="K72" t="s">
        <v>100</v>
      </c>
    </row>
    <row r="73" spans="5:11" ht="12" customHeight="1" x14ac:dyDescent="0.25">
      <c r="E73" t="s">
        <v>45</v>
      </c>
      <c r="F73" t="s">
        <v>418</v>
      </c>
      <c r="G73" s="1">
        <v>44713.520405092589</v>
      </c>
      <c r="H73" t="s">
        <v>347</v>
      </c>
      <c r="I73" s="2" t="s">
        <v>419</v>
      </c>
      <c r="J73" t="str">
        <f>LEFT(Table2[[#This Row],[Folder]],6)</f>
        <v>505563</v>
      </c>
      <c r="K73" t="s">
        <v>100</v>
      </c>
    </row>
    <row r="74" spans="5:11" ht="12" customHeight="1" x14ac:dyDescent="0.25">
      <c r="E74" t="s">
        <v>41</v>
      </c>
      <c r="F74" t="s">
        <v>420</v>
      </c>
      <c r="G74" s="1">
        <v>44713.529942129629</v>
      </c>
      <c r="H74" t="s">
        <v>299</v>
      </c>
      <c r="I74" s="2" t="s">
        <v>421</v>
      </c>
      <c r="J74" t="str">
        <f>LEFT(Table2[[#This Row],[Folder]],6)</f>
        <v>505845</v>
      </c>
      <c r="K74" t="s">
        <v>100</v>
      </c>
    </row>
    <row r="75" spans="5:11" ht="12" customHeight="1" x14ac:dyDescent="0.25">
      <c r="E75" t="s">
        <v>41</v>
      </c>
      <c r="F75" t="s">
        <v>420</v>
      </c>
      <c r="G75" s="1">
        <v>44713.532372685186</v>
      </c>
      <c r="H75" t="s">
        <v>299</v>
      </c>
      <c r="I75" s="2" t="s">
        <v>422</v>
      </c>
      <c r="J75" t="str">
        <f>LEFT(Table2[[#This Row],[Folder]],6)</f>
        <v>505845</v>
      </c>
      <c r="K75" t="s">
        <v>100</v>
      </c>
    </row>
    <row r="76" spans="5:11" ht="12" customHeight="1" x14ac:dyDescent="0.25">
      <c r="E76" t="s">
        <v>45</v>
      </c>
      <c r="F76" t="s">
        <v>418</v>
      </c>
      <c r="G76" s="1">
        <v>44713.534432870372</v>
      </c>
      <c r="H76" t="s">
        <v>347</v>
      </c>
      <c r="I76" s="2" t="s">
        <v>423</v>
      </c>
      <c r="J76" t="str">
        <f>LEFT(Table2[[#This Row],[Folder]],6)</f>
        <v>505563</v>
      </c>
      <c r="K76" t="s">
        <v>100</v>
      </c>
    </row>
    <row r="77" spans="5:11" ht="12" customHeight="1" x14ac:dyDescent="0.25">
      <c r="E77" t="s">
        <v>41</v>
      </c>
      <c r="F77" t="s">
        <v>424</v>
      </c>
      <c r="G77" s="1">
        <v>44713.540312500001</v>
      </c>
      <c r="H77" t="s">
        <v>51</v>
      </c>
      <c r="I77" s="2" t="s">
        <v>297</v>
      </c>
      <c r="J77" t="str">
        <f>LEFT(Table2[[#This Row],[Folder]],6)</f>
        <v>505845</v>
      </c>
      <c r="K77" t="s">
        <v>100</v>
      </c>
    </row>
    <row r="78" spans="5:11" ht="12" customHeight="1" x14ac:dyDescent="0.25">
      <c r="E78" t="s">
        <v>45</v>
      </c>
      <c r="F78" t="s">
        <v>418</v>
      </c>
      <c r="G78" s="1">
        <v>44713.543124999997</v>
      </c>
      <c r="H78" t="s">
        <v>425</v>
      </c>
      <c r="I78" s="2" t="s">
        <v>426</v>
      </c>
      <c r="J78" t="str">
        <f>LEFT(Table2[[#This Row],[Folder]],6)</f>
        <v>505563</v>
      </c>
      <c r="K78" t="s">
        <v>100</v>
      </c>
    </row>
    <row r="79" spans="5:11" ht="12" customHeight="1" x14ac:dyDescent="0.25">
      <c r="E79" t="s">
        <v>45</v>
      </c>
      <c r="F79" t="s">
        <v>418</v>
      </c>
      <c r="G79" s="1">
        <v>44713.552233796298</v>
      </c>
      <c r="H79" t="s">
        <v>347</v>
      </c>
      <c r="I79" s="2" t="s">
        <v>419</v>
      </c>
      <c r="J79" t="str">
        <f>LEFT(Table2[[#This Row],[Folder]],6)</f>
        <v>505563</v>
      </c>
      <c r="K79" t="s">
        <v>100</v>
      </c>
    </row>
    <row r="80" spans="5:11" ht="12" customHeight="1" x14ac:dyDescent="0.25">
      <c r="E80" t="s">
        <v>233</v>
      </c>
      <c r="F80" t="s">
        <v>285</v>
      </c>
      <c r="G80" s="1">
        <v>44713.560914351852</v>
      </c>
      <c r="H80" t="s">
        <v>265</v>
      </c>
      <c r="I80" s="2" t="s">
        <v>427</v>
      </c>
      <c r="J80" t="str">
        <f>LEFT(Table2[[#This Row],[Folder]],6)</f>
        <v>505967</v>
      </c>
      <c r="K80" t="s">
        <v>100</v>
      </c>
    </row>
    <row r="81" spans="5:11" ht="12" customHeight="1" x14ac:dyDescent="0.25">
      <c r="F81" t="s">
        <v>428</v>
      </c>
      <c r="G81" s="1">
        <v>44713.627638888887</v>
      </c>
      <c r="H81" t="s">
        <v>51</v>
      </c>
      <c r="I81" s="2" t="s">
        <v>429</v>
      </c>
      <c r="J81" t="str">
        <f>LEFT(Table2[[#This Row],[Folder]],6)</f>
        <v/>
      </c>
      <c r="K81" t="s">
        <v>100</v>
      </c>
    </row>
    <row r="82" spans="5:11" ht="12" customHeight="1" x14ac:dyDescent="0.25">
      <c r="E82" t="s">
        <v>41</v>
      </c>
      <c r="F82" t="s">
        <v>430</v>
      </c>
      <c r="G82" s="1">
        <v>44713.665439814817</v>
      </c>
      <c r="H82" t="s">
        <v>70</v>
      </c>
      <c r="I82" s="2" t="s">
        <v>431</v>
      </c>
      <c r="J82" t="str">
        <f>LEFT(Table2[[#This Row],[Folder]],6)</f>
        <v>505845</v>
      </c>
      <c r="K82" t="s">
        <v>100</v>
      </c>
    </row>
    <row r="83" spans="5:11" ht="12" customHeight="1" x14ac:dyDescent="0.25">
      <c r="F83" t="s">
        <v>397</v>
      </c>
      <c r="G83" s="1">
        <v>44714.01284722222</v>
      </c>
      <c r="H83" t="s">
        <v>393</v>
      </c>
      <c r="I83" s="2" t="s">
        <v>398</v>
      </c>
      <c r="J83" t="str">
        <f>LEFT(Table2[[#This Row],[Folder]],6)</f>
        <v/>
      </c>
      <c r="K83" t="s">
        <v>100</v>
      </c>
    </row>
    <row r="84" spans="5:11" ht="12" customHeight="1" x14ac:dyDescent="0.25">
      <c r="F84" t="s">
        <v>83</v>
      </c>
      <c r="G84" s="1">
        <v>44714.256863425922</v>
      </c>
      <c r="H84" t="s">
        <v>84</v>
      </c>
      <c r="I84" s="2" t="s">
        <v>182</v>
      </c>
      <c r="J84" t="str">
        <f>LEFT(Table2[[#This Row],[Folder]],6)</f>
        <v/>
      </c>
      <c r="K84" t="s">
        <v>100</v>
      </c>
    </row>
    <row r="85" spans="5:11" ht="12" customHeight="1" x14ac:dyDescent="0.25">
      <c r="E85" t="s">
        <v>42</v>
      </c>
      <c r="F85" t="s">
        <v>432</v>
      </c>
      <c r="G85" s="1">
        <v>44714.337754629632</v>
      </c>
      <c r="H85" t="s">
        <v>350</v>
      </c>
      <c r="I85" s="2" t="s">
        <v>433</v>
      </c>
      <c r="J85" t="str">
        <f>LEFT(Table2[[#This Row],[Folder]],6)</f>
        <v>505936</v>
      </c>
      <c r="K85" t="s">
        <v>100</v>
      </c>
    </row>
    <row r="86" spans="5:11" ht="12" customHeight="1" x14ac:dyDescent="0.25">
      <c r="E86" t="s">
        <v>41</v>
      </c>
      <c r="F86" t="s">
        <v>434</v>
      </c>
      <c r="G86" s="1">
        <v>44714.349699074075</v>
      </c>
      <c r="H86" t="s">
        <v>70</v>
      </c>
      <c r="I86" s="2" t="s">
        <v>435</v>
      </c>
      <c r="J86" t="str">
        <f>LEFT(Table2[[#This Row],[Folder]],6)</f>
        <v>505845</v>
      </c>
      <c r="K86" t="s">
        <v>100</v>
      </c>
    </row>
    <row r="87" spans="5:11" ht="12" customHeight="1" x14ac:dyDescent="0.25">
      <c r="E87" t="s">
        <v>41</v>
      </c>
      <c r="F87" t="s">
        <v>436</v>
      </c>
      <c r="G87" s="1">
        <v>44714.406377314815</v>
      </c>
      <c r="H87" t="s">
        <v>68</v>
      </c>
      <c r="I87" s="2" t="s">
        <v>437</v>
      </c>
      <c r="J87" t="str">
        <f>LEFT(Table2[[#This Row],[Folder]],6)</f>
        <v>505845</v>
      </c>
      <c r="K87" t="s">
        <v>100</v>
      </c>
    </row>
    <row r="88" spans="5:11" ht="12" customHeight="1" x14ac:dyDescent="0.25">
      <c r="E88" t="s">
        <v>41</v>
      </c>
      <c r="F88" t="s">
        <v>436</v>
      </c>
      <c r="G88" s="1">
        <v>44714.40892361111</v>
      </c>
      <c r="H88" t="s">
        <v>70</v>
      </c>
      <c r="I88" s="2" t="s">
        <v>438</v>
      </c>
      <c r="J88" t="str">
        <f>LEFT(Table2[[#This Row],[Folder]],6)</f>
        <v>505845</v>
      </c>
      <c r="K88" t="s">
        <v>100</v>
      </c>
    </row>
    <row r="89" spans="5:11" ht="12" customHeight="1" x14ac:dyDescent="0.25">
      <c r="E89" t="s">
        <v>41</v>
      </c>
      <c r="F89" t="s">
        <v>436</v>
      </c>
      <c r="G89" s="1">
        <v>44714.411817129629</v>
      </c>
      <c r="H89" t="s">
        <v>68</v>
      </c>
      <c r="I89" s="2" t="s">
        <v>439</v>
      </c>
      <c r="J89" t="str">
        <f>LEFT(Table2[[#This Row],[Folder]],6)</f>
        <v>505845</v>
      </c>
      <c r="K89" t="s">
        <v>100</v>
      </c>
    </row>
    <row r="90" spans="5:11" ht="12" customHeight="1" x14ac:dyDescent="0.25">
      <c r="E90" t="s">
        <v>41</v>
      </c>
      <c r="F90" t="s">
        <v>436</v>
      </c>
      <c r="G90" s="1">
        <v>44714.427673611113</v>
      </c>
      <c r="H90" t="s">
        <v>70</v>
      </c>
      <c r="I90" s="2" t="s">
        <v>440</v>
      </c>
      <c r="J90" t="str">
        <f>LEFT(Table2[[#This Row],[Folder]],6)</f>
        <v>505845</v>
      </c>
      <c r="K90" t="s">
        <v>100</v>
      </c>
    </row>
    <row r="91" spans="5:11" ht="12" customHeight="1" x14ac:dyDescent="0.25">
      <c r="E91" t="s">
        <v>45</v>
      </c>
      <c r="F91" t="s">
        <v>441</v>
      </c>
      <c r="G91" s="1">
        <v>44714.435763888891</v>
      </c>
      <c r="H91" t="s">
        <v>304</v>
      </c>
      <c r="I91" s="2" t="s">
        <v>442</v>
      </c>
      <c r="J91" t="str">
        <f>LEFT(Table2[[#This Row],[Folder]],6)</f>
        <v>505563</v>
      </c>
      <c r="K91" t="s">
        <v>100</v>
      </c>
    </row>
    <row r="92" spans="5:11" ht="12" customHeight="1" x14ac:dyDescent="0.25">
      <c r="E92" t="s">
        <v>45</v>
      </c>
      <c r="F92" t="s">
        <v>443</v>
      </c>
      <c r="G92" s="1">
        <v>44714.432256944441</v>
      </c>
      <c r="H92" t="s">
        <v>347</v>
      </c>
      <c r="I92" s="2" t="s">
        <v>444</v>
      </c>
      <c r="J92" t="str">
        <f>LEFT(Table2[[#This Row],[Folder]],6)</f>
        <v>505563</v>
      </c>
      <c r="K92" t="s">
        <v>100</v>
      </c>
    </row>
    <row r="93" spans="5:11" ht="12" customHeight="1" x14ac:dyDescent="0.25">
      <c r="E93" t="s">
        <v>45</v>
      </c>
      <c r="F93" t="s">
        <v>445</v>
      </c>
      <c r="G93" s="1">
        <v>44714.429525462961</v>
      </c>
      <c r="H93" t="s">
        <v>446</v>
      </c>
      <c r="I93" s="2" t="s">
        <v>447</v>
      </c>
      <c r="J93" t="str">
        <f>LEFT(Table2[[#This Row],[Folder]],6)</f>
        <v>505563</v>
      </c>
      <c r="K93" t="s">
        <v>100</v>
      </c>
    </row>
    <row r="94" spans="5:11" ht="12" customHeight="1" x14ac:dyDescent="0.25">
      <c r="E94" t="s">
        <v>45</v>
      </c>
      <c r="F94" t="s">
        <v>441</v>
      </c>
      <c r="G94" s="1">
        <v>44714.448680555557</v>
      </c>
      <c r="H94" t="s">
        <v>300</v>
      </c>
      <c r="I94" s="2" t="s">
        <v>448</v>
      </c>
      <c r="J94" t="str">
        <f>LEFT(Table2[[#This Row],[Folder]],6)</f>
        <v>505563</v>
      </c>
      <c r="K94" t="s">
        <v>100</v>
      </c>
    </row>
    <row r="95" spans="5:11" ht="12" customHeight="1" x14ac:dyDescent="0.25">
      <c r="E95" t="s">
        <v>41</v>
      </c>
      <c r="F95" t="s">
        <v>436</v>
      </c>
      <c r="G95" s="1">
        <v>44714.453067129631</v>
      </c>
      <c r="H95" t="s">
        <v>399</v>
      </c>
      <c r="I95" s="2" t="s">
        <v>449</v>
      </c>
      <c r="J95" t="str">
        <f>LEFT(Table2[[#This Row],[Folder]],6)</f>
        <v>505845</v>
      </c>
      <c r="K95" t="s">
        <v>100</v>
      </c>
    </row>
    <row r="96" spans="5:11" ht="12" customHeight="1" x14ac:dyDescent="0.25">
      <c r="F96" t="s">
        <v>450</v>
      </c>
      <c r="G96" s="1">
        <v>44714.455601851849</v>
      </c>
      <c r="H96" t="s">
        <v>299</v>
      </c>
      <c r="I96" s="2" t="s">
        <v>451</v>
      </c>
      <c r="J96" t="str">
        <f>LEFT(Table2[[#This Row],[Folder]],6)</f>
        <v/>
      </c>
      <c r="K96" t="s">
        <v>100</v>
      </c>
    </row>
    <row r="97" spans="5:11" ht="12" customHeight="1" x14ac:dyDescent="0.25">
      <c r="E97" t="s">
        <v>233</v>
      </c>
      <c r="F97" t="s">
        <v>452</v>
      </c>
      <c r="G97" s="1">
        <v>44714.464814814812</v>
      </c>
      <c r="H97" t="s">
        <v>453</v>
      </c>
      <c r="I97" s="2" t="s">
        <v>454</v>
      </c>
      <c r="J97" t="str">
        <f>LEFT(Table2[[#This Row],[Folder]],6)</f>
        <v>505967</v>
      </c>
      <c r="K97" t="s">
        <v>100</v>
      </c>
    </row>
    <row r="98" spans="5:11" ht="12" customHeight="1" x14ac:dyDescent="0.25">
      <c r="E98" t="s">
        <v>41</v>
      </c>
      <c r="F98" t="s">
        <v>262</v>
      </c>
      <c r="G98" s="1">
        <v>44714.470185185186</v>
      </c>
      <c r="H98" t="s">
        <v>181</v>
      </c>
      <c r="I98" s="2" t="s">
        <v>455</v>
      </c>
      <c r="J98" t="str">
        <f>LEFT(Table2[[#This Row],[Folder]],6)</f>
        <v>505845</v>
      </c>
      <c r="K98" t="s">
        <v>100</v>
      </c>
    </row>
    <row r="99" spans="5:11" ht="12" customHeight="1" x14ac:dyDescent="0.25">
      <c r="E99" t="s">
        <v>233</v>
      </c>
      <c r="F99" t="s">
        <v>456</v>
      </c>
      <c r="G99" s="1">
        <v>44714.488298611112</v>
      </c>
      <c r="H99" t="s">
        <v>446</v>
      </c>
      <c r="I99" s="2" t="s">
        <v>457</v>
      </c>
      <c r="J99" t="str">
        <f>LEFT(Table2[[#This Row],[Folder]],6)</f>
        <v>505967</v>
      </c>
      <c r="K99" t="s">
        <v>100</v>
      </c>
    </row>
    <row r="100" spans="5:11" ht="12" customHeight="1" x14ac:dyDescent="0.25">
      <c r="E100" t="s">
        <v>48</v>
      </c>
      <c r="F100" t="s">
        <v>458</v>
      </c>
      <c r="G100" s="1">
        <v>44714.505393518521</v>
      </c>
      <c r="H100" t="s">
        <v>459</v>
      </c>
      <c r="I100" s="2" t="s">
        <v>348</v>
      </c>
      <c r="J100" t="str">
        <f>LEFT(Table2[[#This Row],[Folder]],6)</f>
        <v>505971</v>
      </c>
      <c r="K100" t="s">
        <v>100</v>
      </c>
    </row>
    <row r="101" spans="5:11" ht="12" customHeight="1" x14ac:dyDescent="0.25">
      <c r="E101" t="s">
        <v>233</v>
      </c>
      <c r="F101" t="s">
        <v>452</v>
      </c>
      <c r="G101" s="1">
        <v>44714.510289351849</v>
      </c>
      <c r="H101" t="s">
        <v>446</v>
      </c>
      <c r="I101" s="2" t="s">
        <v>460</v>
      </c>
      <c r="J101" t="str">
        <f>LEFT(Table2[[#This Row],[Folder]],6)</f>
        <v>505967</v>
      </c>
      <c r="K101" t="s">
        <v>100</v>
      </c>
    </row>
    <row r="102" spans="5:11" ht="12" customHeight="1" x14ac:dyDescent="0.25">
      <c r="E102" t="s">
        <v>41</v>
      </c>
      <c r="F102" t="s">
        <v>461</v>
      </c>
      <c r="G102" s="1">
        <v>44714.526817129627</v>
      </c>
      <c r="H102" t="s">
        <v>70</v>
      </c>
      <c r="I102" s="2" t="s">
        <v>462</v>
      </c>
      <c r="J102" t="str">
        <f>LEFT(Table2[[#This Row],[Folder]],6)</f>
        <v>505845</v>
      </c>
      <c r="K102" t="s">
        <v>100</v>
      </c>
    </row>
    <row r="103" spans="5:11" ht="12" customHeight="1" x14ac:dyDescent="0.25">
      <c r="E103" t="s">
        <v>45</v>
      </c>
      <c r="F103" t="s">
        <v>452</v>
      </c>
      <c r="G103" s="1">
        <v>44714.527303240742</v>
      </c>
      <c r="H103" t="s">
        <v>453</v>
      </c>
      <c r="I103" s="2" t="s">
        <v>463</v>
      </c>
      <c r="J103" t="str">
        <f>LEFT(Table2[[#This Row],[Folder]],6)</f>
        <v>505563</v>
      </c>
      <c r="K103" t="s">
        <v>100</v>
      </c>
    </row>
    <row r="104" spans="5:11" ht="12" customHeight="1" x14ac:dyDescent="0.25">
      <c r="E104" t="s">
        <v>45</v>
      </c>
      <c r="F104" t="s">
        <v>456</v>
      </c>
      <c r="G104" s="1">
        <v>44714.536168981482</v>
      </c>
      <c r="H104" t="s">
        <v>446</v>
      </c>
      <c r="I104" s="2" t="s">
        <v>464</v>
      </c>
      <c r="J104" t="str">
        <f>LEFT(Table2[[#This Row],[Folder]],6)</f>
        <v>505563</v>
      </c>
      <c r="K104" t="s">
        <v>100</v>
      </c>
    </row>
    <row r="105" spans="5:11" ht="12" customHeight="1" x14ac:dyDescent="0.25">
      <c r="E105" t="s">
        <v>41</v>
      </c>
      <c r="F105" t="s">
        <v>465</v>
      </c>
      <c r="G105" s="1">
        <v>44714.539467592593</v>
      </c>
      <c r="H105" t="s">
        <v>66</v>
      </c>
      <c r="I105" s="2" t="s">
        <v>466</v>
      </c>
      <c r="J105" t="str">
        <f>LEFT(Table2[[#This Row],[Folder]],6)</f>
        <v>505845</v>
      </c>
      <c r="K105" t="s">
        <v>100</v>
      </c>
    </row>
    <row r="106" spans="5:11" ht="12" customHeight="1" x14ac:dyDescent="0.25">
      <c r="E106" t="s">
        <v>41</v>
      </c>
      <c r="F106" t="s">
        <v>467</v>
      </c>
      <c r="G106" s="1">
        <v>44714.548750000002</v>
      </c>
      <c r="H106" t="s">
        <v>300</v>
      </c>
      <c r="I106" s="2" t="s">
        <v>468</v>
      </c>
      <c r="J106" t="str">
        <f>LEFT(Table2[[#This Row],[Folder]],6)</f>
        <v>505845</v>
      </c>
      <c r="K106" t="s">
        <v>100</v>
      </c>
    </row>
    <row r="107" spans="5:11" ht="12" customHeight="1" x14ac:dyDescent="0.25">
      <c r="E107" t="s">
        <v>710</v>
      </c>
      <c r="F107" t="s">
        <v>368</v>
      </c>
      <c r="G107" s="1">
        <v>44714.556273148148</v>
      </c>
      <c r="H107" t="s">
        <v>301</v>
      </c>
      <c r="I107" s="2" t="s">
        <v>388</v>
      </c>
      <c r="J107" t="str">
        <f>LEFT(Table2[[#This Row],[Folder]],6)</f>
        <v>505955</v>
      </c>
      <c r="K107" t="s">
        <v>100</v>
      </c>
    </row>
    <row r="108" spans="5:11" ht="12" customHeight="1" x14ac:dyDescent="0.25">
      <c r="E108" t="s">
        <v>41</v>
      </c>
      <c r="F108" t="s">
        <v>465</v>
      </c>
      <c r="G108" s="1">
        <v>44714.557002314818</v>
      </c>
      <c r="H108" t="s">
        <v>70</v>
      </c>
      <c r="I108" s="2" t="s">
        <v>469</v>
      </c>
      <c r="J108" t="str">
        <f>LEFT(Table2[[#This Row],[Folder]],6)</f>
        <v>505845</v>
      </c>
      <c r="K108" t="s">
        <v>100</v>
      </c>
    </row>
    <row r="109" spans="5:11" ht="12" customHeight="1" x14ac:dyDescent="0.25">
      <c r="E109" t="s">
        <v>45</v>
      </c>
      <c r="F109" t="s">
        <v>467</v>
      </c>
      <c r="G109" s="1">
        <v>44714.557789351849</v>
      </c>
      <c r="H109" t="s">
        <v>304</v>
      </c>
      <c r="I109" s="2" t="s">
        <v>470</v>
      </c>
      <c r="J109" t="str">
        <f>LEFT(Table2[[#This Row],[Folder]],6)</f>
        <v>505563</v>
      </c>
      <c r="K109" t="s">
        <v>100</v>
      </c>
    </row>
    <row r="110" spans="5:11" ht="12" customHeight="1" x14ac:dyDescent="0.25">
      <c r="E110" t="s">
        <v>42</v>
      </c>
      <c r="F110" t="s">
        <v>349</v>
      </c>
      <c r="G110" s="1">
        <v>44714.600752314815</v>
      </c>
      <c r="H110" t="s">
        <v>373</v>
      </c>
      <c r="I110" s="2" t="s">
        <v>183</v>
      </c>
      <c r="J110" t="str">
        <f>LEFT(Table2[[#This Row],[Folder]],6)</f>
        <v>505936</v>
      </c>
      <c r="K110" t="s">
        <v>100</v>
      </c>
    </row>
    <row r="111" spans="5:11" ht="12" customHeight="1" x14ac:dyDescent="0.25">
      <c r="E111" t="s">
        <v>42</v>
      </c>
      <c r="F111" t="s">
        <v>349</v>
      </c>
      <c r="G111" s="1">
        <v>44714.628645833334</v>
      </c>
      <c r="H111" t="s">
        <v>355</v>
      </c>
      <c r="I111" s="2" t="s">
        <v>183</v>
      </c>
      <c r="J111" t="str">
        <f>LEFT(Table2[[#This Row],[Folder]],6)</f>
        <v>505936</v>
      </c>
      <c r="K111" t="s">
        <v>100</v>
      </c>
    </row>
    <row r="112" spans="5:11" ht="12" customHeight="1" x14ac:dyDescent="0.25">
      <c r="E112" t="s">
        <v>42</v>
      </c>
      <c r="F112" t="s">
        <v>349</v>
      </c>
      <c r="G112" s="1">
        <v>44714.630023148151</v>
      </c>
      <c r="H112" t="s">
        <v>350</v>
      </c>
      <c r="I112" s="2" t="s">
        <v>362</v>
      </c>
      <c r="J112" t="str">
        <f>LEFT(Table2[[#This Row],[Folder]],6)</f>
        <v>505936</v>
      </c>
      <c r="K112" t="s">
        <v>100</v>
      </c>
    </row>
    <row r="113" spans="5:11" ht="12" customHeight="1" x14ac:dyDescent="0.25">
      <c r="E113" t="s">
        <v>41</v>
      </c>
      <c r="F113" t="s">
        <v>471</v>
      </c>
      <c r="G113" s="1">
        <v>44714.636666666665</v>
      </c>
      <c r="H113" t="s">
        <v>66</v>
      </c>
      <c r="I113" s="2" t="s">
        <v>472</v>
      </c>
      <c r="J113" t="str">
        <f>LEFT(Table2[[#This Row],[Folder]],6)</f>
        <v>505845</v>
      </c>
      <c r="K113" t="s">
        <v>100</v>
      </c>
    </row>
    <row r="114" spans="5:11" ht="12" customHeight="1" x14ac:dyDescent="0.25">
      <c r="E114" t="s">
        <v>41</v>
      </c>
      <c r="F114" t="s">
        <v>436</v>
      </c>
      <c r="G114" s="1">
        <v>44714.642870370371</v>
      </c>
      <c r="H114" t="s">
        <v>66</v>
      </c>
      <c r="I114" s="2" t="s">
        <v>473</v>
      </c>
      <c r="J114" t="str">
        <f>LEFT(Table2[[#This Row],[Folder]],6)</f>
        <v>505845</v>
      </c>
      <c r="K114" t="s">
        <v>100</v>
      </c>
    </row>
    <row r="115" spans="5:11" ht="12" customHeight="1" x14ac:dyDescent="0.25">
      <c r="E115" t="s">
        <v>41</v>
      </c>
      <c r="F115" t="s">
        <v>474</v>
      </c>
      <c r="G115" s="1">
        <v>44714.685046296298</v>
      </c>
      <c r="H115" t="s">
        <v>66</v>
      </c>
      <c r="I115" s="2" t="s">
        <v>475</v>
      </c>
      <c r="J115" t="str">
        <f>LEFT(Table2[[#This Row],[Folder]],6)</f>
        <v>505845</v>
      </c>
      <c r="K115" t="s">
        <v>100</v>
      </c>
    </row>
    <row r="116" spans="5:11" ht="12" customHeight="1" x14ac:dyDescent="0.25">
      <c r="E116" t="s">
        <v>41</v>
      </c>
      <c r="F116" t="s">
        <v>262</v>
      </c>
      <c r="G116" s="1">
        <v>44714.745868055557</v>
      </c>
      <c r="H116" t="s">
        <v>70</v>
      </c>
      <c r="I116" s="2" t="s">
        <v>476</v>
      </c>
      <c r="J116" t="str">
        <f>LEFT(Table2[[#This Row],[Folder]],6)</f>
        <v>505845</v>
      </c>
      <c r="K116" t="s">
        <v>100</v>
      </c>
    </row>
    <row r="117" spans="5:11" ht="12" customHeight="1" x14ac:dyDescent="0.25">
      <c r="E117" t="s">
        <v>710</v>
      </c>
      <c r="F117" t="s">
        <v>403</v>
      </c>
      <c r="G117" s="1">
        <v>44714.782141203701</v>
      </c>
      <c r="H117" t="s">
        <v>80</v>
      </c>
      <c r="I117" s="2" t="s">
        <v>183</v>
      </c>
      <c r="J117" t="str">
        <f>LEFT(Table2[[#This Row],[Folder]],6)</f>
        <v>505955</v>
      </c>
      <c r="K117" t="s">
        <v>100</v>
      </c>
    </row>
    <row r="118" spans="5:11" ht="12" customHeight="1" x14ac:dyDescent="0.25">
      <c r="E118" t="s">
        <v>710</v>
      </c>
      <c r="F118" t="s">
        <v>403</v>
      </c>
      <c r="G118" s="1">
        <v>44714.782071759262</v>
      </c>
      <c r="H118" t="s">
        <v>80</v>
      </c>
      <c r="I118" s="2" t="s">
        <v>183</v>
      </c>
      <c r="J118" t="str">
        <f>LEFT(Table2[[#This Row],[Folder]],6)</f>
        <v>505955</v>
      </c>
      <c r="K118" t="s">
        <v>100</v>
      </c>
    </row>
    <row r="119" spans="5:11" ht="12" customHeight="1" x14ac:dyDescent="0.25">
      <c r="E119" t="s">
        <v>710</v>
      </c>
      <c r="F119" t="s">
        <v>403</v>
      </c>
      <c r="G119" s="1">
        <v>44714.782523148147</v>
      </c>
      <c r="H119" t="s">
        <v>80</v>
      </c>
      <c r="I119" s="2" t="s">
        <v>183</v>
      </c>
      <c r="J119" t="str">
        <f>LEFT(Table2[[#This Row],[Folder]],6)</f>
        <v>505955</v>
      </c>
      <c r="K119" t="s">
        <v>100</v>
      </c>
    </row>
    <row r="120" spans="5:11" ht="12" customHeight="1" x14ac:dyDescent="0.25">
      <c r="E120" t="s">
        <v>710</v>
      </c>
      <c r="F120" t="s">
        <v>403</v>
      </c>
      <c r="G120" s="1">
        <v>44714.783310185187</v>
      </c>
      <c r="H120" t="s">
        <v>477</v>
      </c>
      <c r="I120" s="2" t="s">
        <v>183</v>
      </c>
      <c r="J120" t="str">
        <f>LEFT(Table2[[#This Row],[Folder]],6)</f>
        <v>505955</v>
      </c>
      <c r="K120" t="s">
        <v>100</v>
      </c>
    </row>
    <row r="121" spans="5:11" ht="12" customHeight="1" x14ac:dyDescent="0.25">
      <c r="E121" t="s">
        <v>710</v>
      </c>
      <c r="F121" t="s">
        <v>403</v>
      </c>
      <c r="G121" s="1">
        <v>44714.784039351849</v>
      </c>
      <c r="H121" t="s">
        <v>80</v>
      </c>
      <c r="I121" s="2" t="s">
        <v>183</v>
      </c>
      <c r="J121" t="str">
        <f>LEFT(Table2[[#This Row],[Folder]],6)</f>
        <v>505955</v>
      </c>
      <c r="K121" t="s">
        <v>100</v>
      </c>
    </row>
    <row r="122" spans="5:11" ht="12" customHeight="1" x14ac:dyDescent="0.25">
      <c r="F122" t="s">
        <v>478</v>
      </c>
      <c r="G122" s="1">
        <v>44714.79896990741</v>
      </c>
      <c r="H122" t="s">
        <v>479</v>
      </c>
      <c r="I122" s="2" t="s">
        <v>480</v>
      </c>
      <c r="J122" t="str">
        <f>LEFT(Table2[[#This Row],[Folder]],6)</f>
        <v/>
      </c>
      <c r="K122" t="s">
        <v>100</v>
      </c>
    </row>
    <row r="123" spans="5:11" ht="12" customHeight="1" x14ac:dyDescent="0.25">
      <c r="E123" t="s">
        <v>42</v>
      </c>
      <c r="F123" t="s">
        <v>349</v>
      </c>
      <c r="G123" s="1">
        <v>44714.840057870373</v>
      </c>
      <c r="H123" t="s">
        <v>355</v>
      </c>
      <c r="I123" s="2" t="s">
        <v>183</v>
      </c>
      <c r="J123" t="str">
        <f>LEFT(Table2[[#This Row],[Folder]],6)</f>
        <v>505936</v>
      </c>
      <c r="K123" t="s">
        <v>100</v>
      </c>
    </row>
    <row r="124" spans="5:11" ht="12" customHeight="1" x14ac:dyDescent="0.25">
      <c r="F124" t="s">
        <v>289</v>
      </c>
      <c r="G124" s="1">
        <v>44714.994699074072</v>
      </c>
      <c r="H124" t="s">
        <v>290</v>
      </c>
      <c r="I124" s="2" t="s">
        <v>291</v>
      </c>
      <c r="J124" t="str">
        <f>LEFT(Table2[[#This Row],[Folder]],6)</f>
        <v/>
      </c>
      <c r="K124" t="s">
        <v>100</v>
      </c>
    </row>
    <row r="125" spans="5:11" ht="12" customHeight="1" x14ac:dyDescent="0.25">
      <c r="E125" t="s">
        <v>41</v>
      </c>
      <c r="F125" t="s">
        <v>262</v>
      </c>
      <c r="G125" s="1">
        <v>44715.020891203705</v>
      </c>
      <c r="H125" t="s">
        <v>181</v>
      </c>
      <c r="I125" s="2" t="s">
        <v>481</v>
      </c>
      <c r="J125" t="str">
        <f>LEFT(Table2[[#This Row],[Folder]],6)</f>
        <v>505845</v>
      </c>
      <c r="K125" t="s">
        <v>100</v>
      </c>
    </row>
    <row r="126" spans="5:11" ht="12" customHeight="1" x14ac:dyDescent="0.25">
      <c r="F126" t="s">
        <v>397</v>
      </c>
      <c r="G126" s="1">
        <v>44715.02747685185</v>
      </c>
      <c r="H126" t="s">
        <v>393</v>
      </c>
      <c r="I126" s="2" t="s">
        <v>398</v>
      </c>
      <c r="J126" t="str">
        <f>LEFT(Table2[[#This Row],[Folder]],6)</f>
        <v/>
      </c>
      <c r="K126" t="s">
        <v>100</v>
      </c>
    </row>
    <row r="127" spans="5:11" ht="12" customHeight="1" x14ac:dyDescent="0.25">
      <c r="E127" t="s">
        <v>41</v>
      </c>
      <c r="F127" t="s">
        <v>465</v>
      </c>
      <c r="G127" s="1">
        <v>44715.031215277777</v>
      </c>
      <c r="H127" t="s">
        <v>181</v>
      </c>
      <c r="I127" s="2" t="s">
        <v>258</v>
      </c>
      <c r="J127" t="str">
        <f>LEFT(Table2[[#This Row],[Folder]],6)</f>
        <v>505845</v>
      </c>
      <c r="K127" t="s">
        <v>100</v>
      </c>
    </row>
    <row r="128" spans="5:11" ht="12" customHeight="1" x14ac:dyDescent="0.25">
      <c r="F128" t="s">
        <v>83</v>
      </c>
      <c r="G128" s="1">
        <v>44715.232361111113</v>
      </c>
      <c r="H128" t="s">
        <v>84</v>
      </c>
      <c r="I128" s="2" t="s">
        <v>182</v>
      </c>
      <c r="J128" t="str">
        <f>LEFT(Table2[[#This Row],[Folder]],6)</f>
        <v/>
      </c>
      <c r="K128" t="s">
        <v>100</v>
      </c>
    </row>
    <row r="129" spans="5:11" ht="12" customHeight="1" x14ac:dyDescent="0.25">
      <c r="E129" t="s">
        <v>41</v>
      </c>
      <c r="F129" t="s">
        <v>465</v>
      </c>
      <c r="G129" s="1">
        <v>44715.32130787037</v>
      </c>
      <c r="H129" t="s">
        <v>482</v>
      </c>
      <c r="I129" s="2" t="s">
        <v>483</v>
      </c>
      <c r="J129" t="str">
        <f>LEFT(Table2[[#This Row],[Folder]],6)</f>
        <v>505845</v>
      </c>
      <c r="K129" t="s">
        <v>100</v>
      </c>
    </row>
    <row r="130" spans="5:11" ht="12" customHeight="1" x14ac:dyDescent="0.25">
      <c r="E130" t="s">
        <v>41</v>
      </c>
      <c r="F130" t="s">
        <v>465</v>
      </c>
      <c r="G130" s="1">
        <v>44715.354085648149</v>
      </c>
      <c r="H130" t="s">
        <v>181</v>
      </c>
      <c r="I130" s="2" t="s">
        <v>484</v>
      </c>
      <c r="J130" t="str">
        <f>LEFT(Table2[[#This Row],[Folder]],6)</f>
        <v>505845</v>
      </c>
      <c r="K130" t="s">
        <v>100</v>
      </c>
    </row>
    <row r="131" spans="5:11" ht="12" customHeight="1" x14ac:dyDescent="0.25">
      <c r="E131" t="s">
        <v>41</v>
      </c>
      <c r="F131" t="s">
        <v>485</v>
      </c>
      <c r="G131" s="1">
        <v>44715.377627314818</v>
      </c>
      <c r="H131" t="s">
        <v>70</v>
      </c>
      <c r="I131" s="2" t="s">
        <v>486</v>
      </c>
      <c r="J131" t="str">
        <f>LEFT(Table2[[#This Row],[Folder]],6)</f>
        <v>505845</v>
      </c>
      <c r="K131" t="s">
        <v>100</v>
      </c>
    </row>
    <row r="132" spans="5:11" ht="12" customHeight="1" x14ac:dyDescent="0.25">
      <c r="E132" t="s">
        <v>45</v>
      </c>
      <c r="F132" t="s">
        <v>408</v>
      </c>
      <c r="G132" s="1">
        <v>44715.383645833332</v>
      </c>
      <c r="H132" t="s">
        <v>347</v>
      </c>
      <c r="I132" s="2" t="s">
        <v>487</v>
      </c>
      <c r="J132" t="str">
        <f>LEFT(Table2[[#This Row],[Folder]],6)</f>
        <v>505563</v>
      </c>
      <c r="K132" t="s">
        <v>100</v>
      </c>
    </row>
    <row r="133" spans="5:11" ht="12" customHeight="1" x14ac:dyDescent="0.25">
      <c r="E133" t="s">
        <v>41</v>
      </c>
      <c r="F133" t="s">
        <v>262</v>
      </c>
      <c r="G133" s="1">
        <v>44715.385416666664</v>
      </c>
      <c r="H133" t="s">
        <v>70</v>
      </c>
      <c r="I133" s="2" t="s">
        <v>488</v>
      </c>
      <c r="J133" t="str">
        <f>LEFT(Table2[[#This Row],[Folder]],6)</f>
        <v>505845</v>
      </c>
      <c r="K133" t="s">
        <v>100</v>
      </c>
    </row>
    <row r="134" spans="5:11" ht="12" customHeight="1" x14ac:dyDescent="0.25">
      <c r="E134" t="s">
        <v>41</v>
      </c>
      <c r="F134" t="s">
        <v>489</v>
      </c>
      <c r="G134" s="1">
        <v>44715.397546296299</v>
      </c>
      <c r="H134" t="s">
        <v>399</v>
      </c>
      <c r="I134" s="2" t="s">
        <v>490</v>
      </c>
      <c r="J134" t="str">
        <f>LEFT(Table2[[#This Row],[Folder]],6)</f>
        <v>505845</v>
      </c>
      <c r="K134" t="s">
        <v>100</v>
      </c>
    </row>
    <row r="135" spans="5:11" ht="12" customHeight="1" x14ac:dyDescent="0.25">
      <c r="E135" t="s">
        <v>41</v>
      </c>
      <c r="F135" t="s">
        <v>262</v>
      </c>
      <c r="G135" s="1">
        <v>44715.444282407407</v>
      </c>
      <c r="H135" t="s">
        <v>181</v>
      </c>
      <c r="I135" s="2" t="s">
        <v>258</v>
      </c>
      <c r="J135" t="str">
        <f>LEFT(Table2[[#This Row],[Folder]],6)</f>
        <v>505845</v>
      </c>
      <c r="K135" t="s">
        <v>100</v>
      </c>
    </row>
    <row r="136" spans="5:11" ht="12" customHeight="1" x14ac:dyDescent="0.25">
      <c r="E136" t="s">
        <v>41</v>
      </c>
      <c r="F136" t="s">
        <v>262</v>
      </c>
      <c r="G136" s="1">
        <v>44715.451944444445</v>
      </c>
      <c r="H136" t="s">
        <v>70</v>
      </c>
      <c r="I136" s="2" t="s">
        <v>491</v>
      </c>
      <c r="J136" t="str">
        <f>LEFT(Table2[[#This Row],[Folder]],6)</f>
        <v>505845</v>
      </c>
      <c r="K136" t="s">
        <v>100</v>
      </c>
    </row>
    <row r="137" spans="5:11" ht="12" customHeight="1" x14ac:dyDescent="0.25">
      <c r="E137" t="s">
        <v>710</v>
      </c>
      <c r="F137" t="s">
        <v>492</v>
      </c>
      <c r="G137" s="1">
        <v>44715.455266203702</v>
      </c>
      <c r="H137" t="s">
        <v>80</v>
      </c>
      <c r="I137" s="2" t="s">
        <v>183</v>
      </c>
      <c r="J137" t="str">
        <f>LEFT(Table2[[#This Row],[Folder]],6)</f>
        <v>505955</v>
      </c>
      <c r="K137" t="s">
        <v>100</v>
      </c>
    </row>
    <row r="138" spans="5:11" ht="12" customHeight="1" x14ac:dyDescent="0.25">
      <c r="E138" t="s">
        <v>42</v>
      </c>
      <c r="F138" t="s">
        <v>349</v>
      </c>
      <c r="G138" s="1">
        <v>44715.464745370373</v>
      </c>
      <c r="H138" t="s">
        <v>355</v>
      </c>
      <c r="I138" s="2" t="s">
        <v>183</v>
      </c>
      <c r="J138" t="str">
        <f>LEFT(Table2[[#This Row],[Folder]],6)</f>
        <v>505936</v>
      </c>
      <c r="K138" t="s">
        <v>100</v>
      </c>
    </row>
    <row r="139" spans="5:11" ht="12" customHeight="1" x14ac:dyDescent="0.25">
      <c r="E139" t="s">
        <v>45</v>
      </c>
      <c r="F139" t="s">
        <v>467</v>
      </c>
      <c r="G139" s="1">
        <v>44715.469988425924</v>
      </c>
      <c r="H139" t="s">
        <v>304</v>
      </c>
      <c r="I139" s="2" t="s">
        <v>493</v>
      </c>
      <c r="J139" t="str">
        <f>LEFT(Table2[[#This Row],[Folder]],6)</f>
        <v>505563</v>
      </c>
      <c r="K139" t="s">
        <v>100</v>
      </c>
    </row>
    <row r="140" spans="5:11" ht="12" customHeight="1" x14ac:dyDescent="0.25">
      <c r="E140" t="s">
        <v>233</v>
      </c>
      <c r="F140" t="s">
        <v>494</v>
      </c>
      <c r="G140" s="1">
        <v>44715.503993055558</v>
      </c>
      <c r="H140" t="s">
        <v>243</v>
      </c>
      <c r="I140" s="2" t="s">
        <v>495</v>
      </c>
      <c r="J140" t="str">
        <f>LEFT(Table2[[#This Row],[Folder]],6)</f>
        <v>505967</v>
      </c>
      <c r="K140" t="s">
        <v>100</v>
      </c>
    </row>
    <row r="141" spans="5:11" ht="12" customHeight="1" x14ac:dyDescent="0.25">
      <c r="E141" t="s">
        <v>41</v>
      </c>
      <c r="F141" t="s">
        <v>496</v>
      </c>
      <c r="G141" s="1">
        <v>44715.595208333332</v>
      </c>
      <c r="H141" t="s">
        <v>293</v>
      </c>
      <c r="I141" s="2" t="s">
        <v>294</v>
      </c>
      <c r="J141" t="str">
        <f>LEFT(Table2[[#This Row],[Folder]],6)</f>
        <v>505845</v>
      </c>
      <c r="K141" t="s">
        <v>100</v>
      </c>
    </row>
    <row r="142" spans="5:11" ht="12" customHeight="1" x14ac:dyDescent="0.25">
      <c r="E142" t="s">
        <v>41</v>
      </c>
      <c r="F142" t="s">
        <v>496</v>
      </c>
      <c r="G142" s="1">
        <v>44715.595590277779</v>
      </c>
      <c r="H142" t="s">
        <v>293</v>
      </c>
      <c r="I142" s="2" t="s">
        <v>294</v>
      </c>
      <c r="J142" t="str">
        <f>LEFT(Table2[[#This Row],[Folder]],6)</f>
        <v>505845</v>
      </c>
      <c r="K142" t="s">
        <v>100</v>
      </c>
    </row>
    <row r="143" spans="5:11" ht="12" customHeight="1" x14ac:dyDescent="0.25">
      <c r="E143" t="s">
        <v>233</v>
      </c>
      <c r="F143" t="s">
        <v>467</v>
      </c>
      <c r="G143" s="1">
        <v>44715.639398148145</v>
      </c>
      <c r="H143" t="s">
        <v>243</v>
      </c>
      <c r="I143" s="2" t="s">
        <v>508</v>
      </c>
      <c r="J143" t="str">
        <f>LEFT(Table2[[#This Row],[Folder]],6)</f>
        <v>505967</v>
      </c>
      <c r="K143" t="s">
        <v>100</v>
      </c>
    </row>
    <row r="144" spans="5:11" ht="12" customHeight="1" x14ac:dyDescent="0.25">
      <c r="E144" t="s">
        <v>41</v>
      </c>
      <c r="F144" t="s">
        <v>509</v>
      </c>
      <c r="G144" s="1">
        <v>44715.645520833335</v>
      </c>
      <c r="H144" t="s">
        <v>70</v>
      </c>
      <c r="I144" s="2" t="s">
        <v>510</v>
      </c>
      <c r="J144" t="str">
        <f>LEFT(Table2[[#This Row],[Folder]],6)</f>
        <v>505845</v>
      </c>
      <c r="K144" t="s">
        <v>100</v>
      </c>
    </row>
    <row r="145" spans="5:11" ht="12" customHeight="1" x14ac:dyDescent="0.25">
      <c r="E145" t="s">
        <v>710</v>
      </c>
      <c r="F145" t="s">
        <v>403</v>
      </c>
      <c r="G145" s="1">
        <v>44715.676805555559</v>
      </c>
      <c r="H145" t="s">
        <v>80</v>
      </c>
      <c r="I145" s="2" t="s">
        <v>183</v>
      </c>
      <c r="J145" t="str">
        <f>LEFT(Table2[[#This Row],[Folder]],6)</f>
        <v>505955</v>
      </c>
      <c r="K145" t="s">
        <v>100</v>
      </c>
    </row>
    <row r="146" spans="5:11" ht="12" customHeight="1" x14ac:dyDescent="0.25">
      <c r="E146" t="s">
        <v>710</v>
      </c>
      <c r="F146" t="s">
        <v>403</v>
      </c>
      <c r="G146" s="1">
        <v>44715.689467592594</v>
      </c>
      <c r="H146" t="s">
        <v>301</v>
      </c>
      <c r="I146" s="2" t="s">
        <v>511</v>
      </c>
      <c r="J146" t="str">
        <f>LEFT(Table2[[#This Row],[Folder]],6)</f>
        <v>505955</v>
      </c>
      <c r="K146" t="s">
        <v>100</v>
      </c>
    </row>
    <row r="147" spans="5:11" ht="12" customHeight="1" x14ac:dyDescent="0.25">
      <c r="F147" t="s">
        <v>512</v>
      </c>
      <c r="G147" s="1">
        <v>44715.731215277781</v>
      </c>
      <c r="H147" t="s">
        <v>256</v>
      </c>
      <c r="I147" s="2" t="s">
        <v>505</v>
      </c>
      <c r="J147" t="str">
        <f>LEFT(Table2[[#This Row],[Folder]],6)</f>
        <v/>
      </c>
      <c r="K147" t="s">
        <v>100</v>
      </c>
    </row>
    <row r="148" spans="5:11" ht="12" customHeight="1" x14ac:dyDescent="0.25">
      <c r="F148" t="s">
        <v>513</v>
      </c>
      <c r="G148" s="1">
        <v>44715.741585648146</v>
      </c>
      <c r="H148" t="s">
        <v>256</v>
      </c>
      <c r="I148" s="2" t="s">
        <v>505</v>
      </c>
      <c r="J148" t="str">
        <f>LEFT(Table2[[#This Row],[Folder]],6)</f>
        <v/>
      </c>
      <c r="K148" t="s">
        <v>100</v>
      </c>
    </row>
    <row r="149" spans="5:11" ht="12" customHeight="1" x14ac:dyDescent="0.25">
      <c r="F149" t="s">
        <v>514</v>
      </c>
      <c r="G149" s="1">
        <v>44715.742118055554</v>
      </c>
      <c r="H149" t="s">
        <v>515</v>
      </c>
      <c r="I149" s="2" t="s">
        <v>516</v>
      </c>
      <c r="J149" t="str">
        <f>LEFT(Table2[[#This Row],[Folder]],6)</f>
        <v/>
      </c>
      <c r="K149" t="s">
        <v>100</v>
      </c>
    </row>
    <row r="150" spans="5:11" ht="12" customHeight="1" x14ac:dyDescent="0.25">
      <c r="F150" t="s">
        <v>514</v>
      </c>
      <c r="G150" s="1">
        <v>44715.754421296297</v>
      </c>
      <c r="H150" t="s">
        <v>256</v>
      </c>
      <c r="I150" s="2" t="s">
        <v>517</v>
      </c>
      <c r="J150" t="str">
        <f>LEFT(Table2[[#This Row],[Folder]],6)</f>
        <v/>
      </c>
      <c r="K150" t="s">
        <v>100</v>
      </c>
    </row>
    <row r="151" spans="5:11" ht="12" customHeight="1" x14ac:dyDescent="0.25">
      <c r="F151" t="s">
        <v>518</v>
      </c>
      <c r="G151" s="1">
        <v>44718.300706018519</v>
      </c>
      <c r="H151" t="s">
        <v>84</v>
      </c>
      <c r="I151" s="2" t="s">
        <v>519</v>
      </c>
      <c r="J151" t="str">
        <f>LEFT(Table2[[#This Row],[Folder]],6)</f>
        <v/>
      </c>
      <c r="K151" t="s">
        <v>100</v>
      </c>
    </row>
    <row r="152" spans="5:11" ht="12" customHeight="1" x14ac:dyDescent="0.25">
      <c r="F152" t="s">
        <v>83</v>
      </c>
      <c r="G152" s="1">
        <v>44718.264120370368</v>
      </c>
      <c r="H152" t="s">
        <v>84</v>
      </c>
      <c r="I152" s="2" t="s">
        <v>182</v>
      </c>
      <c r="J152" t="str">
        <f>LEFT(Table2[[#This Row],[Folder]],6)</f>
        <v/>
      </c>
      <c r="K152" t="s">
        <v>100</v>
      </c>
    </row>
    <row r="153" spans="5:11" ht="12" customHeight="1" x14ac:dyDescent="0.25">
      <c r="E153" t="s">
        <v>41</v>
      </c>
      <c r="F153" t="s">
        <v>496</v>
      </c>
      <c r="G153" s="1">
        <v>44718.032812500001</v>
      </c>
      <c r="H153" t="s">
        <v>295</v>
      </c>
      <c r="I153" s="2" t="s">
        <v>296</v>
      </c>
      <c r="J153" t="str">
        <f>LEFT(Table2[[#This Row],[Folder]],6)</f>
        <v>505845</v>
      </c>
      <c r="K153" t="s">
        <v>100</v>
      </c>
    </row>
    <row r="154" spans="5:11" ht="12" customHeight="1" x14ac:dyDescent="0.25">
      <c r="F154" t="s">
        <v>397</v>
      </c>
      <c r="G154" s="1">
        <v>44716.021782407406</v>
      </c>
      <c r="H154" t="s">
        <v>393</v>
      </c>
      <c r="I154" s="2" t="s">
        <v>398</v>
      </c>
      <c r="J154" t="str">
        <f>LEFT(Table2[[#This Row],[Folder]],6)</f>
        <v/>
      </c>
      <c r="K154" t="s">
        <v>100</v>
      </c>
    </row>
    <row r="155" spans="5:11" ht="12" customHeight="1" x14ac:dyDescent="0.25">
      <c r="E155" t="s">
        <v>41</v>
      </c>
      <c r="F155" t="s">
        <v>489</v>
      </c>
      <c r="G155" s="1">
        <v>44718.34003472222</v>
      </c>
      <c r="H155" t="s">
        <v>399</v>
      </c>
      <c r="I155" s="2" t="s">
        <v>520</v>
      </c>
      <c r="J155" t="str">
        <f>LEFT(Table2[[#This Row],[Folder]],6)</f>
        <v>505845</v>
      </c>
      <c r="K155" t="s">
        <v>100</v>
      </c>
    </row>
    <row r="156" spans="5:11" ht="12" customHeight="1" x14ac:dyDescent="0.25">
      <c r="E156" t="s">
        <v>41</v>
      </c>
      <c r="F156" t="s">
        <v>521</v>
      </c>
      <c r="G156" s="1">
        <v>44718.344965277778</v>
      </c>
      <c r="H156" t="s">
        <v>70</v>
      </c>
      <c r="I156" s="2" t="s">
        <v>522</v>
      </c>
      <c r="J156" t="str">
        <f>LEFT(Table2[[#This Row],[Folder]],6)</f>
        <v>505845</v>
      </c>
      <c r="K156" t="s">
        <v>100</v>
      </c>
    </row>
    <row r="157" spans="5:11" ht="12" customHeight="1" x14ac:dyDescent="0.25">
      <c r="E157" t="s">
        <v>41</v>
      </c>
      <c r="F157" t="s">
        <v>436</v>
      </c>
      <c r="G157" s="1">
        <v>44718.347361111111</v>
      </c>
      <c r="H157" t="s">
        <v>399</v>
      </c>
      <c r="I157" s="2" t="s">
        <v>523</v>
      </c>
      <c r="J157" t="str">
        <f>LEFT(Table2[[#This Row],[Folder]],6)</f>
        <v>505845</v>
      </c>
      <c r="K157" t="s">
        <v>100</v>
      </c>
    </row>
    <row r="158" spans="5:11" ht="12" customHeight="1" x14ac:dyDescent="0.25">
      <c r="E158" t="s">
        <v>41</v>
      </c>
      <c r="F158" t="s">
        <v>436</v>
      </c>
      <c r="G158" s="1">
        <v>44718.357847222222</v>
      </c>
      <c r="H158" t="s">
        <v>399</v>
      </c>
      <c r="I158" s="2" t="s">
        <v>524</v>
      </c>
      <c r="J158" t="str">
        <f>LEFT(Table2[[#This Row],[Folder]],6)</f>
        <v>505845</v>
      </c>
      <c r="K158" t="s">
        <v>100</v>
      </c>
    </row>
    <row r="159" spans="5:11" ht="12" customHeight="1" x14ac:dyDescent="0.25">
      <c r="E159" t="s">
        <v>41</v>
      </c>
      <c r="F159" t="s">
        <v>525</v>
      </c>
      <c r="G159" s="1">
        <v>44718.366689814815</v>
      </c>
      <c r="H159" t="s">
        <v>70</v>
      </c>
      <c r="I159" s="2" t="s">
        <v>526</v>
      </c>
      <c r="J159" t="str">
        <f>LEFT(Table2[[#This Row],[Folder]],6)</f>
        <v>505845</v>
      </c>
      <c r="K159" t="s">
        <v>100</v>
      </c>
    </row>
    <row r="160" spans="5:11" ht="12" customHeight="1" x14ac:dyDescent="0.25">
      <c r="E160" t="s">
        <v>41</v>
      </c>
      <c r="F160" t="s">
        <v>489</v>
      </c>
      <c r="G160" s="1">
        <v>44718.3752662037</v>
      </c>
      <c r="H160" t="s">
        <v>70</v>
      </c>
      <c r="I160" s="2" t="s">
        <v>527</v>
      </c>
      <c r="J160" t="str">
        <f>LEFT(Table2[[#This Row],[Folder]],6)</f>
        <v>505845</v>
      </c>
      <c r="K160" t="s">
        <v>100</v>
      </c>
    </row>
    <row r="161" spans="5:11" ht="12" customHeight="1" x14ac:dyDescent="0.25">
      <c r="E161" t="s">
        <v>41</v>
      </c>
      <c r="F161" t="s">
        <v>436</v>
      </c>
      <c r="G161" s="1">
        <v>44718.382314814815</v>
      </c>
      <c r="H161" t="s">
        <v>70</v>
      </c>
      <c r="I161" s="2" t="s">
        <v>528</v>
      </c>
      <c r="J161" t="str">
        <f>LEFT(Table2[[#This Row],[Folder]],6)</f>
        <v>505845</v>
      </c>
      <c r="K161" t="s">
        <v>100</v>
      </c>
    </row>
    <row r="162" spans="5:11" ht="12" customHeight="1" x14ac:dyDescent="0.25">
      <c r="E162" t="s">
        <v>41</v>
      </c>
      <c r="F162" t="s">
        <v>489</v>
      </c>
      <c r="G162" s="1">
        <v>44718.39266203704</v>
      </c>
      <c r="H162" t="s">
        <v>399</v>
      </c>
      <c r="I162" s="2" t="s">
        <v>529</v>
      </c>
      <c r="J162" t="str">
        <f>LEFT(Table2[[#This Row],[Folder]],6)</f>
        <v>505845</v>
      </c>
      <c r="K162" t="s">
        <v>100</v>
      </c>
    </row>
    <row r="163" spans="5:11" ht="12" customHeight="1" x14ac:dyDescent="0.25">
      <c r="E163" t="s">
        <v>41</v>
      </c>
      <c r="F163" t="s">
        <v>489</v>
      </c>
      <c r="G163" s="1">
        <v>44718.39435185185</v>
      </c>
      <c r="H163" t="s">
        <v>70</v>
      </c>
      <c r="I163" s="2" t="s">
        <v>530</v>
      </c>
      <c r="J163" t="str">
        <f>LEFT(Table2[[#This Row],[Folder]],6)</f>
        <v>505845</v>
      </c>
      <c r="K163" t="s">
        <v>100</v>
      </c>
    </row>
    <row r="164" spans="5:11" ht="12" customHeight="1" x14ac:dyDescent="0.25">
      <c r="E164" t="s">
        <v>41</v>
      </c>
      <c r="F164" t="s">
        <v>436</v>
      </c>
      <c r="G164" s="1">
        <v>44718.394768518519</v>
      </c>
      <c r="H164" t="s">
        <v>399</v>
      </c>
      <c r="I164" s="2" t="s">
        <v>531</v>
      </c>
      <c r="J164" t="str">
        <f>LEFT(Table2[[#This Row],[Folder]],6)</f>
        <v>505845</v>
      </c>
      <c r="K164" t="s">
        <v>100</v>
      </c>
    </row>
    <row r="165" spans="5:11" ht="12" customHeight="1" x14ac:dyDescent="0.25">
      <c r="E165" t="s">
        <v>41</v>
      </c>
      <c r="F165" t="s">
        <v>489</v>
      </c>
      <c r="G165" s="1">
        <v>44718.400081018517</v>
      </c>
      <c r="H165" t="s">
        <v>399</v>
      </c>
      <c r="I165" s="2" t="s">
        <v>532</v>
      </c>
      <c r="J165" t="str">
        <f>LEFT(Table2[[#This Row],[Folder]],6)</f>
        <v>505845</v>
      </c>
      <c r="K165" t="s">
        <v>100</v>
      </c>
    </row>
    <row r="166" spans="5:11" ht="12" customHeight="1" x14ac:dyDescent="0.25">
      <c r="F166" t="s">
        <v>533</v>
      </c>
      <c r="G166" s="1">
        <v>44718.430532407408</v>
      </c>
      <c r="H166" t="s">
        <v>393</v>
      </c>
      <c r="I166" s="2" t="s">
        <v>534</v>
      </c>
      <c r="J166" t="str">
        <f>LEFT(Table2[[#This Row],[Folder]],6)</f>
        <v/>
      </c>
      <c r="K166" t="s">
        <v>100</v>
      </c>
    </row>
    <row r="167" spans="5:11" ht="12" customHeight="1" x14ac:dyDescent="0.25">
      <c r="E167" t="s">
        <v>41</v>
      </c>
      <c r="F167" t="s">
        <v>535</v>
      </c>
      <c r="G167" s="1">
        <v>44718.434050925927</v>
      </c>
      <c r="H167" t="s">
        <v>536</v>
      </c>
      <c r="I167" s="2" t="s">
        <v>306</v>
      </c>
      <c r="J167" t="str">
        <f>LEFT(Table2[[#This Row],[Folder]],6)</f>
        <v>505845</v>
      </c>
      <c r="K167" t="s">
        <v>100</v>
      </c>
    </row>
    <row r="168" spans="5:11" ht="12" customHeight="1" x14ac:dyDescent="0.25">
      <c r="E168" t="s">
        <v>41</v>
      </c>
      <c r="F168" t="s">
        <v>489</v>
      </c>
      <c r="G168" s="1">
        <v>44718.434525462966</v>
      </c>
      <c r="H168" t="s">
        <v>399</v>
      </c>
      <c r="I168" s="2" t="s">
        <v>537</v>
      </c>
      <c r="J168" t="str">
        <f>LEFT(Table2[[#This Row],[Folder]],6)</f>
        <v>505845</v>
      </c>
      <c r="K168" t="s">
        <v>100</v>
      </c>
    </row>
    <row r="169" spans="5:11" ht="12" customHeight="1" x14ac:dyDescent="0.25">
      <c r="E169" t="s">
        <v>41</v>
      </c>
      <c r="F169" t="s">
        <v>489</v>
      </c>
      <c r="G169" s="1">
        <v>44718.436620370368</v>
      </c>
      <c r="H169" t="s">
        <v>70</v>
      </c>
      <c r="I169" s="2" t="s">
        <v>538</v>
      </c>
      <c r="J169" t="str">
        <f>LEFT(Table2[[#This Row],[Folder]],6)</f>
        <v>505845</v>
      </c>
      <c r="K169" t="s">
        <v>100</v>
      </c>
    </row>
    <row r="170" spans="5:11" ht="12" customHeight="1" x14ac:dyDescent="0.25">
      <c r="E170" t="s">
        <v>41</v>
      </c>
      <c r="F170" t="s">
        <v>535</v>
      </c>
      <c r="G170" s="1">
        <v>44718.436990740738</v>
      </c>
      <c r="H170" t="s">
        <v>299</v>
      </c>
      <c r="I170" s="2" t="s">
        <v>539</v>
      </c>
      <c r="J170" t="str">
        <f>LEFT(Table2[[#This Row],[Folder]],6)</f>
        <v>505845</v>
      </c>
      <c r="K170" t="s">
        <v>100</v>
      </c>
    </row>
    <row r="171" spans="5:11" ht="12" customHeight="1" x14ac:dyDescent="0.25">
      <c r="E171" t="s">
        <v>41</v>
      </c>
      <c r="F171" t="s">
        <v>540</v>
      </c>
      <c r="G171" s="1">
        <v>44718.438402777778</v>
      </c>
      <c r="H171" t="s">
        <v>70</v>
      </c>
      <c r="I171" s="2" t="s">
        <v>541</v>
      </c>
      <c r="J171" t="str">
        <f>LEFT(Table2[[#This Row],[Folder]],6)</f>
        <v>505845</v>
      </c>
      <c r="K171" t="s">
        <v>100</v>
      </c>
    </row>
    <row r="172" spans="5:11" ht="12" customHeight="1" x14ac:dyDescent="0.25">
      <c r="E172" t="s">
        <v>41</v>
      </c>
      <c r="F172" t="s">
        <v>535</v>
      </c>
      <c r="G172" s="1">
        <v>44718.438761574071</v>
      </c>
      <c r="H172" t="s">
        <v>536</v>
      </c>
      <c r="I172" s="2" t="s">
        <v>542</v>
      </c>
      <c r="J172" t="str">
        <f>LEFT(Table2[[#This Row],[Folder]],6)</f>
        <v>505845</v>
      </c>
      <c r="K172" t="s">
        <v>100</v>
      </c>
    </row>
    <row r="173" spans="5:11" ht="12" customHeight="1" x14ac:dyDescent="0.25">
      <c r="E173" t="s">
        <v>41</v>
      </c>
      <c r="F173" t="s">
        <v>540</v>
      </c>
      <c r="G173" s="1">
        <v>44718.43922453704</v>
      </c>
      <c r="H173" t="s">
        <v>286</v>
      </c>
      <c r="I173" s="2" t="s">
        <v>543</v>
      </c>
      <c r="J173" t="str">
        <f>LEFT(Table2[[#This Row],[Folder]],6)</f>
        <v>505845</v>
      </c>
      <c r="K173" t="s">
        <v>100</v>
      </c>
    </row>
    <row r="174" spans="5:11" ht="12" customHeight="1" x14ac:dyDescent="0.25">
      <c r="E174" t="s">
        <v>41</v>
      </c>
      <c r="F174" t="s">
        <v>535</v>
      </c>
      <c r="G174" s="1">
        <v>44718.439097222225</v>
      </c>
      <c r="H174" t="s">
        <v>299</v>
      </c>
      <c r="I174" s="2" t="s">
        <v>544</v>
      </c>
      <c r="J174" t="str">
        <f>LEFT(Table2[[#This Row],[Folder]],6)</f>
        <v>505845</v>
      </c>
      <c r="K174" t="s">
        <v>100</v>
      </c>
    </row>
    <row r="175" spans="5:11" ht="12" customHeight="1" x14ac:dyDescent="0.25">
      <c r="E175" t="s">
        <v>41</v>
      </c>
      <c r="F175" t="s">
        <v>489</v>
      </c>
      <c r="G175" s="1">
        <v>44718.440405092595</v>
      </c>
      <c r="H175" t="s">
        <v>399</v>
      </c>
      <c r="I175" s="2" t="s">
        <v>545</v>
      </c>
      <c r="J175" t="str">
        <f>LEFT(Table2[[#This Row],[Folder]],6)</f>
        <v>505845</v>
      </c>
      <c r="K175" t="s">
        <v>100</v>
      </c>
    </row>
    <row r="176" spans="5:11" ht="12" customHeight="1" x14ac:dyDescent="0.25">
      <c r="E176" t="s">
        <v>41</v>
      </c>
      <c r="F176" t="s">
        <v>540</v>
      </c>
      <c r="G176" s="1">
        <v>44718.458333333336</v>
      </c>
      <c r="H176" t="s">
        <v>70</v>
      </c>
      <c r="I176" s="2" t="s">
        <v>546</v>
      </c>
      <c r="J176" t="str">
        <f>LEFT(Table2[[#This Row],[Folder]],6)</f>
        <v>505845</v>
      </c>
      <c r="K176" t="s">
        <v>100</v>
      </c>
    </row>
    <row r="177" spans="5:11" ht="12" customHeight="1" x14ac:dyDescent="0.25">
      <c r="E177" t="s">
        <v>41</v>
      </c>
      <c r="F177" t="s">
        <v>489</v>
      </c>
      <c r="G177" s="1">
        <v>44718.461712962962</v>
      </c>
      <c r="H177" t="s">
        <v>70</v>
      </c>
      <c r="I177" s="2" t="s">
        <v>547</v>
      </c>
      <c r="J177" t="str">
        <f>LEFT(Table2[[#This Row],[Folder]],6)</f>
        <v>505845</v>
      </c>
      <c r="K177" t="s">
        <v>100</v>
      </c>
    </row>
    <row r="178" spans="5:11" ht="12" customHeight="1" x14ac:dyDescent="0.25">
      <c r="F178" t="s">
        <v>548</v>
      </c>
      <c r="G178" s="1">
        <v>44718.469444444447</v>
      </c>
      <c r="H178" t="s">
        <v>352</v>
      </c>
      <c r="I178" s="2" t="s">
        <v>549</v>
      </c>
      <c r="J178" t="str">
        <f>LEFT(Table2[[#This Row],[Folder]],6)</f>
        <v/>
      </c>
      <c r="K178" t="s">
        <v>100</v>
      </c>
    </row>
    <row r="179" spans="5:11" ht="12" customHeight="1" x14ac:dyDescent="0.25">
      <c r="E179" t="s">
        <v>49</v>
      </c>
      <c r="F179" t="s">
        <v>550</v>
      </c>
      <c r="G179" s="1">
        <v>44718.480937499997</v>
      </c>
      <c r="H179" t="s">
        <v>551</v>
      </c>
      <c r="I179" s="2" t="s">
        <v>183</v>
      </c>
      <c r="J179" t="str">
        <f>LEFT(Table2[[#This Row],[Folder]],6)</f>
        <v>505742</v>
      </c>
      <c r="K179" t="s">
        <v>100</v>
      </c>
    </row>
    <row r="180" spans="5:11" ht="12" customHeight="1" x14ac:dyDescent="0.25">
      <c r="E180" t="s">
        <v>41</v>
      </c>
      <c r="F180" t="s">
        <v>535</v>
      </c>
      <c r="G180" s="1">
        <v>44718.497106481482</v>
      </c>
      <c r="H180" t="s">
        <v>299</v>
      </c>
      <c r="I180" s="2" t="s">
        <v>552</v>
      </c>
      <c r="J180" t="str">
        <f>LEFT(Table2[[#This Row],[Folder]],6)</f>
        <v>505845</v>
      </c>
      <c r="K180" t="s">
        <v>100</v>
      </c>
    </row>
    <row r="181" spans="5:11" ht="12" customHeight="1" x14ac:dyDescent="0.25">
      <c r="E181" t="s">
        <v>41</v>
      </c>
      <c r="F181" t="s">
        <v>540</v>
      </c>
      <c r="G181" s="1">
        <v>44718.554571759261</v>
      </c>
      <c r="H181" t="s">
        <v>298</v>
      </c>
      <c r="I181" s="2" t="s">
        <v>553</v>
      </c>
      <c r="J181" t="str">
        <f>LEFT(Table2[[#This Row],[Folder]],6)</f>
        <v>505845</v>
      </c>
      <c r="K181" t="s">
        <v>100</v>
      </c>
    </row>
    <row r="182" spans="5:11" ht="12" customHeight="1" x14ac:dyDescent="0.25">
      <c r="E182" t="s">
        <v>41</v>
      </c>
      <c r="F182" t="s">
        <v>540</v>
      </c>
      <c r="G182" s="1">
        <v>44718.557326388887</v>
      </c>
      <c r="H182" t="s">
        <v>70</v>
      </c>
      <c r="I182" s="2" t="s">
        <v>554</v>
      </c>
      <c r="J182" t="str">
        <f>LEFT(Table2[[#This Row],[Folder]],6)</f>
        <v>505845</v>
      </c>
      <c r="K182" t="s">
        <v>100</v>
      </c>
    </row>
    <row r="183" spans="5:11" ht="12" customHeight="1" x14ac:dyDescent="0.25">
      <c r="F183" t="s">
        <v>555</v>
      </c>
      <c r="G183" s="1">
        <v>44718.562303240738</v>
      </c>
      <c r="H183" t="s">
        <v>352</v>
      </c>
      <c r="I183" s="2" t="s">
        <v>556</v>
      </c>
      <c r="J183" t="str">
        <f>LEFT(Table2[[#This Row],[Folder]],6)</f>
        <v/>
      </c>
      <c r="K183" t="s">
        <v>100</v>
      </c>
    </row>
    <row r="184" spans="5:11" ht="12" customHeight="1" x14ac:dyDescent="0.25">
      <c r="F184" t="s">
        <v>557</v>
      </c>
      <c r="G184" s="1">
        <v>44718.583877314813</v>
      </c>
      <c r="H184" t="s">
        <v>352</v>
      </c>
      <c r="I184" s="2" t="s">
        <v>558</v>
      </c>
      <c r="J184" t="str">
        <f>LEFT(Table2[[#This Row],[Folder]],6)</f>
        <v/>
      </c>
      <c r="K184" t="s">
        <v>100</v>
      </c>
    </row>
    <row r="185" spans="5:11" ht="12" customHeight="1" x14ac:dyDescent="0.25">
      <c r="F185" t="s">
        <v>557</v>
      </c>
      <c r="G185" s="1">
        <v>44718.590590277781</v>
      </c>
      <c r="H185" t="s">
        <v>352</v>
      </c>
      <c r="I185" s="2" t="s">
        <v>559</v>
      </c>
      <c r="J185" t="str">
        <f>LEFT(Table2[[#This Row],[Folder]],6)</f>
        <v/>
      </c>
      <c r="K185" t="s">
        <v>100</v>
      </c>
    </row>
    <row r="186" spans="5:11" ht="12" customHeight="1" x14ac:dyDescent="0.25">
      <c r="E186" t="s">
        <v>710</v>
      </c>
      <c r="F186" t="s">
        <v>560</v>
      </c>
      <c r="G186" s="1">
        <v>44718.606863425928</v>
      </c>
      <c r="H186" t="s">
        <v>80</v>
      </c>
      <c r="I186" s="2" t="s">
        <v>183</v>
      </c>
      <c r="J186" t="str">
        <f>LEFT(Table2[[#This Row],[Folder]],6)</f>
        <v>505955</v>
      </c>
      <c r="K186" t="s">
        <v>100</v>
      </c>
    </row>
    <row r="187" spans="5:11" ht="12" customHeight="1" x14ac:dyDescent="0.25">
      <c r="E187" t="s">
        <v>95</v>
      </c>
      <c r="F187" t="s">
        <v>561</v>
      </c>
      <c r="G187" s="1">
        <v>44718.617314814815</v>
      </c>
      <c r="H187" t="s">
        <v>562</v>
      </c>
      <c r="I187" s="2" t="s">
        <v>563</v>
      </c>
      <c r="J187" t="str">
        <f>LEFT(Table2[[#This Row],[Folder]],6)</f>
        <v>505898</v>
      </c>
      <c r="K187" t="s">
        <v>100</v>
      </c>
    </row>
    <row r="188" spans="5:11" ht="12" customHeight="1" x14ac:dyDescent="0.25">
      <c r="E188" t="s">
        <v>233</v>
      </c>
      <c r="F188" t="s">
        <v>494</v>
      </c>
      <c r="G188" s="1">
        <v>44718.627442129633</v>
      </c>
      <c r="H188" t="s">
        <v>243</v>
      </c>
      <c r="I188" s="2" t="s">
        <v>564</v>
      </c>
      <c r="J188" t="str">
        <f>LEFT(Table2[[#This Row],[Folder]],6)</f>
        <v>505967</v>
      </c>
      <c r="K188" t="s">
        <v>100</v>
      </c>
    </row>
    <row r="189" spans="5:11" ht="12" customHeight="1" x14ac:dyDescent="0.25">
      <c r="F189" t="s">
        <v>565</v>
      </c>
      <c r="G189" s="1">
        <v>44718.673368055555</v>
      </c>
      <c r="H189" t="s">
        <v>256</v>
      </c>
      <c r="I189" s="2" t="s">
        <v>263</v>
      </c>
      <c r="J189" t="str">
        <f>LEFT(Table2[[#This Row],[Folder]],6)</f>
        <v/>
      </c>
      <c r="K189" t="s">
        <v>100</v>
      </c>
    </row>
    <row r="190" spans="5:11" ht="12" customHeight="1" x14ac:dyDescent="0.25">
      <c r="F190" t="s">
        <v>566</v>
      </c>
      <c r="G190" s="1">
        <v>44718.697013888886</v>
      </c>
      <c r="H190" t="s">
        <v>284</v>
      </c>
      <c r="I190" s="2" t="s">
        <v>567</v>
      </c>
      <c r="J190" t="str">
        <f>LEFT(Table2[[#This Row],[Folder]],6)</f>
        <v/>
      </c>
      <c r="K190" t="s">
        <v>100</v>
      </c>
    </row>
    <row r="191" spans="5:11" ht="12" customHeight="1" x14ac:dyDescent="0.25">
      <c r="E191" t="s">
        <v>41</v>
      </c>
      <c r="F191" t="s">
        <v>568</v>
      </c>
      <c r="G191" s="1">
        <v>44718.709513888891</v>
      </c>
      <c r="H191" t="s">
        <v>70</v>
      </c>
      <c r="I191" s="2" t="s">
        <v>569</v>
      </c>
      <c r="J191" t="str">
        <f>LEFT(Table2[[#This Row],[Folder]],6)</f>
        <v>505845</v>
      </c>
      <c r="K191" t="s">
        <v>100</v>
      </c>
    </row>
    <row r="192" spans="5:11" ht="12" customHeight="1" x14ac:dyDescent="0.25">
      <c r="E192" t="s">
        <v>41</v>
      </c>
      <c r="F192" t="s">
        <v>570</v>
      </c>
      <c r="G192" s="1">
        <v>44718.726527777777</v>
      </c>
      <c r="H192" t="s">
        <v>66</v>
      </c>
      <c r="I192" s="2" t="s">
        <v>556</v>
      </c>
      <c r="J192" t="str">
        <f>LEFT(Table2[[#This Row],[Folder]],6)</f>
        <v>505845</v>
      </c>
      <c r="K192" t="s">
        <v>100</v>
      </c>
    </row>
    <row r="193" spans="5:11" ht="12" customHeight="1" x14ac:dyDescent="0.25">
      <c r="E193" t="s">
        <v>41</v>
      </c>
      <c r="F193" t="s">
        <v>571</v>
      </c>
      <c r="G193" s="1">
        <v>44718.733090277776</v>
      </c>
      <c r="H193" t="s">
        <v>70</v>
      </c>
      <c r="I193" s="2" t="s">
        <v>572</v>
      </c>
      <c r="J193" t="str">
        <f>LEFT(Table2[[#This Row],[Folder]],6)</f>
        <v>505845</v>
      </c>
      <c r="K193" t="s">
        <v>100</v>
      </c>
    </row>
    <row r="194" spans="5:11" ht="12" customHeight="1" x14ac:dyDescent="0.25">
      <c r="F194" t="s">
        <v>397</v>
      </c>
      <c r="G194" s="1">
        <v>44719.015243055554</v>
      </c>
      <c r="H194" t="s">
        <v>393</v>
      </c>
      <c r="I194" s="2" t="s">
        <v>398</v>
      </c>
      <c r="J194" t="str">
        <f>LEFT(Table2[[#This Row],[Folder]],6)</f>
        <v/>
      </c>
      <c r="K194" t="s">
        <v>100</v>
      </c>
    </row>
    <row r="195" spans="5:11" ht="12" customHeight="1" x14ac:dyDescent="0.25">
      <c r="E195" t="s">
        <v>41</v>
      </c>
      <c r="F195" t="s">
        <v>496</v>
      </c>
      <c r="G195" s="1">
        <v>44719.242442129631</v>
      </c>
      <c r="H195" t="s">
        <v>295</v>
      </c>
      <c r="I195" s="2" t="s">
        <v>296</v>
      </c>
      <c r="J195" t="str">
        <f>LEFT(Table2[[#This Row],[Folder]],6)</f>
        <v>505845</v>
      </c>
      <c r="K195" t="s">
        <v>100</v>
      </c>
    </row>
    <row r="196" spans="5:11" ht="12" customHeight="1" x14ac:dyDescent="0.25">
      <c r="E196" t="s">
        <v>41</v>
      </c>
      <c r="F196" t="s">
        <v>496</v>
      </c>
      <c r="G196" s="1">
        <v>44719.242488425924</v>
      </c>
      <c r="H196" t="s">
        <v>295</v>
      </c>
      <c r="I196" s="2" t="s">
        <v>296</v>
      </c>
      <c r="J196" t="str">
        <f>LEFT(Table2[[#This Row],[Folder]],6)</f>
        <v>505845</v>
      </c>
      <c r="K196" t="s">
        <v>100</v>
      </c>
    </row>
    <row r="197" spans="5:11" ht="12" customHeight="1" x14ac:dyDescent="0.25">
      <c r="E197" t="s">
        <v>41</v>
      </c>
      <c r="F197" t="s">
        <v>496</v>
      </c>
      <c r="G197" s="1">
        <v>44719.300057870372</v>
      </c>
      <c r="H197" t="s">
        <v>298</v>
      </c>
      <c r="I197" s="2" t="s">
        <v>294</v>
      </c>
      <c r="J197" t="str">
        <f>LEFT(Table2[[#This Row],[Folder]],6)</f>
        <v>505845</v>
      </c>
      <c r="K197" t="s">
        <v>100</v>
      </c>
    </row>
    <row r="198" spans="5:11" ht="12" customHeight="1" x14ac:dyDescent="0.25">
      <c r="F198" t="s">
        <v>83</v>
      </c>
      <c r="G198" s="1">
        <v>44719.304861111108</v>
      </c>
      <c r="H198" t="s">
        <v>84</v>
      </c>
      <c r="I198" s="2" t="s">
        <v>182</v>
      </c>
      <c r="J198" t="str">
        <f>LEFT(Table2[[#This Row],[Folder]],6)</f>
        <v/>
      </c>
      <c r="K198" t="s">
        <v>100</v>
      </c>
    </row>
    <row r="199" spans="5:11" ht="12" customHeight="1" x14ac:dyDescent="0.25">
      <c r="F199" t="s">
        <v>87</v>
      </c>
      <c r="G199" s="1">
        <v>44719.333541666667</v>
      </c>
      <c r="H199" t="s">
        <v>88</v>
      </c>
      <c r="I199" s="2" t="s">
        <v>573</v>
      </c>
      <c r="J199" t="str">
        <f>LEFT(Table2[[#This Row],[Folder]],6)</f>
        <v/>
      </c>
      <c r="K199" t="s">
        <v>100</v>
      </c>
    </row>
    <row r="200" spans="5:11" ht="12" customHeight="1" x14ac:dyDescent="0.25">
      <c r="E200" t="s">
        <v>42</v>
      </c>
      <c r="F200" t="s">
        <v>349</v>
      </c>
      <c r="G200" s="1">
        <v>44719.365567129629</v>
      </c>
      <c r="H200" t="s">
        <v>350</v>
      </c>
      <c r="I200" s="2" t="s">
        <v>574</v>
      </c>
      <c r="J200" t="str">
        <f>LEFT(Table2[[#This Row],[Folder]],6)</f>
        <v>505936</v>
      </c>
      <c r="K200" t="s">
        <v>100</v>
      </c>
    </row>
    <row r="201" spans="5:11" ht="12" customHeight="1" x14ac:dyDescent="0.25">
      <c r="E201" t="s">
        <v>41</v>
      </c>
      <c r="F201" t="s">
        <v>496</v>
      </c>
      <c r="G201" s="1">
        <v>44719.38480324074</v>
      </c>
      <c r="H201" t="s">
        <v>295</v>
      </c>
      <c r="I201" s="2" t="s">
        <v>296</v>
      </c>
      <c r="J201" t="str">
        <f>LEFT(Table2[[#This Row],[Folder]],6)</f>
        <v>505845</v>
      </c>
      <c r="K201" t="s">
        <v>100</v>
      </c>
    </row>
    <row r="202" spans="5:11" ht="12" customHeight="1" x14ac:dyDescent="0.25">
      <c r="E202" t="s">
        <v>41</v>
      </c>
      <c r="F202" t="s">
        <v>496</v>
      </c>
      <c r="G202" s="1">
        <v>44719.385057870371</v>
      </c>
      <c r="H202" t="s">
        <v>295</v>
      </c>
      <c r="I202" s="2" t="s">
        <v>296</v>
      </c>
      <c r="J202" t="str">
        <f>LEFT(Table2[[#This Row],[Folder]],6)</f>
        <v>505845</v>
      </c>
      <c r="K202" t="s">
        <v>100</v>
      </c>
    </row>
    <row r="203" spans="5:11" ht="12" customHeight="1" x14ac:dyDescent="0.25">
      <c r="E203" t="s">
        <v>41</v>
      </c>
      <c r="F203" t="s">
        <v>496</v>
      </c>
      <c r="G203" s="1">
        <v>44719.38517361111</v>
      </c>
      <c r="H203" t="s">
        <v>295</v>
      </c>
      <c r="I203" s="2" t="s">
        <v>296</v>
      </c>
      <c r="J203" t="str">
        <f>LEFT(Table2[[#This Row],[Folder]],6)</f>
        <v>505845</v>
      </c>
      <c r="K203" t="s">
        <v>100</v>
      </c>
    </row>
    <row r="204" spans="5:11" ht="12" customHeight="1" x14ac:dyDescent="0.25">
      <c r="F204" t="s">
        <v>575</v>
      </c>
      <c r="G204" s="1">
        <v>44719.401597222219</v>
      </c>
      <c r="H204" t="s">
        <v>51</v>
      </c>
      <c r="I204" s="2" t="s">
        <v>576</v>
      </c>
      <c r="J204" t="str">
        <f>LEFT(Table2[[#This Row],[Folder]],6)</f>
        <v/>
      </c>
      <c r="K204" t="s">
        <v>100</v>
      </c>
    </row>
    <row r="205" spans="5:11" ht="12" customHeight="1" x14ac:dyDescent="0.25">
      <c r="F205" t="s">
        <v>577</v>
      </c>
      <c r="G205" s="1">
        <v>44719.405960648146</v>
      </c>
      <c r="H205" t="s">
        <v>51</v>
      </c>
      <c r="I205" s="2" t="s">
        <v>578</v>
      </c>
      <c r="J205" t="str">
        <f>LEFT(Table2[[#This Row],[Folder]],6)</f>
        <v/>
      </c>
      <c r="K205" t="s">
        <v>100</v>
      </c>
    </row>
    <row r="206" spans="5:11" ht="12" customHeight="1" x14ac:dyDescent="0.25">
      <c r="F206" t="s">
        <v>579</v>
      </c>
      <c r="G206" s="1">
        <v>44719.409594907411</v>
      </c>
      <c r="H206" t="s">
        <v>580</v>
      </c>
      <c r="I206" s="2" t="s">
        <v>581</v>
      </c>
      <c r="J206" t="str">
        <f>LEFT(Table2[[#This Row],[Folder]],6)</f>
        <v/>
      </c>
      <c r="K206" t="s">
        <v>100</v>
      </c>
    </row>
    <row r="207" spans="5:11" ht="12" customHeight="1" x14ac:dyDescent="0.25">
      <c r="F207" t="s">
        <v>582</v>
      </c>
      <c r="G207" s="1">
        <v>44719.411631944444</v>
      </c>
      <c r="H207" t="s">
        <v>301</v>
      </c>
      <c r="I207" s="2" t="s">
        <v>583</v>
      </c>
      <c r="J207" t="str">
        <f>LEFT(Table2[[#This Row],[Folder]],6)</f>
        <v/>
      </c>
      <c r="K207" t="s">
        <v>100</v>
      </c>
    </row>
    <row r="208" spans="5:11" ht="12" customHeight="1" x14ac:dyDescent="0.25">
      <c r="E208" t="s">
        <v>710</v>
      </c>
      <c r="F208" t="s">
        <v>584</v>
      </c>
      <c r="G208" s="1">
        <v>44719.414074074077</v>
      </c>
      <c r="H208" t="s">
        <v>80</v>
      </c>
      <c r="I208" s="2" t="s">
        <v>183</v>
      </c>
      <c r="J208" t="str">
        <f>LEFT(Table2[[#This Row],[Folder]],6)</f>
        <v>505955</v>
      </c>
      <c r="K208" t="s">
        <v>100</v>
      </c>
    </row>
    <row r="209" spans="5:11" ht="12" customHeight="1" x14ac:dyDescent="0.25">
      <c r="F209" t="s">
        <v>584</v>
      </c>
      <c r="G209" s="1">
        <v>44719.433252314811</v>
      </c>
      <c r="H209" t="s">
        <v>301</v>
      </c>
      <c r="I209" s="2" t="s">
        <v>585</v>
      </c>
      <c r="J209" t="str">
        <f>LEFT(Table2[[#This Row],[Folder]],6)</f>
        <v/>
      </c>
      <c r="K209" t="s">
        <v>100</v>
      </c>
    </row>
    <row r="210" spans="5:11" ht="12" customHeight="1" x14ac:dyDescent="0.25">
      <c r="E210" t="s">
        <v>42</v>
      </c>
      <c r="F210" t="s">
        <v>586</v>
      </c>
      <c r="G210" s="1">
        <v>44719.434328703705</v>
      </c>
      <c r="H210" t="s">
        <v>587</v>
      </c>
      <c r="I210" s="2" t="s">
        <v>588</v>
      </c>
      <c r="J210" t="str">
        <f>LEFT(Table2[[#This Row],[Folder]],6)</f>
        <v>505936</v>
      </c>
      <c r="K210" t="s">
        <v>100</v>
      </c>
    </row>
    <row r="211" spans="5:11" ht="12" customHeight="1" x14ac:dyDescent="0.25">
      <c r="E211" t="s">
        <v>42</v>
      </c>
      <c r="F211" t="s">
        <v>589</v>
      </c>
      <c r="G211" s="1">
        <v>44719.443379629629</v>
      </c>
      <c r="H211" t="s">
        <v>350</v>
      </c>
      <c r="I211" s="2" t="s">
        <v>574</v>
      </c>
      <c r="J211" t="str">
        <f>LEFT(Table2[[#This Row],[Folder]],6)</f>
        <v>505936</v>
      </c>
      <c r="K211" t="s">
        <v>100</v>
      </c>
    </row>
    <row r="212" spans="5:11" ht="12" customHeight="1" x14ac:dyDescent="0.25">
      <c r="E212" t="s">
        <v>41</v>
      </c>
      <c r="F212" t="s">
        <v>540</v>
      </c>
      <c r="G212" s="1">
        <v>44719.488645833335</v>
      </c>
      <c r="H212" t="s">
        <v>298</v>
      </c>
      <c r="I212" s="2" t="s">
        <v>590</v>
      </c>
      <c r="J212" t="str">
        <f>LEFT(Table2[[#This Row],[Folder]],6)</f>
        <v>505845</v>
      </c>
      <c r="K212" t="s">
        <v>100</v>
      </c>
    </row>
    <row r="213" spans="5:11" ht="12" customHeight="1" x14ac:dyDescent="0.25">
      <c r="F213" t="s">
        <v>591</v>
      </c>
      <c r="G213" s="1">
        <v>44719.495995370373</v>
      </c>
      <c r="H213" t="s">
        <v>51</v>
      </c>
      <c r="I213" s="2" t="s">
        <v>592</v>
      </c>
      <c r="J213" t="str">
        <f>LEFT(Table2[[#This Row],[Folder]],6)</f>
        <v/>
      </c>
      <c r="K213" t="s">
        <v>100</v>
      </c>
    </row>
    <row r="214" spans="5:11" ht="12" customHeight="1" x14ac:dyDescent="0.25">
      <c r="E214" t="s">
        <v>42</v>
      </c>
      <c r="F214" t="s">
        <v>593</v>
      </c>
      <c r="G214" s="1">
        <v>44719.546249999999</v>
      </c>
      <c r="H214" t="s">
        <v>594</v>
      </c>
      <c r="I214" s="2" t="s">
        <v>595</v>
      </c>
      <c r="J214" t="str">
        <f>LEFT(Table2[[#This Row],[Folder]],6)</f>
        <v>505936</v>
      </c>
      <c r="K214" t="s">
        <v>100</v>
      </c>
    </row>
    <row r="215" spans="5:11" ht="12" customHeight="1" x14ac:dyDescent="0.25">
      <c r="E215" t="s">
        <v>42</v>
      </c>
      <c r="F215" t="s">
        <v>593</v>
      </c>
      <c r="G215" s="1">
        <v>44719.548043981478</v>
      </c>
      <c r="H215" t="s">
        <v>594</v>
      </c>
      <c r="I215" s="2" t="s">
        <v>596</v>
      </c>
      <c r="J215" t="str">
        <f>LEFT(Table2[[#This Row],[Folder]],6)</f>
        <v>505936</v>
      </c>
      <c r="K215" t="s">
        <v>100</v>
      </c>
    </row>
    <row r="216" spans="5:11" ht="12" customHeight="1" x14ac:dyDescent="0.25">
      <c r="E216" t="s">
        <v>42</v>
      </c>
      <c r="F216" t="s">
        <v>593</v>
      </c>
      <c r="G216" s="1">
        <v>44719.55976851852</v>
      </c>
      <c r="H216" t="s">
        <v>587</v>
      </c>
      <c r="I216" s="2" t="s">
        <v>597</v>
      </c>
      <c r="J216" t="str">
        <f>LEFT(Table2[[#This Row],[Folder]],6)</f>
        <v>505936</v>
      </c>
      <c r="K216" t="s">
        <v>100</v>
      </c>
    </row>
    <row r="217" spans="5:11" ht="12" customHeight="1" x14ac:dyDescent="0.25">
      <c r="F217" t="s">
        <v>598</v>
      </c>
      <c r="G217" s="1">
        <v>44719.561261574076</v>
      </c>
      <c r="H217" t="s">
        <v>599</v>
      </c>
      <c r="I217" s="2" t="s">
        <v>184</v>
      </c>
      <c r="J217" t="str">
        <f>LEFT(Table2[[#This Row],[Folder]],6)</f>
        <v/>
      </c>
      <c r="K217" t="s">
        <v>100</v>
      </c>
    </row>
    <row r="218" spans="5:11" ht="12" customHeight="1" x14ac:dyDescent="0.25">
      <c r="E218" t="s">
        <v>41</v>
      </c>
      <c r="F218" t="s">
        <v>540</v>
      </c>
      <c r="G218" s="1">
        <v>44719.623078703706</v>
      </c>
      <c r="H218" t="s">
        <v>71</v>
      </c>
      <c r="I218" s="2" t="s">
        <v>600</v>
      </c>
      <c r="J218" t="str">
        <f>LEFT(Table2[[#This Row],[Folder]],6)</f>
        <v>505845</v>
      </c>
      <c r="K218" t="s">
        <v>100</v>
      </c>
    </row>
    <row r="219" spans="5:11" ht="12" customHeight="1" x14ac:dyDescent="0.25">
      <c r="F219" t="s">
        <v>601</v>
      </c>
      <c r="G219" s="1">
        <v>44719.666041666664</v>
      </c>
      <c r="H219" t="s">
        <v>602</v>
      </c>
      <c r="I219" s="2" t="s">
        <v>603</v>
      </c>
      <c r="J219" t="str">
        <f>LEFT(Table2[[#This Row],[Folder]],6)</f>
        <v/>
      </c>
      <c r="K219" t="s">
        <v>100</v>
      </c>
    </row>
    <row r="220" spans="5:11" ht="12" customHeight="1" x14ac:dyDescent="0.25">
      <c r="E220" t="s">
        <v>233</v>
      </c>
      <c r="F220" t="s">
        <v>604</v>
      </c>
      <c r="G220" s="1">
        <v>44719.672777777778</v>
      </c>
      <c r="H220" t="s">
        <v>243</v>
      </c>
      <c r="I220" s="2" t="s">
        <v>605</v>
      </c>
      <c r="J220" t="str">
        <f>LEFT(Table2[[#This Row],[Folder]],6)</f>
        <v>505967</v>
      </c>
      <c r="K220" t="s">
        <v>100</v>
      </c>
    </row>
    <row r="221" spans="5:11" ht="12" customHeight="1" x14ac:dyDescent="0.25">
      <c r="E221" t="s">
        <v>45</v>
      </c>
      <c r="F221" t="s">
        <v>606</v>
      </c>
      <c r="G221" s="1">
        <v>44719.715069444443</v>
      </c>
      <c r="H221" t="s">
        <v>347</v>
      </c>
      <c r="I221" s="2" t="s">
        <v>607</v>
      </c>
      <c r="J221" t="str">
        <f>LEFT(Table2[[#This Row],[Folder]],6)</f>
        <v>505563</v>
      </c>
      <c r="K221" t="s">
        <v>100</v>
      </c>
    </row>
    <row r="222" spans="5:11" ht="12" customHeight="1" x14ac:dyDescent="0.25">
      <c r="E222" t="s">
        <v>45</v>
      </c>
      <c r="F222" t="s">
        <v>606</v>
      </c>
      <c r="G222" s="1">
        <v>44719.719583333332</v>
      </c>
      <c r="H222" t="s">
        <v>347</v>
      </c>
      <c r="I222" s="2" t="s">
        <v>608</v>
      </c>
      <c r="J222" t="str">
        <f>LEFT(Table2[[#This Row],[Folder]],6)</f>
        <v>505563</v>
      </c>
      <c r="K222" t="s">
        <v>100</v>
      </c>
    </row>
    <row r="223" spans="5:11" ht="12" customHeight="1" x14ac:dyDescent="0.25">
      <c r="E223" t="s">
        <v>45</v>
      </c>
      <c r="F223" t="s">
        <v>494</v>
      </c>
      <c r="G223" s="1">
        <v>44719.725046296298</v>
      </c>
      <c r="H223" t="s">
        <v>243</v>
      </c>
      <c r="I223" s="2" t="s">
        <v>609</v>
      </c>
      <c r="J223" t="str">
        <f>LEFT(Table2[[#This Row],[Folder]],6)</f>
        <v>505563</v>
      </c>
      <c r="K223" t="s">
        <v>100</v>
      </c>
    </row>
    <row r="224" spans="5:11" ht="12" customHeight="1" x14ac:dyDescent="0.25">
      <c r="E224" t="s">
        <v>45</v>
      </c>
      <c r="F224" t="s">
        <v>467</v>
      </c>
      <c r="G224" s="1">
        <v>44719.725775462961</v>
      </c>
      <c r="H224" t="s">
        <v>243</v>
      </c>
      <c r="I224" s="2" t="s">
        <v>610</v>
      </c>
      <c r="J224" t="str">
        <f>LEFT(Table2[[#This Row],[Folder]],6)</f>
        <v>505563</v>
      </c>
      <c r="K224" t="s">
        <v>100</v>
      </c>
    </row>
    <row r="225" spans="5:11" ht="12" customHeight="1" x14ac:dyDescent="0.25">
      <c r="E225" t="s">
        <v>45</v>
      </c>
      <c r="F225" t="s">
        <v>611</v>
      </c>
      <c r="G225" s="1">
        <v>44719.742546296293</v>
      </c>
      <c r="H225" t="s">
        <v>243</v>
      </c>
      <c r="I225" s="2" t="s">
        <v>612</v>
      </c>
      <c r="J225" t="str">
        <f>LEFT(Table2[[#This Row],[Folder]],6)</f>
        <v>505563</v>
      </c>
      <c r="K225" t="s">
        <v>100</v>
      </c>
    </row>
    <row r="226" spans="5:11" ht="12" customHeight="1" x14ac:dyDescent="0.25">
      <c r="E226" t="s">
        <v>45</v>
      </c>
      <c r="F226" t="s">
        <v>611</v>
      </c>
      <c r="G226" s="1">
        <v>44719.817037037035</v>
      </c>
      <c r="H226" t="s">
        <v>347</v>
      </c>
      <c r="I226" s="2" t="s">
        <v>613</v>
      </c>
      <c r="J226" t="str">
        <f>LEFT(Table2[[#This Row],[Folder]],6)</f>
        <v>505563</v>
      </c>
      <c r="K226" t="s">
        <v>100</v>
      </c>
    </row>
    <row r="227" spans="5:11" ht="12" customHeight="1" x14ac:dyDescent="0.25">
      <c r="E227" t="s">
        <v>42</v>
      </c>
      <c r="F227" t="s">
        <v>614</v>
      </c>
      <c r="G227" s="1">
        <v>44719.856759259259</v>
      </c>
      <c r="H227" t="s">
        <v>355</v>
      </c>
      <c r="I227" s="2" t="s">
        <v>183</v>
      </c>
      <c r="J227" t="str">
        <f>LEFT(Table2[[#This Row],[Folder]],6)</f>
        <v>505936</v>
      </c>
      <c r="K227" t="s">
        <v>100</v>
      </c>
    </row>
    <row r="228" spans="5:11" ht="12" customHeight="1" x14ac:dyDescent="0.25">
      <c r="F228" t="s">
        <v>397</v>
      </c>
      <c r="G228" s="1">
        <v>44720.024027777778</v>
      </c>
      <c r="H228" t="s">
        <v>393</v>
      </c>
      <c r="I228" s="2" t="s">
        <v>398</v>
      </c>
      <c r="J228" t="str">
        <f>LEFT(Table2[[#This Row],[Folder]],6)</f>
        <v/>
      </c>
      <c r="K228" t="s">
        <v>100</v>
      </c>
    </row>
    <row r="229" spans="5:11" ht="12" customHeight="1" x14ac:dyDescent="0.25">
      <c r="E229" t="s">
        <v>45</v>
      </c>
      <c r="F229" t="s">
        <v>615</v>
      </c>
      <c r="G229" s="1">
        <v>44720.031666666669</v>
      </c>
      <c r="H229" t="s">
        <v>425</v>
      </c>
      <c r="I229" s="2" t="s">
        <v>616</v>
      </c>
      <c r="J229" t="str">
        <f>LEFT(Table2[[#This Row],[Folder]],6)</f>
        <v>505563</v>
      </c>
      <c r="K229" t="s">
        <v>100</v>
      </c>
    </row>
    <row r="230" spans="5:11" ht="12" customHeight="1" x14ac:dyDescent="0.25">
      <c r="E230" t="s">
        <v>45</v>
      </c>
      <c r="F230" t="s">
        <v>611</v>
      </c>
      <c r="G230" s="1">
        <v>44720.066041666665</v>
      </c>
      <c r="H230" t="s">
        <v>453</v>
      </c>
      <c r="I230" s="2" t="s">
        <v>617</v>
      </c>
      <c r="J230" t="str">
        <f>LEFT(Table2[[#This Row],[Folder]],6)</f>
        <v>505563</v>
      </c>
      <c r="K230" t="s">
        <v>100</v>
      </c>
    </row>
    <row r="231" spans="5:11" ht="12" customHeight="1" x14ac:dyDescent="0.25">
      <c r="E231" t="s">
        <v>42</v>
      </c>
      <c r="F231" t="s">
        <v>614</v>
      </c>
      <c r="G231" s="1">
        <v>44720.086215277777</v>
      </c>
      <c r="H231" t="s">
        <v>350</v>
      </c>
      <c r="I231" s="2" t="s">
        <v>362</v>
      </c>
      <c r="J231" t="str">
        <f>LEFT(Table2[[#This Row],[Folder]],6)</f>
        <v>505936</v>
      </c>
      <c r="K231" t="s">
        <v>100</v>
      </c>
    </row>
    <row r="232" spans="5:11" ht="12" customHeight="1" x14ac:dyDescent="0.25">
      <c r="E232" t="s">
        <v>41</v>
      </c>
      <c r="F232" t="s">
        <v>618</v>
      </c>
      <c r="G232" s="1">
        <v>44720.132534722223</v>
      </c>
      <c r="H232" t="s">
        <v>181</v>
      </c>
      <c r="I232" s="2" t="s">
        <v>619</v>
      </c>
      <c r="J232" t="str">
        <f>LEFT(Table2[[#This Row],[Folder]],6)</f>
        <v>505845</v>
      </c>
      <c r="K232" t="s">
        <v>100</v>
      </c>
    </row>
    <row r="233" spans="5:11" ht="12" customHeight="1" x14ac:dyDescent="0.25">
      <c r="E233" t="s">
        <v>42</v>
      </c>
      <c r="F233" t="s">
        <v>614</v>
      </c>
      <c r="G233" s="1">
        <v>44720.20952546296</v>
      </c>
      <c r="H233" t="s">
        <v>355</v>
      </c>
      <c r="I233" s="2" t="s">
        <v>183</v>
      </c>
      <c r="J233" t="str">
        <f>LEFT(Table2[[#This Row],[Folder]],6)</f>
        <v>505936</v>
      </c>
      <c r="K233" t="s">
        <v>100</v>
      </c>
    </row>
    <row r="234" spans="5:11" ht="12" customHeight="1" x14ac:dyDescent="0.25">
      <c r="F234" t="s">
        <v>86</v>
      </c>
      <c r="G234" s="1">
        <v>44720.211851851855</v>
      </c>
      <c r="H234" t="s">
        <v>78</v>
      </c>
      <c r="I234" s="2" t="s">
        <v>184</v>
      </c>
      <c r="J234" t="str">
        <f>LEFT(Table2[[#This Row],[Folder]],6)</f>
        <v/>
      </c>
      <c r="K234" t="s">
        <v>100</v>
      </c>
    </row>
    <row r="235" spans="5:11" ht="12" customHeight="1" x14ac:dyDescent="0.25">
      <c r="E235" t="s">
        <v>41</v>
      </c>
      <c r="F235" t="s">
        <v>496</v>
      </c>
      <c r="G235" s="1">
        <v>44720.218113425923</v>
      </c>
      <c r="H235" t="s">
        <v>295</v>
      </c>
      <c r="I235" s="2" t="s">
        <v>296</v>
      </c>
      <c r="J235" t="str">
        <f>LEFT(Table2[[#This Row],[Folder]],6)</f>
        <v>505845</v>
      </c>
      <c r="K235" t="s">
        <v>100</v>
      </c>
    </row>
    <row r="236" spans="5:11" ht="12" customHeight="1" x14ac:dyDescent="0.25">
      <c r="E236" t="s">
        <v>41</v>
      </c>
      <c r="F236" t="s">
        <v>620</v>
      </c>
      <c r="G236" s="1">
        <v>44720.23505787037</v>
      </c>
      <c r="H236" t="s">
        <v>399</v>
      </c>
      <c r="I236" s="2" t="s">
        <v>621</v>
      </c>
      <c r="J236" t="str">
        <f>LEFT(Table2[[#This Row],[Folder]],6)</f>
        <v>505845</v>
      </c>
      <c r="K236" t="s">
        <v>100</v>
      </c>
    </row>
    <row r="237" spans="5:11" ht="12" customHeight="1" x14ac:dyDescent="0.25">
      <c r="E237" t="s">
        <v>42</v>
      </c>
      <c r="F237" t="s">
        <v>614</v>
      </c>
      <c r="G237" s="1">
        <v>44720.31590277778</v>
      </c>
      <c r="H237" t="s">
        <v>350</v>
      </c>
      <c r="I237" s="2" t="s">
        <v>362</v>
      </c>
      <c r="J237" t="str">
        <f>LEFT(Table2[[#This Row],[Folder]],6)</f>
        <v>505936</v>
      </c>
      <c r="K237" t="s">
        <v>100</v>
      </c>
    </row>
    <row r="238" spans="5:11" ht="12" customHeight="1" x14ac:dyDescent="0.25">
      <c r="F238" t="s">
        <v>83</v>
      </c>
      <c r="G238" s="1">
        <v>44720.321064814816</v>
      </c>
      <c r="H238" t="s">
        <v>84</v>
      </c>
      <c r="I238" s="2" t="s">
        <v>182</v>
      </c>
      <c r="J238" t="str">
        <f>LEFT(Table2[[#This Row],[Folder]],6)</f>
        <v/>
      </c>
      <c r="K238" t="s">
        <v>100</v>
      </c>
    </row>
    <row r="239" spans="5:11" ht="12" customHeight="1" x14ac:dyDescent="0.25">
      <c r="F239" t="s">
        <v>87</v>
      </c>
      <c r="G239" s="1">
        <v>44720.333692129629</v>
      </c>
      <c r="H239" t="s">
        <v>88</v>
      </c>
      <c r="I239" s="2" t="s">
        <v>622</v>
      </c>
      <c r="J239" t="str">
        <f>LEFT(Table2[[#This Row],[Folder]],6)</f>
        <v/>
      </c>
      <c r="K239" t="s">
        <v>100</v>
      </c>
    </row>
    <row r="240" spans="5:11" ht="12" customHeight="1" x14ac:dyDescent="0.25">
      <c r="E240" t="s">
        <v>45</v>
      </c>
      <c r="F240" t="s">
        <v>611</v>
      </c>
      <c r="G240" s="1">
        <v>44720.337962962964</v>
      </c>
      <c r="H240" t="s">
        <v>425</v>
      </c>
      <c r="I240" s="2" t="s">
        <v>623</v>
      </c>
      <c r="J240" t="str">
        <f>LEFT(Table2[[#This Row],[Folder]],6)</f>
        <v>505563</v>
      </c>
      <c r="K240" t="s">
        <v>100</v>
      </c>
    </row>
    <row r="241" spans="5:11" ht="12" customHeight="1" x14ac:dyDescent="0.25">
      <c r="E241" t="s">
        <v>41</v>
      </c>
      <c r="F241" t="s">
        <v>624</v>
      </c>
      <c r="G241" s="1">
        <v>44720.349907407406</v>
      </c>
      <c r="H241" t="s">
        <v>70</v>
      </c>
      <c r="I241" s="2" t="s">
        <v>625</v>
      </c>
      <c r="J241" t="str">
        <f>LEFT(Table2[[#This Row],[Folder]],6)</f>
        <v>505845</v>
      </c>
      <c r="K241" t="s">
        <v>100</v>
      </c>
    </row>
    <row r="242" spans="5:11" ht="12" customHeight="1" x14ac:dyDescent="0.25">
      <c r="E242" t="s">
        <v>45</v>
      </c>
      <c r="F242" t="s">
        <v>611</v>
      </c>
      <c r="G242" s="1">
        <v>44720.374571759261</v>
      </c>
      <c r="H242" t="s">
        <v>425</v>
      </c>
      <c r="I242" s="2" t="s">
        <v>626</v>
      </c>
      <c r="J242" t="str">
        <f>LEFT(Table2[[#This Row],[Folder]],6)</f>
        <v>505563</v>
      </c>
      <c r="K242" t="s">
        <v>100</v>
      </c>
    </row>
    <row r="243" spans="5:11" ht="12" customHeight="1" x14ac:dyDescent="0.25">
      <c r="E243" t="s">
        <v>42</v>
      </c>
      <c r="F243" t="s">
        <v>614</v>
      </c>
      <c r="G243" s="1">
        <v>44720.38790509259</v>
      </c>
      <c r="H243" t="s">
        <v>355</v>
      </c>
      <c r="I243" s="2" t="s">
        <v>183</v>
      </c>
      <c r="J243" t="str">
        <f>LEFT(Table2[[#This Row],[Folder]],6)</f>
        <v>505936</v>
      </c>
      <c r="K243" t="s">
        <v>100</v>
      </c>
    </row>
    <row r="244" spans="5:11" ht="12" customHeight="1" x14ac:dyDescent="0.25">
      <c r="E244" t="s">
        <v>42</v>
      </c>
      <c r="F244" t="s">
        <v>614</v>
      </c>
      <c r="G244" s="1">
        <v>44720.391006944446</v>
      </c>
      <c r="H244" t="s">
        <v>350</v>
      </c>
      <c r="I244" s="2" t="s">
        <v>362</v>
      </c>
      <c r="J244" t="str">
        <f>LEFT(Table2[[#This Row],[Folder]],6)</f>
        <v>505936</v>
      </c>
      <c r="K244" t="s">
        <v>100</v>
      </c>
    </row>
    <row r="245" spans="5:11" ht="12" customHeight="1" x14ac:dyDescent="0.25">
      <c r="E245" t="s">
        <v>42</v>
      </c>
      <c r="F245" t="s">
        <v>614</v>
      </c>
      <c r="G245" s="1">
        <v>44720.396851851852</v>
      </c>
      <c r="H245" t="s">
        <v>355</v>
      </c>
      <c r="I245" s="2" t="s">
        <v>183</v>
      </c>
      <c r="J245" t="str">
        <f>LEFT(Table2[[#This Row],[Folder]],6)</f>
        <v>505936</v>
      </c>
      <c r="K245" t="s">
        <v>100</v>
      </c>
    </row>
    <row r="246" spans="5:11" ht="12" customHeight="1" x14ac:dyDescent="0.25">
      <c r="E246" t="s">
        <v>42</v>
      </c>
      <c r="F246" t="s">
        <v>614</v>
      </c>
      <c r="G246" s="1">
        <v>44720.40415509259</v>
      </c>
      <c r="H246" t="s">
        <v>350</v>
      </c>
      <c r="I246" s="2" t="s">
        <v>362</v>
      </c>
      <c r="J246" t="str">
        <f>LEFT(Table2[[#This Row],[Folder]],6)</f>
        <v>505936</v>
      </c>
      <c r="K246" t="s">
        <v>100</v>
      </c>
    </row>
    <row r="247" spans="5:11" ht="12" customHeight="1" x14ac:dyDescent="0.25">
      <c r="E247" t="s">
        <v>41</v>
      </c>
      <c r="F247" t="s">
        <v>627</v>
      </c>
      <c r="G247" s="1">
        <v>44720.411921296298</v>
      </c>
      <c r="H247" t="s">
        <v>298</v>
      </c>
      <c r="I247" s="2" t="s">
        <v>294</v>
      </c>
      <c r="J247" t="str">
        <f>LEFT(Table2[[#This Row],[Folder]],6)</f>
        <v>505845</v>
      </c>
      <c r="K247" t="s">
        <v>100</v>
      </c>
    </row>
    <row r="248" spans="5:11" ht="12" customHeight="1" x14ac:dyDescent="0.25">
      <c r="E248" t="s">
        <v>41</v>
      </c>
      <c r="F248" t="s">
        <v>627</v>
      </c>
      <c r="G248" s="1">
        <v>44720.412685185183</v>
      </c>
      <c r="H248" t="s">
        <v>293</v>
      </c>
      <c r="I248" s="2" t="s">
        <v>294</v>
      </c>
      <c r="J248" t="str">
        <f>LEFT(Table2[[#This Row],[Folder]],6)</f>
        <v>505845</v>
      </c>
      <c r="K248" t="s">
        <v>100</v>
      </c>
    </row>
    <row r="249" spans="5:11" ht="12" customHeight="1" x14ac:dyDescent="0.25">
      <c r="E249" t="s">
        <v>41</v>
      </c>
      <c r="F249" t="s">
        <v>627</v>
      </c>
      <c r="G249" s="1">
        <v>44720.412719907406</v>
      </c>
      <c r="H249" t="s">
        <v>293</v>
      </c>
      <c r="I249" s="2" t="s">
        <v>294</v>
      </c>
      <c r="J249" t="str">
        <f>LEFT(Table2[[#This Row],[Folder]],6)</f>
        <v>505845</v>
      </c>
      <c r="K249" t="s">
        <v>100</v>
      </c>
    </row>
    <row r="250" spans="5:11" ht="12" customHeight="1" x14ac:dyDescent="0.25">
      <c r="E250" t="s">
        <v>41</v>
      </c>
      <c r="F250" t="s">
        <v>627</v>
      </c>
      <c r="G250" s="1">
        <v>44720.419988425929</v>
      </c>
      <c r="H250" t="s">
        <v>356</v>
      </c>
      <c r="I250" s="2" t="s">
        <v>357</v>
      </c>
      <c r="J250" t="str">
        <f>LEFT(Table2[[#This Row],[Folder]],6)</f>
        <v>505845</v>
      </c>
      <c r="K250" t="s">
        <v>100</v>
      </c>
    </row>
    <row r="251" spans="5:11" ht="12" customHeight="1" x14ac:dyDescent="0.25">
      <c r="E251" t="s">
        <v>41</v>
      </c>
      <c r="F251" t="s">
        <v>627</v>
      </c>
      <c r="G251" s="1">
        <v>44720.431597222225</v>
      </c>
      <c r="H251" t="s">
        <v>298</v>
      </c>
      <c r="I251" s="2" t="s">
        <v>294</v>
      </c>
      <c r="J251" t="str">
        <f>LEFT(Table2[[#This Row],[Folder]],6)</f>
        <v>505845</v>
      </c>
      <c r="K251" t="s">
        <v>100</v>
      </c>
    </row>
    <row r="252" spans="5:11" ht="12" customHeight="1" x14ac:dyDescent="0.25">
      <c r="E252" t="s">
        <v>42</v>
      </c>
      <c r="F252" t="s">
        <v>614</v>
      </c>
      <c r="G252" s="1">
        <v>44720.467141203706</v>
      </c>
      <c r="H252" t="s">
        <v>355</v>
      </c>
      <c r="I252" s="2" t="s">
        <v>183</v>
      </c>
      <c r="J252" t="str">
        <f>LEFT(Table2[[#This Row],[Folder]],6)</f>
        <v>505936</v>
      </c>
      <c r="K252" t="s">
        <v>100</v>
      </c>
    </row>
    <row r="253" spans="5:11" ht="12" customHeight="1" x14ac:dyDescent="0.25">
      <c r="E253" t="s">
        <v>41</v>
      </c>
      <c r="F253" t="s">
        <v>568</v>
      </c>
      <c r="G253" s="1">
        <v>44720.470949074072</v>
      </c>
      <c r="H253" t="s">
        <v>70</v>
      </c>
      <c r="I253" s="2" t="s">
        <v>628</v>
      </c>
      <c r="J253" t="str">
        <f>LEFT(Table2[[#This Row],[Folder]],6)</f>
        <v>505845</v>
      </c>
      <c r="K253" t="s">
        <v>100</v>
      </c>
    </row>
    <row r="254" spans="5:11" ht="12" customHeight="1" x14ac:dyDescent="0.25">
      <c r="E254" t="s">
        <v>41</v>
      </c>
      <c r="F254" t="s">
        <v>496</v>
      </c>
      <c r="G254" s="1">
        <v>44720.482106481482</v>
      </c>
      <c r="H254" t="s">
        <v>298</v>
      </c>
      <c r="I254" s="2" t="s">
        <v>294</v>
      </c>
      <c r="J254" t="str">
        <f>LEFT(Table2[[#This Row],[Folder]],6)</f>
        <v>505845</v>
      </c>
      <c r="K254" t="s">
        <v>100</v>
      </c>
    </row>
    <row r="255" spans="5:11" ht="12" customHeight="1" x14ac:dyDescent="0.25">
      <c r="E255" t="s">
        <v>41</v>
      </c>
      <c r="F255" t="s">
        <v>496</v>
      </c>
      <c r="G255" s="1">
        <v>44720.482743055552</v>
      </c>
      <c r="H255" t="s">
        <v>298</v>
      </c>
      <c r="I255" s="2" t="s">
        <v>294</v>
      </c>
      <c r="J255" t="str">
        <f>LEFT(Table2[[#This Row],[Folder]],6)</f>
        <v>505845</v>
      </c>
      <c r="K255" t="s">
        <v>100</v>
      </c>
    </row>
    <row r="256" spans="5:11" ht="12" customHeight="1" x14ac:dyDescent="0.25">
      <c r="F256" t="s">
        <v>629</v>
      </c>
      <c r="G256" s="1">
        <v>44720.486747685187</v>
      </c>
      <c r="H256" t="s">
        <v>630</v>
      </c>
      <c r="I256" s="2" t="s">
        <v>631</v>
      </c>
      <c r="J256" t="str">
        <f>LEFT(Table2[[#This Row],[Folder]],6)</f>
        <v/>
      </c>
      <c r="K256" t="s">
        <v>100</v>
      </c>
    </row>
    <row r="257" spans="5:11" ht="12" customHeight="1" x14ac:dyDescent="0.25">
      <c r="E257" t="s">
        <v>41</v>
      </c>
      <c r="F257" t="s">
        <v>632</v>
      </c>
      <c r="G257" s="1">
        <v>44720.487488425926</v>
      </c>
      <c r="H257" t="s">
        <v>68</v>
      </c>
      <c r="I257" s="2" t="s">
        <v>633</v>
      </c>
      <c r="J257" t="str">
        <f>LEFT(Table2[[#This Row],[Folder]],6)</f>
        <v>505845</v>
      </c>
      <c r="K257" t="s">
        <v>100</v>
      </c>
    </row>
    <row r="258" spans="5:11" ht="12" customHeight="1" x14ac:dyDescent="0.25">
      <c r="E258" t="s">
        <v>42</v>
      </c>
      <c r="F258" t="s">
        <v>614</v>
      </c>
      <c r="G258" s="1">
        <v>44720.49318287037</v>
      </c>
      <c r="H258" t="s">
        <v>355</v>
      </c>
      <c r="I258" s="2" t="s">
        <v>183</v>
      </c>
      <c r="J258" t="str">
        <f>LEFT(Table2[[#This Row],[Folder]],6)</f>
        <v>505936</v>
      </c>
      <c r="K258" t="s">
        <v>100</v>
      </c>
    </row>
    <row r="259" spans="5:11" ht="12" customHeight="1" x14ac:dyDescent="0.25">
      <c r="E259" t="s">
        <v>41</v>
      </c>
      <c r="F259" t="s">
        <v>618</v>
      </c>
      <c r="G259" s="1">
        <v>44720.497604166667</v>
      </c>
      <c r="H259" t="s">
        <v>181</v>
      </c>
      <c r="I259" s="2" t="s">
        <v>609</v>
      </c>
      <c r="J259" t="str">
        <f>LEFT(Table2[[#This Row],[Folder]],6)</f>
        <v>505845</v>
      </c>
      <c r="K259" t="s">
        <v>100</v>
      </c>
    </row>
    <row r="260" spans="5:11" ht="12" customHeight="1" x14ac:dyDescent="0.25">
      <c r="E260" t="s">
        <v>41</v>
      </c>
      <c r="F260" t="s">
        <v>618</v>
      </c>
      <c r="G260" s="1">
        <v>44720.508437500001</v>
      </c>
      <c r="H260" t="s">
        <v>181</v>
      </c>
      <c r="I260" s="2" t="s">
        <v>634</v>
      </c>
      <c r="J260" t="str">
        <f>LEFT(Table2[[#This Row],[Folder]],6)</f>
        <v>505845</v>
      </c>
      <c r="K260" t="s">
        <v>100</v>
      </c>
    </row>
    <row r="261" spans="5:11" ht="12" customHeight="1" x14ac:dyDescent="0.25">
      <c r="E261" t="s">
        <v>41</v>
      </c>
      <c r="F261" t="s">
        <v>627</v>
      </c>
      <c r="G261" s="1">
        <v>44720.511990740742</v>
      </c>
      <c r="H261" t="s">
        <v>295</v>
      </c>
      <c r="I261" s="2" t="s">
        <v>296</v>
      </c>
      <c r="J261" t="str">
        <f>LEFT(Table2[[#This Row],[Folder]],6)</f>
        <v>505845</v>
      </c>
      <c r="K261" t="s">
        <v>100</v>
      </c>
    </row>
    <row r="262" spans="5:11" ht="12" customHeight="1" x14ac:dyDescent="0.25">
      <c r="E262" t="s">
        <v>41</v>
      </c>
      <c r="F262" t="s">
        <v>618</v>
      </c>
      <c r="G262" s="1">
        <v>44720.512604166666</v>
      </c>
      <c r="H262" t="s">
        <v>181</v>
      </c>
      <c r="I262" s="2" t="s">
        <v>635</v>
      </c>
      <c r="J262" t="str">
        <f>LEFT(Table2[[#This Row],[Folder]],6)</f>
        <v>505845</v>
      </c>
      <c r="K262" t="s">
        <v>100</v>
      </c>
    </row>
    <row r="263" spans="5:11" ht="12" customHeight="1" x14ac:dyDescent="0.25">
      <c r="E263" t="s">
        <v>41</v>
      </c>
      <c r="F263" t="s">
        <v>627</v>
      </c>
      <c r="G263" s="1">
        <v>44720.516747685186</v>
      </c>
      <c r="H263" t="s">
        <v>295</v>
      </c>
      <c r="I263" s="2" t="s">
        <v>296</v>
      </c>
      <c r="J263" t="str">
        <f>LEFT(Table2[[#This Row],[Folder]],6)</f>
        <v>505845</v>
      </c>
      <c r="K263" t="s">
        <v>100</v>
      </c>
    </row>
    <row r="264" spans="5:11" ht="12" customHeight="1" x14ac:dyDescent="0.25">
      <c r="E264" t="s">
        <v>41</v>
      </c>
      <c r="F264" t="s">
        <v>636</v>
      </c>
      <c r="G264" s="1">
        <v>44720.521874999999</v>
      </c>
      <c r="H264" t="s">
        <v>70</v>
      </c>
      <c r="I264" s="2" t="s">
        <v>637</v>
      </c>
      <c r="J264" t="str">
        <f>LEFT(Table2[[#This Row],[Folder]],6)</f>
        <v>505845</v>
      </c>
      <c r="K264" t="s">
        <v>100</v>
      </c>
    </row>
    <row r="265" spans="5:11" ht="12" customHeight="1" x14ac:dyDescent="0.25">
      <c r="E265" t="s">
        <v>41</v>
      </c>
      <c r="F265" t="s">
        <v>638</v>
      </c>
      <c r="G265" s="1">
        <v>44720.523692129631</v>
      </c>
      <c r="H265" t="s">
        <v>70</v>
      </c>
      <c r="I265" s="2" t="s">
        <v>639</v>
      </c>
      <c r="J265" t="str">
        <f>LEFT(Table2[[#This Row],[Folder]],6)</f>
        <v>505845</v>
      </c>
      <c r="K265" t="s">
        <v>100</v>
      </c>
    </row>
    <row r="266" spans="5:11" ht="12" customHeight="1" x14ac:dyDescent="0.25">
      <c r="E266" t="s">
        <v>41</v>
      </c>
      <c r="F266" t="s">
        <v>627</v>
      </c>
      <c r="G266" s="1">
        <v>44720.534085648149</v>
      </c>
      <c r="H266" t="s">
        <v>298</v>
      </c>
      <c r="I266" s="2" t="s">
        <v>294</v>
      </c>
      <c r="J266" t="str">
        <f>LEFT(Table2[[#This Row],[Folder]],6)</f>
        <v>505845</v>
      </c>
      <c r="K266" t="s">
        <v>100</v>
      </c>
    </row>
    <row r="267" spans="5:11" ht="12" customHeight="1" x14ac:dyDescent="0.25">
      <c r="E267" t="s">
        <v>41</v>
      </c>
      <c r="F267" t="s">
        <v>627</v>
      </c>
      <c r="G267" s="1">
        <v>44720.534120370372</v>
      </c>
      <c r="H267" t="s">
        <v>298</v>
      </c>
      <c r="I267" s="2" t="s">
        <v>294</v>
      </c>
      <c r="J267" t="str">
        <f>LEFT(Table2[[#This Row],[Folder]],6)</f>
        <v>505845</v>
      </c>
      <c r="K267" t="s">
        <v>100</v>
      </c>
    </row>
    <row r="268" spans="5:11" ht="12" customHeight="1" x14ac:dyDescent="0.25">
      <c r="E268" t="s">
        <v>41</v>
      </c>
      <c r="F268" t="s">
        <v>627</v>
      </c>
      <c r="G268" s="1">
        <v>44720.534849537034</v>
      </c>
      <c r="H268" t="s">
        <v>298</v>
      </c>
      <c r="I268" s="2" t="s">
        <v>294</v>
      </c>
      <c r="J268" t="str">
        <f>LEFT(Table2[[#This Row],[Folder]],6)</f>
        <v>505845</v>
      </c>
      <c r="K268" t="s">
        <v>100</v>
      </c>
    </row>
    <row r="269" spans="5:11" ht="12" customHeight="1" x14ac:dyDescent="0.25">
      <c r="E269" t="s">
        <v>41</v>
      </c>
      <c r="F269" t="s">
        <v>636</v>
      </c>
      <c r="G269" s="1">
        <v>44720.551365740743</v>
      </c>
      <c r="H269" t="s">
        <v>70</v>
      </c>
      <c r="I269" s="2" t="s">
        <v>640</v>
      </c>
      <c r="J269" t="str">
        <f>LEFT(Table2[[#This Row],[Folder]],6)</f>
        <v>505845</v>
      </c>
      <c r="K269" t="s">
        <v>100</v>
      </c>
    </row>
    <row r="270" spans="5:11" ht="12" customHeight="1" x14ac:dyDescent="0.25">
      <c r="F270" t="s">
        <v>601</v>
      </c>
      <c r="G270" s="1">
        <v>44720.558136574073</v>
      </c>
      <c r="H270" t="s">
        <v>641</v>
      </c>
      <c r="I270" s="2" t="s">
        <v>642</v>
      </c>
      <c r="J270" t="str">
        <f>LEFT(Table2[[#This Row],[Folder]],6)</f>
        <v/>
      </c>
      <c r="K270" t="s">
        <v>100</v>
      </c>
    </row>
    <row r="271" spans="5:11" ht="12" customHeight="1" x14ac:dyDescent="0.25">
      <c r="F271" t="s">
        <v>643</v>
      </c>
      <c r="G271" s="1">
        <v>44720.563946759263</v>
      </c>
      <c r="H271" t="s">
        <v>630</v>
      </c>
      <c r="I271" s="2" t="s">
        <v>644</v>
      </c>
      <c r="J271" t="str">
        <f>LEFT(Table2[[#This Row],[Folder]],6)</f>
        <v/>
      </c>
      <c r="K271" t="s">
        <v>100</v>
      </c>
    </row>
    <row r="272" spans="5:11" ht="12" customHeight="1" x14ac:dyDescent="0.25">
      <c r="F272" t="s">
        <v>601</v>
      </c>
      <c r="G272" s="1">
        <v>44720.573958333334</v>
      </c>
      <c r="H272" t="s">
        <v>641</v>
      </c>
      <c r="I272" s="2" t="s">
        <v>645</v>
      </c>
      <c r="J272" t="str">
        <f>LEFT(Table2[[#This Row],[Folder]],6)</f>
        <v/>
      </c>
      <c r="K272" t="s">
        <v>100</v>
      </c>
    </row>
    <row r="273" spans="5:11" ht="12" customHeight="1" x14ac:dyDescent="0.25">
      <c r="F273" t="s">
        <v>646</v>
      </c>
      <c r="G273" s="1">
        <v>44720.574189814812</v>
      </c>
      <c r="H273" t="s">
        <v>51</v>
      </c>
      <c r="I273" s="2" t="s">
        <v>647</v>
      </c>
      <c r="J273" t="str">
        <f>LEFT(Table2[[#This Row],[Folder]],6)</f>
        <v/>
      </c>
      <c r="K273" t="s">
        <v>100</v>
      </c>
    </row>
    <row r="274" spans="5:11" ht="12" customHeight="1" x14ac:dyDescent="0.25">
      <c r="F274" t="s">
        <v>601</v>
      </c>
      <c r="G274" s="1">
        <v>44720.579814814817</v>
      </c>
      <c r="H274" t="s">
        <v>602</v>
      </c>
      <c r="I274" s="2" t="s">
        <v>648</v>
      </c>
      <c r="J274" t="str">
        <f>LEFT(Table2[[#This Row],[Folder]],6)</f>
        <v/>
      </c>
      <c r="K274" t="s">
        <v>100</v>
      </c>
    </row>
    <row r="275" spans="5:11" ht="12" customHeight="1" x14ac:dyDescent="0.25">
      <c r="E275" t="s">
        <v>41</v>
      </c>
      <c r="F275" t="s">
        <v>649</v>
      </c>
      <c r="G275" s="1">
        <v>44720.600011574075</v>
      </c>
      <c r="H275" t="s">
        <v>650</v>
      </c>
      <c r="I275" s="2" t="s">
        <v>651</v>
      </c>
      <c r="J275" t="str">
        <f>LEFT(Table2[[#This Row],[Folder]],6)</f>
        <v>505845</v>
      </c>
      <c r="K275" t="s">
        <v>100</v>
      </c>
    </row>
    <row r="276" spans="5:11" ht="12" customHeight="1" x14ac:dyDescent="0.25">
      <c r="E276" t="s">
        <v>41</v>
      </c>
      <c r="F276" t="s">
        <v>496</v>
      </c>
      <c r="G276" s="1">
        <v>44720.605682870373</v>
      </c>
      <c r="H276" t="s">
        <v>652</v>
      </c>
      <c r="I276" s="2" t="s">
        <v>294</v>
      </c>
      <c r="J276" t="str">
        <f>LEFT(Table2[[#This Row],[Folder]],6)</f>
        <v>505845</v>
      </c>
      <c r="K276" t="s">
        <v>100</v>
      </c>
    </row>
    <row r="277" spans="5:11" ht="12" customHeight="1" x14ac:dyDescent="0.25">
      <c r="F277" t="s">
        <v>653</v>
      </c>
      <c r="G277" s="1">
        <v>44720.714999999997</v>
      </c>
      <c r="H277" t="s">
        <v>51</v>
      </c>
      <c r="I277" s="2" t="s">
        <v>654</v>
      </c>
      <c r="J277" t="str">
        <f>LEFT(Table2[[#This Row],[Folder]],6)</f>
        <v/>
      </c>
      <c r="K277" t="s">
        <v>100</v>
      </c>
    </row>
    <row r="278" spans="5:11" ht="12" customHeight="1" x14ac:dyDescent="0.25">
      <c r="F278" t="s">
        <v>655</v>
      </c>
      <c r="G278" s="1">
        <v>44720.717210648145</v>
      </c>
      <c r="H278" t="s">
        <v>51</v>
      </c>
      <c r="I278" s="2" t="s">
        <v>576</v>
      </c>
      <c r="J278" t="str">
        <f>LEFT(Table2[[#This Row],[Folder]],6)</f>
        <v/>
      </c>
      <c r="K278" t="s">
        <v>100</v>
      </c>
    </row>
    <row r="279" spans="5:11" ht="12" customHeight="1" x14ac:dyDescent="0.25">
      <c r="F279" t="s">
        <v>656</v>
      </c>
      <c r="G279" s="1">
        <v>44720.717777777776</v>
      </c>
      <c r="H279" t="s">
        <v>51</v>
      </c>
      <c r="I279" s="2" t="s">
        <v>657</v>
      </c>
      <c r="J279" t="str">
        <f>LEFT(Table2[[#This Row],[Folder]],6)</f>
        <v/>
      </c>
      <c r="K279" t="s">
        <v>100</v>
      </c>
    </row>
    <row r="280" spans="5:11" ht="12" customHeight="1" x14ac:dyDescent="0.25">
      <c r="E280" t="s">
        <v>41</v>
      </c>
      <c r="F280" t="s">
        <v>618</v>
      </c>
      <c r="G280" s="1">
        <v>44720.921041666668</v>
      </c>
      <c r="H280" t="s">
        <v>181</v>
      </c>
      <c r="I280" s="2" t="s">
        <v>507</v>
      </c>
      <c r="J280" t="str">
        <f>LEFT(Table2[[#This Row],[Folder]],6)</f>
        <v>505845</v>
      </c>
      <c r="K280" t="s">
        <v>100</v>
      </c>
    </row>
    <row r="281" spans="5:11" ht="12" customHeight="1" x14ac:dyDescent="0.25">
      <c r="E281" t="s">
        <v>41</v>
      </c>
      <c r="F281" t="s">
        <v>624</v>
      </c>
      <c r="G281" s="1">
        <v>44720.933171296296</v>
      </c>
      <c r="H281" t="s">
        <v>70</v>
      </c>
      <c r="I281" s="2" t="s">
        <v>658</v>
      </c>
      <c r="J281" t="str">
        <f>LEFT(Table2[[#This Row],[Folder]],6)</f>
        <v>505845</v>
      </c>
      <c r="K281" t="s">
        <v>100</v>
      </c>
    </row>
    <row r="282" spans="5:11" ht="12" customHeight="1" x14ac:dyDescent="0.25">
      <c r="F282" t="s">
        <v>397</v>
      </c>
      <c r="G282" s="1">
        <v>44721.018703703703</v>
      </c>
      <c r="H282" t="s">
        <v>393</v>
      </c>
      <c r="I282" s="2" t="s">
        <v>398</v>
      </c>
      <c r="J282" t="str">
        <f>LEFT(Table2[[#This Row],[Folder]],6)</f>
        <v/>
      </c>
      <c r="K282" t="s">
        <v>100</v>
      </c>
    </row>
    <row r="283" spans="5:11" ht="12" customHeight="1" x14ac:dyDescent="0.25">
      <c r="F283" t="s">
        <v>659</v>
      </c>
      <c r="G283" s="1">
        <v>44721.136770833335</v>
      </c>
      <c r="H283" t="s">
        <v>660</v>
      </c>
      <c r="I283" s="2" t="s">
        <v>661</v>
      </c>
      <c r="J283" t="str">
        <f>LEFT(Table2[[#This Row],[Folder]],6)</f>
        <v/>
      </c>
      <c r="K283" t="s">
        <v>100</v>
      </c>
    </row>
    <row r="284" spans="5:11" ht="12" customHeight="1" x14ac:dyDescent="0.25">
      <c r="E284" t="s">
        <v>42</v>
      </c>
      <c r="F284" t="s">
        <v>662</v>
      </c>
      <c r="G284" s="1">
        <v>44721.18246527778</v>
      </c>
      <c r="H284" t="s">
        <v>350</v>
      </c>
      <c r="I284" s="2" t="s">
        <v>663</v>
      </c>
      <c r="J284" t="str">
        <f>LEFT(Table2[[#This Row],[Folder]],6)</f>
        <v>505936</v>
      </c>
      <c r="K284" t="s">
        <v>100</v>
      </c>
    </row>
    <row r="285" spans="5:11" ht="12" customHeight="1" x14ac:dyDescent="0.25">
      <c r="E285" t="s">
        <v>41</v>
      </c>
      <c r="F285" t="s">
        <v>627</v>
      </c>
      <c r="G285" s="1">
        <v>44721.273692129631</v>
      </c>
      <c r="H285" t="s">
        <v>356</v>
      </c>
      <c r="I285" s="2" t="s">
        <v>357</v>
      </c>
      <c r="J285" t="str">
        <f>LEFT(Table2[[#This Row],[Folder]],6)</f>
        <v>505845</v>
      </c>
      <c r="K285" t="s">
        <v>100</v>
      </c>
    </row>
    <row r="286" spans="5:11" ht="12" customHeight="1" x14ac:dyDescent="0.25">
      <c r="E286" t="s">
        <v>41</v>
      </c>
      <c r="F286" t="s">
        <v>292</v>
      </c>
      <c r="G286" s="1">
        <v>44721.275787037041</v>
      </c>
      <c r="H286" t="s">
        <v>298</v>
      </c>
      <c r="I286" s="2" t="s">
        <v>294</v>
      </c>
      <c r="J286" t="str">
        <f>LEFT(Table2[[#This Row],[Folder]],6)</f>
        <v>505845</v>
      </c>
      <c r="K286" t="s">
        <v>100</v>
      </c>
    </row>
    <row r="287" spans="5:11" ht="12" customHeight="1" x14ac:dyDescent="0.25">
      <c r="E287" t="s">
        <v>41</v>
      </c>
      <c r="F287" t="s">
        <v>292</v>
      </c>
      <c r="G287" s="1">
        <v>44721.279953703706</v>
      </c>
      <c r="H287" t="s">
        <v>298</v>
      </c>
      <c r="I287" s="2" t="s">
        <v>294</v>
      </c>
      <c r="J287" t="str">
        <f>LEFT(Table2[[#This Row],[Folder]],6)</f>
        <v>505845</v>
      </c>
      <c r="K287" t="s">
        <v>100</v>
      </c>
    </row>
    <row r="288" spans="5:11" ht="12" customHeight="1" x14ac:dyDescent="0.25">
      <c r="F288" t="s">
        <v>83</v>
      </c>
      <c r="G288" s="1">
        <v>44721.282870370371</v>
      </c>
      <c r="H288" t="s">
        <v>84</v>
      </c>
      <c r="I288" s="2" t="s">
        <v>182</v>
      </c>
      <c r="J288" t="str">
        <f>LEFT(Table2[[#This Row],[Folder]],6)</f>
        <v/>
      </c>
      <c r="K288" t="s">
        <v>100</v>
      </c>
    </row>
    <row r="289" spans="5:11" ht="12" customHeight="1" x14ac:dyDescent="0.25">
      <c r="E289" t="s">
        <v>41</v>
      </c>
      <c r="F289" t="s">
        <v>292</v>
      </c>
      <c r="G289" s="1">
        <v>44721.288993055554</v>
      </c>
      <c r="H289" t="s">
        <v>356</v>
      </c>
      <c r="I289" s="2" t="s">
        <v>357</v>
      </c>
      <c r="J289" t="str">
        <f>LEFT(Table2[[#This Row],[Folder]],6)</f>
        <v>505845</v>
      </c>
      <c r="K289" t="s">
        <v>100</v>
      </c>
    </row>
    <row r="290" spans="5:11" ht="12" customHeight="1" x14ac:dyDescent="0.25">
      <c r="E290" t="s">
        <v>42</v>
      </c>
      <c r="F290" t="s">
        <v>664</v>
      </c>
      <c r="G290" s="1">
        <v>44721.358368055553</v>
      </c>
      <c r="H290" t="s">
        <v>506</v>
      </c>
      <c r="I290" s="2" t="s">
        <v>665</v>
      </c>
      <c r="J290" t="str">
        <f>LEFT(Table2[[#This Row],[Folder]],6)</f>
        <v>505936</v>
      </c>
      <c r="K290" t="s">
        <v>100</v>
      </c>
    </row>
    <row r="291" spans="5:11" ht="12" customHeight="1" x14ac:dyDescent="0.25">
      <c r="E291" t="s">
        <v>42</v>
      </c>
      <c r="F291" t="s">
        <v>614</v>
      </c>
      <c r="G291" s="1">
        <v>44721.360752314817</v>
      </c>
      <c r="H291" t="s">
        <v>355</v>
      </c>
      <c r="I291" s="2" t="s">
        <v>183</v>
      </c>
      <c r="J291" t="str">
        <f>LEFT(Table2[[#This Row],[Folder]],6)</f>
        <v>505936</v>
      </c>
      <c r="K291" t="s">
        <v>100</v>
      </c>
    </row>
    <row r="292" spans="5:11" ht="12" customHeight="1" x14ac:dyDescent="0.25">
      <c r="E292" t="s">
        <v>45</v>
      </c>
      <c r="F292" t="s">
        <v>666</v>
      </c>
      <c r="G292" s="1">
        <v>44721.362604166665</v>
      </c>
      <c r="H292" t="s">
        <v>667</v>
      </c>
      <c r="I292" s="2" t="s">
        <v>668</v>
      </c>
      <c r="J292" t="str">
        <f>LEFT(Table2[[#This Row],[Folder]],6)</f>
        <v>505563</v>
      </c>
      <c r="K292" t="s">
        <v>100</v>
      </c>
    </row>
    <row r="293" spans="5:11" ht="12" customHeight="1" x14ac:dyDescent="0.25">
      <c r="E293" t="s">
        <v>42</v>
      </c>
      <c r="F293" t="s">
        <v>669</v>
      </c>
      <c r="G293" s="1">
        <v>44721.362546296295</v>
      </c>
      <c r="H293" t="s">
        <v>350</v>
      </c>
      <c r="I293" s="2" t="s">
        <v>670</v>
      </c>
      <c r="J293" t="str">
        <f>LEFT(Table2[[#This Row],[Folder]],6)</f>
        <v>505936</v>
      </c>
      <c r="K293" t="s">
        <v>100</v>
      </c>
    </row>
    <row r="294" spans="5:11" ht="12" customHeight="1" x14ac:dyDescent="0.25">
      <c r="E294" t="s">
        <v>42</v>
      </c>
      <c r="F294" t="s">
        <v>669</v>
      </c>
      <c r="G294" s="1">
        <v>44721.381608796299</v>
      </c>
      <c r="H294" t="s">
        <v>51</v>
      </c>
      <c r="I294" s="2" t="s">
        <v>671</v>
      </c>
      <c r="J294" t="str">
        <f>LEFT(Table2[[#This Row],[Folder]],6)</f>
        <v>505936</v>
      </c>
      <c r="K294" t="s">
        <v>100</v>
      </c>
    </row>
    <row r="295" spans="5:11" ht="12" customHeight="1" x14ac:dyDescent="0.25">
      <c r="E295" t="s">
        <v>233</v>
      </c>
      <c r="F295" t="s">
        <v>672</v>
      </c>
      <c r="G295" s="1">
        <v>44721.394861111112</v>
      </c>
      <c r="H295" t="s">
        <v>243</v>
      </c>
      <c r="I295" s="2" t="s">
        <v>673</v>
      </c>
      <c r="J295" t="str">
        <f>LEFT(Table2[[#This Row],[Folder]],6)</f>
        <v>505967</v>
      </c>
      <c r="K295" t="s">
        <v>100</v>
      </c>
    </row>
    <row r="296" spans="5:11" ht="12" customHeight="1" x14ac:dyDescent="0.25">
      <c r="E296" t="s">
        <v>45</v>
      </c>
      <c r="F296" t="s">
        <v>674</v>
      </c>
      <c r="G296" s="1">
        <v>44721.395335648151</v>
      </c>
      <c r="H296" t="s">
        <v>446</v>
      </c>
      <c r="I296" s="2" t="s">
        <v>675</v>
      </c>
      <c r="J296" t="str">
        <f>LEFT(Table2[[#This Row],[Folder]],6)</f>
        <v>505563</v>
      </c>
      <c r="K296" t="s">
        <v>100</v>
      </c>
    </row>
    <row r="297" spans="5:11" ht="12" customHeight="1" x14ac:dyDescent="0.25">
      <c r="E297" t="s">
        <v>41</v>
      </c>
      <c r="F297" t="s">
        <v>676</v>
      </c>
      <c r="G297" s="1">
        <v>44721.439699074072</v>
      </c>
      <c r="H297" t="s">
        <v>587</v>
      </c>
      <c r="I297" s="2" t="s">
        <v>677</v>
      </c>
      <c r="J297" t="str">
        <f>LEFT(Table2[[#This Row],[Folder]],6)</f>
        <v>505845</v>
      </c>
      <c r="K297" t="s">
        <v>100</v>
      </c>
    </row>
    <row r="298" spans="5:11" ht="12" customHeight="1" x14ac:dyDescent="0.25">
      <c r="E298" t="s">
        <v>41</v>
      </c>
      <c r="F298" t="s">
        <v>678</v>
      </c>
      <c r="G298" s="1">
        <v>44721.4453587963</v>
      </c>
      <c r="H298" t="s">
        <v>594</v>
      </c>
      <c r="I298" s="2" t="s">
        <v>595</v>
      </c>
      <c r="J298" t="str">
        <f>LEFT(Table2[[#This Row],[Folder]],6)</f>
        <v>505845</v>
      </c>
      <c r="K298" t="s">
        <v>100</v>
      </c>
    </row>
    <row r="299" spans="5:11" ht="12" customHeight="1" x14ac:dyDescent="0.25">
      <c r="E299" t="s">
        <v>41</v>
      </c>
      <c r="F299" t="s">
        <v>679</v>
      </c>
      <c r="G299" s="1">
        <v>44721.446562500001</v>
      </c>
      <c r="H299" t="s">
        <v>587</v>
      </c>
      <c r="I299" s="2" t="s">
        <v>677</v>
      </c>
      <c r="J299" t="str">
        <f>LEFT(Table2[[#This Row],[Folder]],6)</f>
        <v>505845</v>
      </c>
      <c r="K299" t="s">
        <v>100</v>
      </c>
    </row>
    <row r="300" spans="5:11" ht="12" customHeight="1" x14ac:dyDescent="0.25">
      <c r="E300" t="s">
        <v>41</v>
      </c>
      <c r="F300" t="s">
        <v>678</v>
      </c>
      <c r="G300" s="1">
        <v>44721.449675925927</v>
      </c>
      <c r="H300" t="s">
        <v>587</v>
      </c>
      <c r="I300" s="2" t="s">
        <v>680</v>
      </c>
      <c r="J300" t="str">
        <f>LEFT(Table2[[#This Row],[Folder]],6)</f>
        <v>505845</v>
      </c>
      <c r="K300" t="s">
        <v>100</v>
      </c>
    </row>
    <row r="301" spans="5:11" ht="12" customHeight="1" x14ac:dyDescent="0.25">
      <c r="E301" t="s">
        <v>41</v>
      </c>
      <c r="F301" t="s">
        <v>678</v>
      </c>
      <c r="G301" s="1">
        <v>44721.455439814818</v>
      </c>
      <c r="H301" t="s">
        <v>594</v>
      </c>
      <c r="I301" s="2" t="s">
        <v>595</v>
      </c>
      <c r="J301" t="str">
        <f>LEFT(Table2[[#This Row],[Folder]],6)</f>
        <v>505845</v>
      </c>
      <c r="K301" t="s">
        <v>100</v>
      </c>
    </row>
    <row r="302" spans="5:11" ht="12" customHeight="1" x14ac:dyDescent="0.25">
      <c r="E302" t="s">
        <v>41</v>
      </c>
      <c r="F302" t="s">
        <v>678</v>
      </c>
      <c r="G302" s="1">
        <v>44721.457488425927</v>
      </c>
      <c r="H302" t="s">
        <v>587</v>
      </c>
      <c r="I302" s="2" t="s">
        <v>681</v>
      </c>
      <c r="J302" t="str">
        <f>LEFT(Table2[[#This Row],[Folder]],6)</f>
        <v>505845</v>
      </c>
      <c r="K302" t="s">
        <v>100</v>
      </c>
    </row>
    <row r="303" spans="5:11" ht="12" customHeight="1" x14ac:dyDescent="0.25">
      <c r="E303" t="s">
        <v>41</v>
      </c>
      <c r="F303" t="s">
        <v>678</v>
      </c>
      <c r="G303" s="1">
        <v>44721.46266203704</v>
      </c>
      <c r="H303" t="s">
        <v>594</v>
      </c>
      <c r="I303" s="2" t="s">
        <v>595</v>
      </c>
      <c r="J303" t="str">
        <f>LEFT(Table2[[#This Row],[Folder]],6)</f>
        <v>505845</v>
      </c>
      <c r="K303" t="s">
        <v>100</v>
      </c>
    </row>
    <row r="304" spans="5:11" ht="12" customHeight="1" x14ac:dyDescent="0.25">
      <c r="E304" t="s">
        <v>41</v>
      </c>
      <c r="F304" t="s">
        <v>678</v>
      </c>
      <c r="G304" s="1">
        <v>44721.463761574072</v>
      </c>
      <c r="H304" t="s">
        <v>587</v>
      </c>
      <c r="I304" s="2" t="s">
        <v>682</v>
      </c>
      <c r="J304" t="str">
        <f>LEFT(Table2[[#This Row],[Folder]],6)</f>
        <v>505845</v>
      </c>
      <c r="K304" t="s">
        <v>100</v>
      </c>
    </row>
    <row r="305" spans="5:11" ht="12" customHeight="1" x14ac:dyDescent="0.25">
      <c r="E305" t="s">
        <v>41</v>
      </c>
      <c r="F305" t="s">
        <v>678</v>
      </c>
      <c r="G305" s="1">
        <v>44721.465636574074</v>
      </c>
      <c r="H305" t="s">
        <v>594</v>
      </c>
      <c r="I305" s="2" t="s">
        <v>683</v>
      </c>
      <c r="J305" t="str">
        <f>LEFT(Table2[[#This Row],[Folder]],6)</f>
        <v>505845</v>
      </c>
      <c r="K305" t="s">
        <v>100</v>
      </c>
    </row>
    <row r="306" spans="5:11" ht="12" customHeight="1" x14ac:dyDescent="0.25">
      <c r="E306" t="s">
        <v>41</v>
      </c>
      <c r="F306" t="s">
        <v>678</v>
      </c>
      <c r="G306" s="1">
        <v>44721.471250000002</v>
      </c>
      <c r="H306" t="s">
        <v>587</v>
      </c>
      <c r="I306" s="2" t="s">
        <v>684</v>
      </c>
      <c r="J306" t="str">
        <f>LEFT(Table2[[#This Row],[Folder]],6)</f>
        <v>505845</v>
      </c>
      <c r="K306" t="s">
        <v>100</v>
      </c>
    </row>
    <row r="307" spans="5:11" ht="12" customHeight="1" x14ac:dyDescent="0.25">
      <c r="F307" t="s">
        <v>685</v>
      </c>
      <c r="G307" s="1">
        <v>44721.47184027778</v>
      </c>
      <c r="H307" t="s">
        <v>686</v>
      </c>
      <c r="I307" s="2" t="s">
        <v>687</v>
      </c>
      <c r="J307" t="str">
        <f>LEFT(Table2[[#This Row],[Folder]],6)</f>
        <v/>
      </c>
      <c r="K307" t="s">
        <v>100</v>
      </c>
    </row>
    <row r="308" spans="5:11" ht="12" customHeight="1" x14ac:dyDescent="0.25">
      <c r="F308" t="s">
        <v>688</v>
      </c>
      <c r="G308" s="1">
        <v>44721.475231481483</v>
      </c>
      <c r="H308" t="s">
        <v>689</v>
      </c>
      <c r="I308" s="2" t="s">
        <v>184</v>
      </c>
      <c r="J308" t="str">
        <f>LEFT(Table2[[#This Row],[Folder]],6)</f>
        <v/>
      </c>
      <c r="K308" t="s">
        <v>100</v>
      </c>
    </row>
    <row r="309" spans="5:11" ht="12" customHeight="1" x14ac:dyDescent="0.25">
      <c r="E309" t="s">
        <v>92</v>
      </c>
      <c r="F309" t="s">
        <v>690</v>
      </c>
      <c r="G309" s="1">
        <v>44721.478009259263</v>
      </c>
      <c r="H309" t="s">
        <v>691</v>
      </c>
      <c r="I309" s="2" t="s">
        <v>692</v>
      </c>
      <c r="J309" t="str">
        <f>LEFT(Table2[[#This Row],[Folder]],6)</f>
        <v>505453</v>
      </c>
      <c r="K309" t="s">
        <v>100</v>
      </c>
    </row>
    <row r="310" spans="5:11" ht="12" customHeight="1" x14ac:dyDescent="0.25">
      <c r="E310" t="s">
        <v>710</v>
      </c>
      <c r="F310" t="s">
        <v>584</v>
      </c>
      <c r="G310" s="1">
        <v>44721.709363425929</v>
      </c>
      <c r="H310" t="s">
        <v>80</v>
      </c>
      <c r="I310" s="2" t="s">
        <v>183</v>
      </c>
      <c r="J310" t="str">
        <f>LEFT(Table2[[#This Row],[Folder]],6)</f>
        <v>505955</v>
      </c>
      <c r="K310" t="s">
        <v>100</v>
      </c>
    </row>
    <row r="311" spans="5:11" ht="12" customHeight="1" x14ac:dyDescent="0.25">
      <c r="F311" t="s">
        <v>693</v>
      </c>
      <c r="G311" s="1">
        <v>44721.797152777777</v>
      </c>
      <c r="H311" t="s">
        <v>51</v>
      </c>
      <c r="I311" s="2" t="s">
        <v>694</v>
      </c>
      <c r="J311" t="str">
        <f>LEFT(Table2[[#This Row],[Folder]],6)</f>
        <v/>
      </c>
      <c r="K311" t="s">
        <v>100</v>
      </c>
    </row>
    <row r="312" spans="5:11" ht="12" customHeight="1" x14ac:dyDescent="0.25">
      <c r="F312" t="s">
        <v>695</v>
      </c>
      <c r="G312" s="1">
        <v>44721.809270833335</v>
      </c>
      <c r="H312" t="s">
        <v>51</v>
      </c>
      <c r="I312" s="2" t="s">
        <v>696</v>
      </c>
      <c r="J312" t="str">
        <f>LEFT(Table2[[#This Row],[Folder]],6)</f>
        <v/>
      </c>
      <c r="K312" t="s">
        <v>100</v>
      </c>
    </row>
    <row r="313" spans="5:11" ht="12" customHeight="1" x14ac:dyDescent="0.25">
      <c r="F313" t="s">
        <v>697</v>
      </c>
      <c r="G313" s="1">
        <v>44721.810243055559</v>
      </c>
      <c r="H313" t="s">
        <v>51</v>
      </c>
      <c r="I313" s="2" t="s">
        <v>698</v>
      </c>
      <c r="J313" t="str">
        <f>LEFT(Table2[[#This Row],[Folder]],6)</f>
        <v/>
      </c>
      <c r="K313" t="s">
        <v>100</v>
      </c>
    </row>
    <row r="314" spans="5:11" ht="12" customHeight="1" x14ac:dyDescent="0.25">
      <c r="F314" t="s">
        <v>699</v>
      </c>
      <c r="G314" s="1">
        <v>44721.825474537036</v>
      </c>
      <c r="H314" t="s">
        <v>51</v>
      </c>
      <c r="I314" s="2" t="s">
        <v>504</v>
      </c>
      <c r="J314" t="str">
        <f>LEFT(Table2[[#This Row],[Folder]],6)</f>
        <v/>
      </c>
      <c r="K314" t="s">
        <v>100</v>
      </c>
    </row>
    <row r="315" spans="5:11" ht="12" customHeight="1" x14ac:dyDescent="0.25">
      <c r="F315" t="s">
        <v>700</v>
      </c>
      <c r="G315" s="1">
        <v>44721.825682870367</v>
      </c>
      <c r="H315" t="s">
        <v>51</v>
      </c>
      <c r="I315" s="2" t="s">
        <v>701</v>
      </c>
      <c r="J315" t="str">
        <f>LEFT(Table2[[#This Row],[Folder]],6)</f>
        <v/>
      </c>
      <c r="K315" t="s">
        <v>100</v>
      </c>
    </row>
    <row r="316" spans="5:11" ht="12" customHeight="1" x14ac:dyDescent="0.25">
      <c r="F316" t="s">
        <v>702</v>
      </c>
      <c r="G316" s="1">
        <v>44722.08148148148</v>
      </c>
      <c r="H316" t="s">
        <v>599</v>
      </c>
      <c r="I316" s="2" t="s">
        <v>184</v>
      </c>
      <c r="J316" t="str">
        <f>LEFT(Table2[[#This Row],[Folder]],6)</f>
        <v/>
      </c>
      <c r="K316" t="s">
        <v>100</v>
      </c>
    </row>
    <row r="317" spans="5:11" ht="12" customHeight="1" x14ac:dyDescent="0.25">
      <c r="E317" t="s">
        <v>41</v>
      </c>
      <c r="F317" t="s">
        <v>618</v>
      </c>
      <c r="G317" s="1">
        <v>44722.082476851851</v>
      </c>
      <c r="H317" t="s">
        <v>181</v>
      </c>
      <c r="I317" s="2" t="s">
        <v>703</v>
      </c>
      <c r="J317" t="str">
        <f>LEFT(Table2[[#This Row],[Folder]],6)</f>
        <v>505845</v>
      </c>
      <c r="K317" t="s">
        <v>100</v>
      </c>
    </row>
    <row r="318" spans="5:11" ht="12" customHeight="1" x14ac:dyDescent="0.25">
      <c r="E318" t="s">
        <v>41</v>
      </c>
      <c r="F318" t="s">
        <v>618</v>
      </c>
      <c r="G318" s="1">
        <v>44722.086446759262</v>
      </c>
      <c r="H318" t="s">
        <v>181</v>
      </c>
      <c r="I318" s="2" t="s">
        <v>258</v>
      </c>
      <c r="J318" t="str">
        <f>LEFT(Table2[[#This Row],[Folder]],6)</f>
        <v>505845</v>
      </c>
      <c r="K318" t="s">
        <v>100</v>
      </c>
    </row>
    <row r="319" spans="5:11" ht="12" customHeight="1" x14ac:dyDescent="0.25">
      <c r="F319" t="s">
        <v>704</v>
      </c>
      <c r="G319" s="1">
        <v>44722.184872685182</v>
      </c>
      <c r="H319" t="s">
        <v>705</v>
      </c>
      <c r="I319" s="2" t="s">
        <v>706</v>
      </c>
      <c r="J319" t="str">
        <f>LEFT(Table2[[#This Row],[Folder]],6)</f>
        <v/>
      </c>
      <c r="K319" t="s">
        <v>100</v>
      </c>
    </row>
    <row r="320" spans="5:11" ht="12" customHeight="1" x14ac:dyDescent="0.25">
      <c r="F320" t="s">
        <v>83</v>
      </c>
      <c r="G320" s="1">
        <v>44722.2346875</v>
      </c>
      <c r="H320" t="s">
        <v>84</v>
      </c>
      <c r="I320" s="2" t="s">
        <v>182</v>
      </c>
      <c r="J320" t="str">
        <f>LEFT(Table2[[#This Row],[Folder]],6)</f>
        <v/>
      </c>
      <c r="K320" t="s">
        <v>100</v>
      </c>
    </row>
    <row r="321" spans="5:11" ht="12" customHeight="1" x14ac:dyDescent="0.25">
      <c r="E321" t="s">
        <v>710</v>
      </c>
      <c r="F321" t="s">
        <v>584</v>
      </c>
      <c r="G321" s="1">
        <v>44722.394317129627</v>
      </c>
      <c r="H321" t="s">
        <v>80</v>
      </c>
      <c r="I321" s="2" t="s">
        <v>183</v>
      </c>
      <c r="J321" t="str">
        <f>LEFT(Table2[[#This Row],[Folder]],6)</f>
        <v>505955</v>
      </c>
      <c r="K321" t="s">
        <v>100</v>
      </c>
    </row>
    <row r="322" spans="5:11" ht="12" customHeight="1" x14ac:dyDescent="0.25">
      <c r="G322" s="1"/>
      <c r="I322" s="2"/>
      <c r="J322" t="str">
        <f>LEFT(Table2[[#This Row],[Folder]],6)</f>
        <v/>
      </c>
    </row>
    <row r="323" spans="5:11" ht="12" customHeight="1" x14ac:dyDescent="0.25">
      <c r="G323" s="1"/>
      <c r="I323" s="2"/>
      <c r="J323" t="str">
        <f>LEFT(Table2[[#This Row],[Folder]],6)</f>
        <v/>
      </c>
    </row>
    <row r="324" spans="5:11" ht="12" customHeight="1" x14ac:dyDescent="0.25">
      <c r="G324" s="1"/>
      <c r="I324" s="2"/>
      <c r="J324" t="str">
        <f>LEFT(Table2[[#This Row],[Folder]],6)</f>
        <v/>
      </c>
    </row>
    <row r="325" spans="5:11" ht="12" customHeight="1" x14ac:dyDescent="0.25">
      <c r="G325" s="1"/>
      <c r="I325" s="2"/>
      <c r="J325" t="str">
        <f>LEFT(Table2[[#This Row],[Folder]],6)</f>
        <v/>
      </c>
    </row>
    <row r="326" spans="5:11" ht="12" customHeight="1" x14ac:dyDescent="0.25">
      <c r="G326" s="1"/>
      <c r="I326" s="2"/>
      <c r="J326" t="str">
        <f>LEFT(Table2[[#This Row],[Folder]],6)</f>
        <v/>
      </c>
    </row>
    <row r="327" spans="5:11" ht="12" customHeight="1" x14ac:dyDescent="0.25">
      <c r="G327" s="1"/>
      <c r="I327" s="2"/>
      <c r="J327" t="str">
        <f>LEFT(Table2[[#This Row],[Folder]],6)</f>
        <v/>
      </c>
    </row>
    <row r="328" spans="5:11" ht="12" customHeight="1" x14ac:dyDescent="0.25">
      <c r="G328" s="1"/>
      <c r="I328" s="2"/>
      <c r="J328" t="str">
        <f>LEFT(Table2[[#This Row],[Folder]],6)</f>
        <v/>
      </c>
    </row>
    <row r="329" spans="5:11" ht="12" customHeight="1" x14ac:dyDescent="0.25">
      <c r="G329" s="1"/>
      <c r="I329" s="2"/>
      <c r="J329" t="str">
        <f>LEFT(Table2[[#This Row],[Folder]],6)</f>
        <v/>
      </c>
    </row>
    <row r="330" spans="5:11" ht="12" customHeight="1" x14ac:dyDescent="0.25">
      <c r="G330" s="1"/>
      <c r="I330" s="2"/>
      <c r="J330" t="str">
        <f>LEFT(Table2[[#This Row],[Folder]],6)</f>
        <v/>
      </c>
    </row>
    <row r="331" spans="5:11" ht="12" customHeight="1" x14ac:dyDescent="0.25">
      <c r="G331" s="1"/>
      <c r="I331" s="2"/>
      <c r="J331" t="str">
        <f>LEFT(Table2[[#This Row],[Folder]],6)</f>
        <v/>
      </c>
    </row>
    <row r="332" spans="5:11" ht="12" customHeight="1" x14ac:dyDescent="0.25">
      <c r="G332" s="1"/>
      <c r="I332" s="2"/>
      <c r="J332" t="str">
        <f>LEFT(Table2[[#This Row],[Folder]],6)</f>
        <v/>
      </c>
    </row>
    <row r="333" spans="5:11" ht="12" customHeight="1" x14ac:dyDescent="0.25">
      <c r="G333" s="1"/>
      <c r="I333" s="2"/>
      <c r="J333" t="str">
        <f>LEFT(Table2[[#This Row],[Folder]],6)</f>
        <v/>
      </c>
    </row>
    <row r="334" spans="5:11" ht="12" customHeight="1" x14ac:dyDescent="0.25">
      <c r="G334" s="1"/>
      <c r="I334" s="2"/>
      <c r="J334" t="str">
        <f>LEFT(Table2[[#This Row],[Folder]],6)</f>
        <v/>
      </c>
    </row>
    <row r="335" spans="5:11" ht="12" customHeight="1" x14ac:dyDescent="0.25">
      <c r="G335" s="1"/>
      <c r="I335" s="2"/>
      <c r="J335" t="str">
        <f>LEFT(Table2[[#This Row],[Folder]],6)</f>
        <v/>
      </c>
    </row>
    <row r="336" spans="5:11" ht="12" customHeight="1" x14ac:dyDescent="0.25">
      <c r="G336" s="1"/>
      <c r="I336" s="2"/>
      <c r="J336" t="str">
        <f>LEFT(Table2[[#This Row],[Folder]],6)</f>
        <v/>
      </c>
    </row>
    <row r="337" spans="7:10" ht="12" customHeight="1" x14ac:dyDescent="0.25">
      <c r="G337" s="1"/>
      <c r="I337" s="2"/>
      <c r="J337" t="str">
        <f>LEFT(Table2[[#This Row],[Folder]],6)</f>
        <v/>
      </c>
    </row>
    <row r="338" spans="7:10" ht="12" customHeight="1" x14ac:dyDescent="0.25">
      <c r="G338" s="1"/>
      <c r="I338" s="2"/>
      <c r="J338" t="str">
        <f>LEFT(Table2[[#This Row],[Folder]],6)</f>
        <v/>
      </c>
    </row>
    <row r="339" spans="7:10" ht="12" customHeight="1" x14ac:dyDescent="0.25">
      <c r="G339" s="1"/>
      <c r="I339" s="2"/>
      <c r="J339" t="str">
        <f>LEFT(Table2[[#This Row],[Folder]],6)</f>
        <v/>
      </c>
    </row>
    <row r="340" spans="7:10" ht="12" customHeight="1" x14ac:dyDescent="0.25">
      <c r="G340" s="1"/>
      <c r="I340" s="2"/>
      <c r="J340" t="str">
        <f>LEFT(Table2[[#This Row],[Folder]],6)</f>
        <v/>
      </c>
    </row>
    <row r="341" spans="7:10" ht="12" customHeight="1" x14ac:dyDescent="0.25">
      <c r="G341" s="1"/>
      <c r="I341" s="2"/>
      <c r="J341" t="str">
        <f>LEFT(Table2[[#This Row],[Folder]],6)</f>
        <v/>
      </c>
    </row>
    <row r="342" spans="7:10" ht="12" customHeight="1" x14ac:dyDescent="0.25">
      <c r="G342" s="1"/>
      <c r="I342" s="2"/>
      <c r="J342" t="str">
        <f>LEFT(Table2[[#This Row],[Folder]],6)</f>
        <v/>
      </c>
    </row>
    <row r="343" spans="7:10" ht="12" customHeight="1" x14ac:dyDescent="0.25">
      <c r="G343" s="1"/>
      <c r="I343" s="2"/>
      <c r="J343" t="str">
        <f>LEFT(Table2[[#This Row],[Folder]],6)</f>
        <v/>
      </c>
    </row>
    <row r="344" spans="7:10" ht="12" customHeight="1" x14ac:dyDescent="0.25">
      <c r="G344" s="1"/>
      <c r="I344" s="2"/>
      <c r="J344" t="str">
        <f>LEFT(Table2[[#This Row],[Folder]],6)</f>
        <v/>
      </c>
    </row>
    <row r="345" spans="7:10" ht="12" customHeight="1" x14ac:dyDescent="0.25">
      <c r="G345" s="1"/>
      <c r="I345" s="2"/>
      <c r="J345" t="str">
        <f>LEFT(Table2[[#This Row],[Folder]],6)</f>
        <v/>
      </c>
    </row>
    <row r="346" spans="7:10" ht="12" customHeight="1" x14ac:dyDescent="0.25">
      <c r="G346" s="1"/>
      <c r="I346" s="2"/>
      <c r="J346" t="str">
        <f>LEFT(Table2[[#This Row],[Folder]],6)</f>
        <v/>
      </c>
    </row>
    <row r="347" spans="7:10" ht="12" customHeight="1" x14ac:dyDescent="0.25">
      <c r="G347" s="1"/>
      <c r="I347" s="2"/>
      <c r="J347" t="str">
        <f>LEFT(Table2[[#This Row],[Folder]],6)</f>
        <v/>
      </c>
    </row>
    <row r="348" spans="7:10" ht="12" customHeight="1" x14ac:dyDescent="0.25">
      <c r="G348" s="1"/>
      <c r="I348" s="2"/>
      <c r="J348" t="str">
        <f>LEFT(Table2[[#This Row],[Folder]],6)</f>
        <v/>
      </c>
    </row>
    <row r="349" spans="7:10" ht="12" customHeight="1" x14ac:dyDescent="0.25">
      <c r="G349" s="1"/>
      <c r="I349" s="2"/>
      <c r="J349" t="str">
        <f>LEFT(Table2[[#This Row],[Folder]],6)</f>
        <v/>
      </c>
    </row>
    <row r="350" spans="7:10" ht="12" customHeight="1" x14ac:dyDescent="0.25">
      <c r="G350" s="1"/>
      <c r="I350" s="2"/>
      <c r="J350" t="str">
        <f>LEFT(Table2[[#This Row],[Folder]],6)</f>
        <v/>
      </c>
    </row>
    <row r="351" spans="7:10" ht="12" customHeight="1" x14ac:dyDescent="0.25">
      <c r="G351" s="1"/>
      <c r="I351" s="2"/>
      <c r="J351" t="str">
        <f>LEFT(Table2[[#This Row],[Folder]],6)</f>
        <v/>
      </c>
    </row>
    <row r="352" spans="7:10" ht="12" customHeight="1" x14ac:dyDescent="0.25">
      <c r="G352" s="1"/>
      <c r="I352" s="2"/>
      <c r="J352" t="str">
        <f>LEFT(Table2[[#This Row],[Folder]],6)</f>
        <v/>
      </c>
    </row>
    <row r="353" spans="7:10" ht="12" customHeight="1" x14ac:dyDescent="0.25">
      <c r="G353" s="1"/>
      <c r="I353" s="2"/>
      <c r="J353" t="str">
        <f>LEFT(Table2[[#This Row],[Folder]],6)</f>
        <v/>
      </c>
    </row>
    <row r="354" spans="7:10" ht="12" customHeight="1" x14ac:dyDescent="0.25">
      <c r="G354" s="1"/>
      <c r="I354" s="2"/>
      <c r="J354" t="str">
        <f>LEFT(Table2[[#This Row],[Folder]],6)</f>
        <v/>
      </c>
    </row>
    <row r="355" spans="7:10" ht="12" customHeight="1" x14ac:dyDescent="0.25">
      <c r="G355" s="1"/>
      <c r="I355" s="2"/>
      <c r="J355" t="str">
        <f>LEFT(Table2[[#This Row],[Folder]],6)</f>
        <v/>
      </c>
    </row>
    <row r="356" spans="7:10" ht="12" customHeight="1" x14ac:dyDescent="0.25">
      <c r="G356" s="1"/>
      <c r="I356" s="2"/>
      <c r="J356" t="str">
        <f>LEFT(Table2[[#This Row],[Folder]],6)</f>
        <v/>
      </c>
    </row>
    <row r="357" spans="7:10" ht="12" customHeight="1" x14ac:dyDescent="0.25">
      <c r="G357" s="1"/>
      <c r="I357" s="2"/>
      <c r="J357" t="str">
        <f>LEFT(Table2[[#This Row],[Folder]],6)</f>
        <v/>
      </c>
    </row>
    <row r="358" spans="7:10" ht="12" customHeight="1" x14ac:dyDescent="0.25">
      <c r="G358" s="1"/>
      <c r="I358" s="2"/>
      <c r="J358" t="str">
        <f>LEFT(Table2[[#This Row],[Folder]],6)</f>
        <v/>
      </c>
    </row>
    <row r="359" spans="7:10" ht="12" customHeight="1" x14ac:dyDescent="0.25">
      <c r="G359" s="1"/>
      <c r="I359" s="2"/>
      <c r="J359" t="str">
        <f>LEFT(Table2[[#This Row],[Folder]],6)</f>
        <v/>
      </c>
    </row>
    <row r="360" spans="7:10" ht="12" customHeight="1" x14ac:dyDescent="0.25">
      <c r="G360" s="1"/>
      <c r="I360" s="2"/>
      <c r="J360" t="str">
        <f>LEFT(Table2[[#This Row],[Folder]],6)</f>
        <v/>
      </c>
    </row>
    <row r="361" spans="7:10" ht="12" customHeight="1" x14ac:dyDescent="0.25">
      <c r="G361" s="1"/>
      <c r="I361" s="2"/>
      <c r="J361" t="str">
        <f>LEFT(Table2[[#This Row],[Folder]],6)</f>
        <v/>
      </c>
    </row>
    <row r="362" spans="7:10" ht="12" customHeight="1" x14ac:dyDescent="0.25">
      <c r="G362" s="1"/>
      <c r="I362" s="2"/>
      <c r="J362" t="str">
        <f>LEFT(Table2[[#This Row],[Folder]],6)</f>
        <v/>
      </c>
    </row>
    <row r="363" spans="7:10" ht="12" customHeight="1" x14ac:dyDescent="0.25">
      <c r="G363" s="1"/>
      <c r="I363" s="2"/>
      <c r="J363" t="str">
        <f>LEFT(Table2[[#This Row],[Folder]],6)</f>
        <v/>
      </c>
    </row>
    <row r="364" spans="7:10" ht="12" customHeight="1" x14ac:dyDescent="0.25">
      <c r="G364" s="1"/>
      <c r="I364" s="2"/>
      <c r="J364" t="str">
        <f>LEFT(Table2[[#This Row],[Folder]],6)</f>
        <v/>
      </c>
    </row>
    <row r="365" spans="7:10" ht="12" customHeight="1" x14ac:dyDescent="0.25">
      <c r="G365" s="1"/>
      <c r="I365" s="2"/>
      <c r="J365" t="str">
        <f>LEFT(Table2[[#This Row],[Folder]],6)</f>
        <v/>
      </c>
    </row>
    <row r="366" spans="7:10" ht="12" customHeight="1" x14ac:dyDescent="0.25">
      <c r="G366" s="1"/>
      <c r="I366" s="2"/>
      <c r="J366" t="str">
        <f>LEFT(Table2[[#This Row],[Folder]],6)</f>
        <v/>
      </c>
    </row>
    <row r="367" spans="7:10" ht="12" customHeight="1" x14ac:dyDescent="0.25">
      <c r="G367" s="1"/>
      <c r="I367" s="2"/>
      <c r="J367" t="str">
        <f>LEFT(Table2[[#This Row],[Folder]],6)</f>
        <v/>
      </c>
    </row>
    <row r="368" spans="7:10" ht="12" customHeight="1" x14ac:dyDescent="0.25">
      <c r="G368" s="1"/>
      <c r="I368" s="2"/>
      <c r="J368" t="str">
        <f>LEFT(Table2[[#This Row],[Folder]],6)</f>
        <v/>
      </c>
    </row>
    <row r="369" spans="7:10" ht="12" customHeight="1" x14ac:dyDescent="0.25">
      <c r="G369" s="1"/>
      <c r="I369" s="2"/>
      <c r="J369" t="str">
        <f>LEFT(Table2[[#This Row],[Folder]],6)</f>
        <v/>
      </c>
    </row>
    <row r="370" spans="7:10" ht="12" customHeight="1" x14ac:dyDescent="0.25">
      <c r="G370" s="1"/>
      <c r="I370" s="2"/>
      <c r="J370" t="str">
        <f>LEFT(Table2[[#This Row],[Folder]],6)</f>
        <v/>
      </c>
    </row>
    <row r="371" spans="7:10" ht="12" customHeight="1" x14ac:dyDescent="0.25">
      <c r="G371" s="1"/>
      <c r="I371" s="2"/>
      <c r="J371" t="str">
        <f>LEFT(Table2[[#This Row],[Folder]],6)</f>
        <v/>
      </c>
    </row>
    <row r="372" spans="7:10" ht="12" customHeight="1" x14ac:dyDescent="0.25">
      <c r="G372" s="1"/>
      <c r="I372" s="2"/>
      <c r="J372" t="str">
        <f>LEFT(Table2[[#This Row],[Folder]],6)</f>
        <v/>
      </c>
    </row>
    <row r="373" spans="7:10" ht="12" customHeight="1" x14ac:dyDescent="0.25">
      <c r="G373" s="1"/>
      <c r="I373" s="2"/>
      <c r="J373" t="str">
        <f>LEFT(Table2[[#This Row],[Folder]],6)</f>
        <v/>
      </c>
    </row>
    <row r="374" spans="7:10" ht="12" customHeight="1" x14ac:dyDescent="0.25">
      <c r="G374" s="1"/>
      <c r="I374" s="2"/>
      <c r="J374" t="str">
        <f>LEFT(Table2[[#This Row],[Folder]],6)</f>
        <v/>
      </c>
    </row>
    <row r="375" spans="7:10" ht="12" customHeight="1" x14ac:dyDescent="0.25">
      <c r="G375" s="1"/>
      <c r="I375" s="2"/>
      <c r="J375" t="str">
        <f>LEFT(Table2[[#This Row],[Folder]],6)</f>
        <v/>
      </c>
    </row>
    <row r="376" spans="7:10" ht="12" customHeight="1" x14ac:dyDescent="0.25">
      <c r="G376" s="1"/>
      <c r="I376" s="2"/>
      <c r="J376" s="6" t="str">
        <f>LEFT(Table2[[#This Row],[Folder]],6)</f>
        <v/>
      </c>
    </row>
    <row r="377" spans="7:10" ht="12" customHeight="1" x14ac:dyDescent="0.25">
      <c r="G377" s="1"/>
      <c r="I377" s="2"/>
      <c r="J377" s="6" t="str">
        <f>LEFT(Table2[[#This Row],[Folder]],6)</f>
        <v/>
      </c>
    </row>
    <row r="378" spans="7:10" ht="12" customHeight="1" x14ac:dyDescent="0.25">
      <c r="G378" s="1"/>
      <c r="I378" s="2"/>
      <c r="J378" s="6" t="str">
        <f>LEFT(Table2[[#This Row],[Folder]],6)</f>
        <v/>
      </c>
    </row>
    <row r="379" spans="7:10" ht="12" customHeight="1" x14ac:dyDescent="0.25">
      <c r="G379" s="1"/>
      <c r="I379" s="2"/>
      <c r="J379" s="6" t="str">
        <f>LEFT(Table2[[#This Row],[Folder]],6)</f>
        <v/>
      </c>
    </row>
    <row r="380" spans="7:10" ht="12" customHeight="1" x14ac:dyDescent="0.25">
      <c r="G380" s="1"/>
      <c r="I380" s="2"/>
      <c r="J380" s="6" t="str">
        <f>LEFT(Table2[[#This Row],[Folder]],6)</f>
        <v/>
      </c>
    </row>
    <row r="381" spans="7:10" ht="12" customHeight="1" x14ac:dyDescent="0.25">
      <c r="G381" s="1"/>
      <c r="I381" s="2"/>
      <c r="J381" s="6" t="str">
        <f>LEFT(Table2[[#This Row],[Folder]],6)</f>
        <v/>
      </c>
    </row>
    <row r="382" spans="7:10" ht="12" customHeight="1" x14ac:dyDescent="0.25">
      <c r="G382" s="1"/>
      <c r="I382" s="2"/>
      <c r="J382" s="6" t="str">
        <f>LEFT(Table2[[#This Row],[Folder]],6)</f>
        <v/>
      </c>
    </row>
    <row r="383" spans="7:10" ht="12" customHeight="1" x14ac:dyDescent="0.25">
      <c r="G383" s="1"/>
      <c r="I383" s="2"/>
      <c r="J383" s="6" t="str">
        <f>LEFT(Table2[[#This Row],[Folder]],6)</f>
        <v/>
      </c>
    </row>
    <row r="384" spans="7:10" ht="12" customHeight="1" x14ac:dyDescent="0.25">
      <c r="G384" s="1"/>
      <c r="I384" s="2"/>
      <c r="J384" s="6" t="str">
        <f>LEFT(Table2[[#This Row],[Folder]],6)</f>
        <v/>
      </c>
    </row>
    <row r="385" spans="7:10" ht="12" customHeight="1" x14ac:dyDescent="0.25">
      <c r="G385" s="1"/>
      <c r="I385" s="2"/>
      <c r="J385" s="6" t="str">
        <f>LEFT(Table2[[#This Row],[Folder]],6)</f>
        <v/>
      </c>
    </row>
    <row r="386" spans="7:10" ht="12" customHeight="1" x14ac:dyDescent="0.25">
      <c r="G386" s="1"/>
      <c r="I386" s="2"/>
      <c r="J386" s="6" t="str">
        <f>LEFT(Table2[[#This Row],[Folder]],6)</f>
        <v/>
      </c>
    </row>
    <row r="387" spans="7:10" ht="12" customHeight="1" x14ac:dyDescent="0.25">
      <c r="G387" s="1"/>
      <c r="I387" s="2"/>
      <c r="J387" s="6" t="str">
        <f>LEFT(Table2[[#This Row],[Folder]],6)</f>
        <v/>
      </c>
    </row>
    <row r="388" spans="7:10" ht="12" customHeight="1" x14ac:dyDescent="0.25">
      <c r="G388" s="1"/>
      <c r="I388" s="2"/>
      <c r="J388" s="6" t="str">
        <f>LEFT(Table2[[#This Row],[Folder]],6)</f>
        <v/>
      </c>
    </row>
    <row r="389" spans="7:10" ht="12" customHeight="1" x14ac:dyDescent="0.25">
      <c r="G389" s="1"/>
      <c r="I389" s="2"/>
      <c r="J389" s="6" t="str">
        <f>LEFT(Table2[[#This Row],[Folder]],6)</f>
        <v/>
      </c>
    </row>
    <row r="390" spans="7:10" ht="12" customHeight="1" x14ac:dyDescent="0.25">
      <c r="G390" s="1"/>
      <c r="I390" s="2"/>
      <c r="J390" s="6" t="str">
        <f>LEFT(Table2[[#This Row],[Folder]],6)</f>
        <v/>
      </c>
    </row>
    <row r="391" spans="7:10" ht="12" customHeight="1" x14ac:dyDescent="0.25">
      <c r="G391" s="1"/>
      <c r="I391" s="2"/>
      <c r="J391" s="6" t="str">
        <f>LEFT(Table2[[#This Row],[Folder]],6)</f>
        <v/>
      </c>
    </row>
    <row r="392" spans="7:10" ht="12" customHeight="1" x14ac:dyDescent="0.25">
      <c r="G392" s="1"/>
      <c r="I392" s="2"/>
      <c r="J392" s="6" t="str">
        <f>LEFT(Table2[[#This Row],[Folder]],6)</f>
        <v/>
      </c>
    </row>
    <row r="393" spans="7:10" ht="12" customHeight="1" x14ac:dyDescent="0.25">
      <c r="G393" s="1"/>
      <c r="I393" s="2"/>
      <c r="J393" s="6" t="str">
        <f>LEFT(Table2[[#This Row],[Folder]],6)</f>
        <v/>
      </c>
    </row>
    <row r="394" spans="7:10" ht="12" customHeight="1" x14ac:dyDescent="0.25">
      <c r="G394" s="1"/>
      <c r="I394" s="2"/>
      <c r="J394" s="6" t="str">
        <f>LEFT(Table2[[#This Row],[Folder]],6)</f>
        <v/>
      </c>
    </row>
    <row r="395" spans="7:10" ht="12" customHeight="1" x14ac:dyDescent="0.25">
      <c r="G395" s="1"/>
      <c r="I395" s="2"/>
      <c r="J395" s="6" t="str">
        <f>LEFT(Table2[[#This Row],[Folder]],6)</f>
        <v/>
      </c>
    </row>
    <row r="396" spans="7:10" ht="12" customHeight="1" x14ac:dyDescent="0.25">
      <c r="G396" s="1"/>
      <c r="I396" s="2"/>
      <c r="J396" s="6" t="str">
        <f>LEFT(Table2[[#This Row],[Folder]],6)</f>
        <v/>
      </c>
    </row>
    <row r="397" spans="7:10" ht="12" customHeight="1" x14ac:dyDescent="0.25">
      <c r="G397" s="1"/>
      <c r="I397" s="2"/>
      <c r="J397" s="6" t="str">
        <f>LEFT(Table2[[#This Row],[Folder]],6)</f>
        <v/>
      </c>
    </row>
    <row r="398" spans="7:10" ht="12" customHeight="1" x14ac:dyDescent="0.25">
      <c r="G398" s="1"/>
      <c r="I398" s="2"/>
      <c r="J398" s="6" t="str">
        <f>LEFT(Table2[[#This Row],[Folder]],6)</f>
        <v/>
      </c>
    </row>
    <row r="399" spans="7:10" ht="12" customHeight="1" x14ac:dyDescent="0.25">
      <c r="G399" s="1"/>
      <c r="I399" s="2"/>
      <c r="J399" s="6" t="str">
        <f>LEFT(Table2[[#This Row],[Folder]],6)</f>
        <v/>
      </c>
    </row>
    <row r="400" spans="7:10" ht="12" customHeight="1" x14ac:dyDescent="0.25">
      <c r="G400" s="1"/>
      <c r="I400" s="2"/>
      <c r="J400" s="6" t="str">
        <f>LEFT(Table2[[#This Row],[Folder]],6)</f>
        <v/>
      </c>
    </row>
    <row r="401" spans="7:10" ht="12" customHeight="1" x14ac:dyDescent="0.25">
      <c r="G401" s="1"/>
      <c r="I401" s="2"/>
      <c r="J401" s="6" t="str">
        <f>LEFT(Table2[[#This Row],[Folder]],6)</f>
        <v/>
      </c>
    </row>
    <row r="402" spans="7:10" ht="12" customHeight="1" x14ac:dyDescent="0.25">
      <c r="G402" s="1"/>
      <c r="I402" s="2"/>
      <c r="J402" s="6" t="str">
        <f>LEFT(Table2[[#This Row],[Folder]],6)</f>
        <v/>
      </c>
    </row>
    <row r="403" spans="7:10" ht="12" customHeight="1" x14ac:dyDescent="0.25">
      <c r="G403" s="1"/>
      <c r="I403" s="2"/>
      <c r="J403" s="6" t="str">
        <f>LEFT(Table2[[#This Row],[Folder]],6)</f>
        <v/>
      </c>
    </row>
    <row r="404" spans="7:10" ht="12" customHeight="1" x14ac:dyDescent="0.25">
      <c r="G404" s="1"/>
      <c r="I404" s="2"/>
      <c r="J404" s="6" t="str">
        <f>LEFT(Table2[[#This Row],[Folder]],6)</f>
        <v/>
      </c>
    </row>
    <row r="405" spans="7:10" ht="12" customHeight="1" x14ac:dyDescent="0.25">
      <c r="G405" s="1"/>
      <c r="I405" s="2"/>
      <c r="J405" s="6" t="str">
        <f>LEFT(Table2[[#This Row],[Folder]],6)</f>
        <v/>
      </c>
    </row>
    <row r="406" spans="7:10" ht="12" customHeight="1" x14ac:dyDescent="0.25">
      <c r="G406" s="1"/>
      <c r="I406" s="2"/>
      <c r="J406" s="6" t="str">
        <f>LEFT(Table2[[#This Row],[Folder]],6)</f>
        <v/>
      </c>
    </row>
    <row r="407" spans="7:10" ht="12" customHeight="1" x14ac:dyDescent="0.25">
      <c r="G407" s="1"/>
      <c r="I407" s="2"/>
      <c r="J407" s="6" t="str">
        <f>LEFT(Table2[[#This Row],[Folder]],6)</f>
        <v/>
      </c>
    </row>
    <row r="408" spans="7:10" ht="12" customHeight="1" x14ac:dyDescent="0.25">
      <c r="G408" s="1"/>
      <c r="I408" s="2"/>
      <c r="J408" s="6" t="str">
        <f>LEFT(Table2[[#This Row],[Folder]],6)</f>
        <v/>
      </c>
    </row>
    <row r="409" spans="7:10" ht="12" customHeight="1" x14ac:dyDescent="0.25">
      <c r="G409" s="1"/>
      <c r="I409" s="2"/>
      <c r="J409" s="6" t="str">
        <f>LEFT(Table2[[#This Row],[Folder]],6)</f>
        <v/>
      </c>
    </row>
    <row r="410" spans="7:10" ht="12" customHeight="1" x14ac:dyDescent="0.25">
      <c r="G410" s="1"/>
      <c r="I410" s="2"/>
      <c r="J410" s="6" t="str">
        <f>LEFT(Table2[[#This Row],[Folder]],6)</f>
        <v/>
      </c>
    </row>
    <row r="411" spans="7:10" ht="12" customHeight="1" x14ac:dyDescent="0.25">
      <c r="G411" s="1"/>
      <c r="I411" s="2"/>
      <c r="J411" s="6" t="str">
        <f>LEFT(Table2[[#This Row],[Folder]],6)</f>
        <v/>
      </c>
    </row>
    <row r="412" spans="7:10" ht="12" customHeight="1" x14ac:dyDescent="0.25">
      <c r="G412" s="1"/>
      <c r="I412" s="2"/>
      <c r="J412" s="6" t="str">
        <f>LEFT(Table2[[#This Row],[Folder]],6)</f>
        <v/>
      </c>
    </row>
    <row r="413" spans="7:10" ht="12" customHeight="1" x14ac:dyDescent="0.25">
      <c r="G413" s="1"/>
      <c r="I413" s="2"/>
      <c r="J413" s="6" t="str">
        <f>LEFT(Table2[[#This Row],[Folder]],6)</f>
        <v/>
      </c>
    </row>
    <row r="414" spans="7:10" ht="12" customHeight="1" x14ac:dyDescent="0.25">
      <c r="G414" s="1"/>
      <c r="I414" s="2"/>
      <c r="J414" s="6" t="str">
        <f>LEFT(Table2[[#This Row],[Folder]],6)</f>
        <v/>
      </c>
    </row>
    <row r="415" spans="7:10" ht="12" customHeight="1" x14ac:dyDescent="0.25">
      <c r="G415" s="1"/>
      <c r="I415" s="2"/>
      <c r="J415" s="6" t="str">
        <f>LEFT(Table2[[#This Row],[Folder]],6)</f>
        <v/>
      </c>
    </row>
    <row r="416" spans="7:10" ht="12" customHeight="1" x14ac:dyDescent="0.25">
      <c r="G416" s="1"/>
      <c r="I416" s="2"/>
      <c r="J416" s="6" t="str">
        <f>LEFT(Table2[[#This Row],[Folder]],6)</f>
        <v/>
      </c>
    </row>
    <row r="417" spans="7:10" ht="12" customHeight="1" x14ac:dyDescent="0.25">
      <c r="G417" s="1"/>
      <c r="I417" s="2"/>
      <c r="J417" s="6" t="str">
        <f>LEFT(Table2[[#This Row],[Folder]],6)</f>
        <v/>
      </c>
    </row>
    <row r="418" spans="7:10" ht="12" customHeight="1" x14ac:dyDescent="0.25">
      <c r="G418" s="1"/>
      <c r="I418" s="2"/>
      <c r="J418" s="6" t="str">
        <f>LEFT(Table2[[#This Row],[Folder]],6)</f>
        <v/>
      </c>
    </row>
    <row r="419" spans="7:10" ht="12" customHeight="1" x14ac:dyDescent="0.25">
      <c r="G419" s="1"/>
      <c r="I419" s="2"/>
      <c r="J419" s="6" t="str">
        <f>LEFT(Table2[[#This Row],[Folder]],6)</f>
        <v/>
      </c>
    </row>
    <row r="420" spans="7:10" ht="12" customHeight="1" x14ac:dyDescent="0.25">
      <c r="G420" s="1"/>
      <c r="I420" s="2"/>
      <c r="J420" s="6" t="str">
        <f>LEFT(Table2[[#This Row],[Folder]],6)</f>
        <v/>
      </c>
    </row>
    <row r="421" spans="7:10" ht="12" customHeight="1" x14ac:dyDescent="0.25">
      <c r="G421" s="1"/>
      <c r="I421" s="2"/>
      <c r="J421" s="6" t="str">
        <f>LEFT(Table2[[#This Row],[Folder]],6)</f>
        <v/>
      </c>
    </row>
    <row r="422" spans="7:10" ht="12" customHeight="1" x14ac:dyDescent="0.25">
      <c r="G422" s="1"/>
      <c r="I422" s="2"/>
      <c r="J422" s="6" t="str">
        <f>LEFT(Table2[[#This Row],[Folder]],6)</f>
        <v/>
      </c>
    </row>
    <row r="423" spans="7:10" ht="12" customHeight="1" x14ac:dyDescent="0.25">
      <c r="G423" s="1"/>
      <c r="I423" s="2"/>
      <c r="J423" s="6" t="str">
        <f>LEFT(Table2[[#This Row],[Folder]],6)</f>
        <v/>
      </c>
    </row>
    <row r="424" spans="7:10" ht="12" customHeight="1" x14ac:dyDescent="0.25">
      <c r="G424" s="1"/>
      <c r="I424" s="2"/>
      <c r="J424" s="6" t="str">
        <f>LEFT(Table2[[#This Row],[Folder]],6)</f>
        <v/>
      </c>
    </row>
    <row r="425" spans="7:10" ht="12" customHeight="1" x14ac:dyDescent="0.25">
      <c r="G425" s="1"/>
      <c r="I425" s="2"/>
      <c r="J425" s="6" t="str">
        <f>LEFT(Table2[[#This Row],[Folder]],6)</f>
        <v/>
      </c>
    </row>
    <row r="426" spans="7:10" ht="12" customHeight="1" x14ac:dyDescent="0.25">
      <c r="G426" s="1"/>
      <c r="I426" s="2"/>
      <c r="J426" s="6" t="str">
        <f>LEFT(Table2[[#This Row],[Folder]],6)</f>
        <v/>
      </c>
    </row>
    <row r="427" spans="7:10" ht="12" customHeight="1" x14ac:dyDescent="0.25">
      <c r="G427" s="1"/>
      <c r="I427" s="2"/>
      <c r="J427" s="6" t="str">
        <f>LEFT(Table2[[#This Row],[Folder]],6)</f>
        <v/>
      </c>
    </row>
    <row r="428" spans="7:10" ht="12" customHeight="1" x14ac:dyDescent="0.25">
      <c r="G428" s="1"/>
      <c r="I428" s="2"/>
      <c r="J428" s="6" t="str">
        <f>LEFT(Table2[[#This Row],[Folder]],6)</f>
        <v/>
      </c>
    </row>
    <row r="429" spans="7:10" ht="12" customHeight="1" x14ac:dyDescent="0.25">
      <c r="G429" s="1"/>
      <c r="I429" s="2"/>
      <c r="J429" s="6" t="str">
        <f>LEFT(Table2[[#This Row],[Folder]],6)</f>
        <v/>
      </c>
    </row>
    <row r="430" spans="7:10" ht="12" customHeight="1" x14ac:dyDescent="0.25">
      <c r="G430" s="1"/>
      <c r="I430" s="2"/>
      <c r="J430" s="6" t="str">
        <f>LEFT(Table2[[#This Row],[Folder]],6)</f>
        <v/>
      </c>
    </row>
  </sheetData>
  <phoneticPr fontId="2" type="noConversion"/>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5C34D-7642-4000-9EA7-A2A6180F01B1}">
  <sheetPr codeName="Sheet5"/>
  <dimension ref="A3:D8"/>
  <sheetViews>
    <sheetView workbookViewId="0">
      <selection activeCell="B5" sqref="B5"/>
    </sheetView>
  </sheetViews>
  <sheetFormatPr defaultRowHeight="15" x14ac:dyDescent="0.25"/>
  <cols>
    <col min="1" max="1" width="15.7109375" bestFit="1" customWidth="1"/>
    <col min="2" max="2" width="16.28515625" bestFit="1" customWidth="1"/>
    <col min="3" max="3" width="9.7109375" bestFit="1" customWidth="1"/>
    <col min="4" max="7" width="11.28515625" bestFit="1" customWidth="1"/>
    <col min="8" max="14" width="6.85546875" bestFit="1" customWidth="1"/>
    <col min="15" max="15" width="9" bestFit="1" customWidth="1"/>
    <col min="16" max="16" width="11.28515625" bestFit="1" customWidth="1"/>
    <col min="17" max="19" width="6.85546875" bestFit="1" customWidth="1"/>
    <col min="20" max="20" width="9" bestFit="1" customWidth="1"/>
    <col min="21" max="21" width="11.28515625" bestFit="1" customWidth="1"/>
    <col min="22" max="26" width="6.85546875" bestFit="1" customWidth="1"/>
    <col min="27" max="27" width="9" bestFit="1" customWidth="1"/>
    <col min="28" max="28" width="11.28515625" bestFit="1" customWidth="1"/>
  </cols>
  <sheetData>
    <row r="3" spans="1:4" x14ac:dyDescent="0.25">
      <c r="A3" s="4" t="s">
        <v>19</v>
      </c>
      <c r="B3" s="4" t="s">
        <v>50</v>
      </c>
    </row>
    <row r="4" spans="1:4" x14ac:dyDescent="0.25">
      <c r="A4" s="4" t="s">
        <v>17</v>
      </c>
      <c r="B4" s="7">
        <v>44713</v>
      </c>
      <c r="C4" s="7">
        <v>44712</v>
      </c>
      <c r="D4" s="7" t="s">
        <v>18</v>
      </c>
    </row>
    <row r="5" spans="1:4" x14ac:dyDescent="0.25">
      <c r="A5" s="5" t="s">
        <v>45</v>
      </c>
      <c r="B5" s="6">
        <v>1</v>
      </c>
      <c r="C5" s="6"/>
      <c r="D5" s="6">
        <v>1</v>
      </c>
    </row>
    <row r="6" spans="1:4" x14ac:dyDescent="0.25">
      <c r="A6" s="5" t="s">
        <v>41</v>
      </c>
      <c r="B6" s="6"/>
      <c r="C6" s="6">
        <v>1</v>
      </c>
      <c r="D6" s="6">
        <v>1</v>
      </c>
    </row>
    <row r="7" spans="1:4" x14ac:dyDescent="0.25">
      <c r="A7" s="5" t="s">
        <v>42</v>
      </c>
      <c r="B7" s="6"/>
      <c r="C7" s="6">
        <v>1</v>
      </c>
      <c r="D7" s="6">
        <v>1</v>
      </c>
    </row>
    <row r="8" spans="1:4" x14ac:dyDescent="0.25">
      <c r="A8" s="5" t="s">
        <v>18</v>
      </c>
      <c r="B8" s="6">
        <v>1</v>
      </c>
      <c r="C8" s="6">
        <v>2</v>
      </c>
      <c r="D8" s="6">
        <v>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0089C-39BE-4406-8E49-99E87C699D75}">
  <sheetPr codeName="Sheet6"/>
  <dimension ref="A1:I111"/>
  <sheetViews>
    <sheetView workbookViewId="0">
      <selection activeCell="C2" sqref="C2"/>
    </sheetView>
  </sheetViews>
  <sheetFormatPr defaultRowHeight="15" x14ac:dyDescent="0.25"/>
  <cols>
    <col min="1" max="1" width="9.5703125" bestFit="1" customWidth="1"/>
    <col min="2" max="2" width="15.42578125" bestFit="1" customWidth="1"/>
    <col min="3" max="3" width="80.140625" bestFit="1" customWidth="1"/>
    <col min="4" max="4" width="14.7109375" bestFit="1" customWidth="1"/>
    <col min="5" max="5" width="13.85546875" bestFit="1" customWidth="1"/>
    <col min="6" max="6" width="12.28515625" bestFit="1" customWidth="1"/>
    <col min="7" max="7" width="11.42578125" bestFit="1" customWidth="1"/>
    <col min="8" max="8" width="8.42578125" bestFit="1" customWidth="1"/>
    <col min="9" max="9" width="12.42578125" customWidth="1"/>
  </cols>
  <sheetData>
    <row r="1" spans="1:9" x14ac:dyDescent="0.25">
      <c r="A1" t="s">
        <v>39</v>
      </c>
      <c r="B1" t="s">
        <v>20</v>
      </c>
      <c r="C1" t="s">
        <v>14</v>
      </c>
      <c r="D1" t="s">
        <v>21</v>
      </c>
      <c r="E1" t="s">
        <v>22</v>
      </c>
      <c r="F1" t="s">
        <v>23</v>
      </c>
      <c r="G1" t="s">
        <v>24</v>
      </c>
      <c r="H1" t="s">
        <v>25</v>
      </c>
      <c r="I1" t="s">
        <v>26</v>
      </c>
    </row>
    <row r="2" spans="1:9" x14ac:dyDescent="0.25">
      <c r="A2" t="s">
        <v>40</v>
      </c>
      <c r="B2" t="s">
        <v>244</v>
      </c>
      <c r="C2" t="s">
        <v>746</v>
      </c>
      <c r="D2" s="7">
        <v>44713</v>
      </c>
      <c r="E2" s="7">
        <v>44713</v>
      </c>
      <c r="F2" s="8">
        <v>0.625</v>
      </c>
      <c r="G2" s="8">
        <v>0.66666666666666663</v>
      </c>
      <c r="H2" s="9">
        <v>1</v>
      </c>
      <c r="I2" t="s">
        <v>55</v>
      </c>
    </row>
    <row r="3" spans="1:9" x14ac:dyDescent="0.25">
      <c r="A3" t="s">
        <v>40</v>
      </c>
      <c r="B3" t="s">
        <v>244</v>
      </c>
      <c r="C3" t="s">
        <v>747</v>
      </c>
      <c r="D3" s="7">
        <v>44713</v>
      </c>
      <c r="E3" s="7">
        <v>44713</v>
      </c>
      <c r="F3" s="8">
        <v>0.625</v>
      </c>
      <c r="G3" s="8">
        <v>0.64583333333333337</v>
      </c>
      <c r="H3" s="9">
        <v>0.5</v>
      </c>
      <c r="I3" t="s">
        <v>55</v>
      </c>
    </row>
    <row r="4" spans="1:9" x14ac:dyDescent="0.25">
      <c r="A4" t="s">
        <v>40</v>
      </c>
      <c r="B4" t="s">
        <v>244</v>
      </c>
      <c r="C4" t="s">
        <v>748</v>
      </c>
      <c r="D4" s="7">
        <v>44714</v>
      </c>
      <c r="E4" s="7">
        <v>44714</v>
      </c>
      <c r="F4" s="8">
        <v>0.33333333333333331</v>
      </c>
      <c r="G4" s="8">
        <v>0.375</v>
      </c>
      <c r="H4" s="9">
        <v>1</v>
      </c>
      <c r="I4" t="s">
        <v>55</v>
      </c>
    </row>
    <row r="5" spans="1:9" x14ac:dyDescent="0.25">
      <c r="A5" t="s">
        <v>40</v>
      </c>
      <c r="B5" t="s">
        <v>244</v>
      </c>
      <c r="C5" t="s">
        <v>753</v>
      </c>
      <c r="D5" s="7">
        <v>44715</v>
      </c>
      <c r="E5" s="7">
        <v>44715</v>
      </c>
      <c r="F5" s="8">
        <v>0.41666666666666669</v>
      </c>
      <c r="G5" s="8">
        <v>0.4375</v>
      </c>
      <c r="H5" s="9">
        <v>0.5</v>
      </c>
      <c r="I5" t="s">
        <v>55</v>
      </c>
    </row>
    <row r="6" spans="1:9" x14ac:dyDescent="0.25">
      <c r="A6" t="s">
        <v>40</v>
      </c>
      <c r="B6" t="s">
        <v>310</v>
      </c>
      <c r="C6" t="s">
        <v>311</v>
      </c>
      <c r="D6" s="7">
        <v>44708</v>
      </c>
      <c r="E6" s="7">
        <v>44708</v>
      </c>
      <c r="F6" s="8">
        <v>0.44791666666666669</v>
      </c>
      <c r="G6" s="8">
        <v>0.45833333333333331</v>
      </c>
      <c r="H6" s="9">
        <v>0.25</v>
      </c>
    </row>
    <row r="7" spans="1:9" x14ac:dyDescent="0.25">
      <c r="A7" t="s">
        <v>40</v>
      </c>
      <c r="B7" t="s">
        <v>310</v>
      </c>
      <c r="C7" t="s">
        <v>311</v>
      </c>
      <c r="D7" s="7">
        <v>44708</v>
      </c>
      <c r="E7" s="7">
        <v>44708</v>
      </c>
      <c r="F7" s="8">
        <v>0.61458333333333337</v>
      </c>
      <c r="G7" s="8">
        <v>0.625</v>
      </c>
      <c r="H7" s="9">
        <v>0.25</v>
      </c>
    </row>
    <row r="8" spans="1:9" x14ac:dyDescent="0.25">
      <c r="A8" t="s">
        <v>40</v>
      </c>
      <c r="B8" t="s">
        <v>229</v>
      </c>
      <c r="C8" t="s">
        <v>752</v>
      </c>
      <c r="D8" s="7">
        <v>44714</v>
      </c>
      <c r="E8" s="7">
        <v>44714</v>
      </c>
      <c r="F8" s="8">
        <v>0.58333333333333337</v>
      </c>
      <c r="G8" s="8">
        <v>0.66666666666666663</v>
      </c>
      <c r="H8" s="9">
        <v>2</v>
      </c>
    </row>
    <row r="9" spans="1:9" x14ac:dyDescent="0.25">
      <c r="A9" t="s">
        <v>40</v>
      </c>
      <c r="B9" t="s">
        <v>229</v>
      </c>
      <c r="C9" t="s">
        <v>752</v>
      </c>
      <c r="D9" s="7">
        <v>44714</v>
      </c>
      <c r="E9" s="7">
        <v>44714</v>
      </c>
      <c r="F9" s="8">
        <v>0.66666666666666663</v>
      </c>
      <c r="G9" s="8">
        <v>0.70833333333333337</v>
      </c>
      <c r="H9" s="9">
        <v>1</v>
      </c>
    </row>
    <row r="10" spans="1:9" x14ac:dyDescent="0.25">
      <c r="A10" t="s">
        <v>40</v>
      </c>
      <c r="B10" t="s">
        <v>735</v>
      </c>
      <c r="C10" t="s">
        <v>736</v>
      </c>
      <c r="D10" s="7">
        <v>44711</v>
      </c>
      <c r="E10" s="7">
        <v>44712</v>
      </c>
      <c r="F10" s="8">
        <v>0</v>
      </c>
      <c r="G10" s="8">
        <v>0</v>
      </c>
      <c r="H10" s="9">
        <v>24</v>
      </c>
    </row>
    <row r="11" spans="1:9" x14ac:dyDescent="0.25">
      <c r="A11" t="s">
        <v>40</v>
      </c>
      <c r="B11" t="s">
        <v>27</v>
      </c>
      <c r="C11" t="s">
        <v>314</v>
      </c>
      <c r="D11" s="7">
        <v>44708</v>
      </c>
      <c r="E11" s="7">
        <v>44708</v>
      </c>
      <c r="F11" s="8">
        <v>0.45833333333333331</v>
      </c>
      <c r="G11" s="8">
        <v>0.5</v>
      </c>
      <c r="H11" s="9">
        <v>1</v>
      </c>
      <c r="I11" t="s">
        <v>315</v>
      </c>
    </row>
    <row r="12" spans="1:9" x14ac:dyDescent="0.25">
      <c r="A12" t="s">
        <v>40</v>
      </c>
      <c r="B12" t="s">
        <v>27</v>
      </c>
      <c r="C12" s="13">
        <v>4.2361111111111106E-2</v>
      </c>
      <c r="D12" s="7">
        <v>44708</v>
      </c>
      <c r="E12" s="7">
        <v>44708</v>
      </c>
      <c r="F12" s="8">
        <v>0.60416666666666663</v>
      </c>
      <c r="G12" s="8">
        <v>0.625</v>
      </c>
      <c r="H12" s="9">
        <v>0.5</v>
      </c>
      <c r="I12" t="s">
        <v>316</v>
      </c>
    </row>
    <row r="13" spans="1:9" x14ac:dyDescent="0.25">
      <c r="A13" t="s">
        <v>40</v>
      </c>
      <c r="B13" t="s">
        <v>27</v>
      </c>
      <c r="C13" t="s">
        <v>33</v>
      </c>
      <c r="D13" s="7">
        <v>44712</v>
      </c>
      <c r="E13" s="7">
        <v>44712</v>
      </c>
      <c r="F13" s="8">
        <v>0.375</v>
      </c>
      <c r="G13" s="8">
        <v>0.39583333333333331</v>
      </c>
      <c r="H13" s="9">
        <v>0.5</v>
      </c>
      <c r="I13" t="s">
        <v>34</v>
      </c>
    </row>
    <row r="14" spans="1:9" x14ac:dyDescent="0.25">
      <c r="A14" t="s">
        <v>40</v>
      </c>
      <c r="B14" t="s">
        <v>27</v>
      </c>
      <c r="C14" t="s">
        <v>35</v>
      </c>
      <c r="D14" s="7">
        <v>44712</v>
      </c>
      <c r="E14" s="7">
        <v>44712</v>
      </c>
      <c r="F14" s="8">
        <v>0.39583333333333331</v>
      </c>
      <c r="G14" s="8">
        <v>0.41666666666666669</v>
      </c>
      <c r="H14" s="9">
        <v>0.5</v>
      </c>
      <c r="I14" t="s">
        <v>46</v>
      </c>
    </row>
    <row r="15" spans="1:9" x14ac:dyDescent="0.25">
      <c r="A15" t="s">
        <v>42</v>
      </c>
      <c r="B15" t="s">
        <v>27</v>
      </c>
      <c r="C15" t="s">
        <v>59</v>
      </c>
      <c r="D15" s="7">
        <v>44712</v>
      </c>
      <c r="E15" s="7">
        <v>44712</v>
      </c>
      <c r="F15" s="8">
        <v>0.41666666666666669</v>
      </c>
      <c r="G15" s="8">
        <v>0.4375</v>
      </c>
      <c r="H15" s="9">
        <v>0.5</v>
      </c>
      <c r="I15" t="s">
        <v>737</v>
      </c>
    </row>
    <row r="16" spans="1:9" x14ac:dyDescent="0.25">
      <c r="A16" t="s">
        <v>40</v>
      </c>
      <c r="B16" t="s">
        <v>27</v>
      </c>
      <c r="C16" t="s">
        <v>36</v>
      </c>
      <c r="D16" s="7">
        <v>44712</v>
      </c>
      <c r="E16" s="7">
        <v>44712</v>
      </c>
      <c r="F16" s="8">
        <v>0.41666666666666669</v>
      </c>
      <c r="G16" s="8">
        <v>0.45833333333333331</v>
      </c>
      <c r="H16" s="9">
        <v>1</v>
      </c>
      <c r="I16" t="s">
        <v>37</v>
      </c>
    </row>
    <row r="17" spans="1:9" x14ac:dyDescent="0.25">
      <c r="A17" t="s">
        <v>40</v>
      </c>
      <c r="B17" t="s">
        <v>27</v>
      </c>
      <c r="C17" t="s">
        <v>738</v>
      </c>
      <c r="D17" s="7">
        <v>44712</v>
      </c>
      <c r="E17" s="7">
        <v>44712</v>
      </c>
      <c r="F17" s="8">
        <v>0.5</v>
      </c>
      <c r="G17" s="8">
        <v>0.52083333333333337</v>
      </c>
      <c r="H17" s="9">
        <v>0.5</v>
      </c>
      <c r="I17" t="s">
        <v>739</v>
      </c>
    </row>
    <row r="18" spans="1:9" x14ac:dyDescent="0.25">
      <c r="A18" t="s">
        <v>40</v>
      </c>
      <c r="B18" t="s">
        <v>27</v>
      </c>
      <c r="C18" t="s">
        <v>740</v>
      </c>
      <c r="D18" s="7">
        <v>44712</v>
      </c>
      <c r="E18" s="7">
        <v>44712</v>
      </c>
      <c r="F18" s="8">
        <v>0.50694444444444442</v>
      </c>
      <c r="G18" s="8">
        <v>0.54861111111111105</v>
      </c>
      <c r="H18" s="9">
        <v>1</v>
      </c>
      <c r="I18" t="s">
        <v>741</v>
      </c>
    </row>
    <row r="19" spans="1:9" x14ac:dyDescent="0.25">
      <c r="A19" t="s">
        <v>41</v>
      </c>
      <c r="B19" t="s">
        <v>27</v>
      </c>
      <c r="C19" t="s">
        <v>38</v>
      </c>
      <c r="D19" s="7">
        <v>44712</v>
      </c>
      <c r="E19" s="7">
        <v>44712</v>
      </c>
      <c r="F19" s="8">
        <v>0.58333333333333337</v>
      </c>
      <c r="G19" s="8">
        <v>0.60416666666666663</v>
      </c>
      <c r="H19" s="9">
        <v>0.5</v>
      </c>
      <c r="I19" t="s">
        <v>718</v>
      </c>
    </row>
    <row r="20" spans="1:9" x14ac:dyDescent="0.25">
      <c r="A20" t="s">
        <v>40</v>
      </c>
      <c r="B20" t="s">
        <v>27</v>
      </c>
      <c r="C20" t="s">
        <v>742</v>
      </c>
      <c r="D20" s="7">
        <v>44713</v>
      </c>
      <c r="E20" s="7">
        <v>44713</v>
      </c>
      <c r="F20" s="8">
        <v>0.45833333333333331</v>
      </c>
      <c r="G20" s="8">
        <v>0.5</v>
      </c>
      <c r="H20" s="9">
        <v>1</v>
      </c>
      <c r="I20" t="s">
        <v>743</v>
      </c>
    </row>
    <row r="21" spans="1:9" x14ac:dyDescent="0.25">
      <c r="A21" t="s">
        <v>40</v>
      </c>
      <c r="B21" t="s">
        <v>27</v>
      </c>
      <c r="C21" t="s">
        <v>744</v>
      </c>
      <c r="D21" s="7">
        <v>44713</v>
      </c>
      <c r="E21" s="7">
        <v>44713</v>
      </c>
      <c r="F21" s="8">
        <v>0.52083333333333337</v>
      </c>
      <c r="G21" s="8">
        <v>0.54166666666666663</v>
      </c>
      <c r="H21" s="9">
        <v>0.5</v>
      </c>
      <c r="I21" t="s">
        <v>745</v>
      </c>
    </row>
    <row r="22" spans="1:9" x14ac:dyDescent="0.25">
      <c r="A22" t="s">
        <v>40</v>
      </c>
      <c r="B22" t="s">
        <v>27</v>
      </c>
      <c r="C22" t="s">
        <v>740</v>
      </c>
      <c r="D22" s="7">
        <v>44713</v>
      </c>
      <c r="E22" s="7">
        <v>44713</v>
      </c>
      <c r="F22" s="8">
        <v>0.54166666666666663</v>
      </c>
      <c r="G22" s="8">
        <v>0.58333333333333337</v>
      </c>
      <c r="H22" s="9">
        <v>1</v>
      </c>
      <c r="I22" t="s">
        <v>741</v>
      </c>
    </row>
    <row r="23" spans="1:9" x14ac:dyDescent="0.25">
      <c r="A23" t="s">
        <v>45</v>
      </c>
      <c r="B23" t="s">
        <v>27</v>
      </c>
      <c r="C23" s="13" t="s">
        <v>44</v>
      </c>
      <c r="D23" s="7">
        <v>44713</v>
      </c>
      <c r="E23" s="7">
        <v>44713</v>
      </c>
      <c r="F23" s="8">
        <v>0.66666666666666663</v>
      </c>
      <c r="G23" s="8">
        <v>0.6875</v>
      </c>
      <c r="H23" s="9">
        <v>0.5</v>
      </c>
      <c r="I23" t="s">
        <v>32</v>
      </c>
    </row>
    <row r="24" spans="1:9" x14ac:dyDescent="0.25">
      <c r="A24" t="s">
        <v>40</v>
      </c>
      <c r="B24" t="s">
        <v>27</v>
      </c>
      <c r="C24" s="13" t="s">
        <v>749</v>
      </c>
      <c r="D24" s="7">
        <v>44714</v>
      </c>
      <c r="E24" s="7">
        <v>44714</v>
      </c>
      <c r="F24" s="8">
        <v>0.41666666666666669</v>
      </c>
      <c r="G24" s="8">
        <v>0.45833333333333331</v>
      </c>
      <c r="H24" s="9">
        <v>1</v>
      </c>
      <c r="I24" t="s">
        <v>750</v>
      </c>
    </row>
    <row r="25" spans="1:9" x14ac:dyDescent="0.25">
      <c r="A25" t="s">
        <v>40</v>
      </c>
      <c r="B25" t="s">
        <v>27</v>
      </c>
      <c r="C25" t="s">
        <v>754</v>
      </c>
      <c r="D25" s="7">
        <v>44715</v>
      </c>
      <c r="E25" s="7">
        <v>44715</v>
      </c>
      <c r="F25" s="8">
        <v>0.47916666666666669</v>
      </c>
      <c r="G25" s="8">
        <v>0.5</v>
      </c>
      <c r="H25" s="9">
        <v>0.5</v>
      </c>
      <c r="I25" t="s">
        <v>755</v>
      </c>
    </row>
    <row r="26" spans="1:9" x14ac:dyDescent="0.25">
      <c r="A26" t="s">
        <v>40</v>
      </c>
      <c r="B26" t="s">
        <v>27</v>
      </c>
      <c r="C26" t="s">
        <v>756</v>
      </c>
      <c r="D26" s="7">
        <v>44715</v>
      </c>
      <c r="E26" s="7">
        <v>44715</v>
      </c>
      <c r="F26" s="8">
        <v>0.77083333333333337</v>
      </c>
      <c r="G26" s="8">
        <v>0.79166666666666663</v>
      </c>
      <c r="H26" s="9">
        <v>0.5</v>
      </c>
      <c r="I26" t="s">
        <v>757</v>
      </c>
    </row>
    <row r="27" spans="1:9" x14ac:dyDescent="0.25">
      <c r="A27" t="s">
        <v>40</v>
      </c>
      <c r="B27" t="s">
        <v>28</v>
      </c>
      <c r="C27" t="s">
        <v>29</v>
      </c>
      <c r="D27" s="7">
        <v>44713</v>
      </c>
      <c r="E27" s="7">
        <v>44713</v>
      </c>
      <c r="F27" s="8">
        <v>0.47916666666666669</v>
      </c>
      <c r="G27" s="8">
        <v>0.5</v>
      </c>
      <c r="H27" s="9">
        <v>0.5</v>
      </c>
      <c r="I27" t="s">
        <v>333</v>
      </c>
    </row>
    <row r="28" spans="1:9" x14ac:dyDescent="0.25">
      <c r="A28" t="s">
        <v>40</v>
      </c>
      <c r="B28" t="s">
        <v>94</v>
      </c>
      <c r="C28" t="s">
        <v>266</v>
      </c>
      <c r="D28" s="7">
        <v>44714</v>
      </c>
      <c r="E28" s="7">
        <v>44714</v>
      </c>
      <c r="F28" s="8">
        <v>0.45833333333333331</v>
      </c>
      <c r="G28" s="8">
        <v>0.47916666666666669</v>
      </c>
      <c r="H28" s="9">
        <v>0.5</v>
      </c>
      <c r="I28" t="s">
        <v>751</v>
      </c>
    </row>
    <row r="29" spans="1:9" x14ac:dyDescent="0.25">
      <c r="A29" t="s">
        <v>40</v>
      </c>
      <c r="B29" t="s">
        <v>30</v>
      </c>
      <c r="C29" t="s">
        <v>31</v>
      </c>
      <c r="D29" s="7">
        <v>44708</v>
      </c>
      <c r="E29" s="7">
        <v>44708</v>
      </c>
      <c r="F29" s="8">
        <v>0.54166666666666663</v>
      </c>
      <c r="G29" s="8">
        <v>0.58333333333333337</v>
      </c>
      <c r="H29" s="9">
        <v>1</v>
      </c>
    </row>
    <row r="30" spans="1:9" x14ac:dyDescent="0.25">
      <c r="A30" t="s">
        <v>40</v>
      </c>
      <c r="B30" t="s">
        <v>30</v>
      </c>
      <c r="C30" t="s">
        <v>31</v>
      </c>
      <c r="D30" s="7">
        <v>44711</v>
      </c>
      <c r="E30" s="7">
        <v>44711</v>
      </c>
      <c r="F30" s="8">
        <v>0.54166666666666663</v>
      </c>
      <c r="G30" s="8">
        <v>0.58333333333333337</v>
      </c>
      <c r="H30" s="9">
        <v>1</v>
      </c>
    </row>
    <row r="31" spans="1:9" x14ac:dyDescent="0.25">
      <c r="A31" t="s">
        <v>40</v>
      </c>
      <c r="B31" t="s">
        <v>30</v>
      </c>
      <c r="C31" t="s">
        <v>31</v>
      </c>
      <c r="D31" s="7">
        <v>44712</v>
      </c>
      <c r="E31" s="7">
        <v>44712</v>
      </c>
      <c r="F31" s="8">
        <v>0.54166666666666663</v>
      </c>
      <c r="G31" s="8">
        <v>0.58333333333333337</v>
      </c>
      <c r="H31" s="9">
        <v>1</v>
      </c>
    </row>
    <row r="32" spans="1:9" x14ac:dyDescent="0.25">
      <c r="A32" t="s">
        <v>40</v>
      </c>
      <c r="B32" t="s">
        <v>30</v>
      </c>
      <c r="C32" s="13" t="s">
        <v>31</v>
      </c>
      <c r="D32" s="7">
        <v>44713</v>
      </c>
      <c r="E32" s="7">
        <v>44713</v>
      </c>
      <c r="F32" s="8">
        <v>0.54166666666666663</v>
      </c>
      <c r="G32" s="8">
        <v>0.58333333333333337</v>
      </c>
      <c r="H32" s="9">
        <v>1</v>
      </c>
    </row>
    <row r="33" spans="1:8" x14ac:dyDescent="0.25">
      <c r="A33" t="s">
        <v>40</v>
      </c>
      <c r="B33" t="s">
        <v>30</v>
      </c>
      <c r="C33" t="s">
        <v>31</v>
      </c>
      <c r="D33" s="7">
        <v>44714</v>
      </c>
      <c r="E33" s="7">
        <v>44714</v>
      </c>
      <c r="F33" s="8">
        <v>0.54166666666666663</v>
      </c>
      <c r="G33" s="8">
        <v>0.58333333333333337</v>
      </c>
      <c r="H33" s="9">
        <v>1</v>
      </c>
    </row>
    <row r="34" spans="1:8" x14ac:dyDescent="0.25">
      <c r="A34" t="s">
        <v>40</v>
      </c>
      <c r="B34" t="s">
        <v>30</v>
      </c>
      <c r="C34" t="s">
        <v>31</v>
      </c>
      <c r="D34" s="7">
        <v>44715</v>
      </c>
      <c r="E34" s="7">
        <v>44715</v>
      </c>
      <c r="F34" s="8">
        <v>0.54166666666666663</v>
      </c>
      <c r="G34" s="8">
        <v>0.58333333333333337</v>
      </c>
      <c r="H34" s="9">
        <v>1</v>
      </c>
    </row>
    <row r="35" spans="1:8" x14ac:dyDescent="0.25">
      <c r="A35" t="s">
        <v>40</v>
      </c>
      <c r="B35" t="s">
        <v>312</v>
      </c>
      <c r="C35" t="s">
        <v>313</v>
      </c>
      <c r="D35" s="7">
        <v>44708</v>
      </c>
      <c r="E35" s="7">
        <v>44708</v>
      </c>
      <c r="F35" s="8">
        <v>0.6875</v>
      </c>
      <c r="G35" s="8">
        <v>0.70833333333333337</v>
      </c>
      <c r="H35" s="9">
        <v>0.5</v>
      </c>
    </row>
    <row r="36" spans="1:8" x14ac:dyDescent="0.25">
      <c r="D36" s="7"/>
      <c r="E36" s="7"/>
      <c r="F36" s="8"/>
      <c r="G36" s="8"/>
      <c r="H36" s="9"/>
    </row>
    <row r="37" spans="1:8" x14ac:dyDescent="0.25">
      <c r="D37" s="7"/>
      <c r="E37" s="7"/>
      <c r="F37" s="8"/>
      <c r="G37" s="8"/>
      <c r="H37" s="9"/>
    </row>
    <row r="38" spans="1:8" x14ac:dyDescent="0.25">
      <c r="D38" s="7"/>
      <c r="E38" s="7"/>
      <c r="F38" s="8"/>
      <c r="G38" s="8"/>
      <c r="H38" s="9"/>
    </row>
    <row r="39" spans="1:8" x14ac:dyDescent="0.25">
      <c r="D39" s="7"/>
      <c r="E39" s="7"/>
      <c r="F39" s="8"/>
      <c r="G39" s="8"/>
      <c r="H39" s="9"/>
    </row>
    <row r="40" spans="1:8" x14ac:dyDescent="0.25">
      <c r="D40" s="7"/>
      <c r="E40" s="7"/>
      <c r="F40" s="8"/>
      <c r="G40" s="8"/>
      <c r="H40" s="9"/>
    </row>
    <row r="41" spans="1:8" x14ac:dyDescent="0.25">
      <c r="D41" s="7"/>
      <c r="E41" s="7"/>
      <c r="F41" s="8"/>
      <c r="G41" s="8"/>
      <c r="H41" s="9"/>
    </row>
    <row r="42" spans="1:8" x14ac:dyDescent="0.25">
      <c r="D42" s="7"/>
      <c r="E42" s="7"/>
      <c r="F42" s="8"/>
      <c r="G42" s="8"/>
      <c r="H42" s="9"/>
    </row>
    <row r="43" spans="1:8" x14ac:dyDescent="0.25">
      <c r="D43" s="7"/>
      <c r="E43" s="7"/>
      <c r="F43" s="8"/>
      <c r="G43" s="8"/>
      <c r="H43" s="9"/>
    </row>
    <row r="44" spans="1:8" x14ac:dyDescent="0.25">
      <c r="D44" s="7"/>
      <c r="E44" s="7"/>
      <c r="F44" s="8"/>
      <c r="G44" s="8"/>
      <c r="H44" s="9"/>
    </row>
    <row r="45" spans="1:8" x14ac:dyDescent="0.25">
      <c r="D45" s="7"/>
      <c r="E45" s="7"/>
      <c r="F45" s="8"/>
      <c r="G45" s="8"/>
      <c r="H45" s="9"/>
    </row>
    <row r="46" spans="1:8" x14ac:dyDescent="0.25">
      <c r="D46" s="7"/>
      <c r="E46" s="7"/>
      <c r="F46" s="8"/>
      <c r="G46" s="8"/>
      <c r="H46" s="9"/>
    </row>
    <row r="47" spans="1:8" x14ac:dyDescent="0.25">
      <c r="D47" s="7"/>
      <c r="E47" s="7"/>
      <c r="F47" s="8"/>
      <c r="G47" s="8"/>
      <c r="H47" s="9"/>
    </row>
    <row r="48" spans="1:8" x14ac:dyDescent="0.25">
      <c r="D48" s="7"/>
      <c r="E48" s="7"/>
      <c r="F48" s="8"/>
      <c r="G48" s="8"/>
      <c r="H48" s="9"/>
    </row>
    <row r="49" spans="4:8" x14ac:dyDescent="0.25">
      <c r="D49" s="7"/>
      <c r="E49" s="7"/>
      <c r="F49" s="8"/>
      <c r="G49" s="8"/>
      <c r="H49" s="9"/>
    </row>
    <row r="50" spans="4:8" x14ac:dyDescent="0.25">
      <c r="D50" s="7"/>
      <c r="E50" s="7"/>
      <c r="F50" s="8"/>
      <c r="G50" s="8"/>
      <c r="H50" s="9"/>
    </row>
    <row r="51" spans="4:8" x14ac:dyDescent="0.25">
      <c r="D51" s="7"/>
      <c r="E51" s="7"/>
      <c r="F51" s="8"/>
      <c r="G51" s="8"/>
      <c r="H51" s="9"/>
    </row>
    <row r="52" spans="4:8" x14ac:dyDescent="0.25">
      <c r="D52" s="7"/>
      <c r="E52" s="7"/>
      <c r="F52" s="8"/>
      <c r="G52" s="8"/>
      <c r="H52" s="9"/>
    </row>
    <row r="53" spans="4:8" x14ac:dyDescent="0.25">
      <c r="D53" s="7"/>
      <c r="E53" s="7"/>
      <c r="F53" s="8"/>
      <c r="G53" s="8"/>
      <c r="H53" s="9"/>
    </row>
    <row r="54" spans="4:8" x14ac:dyDescent="0.25">
      <c r="D54" s="7"/>
      <c r="E54" s="7"/>
      <c r="F54" s="8"/>
      <c r="G54" s="8"/>
      <c r="H54" s="9"/>
    </row>
    <row r="55" spans="4:8" x14ac:dyDescent="0.25">
      <c r="D55" s="7"/>
      <c r="E55" s="7"/>
      <c r="F55" s="8"/>
      <c r="G55" s="8"/>
      <c r="H55" s="9"/>
    </row>
    <row r="56" spans="4:8" x14ac:dyDescent="0.25">
      <c r="D56" s="7"/>
      <c r="E56" s="7"/>
      <c r="F56" s="8"/>
      <c r="G56" s="8"/>
      <c r="H56" s="9"/>
    </row>
    <row r="57" spans="4:8" x14ac:dyDescent="0.25">
      <c r="D57" s="7"/>
      <c r="E57" s="7"/>
      <c r="F57" s="8"/>
      <c r="G57" s="8"/>
      <c r="H57" s="9"/>
    </row>
    <row r="58" spans="4:8" x14ac:dyDescent="0.25">
      <c r="D58" s="7"/>
      <c r="E58" s="7"/>
      <c r="F58" s="8"/>
      <c r="G58" s="8"/>
      <c r="H58" s="9"/>
    </row>
    <row r="59" spans="4:8" x14ac:dyDescent="0.25">
      <c r="D59" s="7"/>
      <c r="E59" s="7"/>
      <c r="F59" s="8"/>
      <c r="G59" s="8"/>
      <c r="H59" s="9"/>
    </row>
    <row r="60" spans="4:8" x14ac:dyDescent="0.25">
      <c r="D60" s="7"/>
      <c r="E60" s="7"/>
      <c r="F60" s="8"/>
      <c r="G60" s="8"/>
      <c r="H60" s="9"/>
    </row>
    <row r="61" spans="4:8" x14ac:dyDescent="0.25">
      <c r="D61" s="7"/>
      <c r="E61" s="7"/>
      <c r="F61" s="8"/>
      <c r="G61" s="8"/>
      <c r="H61" s="9"/>
    </row>
    <row r="62" spans="4:8" x14ac:dyDescent="0.25">
      <c r="D62" s="7"/>
      <c r="E62" s="7"/>
      <c r="F62" s="8"/>
      <c r="G62" s="8"/>
      <c r="H62" s="9"/>
    </row>
    <row r="63" spans="4:8" x14ac:dyDescent="0.25">
      <c r="D63" s="7"/>
      <c r="E63" s="7"/>
      <c r="F63" s="8"/>
      <c r="G63" s="8"/>
      <c r="H63" s="9"/>
    </row>
    <row r="64" spans="4:8" x14ac:dyDescent="0.25">
      <c r="D64" s="7"/>
      <c r="E64" s="7"/>
      <c r="F64" s="8"/>
      <c r="G64" s="8"/>
      <c r="H64" s="9"/>
    </row>
    <row r="65" spans="4:8" x14ac:dyDescent="0.25">
      <c r="D65" s="7"/>
      <c r="E65" s="7"/>
      <c r="F65" s="8"/>
      <c r="G65" s="8"/>
      <c r="H65" s="9"/>
    </row>
    <row r="66" spans="4:8" x14ac:dyDescent="0.25">
      <c r="D66" s="7"/>
      <c r="E66" s="7"/>
      <c r="F66" s="8"/>
      <c r="G66" s="8"/>
      <c r="H66" s="9"/>
    </row>
    <row r="67" spans="4:8" x14ac:dyDescent="0.25">
      <c r="D67" s="7"/>
      <c r="E67" s="7"/>
      <c r="F67" s="8"/>
      <c r="G67" s="8"/>
      <c r="H67" s="9"/>
    </row>
    <row r="68" spans="4:8" x14ac:dyDescent="0.25">
      <c r="D68" s="7"/>
      <c r="E68" s="7"/>
      <c r="F68" s="8"/>
      <c r="G68" s="8"/>
      <c r="H68" s="9"/>
    </row>
    <row r="69" spans="4:8" x14ac:dyDescent="0.25">
      <c r="D69" s="7"/>
      <c r="E69" s="7"/>
      <c r="F69" s="8"/>
      <c r="G69" s="8"/>
      <c r="H69" s="9"/>
    </row>
    <row r="70" spans="4:8" x14ac:dyDescent="0.25">
      <c r="D70" s="7"/>
      <c r="E70" s="7"/>
      <c r="F70" s="8"/>
      <c r="G70" s="8"/>
      <c r="H70" s="9"/>
    </row>
    <row r="71" spans="4:8" x14ac:dyDescent="0.25">
      <c r="D71" s="7"/>
      <c r="E71" s="7"/>
      <c r="F71" s="8"/>
      <c r="G71" s="8"/>
      <c r="H71" s="9"/>
    </row>
    <row r="72" spans="4:8" x14ac:dyDescent="0.25">
      <c r="D72" s="7"/>
      <c r="E72" s="7"/>
      <c r="F72" s="8"/>
      <c r="G72" s="8"/>
      <c r="H72" s="9"/>
    </row>
    <row r="73" spans="4:8" x14ac:dyDescent="0.25">
      <c r="D73" s="7"/>
      <c r="E73" s="7"/>
      <c r="F73" s="8"/>
      <c r="G73" s="8"/>
      <c r="H73" s="9"/>
    </row>
    <row r="74" spans="4:8" x14ac:dyDescent="0.25">
      <c r="D74" s="7"/>
      <c r="E74" s="7"/>
      <c r="F74" s="8"/>
      <c r="G74" s="8"/>
      <c r="H74" s="9"/>
    </row>
    <row r="75" spans="4:8" x14ac:dyDescent="0.25">
      <c r="D75" s="7"/>
      <c r="E75" s="7"/>
      <c r="F75" s="8"/>
      <c r="G75" s="8"/>
      <c r="H75" s="9"/>
    </row>
    <row r="76" spans="4:8" x14ac:dyDescent="0.25">
      <c r="D76" s="7"/>
      <c r="E76" s="7"/>
      <c r="F76" s="8"/>
      <c r="G76" s="8"/>
      <c r="H76" s="9"/>
    </row>
    <row r="77" spans="4:8" x14ac:dyDescent="0.25">
      <c r="D77" s="7"/>
      <c r="E77" s="7"/>
      <c r="F77" s="8"/>
      <c r="G77" s="8"/>
      <c r="H77" s="9"/>
    </row>
    <row r="78" spans="4:8" x14ac:dyDescent="0.25">
      <c r="D78" s="7"/>
      <c r="E78" s="7"/>
      <c r="F78" s="8"/>
      <c r="G78" s="8"/>
      <c r="H78" s="9"/>
    </row>
    <row r="79" spans="4:8" x14ac:dyDescent="0.25">
      <c r="D79" s="7"/>
      <c r="E79" s="7"/>
      <c r="F79" s="8"/>
      <c r="G79" s="8"/>
      <c r="H79" s="9"/>
    </row>
    <row r="80" spans="4:8" x14ac:dyDescent="0.25">
      <c r="D80" s="7"/>
      <c r="E80" s="7"/>
      <c r="F80" s="8"/>
      <c r="G80" s="8"/>
      <c r="H80" s="9"/>
    </row>
    <row r="81" spans="4:8" x14ac:dyDescent="0.25">
      <c r="D81" s="7"/>
      <c r="E81" s="7"/>
      <c r="F81" s="8"/>
      <c r="G81" s="8"/>
      <c r="H81" s="9"/>
    </row>
    <row r="82" spans="4:8" x14ac:dyDescent="0.25">
      <c r="D82" s="7"/>
      <c r="E82" s="7"/>
      <c r="F82" s="8"/>
      <c r="G82" s="8"/>
      <c r="H82" s="9"/>
    </row>
    <row r="83" spans="4:8" x14ac:dyDescent="0.25">
      <c r="D83" s="7"/>
      <c r="E83" s="7"/>
      <c r="F83" s="8"/>
      <c r="G83" s="8"/>
      <c r="H83" s="9"/>
    </row>
    <row r="84" spans="4:8" x14ac:dyDescent="0.25">
      <c r="D84" s="7"/>
      <c r="E84" s="7"/>
      <c r="F84" s="8"/>
      <c r="G84" s="8"/>
      <c r="H84" s="9"/>
    </row>
    <row r="85" spans="4:8" x14ac:dyDescent="0.25">
      <c r="D85" s="7"/>
      <c r="E85" s="7"/>
      <c r="F85" s="8"/>
      <c r="G85" s="8"/>
      <c r="H85" s="9"/>
    </row>
    <row r="86" spans="4:8" x14ac:dyDescent="0.25">
      <c r="D86" s="7"/>
      <c r="E86" s="7"/>
      <c r="F86" s="8"/>
      <c r="G86" s="8"/>
      <c r="H86" s="9"/>
    </row>
    <row r="87" spans="4:8" x14ac:dyDescent="0.25">
      <c r="D87" s="7"/>
      <c r="E87" s="7"/>
      <c r="F87" s="8"/>
      <c r="G87" s="8"/>
      <c r="H87" s="9"/>
    </row>
    <row r="88" spans="4:8" x14ac:dyDescent="0.25">
      <c r="D88" s="7"/>
      <c r="E88" s="7"/>
      <c r="F88" s="8"/>
      <c r="G88" s="8"/>
      <c r="H88" s="9"/>
    </row>
    <row r="89" spans="4:8" x14ac:dyDescent="0.25">
      <c r="D89" s="7"/>
      <c r="E89" s="7"/>
      <c r="F89" s="8"/>
      <c r="G89" s="8"/>
      <c r="H89" s="9"/>
    </row>
    <row r="90" spans="4:8" x14ac:dyDescent="0.25">
      <c r="D90" s="7"/>
      <c r="E90" s="7"/>
      <c r="F90" s="8"/>
      <c r="G90" s="8"/>
      <c r="H90" s="9"/>
    </row>
    <row r="91" spans="4:8" x14ac:dyDescent="0.25">
      <c r="D91" s="7"/>
      <c r="E91" s="7"/>
      <c r="F91" s="8"/>
      <c r="G91" s="8"/>
      <c r="H91" s="9"/>
    </row>
    <row r="92" spans="4:8" x14ac:dyDescent="0.25">
      <c r="D92" s="7"/>
      <c r="E92" s="7"/>
      <c r="F92" s="8"/>
      <c r="G92" s="8"/>
      <c r="H92" s="9"/>
    </row>
    <row r="93" spans="4:8" x14ac:dyDescent="0.25">
      <c r="D93" s="7"/>
      <c r="E93" s="7"/>
      <c r="F93" s="8"/>
      <c r="G93" s="8"/>
      <c r="H93" s="9"/>
    </row>
    <row r="94" spans="4:8" x14ac:dyDescent="0.25">
      <c r="D94" s="7"/>
      <c r="E94" s="7"/>
      <c r="F94" s="8"/>
      <c r="G94" s="8"/>
      <c r="H94" s="9"/>
    </row>
    <row r="95" spans="4:8" x14ac:dyDescent="0.25">
      <c r="D95" s="7"/>
      <c r="E95" s="7"/>
      <c r="F95" s="8"/>
      <c r="G95" s="8"/>
      <c r="H95" s="9"/>
    </row>
    <row r="96" spans="4:8" x14ac:dyDescent="0.25">
      <c r="D96" s="7"/>
      <c r="E96" s="7"/>
      <c r="F96" s="8"/>
      <c r="G96" s="8"/>
      <c r="H96" s="9"/>
    </row>
    <row r="97" spans="4:8" x14ac:dyDescent="0.25">
      <c r="D97" s="7"/>
      <c r="E97" s="7"/>
      <c r="F97" s="8"/>
      <c r="G97" s="8"/>
      <c r="H97" s="9"/>
    </row>
    <row r="98" spans="4:8" x14ac:dyDescent="0.25">
      <c r="D98" s="7"/>
      <c r="E98" s="7"/>
      <c r="F98" s="8"/>
      <c r="G98" s="8"/>
      <c r="H98" s="9"/>
    </row>
    <row r="99" spans="4:8" x14ac:dyDescent="0.25">
      <c r="D99" s="7"/>
      <c r="E99" s="7"/>
      <c r="F99" s="8"/>
      <c r="G99" s="8"/>
      <c r="H99" s="9"/>
    </row>
    <row r="100" spans="4:8" x14ac:dyDescent="0.25">
      <c r="D100" s="7"/>
      <c r="E100" s="7"/>
      <c r="F100" s="8"/>
      <c r="G100" s="8"/>
      <c r="H100" s="9"/>
    </row>
    <row r="101" spans="4:8" x14ac:dyDescent="0.25">
      <c r="D101" s="7"/>
      <c r="E101" s="7"/>
      <c r="F101" s="8"/>
      <c r="G101" s="8"/>
      <c r="H101" s="9"/>
    </row>
    <row r="102" spans="4:8" x14ac:dyDescent="0.25">
      <c r="D102" s="7"/>
      <c r="E102" s="7"/>
      <c r="F102" s="8"/>
      <c r="G102" s="8"/>
      <c r="H102" s="9"/>
    </row>
    <row r="103" spans="4:8" x14ac:dyDescent="0.25">
      <c r="D103" s="7"/>
      <c r="E103" s="7"/>
      <c r="F103" s="8"/>
      <c r="G103" s="8"/>
      <c r="H103" s="9"/>
    </row>
    <row r="104" spans="4:8" x14ac:dyDescent="0.25">
      <c r="D104" s="7"/>
      <c r="E104" s="7"/>
      <c r="F104" s="8"/>
      <c r="G104" s="8"/>
      <c r="H104" s="9"/>
    </row>
    <row r="105" spans="4:8" x14ac:dyDescent="0.25">
      <c r="D105" s="7"/>
      <c r="E105" s="7"/>
      <c r="F105" s="8"/>
      <c r="G105" s="8"/>
      <c r="H105" s="9"/>
    </row>
    <row r="106" spans="4:8" x14ac:dyDescent="0.25">
      <c r="D106" s="7"/>
      <c r="E106" s="7"/>
      <c r="F106" s="8"/>
      <c r="G106" s="8"/>
      <c r="H106" s="9"/>
    </row>
    <row r="107" spans="4:8" x14ac:dyDescent="0.25">
      <c r="D107" s="7"/>
      <c r="E107" s="7"/>
      <c r="F107" s="8"/>
      <c r="G107" s="8"/>
      <c r="H107" s="9"/>
    </row>
    <row r="108" spans="4:8" x14ac:dyDescent="0.25">
      <c r="D108" s="7"/>
      <c r="E108" s="7"/>
      <c r="F108" s="8"/>
      <c r="G108" s="8"/>
      <c r="H108" s="9"/>
    </row>
    <row r="109" spans="4:8" x14ac:dyDescent="0.25">
      <c r="D109" s="7"/>
      <c r="E109" s="7"/>
      <c r="F109" s="8"/>
      <c r="G109" s="8"/>
      <c r="H109" s="9"/>
    </row>
    <row r="110" spans="4:8" x14ac:dyDescent="0.25">
      <c r="D110" s="7"/>
      <c r="E110" s="7"/>
      <c r="F110" s="8"/>
      <c r="G110" s="8"/>
      <c r="H110" s="9"/>
    </row>
    <row r="111" spans="4:8" x14ac:dyDescent="0.25">
      <c r="G111" s="8">
        <f>SUM(G2:G110)</f>
        <v>18.340277777777775</v>
      </c>
    </row>
  </sheetData>
  <sortState xmlns:xlrd2="http://schemas.microsoft.com/office/spreadsheetml/2017/richdata2" ref="A2:I110">
    <sortCondition ref="B2"/>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F3056-C599-4379-A1EC-8C9FAED984EF}">
  <sheetPr codeName="Sheet7"/>
  <dimension ref="A3:K13"/>
  <sheetViews>
    <sheetView workbookViewId="0">
      <selection activeCell="A5" sqref="A5"/>
    </sheetView>
  </sheetViews>
  <sheetFormatPr defaultRowHeight="15" x14ac:dyDescent="0.25"/>
  <cols>
    <col min="1" max="1" width="15.7109375" bestFit="1" customWidth="1"/>
    <col min="2" max="2" width="16.28515625" bestFit="1" customWidth="1"/>
    <col min="3" max="3" width="9.7109375" bestFit="1" customWidth="1"/>
    <col min="4" max="10" width="8.7109375" bestFit="1" customWidth="1"/>
    <col min="11" max="11" width="11.28515625" bestFit="1" customWidth="1"/>
    <col min="12" max="18" width="8.7109375" bestFit="1" customWidth="1"/>
    <col min="19" max="19" width="11.28515625" bestFit="1" customWidth="1"/>
    <col min="20" max="20" width="9.7109375" bestFit="1" customWidth="1"/>
    <col min="21" max="21" width="8.7109375" bestFit="1" customWidth="1"/>
    <col min="22" max="26" width="9.7109375" bestFit="1" customWidth="1"/>
    <col min="27" max="27" width="8.7109375" bestFit="1" customWidth="1"/>
    <col min="28" max="28" width="9.7109375" bestFit="1" customWidth="1"/>
    <col min="29" max="30" width="8.7109375" bestFit="1" customWidth="1"/>
    <col min="31" max="31" width="9.7109375" bestFit="1" customWidth="1"/>
    <col min="32" max="32" width="8.7109375" bestFit="1" customWidth="1"/>
    <col min="33" max="33" width="9.7109375" bestFit="1" customWidth="1"/>
    <col min="34" max="34" width="8.7109375" bestFit="1" customWidth="1"/>
    <col min="35" max="37" width="9.7109375" bestFit="1" customWidth="1"/>
    <col min="38" max="38" width="8.7109375" bestFit="1" customWidth="1"/>
    <col min="39" max="43" width="9.7109375" bestFit="1" customWidth="1"/>
    <col min="44" max="45" width="8.7109375" bestFit="1" customWidth="1"/>
    <col min="46" max="50" width="9.7109375" bestFit="1" customWidth="1"/>
    <col min="51" max="51" width="8.7109375" bestFit="1" customWidth="1"/>
    <col min="52" max="52" width="7.28515625" bestFit="1" customWidth="1"/>
    <col min="53" max="56" width="9.7109375" bestFit="1" customWidth="1"/>
    <col min="57" max="57" width="11.28515625" bestFit="1" customWidth="1"/>
    <col min="58" max="58" width="9.85546875" bestFit="1" customWidth="1"/>
    <col min="59" max="59" width="11.28515625" bestFit="1" customWidth="1"/>
    <col min="60" max="60" width="13.7109375" bestFit="1" customWidth="1"/>
    <col min="61" max="61" width="11.5703125" bestFit="1" customWidth="1"/>
    <col min="62" max="62" width="9.7109375" bestFit="1" customWidth="1"/>
    <col min="63" max="63" width="9.85546875" bestFit="1" customWidth="1"/>
    <col min="64" max="64" width="14.7109375" bestFit="1" customWidth="1"/>
    <col min="65" max="65" width="10.5703125" bestFit="1" customWidth="1"/>
    <col min="66" max="66" width="9.7109375" bestFit="1" customWidth="1"/>
    <col min="67" max="67" width="9.85546875" bestFit="1" customWidth="1"/>
    <col min="68" max="68" width="6.85546875" bestFit="1" customWidth="1"/>
    <col min="69" max="69" width="9.7109375" bestFit="1" customWidth="1"/>
    <col min="70" max="70" width="9.85546875" bestFit="1" customWidth="1"/>
    <col min="71" max="71" width="13.7109375" bestFit="1" customWidth="1"/>
    <col min="72" max="72" width="11.28515625" bestFit="1" customWidth="1"/>
  </cols>
  <sheetData>
    <row r="3" spans="1:11" x14ac:dyDescent="0.25">
      <c r="A3" s="4" t="s">
        <v>19</v>
      </c>
      <c r="B3" s="4" t="s">
        <v>50</v>
      </c>
    </row>
    <row r="4" spans="1:11" x14ac:dyDescent="0.25">
      <c r="A4" s="4" t="s">
        <v>17</v>
      </c>
      <c r="B4" s="7">
        <v>44708</v>
      </c>
      <c r="C4" s="7">
        <v>44712</v>
      </c>
      <c r="D4" s="7">
        <v>44713</v>
      </c>
      <c r="E4" s="7">
        <v>44714</v>
      </c>
      <c r="F4" s="7">
        <v>44715</v>
      </c>
      <c r="G4" s="7">
        <v>44718</v>
      </c>
      <c r="H4" s="7">
        <v>44719</v>
      </c>
      <c r="I4" s="7">
        <v>44720</v>
      </c>
      <c r="J4" s="7">
        <v>44721</v>
      </c>
      <c r="K4" t="s">
        <v>18</v>
      </c>
    </row>
    <row r="5" spans="1:11" x14ac:dyDescent="0.25">
      <c r="A5" s="5" t="s">
        <v>92</v>
      </c>
      <c r="B5" s="6"/>
      <c r="C5" s="6"/>
      <c r="D5" s="6"/>
      <c r="E5" s="6"/>
      <c r="F5" s="6"/>
      <c r="G5" s="6">
        <v>1</v>
      </c>
      <c r="H5" s="6"/>
      <c r="I5" s="6"/>
      <c r="J5" s="6">
        <v>1</v>
      </c>
      <c r="K5" s="6">
        <v>2</v>
      </c>
    </row>
    <row r="6" spans="1:11" x14ac:dyDescent="0.25">
      <c r="A6" s="5" t="s">
        <v>45</v>
      </c>
      <c r="B6" s="6"/>
      <c r="C6" s="6"/>
      <c r="D6" s="6">
        <v>1</v>
      </c>
      <c r="E6" s="6"/>
      <c r="F6" s="6"/>
      <c r="G6" s="6"/>
      <c r="H6" s="6"/>
      <c r="I6" s="6">
        <v>2</v>
      </c>
      <c r="J6" s="6"/>
      <c r="K6" s="6">
        <v>3</v>
      </c>
    </row>
    <row r="7" spans="1:11" x14ac:dyDescent="0.25">
      <c r="A7" s="5" t="s">
        <v>41</v>
      </c>
      <c r="B7" s="6"/>
      <c r="C7" s="6">
        <v>3</v>
      </c>
      <c r="D7" s="6">
        <v>2</v>
      </c>
      <c r="E7" s="6">
        <v>5</v>
      </c>
      <c r="F7" s="6">
        <v>1</v>
      </c>
      <c r="G7" s="6"/>
      <c r="H7" s="6"/>
      <c r="I7" s="6"/>
      <c r="J7" s="6">
        <v>2</v>
      </c>
      <c r="K7" s="6">
        <v>13</v>
      </c>
    </row>
    <row r="8" spans="1:11" x14ac:dyDescent="0.25">
      <c r="A8" s="5" t="s">
        <v>95</v>
      </c>
      <c r="B8" s="6"/>
      <c r="C8" s="6"/>
      <c r="D8" s="6"/>
      <c r="E8" s="6"/>
      <c r="F8" s="6"/>
      <c r="G8" s="6"/>
      <c r="H8" s="6">
        <v>1</v>
      </c>
      <c r="I8" s="6"/>
      <c r="J8" s="6"/>
      <c r="K8" s="6">
        <v>1</v>
      </c>
    </row>
    <row r="9" spans="1:11" x14ac:dyDescent="0.25">
      <c r="A9" s="5" t="s">
        <v>43</v>
      </c>
      <c r="B9" s="6"/>
      <c r="C9" s="6"/>
      <c r="D9" s="6"/>
      <c r="E9" s="6"/>
      <c r="F9" s="6"/>
      <c r="G9" s="6"/>
      <c r="H9" s="6"/>
      <c r="I9" s="6"/>
      <c r="J9" s="6">
        <v>1</v>
      </c>
      <c r="K9" s="6">
        <v>1</v>
      </c>
    </row>
    <row r="10" spans="1:11" x14ac:dyDescent="0.25">
      <c r="A10" s="5" t="s">
        <v>48</v>
      </c>
      <c r="B10" s="6"/>
      <c r="C10" s="6"/>
      <c r="D10" s="6">
        <v>1</v>
      </c>
      <c r="E10" s="6"/>
      <c r="F10" s="6"/>
      <c r="G10" s="6"/>
      <c r="H10" s="6"/>
      <c r="I10" s="6">
        <v>1</v>
      </c>
      <c r="J10" s="6"/>
      <c r="K10" s="6">
        <v>2</v>
      </c>
    </row>
    <row r="11" spans="1:11" x14ac:dyDescent="0.25">
      <c r="A11" s="5" t="s">
        <v>40</v>
      </c>
      <c r="B11" s="6">
        <v>1</v>
      </c>
      <c r="C11" s="6">
        <v>2</v>
      </c>
      <c r="D11" s="6">
        <v>3</v>
      </c>
      <c r="E11" s="6">
        <v>5</v>
      </c>
      <c r="F11" s="6"/>
      <c r="G11" s="6"/>
      <c r="H11" s="6"/>
      <c r="I11" s="6"/>
      <c r="J11" s="6">
        <v>2</v>
      </c>
      <c r="K11" s="6">
        <v>13</v>
      </c>
    </row>
    <row r="12" spans="1:11" x14ac:dyDescent="0.25">
      <c r="A12" s="5" t="s">
        <v>49</v>
      </c>
      <c r="B12" s="6"/>
      <c r="C12" s="6"/>
      <c r="D12" s="6"/>
      <c r="E12" s="6"/>
      <c r="F12" s="6"/>
      <c r="G12" s="6">
        <v>1</v>
      </c>
      <c r="H12" s="6"/>
      <c r="I12" s="6"/>
      <c r="J12" s="6"/>
      <c r="K12" s="6">
        <v>1</v>
      </c>
    </row>
    <row r="13" spans="1:11" x14ac:dyDescent="0.25">
      <c r="A13" s="5" t="s">
        <v>18</v>
      </c>
      <c r="B13" s="6">
        <v>1</v>
      </c>
      <c r="C13" s="6">
        <v>5</v>
      </c>
      <c r="D13" s="6">
        <v>7</v>
      </c>
      <c r="E13" s="6">
        <v>10</v>
      </c>
      <c r="F13" s="6">
        <v>1</v>
      </c>
      <c r="G13" s="6">
        <v>2</v>
      </c>
      <c r="H13" s="6">
        <v>1</v>
      </c>
      <c r="I13" s="6">
        <v>3</v>
      </c>
      <c r="J13" s="6">
        <v>6</v>
      </c>
      <c r="K13" s="6">
        <v>36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5C846-7774-4EB1-8BAF-B7BCFC7D35CA}">
  <sheetPr codeName="Sheet4"/>
  <dimension ref="A1:J270"/>
  <sheetViews>
    <sheetView workbookViewId="0">
      <selection activeCell="C10" sqref="C10"/>
    </sheetView>
  </sheetViews>
  <sheetFormatPr defaultRowHeight="15" x14ac:dyDescent="0.25"/>
  <cols>
    <col min="1" max="1" width="9.5703125" bestFit="1" customWidth="1"/>
    <col min="2" max="2" width="21.42578125" bestFit="1" customWidth="1"/>
    <col min="3" max="3" width="129.5703125" bestFit="1" customWidth="1"/>
    <col min="4" max="4" width="14.7109375" bestFit="1" customWidth="1"/>
    <col min="5" max="5" width="13.85546875" bestFit="1" customWidth="1"/>
    <col min="6" max="6" width="12.28515625" bestFit="1" customWidth="1"/>
    <col min="7" max="7" width="11.42578125" bestFit="1" customWidth="1"/>
    <col min="8" max="8" width="8.42578125" bestFit="1" customWidth="1"/>
    <col min="9" max="9" width="12.42578125" customWidth="1"/>
  </cols>
  <sheetData>
    <row r="1" spans="1:10" x14ac:dyDescent="0.25">
      <c r="A1" t="s">
        <v>39</v>
      </c>
      <c r="B1" t="s">
        <v>20</v>
      </c>
      <c r="C1" t="s">
        <v>14</v>
      </c>
      <c r="D1" t="s">
        <v>21</v>
      </c>
      <c r="E1" t="s">
        <v>22</v>
      </c>
      <c r="F1" t="s">
        <v>23</v>
      </c>
      <c r="G1" t="s">
        <v>24</v>
      </c>
      <c r="H1" t="s">
        <v>25</v>
      </c>
      <c r="I1" t="s">
        <v>26</v>
      </c>
      <c r="J1" t="s">
        <v>206</v>
      </c>
    </row>
    <row r="2" spans="1:10" hidden="1" x14ac:dyDescent="0.25">
      <c r="A2" t="s">
        <v>40</v>
      </c>
      <c r="C2" t="s">
        <v>103</v>
      </c>
      <c r="D2" s="7">
        <v>44603</v>
      </c>
      <c r="E2" s="7">
        <v>44606</v>
      </c>
      <c r="F2" s="8">
        <v>0</v>
      </c>
      <c r="G2" s="8">
        <v>0</v>
      </c>
      <c r="H2" s="9">
        <v>72</v>
      </c>
      <c r="I2" t="s">
        <v>55</v>
      </c>
    </row>
    <row r="3" spans="1:10" hidden="1" x14ac:dyDescent="0.25">
      <c r="A3" t="s">
        <v>40</v>
      </c>
      <c r="C3" t="s">
        <v>103</v>
      </c>
      <c r="D3" s="7">
        <v>44610</v>
      </c>
      <c r="E3" s="7">
        <v>44610</v>
      </c>
      <c r="F3" s="8">
        <v>0</v>
      </c>
      <c r="G3" s="8">
        <v>0</v>
      </c>
      <c r="H3" s="9">
        <v>0</v>
      </c>
      <c r="I3" t="s">
        <v>55</v>
      </c>
    </row>
    <row r="4" spans="1:10" hidden="1" x14ac:dyDescent="0.25">
      <c r="A4" t="s">
        <v>40</v>
      </c>
      <c r="C4" t="s">
        <v>103</v>
      </c>
      <c r="D4" s="7">
        <v>44617</v>
      </c>
      <c r="E4" s="7">
        <v>44610</v>
      </c>
      <c r="F4" s="8">
        <v>0</v>
      </c>
      <c r="G4" s="8">
        <v>0</v>
      </c>
      <c r="H4" s="9">
        <v>-168</v>
      </c>
      <c r="I4" t="s">
        <v>55</v>
      </c>
    </row>
    <row r="5" spans="1:10" hidden="1" x14ac:dyDescent="0.25">
      <c r="A5" t="s">
        <v>40</v>
      </c>
      <c r="B5" t="s">
        <v>28</v>
      </c>
      <c r="C5" t="s">
        <v>104</v>
      </c>
      <c r="D5" s="7">
        <v>44616</v>
      </c>
      <c r="E5" s="7">
        <v>44616</v>
      </c>
      <c r="F5" s="8">
        <v>0</v>
      </c>
      <c r="G5" s="8">
        <v>0</v>
      </c>
      <c r="H5" s="9">
        <v>0</v>
      </c>
      <c r="I5" t="s">
        <v>55</v>
      </c>
    </row>
    <row r="6" spans="1:10" hidden="1" x14ac:dyDescent="0.25">
      <c r="A6" t="s">
        <v>40</v>
      </c>
      <c r="B6" t="s">
        <v>28</v>
      </c>
      <c r="C6" t="s">
        <v>105</v>
      </c>
      <c r="D6" s="7">
        <v>44616</v>
      </c>
      <c r="E6" s="7">
        <v>44670</v>
      </c>
      <c r="F6" s="8">
        <v>0</v>
      </c>
      <c r="G6" s="8">
        <v>0</v>
      </c>
      <c r="H6" s="9">
        <v>1296</v>
      </c>
      <c r="I6" t="s">
        <v>55</v>
      </c>
    </row>
    <row r="7" spans="1:10" hidden="1" x14ac:dyDescent="0.25">
      <c r="A7" t="s">
        <v>95</v>
      </c>
      <c r="B7" t="s">
        <v>94</v>
      </c>
      <c r="C7" t="s">
        <v>106</v>
      </c>
      <c r="D7" s="7">
        <v>44617</v>
      </c>
      <c r="E7" s="7">
        <v>44622</v>
      </c>
      <c r="F7" s="8">
        <v>0</v>
      </c>
      <c r="G7" s="8">
        <v>0</v>
      </c>
      <c r="H7" s="9">
        <v>120</v>
      </c>
      <c r="I7" t="s">
        <v>55</v>
      </c>
    </row>
    <row r="8" spans="1:10" hidden="1" x14ac:dyDescent="0.25">
      <c r="A8" t="s">
        <v>40</v>
      </c>
      <c r="C8" t="s">
        <v>103</v>
      </c>
      <c r="D8" s="7">
        <v>44624</v>
      </c>
      <c r="E8" s="7">
        <v>44618</v>
      </c>
      <c r="F8" s="8">
        <v>0</v>
      </c>
      <c r="G8" s="8">
        <v>0</v>
      </c>
      <c r="H8" s="9">
        <v>-144</v>
      </c>
      <c r="I8" t="s">
        <v>55</v>
      </c>
    </row>
    <row r="9" spans="1:10" hidden="1" x14ac:dyDescent="0.25">
      <c r="A9" t="s">
        <v>40</v>
      </c>
      <c r="C9" t="s">
        <v>103</v>
      </c>
      <c r="D9" s="7">
        <v>44631</v>
      </c>
      <c r="E9" s="7">
        <v>44618</v>
      </c>
      <c r="F9" s="8">
        <v>0</v>
      </c>
      <c r="G9" s="8">
        <v>0</v>
      </c>
      <c r="H9" s="9">
        <v>-312</v>
      </c>
      <c r="I9" t="s">
        <v>55</v>
      </c>
    </row>
    <row r="10" spans="1:10" hidden="1" x14ac:dyDescent="0.25">
      <c r="A10" t="s">
        <v>40</v>
      </c>
      <c r="C10" t="s">
        <v>103</v>
      </c>
      <c r="D10" s="7">
        <v>44624</v>
      </c>
      <c r="E10" s="7">
        <v>44627</v>
      </c>
      <c r="F10" s="8">
        <v>0</v>
      </c>
      <c r="G10" s="8">
        <v>0</v>
      </c>
      <c r="H10" s="9">
        <v>72</v>
      </c>
      <c r="I10" t="s">
        <v>55</v>
      </c>
    </row>
    <row r="11" spans="1:10" hidden="1" x14ac:dyDescent="0.25">
      <c r="A11" t="s">
        <v>40</v>
      </c>
      <c r="B11" t="s">
        <v>27</v>
      </c>
      <c r="C11" t="s">
        <v>107</v>
      </c>
      <c r="D11" s="7">
        <v>44620</v>
      </c>
      <c r="E11" s="7">
        <v>44620</v>
      </c>
      <c r="F11" s="8">
        <v>0</v>
      </c>
      <c r="G11" s="8">
        <v>0</v>
      </c>
      <c r="H11" s="9">
        <v>0</v>
      </c>
      <c r="I11" t="s">
        <v>55</v>
      </c>
    </row>
    <row r="12" spans="1:10" hidden="1" x14ac:dyDescent="0.25">
      <c r="A12" t="s">
        <v>95</v>
      </c>
      <c r="B12" t="s">
        <v>94</v>
      </c>
      <c r="C12" t="s">
        <v>108</v>
      </c>
      <c r="D12" s="7">
        <v>44617</v>
      </c>
      <c r="E12" s="7">
        <v>44621</v>
      </c>
      <c r="F12" s="8">
        <v>0</v>
      </c>
      <c r="G12" s="8">
        <v>0</v>
      </c>
      <c r="H12" s="9">
        <v>96</v>
      </c>
      <c r="I12" t="s">
        <v>55</v>
      </c>
    </row>
    <row r="13" spans="1:10" hidden="1" x14ac:dyDescent="0.25">
      <c r="A13" t="s">
        <v>40</v>
      </c>
      <c r="B13" t="s">
        <v>109</v>
      </c>
      <c r="C13" t="s">
        <v>110</v>
      </c>
      <c r="D13" s="7">
        <v>44621</v>
      </c>
      <c r="E13" s="7">
        <v>44624</v>
      </c>
      <c r="F13" s="8">
        <v>0</v>
      </c>
      <c r="G13" s="8">
        <v>0</v>
      </c>
      <c r="H13" s="9">
        <v>72</v>
      </c>
      <c r="I13" t="s">
        <v>55</v>
      </c>
    </row>
    <row r="14" spans="1:10" hidden="1" x14ac:dyDescent="0.25">
      <c r="A14" t="s">
        <v>91</v>
      </c>
      <c r="B14" t="s">
        <v>94</v>
      </c>
      <c r="C14" t="s">
        <v>111</v>
      </c>
      <c r="D14" s="7">
        <v>44629</v>
      </c>
      <c r="E14" s="7">
        <v>44635</v>
      </c>
      <c r="F14" s="8">
        <v>0</v>
      </c>
      <c r="G14" s="8">
        <v>0</v>
      </c>
      <c r="H14" s="9">
        <v>144</v>
      </c>
      <c r="I14" t="s">
        <v>55</v>
      </c>
    </row>
    <row r="15" spans="1:10" hidden="1" x14ac:dyDescent="0.25">
      <c r="A15" t="s">
        <v>93</v>
      </c>
      <c r="B15" t="s">
        <v>94</v>
      </c>
      <c r="C15" t="s">
        <v>112</v>
      </c>
      <c r="D15" s="7">
        <v>44623</v>
      </c>
      <c r="E15" s="7">
        <v>44627</v>
      </c>
      <c r="F15" s="8">
        <v>0</v>
      </c>
      <c r="G15" s="8">
        <v>0</v>
      </c>
      <c r="H15" s="9">
        <v>96</v>
      </c>
      <c r="I15" t="s">
        <v>55</v>
      </c>
    </row>
    <row r="16" spans="1:10" hidden="1" x14ac:dyDescent="0.25">
      <c r="A16" t="s">
        <v>93</v>
      </c>
      <c r="B16" t="s">
        <v>94</v>
      </c>
      <c r="C16" t="s">
        <v>113</v>
      </c>
      <c r="D16" s="7">
        <v>44629</v>
      </c>
      <c r="E16" s="7">
        <v>44636</v>
      </c>
      <c r="F16" s="8">
        <v>0</v>
      </c>
      <c r="G16" s="8">
        <v>0</v>
      </c>
      <c r="H16" s="9">
        <v>168</v>
      </c>
      <c r="I16" t="s">
        <v>55</v>
      </c>
    </row>
    <row r="17" spans="1:9" hidden="1" x14ac:dyDescent="0.25">
      <c r="A17" t="s">
        <v>40</v>
      </c>
      <c r="C17" t="s">
        <v>114</v>
      </c>
      <c r="D17" s="7">
        <v>44629</v>
      </c>
      <c r="E17" s="7">
        <v>44629</v>
      </c>
      <c r="F17" s="8">
        <v>0</v>
      </c>
      <c r="G17" s="8">
        <v>0</v>
      </c>
      <c r="H17" s="9">
        <v>0</v>
      </c>
      <c r="I17" t="s">
        <v>55</v>
      </c>
    </row>
    <row r="18" spans="1:9" hidden="1" x14ac:dyDescent="0.25">
      <c r="A18" t="s">
        <v>92</v>
      </c>
      <c r="B18" t="s">
        <v>94</v>
      </c>
      <c r="C18" t="s">
        <v>115</v>
      </c>
      <c r="D18" s="7">
        <v>44631</v>
      </c>
      <c r="E18" s="7">
        <v>44631</v>
      </c>
      <c r="F18" s="8">
        <v>0</v>
      </c>
      <c r="G18" s="8">
        <v>0</v>
      </c>
      <c r="H18" s="9">
        <v>0</v>
      </c>
      <c r="I18" t="s">
        <v>55</v>
      </c>
    </row>
    <row r="19" spans="1:9" hidden="1" x14ac:dyDescent="0.25">
      <c r="A19" t="s">
        <v>92</v>
      </c>
      <c r="B19" t="s">
        <v>94</v>
      </c>
      <c r="C19" t="s">
        <v>116</v>
      </c>
      <c r="D19" s="7">
        <v>44631</v>
      </c>
      <c r="E19" s="7">
        <v>44642</v>
      </c>
      <c r="F19" s="8">
        <v>0</v>
      </c>
      <c r="G19" s="8">
        <v>0</v>
      </c>
      <c r="H19" s="9">
        <v>264</v>
      </c>
      <c r="I19" t="s">
        <v>55</v>
      </c>
    </row>
    <row r="20" spans="1:9" hidden="1" x14ac:dyDescent="0.25">
      <c r="A20" t="s">
        <v>40</v>
      </c>
      <c r="B20" t="s">
        <v>28</v>
      </c>
      <c r="C20" t="s">
        <v>103</v>
      </c>
      <c r="D20" s="7">
        <v>44631</v>
      </c>
      <c r="E20" s="7">
        <v>44631</v>
      </c>
      <c r="F20" s="8">
        <v>0</v>
      </c>
      <c r="G20" s="8">
        <v>0</v>
      </c>
      <c r="H20" s="9">
        <v>0</v>
      </c>
      <c r="I20" t="s">
        <v>55</v>
      </c>
    </row>
    <row r="21" spans="1:9" hidden="1" x14ac:dyDescent="0.25">
      <c r="A21" t="s">
        <v>98</v>
      </c>
      <c r="B21" t="s">
        <v>94</v>
      </c>
      <c r="C21" t="s">
        <v>117</v>
      </c>
      <c r="D21" s="7">
        <v>44635</v>
      </c>
      <c r="E21" s="7">
        <v>44635</v>
      </c>
      <c r="F21" s="8">
        <v>0</v>
      </c>
      <c r="G21" s="8">
        <v>0</v>
      </c>
      <c r="H21" s="9">
        <v>0</v>
      </c>
      <c r="I21" t="s">
        <v>55</v>
      </c>
    </row>
    <row r="22" spans="1:9" hidden="1" x14ac:dyDescent="0.25">
      <c r="A22" t="s">
        <v>95</v>
      </c>
      <c r="B22" t="s">
        <v>94</v>
      </c>
      <c r="C22" t="s">
        <v>118</v>
      </c>
      <c r="D22" s="7">
        <v>44634</v>
      </c>
      <c r="E22" s="7">
        <v>44634</v>
      </c>
      <c r="F22" s="8">
        <v>0</v>
      </c>
      <c r="G22" s="8">
        <v>0</v>
      </c>
      <c r="H22" s="9">
        <v>0</v>
      </c>
      <c r="I22" t="s">
        <v>55</v>
      </c>
    </row>
    <row r="23" spans="1:9" hidden="1" x14ac:dyDescent="0.25">
      <c r="A23" t="s">
        <v>40</v>
      </c>
      <c r="B23" t="s">
        <v>94</v>
      </c>
      <c r="C23" t="s">
        <v>119</v>
      </c>
      <c r="D23" s="7">
        <v>44634</v>
      </c>
      <c r="E23" s="7">
        <v>44634</v>
      </c>
      <c r="F23" s="8">
        <v>0</v>
      </c>
      <c r="G23" s="8">
        <v>0</v>
      </c>
      <c r="H23" s="9">
        <v>0</v>
      </c>
      <c r="I23" t="s">
        <v>55</v>
      </c>
    </row>
    <row r="24" spans="1:9" hidden="1" x14ac:dyDescent="0.25">
      <c r="A24" t="s">
        <v>98</v>
      </c>
      <c r="B24" t="s">
        <v>94</v>
      </c>
      <c r="C24" t="s">
        <v>120</v>
      </c>
      <c r="D24" s="7">
        <v>44634</v>
      </c>
      <c r="E24" s="7">
        <v>44634</v>
      </c>
      <c r="F24" s="8">
        <v>0</v>
      </c>
      <c r="G24" s="8">
        <v>0</v>
      </c>
      <c r="H24" s="9">
        <v>0</v>
      </c>
      <c r="I24" t="s">
        <v>55</v>
      </c>
    </row>
    <row r="25" spans="1:9" hidden="1" x14ac:dyDescent="0.25">
      <c r="A25" t="s">
        <v>93</v>
      </c>
      <c r="B25" t="s">
        <v>94</v>
      </c>
      <c r="C25" t="s">
        <v>121</v>
      </c>
      <c r="D25" s="7">
        <v>44635</v>
      </c>
      <c r="E25" s="7">
        <v>44635</v>
      </c>
      <c r="F25" s="8">
        <v>0</v>
      </c>
      <c r="G25" s="8">
        <v>0</v>
      </c>
      <c r="H25" s="9">
        <v>0</v>
      </c>
      <c r="I25" t="s">
        <v>55</v>
      </c>
    </row>
    <row r="26" spans="1:9" hidden="1" x14ac:dyDescent="0.25">
      <c r="A26" t="s">
        <v>40</v>
      </c>
      <c r="B26" t="s">
        <v>94</v>
      </c>
      <c r="C26" t="s">
        <v>122</v>
      </c>
      <c r="D26" s="7">
        <v>44635</v>
      </c>
      <c r="E26" s="7">
        <v>44644</v>
      </c>
      <c r="F26" s="8">
        <v>0</v>
      </c>
      <c r="G26" s="8">
        <v>0</v>
      </c>
      <c r="H26" s="9">
        <v>216</v>
      </c>
      <c r="I26" t="s">
        <v>55</v>
      </c>
    </row>
    <row r="27" spans="1:9" hidden="1" x14ac:dyDescent="0.25">
      <c r="A27" t="s">
        <v>40</v>
      </c>
      <c r="B27" t="s">
        <v>94</v>
      </c>
      <c r="C27" t="s">
        <v>123</v>
      </c>
      <c r="D27" s="7">
        <v>44635</v>
      </c>
      <c r="E27" s="7">
        <v>44637</v>
      </c>
      <c r="F27" s="8">
        <v>0</v>
      </c>
      <c r="G27" s="8">
        <v>0</v>
      </c>
      <c r="H27" s="9">
        <v>48</v>
      </c>
      <c r="I27" t="s">
        <v>55</v>
      </c>
    </row>
    <row r="28" spans="1:9" hidden="1" x14ac:dyDescent="0.25">
      <c r="A28" t="s">
        <v>98</v>
      </c>
      <c r="B28" t="s">
        <v>94</v>
      </c>
      <c r="C28" t="s">
        <v>120</v>
      </c>
      <c r="D28" s="7">
        <v>44635</v>
      </c>
      <c r="E28" s="7">
        <v>44637</v>
      </c>
      <c r="F28" s="8">
        <v>0</v>
      </c>
      <c r="G28" s="8">
        <v>0</v>
      </c>
      <c r="H28" s="9">
        <v>48</v>
      </c>
      <c r="I28" t="s">
        <v>55</v>
      </c>
    </row>
    <row r="29" spans="1:9" hidden="1" x14ac:dyDescent="0.25">
      <c r="A29" t="s">
        <v>93</v>
      </c>
      <c r="B29" t="s">
        <v>94</v>
      </c>
      <c r="C29" t="s">
        <v>124</v>
      </c>
      <c r="D29" s="7">
        <v>44636</v>
      </c>
      <c r="E29" s="7">
        <v>44636</v>
      </c>
      <c r="F29" s="8">
        <v>0</v>
      </c>
      <c r="G29" s="8">
        <v>0</v>
      </c>
      <c r="H29" s="9">
        <v>0</v>
      </c>
      <c r="I29" t="s">
        <v>55</v>
      </c>
    </row>
    <row r="30" spans="1:9" hidden="1" x14ac:dyDescent="0.25">
      <c r="A30" t="s">
        <v>93</v>
      </c>
      <c r="B30" t="s">
        <v>94</v>
      </c>
      <c r="C30" t="s">
        <v>121</v>
      </c>
      <c r="D30" s="7">
        <v>44636</v>
      </c>
      <c r="E30" s="7">
        <v>44637</v>
      </c>
      <c r="F30" s="8">
        <v>0</v>
      </c>
      <c r="G30" s="8">
        <v>0</v>
      </c>
      <c r="H30" s="9">
        <v>24</v>
      </c>
      <c r="I30" t="s">
        <v>55</v>
      </c>
    </row>
    <row r="31" spans="1:9" hidden="1" x14ac:dyDescent="0.25">
      <c r="A31" t="s">
        <v>98</v>
      </c>
      <c r="B31" t="s">
        <v>94</v>
      </c>
      <c r="C31" t="s">
        <v>125</v>
      </c>
      <c r="D31" s="7">
        <v>44636</v>
      </c>
      <c r="E31" s="7">
        <v>44636</v>
      </c>
      <c r="F31" s="8">
        <v>0</v>
      </c>
      <c r="G31" s="8">
        <v>0</v>
      </c>
      <c r="H31" s="9">
        <v>0</v>
      </c>
      <c r="I31" t="s">
        <v>55</v>
      </c>
    </row>
    <row r="32" spans="1:9" hidden="1" x14ac:dyDescent="0.25">
      <c r="A32" t="s">
        <v>40</v>
      </c>
      <c r="B32" t="s">
        <v>27</v>
      </c>
      <c r="C32" t="s">
        <v>127</v>
      </c>
      <c r="D32" s="7">
        <v>44636</v>
      </c>
      <c r="E32" s="7">
        <v>44637</v>
      </c>
      <c r="F32" s="8">
        <v>0</v>
      </c>
      <c r="G32" s="8">
        <v>0</v>
      </c>
      <c r="H32" s="9">
        <v>24</v>
      </c>
      <c r="I32" t="s">
        <v>55</v>
      </c>
    </row>
    <row r="33" spans="1:9" hidden="1" x14ac:dyDescent="0.25">
      <c r="A33" t="s">
        <v>43</v>
      </c>
      <c r="B33" t="s">
        <v>94</v>
      </c>
      <c r="C33" t="s">
        <v>128</v>
      </c>
      <c r="D33" s="7">
        <v>44637</v>
      </c>
      <c r="E33" s="7">
        <v>44641</v>
      </c>
      <c r="F33" s="8">
        <v>0</v>
      </c>
      <c r="G33" s="8">
        <v>0</v>
      </c>
      <c r="H33" s="9">
        <v>96</v>
      </c>
      <c r="I33" t="s">
        <v>55</v>
      </c>
    </row>
    <row r="34" spans="1:9" hidden="1" x14ac:dyDescent="0.25">
      <c r="A34" t="s">
        <v>40</v>
      </c>
      <c r="B34" t="s">
        <v>94</v>
      </c>
      <c r="C34" t="s">
        <v>129</v>
      </c>
      <c r="D34" s="7">
        <v>44637</v>
      </c>
      <c r="E34" s="7">
        <v>44641</v>
      </c>
      <c r="F34" s="8">
        <v>0</v>
      </c>
      <c r="G34" s="8">
        <v>0</v>
      </c>
      <c r="H34" s="9">
        <v>96</v>
      </c>
      <c r="I34" t="s">
        <v>55</v>
      </c>
    </row>
    <row r="35" spans="1:9" hidden="1" x14ac:dyDescent="0.25">
      <c r="A35" t="s">
        <v>40</v>
      </c>
      <c r="C35" t="s">
        <v>130</v>
      </c>
      <c r="D35" s="7">
        <v>44641</v>
      </c>
      <c r="E35" s="7">
        <v>44644</v>
      </c>
      <c r="F35" s="8">
        <v>0</v>
      </c>
      <c r="G35" s="8">
        <v>0</v>
      </c>
      <c r="H35" s="9">
        <v>72</v>
      </c>
      <c r="I35" t="s">
        <v>55</v>
      </c>
    </row>
    <row r="36" spans="1:9" hidden="1" x14ac:dyDescent="0.25">
      <c r="A36" t="s">
        <v>40</v>
      </c>
      <c r="B36" t="s">
        <v>94</v>
      </c>
      <c r="C36" t="s">
        <v>131</v>
      </c>
      <c r="D36" s="7">
        <v>44641</v>
      </c>
      <c r="E36" s="7">
        <v>44641</v>
      </c>
      <c r="F36" s="8">
        <v>0</v>
      </c>
      <c r="G36" s="8">
        <v>0</v>
      </c>
      <c r="H36" s="9">
        <v>0</v>
      </c>
      <c r="I36" t="s">
        <v>55</v>
      </c>
    </row>
    <row r="37" spans="1:9" hidden="1" x14ac:dyDescent="0.25">
      <c r="A37" t="s">
        <v>40</v>
      </c>
      <c r="B37" t="s">
        <v>28</v>
      </c>
      <c r="C37" t="s">
        <v>103</v>
      </c>
      <c r="D37" s="7">
        <v>44638</v>
      </c>
      <c r="E37" s="7">
        <v>44641</v>
      </c>
      <c r="F37" s="8">
        <v>0</v>
      </c>
      <c r="G37" s="8">
        <v>0</v>
      </c>
      <c r="H37" s="9">
        <v>72</v>
      </c>
      <c r="I37" t="s">
        <v>55</v>
      </c>
    </row>
    <row r="38" spans="1:9" hidden="1" x14ac:dyDescent="0.25">
      <c r="A38" t="s">
        <v>98</v>
      </c>
      <c r="B38" t="s">
        <v>94</v>
      </c>
      <c r="C38" t="s">
        <v>132</v>
      </c>
      <c r="D38" s="7">
        <v>44638</v>
      </c>
      <c r="E38" s="7">
        <v>44673</v>
      </c>
      <c r="F38" s="8">
        <v>0</v>
      </c>
      <c r="G38" s="8">
        <v>0</v>
      </c>
      <c r="H38" s="9">
        <v>840</v>
      </c>
      <c r="I38" t="s">
        <v>55</v>
      </c>
    </row>
    <row r="39" spans="1:9" hidden="1" x14ac:dyDescent="0.25">
      <c r="A39" t="s">
        <v>92</v>
      </c>
      <c r="B39" t="s">
        <v>94</v>
      </c>
      <c r="C39" t="s">
        <v>133</v>
      </c>
      <c r="D39" s="7">
        <v>44641</v>
      </c>
      <c r="E39" s="7">
        <v>44642</v>
      </c>
      <c r="F39" s="8">
        <v>0</v>
      </c>
      <c r="G39" s="8">
        <v>0</v>
      </c>
      <c r="H39" s="9">
        <v>24</v>
      </c>
      <c r="I39" t="s">
        <v>55</v>
      </c>
    </row>
    <row r="40" spans="1:9" hidden="1" x14ac:dyDescent="0.25">
      <c r="A40" t="s">
        <v>92</v>
      </c>
      <c r="B40" t="s">
        <v>94</v>
      </c>
      <c r="C40" t="s">
        <v>54</v>
      </c>
      <c r="D40" s="7">
        <v>44641</v>
      </c>
      <c r="E40" s="7">
        <v>44641</v>
      </c>
      <c r="F40" s="8">
        <v>0</v>
      </c>
      <c r="G40" s="8">
        <v>0</v>
      </c>
      <c r="H40" s="9">
        <v>0</v>
      </c>
      <c r="I40" t="s">
        <v>55</v>
      </c>
    </row>
    <row r="41" spans="1:9" hidden="1" x14ac:dyDescent="0.25">
      <c r="A41" t="s">
        <v>91</v>
      </c>
      <c r="B41" t="s">
        <v>94</v>
      </c>
      <c r="C41" t="s">
        <v>52</v>
      </c>
      <c r="D41" s="7">
        <v>44642</v>
      </c>
      <c r="E41" s="7">
        <v>44680</v>
      </c>
      <c r="F41" s="8">
        <v>0</v>
      </c>
      <c r="G41" s="8">
        <v>0</v>
      </c>
      <c r="H41" s="9">
        <v>912</v>
      </c>
      <c r="I41" t="s">
        <v>55</v>
      </c>
    </row>
    <row r="42" spans="1:9" hidden="1" x14ac:dyDescent="0.25">
      <c r="A42" t="s">
        <v>92</v>
      </c>
      <c r="B42" t="s">
        <v>94</v>
      </c>
      <c r="C42" t="s">
        <v>133</v>
      </c>
      <c r="D42" s="7">
        <v>44642</v>
      </c>
      <c r="E42" s="7">
        <v>44659</v>
      </c>
      <c r="F42" s="8">
        <v>0</v>
      </c>
      <c r="G42" s="8">
        <v>0</v>
      </c>
      <c r="H42" s="9">
        <v>408</v>
      </c>
      <c r="I42" t="s">
        <v>55</v>
      </c>
    </row>
    <row r="43" spans="1:9" hidden="1" x14ac:dyDescent="0.25">
      <c r="A43" t="s">
        <v>91</v>
      </c>
      <c r="B43" t="s">
        <v>94</v>
      </c>
      <c r="C43" t="s">
        <v>134</v>
      </c>
      <c r="D43" s="7">
        <v>44642</v>
      </c>
      <c r="E43" s="7">
        <v>44644</v>
      </c>
      <c r="F43" s="8">
        <v>0</v>
      </c>
      <c r="G43" s="8">
        <v>0</v>
      </c>
      <c r="H43" s="9">
        <v>48</v>
      </c>
      <c r="I43" t="s">
        <v>55</v>
      </c>
    </row>
    <row r="44" spans="1:9" hidden="1" x14ac:dyDescent="0.25">
      <c r="A44" t="s">
        <v>98</v>
      </c>
      <c r="B44" t="s">
        <v>94</v>
      </c>
      <c r="C44" t="s">
        <v>135</v>
      </c>
      <c r="D44" s="7">
        <v>44642</v>
      </c>
      <c r="E44" s="7">
        <v>44642</v>
      </c>
      <c r="F44" s="8">
        <v>0</v>
      </c>
      <c r="G44" s="8">
        <v>0</v>
      </c>
      <c r="H44" s="9">
        <v>0</v>
      </c>
      <c r="I44" t="s">
        <v>55</v>
      </c>
    </row>
    <row r="45" spans="1:9" hidden="1" x14ac:dyDescent="0.25">
      <c r="A45" t="s">
        <v>98</v>
      </c>
      <c r="B45" t="s">
        <v>94</v>
      </c>
      <c r="C45" t="s">
        <v>136</v>
      </c>
      <c r="D45" s="7">
        <v>44642</v>
      </c>
      <c r="E45" s="7">
        <v>44644</v>
      </c>
      <c r="F45" s="8">
        <v>0</v>
      </c>
      <c r="G45" s="8">
        <v>0</v>
      </c>
      <c r="H45" s="9">
        <v>48</v>
      </c>
      <c r="I45" t="s">
        <v>55</v>
      </c>
    </row>
    <row r="46" spans="1:9" hidden="1" x14ac:dyDescent="0.25">
      <c r="A46" t="s">
        <v>40</v>
      </c>
      <c r="B46" t="s">
        <v>94</v>
      </c>
      <c r="C46" t="s">
        <v>137</v>
      </c>
      <c r="D46" s="7">
        <v>44643</v>
      </c>
      <c r="E46" s="7">
        <v>44649</v>
      </c>
      <c r="F46" s="8">
        <v>0</v>
      </c>
      <c r="G46" s="8">
        <v>0</v>
      </c>
      <c r="H46" s="9">
        <v>144</v>
      </c>
      <c r="I46" t="s">
        <v>55</v>
      </c>
    </row>
    <row r="47" spans="1:9" hidden="1" x14ac:dyDescent="0.25">
      <c r="A47" t="s">
        <v>40</v>
      </c>
      <c r="C47" t="s">
        <v>138</v>
      </c>
      <c r="D47" s="7">
        <v>44644</v>
      </c>
      <c r="E47" s="7">
        <v>44644</v>
      </c>
      <c r="F47" s="8">
        <v>0</v>
      </c>
      <c r="G47" s="8">
        <v>0</v>
      </c>
      <c r="H47" s="9">
        <v>0</v>
      </c>
      <c r="I47" t="s">
        <v>55</v>
      </c>
    </row>
    <row r="48" spans="1:9" hidden="1" x14ac:dyDescent="0.25">
      <c r="A48" t="s">
        <v>98</v>
      </c>
      <c r="B48" t="s">
        <v>94</v>
      </c>
      <c r="C48" t="s">
        <v>136</v>
      </c>
      <c r="D48" s="7">
        <v>44644</v>
      </c>
      <c r="E48" s="7">
        <v>44644</v>
      </c>
      <c r="F48" s="8">
        <v>0</v>
      </c>
      <c r="G48" s="8">
        <v>0</v>
      </c>
      <c r="H48" s="9">
        <v>0</v>
      </c>
      <c r="I48" t="s">
        <v>55</v>
      </c>
    </row>
    <row r="49" spans="1:9" hidden="1" x14ac:dyDescent="0.25">
      <c r="A49" t="s">
        <v>40</v>
      </c>
      <c r="C49" t="s">
        <v>139</v>
      </c>
      <c r="D49" s="7">
        <v>44644</v>
      </c>
      <c r="E49" s="7">
        <v>44648</v>
      </c>
      <c r="F49" s="8">
        <v>0</v>
      </c>
      <c r="G49" s="8">
        <v>0</v>
      </c>
      <c r="H49" s="9">
        <v>96</v>
      </c>
      <c r="I49" t="s">
        <v>55</v>
      </c>
    </row>
    <row r="50" spans="1:9" hidden="1" x14ac:dyDescent="0.25">
      <c r="A50" t="s">
        <v>40</v>
      </c>
      <c r="B50" t="s">
        <v>94</v>
      </c>
      <c r="C50" t="s">
        <v>140</v>
      </c>
      <c r="D50" s="7">
        <v>44644</v>
      </c>
      <c r="E50" s="7">
        <v>44644</v>
      </c>
      <c r="F50" s="8">
        <v>0</v>
      </c>
      <c r="G50" s="8">
        <v>0</v>
      </c>
      <c r="H50" s="9">
        <v>0</v>
      </c>
      <c r="I50" t="s">
        <v>55</v>
      </c>
    </row>
    <row r="51" spans="1:9" hidden="1" x14ac:dyDescent="0.25">
      <c r="A51" t="s">
        <v>40</v>
      </c>
      <c r="B51" t="s">
        <v>94</v>
      </c>
      <c r="C51" t="s">
        <v>141</v>
      </c>
      <c r="D51" s="7">
        <v>44644</v>
      </c>
      <c r="E51" s="7">
        <v>44644</v>
      </c>
      <c r="F51" s="8">
        <v>0</v>
      </c>
      <c r="G51" s="8">
        <v>0</v>
      </c>
      <c r="H51" s="9">
        <v>0</v>
      </c>
      <c r="I51" t="s">
        <v>55</v>
      </c>
    </row>
    <row r="52" spans="1:9" hidden="1" x14ac:dyDescent="0.25">
      <c r="A52" t="s">
        <v>40</v>
      </c>
      <c r="B52" t="s">
        <v>28</v>
      </c>
      <c r="C52" t="s">
        <v>103</v>
      </c>
      <c r="D52" s="7">
        <v>44645</v>
      </c>
      <c r="E52" s="7">
        <v>44648</v>
      </c>
      <c r="F52" s="8">
        <v>0</v>
      </c>
      <c r="G52" s="8">
        <v>0</v>
      </c>
      <c r="H52" s="9">
        <v>72</v>
      </c>
      <c r="I52" t="s">
        <v>55</v>
      </c>
    </row>
    <row r="53" spans="1:9" hidden="1" x14ac:dyDescent="0.25">
      <c r="A53" t="s">
        <v>40</v>
      </c>
      <c r="B53" t="s">
        <v>94</v>
      </c>
      <c r="C53" t="s">
        <v>126</v>
      </c>
      <c r="D53" s="7">
        <v>44637</v>
      </c>
      <c r="E53" s="7">
        <v>44648</v>
      </c>
      <c r="F53" s="8">
        <v>0</v>
      </c>
      <c r="G53" s="8">
        <v>0</v>
      </c>
      <c r="H53" s="9">
        <v>264</v>
      </c>
      <c r="I53" t="s">
        <v>55</v>
      </c>
    </row>
    <row r="54" spans="1:9" hidden="1" x14ac:dyDescent="0.25">
      <c r="A54" t="s">
        <v>40</v>
      </c>
      <c r="B54" t="s">
        <v>94</v>
      </c>
      <c r="C54" t="s">
        <v>65</v>
      </c>
      <c r="D54" s="7">
        <v>44648</v>
      </c>
      <c r="E54" s="7">
        <v>44662</v>
      </c>
      <c r="F54" s="8">
        <v>0</v>
      </c>
      <c r="G54" s="8">
        <v>0</v>
      </c>
      <c r="H54" s="9">
        <v>336</v>
      </c>
      <c r="I54" t="s">
        <v>55</v>
      </c>
    </row>
    <row r="55" spans="1:9" hidden="1" x14ac:dyDescent="0.25">
      <c r="A55" t="s">
        <v>43</v>
      </c>
      <c r="B55" t="s">
        <v>94</v>
      </c>
      <c r="C55" t="s">
        <v>142</v>
      </c>
      <c r="D55" s="7">
        <v>44649</v>
      </c>
      <c r="E55" s="7">
        <v>44649</v>
      </c>
      <c r="F55" s="8">
        <v>0</v>
      </c>
      <c r="G55" s="8">
        <v>0</v>
      </c>
      <c r="H55" s="9">
        <v>0</v>
      </c>
      <c r="I55" t="s">
        <v>55</v>
      </c>
    </row>
    <row r="56" spans="1:9" hidden="1" x14ac:dyDescent="0.25">
      <c r="A56" t="s">
        <v>45</v>
      </c>
      <c r="B56" t="s">
        <v>94</v>
      </c>
      <c r="C56" t="s">
        <v>143</v>
      </c>
      <c r="D56" s="7">
        <v>44649</v>
      </c>
      <c r="E56" s="7">
        <v>44649</v>
      </c>
      <c r="F56" s="8">
        <v>0</v>
      </c>
      <c r="G56" s="8">
        <v>0</v>
      </c>
      <c r="H56" s="9">
        <v>0</v>
      </c>
      <c r="I56" t="s">
        <v>55</v>
      </c>
    </row>
    <row r="57" spans="1:9" hidden="1" x14ac:dyDescent="0.25">
      <c r="A57" t="s">
        <v>45</v>
      </c>
      <c r="B57" t="s">
        <v>94</v>
      </c>
      <c r="C57" t="s">
        <v>85</v>
      </c>
      <c r="D57" s="7">
        <v>44649</v>
      </c>
      <c r="E57" s="7">
        <v>44649</v>
      </c>
      <c r="F57" s="8">
        <v>0</v>
      </c>
      <c r="G57" s="8">
        <v>0</v>
      </c>
      <c r="H57" s="9">
        <v>0</v>
      </c>
      <c r="I57" t="s">
        <v>55</v>
      </c>
    </row>
    <row r="58" spans="1:9" hidden="1" x14ac:dyDescent="0.25">
      <c r="A58" t="s">
        <v>40</v>
      </c>
      <c r="B58" t="s">
        <v>94</v>
      </c>
      <c r="C58" t="s">
        <v>144</v>
      </c>
      <c r="D58" s="7">
        <v>44649</v>
      </c>
      <c r="E58" s="7">
        <v>44662</v>
      </c>
      <c r="F58" s="8">
        <v>0</v>
      </c>
      <c r="G58" s="8">
        <v>0</v>
      </c>
      <c r="H58" s="9">
        <v>312</v>
      </c>
      <c r="I58" t="s">
        <v>55</v>
      </c>
    </row>
    <row r="59" spans="1:9" hidden="1" x14ac:dyDescent="0.25">
      <c r="A59" t="s">
        <v>40</v>
      </c>
      <c r="C59" t="s">
        <v>145</v>
      </c>
      <c r="D59" s="7">
        <v>44651</v>
      </c>
      <c r="E59" s="7">
        <v>44649</v>
      </c>
      <c r="F59" s="8">
        <v>0</v>
      </c>
      <c r="G59" s="8">
        <v>0</v>
      </c>
      <c r="H59" s="9">
        <v>-48</v>
      </c>
      <c r="I59" t="s">
        <v>55</v>
      </c>
    </row>
    <row r="60" spans="1:9" hidden="1" x14ac:dyDescent="0.25">
      <c r="A60" t="s">
        <v>43</v>
      </c>
      <c r="B60" t="s">
        <v>94</v>
      </c>
      <c r="C60" t="s">
        <v>146</v>
      </c>
      <c r="D60" s="7">
        <v>44649</v>
      </c>
      <c r="E60" s="7">
        <v>44652</v>
      </c>
      <c r="F60" s="8">
        <v>0</v>
      </c>
      <c r="G60" s="8">
        <v>0</v>
      </c>
      <c r="H60" s="9">
        <v>72</v>
      </c>
      <c r="I60" t="s">
        <v>55</v>
      </c>
    </row>
    <row r="61" spans="1:9" hidden="1" x14ac:dyDescent="0.25">
      <c r="A61" t="s">
        <v>40</v>
      </c>
      <c r="B61" t="s">
        <v>94</v>
      </c>
      <c r="C61" t="s">
        <v>96</v>
      </c>
      <c r="D61" s="7">
        <v>44649</v>
      </c>
      <c r="E61" s="7">
        <v>44649</v>
      </c>
      <c r="F61" s="8">
        <v>0</v>
      </c>
      <c r="G61" s="8">
        <v>0</v>
      </c>
      <c r="H61" s="9">
        <v>0</v>
      </c>
      <c r="I61" t="s">
        <v>55</v>
      </c>
    </row>
    <row r="62" spans="1:9" hidden="1" x14ac:dyDescent="0.25">
      <c r="A62" t="s">
        <v>43</v>
      </c>
      <c r="B62" t="s">
        <v>94</v>
      </c>
      <c r="C62" t="s">
        <v>97</v>
      </c>
      <c r="D62" s="7">
        <v>44649</v>
      </c>
      <c r="E62" s="7">
        <v>44652</v>
      </c>
      <c r="F62" s="8">
        <v>0</v>
      </c>
      <c r="G62" s="8">
        <v>0</v>
      </c>
      <c r="H62" s="9">
        <v>72</v>
      </c>
      <c r="I62" t="s">
        <v>55</v>
      </c>
    </row>
    <row r="63" spans="1:9" hidden="1" x14ac:dyDescent="0.25">
      <c r="A63" t="s">
        <v>40</v>
      </c>
      <c r="C63" t="s">
        <v>147</v>
      </c>
      <c r="D63" s="7">
        <v>44650</v>
      </c>
      <c r="E63" s="7">
        <v>44655</v>
      </c>
      <c r="F63" s="8">
        <v>0</v>
      </c>
      <c r="G63" s="8">
        <v>0</v>
      </c>
      <c r="H63" s="9">
        <v>120</v>
      </c>
      <c r="I63" t="s">
        <v>55</v>
      </c>
    </row>
    <row r="64" spans="1:9" hidden="1" x14ac:dyDescent="0.25">
      <c r="A64" t="s">
        <v>40</v>
      </c>
      <c r="B64" t="s">
        <v>94</v>
      </c>
      <c r="C64" t="s">
        <v>148</v>
      </c>
      <c r="D64" s="7">
        <v>44650</v>
      </c>
      <c r="E64" s="7">
        <v>44657</v>
      </c>
      <c r="F64" s="8">
        <v>0</v>
      </c>
      <c r="G64" s="8">
        <v>0</v>
      </c>
      <c r="H64" s="9">
        <v>168</v>
      </c>
      <c r="I64" t="s">
        <v>55</v>
      </c>
    </row>
    <row r="65" spans="1:9" hidden="1" x14ac:dyDescent="0.25">
      <c r="A65" t="s">
        <v>98</v>
      </c>
      <c r="B65" t="s">
        <v>94</v>
      </c>
      <c r="C65" t="s">
        <v>149</v>
      </c>
      <c r="D65" s="7">
        <v>44650</v>
      </c>
      <c r="E65" s="7">
        <v>44662</v>
      </c>
      <c r="F65" s="8">
        <v>0</v>
      </c>
      <c r="G65" s="8">
        <v>0</v>
      </c>
      <c r="H65" s="9">
        <v>288</v>
      </c>
      <c r="I65" t="s">
        <v>55</v>
      </c>
    </row>
    <row r="66" spans="1:9" hidden="1" x14ac:dyDescent="0.25">
      <c r="A66" t="s">
        <v>93</v>
      </c>
      <c r="B66" t="s">
        <v>94</v>
      </c>
      <c r="C66" t="s">
        <v>150</v>
      </c>
      <c r="D66" s="7">
        <v>44650</v>
      </c>
      <c r="E66" s="7">
        <v>44665</v>
      </c>
      <c r="F66" s="8">
        <v>0</v>
      </c>
      <c r="G66" s="8">
        <v>0</v>
      </c>
      <c r="H66" s="9">
        <v>360</v>
      </c>
      <c r="I66" t="s">
        <v>55</v>
      </c>
    </row>
    <row r="67" spans="1:9" hidden="1" x14ac:dyDescent="0.25">
      <c r="A67" t="s">
        <v>43</v>
      </c>
      <c r="B67" t="s">
        <v>94</v>
      </c>
      <c r="C67" t="s">
        <v>67</v>
      </c>
      <c r="D67" s="7">
        <v>44652</v>
      </c>
      <c r="E67" s="7">
        <v>44662</v>
      </c>
      <c r="F67" s="8">
        <v>0</v>
      </c>
      <c r="G67" s="8">
        <v>0</v>
      </c>
      <c r="H67" s="9">
        <v>240</v>
      </c>
      <c r="I67" t="s">
        <v>55</v>
      </c>
    </row>
    <row r="68" spans="1:9" hidden="1" x14ac:dyDescent="0.25">
      <c r="A68" t="s">
        <v>42</v>
      </c>
      <c r="B68" t="s">
        <v>94</v>
      </c>
      <c r="C68" t="s">
        <v>76</v>
      </c>
      <c r="D68" s="7">
        <v>44652</v>
      </c>
      <c r="E68" s="7">
        <v>44656</v>
      </c>
      <c r="F68" s="8">
        <v>0</v>
      </c>
      <c r="G68" s="8">
        <v>0</v>
      </c>
      <c r="H68" s="9">
        <v>96</v>
      </c>
      <c r="I68" t="s">
        <v>55</v>
      </c>
    </row>
    <row r="69" spans="1:9" hidden="1" x14ac:dyDescent="0.25">
      <c r="A69" t="s">
        <v>40</v>
      </c>
      <c r="B69" t="s">
        <v>28</v>
      </c>
      <c r="C69" t="s">
        <v>103</v>
      </c>
      <c r="D69" s="7">
        <v>44652</v>
      </c>
      <c r="E69" s="7">
        <v>44655</v>
      </c>
      <c r="F69" s="8">
        <v>0</v>
      </c>
      <c r="G69" s="8">
        <v>0</v>
      </c>
      <c r="H69" s="9">
        <v>72</v>
      </c>
      <c r="I69" t="s">
        <v>55</v>
      </c>
    </row>
    <row r="70" spans="1:9" hidden="1" x14ac:dyDescent="0.25">
      <c r="A70" t="s">
        <v>40</v>
      </c>
      <c r="B70" t="s">
        <v>94</v>
      </c>
      <c r="C70" t="s">
        <v>53</v>
      </c>
      <c r="D70" s="7">
        <v>44655</v>
      </c>
      <c r="E70" s="7">
        <v>44663</v>
      </c>
      <c r="F70" s="8">
        <v>0</v>
      </c>
      <c r="G70" s="8">
        <v>0</v>
      </c>
      <c r="H70" s="9">
        <v>192</v>
      </c>
      <c r="I70" t="s">
        <v>55</v>
      </c>
    </row>
    <row r="71" spans="1:9" hidden="1" x14ac:dyDescent="0.25">
      <c r="A71" t="s">
        <v>40</v>
      </c>
      <c r="B71" t="s">
        <v>94</v>
      </c>
      <c r="C71" t="s">
        <v>126</v>
      </c>
      <c r="D71" s="7">
        <v>44644</v>
      </c>
      <c r="E71" s="7">
        <v>44658</v>
      </c>
      <c r="F71" s="8">
        <v>0</v>
      </c>
      <c r="G71" s="8">
        <v>0</v>
      </c>
      <c r="H71" s="9">
        <v>336</v>
      </c>
      <c r="I71" t="s">
        <v>55</v>
      </c>
    </row>
    <row r="72" spans="1:9" hidden="1" x14ac:dyDescent="0.25">
      <c r="A72" t="s">
        <v>40</v>
      </c>
      <c r="C72" t="s">
        <v>151</v>
      </c>
      <c r="D72" s="7">
        <v>44662</v>
      </c>
      <c r="E72" s="7">
        <v>44658</v>
      </c>
      <c r="F72" s="8">
        <v>0</v>
      </c>
      <c r="G72" s="8">
        <v>0</v>
      </c>
      <c r="H72" s="9">
        <v>-96</v>
      </c>
      <c r="I72" t="s">
        <v>55</v>
      </c>
    </row>
    <row r="73" spans="1:9" hidden="1" x14ac:dyDescent="0.25">
      <c r="A73" t="s">
        <v>41</v>
      </c>
      <c r="B73" t="s">
        <v>94</v>
      </c>
      <c r="C73" t="s">
        <v>72</v>
      </c>
      <c r="D73" s="7">
        <v>44656</v>
      </c>
      <c r="E73" s="7">
        <v>44658</v>
      </c>
      <c r="F73" s="8">
        <v>0</v>
      </c>
      <c r="G73" s="8">
        <v>0</v>
      </c>
      <c r="H73" s="9">
        <v>48</v>
      </c>
      <c r="I73" t="s">
        <v>55</v>
      </c>
    </row>
    <row r="74" spans="1:9" x14ac:dyDescent="0.25">
      <c r="A74" t="s">
        <v>40</v>
      </c>
      <c r="B74" t="s">
        <v>244</v>
      </c>
      <c r="C74" t="s">
        <v>264</v>
      </c>
      <c r="D74" s="7">
        <v>44700</v>
      </c>
      <c r="E74" s="7">
        <v>44706</v>
      </c>
      <c r="F74" s="8">
        <v>0</v>
      </c>
      <c r="G74" s="8">
        <v>0</v>
      </c>
      <c r="H74" s="9">
        <v>144</v>
      </c>
      <c r="I74" t="s">
        <v>55</v>
      </c>
    </row>
    <row r="75" spans="1:9" hidden="1" x14ac:dyDescent="0.25">
      <c r="A75" t="s">
        <v>92</v>
      </c>
      <c r="B75" t="s">
        <v>94</v>
      </c>
      <c r="C75" t="s">
        <v>56</v>
      </c>
      <c r="D75" s="7">
        <v>44656</v>
      </c>
      <c r="E75" s="7">
        <v>44658</v>
      </c>
      <c r="F75" s="8">
        <v>0</v>
      </c>
      <c r="G75" s="8">
        <v>0</v>
      </c>
      <c r="H75" s="9">
        <v>48</v>
      </c>
      <c r="I75" t="s">
        <v>55</v>
      </c>
    </row>
    <row r="76" spans="1:9" hidden="1" x14ac:dyDescent="0.25">
      <c r="A76" t="s">
        <v>40</v>
      </c>
      <c r="C76" t="s">
        <v>152</v>
      </c>
      <c r="D76" s="7">
        <v>44658</v>
      </c>
      <c r="E76" s="7">
        <v>44673</v>
      </c>
      <c r="F76" s="8">
        <v>0</v>
      </c>
      <c r="G76" s="8">
        <v>0</v>
      </c>
      <c r="H76" s="9">
        <v>360</v>
      </c>
      <c r="I76" t="s">
        <v>55</v>
      </c>
    </row>
    <row r="77" spans="1:9" hidden="1" x14ac:dyDescent="0.25">
      <c r="A77" t="s">
        <v>42</v>
      </c>
      <c r="B77" t="s">
        <v>94</v>
      </c>
      <c r="C77" t="s">
        <v>77</v>
      </c>
      <c r="D77" s="7">
        <v>44657</v>
      </c>
      <c r="E77" s="7">
        <v>44659</v>
      </c>
      <c r="F77" s="8">
        <v>0</v>
      </c>
      <c r="G77" s="8">
        <v>0</v>
      </c>
      <c r="H77" s="9">
        <v>48</v>
      </c>
      <c r="I77" t="s">
        <v>55</v>
      </c>
    </row>
    <row r="78" spans="1:9" hidden="1" x14ac:dyDescent="0.25">
      <c r="A78" t="s">
        <v>40</v>
      </c>
      <c r="B78" t="s">
        <v>94</v>
      </c>
      <c r="C78" t="s">
        <v>64</v>
      </c>
      <c r="D78" s="7">
        <v>44658</v>
      </c>
      <c r="E78" s="7">
        <v>44659</v>
      </c>
      <c r="F78" s="8">
        <v>0</v>
      </c>
      <c r="G78" s="8">
        <v>0</v>
      </c>
      <c r="H78" s="9">
        <v>24</v>
      </c>
      <c r="I78" t="s">
        <v>55</v>
      </c>
    </row>
    <row r="79" spans="1:9" hidden="1" x14ac:dyDescent="0.25">
      <c r="A79" t="s">
        <v>91</v>
      </c>
      <c r="B79" t="s">
        <v>94</v>
      </c>
      <c r="C79" t="s">
        <v>153</v>
      </c>
      <c r="D79" s="7">
        <v>44687</v>
      </c>
      <c r="E79" s="7">
        <v>44694</v>
      </c>
      <c r="F79" s="8">
        <v>0</v>
      </c>
      <c r="G79" s="8">
        <v>0</v>
      </c>
      <c r="H79" s="9">
        <v>168</v>
      </c>
      <c r="I79" t="s">
        <v>55</v>
      </c>
    </row>
    <row r="80" spans="1:9" hidden="1" x14ac:dyDescent="0.25">
      <c r="A80" t="s">
        <v>41</v>
      </c>
      <c r="C80" t="s">
        <v>154</v>
      </c>
      <c r="D80" s="7">
        <v>44659</v>
      </c>
      <c r="E80" s="7">
        <v>44669</v>
      </c>
      <c r="F80" s="8">
        <v>0</v>
      </c>
      <c r="G80" s="8">
        <v>0</v>
      </c>
      <c r="H80" s="9">
        <v>240</v>
      </c>
      <c r="I80" t="s">
        <v>55</v>
      </c>
    </row>
    <row r="81" spans="1:9" hidden="1" x14ac:dyDescent="0.25">
      <c r="A81" t="s">
        <v>40</v>
      </c>
      <c r="C81" t="s">
        <v>155</v>
      </c>
      <c r="D81" s="7">
        <v>44662</v>
      </c>
      <c r="E81" s="7">
        <v>44664</v>
      </c>
      <c r="F81" s="8">
        <v>0</v>
      </c>
      <c r="G81" s="8">
        <v>0</v>
      </c>
      <c r="H81" s="9">
        <v>48</v>
      </c>
      <c r="I81" t="s">
        <v>55</v>
      </c>
    </row>
    <row r="82" spans="1:9" hidden="1" x14ac:dyDescent="0.25">
      <c r="A82" t="s">
        <v>98</v>
      </c>
      <c r="B82" t="s">
        <v>94</v>
      </c>
      <c r="C82" t="s">
        <v>156</v>
      </c>
      <c r="D82" s="7">
        <v>44662</v>
      </c>
      <c r="E82" s="7">
        <v>44673</v>
      </c>
      <c r="F82" s="8">
        <v>0</v>
      </c>
      <c r="G82" s="8">
        <v>0</v>
      </c>
      <c r="H82" s="9">
        <v>264</v>
      </c>
      <c r="I82" t="s">
        <v>55</v>
      </c>
    </row>
    <row r="83" spans="1:9" hidden="1" x14ac:dyDescent="0.25">
      <c r="A83" t="s">
        <v>40</v>
      </c>
      <c r="B83" t="s">
        <v>28</v>
      </c>
      <c r="C83" t="s">
        <v>103</v>
      </c>
      <c r="D83" s="7">
        <v>44659</v>
      </c>
      <c r="E83" s="7">
        <v>44662</v>
      </c>
      <c r="F83" s="8">
        <v>0</v>
      </c>
      <c r="G83" s="8">
        <v>0</v>
      </c>
      <c r="H83" s="9">
        <v>72</v>
      </c>
      <c r="I83" t="s">
        <v>55</v>
      </c>
    </row>
    <row r="84" spans="1:9" hidden="1" x14ac:dyDescent="0.25">
      <c r="A84" t="s">
        <v>93</v>
      </c>
      <c r="B84" t="s">
        <v>94</v>
      </c>
      <c r="C84" t="s">
        <v>157</v>
      </c>
      <c r="D84" s="7">
        <v>44662</v>
      </c>
      <c r="E84" s="7">
        <v>44664</v>
      </c>
      <c r="F84" s="8">
        <v>0</v>
      </c>
      <c r="G84" s="8">
        <v>0</v>
      </c>
      <c r="H84" s="9">
        <v>48</v>
      </c>
      <c r="I84" t="s">
        <v>55</v>
      </c>
    </row>
    <row r="85" spans="1:9" hidden="1" x14ac:dyDescent="0.25">
      <c r="A85" t="s">
        <v>40</v>
      </c>
      <c r="B85" t="s">
        <v>94</v>
      </c>
      <c r="C85" t="s">
        <v>126</v>
      </c>
      <c r="D85" s="7">
        <v>44651</v>
      </c>
      <c r="E85" s="7">
        <v>44662</v>
      </c>
      <c r="F85" s="8">
        <v>0</v>
      </c>
      <c r="G85" s="8">
        <v>0</v>
      </c>
      <c r="H85" s="9">
        <v>264</v>
      </c>
      <c r="I85" t="s">
        <v>55</v>
      </c>
    </row>
    <row r="86" spans="1:9" hidden="1" x14ac:dyDescent="0.25">
      <c r="A86" t="s">
        <v>42</v>
      </c>
      <c r="B86" t="s">
        <v>94</v>
      </c>
      <c r="C86" t="s">
        <v>158</v>
      </c>
      <c r="D86" s="7">
        <v>44662</v>
      </c>
      <c r="E86" s="7">
        <v>44669</v>
      </c>
      <c r="F86" s="8">
        <v>0</v>
      </c>
      <c r="G86" s="8">
        <v>0</v>
      </c>
      <c r="H86" s="9">
        <v>168</v>
      </c>
      <c r="I86" t="s">
        <v>55</v>
      </c>
    </row>
    <row r="87" spans="1:9" hidden="1" x14ac:dyDescent="0.25">
      <c r="A87" t="s">
        <v>40</v>
      </c>
      <c r="C87" t="s">
        <v>159</v>
      </c>
      <c r="D87" s="7">
        <v>44665</v>
      </c>
      <c r="E87" s="7">
        <v>44670</v>
      </c>
      <c r="F87" s="8">
        <v>0</v>
      </c>
      <c r="G87" s="8">
        <v>0</v>
      </c>
      <c r="H87" s="9">
        <v>120</v>
      </c>
      <c r="I87" t="s">
        <v>55</v>
      </c>
    </row>
    <row r="88" spans="1:9" hidden="1" x14ac:dyDescent="0.25">
      <c r="A88" t="s">
        <v>43</v>
      </c>
      <c r="B88" t="s">
        <v>94</v>
      </c>
      <c r="C88" t="s">
        <v>185</v>
      </c>
      <c r="D88" s="7">
        <v>44663</v>
      </c>
      <c r="E88" s="7">
        <v>44683</v>
      </c>
      <c r="F88" s="8">
        <v>0</v>
      </c>
      <c r="G88" s="8">
        <v>0</v>
      </c>
      <c r="H88" s="9">
        <v>480</v>
      </c>
      <c r="I88" t="s">
        <v>55</v>
      </c>
    </row>
    <row r="89" spans="1:9" hidden="1" x14ac:dyDescent="0.25">
      <c r="A89" t="s">
        <v>43</v>
      </c>
      <c r="B89" t="s">
        <v>94</v>
      </c>
      <c r="C89" t="s">
        <v>161</v>
      </c>
      <c r="D89" s="7">
        <v>44664</v>
      </c>
      <c r="E89" s="7">
        <v>44666</v>
      </c>
      <c r="F89" s="8">
        <v>0</v>
      </c>
      <c r="G89" s="8">
        <v>0</v>
      </c>
      <c r="H89" s="9">
        <v>48</v>
      </c>
      <c r="I89" t="s">
        <v>55</v>
      </c>
    </row>
    <row r="90" spans="1:9" hidden="1" x14ac:dyDescent="0.25">
      <c r="A90" t="s">
        <v>43</v>
      </c>
      <c r="B90" t="s">
        <v>94</v>
      </c>
      <c r="C90" t="s">
        <v>160</v>
      </c>
      <c r="D90" s="7">
        <v>44664</v>
      </c>
      <c r="E90" s="7">
        <v>44672</v>
      </c>
      <c r="F90" s="8">
        <v>0</v>
      </c>
      <c r="G90" s="8">
        <v>0</v>
      </c>
      <c r="H90" s="9">
        <v>192</v>
      </c>
      <c r="I90" t="s">
        <v>55</v>
      </c>
    </row>
    <row r="91" spans="1:9" hidden="1" x14ac:dyDescent="0.25">
      <c r="A91" t="s">
        <v>48</v>
      </c>
      <c r="B91" t="s">
        <v>94</v>
      </c>
      <c r="C91" t="s">
        <v>79</v>
      </c>
      <c r="D91" s="7">
        <v>44664</v>
      </c>
      <c r="E91" s="7">
        <v>44665</v>
      </c>
      <c r="F91" s="8">
        <v>0</v>
      </c>
      <c r="G91" s="8">
        <v>0</v>
      </c>
      <c r="H91" s="9">
        <v>24</v>
      </c>
      <c r="I91" t="s">
        <v>55</v>
      </c>
    </row>
    <row r="92" spans="1:9" hidden="1" x14ac:dyDescent="0.25">
      <c r="A92" t="s">
        <v>43</v>
      </c>
      <c r="B92" t="s">
        <v>94</v>
      </c>
      <c r="C92" t="s">
        <v>69</v>
      </c>
      <c r="D92" s="7">
        <v>44664</v>
      </c>
      <c r="E92" s="7">
        <v>44672</v>
      </c>
      <c r="F92" s="8">
        <v>0</v>
      </c>
      <c r="G92" s="8">
        <v>0</v>
      </c>
      <c r="H92" s="9">
        <v>192</v>
      </c>
      <c r="I92" t="s">
        <v>55</v>
      </c>
    </row>
    <row r="93" spans="1:9" hidden="1" x14ac:dyDescent="0.25">
      <c r="A93" t="s">
        <v>47</v>
      </c>
      <c r="B93" t="s">
        <v>94</v>
      </c>
      <c r="C93" t="s">
        <v>162</v>
      </c>
      <c r="D93" s="7">
        <v>44664</v>
      </c>
      <c r="E93" s="7">
        <v>44664</v>
      </c>
      <c r="F93" s="8">
        <v>0</v>
      </c>
      <c r="G93" s="8">
        <v>0</v>
      </c>
      <c r="H93" s="9">
        <v>0</v>
      </c>
      <c r="I93" t="s">
        <v>55</v>
      </c>
    </row>
    <row r="94" spans="1:9" hidden="1" x14ac:dyDescent="0.25">
      <c r="A94" t="s">
        <v>40</v>
      </c>
      <c r="C94" t="s">
        <v>207</v>
      </c>
      <c r="D94" s="7">
        <v>44669</v>
      </c>
      <c r="E94" s="7">
        <v>44678</v>
      </c>
      <c r="F94" s="8">
        <v>0</v>
      </c>
      <c r="G94" s="8">
        <v>0</v>
      </c>
      <c r="H94" s="9">
        <v>216</v>
      </c>
      <c r="I94" t="s">
        <v>55</v>
      </c>
    </row>
    <row r="95" spans="1:9" hidden="1" x14ac:dyDescent="0.25">
      <c r="A95" t="s">
        <v>45</v>
      </c>
      <c r="B95" t="s">
        <v>94</v>
      </c>
      <c r="C95" t="s">
        <v>63</v>
      </c>
      <c r="D95" s="7">
        <v>44664</v>
      </c>
      <c r="E95" s="7">
        <v>44669</v>
      </c>
      <c r="F95" s="8">
        <v>0</v>
      </c>
      <c r="G95" s="8">
        <v>0</v>
      </c>
      <c r="H95" s="9">
        <v>120</v>
      </c>
      <c r="I95" t="s">
        <v>55</v>
      </c>
    </row>
    <row r="96" spans="1:9" hidden="1" x14ac:dyDescent="0.25">
      <c r="A96" t="s">
        <v>40</v>
      </c>
      <c r="B96" t="s">
        <v>94</v>
      </c>
      <c r="C96" t="s">
        <v>163</v>
      </c>
      <c r="D96" s="7">
        <v>44665</v>
      </c>
      <c r="E96" s="7">
        <v>44672</v>
      </c>
      <c r="F96" s="8">
        <v>0</v>
      </c>
      <c r="G96" s="8">
        <v>0</v>
      </c>
      <c r="H96" s="9">
        <v>168</v>
      </c>
      <c r="I96" t="s">
        <v>55</v>
      </c>
    </row>
    <row r="97" spans="1:9" hidden="1" x14ac:dyDescent="0.25">
      <c r="A97" t="s">
        <v>45</v>
      </c>
      <c r="B97" t="s">
        <v>94</v>
      </c>
      <c r="C97" t="s">
        <v>61</v>
      </c>
      <c r="D97" s="7">
        <v>44665</v>
      </c>
      <c r="E97" s="7">
        <v>44672</v>
      </c>
      <c r="F97" s="8">
        <v>0</v>
      </c>
      <c r="G97" s="8">
        <v>0</v>
      </c>
      <c r="H97" s="9">
        <v>168</v>
      </c>
      <c r="I97" t="s">
        <v>55</v>
      </c>
    </row>
    <row r="98" spans="1:9" hidden="1" x14ac:dyDescent="0.25">
      <c r="A98" t="s">
        <v>41</v>
      </c>
      <c r="B98" t="s">
        <v>94</v>
      </c>
      <c r="C98" t="s">
        <v>74</v>
      </c>
      <c r="D98" s="7">
        <v>44665</v>
      </c>
      <c r="E98" s="7">
        <v>44665</v>
      </c>
      <c r="F98" s="8">
        <v>0</v>
      </c>
      <c r="G98" s="8">
        <v>0</v>
      </c>
      <c r="H98" s="9">
        <v>0</v>
      </c>
      <c r="I98" t="s">
        <v>55</v>
      </c>
    </row>
    <row r="99" spans="1:9" hidden="1" x14ac:dyDescent="0.25">
      <c r="A99" t="s">
        <v>60</v>
      </c>
      <c r="B99" t="s">
        <v>94</v>
      </c>
      <c r="C99" t="s">
        <v>81</v>
      </c>
      <c r="D99" s="7">
        <v>44665</v>
      </c>
      <c r="E99" s="7">
        <v>44670</v>
      </c>
      <c r="F99" s="8">
        <v>0</v>
      </c>
      <c r="G99" s="8">
        <v>0</v>
      </c>
      <c r="H99" s="9">
        <v>120</v>
      </c>
      <c r="I99" t="s">
        <v>55</v>
      </c>
    </row>
    <row r="100" spans="1:9" hidden="1" x14ac:dyDescent="0.25">
      <c r="A100" t="s">
        <v>48</v>
      </c>
      <c r="C100" t="s">
        <v>164</v>
      </c>
      <c r="D100" s="7">
        <v>44666</v>
      </c>
      <c r="E100" s="7">
        <v>44670</v>
      </c>
      <c r="F100" s="8">
        <v>0</v>
      </c>
      <c r="G100" s="8">
        <v>0</v>
      </c>
      <c r="H100" s="9">
        <v>96</v>
      </c>
      <c r="I100" t="s">
        <v>55</v>
      </c>
    </row>
    <row r="101" spans="1:9" hidden="1" x14ac:dyDescent="0.25">
      <c r="A101" t="s">
        <v>60</v>
      </c>
      <c r="B101" t="s">
        <v>94</v>
      </c>
      <c r="C101" t="s">
        <v>82</v>
      </c>
      <c r="D101" s="7">
        <v>44666</v>
      </c>
      <c r="E101" s="7">
        <v>44670</v>
      </c>
      <c r="F101" s="8">
        <v>0</v>
      </c>
      <c r="G101" s="8">
        <v>0</v>
      </c>
      <c r="H101" s="9">
        <v>96</v>
      </c>
      <c r="I101" t="s">
        <v>55</v>
      </c>
    </row>
    <row r="102" spans="1:9" hidden="1" x14ac:dyDescent="0.25">
      <c r="A102" t="s">
        <v>40</v>
      </c>
      <c r="B102" t="s">
        <v>94</v>
      </c>
      <c r="C102" t="s">
        <v>62</v>
      </c>
      <c r="D102" s="7">
        <v>44669</v>
      </c>
      <c r="E102" s="7">
        <v>44676</v>
      </c>
      <c r="F102" s="8">
        <v>0</v>
      </c>
      <c r="G102" s="8">
        <v>0</v>
      </c>
      <c r="H102" s="9">
        <v>168</v>
      </c>
      <c r="I102" t="s">
        <v>55</v>
      </c>
    </row>
    <row r="103" spans="1:9" hidden="1" x14ac:dyDescent="0.25">
      <c r="A103" t="s">
        <v>45</v>
      </c>
      <c r="B103" t="s">
        <v>94</v>
      </c>
      <c r="C103" t="s">
        <v>165</v>
      </c>
      <c r="D103" s="7">
        <v>44669</v>
      </c>
      <c r="E103" s="7">
        <v>44676</v>
      </c>
      <c r="F103" s="8">
        <v>0</v>
      </c>
      <c r="G103" s="8">
        <v>0</v>
      </c>
      <c r="H103" s="9">
        <v>168</v>
      </c>
      <c r="I103" t="s">
        <v>55</v>
      </c>
    </row>
    <row r="104" spans="1:9" hidden="1" x14ac:dyDescent="0.25">
      <c r="A104" t="s">
        <v>45</v>
      </c>
      <c r="B104" t="s">
        <v>94</v>
      </c>
      <c r="C104" t="s">
        <v>165</v>
      </c>
      <c r="D104" s="7">
        <v>44669</v>
      </c>
      <c r="E104" s="7">
        <v>44676</v>
      </c>
      <c r="F104" s="8">
        <v>0</v>
      </c>
      <c r="G104" s="8">
        <v>0</v>
      </c>
      <c r="H104" s="9">
        <v>168</v>
      </c>
      <c r="I104" t="s">
        <v>55</v>
      </c>
    </row>
    <row r="105" spans="1:9" hidden="1" x14ac:dyDescent="0.25">
      <c r="A105" t="s">
        <v>41</v>
      </c>
      <c r="C105" t="s">
        <v>166</v>
      </c>
      <c r="D105" s="7">
        <v>44671</v>
      </c>
      <c r="E105" s="7">
        <v>44673</v>
      </c>
      <c r="F105" s="8">
        <v>0</v>
      </c>
      <c r="G105" s="8">
        <v>0</v>
      </c>
      <c r="H105" s="9">
        <v>48</v>
      </c>
      <c r="I105" t="s">
        <v>55</v>
      </c>
    </row>
    <row r="106" spans="1:9" hidden="1" x14ac:dyDescent="0.25">
      <c r="A106" t="s">
        <v>41</v>
      </c>
      <c r="C106" t="s">
        <v>167</v>
      </c>
      <c r="D106" s="7">
        <v>44671</v>
      </c>
      <c r="E106" s="7">
        <v>44673</v>
      </c>
      <c r="F106" s="8">
        <v>0</v>
      </c>
      <c r="G106" s="8">
        <v>0</v>
      </c>
      <c r="H106" s="9">
        <v>48</v>
      </c>
      <c r="I106" t="s">
        <v>55</v>
      </c>
    </row>
    <row r="107" spans="1:9" hidden="1" x14ac:dyDescent="0.25">
      <c r="A107" t="s">
        <v>40</v>
      </c>
      <c r="B107" t="s">
        <v>94</v>
      </c>
      <c r="C107" t="s">
        <v>168</v>
      </c>
      <c r="D107" s="7">
        <v>44669</v>
      </c>
      <c r="E107" s="7">
        <v>44676</v>
      </c>
      <c r="F107" s="8">
        <v>0</v>
      </c>
      <c r="G107" s="8">
        <v>0</v>
      </c>
      <c r="H107" s="9">
        <v>168</v>
      </c>
      <c r="I107" t="s">
        <v>55</v>
      </c>
    </row>
    <row r="108" spans="1:9" hidden="1" x14ac:dyDescent="0.25">
      <c r="A108" t="s">
        <v>43</v>
      </c>
      <c r="B108" t="s">
        <v>94</v>
      </c>
      <c r="C108" t="s">
        <v>169</v>
      </c>
      <c r="D108" s="7">
        <v>44669</v>
      </c>
      <c r="E108" s="7">
        <v>44683</v>
      </c>
      <c r="F108" s="8">
        <v>0</v>
      </c>
      <c r="G108" s="8">
        <v>0</v>
      </c>
      <c r="H108" s="9">
        <v>336</v>
      </c>
      <c r="I108" t="s">
        <v>55</v>
      </c>
    </row>
    <row r="109" spans="1:9" hidden="1" x14ac:dyDescent="0.25">
      <c r="A109" t="s">
        <v>40</v>
      </c>
      <c r="B109" t="s">
        <v>94</v>
      </c>
      <c r="C109" t="s">
        <v>126</v>
      </c>
      <c r="D109" s="7">
        <v>44637</v>
      </c>
      <c r="E109" s="7">
        <v>44669</v>
      </c>
      <c r="F109" s="8">
        <v>0</v>
      </c>
      <c r="G109" s="8">
        <v>0</v>
      </c>
      <c r="H109" s="9">
        <v>768</v>
      </c>
      <c r="I109" t="s">
        <v>55</v>
      </c>
    </row>
    <row r="110" spans="1:9" hidden="1" x14ac:dyDescent="0.25">
      <c r="A110" t="s">
        <v>41</v>
      </c>
      <c r="B110" t="s">
        <v>94</v>
      </c>
      <c r="C110" t="s">
        <v>170</v>
      </c>
      <c r="D110" s="7">
        <v>44669</v>
      </c>
      <c r="E110" s="7">
        <v>44676</v>
      </c>
      <c r="F110" s="8">
        <v>0</v>
      </c>
      <c r="G110" s="8">
        <v>0</v>
      </c>
      <c r="H110" s="9">
        <v>168</v>
      </c>
      <c r="I110" t="s">
        <v>55</v>
      </c>
    </row>
    <row r="111" spans="1:9" hidden="1" x14ac:dyDescent="0.25">
      <c r="A111" t="s">
        <v>40</v>
      </c>
      <c r="B111" t="s">
        <v>28</v>
      </c>
      <c r="C111" t="s">
        <v>103</v>
      </c>
      <c r="D111" s="7">
        <v>44666</v>
      </c>
      <c r="E111" s="7">
        <v>44670</v>
      </c>
      <c r="F111" s="8">
        <v>0</v>
      </c>
      <c r="G111" s="8">
        <v>0</v>
      </c>
      <c r="H111" s="9">
        <v>96</v>
      </c>
      <c r="I111" t="s">
        <v>55</v>
      </c>
    </row>
    <row r="112" spans="1:9" hidden="1" x14ac:dyDescent="0.25">
      <c r="A112" t="s">
        <v>40</v>
      </c>
      <c r="B112" t="s">
        <v>94</v>
      </c>
      <c r="C112" t="s">
        <v>126</v>
      </c>
      <c r="D112" s="7">
        <v>44644</v>
      </c>
      <c r="E112" s="7">
        <v>44670</v>
      </c>
      <c r="F112" s="8">
        <v>0</v>
      </c>
      <c r="G112" s="8">
        <v>0</v>
      </c>
      <c r="H112" s="9">
        <v>624</v>
      </c>
      <c r="I112" t="s">
        <v>55</v>
      </c>
    </row>
    <row r="113" spans="1:9" hidden="1" x14ac:dyDescent="0.25">
      <c r="A113" t="s">
        <v>60</v>
      </c>
      <c r="B113" t="s">
        <v>94</v>
      </c>
      <c r="C113" t="s">
        <v>171</v>
      </c>
      <c r="D113" s="7">
        <v>44670</v>
      </c>
      <c r="E113" s="7">
        <v>44677</v>
      </c>
      <c r="F113" s="8">
        <v>0</v>
      </c>
      <c r="G113" s="8">
        <v>0</v>
      </c>
      <c r="H113" s="9">
        <v>168</v>
      </c>
      <c r="I113" t="s">
        <v>55</v>
      </c>
    </row>
    <row r="114" spans="1:9" hidden="1" x14ac:dyDescent="0.25">
      <c r="A114" t="s">
        <v>40</v>
      </c>
      <c r="B114" t="s">
        <v>94</v>
      </c>
      <c r="C114" t="s">
        <v>126</v>
      </c>
      <c r="D114" s="7">
        <v>44651</v>
      </c>
      <c r="E114" s="7">
        <v>44670</v>
      </c>
      <c r="F114" s="8">
        <v>0</v>
      </c>
      <c r="G114" s="8">
        <v>0</v>
      </c>
      <c r="H114" s="9">
        <v>456</v>
      </c>
      <c r="I114" t="s">
        <v>55</v>
      </c>
    </row>
    <row r="115" spans="1:9" hidden="1" x14ac:dyDescent="0.25">
      <c r="A115" t="s">
        <v>41</v>
      </c>
      <c r="B115" t="s">
        <v>94</v>
      </c>
      <c r="C115" t="s">
        <v>75</v>
      </c>
      <c r="D115" s="7">
        <v>44671</v>
      </c>
      <c r="E115" s="7">
        <v>44673</v>
      </c>
      <c r="F115" s="8">
        <v>0</v>
      </c>
      <c r="G115" s="8">
        <v>0</v>
      </c>
      <c r="H115" s="9">
        <v>48</v>
      </c>
      <c r="I115" t="s">
        <v>55</v>
      </c>
    </row>
    <row r="116" spans="1:9" hidden="1" x14ac:dyDescent="0.25">
      <c r="A116" t="s">
        <v>40</v>
      </c>
      <c r="B116" t="s">
        <v>94</v>
      </c>
      <c r="C116" t="s">
        <v>172</v>
      </c>
      <c r="D116" s="7">
        <v>44671</v>
      </c>
      <c r="E116" s="7">
        <v>44673</v>
      </c>
      <c r="F116" s="8">
        <v>0</v>
      </c>
      <c r="G116" s="8">
        <v>0</v>
      </c>
      <c r="H116" s="9">
        <v>48</v>
      </c>
      <c r="I116" t="s">
        <v>55</v>
      </c>
    </row>
    <row r="117" spans="1:9" hidden="1" x14ac:dyDescent="0.25">
      <c r="A117" t="s">
        <v>42</v>
      </c>
      <c r="B117" t="s">
        <v>94</v>
      </c>
      <c r="C117" t="s">
        <v>208</v>
      </c>
      <c r="D117" s="7">
        <v>44671</v>
      </c>
      <c r="E117" s="7">
        <v>44684</v>
      </c>
      <c r="F117" s="8">
        <v>0</v>
      </c>
      <c r="G117" s="8">
        <v>0</v>
      </c>
      <c r="H117" s="9">
        <v>312</v>
      </c>
      <c r="I117" t="s">
        <v>55</v>
      </c>
    </row>
    <row r="118" spans="1:9" hidden="1" x14ac:dyDescent="0.25">
      <c r="A118" t="s">
        <v>41</v>
      </c>
      <c r="B118" t="s">
        <v>94</v>
      </c>
      <c r="C118" t="s">
        <v>173</v>
      </c>
      <c r="D118" s="7">
        <v>44671</v>
      </c>
      <c r="E118" s="7">
        <v>44673</v>
      </c>
      <c r="F118" s="8">
        <v>0</v>
      </c>
      <c r="G118" s="8">
        <v>0</v>
      </c>
      <c r="H118" s="9">
        <v>48</v>
      </c>
      <c r="I118" t="s">
        <v>55</v>
      </c>
    </row>
    <row r="119" spans="1:9" hidden="1" x14ac:dyDescent="0.25">
      <c r="A119" t="s">
        <v>41</v>
      </c>
      <c r="B119" t="s">
        <v>94</v>
      </c>
      <c r="C119" t="s">
        <v>75</v>
      </c>
      <c r="D119" s="7">
        <v>44671</v>
      </c>
      <c r="E119" s="7">
        <v>44672</v>
      </c>
      <c r="F119" s="8">
        <v>0</v>
      </c>
      <c r="G119" s="8">
        <v>0</v>
      </c>
      <c r="H119" s="9">
        <v>24</v>
      </c>
      <c r="I119" t="s">
        <v>55</v>
      </c>
    </row>
    <row r="120" spans="1:9" hidden="1" x14ac:dyDescent="0.25">
      <c r="A120" t="s">
        <v>42</v>
      </c>
      <c r="B120" t="s">
        <v>94</v>
      </c>
      <c r="C120" t="s">
        <v>174</v>
      </c>
      <c r="D120" s="7">
        <v>44672</v>
      </c>
      <c r="E120" s="7">
        <v>44673</v>
      </c>
      <c r="F120" s="8">
        <v>0</v>
      </c>
      <c r="G120" s="8">
        <v>0</v>
      </c>
      <c r="H120" s="9">
        <v>24</v>
      </c>
      <c r="I120" t="s">
        <v>55</v>
      </c>
    </row>
    <row r="121" spans="1:9" hidden="1" x14ac:dyDescent="0.25">
      <c r="A121" t="s">
        <v>40</v>
      </c>
      <c r="C121" t="s">
        <v>175</v>
      </c>
      <c r="D121" s="7">
        <v>44673</v>
      </c>
      <c r="E121" s="7">
        <v>44673</v>
      </c>
      <c r="F121" s="8">
        <v>0</v>
      </c>
      <c r="G121" s="8">
        <v>0</v>
      </c>
      <c r="H121" s="9">
        <v>0</v>
      </c>
      <c r="I121" t="s">
        <v>55</v>
      </c>
    </row>
    <row r="122" spans="1:9" hidden="1" x14ac:dyDescent="0.25">
      <c r="A122" t="s">
        <v>42</v>
      </c>
      <c r="B122" t="s">
        <v>94</v>
      </c>
      <c r="C122" t="s">
        <v>176</v>
      </c>
      <c r="D122" s="7">
        <v>44672</v>
      </c>
      <c r="E122" s="7">
        <v>44678</v>
      </c>
      <c r="F122" s="8">
        <v>0</v>
      </c>
      <c r="G122" s="8">
        <v>0</v>
      </c>
      <c r="H122" s="9">
        <v>144</v>
      </c>
      <c r="I122" t="s">
        <v>55</v>
      </c>
    </row>
    <row r="123" spans="1:9" hidden="1" x14ac:dyDescent="0.25">
      <c r="A123" t="s">
        <v>41</v>
      </c>
      <c r="B123" t="s">
        <v>94</v>
      </c>
      <c r="C123" t="s">
        <v>90</v>
      </c>
      <c r="D123" s="7">
        <v>44672</v>
      </c>
      <c r="E123" s="7">
        <v>44673</v>
      </c>
      <c r="F123" s="8">
        <v>0</v>
      </c>
      <c r="G123" s="8">
        <v>0</v>
      </c>
      <c r="H123" s="9">
        <v>24</v>
      </c>
      <c r="I123" t="s">
        <v>55</v>
      </c>
    </row>
    <row r="124" spans="1:9" hidden="1" x14ac:dyDescent="0.25">
      <c r="A124" t="s">
        <v>42</v>
      </c>
      <c r="B124" t="s">
        <v>94</v>
      </c>
      <c r="C124" t="s">
        <v>177</v>
      </c>
      <c r="D124" s="7">
        <v>44672</v>
      </c>
      <c r="E124" s="7">
        <v>44684</v>
      </c>
      <c r="F124" s="8">
        <v>0</v>
      </c>
      <c r="G124" s="8">
        <v>0</v>
      </c>
      <c r="H124" s="9">
        <v>288</v>
      </c>
      <c r="I124" t="s">
        <v>55</v>
      </c>
    </row>
    <row r="125" spans="1:9" hidden="1" x14ac:dyDescent="0.25">
      <c r="A125" t="s">
        <v>40</v>
      </c>
      <c r="B125" t="s">
        <v>94</v>
      </c>
      <c r="C125" t="s">
        <v>126</v>
      </c>
      <c r="D125" s="7">
        <v>44672</v>
      </c>
      <c r="E125" s="7">
        <v>44672</v>
      </c>
      <c r="F125" s="8">
        <v>0</v>
      </c>
      <c r="G125" s="8">
        <v>0</v>
      </c>
      <c r="H125" s="9">
        <v>0</v>
      </c>
      <c r="I125" t="s">
        <v>55</v>
      </c>
    </row>
    <row r="126" spans="1:9" hidden="1" x14ac:dyDescent="0.25">
      <c r="A126" t="s">
        <v>41</v>
      </c>
      <c r="B126" t="s">
        <v>94</v>
      </c>
      <c r="C126" t="s">
        <v>186</v>
      </c>
      <c r="D126" s="7">
        <v>44672</v>
      </c>
      <c r="E126" s="7">
        <v>44673</v>
      </c>
      <c r="F126" s="8">
        <v>0</v>
      </c>
      <c r="G126" s="8">
        <v>0</v>
      </c>
      <c r="H126" s="9">
        <v>24</v>
      </c>
      <c r="I126" t="s">
        <v>55</v>
      </c>
    </row>
    <row r="127" spans="1:9" hidden="1" x14ac:dyDescent="0.25">
      <c r="A127" t="s">
        <v>60</v>
      </c>
      <c r="B127" t="s">
        <v>94</v>
      </c>
      <c r="C127" t="s">
        <v>187</v>
      </c>
      <c r="D127" s="7">
        <v>44672</v>
      </c>
      <c r="E127" s="7">
        <v>44673</v>
      </c>
      <c r="F127" s="8">
        <v>0</v>
      </c>
      <c r="G127" s="8">
        <v>0</v>
      </c>
      <c r="H127" s="9">
        <v>24</v>
      </c>
      <c r="I127" t="s">
        <v>55</v>
      </c>
    </row>
    <row r="128" spans="1:9" hidden="1" x14ac:dyDescent="0.25">
      <c r="A128" t="s">
        <v>40</v>
      </c>
      <c r="B128" t="s">
        <v>94</v>
      </c>
      <c r="C128" t="s">
        <v>178</v>
      </c>
      <c r="D128" s="7">
        <v>44673</v>
      </c>
      <c r="E128" s="7">
        <v>44673</v>
      </c>
      <c r="F128" s="8">
        <v>0</v>
      </c>
      <c r="G128" s="8">
        <v>0</v>
      </c>
      <c r="H128" s="9">
        <v>0</v>
      </c>
      <c r="I128" t="s">
        <v>55</v>
      </c>
    </row>
    <row r="129" spans="1:9" hidden="1" x14ac:dyDescent="0.25">
      <c r="A129" t="s">
        <v>40</v>
      </c>
      <c r="B129" t="s">
        <v>94</v>
      </c>
      <c r="C129" t="s">
        <v>89</v>
      </c>
      <c r="D129" s="7">
        <v>44673</v>
      </c>
      <c r="E129" s="7">
        <v>44680</v>
      </c>
      <c r="F129" s="8">
        <v>0</v>
      </c>
      <c r="G129" s="8">
        <v>0</v>
      </c>
      <c r="H129" s="9">
        <v>168</v>
      </c>
      <c r="I129" t="s">
        <v>55</v>
      </c>
    </row>
    <row r="130" spans="1:9" hidden="1" x14ac:dyDescent="0.25">
      <c r="A130" t="s">
        <v>41</v>
      </c>
      <c r="B130" t="s">
        <v>188</v>
      </c>
      <c r="C130" t="s">
        <v>189</v>
      </c>
      <c r="D130" s="7">
        <v>44673</v>
      </c>
      <c r="E130" s="7">
        <v>44680</v>
      </c>
      <c r="F130" s="8">
        <v>0</v>
      </c>
      <c r="G130" s="8">
        <v>0</v>
      </c>
      <c r="H130" s="9">
        <v>168</v>
      </c>
      <c r="I130" t="s">
        <v>55</v>
      </c>
    </row>
    <row r="131" spans="1:9" hidden="1" x14ac:dyDescent="0.25">
      <c r="A131" t="s">
        <v>60</v>
      </c>
      <c r="B131" t="s">
        <v>94</v>
      </c>
      <c r="C131" t="s">
        <v>179</v>
      </c>
      <c r="D131" s="7">
        <v>44673</v>
      </c>
      <c r="E131" s="7">
        <v>44680</v>
      </c>
      <c r="F131" s="8">
        <v>0</v>
      </c>
      <c r="G131" s="8">
        <v>0</v>
      </c>
      <c r="H131" s="9">
        <v>168</v>
      </c>
      <c r="I131" t="s">
        <v>55</v>
      </c>
    </row>
    <row r="132" spans="1:9" hidden="1" x14ac:dyDescent="0.25">
      <c r="A132" t="s">
        <v>41</v>
      </c>
      <c r="B132" t="s">
        <v>94</v>
      </c>
      <c r="C132" t="s">
        <v>180</v>
      </c>
      <c r="D132" s="7">
        <v>44673</v>
      </c>
      <c r="E132" s="7">
        <v>44680</v>
      </c>
      <c r="F132" s="8">
        <v>0</v>
      </c>
      <c r="G132" s="8">
        <v>0</v>
      </c>
      <c r="H132" s="9">
        <v>168</v>
      </c>
      <c r="I132" t="s">
        <v>55</v>
      </c>
    </row>
    <row r="133" spans="1:9" hidden="1" x14ac:dyDescent="0.25">
      <c r="A133" t="s">
        <v>41</v>
      </c>
      <c r="B133" t="s">
        <v>94</v>
      </c>
      <c r="C133" t="s">
        <v>209</v>
      </c>
      <c r="D133" s="7">
        <v>44673</v>
      </c>
      <c r="E133" s="7">
        <v>44680</v>
      </c>
      <c r="F133" s="8">
        <v>0</v>
      </c>
      <c r="G133" s="8">
        <v>0</v>
      </c>
      <c r="H133" s="9">
        <v>168</v>
      </c>
      <c r="I133" t="s">
        <v>55</v>
      </c>
    </row>
    <row r="134" spans="1:9" hidden="1" x14ac:dyDescent="0.25">
      <c r="A134" t="s">
        <v>101</v>
      </c>
      <c r="B134" t="s">
        <v>94</v>
      </c>
      <c r="C134" t="s">
        <v>210</v>
      </c>
      <c r="D134" s="7">
        <v>44673</v>
      </c>
      <c r="E134" s="7">
        <v>44676</v>
      </c>
      <c r="F134" s="8">
        <v>0</v>
      </c>
      <c r="G134" s="8">
        <v>0</v>
      </c>
      <c r="H134" s="9">
        <v>72</v>
      </c>
      <c r="I134" t="s">
        <v>55</v>
      </c>
    </row>
    <row r="135" spans="1:9" hidden="1" x14ac:dyDescent="0.25">
      <c r="A135" t="s">
        <v>45</v>
      </c>
      <c r="B135" t="s">
        <v>94</v>
      </c>
      <c r="C135" t="s">
        <v>211</v>
      </c>
      <c r="D135" s="7">
        <v>44673</v>
      </c>
      <c r="E135" s="7">
        <v>44683</v>
      </c>
      <c r="F135" s="8">
        <v>0</v>
      </c>
      <c r="G135" s="8">
        <v>0</v>
      </c>
      <c r="H135" s="9">
        <v>240</v>
      </c>
      <c r="I135" t="s">
        <v>55</v>
      </c>
    </row>
    <row r="136" spans="1:9" hidden="1" x14ac:dyDescent="0.25">
      <c r="A136" t="s">
        <v>48</v>
      </c>
      <c r="B136" t="s">
        <v>94</v>
      </c>
      <c r="C136" t="s">
        <v>212</v>
      </c>
      <c r="D136" s="7">
        <v>44673</v>
      </c>
      <c r="E136" s="7">
        <v>44680</v>
      </c>
      <c r="F136" s="8">
        <v>0</v>
      </c>
      <c r="G136" s="8">
        <v>0</v>
      </c>
      <c r="H136" s="9">
        <v>168</v>
      </c>
      <c r="I136" t="s">
        <v>55</v>
      </c>
    </row>
    <row r="137" spans="1:9" hidden="1" x14ac:dyDescent="0.25">
      <c r="A137" t="s">
        <v>40</v>
      </c>
      <c r="B137" t="s">
        <v>188</v>
      </c>
      <c r="C137" t="s">
        <v>213</v>
      </c>
      <c r="D137" s="7">
        <v>44676</v>
      </c>
      <c r="E137" s="7">
        <v>44676</v>
      </c>
      <c r="F137" s="8">
        <v>0</v>
      </c>
      <c r="G137" s="8">
        <v>0</v>
      </c>
      <c r="H137" s="9">
        <v>0</v>
      </c>
      <c r="I137" t="s">
        <v>55</v>
      </c>
    </row>
    <row r="138" spans="1:9" hidden="1" x14ac:dyDescent="0.25">
      <c r="A138" t="s">
        <v>40</v>
      </c>
      <c r="B138" t="s">
        <v>28</v>
      </c>
      <c r="C138" t="s">
        <v>103</v>
      </c>
      <c r="D138" s="7">
        <v>44673</v>
      </c>
      <c r="E138" s="7">
        <v>44676</v>
      </c>
      <c r="F138" s="8">
        <v>0</v>
      </c>
      <c r="G138" s="8">
        <v>0</v>
      </c>
      <c r="H138" s="9">
        <v>72</v>
      </c>
      <c r="I138" t="s">
        <v>55</v>
      </c>
    </row>
    <row r="139" spans="1:9" hidden="1" x14ac:dyDescent="0.25">
      <c r="A139" t="s">
        <v>101</v>
      </c>
      <c r="B139" t="s">
        <v>94</v>
      </c>
      <c r="C139" t="s">
        <v>214</v>
      </c>
      <c r="D139" s="7">
        <v>44676</v>
      </c>
      <c r="E139" s="7">
        <v>44678</v>
      </c>
      <c r="F139" s="8">
        <v>0</v>
      </c>
      <c r="G139" s="8">
        <v>0</v>
      </c>
      <c r="H139" s="9">
        <v>48</v>
      </c>
      <c r="I139" t="s">
        <v>55</v>
      </c>
    </row>
    <row r="140" spans="1:9" hidden="1" x14ac:dyDescent="0.25">
      <c r="A140" t="s">
        <v>43</v>
      </c>
      <c r="B140" t="s">
        <v>94</v>
      </c>
      <c r="C140" t="s">
        <v>215</v>
      </c>
      <c r="D140" s="7">
        <v>44676</v>
      </c>
      <c r="E140" s="7">
        <v>44683</v>
      </c>
      <c r="F140" s="8">
        <v>0</v>
      </c>
      <c r="G140" s="8">
        <v>0</v>
      </c>
      <c r="H140" s="9">
        <v>168</v>
      </c>
      <c r="I140" t="s">
        <v>55</v>
      </c>
    </row>
    <row r="141" spans="1:9" hidden="1" x14ac:dyDescent="0.25">
      <c r="A141" t="s">
        <v>43</v>
      </c>
      <c r="B141" t="s">
        <v>94</v>
      </c>
      <c r="C141" t="s">
        <v>216</v>
      </c>
      <c r="D141" s="7">
        <v>44676</v>
      </c>
      <c r="E141" s="7">
        <v>44683</v>
      </c>
      <c r="F141" s="8">
        <v>0</v>
      </c>
      <c r="G141" s="8">
        <v>0</v>
      </c>
      <c r="H141" s="9">
        <v>168</v>
      </c>
      <c r="I141" t="s">
        <v>55</v>
      </c>
    </row>
    <row r="142" spans="1:9" hidden="1" x14ac:dyDescent="0.25">
      <c r="A142" t="s">
        <v>60</v>
      </c>
      <c r="B142" t="s">
        <v>94</v>
      </c>
      <c r="C142" t="s">
        <v>217</v>
      </c>
      <c r="D142" s="7">
        <v>44676</v>
      </c>
      <c r="E142" s="7">
        <v>44683</v>
      </c>
      <c r="F142" s="8">
        <v>0</v>
      </c>
      <c r="G142" s="8">
        <v>0</v>
      </c>
      <c r="H142" s="9">
        <v>168</v>
      </c>
      <c r="I142" t="s">
        <v>55</v>
      </c>
    </row>
    <row r="143" spans="1:9" hidden="1" x14ac:dyDescent="0.25">
      <c r="A143" t="s">
        <v>60</v>
      </c>
      <c r="B143" t="s">
        <v>94</v>
      </c>
      <c r="C143" t="s">
        <v>217</v>
      </c>
      <c r="D143" s="7">
        <v>44676</v>
      </c>
      <c r="E143" s="7">
        <v>44683</v>
      </c>
      <c r="F143" s="8">
        <v>0</v>
      </c>
      <c r="G143" s="8">
        <v>0</v>
      </c>
      <c r="H143" s="9">
        <v>168</v>
      </c>
      <c r="I143" t="s">
        <v>55</v>
      </c>
    </row>
    <row r="144" spans="1:9" hidden="1" x14ac:dyDescent="0.25">
      <c r="A144" t="s">
        <v>40</v>
      </c>
      <c r="B144" t="s">
        <v>94</v>
      </c>
      <c r="C144" t="s">
        <v>218</v>
      </c>
      <c r="D144" s="7">
        <v>44676</v>
      </c>
      <c r="E144" s="7">
        <v>44683</v>
      </c>
      <c r="F144" s="8">
        <v>0</v>
      </c>
      <c r="G144" s="8">
        <v>0</v>
      </c>
      <c r="H144" s="9">
        <v>168</v>
      </c>
      <c r="I144" t="s">
        <v>55</v>
      </c>
    </row>
    <row r="145" spans="1:9" hidden="1" x14ac:dyDescent="0.25">
      <c r="A145" t="s">
        <v>101</v>
      </c>
      <c r="B145" t="s">
        <v>94</v>
      </c>
      <c r="C145" t="s">
        <v>219</v>
      </c>
      <c r="D145" s="7">
        <v>44676</v>
      </c>
      <c r="E145" s="7">
        <v>44679</v>
      </c>
      <c r="F145" s="8">
        <v>0</v>
      </c>
      <c r="G145" s="8">
        <v>0</v>
      </c>
      <c r="H145" s="9">
        <v>72</v>
      </c>
      <c r="I145" t="s">
        <v>55</v>
      </c>
    </row>
    <row r="146" spans="1:9" hidden="1" x14ac:dyDescent="0.25">
      <c r="A146" t="s">
        <v>47</v>
      </c>
      <c r="B146" t="s">
        <v>94</v>
      </c>
      <c r="C146" t="s">
        <v>220</v>
      </c>
      <c r="D146" s="7">
        <v>44676</v>
      </c>
      <c r="E146" s="7">
        <v>44682</v>
      </c>
      <c r="F146" s="8">
        <v>0</v>
      </c>
      <c r="G146" s="8">
        <v>0</v>
      </c>
      <c r="H146" s="9">
        <v>144</v>
      </c>
      <c r="I146" t="s">
        <v>55</v>
      </c>
    </row>
    <row r="147" spans="1:9" hidden="1" x14ac:dyDescent="0.25">
      <c r="A147" t="s">
        <v>101</v>
      </c>
      <c r="B147" t="s">
        <v>94</v>
      </c>
      <c r="C147" t="s">
        <v>219</v>
      </c>
      <c r="D147" s="7">
        <v>44676</v>
      </c>
      <c r="E147" s="7">
        <v>44682</v>
      </c>
      <c r="F147" s="8">
        <v>0</v>
      </c>
      <c r="G147" s="8">
        <v>0</v>
      </c>
      <c r="H147" s="9">
        <v>144</v>
      </c>
      <c r="I147" t="s">
        <v>55</v>
      </c>
    </row>
    <row r="148" spans="1:9" hidden="1" x14ac:dyDescent="0.25">
      <c r="A148" t="s">
        <v>48</v>
      </c>
      <c r="B148" t="s">
        <v>94</v>
      </c>
      <c r="C148" t="s">
        <v>221</v>
      </c>
      <c r="D148" s="7">
        <v>44676</v>
      </c>
      <c r="E148" s="7">
        <v>44682</v>
      </c>
      <c r="F148" s="8">
        <v>0</v>
      </c>
      <c r="G148" s="8">
        <v>0</v>
      </c>
      <c r="H148" s="9">
        <v>144</v>
      </c>
      <c r="I148" t="s">
        <v>55</v>
      </c>
    </row>
    <row r="149" spans="1:9" hidden="1" x14ac:dyDescent="0.25">
      <c r="A149" t="s">
        <v>48</v>
      </c>
      <c r="B149" t="s">
        <v>94</v>
      </c>
      <c r="C149" t="s">
        <v>221</v>
      </c>
      <c r="D149" s="7">
        <v>44676</v>
      </c>
      <c r="E149" s="7">
        <v>44682</v>
      </c>
      <c r="F149" s="8">
        <v>0</v>
      </c>
      <c r="G149" s="8">
        <v>0</v>
      </c>
      <c r="H149" s="9">
        <v>144</v>
      </c>
      <c r="I149" t="s">
        <v>55</v>
      </c>
    </row>
    <row r="150" spans="1:9" hidden="1" x14ac:dyDescent="0.25">
      <c r="A150" t="s">
        <v>60</v>
      </c>
      <c r="B150" t="s">
        <v>94</v>
      </c>
      <c r="C150" t="s">
        <v>222</v>
      </c>
      <c r="D150" s="7">
        <v>44676</v>
      </c>
      <c r="E150" s="7">
        <v>44683</v>
      </c>
      <c r="F150" s="8">
        <v>0</v>
      </c>
      <c r="G150" s="8">
        <v>0</v>
      </c>
      <c r="H150" s="9">
        <v>168</v>
      </c>
      <c r="I150" t="s">
        <v>55</v>
      </c>
    </row>
    <row r="151" spans="1:9" hidden="1" x14ac:dyDescent="0.25">
      <c r="A151" t="s">
        <v>41</v>
      </c>
      <c r="B151" t="s">
        <v>94</v>
      </c>
      <c r="C151" t="s">
        <v>223</v>
      </c>
      <c r="D151" s="7">
        <v>44676</v>
      </c>
      <c r="E151" s="7">
        <v>44682</v>
      </c>
      <c r="F151" s="8">
        <v>0</v>
      </c>
      <c r="G151" s="8">
        <v>0</v>
      </c>
      <c r="H151" s="9">
        <v>144</v>
      </c>
      <c r="I151" t="s">
        <v>55</v>
      </c>
    </row>
    <row r="152" spans="1:9" hidden="1" x14ac:dyDescent="0.25">
      <c r="A152" t="s">
        <v>47</v>
      </c>
      <c r="B152" t="s">
        <v>94</v>
      </c>
      <c r="C152" t="s">
        <v>224</v>
      </c>
      <c r="D152" s="7">
        <v>44677</v>
      </c>
      <c r="E152" s="7">
        <v>44684</v>
      </c>
      <c r="F152" s="8">
        <v>0</v>
      </c>
      <c r="G152" s="8">
        <v>0</v>
      </c>
      <c r="H152" s="9">
        <v>168</v>
      </c>
      <c r="I152" t="s">
        <v>55</v>
      </c>
    </row>
    <row r="153" spans="1:9" hidden="1" x14ac:dyDescent="0.25">
      <c r="A153" t="s">
        <v>40</v>
      </c>
      <c r="B153" t="s">
        <v>94</v>
      </c>
      <c r="C153" t="s">
        <v>225</v>
      </c>
      <c r="D153" s="7">
        <v>44677</v>
      </c>
      <c r="E153" s="7">
        <v>44684</v>
      </c>
      <c r="F153" s="8">
        <v>0</v>
      </c>
      <c r="G153" s="8">
        <v>0</v>
      </c>
      <c r="H153" s="9">
        <v>168</v>
      </c>
      <c r="I153" t="s">
        <v>55</v>
      </c>
    </row>
    <row r="154" spans="1:9" hidden="1" x14ac:dyDescent="0.25">
      <c r="A154" t="s">
        <v>40</v>
      </c>
      <c r="B154" t="s">
        <v>94</v>
      </c>
      <c r="C154" t="s">
        <v>226</v>
      </c>
      <c r="D154" s="7">
        <v>44677</v>
      </c>
      <c r="E154" s="7">
        <v>44684</v>
      </c>
      <c r="F154" s="8">
        <v>0</v>
      </c>
      <c r="G154" s="8">
        <v>0</v>
      </c>
      <c r="H154" s="9">
        <v>168</v>
      </c>
      <c r="I154" t="s">
        <v>55</v>
      </c>
    </row>
    <row r="155" spans="1:9" hidden="1" x14ac:dyDescent="0.25">
      <c r="A155" t="s">
        <v>41</v>
      </c>
      <c r="B155" t="s">
        <v>94</v>
      </c>
      <c r="C155" t="s">
        <v>227</v>
      </c>
      <c r="D155" s="7">
        <v>44677</v>
      </c>
      <c r="E155" s="7">
        <v>44678</v>
      </c>
      <c r="F155" s="8">
        <v>0</v>
      </c>
      <c r="G155" s="8">
        <v>0</v>
      </c>
      <c r="H155" s="9">
        <v>24</v>
      </c>
      <c r="I155" t="s">
        <v>55</v>
      </c>
    </row>
    <row r="156" spans="1:9" hidden="1" x14ac:dyDescent="0.25">
      <c r="A156" t="s">
        <v>41</v>
      </c>
      <c r="B156" t="s">
        <v>94</v>
      </c>
      <c r="C156" t="s">
        <v>228</v>
      </c>
      <c r="D156" s="7">
        <v>44678</v>
      </c>
      <c r="E156" s="7">
        <v>44678</v>
      </c>
      <c r="F156" s="8">
        <v>0</v>
      </c>
      <c r="G156" s="8">
        <v>0</v>
      </c>
      <c r="H156" s="9">
        <v>0</v>
      </c>
      <c r="I156" t="s">
        <v>55</v>
      </c>
    </row>
    <row r="157" spans="1:9" hidden="1" x14ac:dyDescent="0.25">
      <c r="A157" t="s">
        <v>40</v>
      </c>
      <c r="B157" t="s">
        <v>229</v>
      </c>
      <c r="C157" t="s">
        <v>230</v>
      </c>
      <c r="D157" s="7">
        <v>44678</v>
      </c>
      <c r="E157" s="7">
        <v>44686</v>
      </c>
      <c r="F157" s="8">
        <v>0</v>
      </c>
      <c r="G157" s="8">
        <v>0</v>
      </c>
      <c r="H157" s="9">
        <v>192</v>
      </c>
      <c r="I157" t="s">
        <v>55</v>
      </c>
    </row>
    <row r="158" spans="1:9" hidden="1" x14ac:dyDescent="0.25">
      <c r="A158" t="s">
        <v>48</v>
      </c>
      <c r="B158" t="s">
        <v>94</v>
      </c>
      <c r="C158" t="s">
        <v>221</v>
      </c>
      <c r="D158" s="7">
        <v>44678</v>
      </c>
      <c r="E158" s="7">
        <v>44678</v>
      </c>
      <c r="F158" s="8">
        <v>0</v>
      </c>
      <c r="G158" s="8">
        <v>0</v>
      </c>
      <c r="H158" s="9">
        <v>0</v>
      </c>
      <c r="I158" t="s">
        <v>55</v>
      </c>
    </row>
    <row r="159" spans="1:9" hidden="1" x14ac:dyDescent="0.25">
      <c r="A159" t="s">
        <v>101</v>
      </c>
      <c r="B159" t="s">
        <v>94</v>
      </c>
      <c r="C159" t="s">
        <v>219</v>
      </c>
      <c r="D159" s="7">
        <v>44678</v>
      </c>
      <c r="E159" s="7">
        <v>44678</v>
      </c>
      <c r="F159" s="8">
        <v>0</v>
      </c>
      <c r="G159" s="8">
        <v>0</v>
      </c>
      <c r="H159" s="9">
        <v>0</v>
      </c>
      <c r="I159" t="s">
        <v>55</v>
      </c>
    </row>
    <row r="160" spans="1:9" x14ac:dyDescent="0.25">
      <c r="A160" t="s">
        <v>40</v>
      </c>
      <c r="B160" t="s">
        <v>323</v>
      </c>
      <c r="C160" t="s">
        <v>324</v>
      </c>
      <c r="D160" s="7">
        <v>44700</v>
      </c>
      <c r="E160" s="7">
        <v>44704</v>
      </c>
      <c r="F160" s="8">
        <v>0</v>
      </c>
      <c r="G160" s="8">
        <v>0</v>
      </c>
      <c r="H160" s="9">
        <v>96</v>
      </c>
      <c r="I160" t="s">
        <v>55</v>
      </c>
    </row>
    <row r="161" spans="1:9" x14ac:dyDescent="0.25">
      <c r="A161" t="s">
        <v>40</v>
      </c>
      <c r="B161" t="s">
        <v>28</v>
      </c>
      <c r="C161" t="s">
        <v>103</v>
      </c>
      <c r="D161" s="7">
        <v>44687</v>
      </c>
      <c r="E161" s="7">
        <v>44690</v>
      </c>
      <c r="F161" s="8">
        <v>0</v>
      </c>
      <c r="G161" s="8">
        <v>0</v>
      </c>
      <c r="H161" s="9">
        <v>72</v>
      </c>
      <c r="I161" t="s">
        <v>55</v>
      </c>
    </row>
    <row r="162" spans="1:9" x14ac:dyDescent="0.25">
      <c r="A162" t="s">
        <v>40</v>
      </c>
      <c r="B162" t="s">
        <v>28</v>
      </c>
      <c r="C162" t="s">
        <v>103</v>
      </c>
      <c r="D162" s="7">
        <v>44694</v>
      </c>
      <c r="E162" s="7">
        <v>44697</v>
      </c>
      <c r="F162" s="8">
        <v>0</v>
      </c>
      <c r="G162" s="8">
        <v>0</v>
      </c>
      <c r="H162" s="9">
        <v>72</v>
      </c>
      <c r="I162" t="s">
        <v>55</v>
      </c>
    </row>
    <row r="163" spans="1:9" x14ac:dyDescent="0.25">
      <c r="A163" t="s">
        <v>40</v>
      </c>
      <c r="B163" t="s">
        <v>28</v>
      </c>
      <c r="C163" t="s">
        <v>103</v>
      </c>
      <c r="D163" s="7">
        <v>44701</v>
      </c>
      <c r="E163" s="7">
        <v>44704</v>
      </c>
      <c r="F163" s="8">
        <v>0</v>
      </c>
      <c r="G163" s="8">
        <v>0</v>
      </c>
      <c r="H163" s="9">
        <v>72</v>
      </c>
      <c r="I163" t="s">
        <v>55</v>
      </c>
    </row>
    <row r="164" spans="1:9" x14ac:dyDescent="0.25">
      <c r="A164" t="s">
        <v>40</v>
      </c>
      <c r="B164" t="s">
        <v>28</v>
      </c>
      <c r="C164" t="s">
        <v>103</v>
      </c>
      <c r="D164" s="7">
        <v>44708</v>
      </c>
      <c r="E164" s="7">
        <v>44714</v>
      </c>
      <c r="F164" s="8">
        <v>0</v>
      </c>
      <c r="G164" s="8">
        <v>0</v>
      </c>
      <c r="H164" s="9">
        <v>144</v>
      </c>
      <c r="I164" t="s">
        <v>55</v>
      </c>
    </row>
    <row r="165" spans="1:9" hidden="1" x14ac:dyDescent="0.25">
      <c r="A165" t="s">
        <v>233</v>
      </c>
      <c r="B165" t="s">
        <v>94</v>
      </c>
      <c r="C165" t="s">
        <v>235</v>
      </c>
      <c r="D165" s="7">
        <v>44678</v>
      </c>
      <c r="E165" s="7">
        <v>44680</v>
      </c>
      <c r="F165" s="8">
        <v>0</v>
      </c>
      <c r="G165" s="8">
        <v>0</v>
      </c>
      <c r="H165" s="9">
        <v>48</v>
      </c>
      <c r="I165" t="s">
        <v>55</v>
      </c>
    </row>
    <row r="166" spans="1:9" hidden="1" x14ac:dyDescent="0.25">
      <c r="A166" t="s">
        <v>101</v>
      </c>
      <c r="B166" t="s">
        <v>94</v>
      </c>
      <c r="C166" t="s">
        <v>236</v>
      </c>
      <c r="D166" s="7">
        <v>44679</v>
      </c>
      <c r="E166" s="7">
        <v>44684</v>
      </c>
      <c r="F166" s="8">
        <v>0</v>
      </c>
      <c r="G166" s="8">
        <v>0</v>
      </c>
      <c r="H166" s="9">
        <v>120</v>
      </c>
      <c r="I166" t="s">
        <v>55</v>
      </c>
    </row>
    <row r="167" spans="1:9" x14ac:dyDescent="0.25">
      <c r="A167" t="s">
        <v>40</v>
      </c>
      <c r="B167" t="s">
        <v>28</v>
      </c>
      <c r="C167" t="s">
        <v>103</v>
      </c>
      <c r="D167" s="7">
        <v>44715</v>
      </c>
      <c r="E167" s="7">
        <v>44721</v>
      </c>
      <c r="F167" s="8">
        <v>0</v>
      </c>
      <c r="G167" s="8">
        <v>0</v>
      </c>
      <c r="H167" s="9">
        <v>144</v>
      </c>
      <c r="I167" t="s">
        <v>55</v>
      </c>
    </row>
    <row r="168" spans="1:9" hidden="1" x14ac:dyDescent="0.25">
      <c r="A168" t="s">
        <v>41</v>
      </c>
      <c r="B168" t="s">
        <v>94</v>
      </c>
      <c r="C168" t="s">
        <v>237</v>
      </c>
      <c r="D168" s="7">
        <v>44679</v>
      </c>
      <c r="E168" s="7">
        <v>44683</v>
      </c>
      <c r="F168" s="8">
        <v>0</v>
      </c>
      <c r="G168" s="8">
        <v>0</v>
      </c>
      <c r="H168" s="9">
        <v>96</v>
      </c>
      <c r="I168" t="s">
        <v>55</v>
      </c>
    </row>
    <row r="169" spans="1:9" x14ac:dyDescent="0.25">
      <c r="A169" t="s">
        <v>40</v>
      </c>
      <c r="B169" t="s">
        <v>94</v>
      </c>
      <c r="C169" t="s">
        <v>73</v>
      </c>
      <c r="D169" s="7">
        <v>44656</v>
      </c>
      <c r="E169" s="7">
        <v>44658</v>
      </c>
      <c r="F169" s="8">
        <v>0</v>
      </c>
      <c r="G169" s="8">
        <v>0</v>
      </c>
      <c r="H169" s="9">
        <v>48</v>
      </c>
      <c r="I169" t="s">
        <v>55</v>
      </c>
    </row>
    <row r="170" spans="1:9" x14ac:dyDescent="0.25">
      <c r="A170" t="s">
        <v>48</v>
      </c>
      <c r="B170" t="s">
        <v>94</v>
      </c>
      <c r="C170" t="s">
        <v>221</v>
      </c>
      <c r="D170" s="7">
        <v>44678</v>
      </c>
      <c r="E170" s="7">
        <v>44685</v>
      </c>
      <c r="F170" s="8">
        <v>0</v>
      </c>
      <c r="G170" s="8">
        <v>0</v>
      </c>
      <c r="H170" s="9">
        <v>168</v>
      </c>
      <c r="I170" t="s">
        <v>55</v>
      </c>
    </row>
    <row r="171" spans="1:9" x14ac:dyDescent="0.25">
      <c r="A171" t="s">
        <v>43</v>
      </c>
      <c r="B171" t="s">
        <v>94</v>
      </c>
      <c r="C171" t="s">
        <v>215</v>
      </c>
      <c r="D171" s="7">
        <v>44679</v>
      </c>
      <c r="E171" s="7">
        <v>44686</v>
      </c>
      <c r="F171" s="8">
        <v>0</v>
      </c>
      <c r="G171" s="8">
        <v>0</v>
      </c>
      <c r="H171" s="9">
        <v>168</v>
      </c>
      <c r="I171" t="s">
        <v>55</v>
      </c>
    </row>
    <row r="172" spans="1:9" x14ac:dyDescent="0.25">
      <c r="A172" t="s">
        <v>48</v>
      </c>
      <c r="B172" t="s">
        <v>94</v>
      </c>
      <c r="C172" t="s">
        <v>238</v>
      </c>
      <c r="D172" s="7">
        <v>44679</v>
      </c>
      <c r="E172" s="7">
        <v>44685</v>
      </c>
      <c r="F172" s="8">
        <v>0</v>
      </c>
      <c r="G172" s="8">
        <v>0</v>
      </c>
      <c r="H172" s="9">
        <v>144</v>
      </c>
      <c r="I172" t="s">
        <v>55</v>
      </c>
    </row>
    <row r="173" spans="1:9" hidden="1" x14ac:dyDescent="0.25">
      <c r="A173" t="s">
        <v>101</v>
      </c>
      <c r="B173" t="s">
        <v>94</v>
      </c>
      <c r="C173" t="s">
        <v>241</v>
      </c>
      <c r="D173" s="7">
        <v>44680</v>
      </c>
      <c r="E173" s="7">
        <v>44684</v>
      </c>
      <c r="F173" s="8">
        <v>0</v>
      </c>
      <c r="G173" s="8">
        <v>0</v>
      </c>
      <c r="H173" s="9">
        <v>96</v>
      </c>
      <c r="I173" t="s">
        <v>55</v>
      </c>
    </row>
    <row r="174" spans="1:9" hidden="1" x14ac:dyDescent="0.25">
      <c r="A174" t="s">
        <v>91</v>
      </c>
      <c r="B174" t="s">
        <v>94</v>
      </c>
      <c r="C174" t="s">
        <v>245</v>
      </c>
      <c r="D174" s="7">
        <v>44680</v>
      </c>
      <c r="E174" s="7">
        <v>44686</v>
      </c>
      <c r="F174" s="8">
        <v>0</v>
      </c>
      <c r="G174" s="8">
        <v>0</v>
      </c>
      <c r="H174" s="9">
        <v>144</v>
      </c>
      <c r="I174" t="s">
        <v>55</v>
      </c>
    </row>
    <row r="175" spans="1:9" hidden="1" x14ac:dyDescent="0.25">
      <c r="A175" t="s">
        <v>95</v>
      </c>
      <c r="B175" t="s">
        <v>94</v>
      </c>
      <c r="C175" t="s">
        <v>246</v>
      </c>
      <c r="D175" s="7">
        <v>44683</v>
      </c>
      <c r="E175" s="7">
        <v>44690</v>
      </c>
      <c r="F175" s="8">
        <v>0</v>
      </c>
      <c r="G175" s="8">
        <v>0</v>
      </c>
      <c r="H175" s="9">
        <v>168</v>
      </c>
      <c r="I175" t="s">
        <v>55</v>
      </c>
    </row>
    <row r="176" spans="1:9" hidden="1" x14ac:dyDescent="0.25">
      <c r="A176" t="s">
        <v>43</v>
      </c>
      <c r="B176" t="s">
        <v>94</v>
      </c>
      <c r="C176" t="s">
        <v>247</v>
      </c>
      <c r="D176" s="7">
        <v>44683</v>
      </c>
      <c r="E176" s="7">
        <v>44690</v>
      </c>
      <c r="F176" s="8">
        <v>0</v>
      </c>
      <c r="G176" s="8">
        <v>0</v>
      </c>
      <c r="H176" s="9">
        <v>168</v>
      </c>
      <c r="I176" t="s">
        <v>55</v>
      </c>
    </row>
    <row r="177" spans="1:9" hidden="1" x14ac:dyDescent="0.25">
      <c r="A177" t="s">
        <v>43</v>
      </c>
      <c r="B177" t="s">
        <v>94</v>
      </c>
      <c r="C177" t="s">
        <v>215</v>
      </c>
      <c r="D177" s="7">
        <v>44683</v>
      </c>
      <c r="E177" s="7">
        <v>44687</v>
      </c>
      <c r="F177" s="8">
        <v>0</v>
      </c>
      <c r="G177" s="8">
        <v>0</v>
      </c>
      <c r="H177" s="9">
        <v>96</v>
      </c>
      <c r="I177" t="s">
        <v>55</v>
      </c>
    </row>
    <row r="178" spans="1:9" hidden="1" x14ac:dyDescent="0.25">
      <c r="A178" t="s">
        <v>43</v>
      </c>
      <c r="B178" t="s">
        <v>94</v>
      </c>
      <c r="C178" t="s">
        <v>215</v>
      </c>
      <c r="D178" s="7">
        <v>44683</v>
      </c>
      <c r="E178" s="7">
        <v>44687</v>
      </c>
      <c r="F178" s="8">
        <v>0</v>
      </c>
      <c r="G178" s="8">
        <v>0</v>
      </c>
      <c r="H178" s="9">
        <v>96</v>
      </c>
      <c r="I178" t="s">
        <v>55</v>
      </c>
    </row>
    <row r="179" spans="1:9" hidden="1" x14ac:dyDescent="0.25">
      <c r="A179" t="s">
        <v>40</v>
      </c>
      <c r="B179" t="s">
        <v>94</v>
      </c>
      <c r="C179" t="s">
        <v>248</v>
      </c>
      <c r="D179" s="7">
        <v>44683</v>
      </c>
      <c r="E179" s="7">
        <v>44687</v>
      </c>
      <c r="F179" s="8">
        <v>0</v>
      </c>
      <c r="G179" s="8">
        <v>0</v>
      </c>
      <c r="H179" s="9">
        <v>96</v>
      </c>
      <c r="I179" t="s">
        <v>55</v>
      </c>
    </row>
    <row r="180" spans="1:9" hidden="1" x14ac:dyDescent="0.25">
      <c r="A180" t="s">
        <v>60</v>
      </c>
      <c r="B180" t="s">
        <v>94</v>
      </c>
      <c r="C180" t="s">
        <v>249</v>
      </c>
      <c r="D180" s="7">
        <v>44683</v>
      </c>
      <c r="E180" s="7">
        <v>44690</v>
      </c>
      <c r="F180" s="8">
        <v>0</v>
      </c>
      <c r="G180" s="8">
        <v>0</v>
      </c>
      <c r="H180" s="9">
        <v>168</v>
      </c>
      <c r="I180" t="s">
        <v>55</v>
      </c>
    </row>
    <row r="181" spans="1:9" hidden="1" x14ac:dyDescent="0.25">
      <c r="A181" t="s">
        <v>101</v>
      </c>
      <c r="B181" t="s">
        <v>94</v>
      </c>
      <c r="C181" t="s">
        <v>240</v>
      </c>
      <c r="D181" s="7">
        <v>44684</v>
      </c>
      <c r="E181" s="7">
        <v>44687</v>
      </c>
      <c r="F181" s="8">
        <v>0</v>
      </c>
      <c r="G181" s="8">
        <v>0</v>
      </c>
      <c r="H181" s="9">
        <v>72</v>
      </c>
      <c r="I181" t="s">
        <v>55</v>
      </c>
    </row>
    <row r="182" spans="1:9" hidden="1" x14ac:dyDescent="0.25">
      <c r="A182" t="s">
        <v>40</v>
      </c>
      <c r="B182" t="s">
        <v>28</v>
      </c>
      <c r="C182" t="s">
        <v>103</v>
      </c>
      <c r="D182" s="7">
        <v>44680</v>
      </c>
      <c r="E182" s="7">
        <v>44684</v>
      </c>
      <c r="F182" s="8">
        <v>0</v>
      </c>
      <c r="G182" s="8">
        <v>0</v>
      </c>
      <c r="H182" s="9">
        <v>96</v>
      </c>
      <c r="I182" t="s">
        <v>55</v>
      </c>
    </row>
    <row r="183" spans="1:9" hidden="1" x14ac:dyDescent="0.25">
      <c r="A183" t="s">
        <v>49</v>
      </c>
      <c r="B183" t="s">
        <v>94</v>
      </c>
      <c r="C183" t="s">
        <v>268</v>
      </c>
      <c r="D183" s="7">
        <v>44684</v>
      </c>
      <c r="E183" s="7">
        <v>44700</v>
      </c>
      <c r="F183" s="8">
        <v>0</v>
      </c>
      <c r="G183" s="8">
        <v>0</v>
      </c>
      <c r="H183" s="9">
        <v>384</v>
      </c>
      <c r="I183" t="s">
        <v>55</v>
      </c>
    </row>
    <row r="184" spans="1:9" hidden="1" x14ac:dyDescent="0.25">
      <c r="A184" t="s">
        <v>101</v>
      </c>
      <c r="C184" t="s">
        <v>269</v>
      </c>
      <c r="D184" s="7">
        <v>44685</v>
      </c>
      <c r="E184" s="7">
        <v>44698</v>
      </c>
      <c r="F184" s="8">
        <v>0</v>
      </c>
      <c r="G184" s="8">
        <v>0</v>
      </c>
      <c r="H184" s="9">
        <v>312</v>
      </c>
      <c r="I184" t="s">
        <v>55</v>
      </c>
    </row>
    <row r="185" spans="1:9" hidden="1" x14ac:dyDescent="0.25">
      <c r="A185" t="s">
        <v>48</v>
      </c>
      <c r="C185" t="s">
        <v>334</v>
      </c>
      <c r="D185" s="7">
        <v>44685</v>
      </c>
      <c r="E185" s="7">
        <v>44713</v>
      </c>
      <c r="F185" s="8">
        <v>0</v>
      </c>
      <c r="G185" s="8">
        <v>0</v>
      </c>
      <c r="H185" s="9">
        <v>672</v>
      </c>
      <c r="I185" t="s">
        <v>55</v>
      </c>
    </row>
    <row r="186" spans="1:9" hidden="1" x14ac:dyDescent="0.25">
      <c r="A186" t="s">
        <v>40</v>
      </c>
      <c r="B186" t="s">
        <v>94</v>
      </c>
      <c r="C186" t="s">
        <v>126</v>
      </c>
      <c r="D186" s="7">
        <v>44686</v>
      </c>
      <c r="E186" s="7">
        <v>44686</v>
      </c>
      <c r="F186" s="8">
        <v>0</v>
      </c>
      <c r="G186" s="8">
        <v>0</v>
      </c>
      <c r="H186" s="9">
        <v>0</v>
      </c>
      <c r="I186" t="s">
        <v>55</v>
      </c>
    </row>
    <row r="187" spans="1:9" hidden="1" x14ac:dyDescent="0.25">
      <c r="A187" t="s">
        <v>41</v>
      </c>
      <c r="B187" t="s">
        <v>94</v>
      </c>
      <c r="C187" t="s">
        <v>250</v>
      </c>
      <c r="D187" s="7">
        <v>44686</v>
      </c>
      <c r="E187" s="7">
        <v>44693</v>
      </c>
      <c r="F187" s="8">
        <v>0</v>
      </c>
      <c r="G187" s="8">
        <v>0</v>
      </c>
      <c r="H187" s="9">
        <v>168</v>
      </c>
      <c r="I187" t="s">
        <v>55</v>
      </c>
    </row>
    <row r="188" spans="1:9" hidden="1" x14ac:dyDescent="0.25">
      <c r="A188" t="s">
        <v>43</v>
      </c>
      <c r="B188" t="s">
        <v>94</v>
      </c>
      <c r="C188" t="s">
        <v>251</v>
      </c>
      <c r="D188" s="7">
        <v>44686</v>
      </c>
      <c r="E188" s="7">
        <v>44693</v>
      </c>
      <c r="F188" s="8">
        <v>0</v>
      </c>
      <c r="G188" s="8">
        <v>0</v>
      </c>
      <c r="H188" s="9">
        <v>168</v>
      </c>
      <c r="I188" t="s">
        <v>55</v>
      </c>
    </row>
    <row r="189" spans="1:9" hidden="1" x14ac:dyDescent="0.25">
      <c r="A189" t="s">
        <v>43</v>
      </c>
      <c r="B189" t="s">
        <v>94</v>
      </c>
      <c r="C189" t="s">
        <v>252</v>
      </c>
      <c r="D189" s="7">
        <v>44686</v>
      </c>
      <c r="E189" s="7">
        <v>44693</v>
      </c>
      <c r="F189" s="8">
        <v>0</v>
      </c>
      <c r="G189" s="8">
        <v>0</v>
      </c>
      <c r="H189" s="9">
        <v>168</v>
      </c>
      <c r="I189" t="s">
        <v>55</v>
      </c>
    </row>
    <row r="190" spans="1:9" hidden="1" x14ac:dyDescent="0.25">
      <c r="A190" t="s">
        <v>60</v>
      </c>
      <c r="B190" t="s">
        <v>94</v>
      </c>
      <c r="C190" t="s">
        <v>253</v>
      </c>
      <c r="D190" s="7">
        <v>44686</v>
      </c>
      <c r="E190" s="7">
        <v>44693</v>
      </c>
      <c r="F190" s="8">
        <v>0</v>
      </c>
      <c r="G190" s="8">
        <v>0</v>
      </c>
      <c r="H190" s="9">
        <v>168</v>
      </c>
      <c r="I190" t="s">
        <v>55</v>
      </c>
    </row>
    <row r="191" spans="1:9" hidden="1" x14ac:dyDescent="0.25">
      <c r="A191" t="s">
        <v>43</v>
      </c>
      <c r="B191" t="s">
        <v>94</v>
      </c>
      <c r="C191" t="s">
        <v>254</v>
      </c>
      <c r="D191" s="7">
        <v>44686</v>
      </c>
      <c r="E191" s="7">
        <v>44693</v>
      </c>
      <c r="F191" s="8">
        <v>0</v>
      </c>
      <c r="G191" s="8">
        <v>0</v>
      </c>
      <c r="H191" s="9">
        <v>168</v>
      </c>
      <c r="I191" t="s">
        <v>55</v>
      </c>
    </row>
    <row r="192" spans="1:9" hidden="1" x14ac:dyDescent="0.25">
      <c r="A192" t="s">
        <v>40</v>
      </c>
      <c r="B192" t="s">
        <v>244</v>
      </c>
      <c r="C192" t="s">
        <v>255</v>
      </c>
      <c r="D192" s="7">
        <v>44685</v>
      </c>
      <c r="E192" s="7">
        <v>44687</v>
      </c>
      <c r="F192" s="8">
        <v>0</v>
      </c>
      <c r="G192" s="8">
        <v>0</v>
      </c>
      <c r="H192" s="9">
        <v>48</v>
      </c>
      <c r="I192" t="s">
        <v>55</v>
      </c>
    </row>
    <row r="193" spans="1:9" hidden="1" x14ac:dyDescent="0.25">
      <c r="A193" t="s">
        <v>101</v>
      </c>
      <c r="B193" t="s">
        <v>94</v>
      </c>
      <c r="C193" t="s">
        <v>241</v>
      </c>
      <c r="D193" s="7">
        <v>44687</v>
      </c>
      <c r="E193" s="7">
        <v>44691</v>
      </c>
      <c r="F193" s="8">
        <v>0</v>
      </c>
      <c r="G193" s="8">
        <v>0</v>
      </c>
      <c r="H193" s="9">
        <v>96</v>
      </c>
      <c r="I193" t="s">
        <v>55</v>
      </c>
    </row>
    <row r="194" spans="1:9" hidden="1" x14ac:dyDescent="0.25">
      <c r="A194" t="s">
        <v>41</v>
      </c>
      <c r="B194" t="s">
        <v>94</v>
      </c>
      <c r="C194" t="s">
        <v>259</v>
      </c>
      <c r="D194" s="7">
        <v>44690</v>
      </c>
      <c r="E194" s="7">
        <v>44690</v>
      </c>
      <c r="F194" s="8">
        <v>0</v>
      </c>
      <c r="G194" s="8">
        <v>0</v>
      </c>
      <c r="H194" s="9">
        <v>0</v>
      </c>
      <c r="I194" t="s">
        <v>55</v>
      </c>
    </row>
    <row r="195" spans="1:9" hidden="1" x14ac:dyDescent="0.25">
      <c r="A195" t="s">
        <v>101</v>
      </c>
      <c r="B195" t="s">
        <v>94</v>
      </c>
      <c r="C195" t="s">
        <v>240</v>
      </c>
      <c r="D195" s="7">
        <v>44690</v>
      </c>
      <c r="E195" s="7">
        <v>44693</v>
      </c>
      <c r="F195" s="8">
        <v>0</v>
      </c>
      <c r="G195" s="8">
        <v>0</v>
      </c>
      <c r="H195" s="9">
        <v>72</v>
      </c>
      <c r="I195" t="s">
        <v>55</v>
      </c>
    </row>
    <row r="196" spans="1:9" hidden="1" x14ac:dyDescent="0.25">
      <c r="A196" t="s">
        <v>41</v>
      </c>
      <c r="B196" t="s">
        <v>94</v>
      </c>
      <c r="C196" t="s">
        <v>260</v>
      </c>
      <c r="D196" s="7">
        <v>44690</v>
      </c>
      <c r="E196" s="7">
        <v>44690</v>
      </c>
      <c r="F196" s="8">
        <v>0</v>
      </c>
      <c r="G196" s="8">
        <v>0</v>
      </c>
      <c r="H196" s="9">
        <v>0</v>
      </c>
      <c r="I196" t="s">
        <v>55</v>
      </c>
    </row>
    <row r="197" spans="1:9" hidden="1" x14ac:dyDescent="0.25">
      <c r="A197" t="s">
        <v>48</v>
      </c>
      <c r="B197" t="s">
        <v>94</v>
      </c>
      <c r="C197" t="s">
        <v>270</v>
      </c>
      <c r="D197" s="7">
        <v>44690</v>
      </c>
      <c r="E197" s="7">
        <v>44698</v>
      </c>
      <c r="F197" s="8">
        <v>0</v>
      </c>
      <c r="G197" s="8">
        <v>0</v>
      </c>
      <c r="H197" s="9">
        <v>192</v>
      </c>
      <c r="I197" t="s">
        <v>55</v>
      </c>
    </row>
    <row r="198" spans="1:9" x14ac:dyDescent="0.25">
      <c r="A198" t="s">
        <v>40</v>
      </c>
      <c r="B198" t="s">
        <v>94</v>
      </c>
      <c r="C198" t="s">
        <v>239</v>
      </c>
      <c r="D198" s="7">
        <v>44680</v>
      </c>
      <c r="E198" s="7">
        <v>44687</v>
      </c>
      <c r="F198" s="8">
        <v>0</v>
      </c>
      <c r="G198" s="8">
        <v>0</v>
      </c>
      <c r="H198" s="9">
        <v>168</v>
      </c>
      <c r="I198" t="s">
        <v>55</v>
      </c>
    </row>
    <row r="199" spans="1:9" x14ac:dyDescent="0.25">
      <c r="A199" t="s">
        <v>101</v>
      </c>
      <c r="B199" t="s">
        <v>94</v>
      </c>
      <c r="C199" t="s">
        <v>240</v>
      </c>
      <c r="D199" s="7">
        <v>44680</v>
      </c>
      <c r="E199" s="7">
        <v>44684</v>
      </c>
      <c r="F199" s="8">
        <v>0</v>
      </c>
      <c r="G199" s="8">
        <v>0</v>
      </c>
      <c r="H199" s="9">
        <v>96</v>
      </c>
      <c r="I199" t="s">
        <v>55</v>
      </c>
    </row>
    <row r="200" spans="1:9" x14ac:dyDescent="0.25">
      <c r="A200" t="s">
        <v>40</v>
      </c>
      <c r="B200" t="s">
        <v>94</v>
      </c>
      <c r="C200" t="s">
        <v>126</v>
      </c>
      <c r="D200" s="7">
        <v>44679</v>
      </c>
      <c r="E200" s="7">
        <v>44680</v>
      </c>
      <c r="F200" s="8">
        <v>0</v>
      </c>
      <c r="G200" s="8">
        <v>0</v>
      </c>
      <c r="H200" s="9">
        <v>24</v>
      </c>
      <c r="I200" t="s">
        <v>55</v>
      </c>
    </row>
    <row r="201" spans="1:9" x14ac:dyDescent="0.25">
      <c r="A201" t="s">
        <v>43</v>
      </c>
      <c r="B201" t="s">
        <v>94</v>
      </c>
      <c r="C201" t="s">
        <v>247</v>
      </c>
      <c r="D201" s="7">
        <v>44691</v>
      </c>
      <c r="E201" s="7">
        <v>44704</v>
      </c>
      <c r="F201" s="8">
        <v>0</v>
      </c>
      <c r="G201" s="8">
        <v>0</v>
      </c>
      <c r="H201" s="9">
        <v>312</v>
      </c>
      <c r="I201" t="s">
        <v>55</v>
      </c>
    </row>
    <row r="202" spans="1:9" x14ac:dyDescent="0.25">
      <c r="A202" t="s">
        <v>101</v>
      </c>
      <c r="B202" t="s">
        <v>94</v>
      </c>
      <c r="C202" t="s">
        <v>240</v>
      </c>
      <c r="D202" s="7">
        <v>44691</v>
      </c>
      <c r="E202" s="7">
        <v>44694</v>
      </c>
      <c r="F202" s="8">
        <v>0</v>
      </c>
      <c r="G202" s="8">
        <v>0</v>
      </c>
      <c r="H202" s="9">
        <v>72</v>
      </c>
      <c r="I202" t="s">
        <v>55</v>
      </c>
    </row>
    <row r="203" spans="1:9" x14ac:dyDescent="0.25">
      <c r="A203" t="s">
        <v>41</v>
      </c>
      <c r="B203" t="s">
        <v>94</v>
      </c>
      <c r="C203" t="s">
        <v>271</v>
      </c>
      <c r="D203" s="7">
        <v>44691</v>
      </c>
      <c r="E203" s="7">
        <v>44699</v>
      </c>
      <c r="F203" s="8">
        <v>0</v>
      </c>
      <c r="G203" s="8">
        <v>0</v>
      </c>
      <c r="H203" s="9">
        <v>192</v>
      </c>
      <c r="I203" t="s">
        <v>55</v>
      </c>
    </row>
    <row r="204" spans="1:9" x14ac:dyDescent="0.25">
      <c r="A204" t="s">
        <v>41</v>
      </c>
      <c r="B204" t="s">
        <v>94</v>
      </c>
      <c r="C204" t="s">
        <v>272</v>
      </c>
      <c r="D204" s="7">
        <v>44691</v>
      </c>
      <c r="E204" s="7">
        <v>44698</v>
      </c>
      <c r="F204" s="8">
        <v>0</v>
      </c>
      <c r="G204" s="8">
        <v>0</v>
      </c>
      <c r="H204" s="9">
        <v>168</v>
      </c>
      <c r="I204" t="s">
        <v>55</v>
      </c>
    </row>
    <row r="205" spans="1:9" x14ac:dyDescent="0.25">
      <c r="A205" t="s">
        <v>40</v>
      </c>
      <c r="B205" t="s">
        <v>94</v>
      </c>
      <c r="C205" t="s">
        <v>261</v>
      </c>
      <c r="D205" s="7">
        <v>44691</v>
      </c>
      <c r="E205" s="7">
        <v>44693</v>
      </c>
      <c r="F205" s="8">
        <v>0</v>
      </c>
      <c r="G205" s="8">
        <v>0</v>
      </c>
      <c r="H205" s="9">
        <v>48</v>
      </c>
      <c r="I205" t="s">
        <v>55</v>
      </c>
    </row>
    <row r="206" spans="1:9" x14ac:dyDescent="0.25">
      <c r="A206" t="s">
        <v>41</v>
      </c>
      <c r="B206" t="s">
        <v>94</v>
      </c>
      <c r="C206" t="s">
        <v>273</v>
      </c>
      <c r="D206" s="7">
        <v>44691</v>
      </c>
      <c r="E206" s="7">
        <v>44698</v>
      </c>
      <c r="F206" s="8">
        <v>0</v>
      </c>
      <c r="G206" s="8">
        <v>0</v>
      </c>
      <c r="H206" s="9">
        <v>168</v>
      </c>
      <c r="I206" t="s">
        <v>55</v>
      </c>
    </row>
    <row r="207" spans="1:9" x14ac:dyDescent="0.25">
      <c r="A207" t="s">
        <v>40</v>
      </c>
      <c r="B207" t="s">
        <v>94</v>
      </c>
      <c r="C207" t="s">
        <v>274</v>
      </c>
      <c r="D207" s="7">
        <v>44691</v>
      </c>
      <c r="E207" s="7">
        <v>44698</v>
      </c>
      <c r="F207" s="8">
        <v>0</v>
      </c>
      <c r="G207" s="8">
        <v>0</v>
      </c>
      <c r="H207" s="9">
        <v>168</v>
      </c>
      <c r="I207" t="s">
        <v>55</v>
      </c>
    </row>
    <row r="208" spans="1:9" x14ac:dyDescent="0.25">
      <c r="A208" t="s">
        <v>40</v>
      </c>
      <c r="B208" t="s">
        <v>94</v>
      </c>
      <c r="C208" t="s">
        <v>275</v>
      </c>
      <c r="D208" s="7">
        <v>44692</v>
      </c>
      <c r="E208" s="7">
        <v>44699</v>
      </c>
      <c r="F208" s="8">
        <v>0</v>
      </c>
      <c r="G208" s="8">
        <v>0</v>
      </c>
      <c r="H208" s="9">
        <v>168</v>
      </c>
      <c r="I208" t="s">
        <v>55</v>
      </c>
    </row>
    <row r="209" spans="1:9" x14ac:dyDescent="0.25">
      <c r="A209" t="s">
        <v>101</v>
      </c>
      <c r="B209" t="s">
        <v>94</v>
      </c>
      <c r="C209" t="s">
        <v>240</v>
      </c>
      <c r="D209" s="7">
        <v>44693</v>
      </c>
      <c r="E209" s="7">
        <v>44693</v>
      </c>
      <c r="F209" s="8">
        <v>0</v>
      </c>
      <c r="G209" s="8">
        <v>0</v>
      </c>
      <c r="H209" s="9">
        <v>0</v>
      </c>
      <c r="I209" t="s">
        <v>55</v>
      </c>
    </row>
    <row r="210" spans="1:9" x14ac:dyDescent="0.25">
      <c r="A210" t="s">
        <v>48</v>
      </c>
      <c r="B210" t="s">
        <v>94</v>
      </c>
      <c r="C210" t="s">
        <v>270</v>
      </c>
      <c r="D210" s="7">
        <v>44693</v>
      </c>
      <c r="E210" s="7">
        <v>44699</v>
      </c>
      <c r="F210" s="8">
        <v>0</v>
      </c>
      <c r="G210" s="8">
        <v>0</v>
      </c>
      <c r="H210" s="9">
        <v>144</v>
      </c>
      <c r="I210" t="s">
        <v>55</v>
      </c>
    </row>
    <row r="211" spans="1:9" x14ac:dyDescent="0.25">
      <c r="A211" t="s">
        <v>40</v>
      </c>
      <c r="B211" t="s">
        <v>94</v>
      </c>
      <c r="C211" t="s">
        <v>126</v>
      </c>
      <c r="D211" s="7">
        <v>44693</v>
      </c>
      <c r="E211" s="7">
        <v>44693</v>
      </c>
      <c r="F211" s="8">
        <v>0</v>
      </c>
      <c r="G211" s="8">
        <v>0</v>
      </c>
      <c r="H211" s="9">
        <v>0</v>
      </c>
      <c r="I211" t="s">
        <v>55</v>
      </c>
    </row>
    <row r="212" spans="1:9" x14ac:dyDescent="0.25">
      <c r="A212" t="s">
        <v>60</v>
      </c>
      <c r="B212" t="s">
        <v>94</v>
      </c>
      <c r="C212" t="s">
        <v>276</v>
      </c>
      <c r="D212" s="7">
        <v>44693</v>
      </c>
      <c r="E212" s="7">
        <v>44697</v>
      </c>
      <c r="F212" s="8">
        <v>0</v>
      </c>
      <c r="G212" s="8">
        <v>0</v>
      </c>
      <c r="H212" s="9">
        <v>96</v>
      </c>
      <c r="I212" t="s">
        <v>55</v>
      </c>
    </row>
    <row r="213" spans="1:9" x14ac:dyDescent="0.25">
      <c r="A213" t="s">
        <v>60</v>
      </c>
      <c r="B213" t="s">
        <v>94</v>
      </c>
      <c r="C213" t="s">
        <v>317</v>
      </c>
      <c r="D213" s="7">
        <v>44697</v>
      </c>
      <c r="E213" s="7">
        <v>44704</v>
      </c>
      <c r="F213" s="8">
        <v>0</v>
      </c>
      <c r="G213" s="8">
        <v>0</v>
      </c>
      <c r="H213" s="9">
        <v>168</v>
      </c>
      <c r="I213" t="s">
        <v>55</v>
      </c>
    </row>
    <row r="214" spans="1:9" x14ac:dyDescent="0.25">
      <c r="A214" t="s">
        <v>40</v>
      </c>
      <c r="B214" t="s">
        <v>94</v>
      </c>
      <c r="C214" t="s">
        <v>318</v>
      </c>
      <c r="D214" s="7">
        <v>44697</v>
      </c>
      <c r="E214" s="7">
        <v>44704</v>
      </c>
      <c r="F214" s="8">
        <v>0</v>
      </c>
      <c r="G214" s="8">
        <v>0</v>
      </c>
      <c r="H214" s="9">
        <v>168</v>
      </c>
      <c r="I214" t="s">
        <v>55</v>
      </c>
    </row>
    <row r="215" spans="1:9" x14ac:dyDescent="0.25">
      <c r="A215" t="s">
        <v>41</v>
      </c>
      <c r="B215" t="s">
        <v>94</v>
      </c>
      <c r="C215" t="s">
        <v>319</v>
      </c>
      <c r="D215" s="7">
        <v>44698</v>
      </c>
      <c r="E215" s="7">
        <v>44704</v>
      </c>
      <c r="F215" s="8">
        <v>0</v>
      </c>
      <c r="G215" s="8">
        <v>0</v>
      </c>
      <c r="H215" s="9">
        <v>144</v>
      </c>
      <c r="I215" t="s">
        <v>55</v>
      </c>
    </row>
    <row r="216" spans="1:9" x14ac:dyDescent="0.25">
      <c r="A216" t="s">
        <v>101</v>
      </c>
      <c r="B216" t="s">
        <v>94</v>
      </c>
      <c r="C216" t="s">
        <v>277</v>
      </c>
      <c r="D216" s="7">
        <v>44698</v>
      </c>
      <c r="E216" s="7">
        <v>44700</v>
      </c>
      <c r="F216" s="8">
        <v>0</v>
      </c>
      <c r="G216" s="8">
        <v>0</v>
      </c>
      <c r="H216" s="9">
        <v>48</v>
      </c>
      <c r="I216" t="s">
        <v>55</v>
      </c>
    </row>
    <row r="217" spans="1:9" x14ac:dyDescent="0.25">
      <c r="A217" t="s">
        <v>41</v>
      </c>
      <c r="B217" t="s">
        <v>94</v>
      </c>
      <c r="C217" t="s">
        <v>320</v>
      </c>
      <c r="D217" s="7">
        <v>44698</v>
      </c>
      <c r="E217" s="7">
        <v>44704</v>
      </c>
      <c r="F217" s="8">
        <v>0</v>
      </c>
      <c r="G217" s="8">
        <v>0</v>
      </c>
      <c r="H217" s="9">
        <v>144</v>
      </c>
      <c r="I217" t="s">
        <v>55</v>
      </c>
    </row>
    <row r="218" spans="1:9" x14ac:dyDescent="0.25">
      <c r="A218" t="s">
        <v>40</v>
      </c>
      <c r="B218" t="s">
        <v>94</v>
      </c>
      <c r="C218" t="s">
        <v>321</v>
      </c>
      <c r="D218" s="7">
        <v>44698</v>
      </c>
      <c r="E218" s="7">
        <v>44706</v>
      </c>
      <c r="F218" s="8">
        <v>0</v>
      </c>
      <c r="G218" s="8">
        <v>0</v>
      </c>
      <c r="H218" s="9">
        <v>192</v>
      </c>
      <c r="I218" t="s">
        <v>55</v>
      </c>
    </row>
    <row r="219" spans="1:9" x14ac:dyDescent="0.25">
      <c r="A219" t="s">
        <v>45</v>
      </c>
      <c r="B219" t="s">
        <v>94</v>
      </c>
      <c r="C219" t="s">
        <v>721</v>
      </c>
      <c r="D219" s="7">
        <v>44699</v>
      </c>
      <c r="E219" s="7">
        <v>44720</v>
      </c>
      <c r="F219" s="8">
        <v>0</v>
      </c>
      <c r="G219" s="8">
        <v>0</v>
      </c>
      <c r="H219" s="9">
        <v>504</v>
      </c>
      <c r="I219" t="s">
        <v>55</v>
      </c>
    </row>
    <row r="220" spans="1:9" x14ac:dyDescent="0.25">
      <c r="A220" t="s">
        <v>40</v>
      </c>
      <c r="B220" t="s">
        <v>94</v>
      </c>
      <c r="C220" t="s">
        <v>279</v>
      </c>
      <c r="D220" s="7">
        <v>44699</v>
      </c>
      <c r="E220" s="7">
        <v>44699</v>
      </c>
      <c r="F220" s="8">
        <v>0</v>
      </c>
      <c r="G220" s="8">
        <v>0</v>
      </c>
      <c r="H220" s="9">
        <v>0</v>
      </c>
      <c r="I220" t="s">
        <v>55</v>
      </c>
    </row>
    <row r="221" spans="1:9" x14ac:dyDescent="0.25">
      <c r="A221" t="s">
        <v>43</v>
      </c>
      <c r="B221" t="s">
        <v>94</v>
      </c>
      <c r="C221" t="s">
        <v>280</v>
      </c>
      <c r="D221" s="7">
        <v>44699</v>
      </c>
      <c r="E221" s="7">
        <v>44700</v>
      </c>
      <c r="F221" s="8">
        <v>0</v>
      </c>
      <c r="G221" s="8">
        <v>0</v>
      </c>
      <c r="H221" s="9">
        <v>24</v>
      </c>
      <c r="I221" t="s">
        <v>55</v>
      </c>
    </row>
    <row r="222" spans="1:9" x14ac:dyDescent="0.25">
      <c r="A222" t="s">
        <v>40</v>
      </c>
      <c r="B222" t="s">
        <v>94</v>
      </c>
      <c r="C222" t="s">
        <v>322</v>
      </c>
      <c r="D222" s="7">
        <v>44700</v>
      </c>
      <c r="E222" s="7">
        <v>44706</v>
      </c>
      <c r="F222" s="8">
        <v>0</v>
      </c>
      <c r="G222" s="8">
        <v>0</v>
      </c>
      <c r="H222" s="9">
        <v>144</v>
      </c>
      <c r="I222" t="s">
        <v>55</v>
      </c>
    </row>
    <row r="223" spans="1:9" x14ac:dyDescent="0.25">
      <c r="A223" t="s">
        <v>40</v>
      </c>
      <c r="B223" t="s">
        <v>94</v>
      </c>
      <c r="C223" t="s">
        <v>325</v>
      </c>
      <c r="D223" s="7">
        <v>44700</v>
      </c>
      <c r="E223" s="7">
        <v>44704</v>
      </c>
      <c r="F223" s="8">
        <v>0</v>
      </c>
      <c r="G223" s="8">
        <v>0</v>
      </c>
      <c r="H223" s="9">
        <v>96</v>
      </c>
      <c r="I223" t="s">
        <v>55</v>
      </c>
    </row>
    <row r="224" spans="1:9" x14ac:dyDescent="0.25">
      <c r="A224" t="s">
        <v>40</v>
      </c>
      <c r="B224" t="s">
        <v>94</v>
      </c>
      <c r="C224" t="s">
        <v>126</v>
      </c>
      <c r="D224" s="7">
        <v>44700</v>
      </c>
      <c r="E224" s="7">
        <v>44700</v>
      </c>
      <c r="F224" s="8">
        <v>0</v>
      </c>
      <c r="G224" s="8">
        <v>0</v>
      </c>
      <c r="H224" s="9">
        <v>0</v>
      </c>
      <c r="I224" t="s">
        <v>55</v>
      </c>
    </row>
    <row r="225" spans="1:9" x14ac:dyDescent="0.25">
      <c r="A225" t="s">
        <v>40</v>
      </c>
      <c r="B225" t="s">
        <v>94</v>
      </c>
      <c r="C225" t="s">
        <v>321</v>
      </c>
      <c r="D225" s="7">
        <v>44700</v>
      </c>
      <c r="E225" s="7">
        <v>44706</v>
      </c>
      <c r="F225" s="8">
        <v>0</v>
      </c>
      <c r="G225" s="8">
        <v>0</v>
      </c>
      <c r="H225" s="9">
        <v>144</v>
      </c>
      <c r="I225" t="s">
        <v>55</v>
      </c>
    </row>
    <row r="226" spans="1:9" x14ac:dyDescent="0.25">
      <c r="A226" t="s">
        <v>49</v>
      </c>
      <c r="B226" t="s">
        <v>94</v>
      </c>
      <c r="C226" t="s">
        <v>268</v>
      </c>
      <c r="D226" s="7">
        <v>44700</v>
      </c>
      <c r="E226" s="7">
        <v>44718</v>
      </c>
      <c r="F226" s="8">
        <v>0</v>
      </c>
      <c r="G226" s="8">
        <v>0</v>
      </c>
      <c r="H226" s="9">
        <v>432</v>
      </c>
      <c r="I226" t="s">
        <v>55</v>
      </c>
    </row>
    <row r="227" spans="1:9" x14ac:dyDescent="0.25">
      <c r="A227" t="s">
        <v>41</v>
      </c>
      <c r="B227" t="s">
        <v>94</v>
      </c>
      <c r="C227" t="s">
        <v>326</v>
      </c>
      <c r="D227" s="7">
        <v>44700</v>
      </c>
      <c r="E227" s="7">
        <v>44704</v>
      </c>
      <c r="F227" s="8">
        <v>0</v>
      </c>
      <c r="G227" s="8">
        <v>0</v>
      </c>
      <c r="H227" s="9">
        <v>96</v>
      </c>
      <c r="I227" t="s">
        <v>55</v>
      </c>
    </row>
    <row r="228" spans="1:9" x14ac:dyDescent="0.25">
      <c r="A228" t="s">
        <v>41</v>
      </c>
      <c r="B228" t="s">
        <v>94</v>
      </c>
      <c r="C228" t="s">
        <v>327</v>
      </c>
      <c r="D228" s="7">
        <v>44700</v>
      </c>
      <c r="E228" s="7">
        <v>44704</v>
      </c>
      <c r="F228" s="8">
        <v>0</v>
      </c>
      <c r="G228" s="8">
        <v>0</v>
      </c>
      <c r="H228" s="9">
        <v>96</v>
      </c>
      <c r="I228" t="s">
        <v>55</v>
      </c>
    </row>
    <row r="229" spans="1:9" x14ac:dyDescent="0.25">
      <c r="A229" t="s">
        <v>40</v>
      </c>
      <c r="B229" t="s">
        <v>94</v>
      </c>
      <c r="C229" t="s">
        <v>328</v>
      </c>
      <c r="D229" s="7">
        <v>44701</v>
      </c>
      <c r="E229" s="7">
        <v>44708</v>
      </c>
      <c r="F229" s="8">
        <v>0</v>
      </c>
      <c r="G229" s="8">
        <v>0</v>
      </c>
      <c r="H229" s="9">
        <v>168</v>
      </c>
      <c r="I229" t="s">
        <v>55</v>
      </c>
    </row>
    <row r="230" spans="1:9" x14ac:dyDescent="0.25">
      <c r="A230" t="s">
        <v>41</v>
      </c>
      <c r="B230" t="s">
        <v>94</v>
      </c>
      <c r="C230" t="s">
        <v>327</v>
      </c>
      <c r="D230" s="7">
        <v>44701</v>
      </c>
      <c r="E230" s="7">
        <v>44704</v>
      </c>
      <c r="F230" s="8">
        <v>0</v>
      </c>
      <c r="G230" s="8">
        <v>0</v>
      </c>
      <c r="H230" s="9">
        <v>72</v>
      </c>
      <c r="I230" t="s">
        <v>55</v>
      </c>
    </row>
    <row r="231" spans="1:9" x14ac:dyDescent="0.25">
      <c r="A231" t="s">
        <v>45</v>
      </c>
      <c r="B231" t="s">
        <v>94</v>
      </c>
      <c r="C231" t="s">
        <v>722</v>
      </c>
      <c r="D231" s="7">
        <v>44701</v>
      </c>
      <c r="E231" s="7">
        <v>44720</v>
      </c>
      <c r="F231" s="8">
        <v>0</v>
      </c>
      <c r="G231" s="8">
        <v>0</v>
      </c>
      <c r="H231" s="9">
        <v>456</v>
      </c>
      <c r="I231" t="s">
        <v>55</v>
      </c>
    </row>
    <row r="232" spans="1:9" x14ac:dyDescent="0.25">
      <c r="A232" t="s">
        <v>41</v>
      </c>
      <c r="B232" t="s">
        <v>94</v>
      </c>
      <c r="C232" t="s">
        <v>329</v>
      </c>
      <c r="D232" s="7">
        <v>44704</v>
      </c>
      <c r="E232" s="7">
        <v>44704</v>
      </c>
      <c r="F232" s="8">
        <v>0</v>
      </c>
      <c r="G232" s="8">
        <v>0</v>
      </c>
      <c r="H232" s="9">
        <v>0</v>
      </c>
      <c r="I232" t="s">
        <v>55</v>
      </c>
    </row>
    <row r="233" spans="1:9" x14ac:dyDescent="0.25">
      <c r="A233" t="s">
        <v>40</v>
      </c>
      <c r="B233" t="s">
        <v>94</v>
      </c>
      <c r="C233" t="s">
        <v>330</v>
      </c>
      <c r="D233" s="7">
        <v>44704</v>
      </c>
      <c r="E233" s="7">
        <v>44704</v>
      </c>
      <c r="F233" s="8">
        <v>0</v>
      </c>
      <c r="G233" s="8">
        <v>0</v>
      </c>
      <c r="H233" s="9">
        <v>0</v>
      </c>
      <c r="I233" t="s">
        <v>55</v>
      </c>
    </row>
    <row r="234" spans="1:9" x14ac:dyDescent="0.25">
      <c r="A234" t="s">
        <v>43</v>
      </c>
      <c r="B234" t="s">
        <v>94</v>
      </c>
      <c r="C234" t="s">
        <v>331</v>
      </c>
      <c r="D234" s="7">
        <v>44704</v>
      </c>
      <c r="E234" s="7">
        <v>44706</v>
      </c>
      <c r="F234" s="8">
        <v>0</v>
      </c>
      <c r="G234" s="8">
        <v>0</v>
      </c>
      <c r="H234" s="9">
        <v>48</v>
      </c>
      <c r="I234" t="s">
        <v>55</v>
      </c>
    </row>
    <row r="235" spans="1:9" x14ac:dyDescent="0.25">
      <c r="A235" t="s">
        <v>40</v>
      </c>
      <c r="B235" t="s">
        <v>94</v>
      </c>
      <c r="C235" t="s">
        <v>330</v>
      </c>
      <c r="D235" s="7">
        <v>44704</v>
      </c>
      <c r="E235" s="7">
        <v>44712</v>
      </c>
      <c r="F235" s="8">
        <v>0</v>
      </c>
      <c r="G235" s="8">
        <v>0</v>
      </c>
      <c r="H235" s="9">
        <v>192</v>
      </c>
      <c r="I235" t="s">
        <v>55</v>
      </c>
    </row>
    <row r="236" spans="1:9" x14ac:dyDescent="0.25">
      <c r="A236" t="s">
        <v>41</v>
      </c>
      <c r="B236" t="s">
        <v>94</v>
      </c>
      <c r="C236" t="s">
        <v>335</v>
      </c>
      <c r="D236" s="7">
        <v>44704</v>
      </c>
      <c r="E236" s="7">
        <v>44712</v>
      </c>
      <c r="F236" s="8">
        <v>0</v>
      </c>
      <c r="G236" s="8">
        <v>0</v>
      </c>
      <c r="H236" s="9">
        <v>192</v>
      </c>
      <c r="I236" t="s">
        <v>55</v>
      </c>
    </row>
    <row r="237" spans="1:9" x14ac:dyDescent="0.25">
      <c r="A237" t="s">
        <v>40</v>
      </c>
      <c r="B237" t="s">
        <v>94</v>
      </c>
      <c r="C237" t="s">
        <v>336</v>
      </c>
      <c r="D237" s="7">
        <v>44704</v>
      </c>
      <c r="E237" s="7">
        <v>44712</v>
      </c>
      <c r="F237" s="8">
        <v>0</v>
      </c>
      <c r="G237" s="8">
        <v>0</v>
      </c>
      <c r="H237" s="9">
        <v>192</v>
      </c>
      <c r="I237" t="s">
        <v>55</v>
      </c>
    </row>
    <row r="238" spans="1:9" x14ac:dyDescent="0.25">
      <c r="A238" t="s">
        <v>41</v>
      </c>
      <c r="B238" t="s">
        <v>94</v>
      </c>
      <c r="C238" t="s">
        <v>335</v>
      </c>
      <c r="D238" s="7">
        <v>44704</v>
      </c>
      <c r="E238" s="7">
        <v>44712</v>
      </c>
      <c r="F238" s="8">
        <v>0</v>
      </c>
      <c r="G238" s="8">
        <v>0</v>
      </c>
      <c r="H238" s="9">
        <v>192</v>
      </c>
      <c r="I238" t="s">
        <v>55</v>
      </c>
    </row>
    <row r="239" spans="1:9" x14ac:dyDescent="0.25">
      <c r="A239" t="s">
        <v>41</v>
      </c>
      <c r="B239" t="s">
        <v>94</v>
      </c>
      <c r="C239" t="s">
        <v>335</v>
      </c>
      <c r="D239" s="7">
        <v>44704</v>
      </c>
      <c r="E239" s="7">
        <v>44712</v>
      </c>
      <c r="F239" s="8">
        <v>0</v>
      </c>
      <c r="G239" s="8">
        <v>0</v>
      </c>
      <c r="H239" s="9">
        <v>192</v>
      </c>
      <c r="I239" t="s">
        <v>55</v>
      </c>
    </row>
    <row r="240" spans="1:9" x14ac:dyDescent="0.25">
      <c r="A240" t="s">
        <v>40</v>
      </c>
      <c r="B240" t="s">
        <v>94</v>
      </c>
      <c r="C240" t="s">
        <v>332</v>
      </c>
      <c r="D240" s="7">
        <v>44706</v>
      </c>
      <c r="E240" s="7">
        <v>44706</v>
      </c>
      <c r="F240" s="8">
        <v>0</v>
      </c>
      <c r="G240" s="8">
        <v>0</v>
      </c>
      <c r="H240" s="9">
        <v>0</v>
      </c>
      <c r="I240" t="s">
        <v>55</v>
      </c>
    </row>
    <row r="241" spans="1:9" x14ac:dyDescent="0.25">
      <c r="A241" t="s">
        <v>40</v>
      </c>
      <c r="B241" t="s">
        <v>94</v>
      </c>
      <c r="C241" t="s">
        <v>337</v>
      </c>
      <c r="D241" s="7">
        <v>44706</v>
      </c>
      <c r="E241" s="7">
        <v>44713</v>
      </c>
      <c r="F241" s="8">
        <v>0</v>
      </c>
      <c r="G241" s="8">
        <v>0</v>
      </c>
      <c r="H241" s="9">
        <v>168</v>
      </c>
      <c r="I241" t="s">
        <v>55</v>
      </c>
    </row>
    <row r="242" spans="1:9" x14ac:dyDescent="0.25">
      <c r="A242" t="s">
        <v>40</v>
      </c>
      <c r="B242" t="s">
        <v>94</v>
      </c>
      <c r="C242" t="s">
        <v>330</v>
      </c>
      <c r="D242" s="7">
        <v>44706</v>
      </c>
      <c r="E242" s="7">
        <v>44713</v>
      </c>
      <c r="F242" s="8">
        <v>0</v>
      </c>
      <c r="G242" s="8">
        <v>0</v>
      </c>
      <c r="H242" s="9">
        <v>168</v>
      </c>
      <c r="I242" t="s">
        <v>55</v>
      </c>
    </row>
    <row r="243" spans="1:9" x14ac:dyDescent="0.25">
      <c r="A243" t="s">
        <v>41</v>
      </c>
      <c r="B243" t="s">
        <v>94</v>
      </c>
      <c r="C243" t="s">
        <v>338</v>
      </c>
      <c r="D243" s="7">
        <v>44706</v>
      </c>
      <c r="E243" s="7">
        <v>44713</v>
      </c>
      <c r="F243" s="8">
        <v>0</v>
      </c>
      <c r="G243" s="8">
        <v>0</v>
      </c>
      <c r="H243" s="9">
        <v>168</v>
      </c>
      <c r="I243" t="s">
        <v>55</v>
      </c>
    </row>
    <row r="244" spans="1:9" x14ac:dyDescent="0.25">
      <c r="A244" t="s">
        <v>40</v>
      </c>
      <c r="B244" t="s">
        <v>94</v>
      </c>
      <c r="C244" t="s">
        <v>339</v>
      </c>
      <c r="D244" s="7">
        <v>44706</v>
      </c>
      <c r="E244" s="7">
        <v>44714</v>
      </c>
      <c r="F244" s="8">
        <v>0</v>
      </c>
      <c r="G244" s="8">
        <v>0</v>
      </c>
      <c r="H244" s="9">
        <v>192</v>
      </c>
      <c r="I244" t="s">
        <v>55</v>
      </c>
    </row>
    <row r="245" spans="1:9" x14ac:dyDescent="0.25">
      <c r="A245" t="s">
        <v>40</v>
      </c>
      <c r="B245" t="s">
        <v>94</v>
      </c>
      <c r="C245" t="s">
        <v>321</v>
      </c>
      <c r="D245" s="7">
        <v>44706</v>
      </c>
      <c r="E245" s="7">
        <v>44714</v>
      </c>
      <c r="F245" s="8">
        <v>0</v>
      </c>
      <c r="G245" s="8">
        <v>0</v>
      </c>
      <c r="H245" s="9">
        <v>192</v>
      </c>
      <c r="I245" t="s">
        <v>55</v>
      </c>
    </row>
    <row r="246" spans="1:9" x14ac:dyDescent="0.25">
      <c r="A246" t="s">
        <v>41</v>
      </c>
      <c r="B246" t="s">
        <v>94</v>
      </c>
      <c r="C246" t="s">
        <v>340</v>
      </c>
      <c r="D246" s="7">
        <v>44707</v>
      </c>
      <c r="E246" s="7">
        <v>44714</v>
      </c>
      <c r="F246" s="8">
        <v>0</v>
      </c>
      <c r="G246" s="8">
        <v>0</v>
      </c>
      <c r="H246" s="9">
        <v>168</v>
      </c>
      <c r="I246" t="s">
        <v>55</v>
      </c>
    </row>
    <row r="247" spans="1:9" x14ac:dyDescent="0.25">
      <c r="A247" t="s">
        <v>41</v>
      </c>
      <c r="B247" t="s">
        <v>94</v>
      </c>
      <c r="C247" t="s">
        <v>341</v>
      </c>
      <c r="D247" s="7">
        <v>44707</v>
      </c>
      <c r="E247" s="7">
        <v>44714</v>
      </c>
      <c r="F247" s="8">
        <v>0</v>
      </c>
      <c r="G247" s="8">
        <v>0</v>
      </c>
      <c r="H247" s="9">
        <v>168</v>
      </c>
      <c r="I247" t="s">
        <v>55</v>
      </c>
    </row>
    <row r="248" spans="1:9" x14ac:dyDescent="0.25">
      <c r="A248" t="s">
        <v>41</v>
      </c>
      <c r="B248" t="s">
        <v>94</v>
      </c>
      <c r="C248" t="s">
        <v>342</v>
      </c>
      <c r="D248" s="7">
        <v>44707</v>
      </c>
      <c r="E248" s="7">
        <v>44714</v>
      </c>
      <c r="F248" s="8">
        <v>0</v>
      </c>
      <c r="G248" s="8">
        <v>0</v>
      </c>
      <c r="H248" s="9">
        <v>168</v>
      </c>
      <c r="I248" t="s">
        <v>55</v>
      </c>
    </row>
    <row r="249" spans="1:9" x14ac:dyDescent="0.25">
      <c r="A249" t="s">
        <v>40</v>
      </c>
      <c r="B249" t="s">
        <v>94</v>
      </c>
      <c r="C249" t="s">
        <v>126</v>
      </c>
      <c r="D249" s="7">
        <v>44707</v>
      </c>
      <c r="E249" s="7">
        <v>44707</v>
      </c>
      <c r="F249" s="8">
        <v>0</v>
      </c>
      <c r="G249" s="8">
        <v>0</v>
      </c>
      <c r="H249" s="9">
        <v>0</v>
      </c>
      <c r="I249" t="s">
        <v>55</v>
      </c>
    </row>
    <row r="250" spans="1:9" x14ac:dyDescent="0.25">
      <c r="A250" t="s">
        <v>43</v>
      </c>
      <c r="B250" t="s">
        <v>94</v>
      </c>
      <c r="C250" t="s">
        <v>723</v>
      </c>
      <c r="D250" s="7">
        <v>44708</v>
      </c>
      <c r="E250" s="7">
        <v>44721</v>
      </c>
      <c r="F250" s="8">
        <v>0</v>
      </c>
      <c r="G250" s="8">
        <v>0</v>
      </c>
      <c r="H250" s="9">
        <v>312</v>
      </c>
      <c r="I250" t="s">
        <v>55</v>
      </c>
    </row>
    <row r="251" spans="1:9" x14ac:dyDescent="0.25">
      <c r="A251" t="s">
        <v>95</v>
      </c>
      <c r="B251" t="s">
        <v>94</v>
      </c>
      <c r="C251" t="s">
        <v>724</v>
      </c>
      <c r="D251" s="7">
        <v>44712</v>
      </c>
      <c r="E251" s="7">
        <v>44719</v>
      </c>
      <c r="F251" s="8">
        <v>0</v>
      </c>
      <c r="G251" s="8">
        <v>0</v>
      </c>
      <c r="H251" s="9">
        <v>168</v>
      </c>
      <c r="I251" t="s">
        <v>55</v>
      </c>
    </row>
    <row r="252" spans="1:9" x14ac:dyDescent="0.25">
      <c r="A252" t="s">
        <v>41</v>
      </c>
      <c r="B252" t="s">
        <v>94</v>
      </c>
      <c r="C252" t="s">
        <v>342</v>
      </c>
      <c r="D252" s="7">
        <v>44712</v>
      </c>
      <c r="E252" s="7">
        <v>44714</v>
      </c>
      <c r="F252" s="8">
        <v>0</v>
      </c>
      <c r="G252" s="8">
        <v>0</v>
      </c>
      <c r="H252" s="9">
        <v>48</v>
      </c>
      <c r="I252" t="s">
        <v>55</v>
      </c>
    </row>
    <row r="253" spans="1:9" x14ac:dyDescent="0.25">
      <c r="A253" t="s">
        <v>41</v>
      </c>
      <c r="B253" t="s">
        <v>94</v>
      </c>
      <c r="C253" t="s">
        <v>343</v>
      </c>
      <c r="D253" s="7">
        <v>44712</v>
      </c>
      <c r="E253" s="7">
        <v>44714</v>
      </c>
      <c r="F253" s="8">
        <v>0</v>
      </c>
      <c r="G253" s="8">
        <v>0</v>
      </c>
      <c r="H253" s="9">
        <v>48</v>
      </c>
      <c r="I253" t="s">
        <v>55</v>
      </c>
    </row>
    <row r="254" spans="1:9" x14ac:dyDescent="0.25">
      <c r="A254" t="s">
        <v>40</v>
      </c>
      <c r="B254" t="s">
        <v>94</v>
      </c>
      <c r="C254" t="s">
        <v>344</v>
      </c>
      <c r="D254" s="7">
        <v>44712</v>
      </c>
      <c r="E254" s="7">
        <v>44714</v>
      </c>
      <c r="F254" s="8">
        <v>0</v>
      </c>
      <c r="G254" s="8">
        <v>0</v>
      </c>
      <c r="H254" s="9">
        <v>48</v>
      </c>
      <c r="I254" t="s">
        <v>55</v>
      </c>
    </row>
    <row r="255" spans="1:9" x14ac:dyDescent="0.25">
      <c r="A255" t="s">
        <v>40</v>
      </c>
      <c r="B255" t="s">
        <v>94</v>
      </c>
      <c r="C255" t="s">
        <v>337</v>
      </c>
      <c r="D255" s="7">
        <v>44713</v>
      </c>
      <c r="E255" s="7">
        <v>44713</v>
      </c>
      <c r="F255" s="8">
        <v>0</v>
      </c>
      <c r="G255" s="8">
        <v>0</v>
      </c>
      <c r="H255" s="9">
        <v>0</v>
      </c>
      <c r="I255" t="s">
        <v>55</v>
      </c>
    </row>
    <row r="256" spans="1:9" x14ac:dyDescent="0.25">
      <c r="A256" t="s">
        <v>41</v>
      </c>
      <c r="B256" t="s">
        <v>94</v>
      </c>
      <c r="C256" t="s">
        <v>345</v>
      </c>
      <c r="D256" s="7">
        <v>44713</v>
      </c>
      <c r="E256" s="7">
        <v>44713</v>
      </c>
      <c r="F256" s="8">
        <v>0</v>
      </c>
      <c r="G256" s="8">
        <v>0</v>
      </c>
      <c r="H256" s="9">
        <v>0</v>
      </c>
      <c r="I256" t="s">
        <v>55</v>
      </c>
    </row>
    <row r="257" spans="1:9" x14ac:dyDescent="0.25">
      <c r="A257" t="s">
        <v>45</v>
      </c>
      <c r="B257" t="s">
        <v>94</v>
      </c>
      <c r="C257" t="s">
        <v>346</v>
      </c>
      <c r="D257" s="7">
        <v>44713</v>
      </c>
      <c r="E257" s="7">
        <v>44713</v>
      </c>
      <c r="F257" s="8">
        <v>0</v>
      </c>
      <c r="G257" s="8">
        <v>0</v>
      </c>
      <c r="H257" s="9">
        <v>0</v>
      </c>
      <c r="I257" t="s">
        <v>55</v>
      </c>
    </row>
    <row r="258" spans="1:9" x14ac:dyDescent="0.25">
      <c r="A258" t="s">
        <v>48</v>
      </c>
      <c r="B258" t="s">
        <v>94</v>
      </c>
      <c r="C258" t="s">
        <v>725</v>
      </c>
      <c r="D258" s="7">
        <v>44713</v>
      </c>
      <c r="E258" s="7">
        <v>44720</v>
      </c>
      <c r="F258" s="8">
        <v>0</v>
      </c>
      <c r="G258" s="8">
        <v>0</v>
      </c>
      <c r="H258" s="9">
        <v>168</v>
      </c>
      <c r="I258" t="s">
        <v>55</v>
      </c>
    </row>
    <row r="259" spans="1:9" x14ac:dyDescent="0.25">
      <c r="A259" t="s">
        <v>41</v>
      </c>
      <c r="B259" t="s">
        <v>94</v>
      </c>
      <c r="C259" t="s">
        <v>726</v>
      </c>
      <c r="D259" s="7">
        <v>44713</v>
      </c>
      <c r="E259" s="7">
        <v>44721</v>
      </c>
      <c r="F259" s="8">
        <v>0</v>
      </c>
      <c r="G259" s="8">
        <v>0</v>
      </c>
      <c r="H259" s="9">
        <v>192</v>
      </c>
      <c r="I259" t="s">
        <v>55</v>
      </c>
    </row>
    <row r="260" spans="1:9" x14ac:dyDescent="0.25">
      <c r="A260" t="s">
        <v>41</v>
      </c>
      <c r="B260" t="s">
        <v>94</v>
      </c>
      <c r="C260" t="s">
        <v>342</v>
      </c>
      <c r="D260" s="7">
        <v>44713</v>
      </c>
      <c r="E260" s="7">
        <v>44715</v>
      </c>
      <c r="F260" s="8">
        <v>0</v>
      </c>
      <c r="G260" s="8">
        <v>0</v>
      </c>
      <c r="H260" s="9">
        <v>48</v>
      </c>
      <c r="I260" t="s">
        <v>55</v>
      </c>
    </row>
    <row r="261" spans="1:9" x14ac:dyDescent="0.25">
      <c r="A261" t="s">
        <v>41</v>
      </c>
      <c r="B261" t="s">
        <v>94</v>
      </c>
      <c r="C261" t="s">
        <v>727</v>
      </c>
      <c r="D261" s="7">
        <v>44715</v>
      </c>
      <c r="E261" s="7">
        <v>44721</v>
      </c>
      <c r="F261" s="8">
        <v>0</v>
      </c>
      <c r="G261" s="8">
        <v>0</v>
      </c>
      <c r="H261" s="9">
        <v>144</v>
      </c>
      <c r="I261" t="s">
        <v>55</v>
      </c>
    </row>
    <row r="262" spans="1:9" x14ac:dyDescent="0.25">
      <c r="A262" t="s">
        <v>40</v>
      </c>
      <c r="B262" t="s">
        <v>94</v>
      </c>
      <c r="C262" t="s">
        <v>126</v>
      </c>
      <c r="D262" s="7">
        <v>44714</v>
      </c>
      <c r="E262" s="7">
        <v>44714</v>
      </c>
      <c r="F262" s="8">
        <v>0</v>
      </c>
      <c r="G262" s="8">
        <v>0</v>
      </c>
      <c r="H262" s="9">
        <v>0</v>
      </c>
      <c r="I262" t="s">
        <v>55</v>
      </c>
    </row>
    <row r="263" spans="1:9" x14ac:dyDescent="0.25">
      <c r="A263" t="s">
        <v>40</v>
      </c>
      <c r="B263" t="s">
        <v>94</v>
      </c>
      <c r="C263" t="s">
        <v>126</v>
      </c>
      <c r="D263" s="7">
        <v>44721</v>
      </c>
      <c r="E263" s="7">
        <v>44721</v>
      </c>
      <c r="F263" s="8">
        <v>0</v>
      </c>
      <c r="G263" s="8">
        <v>0</v>
      </c>
      <c r="H263" s="9">
        <v>0</v>
      </c>
      <c r="I263" t="s">
        <v>55</v>
      </c>
    </row>
    <row r="264" spans="1:9" x14ac:dyDescent="0.25">
      <c r="A264" t="s">
        <v>60</v>
      </c>
      <c r="C264" t="s">
        <v>267</v>
      </c>
      <c r="D264" s="7">
        <v>44683</v>
      </c>
      <c r="E264" s="7">
        <v>44699</v>
      </c>
      <c r="F264" s="8">
        <v>0</v>
      </c>
      <c r="G264" s="8">
        <v>0</v>
      </c>
      <c r="H264" s="9">
        <v>384</v>
      </c>
      <c r="I264" t="s">
        <v>55</v>
      </c>
    </row>
    <row r="265" spans="1:9" x14ac:dyDescent="0.25">
      <c r="A265" t="s">
        <v>41</v>
      </c>
      <c r="C265" t="s">
        <v>231</v>
      </c>
      <c r="D265" s="7">
        <v>44683</v>
      </c>
      <c r="E265" s="7">
        <v>44684</v>
      </c>
      <c r="F265" s="8">
        <v>0</v>
      </c>
      <c r="G265" s="8">
        <v>0</v>
      </c>
      <c r="H265" s="9">
        <v>24</v>
      </c>
      <c r="I265" t="s">
        <v>55</v>
      </c>
    </row>
    <row r="266" spans="1:9" x14ac:dyDescent="0.25">
      <c r="A266" t="s">
        <v>233</v>
      </c>
      <c r="C266" t="s">
        <v>232</v>
      </c>
      <c r="D266" s="7">
        <v>44678</v>
      </c>
      <c r="E266" s="7">
        <v>44680</v>
      </c>
      <c r="F266" s="8">
        <v>0</v>
      </c>
      <c r="G266" s="8">
        <v>0</v>
      </c>
      <c r="H266" s="9">
        <v>48</v>
      </c>
      <c r="I266" t="s">
        <v>55</v>
      </c>
    </row>
    <row r="267" spans="1:9" x14ac:dyDescent="0.25">
      <c r="A267" t="s">
        <v>41</v>
      </c>
      <c r="C267" t="s">
        <v>234</v>
      </c>
      <c r="D267" s="7">
        <v>44679</v>
      </c>
      <c r="E267" s="7">
        <v>44686</v>
      </c>
      <c r="F267" s="8">
        <v>0</v>
      </c>
      <c r="G267" s="8">
        <v>0</v>
      </c>
      <c r="H267" s="9">
        <v>168</v>
      </c>
      <c r="I267" t="s">
        <v>55</v>
      </c>
    </row>
    <row r="268" spans="1:9" x14ac:dyDescent="0.25">
      <c r="A268" t="s">
        <v>92</v>
      </c>
      <c r="C268" t="s">
        <v>719</v>
      </c>
      <c r="D268" s="7">
        <v>44698</v>
      </c>
      <c r="E268" s="7">
        <v>44718</v>
      </c>
      <c r="F268" s="8">
        <v>0</v>
      </c>
      <c r="G268" s="8">
        <v>0</v>
      </c>
      <c r="H268" s="9">
        <v>480</v>
      </c>
      <c r="I268" t="s">
        <v>55</v>
      </c>
    </row>
    <row r="269" spans="1:9" x14ac:dyDescent="0.25">
      <c r="A269" t="s">
        <v>92</v>
      </c>
      <c r="C269" t="s">
        <v>720</v>
      </c>
      <c r="D269" s="7">
        <v>44698</v>
      </c>
      <c r="E269" s="7">
        <v>44721</v>
      </c>
      <c r="F269" s="8">
        <v>0</v>
      </c>
      <c r="G269" s="8">
        <v>0</v>
      </c>
      <c r="H269" s="9">
        <v>552</v>
      </c>
      <c r="I269" t="s">
        <v>55</v>
      </c>
    </row>
    <row r="270" spans="1:9" x14ac:dyDescent="0.25">
      <c r="A270" t="s">
        <v>41</v>
      </c>
      <c r="C270" t="s">
        <v>278</v>
      </c>
      <c r="D270" s="7">
        <v>44699</v>
      </c>
      <c r="E270" s="7">
        <v>44699</v>
      </c>
      <c r="F270" s="8">
        <v>0</v>
      </c>
      <c r="G270" s="8">
        <v>0</v>
      </c>
      <c r="H270" s="9">
        <v>0</v>
      </c>
      <c r="I270" t="s">
        <v>55</v>
      </c>
    </row>
  </sheetData>
  <sortState xmlns:xlrd2="http://schemas.microsoft.com/office/spreadsheetml/2017/richdata2" ref="A74:J270">
    <sortCondition ref="B2"/>
  </sortState>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42C09-F629-4AB4-9B9F-B5B95302A7F1}">
  <sheetPr codeName="Sheet2"/>
  <dimension ref="A1:M16"/>
  <sheetViews>
    <sheetView workbookViewId="0">
      <selection activeCell="G8" sqref="G8"/>
    </sheetView>
  </sheetViews>
  <sheetFormatPr defaultRowHeight="15" x14ac:dyDescent="0.25"/>
  <cols>
    <col min="1" max="1" width="41.5703125" bestFit="1" customWidth="1"/>
  </cols>
  <sheetData>
    <row r="1" spans="1:13" x14ac:dyDescent="0.25">
      <c r="A1" t="s">
        <v>1</v>
      </c>
      <c r="B1">
        <v>26</v>
      </c>
      <c r="H1" t="s">
        <v>190</v>
      </c>
      <c r="M1" t="str">
        <f>LEFT(H1,FIND(":",H1)-1)</f>
        <v>LeftArrow</v>
      </c>
    </row>
    <row r="2" spans="1:13" x14ac:dyDescent="0.25">
      <c r="A2" t="s">
        <v>2</v>
      </c>
      <c r="B2">
        <v>3</v>
      </c>
      <c r="H2" t="s">
        <v>191</v>
      </c>
      <c r="M2" t="str">
        <f t="shared" ref="M2:M16" si="0">LEFT(H2,FIND(":",H2)-1)</f>
        <v>RightArrow</v>
      </c>
    </row>
    <row r="3" spans="1:13" x14ac:dyDescent="0.25">
      <c r="A3" t="s">
        <v>3</v>
      </c>
      <c r="B3">
        <v>5</v>
      </c>
      <c r="H3" t="s">
        <v>192</v>
      </c>
      <c r="M3" t="str">
        <f t="shared" si="0"/>
        <v>Clock2</v>
      </c>
    </row>
    <row r="4" spans="1:13" x14ac:dyDescent="0.25">
      <c r="A4" t="s">
        <v>4</v>
      </c>
      <c r="B4">
        <v>9</v>
      </c>
      <c r="H4" t="s">
        <v>193</v>
      </c>
      <c r="M4" t="str">
        <f t="shared" si="0"/>
        <v>SailBoat</v>
      </c>
    </row>
    <row r="5" spans="1:13" x14ac:dyDescent="0.25">
      <c r="A5" t="s">
        <v>5</v>
      </c>
      <c r="B5">
        <v>22</v>
      </c>
      <c r="H5" t="s">
        <v>194</v>
      </c>
      <c r="M5" t="str">
        <f t="shared" si="0"/>
        <v>PeaceLove</v>
      </c>
    </row>
    <row r="6" spans="1:13" x14ac:dyDescent="0.25">
      <c r="A6" t="s">
        <v>6</v>
      </c>
      <c r="B6">
        <v>15</v>
      </c>
      <c r="H6" t="s">
        <v>195</v>
      </c>
      <c r="M6" t="str">
        <f t="shared" si="0"/>
        <v>CheckOK</v>
      </c>
    </row>
    <row r="7" spans="1:13" x14ac:dyDescent="0.25">
      <c r="A7" t="s">
        <v>7</v>
      </c>
      <c r="B7">
        <v>18</v>
      </c>
      <c r="H7" t="s">
        <v>196</v>
      </c>
      <c r="M7" t="str">
        <f t="shared" si="0"/>
        <v>Ghost</v>
      </c>
    </row>
    <row r="8" spans="1:13" x14ac:dyDescent="0.25">
      <c r="A8" t="s">
        <v>8</v>
      </c>
      <c r="B8">
        <v>6</v>
      </c>
      <c r="H8" t="s">
        <v>197</v>
      </c>
      <c r="M8" t="str">
        <f t="shared" si="0"/>
        <v>MapleLeaf</v>
      </c>
    </row>
    <row r="9" spans="1:13" x14ac:dyDescent="0.25">
      <c r="A9" t="s">
        <v>9</v>
      </c>
      <c r="B9">
        <v>49</v>
      </c>
      <c r="H9" t="s">
        <v>198</v>
      </c>
      <c r="M9" t="str">
        <f t="shared" si="0"/>
        <v>Calaca</v>
      </c>
    </row>
    <row r="10" spans="1:13" x14ac:dyDescent="0.25">
      <c r="A10" t="s">
        <v>10</v>
      </c>
      <c r="B10">
        <v>9</v>
      </c>
      <c r="H10" t="s">
        <v>199</v>
      </c>
      <c r="M10" t="str">
        <f t="shared" si="0"/>
        <v>Corazon</v>
      </c>
    </row>
    <row r="11" spans="1:13" x14ac:dyDescent="0.25">
      <c r="A11" t="s">
        <v>11</v>
      </c>
      <c r="B11">
        <v>6</v>
      </c>
      <c r="H11" t="s">
        <v>200</v>
      </c>
      <c r="M11" t="str">
        <f t="shared" si="0"/>
        <v>Finger1</v>
      </c>
    </row>
    <row r="12" spans="1:13" x14ac:dyDescent="0.25">
      <c r="A12" t="s">
        <v>12</v>
      </c>
      <c r="B12">
        <v>14</v>
      </c>
      <c r="H12" t="s">
        <v>201</v>
      </c>
      <c r="M12" t="str">
        <f t="shared" si="0"/>
        <v>HandBro</v>
      </c>
    </row>
    <row r="13" spans="1:13" x14ac:dyDescent="0.25">
      <c r="A13" t="s">
        <v>13</v>
      </c>
      <c r="B13">
        <v>3</v>
      </c>
      <c r="H13" t="s">
        <v>202</v>
      </c>
      <c r="M13" t="str">
        <f t="shared" si="0"/>
        <v>Airplane</v>
      </c>
    </row>
    <row r="14" spans="1:13" x14ac:dyDescent="0.25">
      <c r="H14" t="s">
        <v>203</v>
      </c>
      <c r="M14" t="str">
        <f t="shared" si="0"/>
        <v>XMark</v>
      </c>
    </row>
    <row r="15" spans="1:13" x14ac:dyDescent="0.25">
      <c r="H15" t="s">
        <v>204</v>
      </c>
      <c r="M15" t="str">
        <f t="shared" si="0"/>
        <v>Umbrella</v>
      </c>
    </row>
    <row r="16" spans="1:13" x14ac:dyDescent="0.25">
      <c r="H16" t="s">
        <v>205</v>
      </c>
      <c r="M16" t="str">
        <f t="shared" si="0"/>
        <v>DogFace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Sheet1</vt:lpstr>
      <vt:lpstr>Sheet3</vt:lpstr>
      <vt:lpstr>eMails</vt:lpstr>
      <vt:lpstr>Sheet5</vt:lpstr>
      <vt:lpstr>Calendar</vt:lpstr>
      <vt:lpstr>Sheet7</vt:lpstr>
      <vt:lpstr>Tasks</vt:lpstr>
      <vt:lpstr>Sheet2</vt:lpstr>
      <vt:lpstr>eMail_date</vt:lpstr>
      <vt:lpstr>email_Folder</vt:lpstr>
      <vt:lpstr>eMail_sender</vt:lpstr>
      <vt:lpstr>eMail_subject</vt:lpstr>
      <vt:lpstr>eMail_text</vt:lpstr>
      <vt:lpstr>From_Date</vt:lpstr>
      <vt:lpstr>Project</vt:lpstr>
      <vt:lpstr>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 Reta</dc:creator>
  <cp:lastModifiedBy>Felix Reta</cp:lastModifiedBy>
  <dcterms:created xsi:type="dcterms:W3CDTF">2022-04-08T15:51:02Z</dcterms:created>
  <dcterms:modified xsi:type="dcterms:W3CDTF">2022-06-10T14:29:25Z</dcterms:modified>
</cp:coreProperties>
</file>